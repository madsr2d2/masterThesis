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state="visible" name="hanes" sheetId="4" r:id="rId4"/>
    <sheet state="visible" name="Sheet1" sheetId="1" r:id="rId5"/>
    <sheet state="visible" name="Sheet2" sheetId="2" r:id="rId6"/>
    <sheet state="visible" name="Sheet3" sheetId="3" r:id="rId7"/>
  </sheets>
</workbook>
</file>

<file path=xl/sharedStrings.xml><?xml version="1.0" encoding="utf-8"?>
<sst xmlns="http://schemas.openxmlformats.org/spreadsheetml/2006/main">
  <si>
    <t>g/mol</t>
  </si>
  <si>
    <t>g</t>
  </si>
  <si>
    <t>l</t>
  </si>
  <si>
    <t>kuv</t>
  </si>
  <si>
    <t>Enz</t>
  </si>
  <si>
    <t>mmol/l</t>
  </si>
  <si>
    <t>mol/l</t>
  </si>
  <si>
    <t>a-diesterketon</t>
  </si>
  <si>
    <t>mol</t>
  </si>
  <si>
    <t>nm</t>
  </si>
  <si>
    <t>e</t>
  </si>
  <si>
    <t>pH</t>
  </si>
  <si>
    <t>H202 30%</t>
  </si>
  <si>
    <t>[H2O2]</t>
  </si>
  <si>
    <t>Km</t>
  </si>
  <si>
    <t>Vmax</t>
  </si>
  <si>
    <t>mmol/L</t>
  </si>
  <si>
    <t>Batch</t>
  </si>
  <si>
    <t>mads_t002.rre</t>
  </si>
  <si>
    <t>Evolution 600</t>
  </si>
  <si>
    <t>Sample</t>
  </si>
  <si>
    <t>Sample001</t>
  </si>
  <si>
    <t>Sample002</t>
  </si>
  <si>
    <t>sample003</t>
  </si>
  <si>
    <t>Sample004</t>
  </si>
  <si>
    <t>Data Mode</t>
  </si>
  <si>
    <t>A</t>
  </si>
  <si>
    <t>Smoothing</t>
  </si>
  <si>
    <t>None</t>
  </si>
  <si>
    <t>Date Collected</t>
  </si>
  <si>
    <t>Time Collected</t>
  </si>
  <si>
    <t>5:37:25PM</t>
  </si>
  <si>
    <t>5:37:33PM</t>
  </si>
  <si>
    <t>5:37:40PM</t>
  </si>
  <si>
    <t>5:37:47PM</t>
  </si>
  <si>
    <t>Substrate Conc.</t>
  </si>
  <si>
    <t>ss.sss</t>
  </si>
  <si>
    <t>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</si>
  <si>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</si>
  <si>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</si>
  <si>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</si>
  <si>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</si>
  <si>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</si>
  <si>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</si>
  <si>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</si>
  <si>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</si>
  <si>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</si>
  <si>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</si>
  <si>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</si>
  <si>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</si>
  <si>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</si>
  <si>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</si>
  <si>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</si>
  <si>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</si>
  <si>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</si>
  <si>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</si>
  <si>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</si>
  <si>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</si>
  <si>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</si>
  <si>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</si>
  <si>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</si>
  <si>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</si>
  <si>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</si>
  <si>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</si>
  <si>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</si>
  <si>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</si>
  <si>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</si>
  <si>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</si>
  <si>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</si>
  <si>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</si>
  <si>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</si>
  <si>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>Buf [ml]</t>
  </si>
  <si>
    <t>H2O [ml]</t>
  </si>
  <si>
    <t>Enz [ml]</t>
  </si>
  <si>
    <t>Sub [ml]</t>
  </si>
  <si>
    <t>H2O2 [ml]</t>
  </si>
  <si>
    <t>Vol [ml]</t>
  </si>
  <si>
    <t>[sub]</t>
  </si>
  <si>
    <t>[Enz]</t>
  </si>
  <si>
    <t>T</t>
  </si>
  <si>
    <t>L</t>
  </si>
  <si>
    <t>Massefylde g/L</t>
  </si>
  <si>
    <t>method:</t>
  </si>
  <si>
    <t>mM/s</t>
  </si>
  <si>
    <t>[buffer]</t>
  </si>
  <si>
    <t>mmol/[l]</t>
  </si>
  <si>
    <t>Buffer</t>
  </si>
  <si>
    <t>mol/L</t>
  </si>
  <si>
    <t>opløsning</t>
  </si>
  <si>
    <t>Vol. Stam. [L]</t>
  </si>
  <si>
    <t>Final Vol. [L]</t>
  </si>
  <si>
    <t>final vol. [ml]</t>
  </si>
  <si>
    <t>ref 1</t>
  </si>
  <si>
    <t>ref 2</t>
  </si>
  <si>
    <t>ref 3</t>
  </si>
  <si>
    <t>ref 4</t>
  </si>
  <si>
    <t>U/31s</t>
  </si>
  <si>
    <t>g/cm^3</t>
  </si>
  <si>
    <t>cm^3</t>
  </si>
  <si>
    <t>ref 5</t>
  </si>
  <si>
    <t>ref 6</t>
  </si>
  <si>
    <t>ref 7</t>
  </si>
  <si>
    <t>final Vol. [L]</t>
  </si>
  <si>
    <t>Stamopløsning 4</t>
  </si>
  <si>
    <t>4-MeO-BnOH [g]</t>
  </si>
  <si>
    <t>Fortyndingsrække 4:1</t>
  </si>
  <si>
    <t>1h_kcat(4OMeBnOH)_7cuv</t>
  </si>
  <si>
    <t>Na2CO3</t>
  </si>
  <si>
    <t>regn det ud</t>
  </si>
  <si>
    <t>Procedure: Enzyme, substrate and buffere were mixed and placed in the spectrhometer for 5 min, in order to achive thermal equlibrium. The H2O2 solution were the vigorusly added to the saples while they were still in the spectrometere. The spectra were then collected without further mixing.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</si>
</sst>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8"/>
    </font>
    <font>
      <name val="Arial"/>
      <charset val="0"/>
      <i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b/>
      <color rgb="FF000000"/>
      <sz val="12"/>
    </font>
    <font>
      <name val="Arial"/>
      <charset val="0"/>
      <b/>
      <color rgb="FF000000"/>
      <sz val="10"/>
    </font>
    <font>
      <name val="Arial"/>
      <charset val="0"/>
      <b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b/>
      <color rgb="FF000000"/>
      <sz val="12"/>
    </font>
    <font>
      <name val="Arial"/>
      <charset val="0"/>
      <b/>
      <color rgb="FF000000"/>
      <sz val="10"/>
    </font>
    <font>
      <name val="Arial"/>
      <charset val="0"/>
      <b/>
      <color rgb="FF000000"/>
      <sz val="10"/>
    </font>
    <font>
      <name val="Arial"/>
      <charset val="0"/>
      <color rgb="FF000000"/>
      <sz val="10"/>
    </font>
    <font>
      <name val="Arial"/>
      <charset val="0"/>
      <color rgb="FF000000"/>
      <sz val="10"/>
    </font>
    <font>
      <name val="Arial"/>
      <charset val="0"/>
      <b/>
      <color rgb="FF000000"/>
      <sz val="12"/>
    </font>
    <font>
      <name val="Arial"/>
      <charset val="0"/>
      <b/>
      <color rgb="FF000000"/>
      <sz val="10"/>
    </font>
    <font>
      <name val="Arial"/>
      <charset val="0"/>
      <b/>
      <color rgb="FF000000"/>
      <sz val="10"/>
    </font>
    <font>
      <name val="Arial"/>
      <charset val="0"/>
      <family val="2"/>
      <b/>
      <color rgb="FF000000"/>
      <sz val="10"/>
    </font>
  </fonts>
  <fills count="2">
    <fill>
      <patternFill patternType="none"/>
    </fill>
    <fill>
      <patternFill patternType="gray125"/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diagonal style="none">
        <color rgb="FF000000"/>
      </diagonal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diagonal style="none">
        <color rgb="FF000000"/>
      </diagonal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</borders>
  <cellStyleXfs count="2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3" fontId="1" fillId="0" borderId="0" xfId="0" applyNumberFormat="1" applyFont="1"/>
    <xf numFmtId="41" fontId="1" fillId="0" borderId="0" xfId="0" applyNumberFormat="1" applyFont="1"/>
    <xf numFmtId="44" fontId="1" fillId="0" borderId="0" xfId="0" applyNumberFormat="1" applyFont="1"/>
    <xf numFmtId="42" fontId="1" fillId="0" borderId="0" xfId="0" applyNumberFormat="1" applyFont="1"/>
    <xf numFmtId="9" fontId="1" fillId="0" borderId="0" xfId="0" applyNumberFormat="1" applyFont="1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Continuous"/>
    </xf>
    <xf numFmtId="0" fontId="0" fillId="0" borderId="0" xfId="0"/>
    <xf numFmtId="0" fontId="0" fillId="0" borderId="5" xfId="0" applyBorder="1"/>
    <xf numFmtId="0" fontId="0" fillId="0" borderId="3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1" fillId="0" borderId="0" xfId="0" applyFont="1"/>
    <xf numFmtId="0" fontId="0" fillId="0" borderId="12" xfId="0" applyBorder="1"/>
    <xf numFmtId="0" fontId="0" fillId="0" borderId="12" xfId="0" applyBorder="1"/>
    <xf numFmtId="0" fontId="0" fillId="0" borderId="9" xfId="0" applyBorder="1"/>
    <xf numFmtId="0" fontId="21" fillId="0" borderId="6" xfId="0" applyFont="1" applyBorder="1"/>
    <xf numFmtId="0" fontId="21" fillId="0" borderId="0" xfId="0" applyFont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5" xfId="0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style val="18"/>
  <c:chart>
    <c:title>
      <c:tx>
        <c:rich>
          <a:bodyPr/>
          <a:p>
            <a:r>
              <a:t>X Variable 1  Residual Plot</a:t>
            </a:r>
          </a:p>
        </c:rich>
      </c:tx>
      <c:layout/>
      <c:overlay val="0"/>
    </c:title>
    <c:autoTitleDeleted val="0"/>
    <c:plotArea>
      <c:layout/>
      <c:scatterChart>
        <c:ser>
          <c:idx val="0"/>
          <c:order val="0"/>
          <c:yVal>
            <c:numRef>
              <c:f>hanes!C25:C27</c:f>
              <c:numCach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xVal>
            <c:numRef>
              <c:f>Sheet1!B44</c:f>
              <c:numCache>
                <c:ptCount val="3"/>
              </c:numCache>
            </c:numRef>
          </c:xVal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crossAx val="1"/>
        <c:crosses val="autoZero"/>
        <c:crossBetween val="midCat"/>
      </c:valAx>
    </c:plotArea>
    <c:legend>
      <c:legendPos val="r"/>
      <c:overlay val="0"/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style val="18"/>
  <c:chart>
    <c:title>
      <c:tx>
        <c:rich>
          <a:bodyPr/>
          <a:p>
            <a:r>
              <a:t>X Variable 1 Line Fit  Plot</a:t>
            </a:r>
          </a:p>
        </c:rich>
      </c:tx>
      <c:layout/>
      <c:overlay val="0"/>
    </c:title>
    <c:autoTitleDeleted val="0"/>
    <c:plotArea>
      <c:layout/>
      <c:scatterChart>
        <c:ser>
          <c:idx val="0"/>
          <c:order val="0"/>
          <c:tx>
            <c:v>Y</c:v>
          </c:tx>
          <c:yVal>
            <c:numRef>
              <c:f>Sheet1!D44</c:f>
              <c:numCache>
                <c:ptCount val="1"/>
              </c:numCache>
            </c:numRef>
          </c:yVal>
          <c:xVal>
            <c:numRef>
              <c:f>Sheet1!B44</c:f>
              <c:numCache>
                <c:ptCount val="1"/>
              </c:numCache>
            </c:numRef>
          </c:xVal>
        </c:ser>
        <c:ser>
          <c:idx val="1"/>
          <c:order val="1"/>
          <c:tx>
            <c:v>Predicted Y</c:v>
          </c:tx>
          <c:yVal>
            <c:numRef>
              <c:f>hanes!B25:B27</c:f>
              <c:numCache>
                <c:ptCount val="3"/>
                <c:pt idx="0">
                  <c:v>51875.4321678932</c:v>
                </c:pt>
                <c:pt idx="1">
                  <c:v>103235.534965081</c:v>
                </c:pt>
                <c:pt idx="2">
                  <c:v>171715.672027998</c:v>
                </c:pt>
              </c:numCache>
            </c:numRef>
          </c:yVal>
          <c:xVal>
            <c:numRef>
              <c:f>Sheet1!B44</c:f>
              <c:numCache>
                <c:ptCount val="3"/>
              </c:numCache>
            </c:numRef>
          </c:xVal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crossAx val="1"/>
        <c:crosses val="autoZero"/>
        <c:crossBetween val="midCat"/>
      </c:valAx>
    </c:plotArea>
    <c:legend>
      <c:legendPos val="r"/>
      <c:overlay val="0"/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style val="18"/>
  <c:chart>
    <c:title>
      <c:tx>
        <c:rich>
          <a:bodyPr/>
          <a:p>
            <a:r>
              <a:t>Normal Probability Plot</a:t>
            </a:r>
          </a:p>
        </c:rich>
      </c:tx>
      <c:layout/>
      <c:overlay val="0"/>
    </c:title>
    <c:autoTitleDeleted val="0"/>
    <c:plotArea>
      <c:layout/>
      <c:scatterChart>
        <c:ser>
          <c:idx val="0"/>
          <c:order val="0"/>
          <c:yVal>
            <c:numRef>
              <c:f>hanes!G25:G27</c:f>
              <c:numCach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xVal>
            <c:numRef>
              <c:f>hanes!F25:F27</c:f>
              <c:numCach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crossAx val="1"/>
        <c:crosses val="autoZero"/>
        <c:crossBetween val="midCat"/>
      </c:valAx>
    </c:plotArea>
    <c:legend>
      <c:legendPos val="r"/>
      <c:overlay val="0"/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a="http://schemas.openxmlformats.org/drawingml/2006/main" xmlns:c="http://schemas.openxmlformats.org/drawingml/2006/chart"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15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="7429500" y="0"/>
        <a:ext cx="4953000" cy="1905000"/>
      </xdr:xfrm>
      <a:graphic>
        <a:graphicData uri="http://schemas.openxmlformats.org/drawingml/2006/chart">
          <c:chart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="8255000" y="381000"/>
        <a:ext cx="4953000" cy="1905000"/>
      </xdr:xfrm>
      <a:graphic>
        <a:graphicData uri="http://schemas.openxmlformats.org/drawingml/2006/chart">
          <c:chart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="9080500" y="762000"/>
        <a:ext cx="4953000" cy="1905000"/>
      </xdr:xfrm>
      <a:graphic>
        <a:graphicData uri="http://schemas.openxmlformats.org/drawingml/2006/chart">
          <c:chart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A1" workbookViewId="0">
      <selection pane="topLeft" activeCell="C17" sqref="C17"/>
    </sheetView>
  </sheetViews>
  <sheetFormatPr baseColWidth="8" defaultRowHeight="12"/>
  <sheetData>
    <row r="1">
      <c r="A1" s="0" t="s">
        <v>38</v>
      </c>
    </row>
    <row r="2"/>
    <row r="3">
      <c r="A3" s="9" t="s">
        <v>39</v>
      </c>
      <c r="B3" s="9"/>
    </row>
    <row r="4">
      <c r="A4" s="6" t="s">
        <v>40</v>
      </c>
      <c r="B4" s="6">
        <v>0.988370054622216</v>
      </c>
    </row>
    <row r="5">
      <c r="A5" s="6" t="s">
        <v>41</v>
      </c>
      <c r="B5" s="6">
        <v>0.976875364873922</v>
      </c>
    </row>
    <row r="6">
      <c r="A6" s="6" t="s">
        <v>42</v>
      </c>
      <c r="B6" s="6">
        <v>0.953750729747844</v>
      </c>
    </row>
    <row r="7">
      <c r="A7" s="6" t="s">
        <v>43</v>
      </c>
      <c r="B7" s="6">
        <v>13082.1079278751</v>
      </c>
    </row>
    <row r="8">
      <c r="A8" s="7" t="s">
        <v>44</v>
      </c>
      <c r="B8" s="7">
        <v>3</v>
      </c>
    </row>
    <row r="10">
      <c r="A10" s="0" t="s">
        <v>45</v>
      </c>
    </row>
    <row r="11">
      <c r="A11" s="8"/>
      <c r="B11" s="8" t="s">
        <v>50</v>
      </c>
      <c r="C11" s="8" t="s">
        <v>51</v>
      </c>
      <c r="D11" s="8" t="s">
        <v>52</v>
      </c>
      <c r="E11" s="8" t="s">
        <v>53</v>
      </c>
      <c r="F11" s="8" t="s">
        <v>54</v>
      </c>
    </row>
    <row r="12">
      <c r="A12" s="6" t="s">
        <v>46</v>
      </c>
      <c r="B12" s="6">
        <v>1</v>
      </c>
      <c r="C12" s="6">
        <v>7229690807.07369</v>
      </c>
      <c r="D12" s="6">
        <v>7229690807.07369</v>
      </c>
      <c r="E12" s="6">
        <v>42.2439255602476</v>
      </c>
      <c r="F12" s="6">
        <v>0.097186459325012</v>
      </c>
    </row>
    <row r="13">
      <c r="A13" s="6" t="s">
        <v>47</v>
      </c>
      <c r="B13" s="6">
        <v>1</v>
      </c>
      <c r="C13" s="6">
        <v>171141547.836572</v>
      </c>
      <c r="D13" s="6">
        <v>171141547.836572</v>
      </c>
      <c r="E13" s="6"/>
      <c r="F13" s="6"/>
    </row>
    <row r="14">
      <c r="A14" s="7" t="s">
        <v>48</v>
      </c>
      <c r="B14" s="7">
        <v>2</v>
      </c>
      <c r="C14" s="7">
        <v>7400832354.91026</v>
      </c>
      <c r="D14" s="7"/>
      <c r="E14" s="7"/>
      <c r="F14" s="7"/>
    </row>
    <row r="15"/>
    <row r="16">
      <c r="A16" s="8"/>
      <c r="B16" s="8" t="s">
        <v>55</v>
      </c>
      <c r="C16" s="8" t="s">
        <v>43</v>
      </c>
      <c r="D16" s="8" t="s">
        <v>56</v>
      </c>
      <c r="E16" s="8" t="s">
        <v>57</v>
      </c>
      <c r="F16" s="8" t="s">
        <v>58</v>
      </c>
      <c r="G16" s="8" t="s">
        <v>59</v>
      </c>
      <c r="H16" s="8" t="s">
        <v>60</v>
      </c>
      <c r="I16" s="8" t="s">
        <v>61</v>
      </c>
    </row>
    <row r="17">
      <c r="A17" s="6" t="s">
        <v>49</v>
      </c>
      <c r="B17" s="6">
        <v>17635.3636364347</v>
      </c>
      <c r="C17" s="6">
        <v>15949.9090321997</v>
      </c>
      <c r="D17" s="6">
        <v>1.10567173774047</v>
      </c>
      <c r="E17" s="6">
        <v>0.468078439180696</v>
      </c>
      <c r="F17" s="6">
        <v>-185026.577810794</v>
      </c>
      <c r="G17" s="6">
        <v>220297.305083664</v>
      </c>
      <c r="H17" s="6">
        <v>-185026.577810794</v>
      </c>
      <c r="I17" s="6">
        <v>220297.305083664</v>
      </c>
    </row>
    <row r="18">
      <c r="A18" s="7" t="s">
        <v>62</v>
      </c>
      <c r="B18" s="7">
        <v>8854.54663231771</v>
      </c>
      <c r="C18" s="7">
        <v>1362.33588100391</v>
      </c>
      <c r="D18" s="7">
        <v>6.49953271860737</v>
      </c>
      <c r="E18" s="7">
        <v>0.097186459325012</v>
      </c>
      <c r="F18" s="7">
        <v>-8455.49783189185</v>
      </c>
      <c r="G18" s="7">
        <v>26164.5910965273</v>
      </c>
      <c r="H18" s="7">
        <v>-8455.49783189185</v>
      </c>
      <c r="I18" s="7">
        <v>26164.5910965273</v>
      </c>
    </row>
    <row r="22">
      <c r="A22" s="0" t="s">
        <v>63</v>
      </c>
      <c r="F22" s="0" t="s">
        <v>68</v>
      </c>
    </row>
    <row r="23"/>
    <row r="24">
      <c r="A24" s="8" t="s">
        <v>64</v>
      </c>
      <c r="B24" s="8" t="s">
        <v>65</v>
      </c>
      <c r="C24" s="8" t="s">
        <v>66</v>
      </c>
      <c r="D24" s="8" t="s">
        <v>67</v>
      </c>
      <c r="F24" s="8" t="s">
        <v>69</v>
      </c>
      <c r="G24" s="8" t="s">
        <v>70</v>
      </c>
    </row>
    <row r="25">
      <c r="A25" s="6">
        <v>1</v>
      </c>
      <c r="B25" s="6">
        <v>51875.4321678932</v>
      </c>
      <c r="C25" s="6">
        <v>-6083.05662562903</v>
      </c>
      <c r="D25" s="6">
        <v>-0.657595949221422</v>
      </c>
      <c r="F25" s="6">
        <v>16.6666666666667</v>
      </c>
      <c r="G25" s="6">
        <v>45792.3755422642</v>
      </c>
    </row>
    <row r="26">
      <c r="A26" s="6">
        <v>2</v>
      </c>
      <c r="B26" s="6">
        <v>103235.534965081</v>
      </c>
      <c r="C26" s="6">
        <v>10645.349094851</v>
      </c>
      <c r="D26" s="6">
        <v>1.1507929111375</v>
      </c>
      <c r="F26" s="6">
        <v>50</v>
      </c>
      <c r="G26" s="6">
        <v>113880.884059932</v>
      </c>
    </row>
    <row r="27">
      <c r="A27" s="7">
        <v>3</v>
      </c>
      <c r="B27" s="7">
        <v>171715.672027998</v>
      </c>
      <c r="C27" s="7">
        <v>-4562.29246922184</v>
      </c>
      <c r="D27" s="7">
        <v>-0.493196961916073</v>
      </c>
      <c r="F27" s="7">
        <v>83.3333333333333</v>
      </c>
      <c r="G27" s="7">
        <v>167153.379558776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B1" workbookViewId="0">
      <selection pane="topLeft" activeCell="H41" sqref="H41"/>
    </sheetView>
  </sheetViews>
  <sheetFormatPr baseColWidth="8" defaultRowHeight="12"/>
  <cols>
    <col min="1" max="1" width="17.5703125" customWidth="1"/>
    <col min="2" max="2" width="16" customWidth="1"/>
    <col min="3" max="3" width="14.28515625" customWidth="1"/>
    <col min="7" max="7" width="12.42578125" bestFit="1" customWidth="1"/>
    <col min="8" max="8" width="13.42578125" customWidth="1"/>
    <col min="9" max="9" width="12.140625" customWidth="1"/>
    <col min="10" max="10" width="17.140625" customWidth="1"/>
    <col min="12" max="12" width="10.85546875" customWidth="1"/>
  </cols>
  <sheetData>
    <row r="1">
      <c r="A1" s="0">
        <v>83</v>
      </c>
      <c r="B1" s="0" t="s">
        <v>82</v>
      </c>
      <c r="C1" s="0" t="s">
        <v>106</v>
      </c>
    </row>
    <row r="2">
      <c r="C2" s="0">
        <v>300</v>
      </c>
      <c r="D2" s="0" t="s">
        <v>9</v>
      </c>
      <c r="H2" s="0" t="s">
        <v>10</v>
      </c>
      <c r="I2" s="0">
        <v>7.53</v>
      </c>
    </row>
    <row r="3">
      <c r="E3" s="10"/>
      <c r="J3" s="14" t="s">
        <v>12</v>
      </c>
      <c r="K3" s="15"/>
      <c r="L3" s="16" t="s">
        <v>91</v>
      </c>
      <c r="N3" s="14" t="s">
        <v>86</v>
      </c>
      <c r="O3" s="16" t="s">
        <v>107</v>
      </c>
    </row>
    <row r="4">
      <c r="A4" s="24" t="s">
        <v>103</v>
      </c>
      <c r="B4" s="15"/>
      <c r="C4" s="15" t="s">
        <v>0</v>
      </c>
      <c r="D4" s="16" t="s">
        <v>97</v>
      </c>
      <c r="E4" s="10"/>
      <c r="F4" s="14"/>
      <c r="G4" s="15" t="s">
        <v>4</v>
      </c>
      <c r="H4" s="16"/>
      <c r="J4" s="17" t="s">
        <v>81</v>
      </c>
      <c r="K4" s="10">
        <v>1110</v>
      </c>
      <c r="L4" s="18"/>
      <c r="N4" s="17" t="s">
        <v>6</v>
      </c>
      <c r="O4" s="18">
        <v>0.1</v>
      </c>
    </row>
    <row r="5">
      <c r="A5" s="17" t="s">
        <v>104</v>
      </c>
      <c r="B5" s="10">
        <v>1.411</v>
      </c>
      <c r="C5" s="10">
        <v>138.17</v>
      </c>
      <c r="D5" s="18">
        <v>1.1125</v>
      </c>
      <c r="E5" s="10"/>
      <c r="F5" s="17"/>
      <c r="G5" s="10" t="s">
        <v>7</v>
      </c>
      <c r="H5" s="18"/>
      <c r="J5" s="17" t="s">
        <v>6</v>
      </c>
      <c r="K5" s="10">
        <f>(K4*0.3)/34</f>
        <v>9.79411764705882</v>
      </c>
      <c r="L5" s="18"/>
      <c r="N5" s="23" t="s">
        <v>11</v>
      </c>
      <c r="O5" s="18">
        <v>11.84</v>
      </c>
    </row>
    <row r="6">
      <c r="A6" s="17" t="s">
        <v>102</v>
      </c>
      <c r="B6" s="10">
        <v>0.05</v>
      </c>
      <c r="C6" s="10"/>
      <c r="D6" s="18" t="s">
        <v>98</v>
      </c>
      <c r="E6" s="10"/>
      <c r="F6" s="17"/>
      <c r="G6" s="10"/>
      <c r="H6" s="18"/>
      <c r="J6" s="17" t="s">
        <v>80</v>
      </c>
      <c r="K6" s="10">
        <v>0.002</v>
      </c>
      <c r="L6" s="18">
        <v>0.004</v>
      </c>
      <c r="N6" s="21" t="s">
        <v>79</v>
      </c>
      <c r="O6" s="19">
        <v>25</v>
      </c>
    </row>
    <row r="7">
      <c r="A7" s="22" t="s">
        <v>87</v>
      </c>
      <c r="B7" s="12">
        <f>(B5/C5)/(B6)</f>
        <v>0.204241152203807</v>
      </c>
      <c r="C7" s="12"/>
      <c r="D7" s="19">
        <f>B5/D5</f>
        <v>1.26831460674157</v>
      </c>
      <c r="E7" s="10"/>
      <c r="F7" s="17" t="s">
        <v>0</v>
      </c>
      <c r="G7" s="10">
        <v>1054.29</v>
      </c>
      <c r="H7" s="18"/>
      <c r="J7" s="17"/>
      <c r="K7" s="10"/>
      <c r="L7" s="18"/>
    </row>
    <row r="8">
      <c r="E8" s="10"/>
      <c r="F8" s="17" t="s">
        <v>1</v>
      </c>
      <c r="G8" s="10">
        <v>0.0236</v>
      </c>
      <c r="H8" s="18"/>
      <c r="J8" s="17"/>
      <c r="K8" s="10" t="s">
        <v>13</v>
      </c>
      <c r="L8" s="18"/>
    </row>
    <row r="9">
      <c r="A9" s="24" t="s">
        <v>105</v>
      </c>
      <c r="B9" s="15"/>
      <c r="C9" s="15"/>
      <c r="D9" s="16"/>
      <c r="E9" s="10"/>
      <c r="F9" s="17" t="s">
        <v>2</v>
      </c>
      <c r="G9" s="10">
        <v>0.004</v>
      </c>
      <c r="H9" s="18"/>
      <c r="J9" s="22" t="s">
        <v>6</v>
      </c>
      <c r="K9" s="12">
        <f>(K5*K6)/L6</f>
        <v>4.89705882352941</v>
      </c>
      <c r="L9" s="19"/>
    </row>
    <row r="10">
      <c r="A10" s="17" t="s">
        <v>88</v>
      </c>
      <c r="B10" s="10" t="s">
        <v>89</v>
      </c>
      <c r="C10" s="10" t="s">
        <v>90</v>
      </c>
      <c r="D10" s="18" t="s">
        <v>87</v>
      </c>
      <c r="E10" s="10"/>
      <c r="F10" s="17" t="s">
        <v>8</v>
      </c>
      <c r="G10" s="10">
        <f>G8/G7</f>
        <v>2.23847328533895e-05</v>
      </c>
      <c r="H10" s="18"/>
      <c r="J10" s="10"/>
      <c r="K10" s="10"/>
      <c r="L10" s="10"/>
    </row>
    <row r="11">
      <c r="A11" s="17">
        <v>1</v>
      </c>
      <c r="B11" s="10">
        <v>0.002</v>
      </c>
      <c r="C11" s="10">
        <v>0.002</v>
      </c>
      <c r="D11" s="18">
        <f>(B11*$B$7)/C11</f>
        <v>0.204241152203807</v>
      </c>
      <c r="E11" s="10"/>
      <c r="F11" s="17" t="s">
        <v>6</v>
      </c>
      <c r="G11" s="10">
        <f>G10/G9</f>
        <v>0.00559618321334737</v>
      </c>
      <c r="H11" s="18"/>
      <c r="J11" s="10"/>
      <c r="K11" s="10"/>
      <c r="L11" s="10"/>
    </row>
    <row r="12">
      <c r="A12" s="17">
        <v>2</v>
      </c>
      <c r="B12" s="10">
        <v>0.002</v>
      </c>
      <c r="C12" s="10">
        <v>0.003</v>
      </c>
      <c r="D12" s="18">
        <f>(B12*$B$7)/C12</f>
        <v>0.136160768135871</v>
      </c>
      <c r="E12" s="10"/>
      <c r="F12" s="17" t="s">
        <v>5</v>
      </c>
      <c r="G12" s="10">
        <f>G11*1000</f>
        <v>5.59618321334737</v>
      </c>
      <c r="H12" s="18"/>
      <c r="J12" s="10"/>
      <c r="K12" s="10"/>
      <c r="L12" s="10"/>
    </row>
    <row r="13">
      <c r="A13" s="17">
        <v>3</v>
      </c>
      <c r="B13" s="10">
        <v>0.001</v>
      </c>
      <c r="C13" s="10">
        <v>0.0025</v>
      </c>
      <c r="D13" s="18">
        <f>(B13*$B$7)/C13</f>
        <v>0.0816964608815228</v>
      </c>
      <c r="E13" s="10"/>
      <c r="F13" s="22" t="s">
        <v>3</v>
      </c>
      <c r="G13" s="12">
        <f>E25*G12/H25</f>
        <v>0.167885496400421</v>
      </c>
      <c r="H13" s="19" t="s">
        <v>5</v>
      </c>
      <c r="J13" s="10"/>
      <c r="K13" s="10"/>
      <c r="L13" s="10"/>
    </row>
    <row r="14">
      <c r="A14" s="17">
        <v>4</v>
      </c>
      <c r="B14" s="10">
        <v>0.001</v>
      </c>
      <c r="C14" s="10">
        <v>0.0035</v>
      </c>
      <c r="D14" s="18">
        <f>(B14*$B$7)/C14</f>
        <v>0.0583546149153734</v>
      </c>
      <c r="E14" s="10"/>
    </row>
    <row r="15">
      <c r="A15" s="23">
        <v>5</v>
      </c>
      <c r="B15" s="10">
        <v>0.001</v>
      </c>
      <c r="C15" s="10">
        <v>0.005</v>
      </c>
      <c r="D15" s="18">
        <f>(B15*$B$7)/C15</f>
        <v>0.0408482304407614</v>
      </c>
    </row>
    <row r="16">
      <c r="A16" s="23">
        <v>6</v>
      </c>
      <c r="B16" s="10">
        <v>0.001</v>
      </c>
      <c r="C16" s="10">
        <v>0.01</v>
      </c>
      <c r="D16" s="18">
        <f>(B16*$B$7)/C16</f>
        <v>0.0204241152203807</v>
      </c>
    </row>
    <row r="17">
      <c r="A17" s="21">
        <v>7</v>
      </c>
      <c r="B17" s="12">
        <v>0.0005</v>
      </c>
      <c r="C17" s="12">
        <v>0.01</v>
      </c>
      <c r="D17" s="19">
        <f>(B17*$B$7)/C17</f>
        <v>0.0102120576101903</v>
      </c>
    </row>
    <row r="18">
      <c r="H18" s="0">
        <f>9*E39</f>
        <v>1.89</v>
      </c>
    </row>
    <row r="23">
      <c r="I23" s="0" t="s">
        <v>77</v>
      </c>
      <c r="J23" s="0" t="s">
        <v>77</v>
      </c>
      <c r="K23" s="0" t="s">
        <v>13</v>
      </c>
      <c r="L23" s="0" t="s">
        <v>13</v>
      </c>
      <c r="M23" s="0" t="s">
        <v>78</v>
      </c>
      <c r="N23" s="0" t="s">
        <v>84</v>
      </c>
    </row>
    <row r="24">
      <c r="B24" s="11" t="s">
        <v>3</v>
      </c>
      <c r="C24" s="12" t="s">
        <v>71</v>
      </c>
      <c r="D24" s="12" t="s">
        <v>72</v>
      </c>
      <c r="E24" s="12" t="s">
        <v>73</v>
      </c>
      <c r="F24" s="12" t="s">
        <v>74</v>
      </c>
      <c r="G24" s="12" t="s">
        <v>75</v>
      </c>
      <c r="H24" s="12" t="s">
        <v>76</v>
      </c>
      <c r="I24" s="13" t="s">
        <v>6</v>
      </c>
      <c r="J24" s="13" t="s">
        <v>5</v>
      </c>
      <c r="K24" s="13" t="s">
        <v>6</v>
      </c>
      <c r="L24" s="13" t="s">
        <v>5</v>
      </c>
      <c r="M24" s="12" t="s">
        <v>5</v>
      </c>
      <c r="N24" s="13" t="s">
        <v>85</v>
      </c>
    </row>
    <row r="25">
      <c r="B25" s="26">
        <v>1</v>
      </c>
      <c r="C25" s="0">
        <v>0.85</v>
      </c>
      <c r="D25" s="0">
        <v>0</v>
      </c>
      <c r="E25" s="0">
        <v>0.03</v>
      </c>
      <c r="F25" s="0">
        <v>0.07</v>
      </c>
      <c r="G25" s="0">
        <v>0.05</v>
      </c>
      <c r="H25" s="0">
        <f>SUM(C25:G25)</f>
        <v>1</v>
      </c>
      <c r="I25" s="0">
        <f>F25*$D$11/H25</f>
        <v>0.0142968806542665</v>
      </c>
      <c r="J25" s="0">
        <f>I25*1000</f>
        <v>14.2968806542665</v>
      </c>
      <c r="K25" s="10">
        <f>(G25*$K$9)/H25</f>
        <v>0.244852941176471</v>
      </c>
      <c r="L25" s="10">
        <f>K25*1000</f>
        <v>244.852941176471</v>
      </c>
      <c r="M25" s="0">
        <f>E25*$G$12/H25</f>
        <v>0.167885496400421</v>
      </c>
      <c r="N25" s="0">
        <f>(C25*$O$4*1000)/H25</f>
        <v>85</v>
      </c>
    </row>
    <row r="26">
      <c r="B26" s="2">
        <v>2</v>
      </c>
      <c r="C26" s="0">
        <v>0.85</v>
      </c>
      <c r="D26" s="0">
        <v>0.01</v>
      </c>
      <c r="E26" s="0">
        <v>0.03</v>
      </c>
      <c r="F26" s="0">
        <v>0.06</v>
      </c>
      <c r="G26" s="0">
        <v>0.05</v>
      </c>
      <c r="H26" s="0">
        <f>SUM(C26:G26)</f>
        <v>1</v>
      </c>
      <c r="I26" s="0">
        <f>F26*$D$12/H26</f>
        <v>0.00816964608815228</v>
      </c>
      <c r="J26" s="0">
        <f>I26*1000</f>
        <v>8.16964608815228</v>
      </c>
      <c r="K26" s="10">
        <f>(G26*$K$9)/H26</f>
        <v>0.244852941176471</v>
      </c>
      <c r="L26" s="10">
        <f>K26*1000</f>
        <v>244.852941176471</v>
      </c>
      <c r="M26" s="0">
        <f>E26*$G$12/H26</f>
        <v>0.167885496400421</v>
      </c>
      <c r="N26" s="0">
        <f>(C26*$O$4*1000)/H26</f>
        <v>85</v>
      </c>
    </row>
    <row r="27">
      <c r="B27" s="2">
        <v>3</v>
      </c>
      <c r="C27" s="0">
        <v>0.85</v>
      </c>
      <c r="D27" s="0">
        <v>0.02</v>
      </c>
      <c r="E27" s="0">
        <v>0.03</v>
      </c>
      <c r="F27" s="0">
        <v>0.05</v>
      </c>
      <c r="G27" s="0">
        <v>0.05</v>
      </c>
      <c r="H27" s="0">
        <f>SUM(C27:G27)</f>
        <v>1</v>
      </c>
      <c r="I27" s="0">
        <f>F27*$D$13/H27</f>
        <v>0.00408482304407614</v>
      </c>
      <c r="J27" s="0">
        <f>I27*1000</f>
        <v>4.08482304407614</v>
      </c>
      <c r="K27" s="10">
        <f>(G27*$K$9)/H27</f>
        <v>0.244852941176471</v>
      </c>
      <c r="L27" s="10">
        <f>K27*1000</f>
        <v>244.852941176471</v>
      </c>
      <c r="M27" s="0">
        <f>E27*$G$12/H27</f>
        <v>0.167885496400421</v>
      </c>
      <c r="N27" s="0">
        <f>(C27*$O$4*1000)/H27</f>
        <v>85</v>
      </c>
    </row>
    <row r="28">
      <c r="B28" s="2">
        <v>4</v>
      </c>
      <c r="C28" s="10">
        <v>0.85</v>
      </c>
      <c r="D28" s="10">
        <v>0.02</v>
      </c>
      <c r="E28" s="10">
        <v>0.03</v>
      </c>
      <c r="F28" s="10">
        <v>0.05</v>
      </c>
      <c r="G28" s="10">
        <v>0.05</v>
      </c>
      <c r="H28" s="10">
        <f>SUM(C28:G28)</f>
        <v>1</v>
      </c>
      <c r="I28" s="10">
        <f>F28*$D$14/H28</f>
        <v>0.00291773074576867</v>
      </c>
      <c r="J28" s="10">
        <f>I28*1000</f>
        <v>2.91773074576867</v>
      </c>
      <c r="K28" s="10">
        <f>(G28*$K$9)/H28</f>
        <v>0.244852941176471</v>
      </c>
      <c r="L28" s="10">
        <f>K28*1000</f>
        <v>244.852941176471</v>
      </c>
      <c r="M28" s="10">
        <f>E28*$G$12/H28</f>
        <v>0.167885496400421</v>
      </c>
      <c r="N28" s="10">
        <f>(C28*$O$4*1000)/H28</f>
        <v>85</v>
      </c>
    </row>
    <row r="29">
      <c r="B29" s="27">
        <v>5</v>
      </c>
      <c r="C29" s="3">
        <v>0.85</v>
      </c>
      <c r="D29" s="0">
        <v>0.02</v>
      </c>
      <c r="E29" s="0">
        <v>0.03</v>
      </c>
      <c r="F29" s="0">
        <v>0.05</v>
      </c>
      <c r="G29" s="0">
        <v>0.05</v>
      </c>
      <c r="H29" s="0">
        <f>SUM(C29:G29)</f>
        <v>1</v>
      </c>
      <c r="I29" s="0">
        <f>F29*$D$15/H29</f>
        <v>0.00204241152203807</v>
      </c>
      <c r="J29" s="0">
        <f>I29*1000</f>
        <v>2.04241152203807</v>
      </c>
      <c r="K29" s="10">
        <f>(G29*$K$9)/H29</f>
        <v>0.244852941176471</v>
      </c>
      <c r="L29" s="10">
        <f>K29*1000</f>
        <v>244.852941176471</v>
      </c>
      <c r="M29" s="0">
        <f>E29*$G$12/H29</f>
        <v>0.167885496400421</v>
      </c>
      <c r="N29" s="0">
        <f>(C29*$O$4*1000)/H29</f>
        <v>85</v>
      </c>
    </row>
    <row r="30">
      <c r="B30" s="27">
        <v>6</v>
      </c>
      <c r="C30" s="3">
        <v>0.85</v>
      </c>
      <c r="D30" s="0">
        <v>0.02</v>
      </c>
      <c r="E30" s="0">
        <v>0.03</v>
      </c>
      <c r="F30" s="0">
        <v>0.05</v>
      </c>
      <c r="G30" s="0">
        <v>0.05</v>
      </c>
      <c r="H30" s="0">
        <f>SUM(C30:G30)</f>
        <v>1</v>
      </c>
      <c r="I30" s="0">
        <f>F30*$D$16/H30</f>
        <v>0.00102120576101903</v>
      </c>
      <c r="J30" s="0">
        <f>I30*1000</f>
        <v>1.02120576101903</v>
      </c>
      <c r="K30" s="10">
        <f>(G30*$K$9)/H30</f>
        <v>0.244852941176471</v>
      </c>
      <c r="L30" s="10">
        <f>K30*1000</f>
        <v>244.852941176471</v>
      </c>
      <c r="M30" s="0">
        <f>E30*$G$12/H30</f>
        <v>0.167885496400421</v>
      </c>
      <c r="N30" s="0">
        <f>(C30*$O$4*1000)/H30</f>
        <v>85</v>
      </c>
    </row>
    <row r="31">
      <c r="B31" s="28">
        <v>7</v>
      </c>
      <c r="C31" s="1">
        <v>0.85</v>
      </c>
      <c r="D31" s="1">
        <v>0.02</v>
      </c>
      <c r="E31" s="1">
        <v>0.03</v>
      </c>
      <c r="F31" s="1">
        <v>0.05</v>
      </c>
      <c r="G31" s="1">
        <v>0.05</v>
      </c>
      <c r="H31" s="1">
        <f>SUM(C31:G31)</f>
        <v>1</v>
      </c>
      <c r="I31" s="1">
        <f>F31*$D$17/H31</f>
        <v>0.000510602880509517</v>
      </c>
      <c r="J31" s="1">
        <f>I31*1000</f>
        <v>0.510602880509517</v>
      </c>
      <c r="K31" s="1">
        <f>(G31*$K$9)/H31</f>
        <v>0.244852941176471</v>
      </c>
      <c r="L31" s="1">
        <f>K31*1000</f>
        <v>244.852941176471</v>
      </c>
      <c r="M31" s="1">
        <f>E31*$G$12/H31</f>
        <v>0.167885496400421</v>
      </c>
      <c r="N31" s="1">
        <f>(C31*$O$4*1000)/H31</f>
        <v>85</v>
      </c>
    </row>
    <row r="32">
      <c r="B32" s="29" t="s">
        <v>92</v>
      </c>
      <c r="C32" s="0">
        <v>1.7</v>
      </c>
      <c r="D32" s="3">
        <v>0.06</v>
      </c>
      <c r="E32" s="3">
        <v>0</v>
      </c>
      <c r="F32" s="0">
        <v>0.14</v>
      </c>
      <c r="G32" s="3">
        <v>0.1</v>
      </c>
      <c r="H32" s="0">
        <f>SUM(C32:G32)</f>
        <v>2</v>
      </c>
      <c r="I32" s="0">
        <f>F32*$D$11/H32</f>
        <v>0.0142968806542665</v>
      </c>
      <c r="J32" s="0">
        <f>I32*1000</f>
        <v>14.2968806542665</v>
      </c>
      <c r="K32" s="10">
        <f>(G32*$K$9)/H32</f>
        <v>0.244852941176471</v>
      </c>
      <c r="L32" s="10">
        <f>K32*1000</f>
        <v>244.852941176471</v>
      </c>
      <c r="M32" s="0">
        <f>E32*$G$12/H32</f>
        <v>0</v>
      </c>
      <c r="N32" s="0">
        <f>(C32*$O$4*1000)/H32</f>
        <v>85</v>
      </c>
    </row>
    <row r="33">
      <c r="B33" s="2" t="s">
        <v>93</v>
      </c>
      <c r="C33" s="0">
        <v>1.7</v>
      </c>
      <c r="D33" s="3">
        <v>0.08</v>
      </c>
      <c r="E33" s="3">
        <v>0</v>
      </c>
      <c r="F33" s="0">
        <v>0.12</v>
      </c>
      <c r="G33" s="3">
        <v>0.1</v>
      </c>
      <c r="H33" s="0">
        <f>SUM(C33:G33)</f>
        <v>2</v>
      </c>
      <c r="I33" s="0">
        <f>F33*$D$12/H33</f>
        <v>0.00816964608815228</v>
      </c>
      <c r="J33" s="0">
        <f>I33*1000</f>
        <v>8.16964608815228</v>
      </c>
      <c r="K33" s="10">
        <f>(G33*$K$9)/H33</f>
        <v>0.244852941176471</v>
      </c>
      <c r="L33" s="10">
        <f>K33*1000</f>
        <v>244.852941176471</v>
      </c>
      <c r="M33" s="0">
        <f>E33*$G$12/H33</f>
        <v>0</v>
      </c>
      <c r="N33" s="0">
        <f>(C33*$O$4*1000)/H33</f>
        <v>85</v>
      </c>
    </row>
    <row r="34">
      <c r="B34" s="2" t="s">
        <v>94</v>
      </c>
      <c r="C34" s="0">
        <v>1.7</v>
      </c>
      <c r="D34" s="3">
        <v>0.1</v>
      </c>
      <c r="E34" s="3">
        <v>0</v>
      </c>
      <c r="F34" s="0">
        <v>0.1</v>
      </c>
      <c r="G34" s="3">
        <v>0.1</v>
      </c>
      <c r="H34" s="0">
        <f>SUM(C34:G34)</f>
        <v>2</v>
      </c>
      <c r="I34" s="0">
        <f>F34*$D$13/H34</f>
        <v>0.00408482304407614</v>
      </c>
      <c r="J34" s="0">
        <f>I34*1000</f>
        <v>4.08482304407614</v>
      </c>
      <c r="K34" s="10">
        <f>(G34*$K$9)/H34</f>
        <v>0.244852941176471</v>
      </c>
      <c r="L34" s="10">
        <f>K34*1000</f>
        <v>244.852941176471</v>
      </c>
      <c r="M34" s="0">
        <f>E34*$G$12/H34</f>
        <v>0</v>
      </c>
      <c r="N34" s="0">
        <f>(C34*$O$4*1000)/H34</f>
        <v>85</v>
      </c>
    </row>
    <row r="35">
      <c r="B35" s="2" t="s">
        <v>95</v>
      </c>
      <c r="C35" s="0">
        <v>1.7</v>
      </c>
      <c r="D35" s="3">
        <v>0.1</v>
      </c>
      <c r="E35" s="3">
        <v>0</v>
      </c>
      <c r="F35" s="0">
        <v>0.1</v>
      </c>
      <c r="G35" s="3">
        <v>0.1</v>
      </c>
      <c r="H35" s="0">
        <f>SUM(C35:G35)</f>
        <v>2</v>
      </c>
      <c r="I35" s="0">
        <f>F35*$D$14/H35</f>
        <v>0.00291773074576867</v>
      </c>
      <c r="J35" s="0">
        <f>I35*1000</f>
        <v>2.91773074576867</v>
      </c>
      <c r="K35" s="10">
        <f>(G35*$K$9)/H35</f>
        <v>0.244852941176471</v>
      </c>
      <c r="L35" s="10">
        <f>K35*1000</f>
        <v>244.852941176471</v>
      </c>
      <c r="M35" s="0">
        <f>E35*$G$12/H35</f>
        <v>0</v>
      </c>
      <c r="N35" s="0">
        <f>(C35*$O$4*1000)/H35</f>
        <v>85</v>
      </c>
    </row>
    <row r="36">
      <c r="B36" s="27" t="s">
        <v>99</v>
      </c>
      <c r="C36" s="0">
        <v>1.7</v>
      </c>
      <c r="D36" s="3">
        <v>0.1</v>
      </c>
      <c r="E36" s="3">
        <v>0</v>
      </c>
      <c r="F36" s="0">
        <v>0.1</v>
      </c>
      <c r="G36" s="3">
        <v>0.1</v>
      </c>
      <c r="H36" s="0">
        <f>SUM(C36:G36)</f>
        <v>2</v>
      </c>
      <c r="I36" s="0">
        <f>F36*$D$15/H36</f>
        <v>0.00204241152203807</v>
      </c>
      <c r="J36" s="0">
        <f>I36*1000</f>
        <v>2.04241152203807</v>
      </c>
      <c r="K36" s="10">
        <f>(G36*$K$9)/H36</f>
        <v>0.244852941176471</v>
      </c>
      <c r="L36" s="10">
        <f>K36*1000</f>
        <v>244.852941176471</v>
      </c>
      <c r="M36" s="0">
        <f>E36*$G$12/H36</f>
        <v>0</v>
      </c>
      <c r="N36" s="0">
        <f>(C36*$O$4*1000)/H36</f>
        <v>85</v>
      </c>
    </row>
    <row r="37">
      <c r="B37" s="27" t="s">
        <v>100</v>
      </c>
      <c r="C37" s="0">
        <v>1.7</v>
      </c>
      <c r="D37" s="3">
        <v>0.1</v>
      </c>
      <c r="E37" s="3">
        <v>0</v>
      </c>
      <c r="F37" s="0">
        <v>0.1</v>
      </c>
      <c r="G37" s="3">
        <v>0.1</v>
      </c>
      <c r="H37" s="0">
        <f>SUM(C37:G37)</f>
        <v>2</v>
      </c>
      <c r="I37" s="0">
        <f>F37*$D$16/H37</f>
        <v>0.00102120576101903</v>
      </c>
      <c r="J37" s="0">
        <f>I37*1000</f>
        <v>1.02120576101903</v>
      </c>
      <c r="K37" s="10">
        <f>(G37*$K$9)/H37</f>
        <v>0.244852941176471</v>
      </c>
      <c r="L37" s="10">
        <f>K37*1000</f>
        <v>244.852941176471</v>
      </c>
      <c r="M37" s="0">
        <f>E37*$G$12/H37</f>
        <v>0</v>
      </c>
      <c r="N37" s="0">
        <f>(C37*$O$4*1000)/H37</f>
        <v>85</v>
      </c>
    </row>
    <row r="38">
      <c r="B38" s="30" t="s">
        <v>101</v>
      </c>
      <c r="C38" s="12">
        <v>1.7</v>
      </c>
      <c r="D38" s="13">
        <v>0.1</v>
      </c>
      <c r="E38" s="13">
        <v>0</v>
      </c>
      <c r="F38" s="12">
        <v>0.1</v>
      </c>
      <c r="G38" s="13">
        <v>0.1</v>
      </c>
      <c r="H38" s="12">
        <f>SUM(C38:G38)</f>
        <v>2</v>
      </c>
      <c r="I38" s="12">
        <f>F38*$D$17/H38</f>
        <v>0.000510602880509517</v>
      </c>
      <c r="J38" s="12">
        <f>I38*1000</f>
        <v>0.510602880509517</v>
      </c>
      <c r="K38" s="12">
        <f>(G38*$K$9)/H38</f>
        <v>0.244852941176471</v>
      </c>
      <c r="L38" s="12">
        <f>K38*1000</f>
        <v>244.852941176471</v>
      </c>
      <c r="M38" s="12">
        <f>E38*$G$12/H38</f>
        <v>0</v>
      </c>
      <c r="N38" s="12">
        <f>(C38*$O$4*1000)/H38</f>
        <v>85</v>
      </c>
    </row>
    <row r="39">
      <c r="C39" s="10">
        <f>SUM(C25:C38)</f>
        <v>17.85</v>
      </c>
      <c r="D39" s="10">
        <f>SUM(D25:D38)</f>
        <v>0.75</v>
      </c>
      <c r="E39" s="10">
        <f>SUM(E25:E38)</f>
        <v>0.21</v>
      </c>
      <c r="F39" s="10">
        <f>SUM(F25:F38)</f>
        <v>1.14</v>
      </c>
      <c r="G39" s="3">
        <f>SUM(G25:G38)</f>
        <v>1.05</v>
      </c>
    </row>
    <row r="40">
      <c r="C40" s="10"/>
      <c r="D40" s="10"/>
      <c r="E40" s="10"/>
      <c r="F40" s="10"/>
    </row>
    <row r="41">
      <c r="C41" s="10"/>
      <c r="D41" s="10"/>
      <c r="E41" s="10"/>
      <c r="F41" s="10"/>
      <c r="K41" s="14" t="s">
        <v>15</v>
      </c>
      <c r="L41" s="15" t="s">
        <f>I49</f>
      </c>
      <c r="M41" s="16" t="s">
        <v>96</v>
      </c>
    </row>
    <row r="42">
      <c r="J42" s="4"/>
      <c r="K42" s="17" t="s">
        <v>15</v>
      </c>
      <c r="L42" s="10">
        <f>(L41/I2)/31</f>
        <v>0</v>
      </c>
      <c r="M42" s="18" t="s">
        <v>83</v>
      </c>
    </row>
    <row r="43">
      <c r="G43" s="0">
        <f>1.7/2</f>
        <v>0.85</v>
      </c>
      <c r="K43" s="17" t="s">
        <v>14</v>
      </c>
      <c r="L43" s="10" t="s">
        <f>I50</f>
      </c>
      <c r="M43" s="18" t="s">
        <v>16</v>
      </c>
    </row>
    <row r="44">
      <c r="K44" s="22"/>
      <c r="L44" s="12"/>
      <c r="M44" s="19"/>
    </row>
    <row r="45">
      <c r="B45" s="10"/>
      <c r="C45" s="10"/>
      <c r="D45" s="10"/>
      <c r="E45" s="10"/>
      <c r="F45" s="10"/>
      <c r="G45" s="10"/>
      <c r="H45" s="10"/>
      <c r="I45" s="10"/>
    </row>
    <row r="46">
      <c r="B46" s="10"/>
      <c r="C46" s="10"/>
      <c r="D46" s="10"/>
      <c r="E46" s="10"/>
      <c r="F46" s="10"/>
      <c r="G46" s="10"/>
      <c r="L46" s="4"/>
    </row>
    <row r="51">
      <c r="F51" s="25"/>
    </row>
    <row r="57">
      <c r="B57" s="10"/>
      <c r="C57" s="10"/>
      <c r="D57" s="10"/>
      <c r="E57" s="10"/>
      <c r="F57" s="10"/>
    </row>
    <row r="58">
      <c r="B58" s="10"/>
      <c r="C58" s="10"/>
      <c r="D58" s="10"/>
      <c r="E58" s="10"/>
      <c r="F58" s="10"/>
    </row>
    <row r="63">
      <c r="F63" s="25"/>
    </row>
    <row r="68">
      <c r="B68" s="10"/>
      <c r="C68" s="10"/>
      <c r="D68" s="10"/>
      <c r="E68" s="10"/>
      <c r="F68" s="10"/>
    </row>
    <row r="69">
      <c r="B69" s="10"/>
      <c r="C69" s="10"/>
      <c r="D69" s="10"/>
      <c r="E69" s="10"/>
      <c r="F69" s="10"/>
    </row>
    <row r="70">
      <c r="B70" s="10"/>
      <c r="C70" s="10"/>
      <c r="D70" s="10"/>
      <c r="E70" s="10"/>
      <c r="F70" s="10"/>
    </row>
    <row r="71">
      <c r="B71" s="10"/>
      <c r="C71" s="10"/>
      <c r="D71" s="10"/>
      <c r="E71" s="10"/>
      <c r="F71" s="10"/>
    </row>
    <row r="72">
      <c r="B72" s="10"/>
      <c r="C72" s="10"/>
      <c r="D72" s="10" t="s">
        <v>109</v>
      </c>
      <c r="E72" s="10"/>
      <c r="F72" s="10"/>
    </row>
    <row r="73">
      <c r="B73" s="10"/>
      <c r="C73" s="10"/>
      <c r="D73" s="10"/>
      <c r="E73" s="10"/>
      <c r="F73" s="10"/>
    </row>
    <row r="74">
      <c r="B74" s="10"/>
      <c r="C74" s="10"/>
      <c r="D74" s="10"/>
      <c r="E74" s="10"/>
      <c r="F74" s="10"/>
    </row>
    <row r="78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>
      <c r="B89" s="10"/>
      <c r="C89" s="3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>
      <c r="B94" s="10"/>
      <c r="C94" s="10"/>
      <c r="D94" s="10"/>
      <c r="E94" s="10"/>
      <c r="F94" s="10"/>
      <c r="G94" s="10"/>
      <c r="H94" s="10"/>
      <c r="I94" s="10"/>
      <c r="J94" s="10"/>
      <c r="K94" s="20"/>
      <c r="L94" s="10"/>
      <c r="M94" s="10"/>
    </row>
    <row r="9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>
      <c r="B97" s="10"/>
      <c r="L97" s="10"/>
      <c r="M97" s="10"/>
    </row>
    <row r="98">
      <c r="B98" s="10"/>
      <c r="L98" s="10"/>
      <c r="M98" s="10"/>
    </row>
    <row r="99">
      <c r="B99" s="10"/>
      <c r="L99" s="10"/>
      <c r="M99" s="10"/>
    </row>
    <row r="100">
      <c r="B100" s="10"/>
      <c r="L100" s="10"/>
      <c r="M100" s="10"/>
    </row>
    <row r="101">
      <c r="B101" s="10"/>
      <c r="L101" s="10"/>
      <c r="M101" s="10"/>
    </row>
    <row r="102">
      <c r="B102" s="10"/>
      <c r="L102" s="10"/>
      <c r="M102" s="10"/>
    </row>
    <row r="103">
      <c r="B103" s="10"/>
      <c r="L103" s="10"/>
      <c r="M103" s="10"/>
    </row>
    <row r="104">
      <c r="B104" s="10"/>
      <c r="L104" s="10"/>
      <c r="M104" s="10"/>
    </row>
    <row r="105">
      <c r="B105" s="10"/>
      <c r="L105" s="10"/>
      <c r="M105" s="10"/>
    </row>
    <row r="106">
      <c r="B106" s="10"/>
      <c r="H106" s="10"/>
      <c r="I106" s="10"/>
      <c r="J106" s="10"/>
      <c r="K106" s="10"/>
      <c r="L106" s="10"/>
      <c r="M106" s="10"/>
    </row>
    <row r="107">
      <c r="B107" s="10"/>
      <c r="H107" s="10"/>
      <c r="I107" s="10"/>
      <c r="J107" s="10"/>
      <c r="K107" s="10"/>
      <c r="L107" s="10"/>
      <c r="M107" s="10"/>
    </row>
    <row r="108">
      <c r="B108" s="10"/>
      <c r="H108" s="10"/>
      <c r="I108" s="10"/>
      <c r="J108" s="10"/>
      <c r="K108" s="10"/>
      <c r="L108" s="10"/>
      <c r="M108" s="10"/>
    </row>
    <row r="109">
      <c r="B109" s="10"/>
      <c r="H109" s="10"/>
      <c r="I109" s="10"/>
      <c r="J109" s="10"/>
      <c r="K109" s="10"/>
      <c r="L109" s="10"/>
      <c r="M109" s="10"/>
    </row>
    <row r="110">
      <c r="B110" s="10"/>
      <c r="H110" s="10"/>
      <c r="I110" s="10"/>
      <c r="J110" s="10"/>
      <c r="K110" s="10"/>
      <c r="L110" s="10"/>
      <c r="M110" s="10"/>
    </row>
    <row r="111">
      <c r="B111" s="10"/>
      <c r="H111" s="10"/>
      <c r="I111" s="10"/>
      <c r="J111" s="10"/>
      <c r="K111" s="10"/>
      <c r="L111" s="10"/>
    </row>
    <row r="112">
      <c r="B112" s="10"/>
      <c r="H112" s="10"/>
      <c r="I112" s="10"/>
      <c r="J112" s="10"/>
      <c r="K112" s="10"/>
      <c r="L112" s="10"/>
    </row>
    <row r="113">
      <c r="B113" s="10"/>
      <c r="H113" s="10"/>
      <c r="I113" s="10"/>
      <c r="J113" s="10"/>
      <c r="K113" s="20"/>
      <c r="L113" s="10"/>
    </row>
    <row r="114">
      <c r="B114" s="10"/>
      <c r="H114" s="10"/>
      <c r="I114" s="10"/>
      <c r="J114" s="10"/>
      <c r="K114" s="10"/>
      <c r="L114" s="10"/>
    </row>
    <row r="115">
      <c r="B115" s="10"/>
      <c r="H115" s="10"/>
      <c r="I115" s="10"/>
      <c r="J115" s="10"/>
      <c r="K115" s="10"/>
      <c r="L115" s="10"/>
    </row>
    <row r="116">
      <c r="B116" s="10"/>
      <c r="H116" s="10"/>
      <c r="I116" s="10"/>
      <c r="J116" s="10"/>
      <c r="K116" s="10"/>
    </row>
    <row r="117"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</sheetData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A1" workbookViewId="0">
      <selection pane="topLeft" activeCell="L23" sqref="L23"/>
    </sheetView>
  </sheetViews>
  <sheetFormatPr baseColWidth="8" defaultRowHeight="12"/>
  <sheetData>
    <row r="1">
      <c r="A1" s="0" t="s">
        <v>17</v>
      </c>
      <c r="B1" s="0" t="s">
        <v>18</v>
      </c>
    </row>
    <row r="2">
      <c r="A2" s="0" t="s">
        <v>19</v>
      </c>
      <c r="B2" s="0">
        <v>161008</v>
      </c>
    </row>
    <row r="3">
      <c r="A3" s="0" t="s">
        <v>20</v>
      </c>
      <c r="B3" s="0" t="s">
        <v>21</v>
      </c>
      <c r="C3" s="0" t="s">
        <v>20</v>
      </c>
      <c r="D3" s="0" t="s">
        <v>22</v>
      </c>
      <c r="E3" s="0" t="s">
        <v>20</v>
      </c>
      <c r="F3" s="0" t="s">
        <v>23</v>
      </c>
      <c r="G3" s="0" t="s">
        <v>20</v>
      </c>
      <c r="H3" s="0" t="s">
        <v>24</v>
      </c>
    </row>
    <row r="4">
      <c r="A4" s="0" t="s">
        <v>25</v>
      </c>
      <c r="B4" s="0" t="s">
        <v>26</v>
      </c>
      <c r="C4" s="0" t="s">
        <v>25</v>
      </c>
      <c r="D4" s="0" t="s">
        <v>26</v>
      </c>
      <c r="E4" s="0" t="s">
        <v>25</v>
      </c>
      <c r="F4" s="0" t="s">
        <v>26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27</v>
      </c>
      <c r="D5" s="0" t="s">
        <v>28</v>
      </c>
      <c r="E5" s="0" t="s">
        <v>27</v>
      </c>
      <c r="F5" s="0" t="s">
        <v>28</v>
      </c>
      <c r="G5" s="0" t="s">
        <v>27</v>
      </c>
      <c r="H5" s="0" t="s">
        <v>28</v>
      </c>
    </row>
    <row r="6">
      <c r="A6" s="0" t="s">
        <v>29</v>
      </c>
      <c r="B6" s="5">
        <v>40275</v>
      </c>
      <c r="C6" s="0" t="s">
        <v>29</v>
      </c>
      <c r="D6" s="5">
        <v>40275</v>
      </c>
      <c r="E6" s="0" t="s">
        <v>29</v>
      </c>
      <c r="F6" s="5">
        <v>40275</v>
      </c>
      <c r="G6" s="0" t="s">
        <v>29</v>
      </c>
      <c r="H6" s="5">
        <v>40275</v>
      </c>
    </row>
    <row r="7">
      <c r="A7" s="0" t="s">
        <v>30</v>
      </c>
      <c r="B7" s="0" t="s">
        <v>31</v>
      </c>
      <c r="C7" s="0" t="s">
        <v>30</v>
      </c>
      <c r="D7" s="0" t="s">
        <v>32</v>
      </c>
      <c r="E7" s="0" t="s">
        <v>30</v>
      </c>
      <c r="F7" s="0" t="s">
        <v>33</v>
      </c>
      <c r="G7" s="0" t="s">
        <v>30</v>
      </c>
      <c r="H7" s="0" t="s">
        <v>34</v>
      </c>
    </row>
    <row r="9">
      <c r="A9" s="0" t="s">
        <v>35</v>
      </c>
      <c r="B9" s="0">
        <v>4.7698</v>
      </c>
      <c r="C9" s="0" t="s">
        <v>35</v>
      </c>
      <c r="D9" s="0">
        <v>11.9245</v>
      </c>
      <c r="E9" s="0" t="s">
        <v>35</v>
      </c>
      <c r="F9" s="0">
        <v>19.0791</v>
      </c>
      <c r="G9" s="0" t="s">
        <v>35</v>
      </c>
      <c r="H9" s="0">
        <v>23.8489</v>
      </c>
    </row>
    <row r="10">
      <c r="A10" s="0" t="s">
        <v>36</v>
      </c>
      <c r="B10" s="0" t="s">
        <v>37</v>
      </c>
      <c r="C10" s="0" t="s">
        <v>36</v>
      </c>
      <c r="D10" s="0" t="s">
        <v>37</v>
      </c>
      <c r="E10" s="0" t="s">
        <v>36</v>
      </c>
      <c r="F10" s="0" t="s">
        <v>37</v>
      </c>
      <c r="G10" s="0" t="s">
        <v>36</v>
      </c>
      <c r="H10" s="0" t="s">
        <v>37</v>
      </c>
    </row>
    <row r="11">
      <c r="A11" s="0">
        <v>0</v>
      </c>
      <c r="B11" s="0">
        <v>0</v>
      </c>
      <c r="C11" s="0">
        <v>0</v>
      </c>
      <c r="D11" s="0">
        <v>-0.007</v>
      </c>
      <c r="E11" s="0">
        <v>0</v>
      </c>
      <c r="F11" s="0">
        <v>-0.007</v>
      </c>
      <c r="G11" s="0">
        <v>0</v>
      </c>
      <c r="H11" s="0">
        <v>0.002</v>
      </c>
    </row>
    <row r="12">
      <c r="A12" s="0">
        <v>49</v>
      </c>
      <c r="B12" s="0">
        <v>-0.001</v>
      </c>
      <c r="C12" s="0">
        <v>49</v>
      </c>
      <c r="D12" s="0">
        <v>-0.008</v>
      </c>
      <c r="E12" s="0">
        <v>49</v>
      </c>
      <c r="F12" s="0">
        <v>-0.007</v>
      </c>
      <c r="G12" s="0">
        <v>49</v>
      </c>
      <c r="H12" s="0">
        <v>0.003</v>
      </c>
    </row>
    <row r="13">
      <c r="A13" s="0">
        <v>98</v>
      </c>
      <c r="B13" s="0">
        <v>-0.001</v>
      </c>
      <c r="C13" s="0">
        <v>98</v>
      </c>
      <c r="D13" s="0">
        <v>-0.007</v>
      </c>
      <c r="E13" s="0">
        <v>98</v>
      </c>
      <c r="F13" s="0">
        <v>-0.008</v>
      </c>
      <c r="G13" s="0">
        <v>98</v>
      </c>
      <c r="H13" s="0">
        <v>0.002</v>
      </c>
    </row>
    <row r="14">
      <c r="A14" s="0">
        <v>147</v>
      </c>
      <c r="B14" s="0">
        <v>-0.001</v>
      </c>
      <c r="C14" s="0">
        <v>147</v>
      </c>
      <c r="D14" s="0">
        <v>-0.008</v>
      </c>
      <c r="E14" s="0">
        <v>147</v>
      </c>
      <c r="F14" s="0">
        <v>-0.008</v>
      </c>
      <c r="G14" s="0">
        <v>147</v>
      </c>
      <c r="H14" s="0">
        <v>0.003</v>
      </c>
    </row>
    <row r="15">
      <c r="A15" s="0">
        <v>196</v>
      </c>
      <c r="B15" s="0">
        <v>0</v>
      </c>
      <c r="C15" s="0">
        <v>196</v>
      </c>
      <c r="D15" s="0">
        <v>-0.008</v>
      </c>
      <c r="E15" s="0">
        <v>196</v>
      </c>
      <c r="F15" s="0">
        <v>-0.007</v>
      </c>
      <c r="G15" s="0">
        <v>196</v>
      </c>
      <c r="H15" s="0">
        <v>0.003</v>
      </c>
    </row>
    <row r="16">
      <c r="A16" s="0">
        <v>245</v>
      </c>
      <c r="B16" s="0">
        <v>0</v>
      </c>
      <c r="C16" s="0">
        <v>245</v>
      </c>
      <c r="D16" s="0">
        <v>-0.008</v>
      </c>
      <c r="E16" s="0">
        <v>245</v>
      </c>
      <c r="F16" s="0">
        <v>-0.007</v>
      </c>
      <c r="G16" s="0">
        <v>245</v>
      </c>
      <c r="H16" s="0">
        <v>0.003</v>
      </c>
    </row>
    <row r="17">
      <c r="A17" s="0">
        <v>294</v>
      </c>
      <c r="B17" s="0">
        <v>0</v>
      </c>
      <c r="C17" s="0">
        <v>294</v>
      </c>
      <c r="D17" s="0">
        <v>-0.007</v>
      </c>
      <c r="E17" s="0">
        <v>294</v>
      </c>
      <c r="F17" s="0">
        <v>-0.008</v>
      </c>
      <c r="G17" s="0">
        <v>294</v>
      </c>
      <c r="H17" s="0">
        <v>0.003</v>
      </c>
    </row>
    <row r="18">
      <c r="A18" s="0">
        <v>343</v>
      </c>
      <c r="B18" s="0">
        <v>0</v>
      </c>
      <c r="C18" s="0">
        <v>343</v>
      </c>
      <c r="D18" s="0">
        <v>-0.007</v>
      </c>
      <c r="E18" s="0">
        <v>343</v>
      </c>
      <c r="F18" s="0">
        <v>-0.008</v>
      </c>
      <c r="G18" s="0">
        <v>343</v>
      </c>
      <c r="H18" s="0">
        <v>0.002</v>
      </c>
    </row>
    <row r="19">
      <c r="A19" s="0">
        <v>392</v>
      </c>
      <c r="B19" s="0">
        <v>0</v>
      </c>
      <c r="C19" s="0">
        <v>392</v>
      </c>
      <c r="D19" s="0">
        <v>-0.008</v>
      </c>
      <c r="E19" s="0">
        <v>392</v>
      </c>
      <c r="F19" s="0">
        <v>-0.008</v>
      </c>
      <c r="G19" s="0">
        <v>392</v>
      </c>
      <c r="H19" s="0">
        <v>0.003</v>
      </c>
    </row>
    <row r="20">
      <c r="A20" s="0">
        <v>441</v>
      </c>
      <c r="B20" s="0">
        <v>0</v>
      </c>
      <c r="C20" s="0">
        <v>441</v>
      </c>
      <c r="D20" s="0">
        <v>-0.007</v>
      </c>
      <c r="E20" s="0">
        <v>441</v>
      </c>
      <c r="F20" s="0">
        <v>-0.008</v>
      </c>
      <c r="G20" s="0">
        <v>441</v>
      </c>
      <c r="H20" s="0">
        <v>0.004</v>
      </c>
    </row>
    <row r="21">
      <c r="A21" s="0">
        <v>490</v>
      </c>
      <c r="B21" s="0">
        <v>0</v>
      </c>
      <c r="C21" s="0">
        <v>490</v>
      </c>
      <c r="D21" s="0">
        <v>-0.007</v>
      </c>
      <c r="E21" s="0">
        <v>490</v>
      </c>
      <c r="F21" s="0">
        <v>-0.008</v>
      </c>
      <c r="G21" s="0">
        <v>490</v>
      </c>
      <c r="H21" s="0">
        <v>0.003</v>
      </c>
    </row>
    <row r="22">
      <c r="A22" s="0">
        <v>539</v>
      </c>
      <c r="B22" s="0">
        <v>0</v>
      </c>
      <c r="C22" s="0">
        <v>539</v>
      </c>
      <c r="D22" s="0">
        <v>-0.008</v>
      </c>
      <c r="E22" s="0">
        <v>539</v>
      </c>
      <c r="F22" s="0">
        <v>-0.008</v>
      </c>
      <c r="G22" s="0">
        <v>539</v>
      </c>
      <c r="H22" s="0">
        <v>0.004</v>
      </c>
    </row>
    <row r="23">
      <c r="A23" s="0">
        <v>588</v>
      </c>
      <c r="B23" s="0">
        <v>0</v>
      </c>
      <c r="C23" s="0">
        <v>588</v>
      </c>
      <c r="D23" s="0">
        <v>-0.008</v>
      </c>
      <c r="E23" s="0">
        <v>588</v>
      </c>
      <c r="F23" s="0">
        <v>-0.008</v>
      </c>
      <c r="G23" s="0">
        <v>588</v>
      </c>
      <c r="H23" s="0">
        <v>0.004</v>
      </c>
    </row>
    <row r="24">
      <c r="A24" s="0">
        <v>637</v>
      </c>
      <c r="B24" s="0">
        <v>0.001</v>
      </c>
      <c r="C24" s="0">
        <v>637</v>
      </c>
      <c r="D24" s="0">
        <v>-0.008</v>
      </c>
      <c r="E24" s="0">
        <v>637</v>
      </c>
      <c r="F24" s="0">
        <v>-0.008</v>
      </c>
      <c r="G24" s="0">
        <v>637</v>
      </c>
      <c r="H24" s="0">
        <v>0.004</v>
      </c>
    </row>
    <row r="25">
      <c r="A25" s="0">
        <v>686</v>
      </c>
      <c r="B25" s="0">
        <v>0.001</v>
      </c>
      <c r="C25" s="0">
        <v>686</v>
      </c>
      <c r="D25" s="0">
        <v>-0.008</v>
      </c>
      <c r="E25" s="0">
        <v>686</v>
      </c>
      <c r="F25" s="0">
        <v>-0.008</v>
      </c>
      <c r="G25" s="0">
        <v>686</v>
      </c>
      <c r="H25" s="0">
        <v>0.003</v>
      </c>
    </row>
    <row r="26">
      <c r="A26" s="0">
        <v>735</v>
      </c>
      <c r="B26" s="0">
        <v>0</v>
      </c>
      <c r="C26" s="0">
        <v>735</v>
      </c>
      <c r="D26" s="0">
        <v>-0.008</v>
      </c>
      <c r="E26" s="0">
        <v>735</v>
      </c>
      <c r="F26" s="0">
        <v>-0.008</v>
      </c>
      <c r="G26" s="0">
        <v>735</v>
      </c>
      <c r="H26" s="0">
        <v>0.004</v>
      </c>
    </row>
    <row r="27">
      <c r="A27" s="0">
        <v>784</v>
      </c>
      <c r="B27" s="0">
        <v>0</v>
      </c>
      <c r="C27" s="0">
        <v>784</v>
      </c>
      <c r="D27" s="0">
        <v>-0.007</v>
      </c>
      <c r="E27" s="0">
        <v>784</v>
      </c>
      <c r="F27" s="0">
        <v>-0.008</v>
      </c>
      <c r="G27" s="0">
        <v>784</v>
      </c>
      <c r="H27" s="0">
        <v>0.003</v>
      </c>
    </row>
    <row r="28">
      <c r="A28" s="0">
        <v>833</v>
      </c>
      <c r="B28" s="0">
        <v>0</v>
      </c>
      <c r="C28" s="0">
        <v>833</v>
      </c>
      <c r="D28" s="0">
        <v>-0.007</v>
      </c>
      <c r="E28" s="0">
        <v>833</v>
      </c>
      <c r="F28" s="0">
        <v>-0.008</v>
      </c>
      <c r="G28" s="0">
        <v>833</v>
      </c>
      <c r="H28" s="0">
        <v>0.003</v>
      </c>
    </row>
    <row r="29">
      <c r="A29" s="0">
        <v>882</v>
      </c>
      <c r="B29" s="0">
        <v>0</v>
      </c>
      <c r="C29" s="0">
        <v>882</v>
      </c>
      <c r="D29" s="0">
        <v>-0.007</v>
      </c>
      <c r="E29" s="0">
        <v>882</v>
      </c>
      <c r="F29" s="0">
        <v>-0.007</v>
      </c>
      <c r="G29" s="0">
        <v>882</v>
      </c>
      <c r="H29" s="0">
        <v>0.004</v>
      </c>
    </row>
    <row r="30">
      <c r="A30" s="0">
        <v>931</v>
      </c>
      <c r="B30" s="0">
        <v>0.001</v>
      </c>
      <c r="C30" s="0">
        <v>931</v>
      </c>
      <c r="D30" s="0">
        <v>-0.007</v>
      </c>
      <c r="E30" s="0">
        <v>931</v>
      </c>
      <c r="F30" s="0">
        <v>-0.008</v>
      </c>
      <c r="G30" s="0">
        <v>931</v>
      </c>
      <c r="H30" s="0">
        <v>0.004</v>
      </c>
    </row>
    <row r="31">
      <c r="A31" s="0">
        <v>980</v>
      </c>
      <c r="B31" s="0">
        <v>0</v>
      </c>
      <c r="C31" s="0">
        <v>980</v>
      </c>
      <c r="D31" s="0">
        <v>-0.007</v>
      </c>
      <c r="E31" s="0">
        <v>980</v>
      </c>
      <c r="F31" s="0">
        <v>-0.007</v>
      </c>
      <c r="G31" s="0">
        <v>980</v>
      </c>
      <c r="H31" s="0">
        <v>0.005</v>
      </c>
    </row>
    <row r="32">
      <c r="A32" s="0">
        <v>1029</v>
      </c>
      <c r="B32" s="0">
        <v>0</v>
      </c>
      <c r="C32" s="0">
        <v>1029</v>
      </c>
      <c r="D32" s="0">
        <v>-0.007</v>
      </c>
      <c r="E32" s="0">
        <v>1029</v>
      </c>
      <c r="F32" s="0">
        <v>-0.007</v>
      </c>
      <c r="G32" s="0">
        <v>1029</v>
      </c>
      <c r="H32" s="0">
        <v>0.004</v>
      </c>
    </row>
    <row r="33">
      <c r="A33" s="0">
        <v>1078</v>
      </c>
      <c r="B33" s="0">
        <v>0</v>
      </c>
      <c r="C33" s="0">
        <v>1078</v>
      </c>
      <c r="D33" s="0">
        <v>-0.007</v>
      </c>
      <c r="E33" s="0">
        <v>1078</v>
      </c>
      <c r="F33" s="0">
        <v>-0.008</v>
      </c>
      <c r="G33" s="0">
        <v>1078</v>
      </c>
      <c r="H33" s="0">
        <v>0.004</v>
      </c>
    </row>
    <row r="34">
      <c r="A34" s="0">
        <v>1127</v>
      </c>
      <c r="B34" s="0">
        <v>0.001</v>
      </c>
      <c r="C34" s="0">
        <v>1127</v>
      </c>
      <c r="D34" s="0">
        <v>-0.007</v>
      </c>
      <c r="E34" s="0">
        <v>1127</v>
      </c>
      <c r="F34" s="0">
        <v>-0.007</v>
      </c>
      <c r="G34" s="0">
        <v>1127</v>
      </c>
      <c r="H34" s="0">
        <v>0.004</v>
      </c>
    </row>
    <row r="35">
      <c r="A35" s="0">
        <v>1176</v>
      </c>
      <c r="B35" s="0">
        <v>0</v>
      </c>
      <c r="C35" s="0">
        <v>1176</v>
      </c>
      <c r="D35" s="0">
        <v>-0.007</v>
      </c>
      <c r="E35" s="0">
        <v>1176</v>
      </c>
      <c r="F35" s="0">
        <v>-0.008</v>
      </c>
      <c r="G35" s="0">
        <v>1176</v>
      </c>
      <c r="H35" s="0">
        <v>0.004</v>
      </c>
    </row>
    <row r="36">
      <c r="A36" s="0">
        <v>1225</v>
      </c>
      <c r="B36" s="0">
        <v>0</v>
      </c>
      <c r="C36" s="0">
        <v>1225</v>
      </c>
      <c r="D36" s="0">
        <v>-0.007</v>
      </c>
      <c r="E36" s="0">
        <v>1225</v>
      </c>
      <c r="F36" s="0">
        <v>-0.008</v>
      </c>
      <c r="G36" s="0">
        <v>1225</v>
      </c>
      <c r="H36" s="0">
        <v>0.004</v>
      </c>
    </row>
    <row r="37">
      <c r="A37" s="0">
        <v>1274</v>
      </c>
      <c r="B37" s="0">
        <v>0</v>
      </c>
      <c r="C37" s="0">
        <v>1274</v>
      </c>
      <c r="D37" s="0">
        <v>-0.007</v>
      </c>
      <c r="E37" s="0">
        <v>1274</v>
      </c>
      <c r="F37" s="0">
        <v>-0.007</v>
      </c>
      <c r="G37" s="0">
        <v>1274</v>
      </c>
      <c r="H37" s="0">
        <v>0.005</v>
      </c>
    </row>
    <row r="38">
      <c r="A38" s="0">
        <v>1323</v>
      </c>
      <c r="B38" s="0">
        <v>0.001</v>
      </c>
      <c r="C38" s="0">
        <v>1323</v>
      </c>
      <c r="D38" s="0">
        <v>-0.006</v>
      </c>
      <c r="E38" s="0">
        <v>1323</v>
      </c>
      <c r="F38" s="0">
        <v>-0.007</v>
      </c>
      <c r="G38" s="0">
        <v>1323</v>
      </c>
      <c r="H38" s="0">
        <v>0.005</v>
      </c>
    </row>
    <row r="39">
      <c r="A39" s="0">
        <v>1372</v>
      </c>
      <c r="B39" s="0">
        <v>0.001</v>
      </c>
      <c r="C39" s="0">
        <v>1372</v>
      </c>
      <c r="D39" s="0">
        <v>-0.007</v>
      </c>
      <c r="E39" s="0">
        <v>1372</v>
      </c>
      <c r="F39" s="0">
        <v>-0.007</v>
      </c>
      <c r="G39" s="0">
        <v>1372</v>
      </c>
      <c r="H39" s="0">
        <v>0.005</v>
      </c>
    </row>
    <row r="40">
      <c r="A40" s="0">
        <v>1421</v>
      </c>
      <c r="B40" s="0">
        <v>0.001</v>
      </c>
      <c r="C40" s="0">
        <v>1421</v>
      </c>
      <c r="D40" s="0">
        <v>-0.007</v>
      </c>
      <c r="E40" s="0">
        <v>1421</v>
      </c>
      <c r="F40" s="0">
        <v>-0.008</v>
      </c>
      <c r="G40" s="0">
        <v>1421</v>
      </c>
      <c r="H40" s="0">
        <v>0.005</v>
      </c>
    </row>
    <row r="41">
      <c r="A41" s="0">
        <v>1470</v>
      </c>
      <c r="B41" s="0">
        <v>0.001</v>
      </c>
      <c r="C41" s="0">
        <v>1470</v>
      </c>
      <c r="D41" s="0">
        <v>-0.007</v>
      </c>
      <c r="E41" s="0">
        <v>1470</v>
      </c>
      <c r="F41" s="0">
        <v>-0.007</v>
      </c>
      <c r="G41" s="0">
        <v>1470</v>
      </c>
      <c r="H41" s="0">
        <v>0.004</v>
      </c>
    </row>
    <row r="42">
      <c r="A42" s="0">
        <v>1519</v>
      </c>
      <c r="B42" s="0">
        <v>0.001</v>
      </c>
      <c r="C42" s="0">
        <v>1519</v>
      </c>
      <c r="D42" s="0">
        <v>-0.008</v>
      </c>
      <c r="E42" s="0">
        <v>1519</v>
      </c>
      <c r="F42" s="0">
        <v>-0.007</v>
      </c>
      <c r="G42" s="0">
        <v>1519</v>
      </c>
      <c r="H42" s="0">
        <v>0.006</v>
      </c>
    </row>
    <row r="43">
      <c r="A43" s="0">
        <v>1568</v>
      </c>
      <c r="B43" s="0">
        <v>0.001</v>
      </c>
      <c r="C43" s="0">
        <v>1568</v>
      </c>
      <c r="D43" s="0">
        <v>-0.007</v>
      </c>
      <c r="E43" s="0">
        <v>1568</v>
      </c>
      <c r="F43" s="0">
        <v>-0.008</v>
      </c>
      <c r="G43" s="0">
        <v>1568</v>
      </c>
      <c r="H43" s="0">
        <v>0.005</v>
      </c>
    </row>
    <row r="44">
      <c r="A44" s="0">
        <v>1617</v>
      </c>
      <c r="B44" s="0">
        <v>0.001</v>
      </c>
      <c r="C44" s="0">
        <v>1617</v>
      </c>
      <c r="D44" s="0">
        <v>-0.007</v>
      </c>
      <c r="E44" s="0">
        <v>1617</v>
      </c>
      <c r="F44" s="0">
        <v>-0.007</v>
      </c>
      <c r="G44" s="0">
        <v>1617</v>
      </c>
      <c r="H44" s="0">
        <v>0.005</v>
      </c>
    </row>
    <row r="45">
      <c r="A45" s="0">
        <v>1666</v>
      </c>
      <c r="B45" s="0">
        <v>0.001</v>
      </c>
      <c r="C45" s="0">
        <v>1666</v>
      </c>
      <c r="D45" s="0">
        <v>-0.007</v>
      </c>
      <c r="E45" s="0">
        <v>1666</v>
      </c>
      <c r="F45" s="0">
        <v>-0.008</v>
      </c>
      <c r="G45" s="0">
        <v>1666</v>
      </c>
      <c r="H45" s="0">
        <v>0.005</v>
      </c>
    </row>
    <row r="46">
      <c r="A46" s="0">
        <v>1715</v>
      </c>
      <c r="B46" s="0">
        <v>0.001</v>
      </c>
      <c r="C46" s="0">
        <v>1715</v>
      </c>
      <c r="D46" s="0">
        <v>-0.007</v>
      </c>
      <c r="E46" s="0">
        <v>1715</v>
      </c>
      <c r="F46" s="0">
        <v>-0.007</v>
      </c>
      <c r="G46" s="0">
        <v>1715</v>
      </c>
      <c r="H46" s="0">
        <v>0.005</v>
      </c>
    </row>
    <row r="47">
      <c r="A47" s="0">
        <v>1764</v>
      </c>
      <c r="B47" s="0">
        <v>0.001</v>
      </c>
      <c r="C47" s="0">
        <v>1764</v>
      </c>
      <c r="D47" s="0">
        <v>-0.006</v>
      </c>
      <c r="E47" s="0">
        <v>1764</v>
      </c>
      <c r="F47" s="0">
        <v>-0.008</v>
      </c>
      <c r="G47" s="0">
        <v>1764</v>
      </c>
      <c r="H47" s="0">
        <v>0.005</v>
      </c>
    </row>
    <row r="48">
      <c r="A48" s="0">
        <v>1813</v>
      </c>
      <c r="B48" s="0">
        <v>0.001</v>
      </c>
      <c r="C48" s="0">
        <v>1813</v>
      </c>
      <c r="D48" s="0">
        <v>-0.006</v>
      </c>
      <c r="E48" s="0">
        <v>1813</v>
      </c>
      <c r="F48" s="0">
        <v>-0.006</v>
      </c>
      <c r="G48" s="0">
        <v>1813</v>
      </c>
      <c r="H48" s="0">
        <v>0.005</v>
      </c>
    </row>
    <row r="49">
      <c r="A49" s="0">
        <v>1862</v>
      </c>
      <c r="B49" s="0">
        <v>0.001</v>
      </c>
      <c r="C49" s="0">
        <v>1862</v>
      </c>
      <c r="D49" s="0">
        <v>-0.006</v>
      </c>
      <c r="E49" s="0">
        <v>1862</v>
      </c>
      <c r="F49" s="0">
        <v>-0.007</v>
      </c>
      <c r="G49" s="0">
        <v>1862</v>
      </c>
      <c r="H49" s="0">
        <v>0.006</v>
      </c>
    </row>
    <row r="50">
      <c r="A50" s="0">
        <v>1911</v>
      </c>
      <c r="B50" s="0">
        <v>0.001</v>
      </c>
      <c r="C50" s="0">
        <v>1911</v>
      </c>
      <c r="D50" s="0">
        <v>-0.005</v>
      </c>
      <c r="E50" s="0">
        <v>1911</v>
      </c>
      <c r="F50" s="0">
        <v>-0.007</v>
      </c>
      <c r="G50" s="0">
        <v>1911</v>
      </c>
      <c r="H50" s="0">
        <v>0.005</v>
      </c>
    </row>
    <row r="51">
      <c r="A51" s="0">
        <v>1960</v>
      </c>
      <c r="B51" s="0">
        <v>0.001</v>
      </c>
      <c r="C51" s="0">
        <v>1960</v>
      </c>
      <c r="D51" s="0">
        <v>-0.006</v>
      </c>
      <c r="E51" s="0">
        <v>1960</v>
      </c>
      <c r="F51" s="0">
        <v>-0.007</v>
      </c>
      <c r="G51" s="0">
        <v>1960</v>
      </c>
      <c r="H51" s="0">
        <v>0.006</v>
      </c>
    </row>
    <row r="52">
      <c r="A52" s="0">
        <v>2009</v>
      </c>
      <c r="B52" s="0">
        <v>0.001</v>
      </c>
      <c r="C52" s="0">
        <v>2009</v>
      </c>
      <c r="D52" s="0">
        <v>-0.006</v>
      </c>
      <c r="E52" s="0">
        <v>2009</v>
      </c>
      <c r="F52" s="0">
        <v>-0.006</v>
      </c>
      <c r="G52" s="0">
        <v>2009</v>
      </c>
      <c r="H52" s="0">
        <v>0.006</v>
      </c>
    </row>
    <row r="53">
      <c r="A53" s="0">
        <v>2058</v>
      </c>
      <c r="B53" s="0">
        <v>0.001</v>
      </c>
      <c r="C53" s="0">
        <v>2058</v>
      </c>
      <c r="D53" s="0">
        <v>-0.006</v>
      </c>
      <c r="E53" s="0">
        <v>2058</v>
      </c>
      <c r="F53" s="0">
        <v>-0.007</v>
      </c>
      <c r="G53" s="0">
        <v>2058</v>
      </c>
      <c r="H53" s="0">
        <v>0.006</v>
      </c>
    </row>
    <row r="54">
      <c r="A54" s="0">
        <v>2107</v>
      </c>
      <c r="B54" s="0">
        <v>0.002</v>
      </c>
      <c r="C54" s="0">
        <v>2107</v>
      </c>
      <c r="D54" s="0">
        <v>-0.006</v>
      </c>
      <c r="E54" s="0">
        <v>2107</v>
      </c>
      <c r="F54" s="0">
        <v>-0.007</v>
      </c>
      <c r="G54" s="0">
        <v>2107</v>
      </c>
      <c r="H54" s="0">
        <v>0.006</v>
      </c>
    </row>
    <row r="55">
      <c r="A55" s="0">
        <v>2156</v>
      </c>
      <c r="B55" s="0">
        <v>0.002</v>
      </c>
      <c r="C55" s="0">
        <v>2156</v>
      </c>
      <c r="D55" s="0">
        <v>-0.006</v>
      </c>
      <c r="E55" s="0">
        <v>2156</v>
      </c>
      <c r="F55" s="0">
        <v>-0.007</v>
      </c>
      <c r="G55" s="0">
        <v>2156</v>
      </c>
      <c r="H55" s="0">
        <v>0.006</v>
      </c>
    </row>
    <row r="56">
      <c r="A56" s="0">
        <v>2205</v>
      </c>
      <c r="B56" s="0">
        <v>0.002</v>
      </c>
      <c r="C56" s="0">
        <v>2205</v>
      </c>
      <c r="D56" s="0">
        <v>-0.006</v>
      </c>
      <c r="E56" s="0">
        <v>2205</v>
      </c>
      <c r="F56" s="0">
        <v>-0.006</v>
      </c>
      <c r="G56" s="0">
        <v>2205</v>
      </c>
      <c r="H56" s="0">
        <v>0.006</v>
      </c>
    </row>
    <row r="57">
      <c r="A57" s="0">
        <v>2254</v>
      </c>
      <c r="B57" s="0">
        <v>0.002</v>
      </c>
      <c r="C57" s="0">
        <v>2254</v>
      </c>
      <c r="D57" s="0">
        <v>-0.005</v>
      </c>
      <c r="E57" s="0">
        <v>2254</v>
      </c>
      <c r="F57" s="0">
        <v>-0.006</v>
      </c>
      <c r="G57" s="0">
        <v>2254</v>
      </c>
      <c r="H57" s="0">
        <v>0.006</v>
      </c>
    </row>
    <row r="58">
      <c r="A58" s="0">
        <v>2303</v>
      </c>
      <c r="B58" s="0">
        <v>0.002</v>
      </c>
      <c r="C58" s="0">
        <v>2303</v>
      </c>
      <c r="D58" s="0">
        <v>-0.006</v>
      </c>
      <c r="E58" s="0">
        <v>2303</v>
      </c>
      <c r="F58" s="0">
        <v>-0.007</v>
      </c>
      <c r="G58" s="0">
        <v>2303</v>
      </c>
      <c r="H58" s="0">
        <v>0.007</v>
      </c>
    </row>
    <row r="59">
      <c r="A59" s="0">
        <v>2352</v>
      </c>
      <c r="B59" s="0">
        <v>0.002</v>
      </c>
      <c r="C59" s="0">
        <v>2352</v>
      </c>
      <c r="D59" s="0">
        <v>-0.005</v>
      </c>
      <c r="E59" s="0">
        <v>2352</v>
      </c>
      <c r="F59" s="0">
        <v>-0.006</v>
      </c>
      <c r="G59" s="0">
        <v>2352</v>
      </c>
      <c r="H59" s="0">
        <v>0.007</v>
      </c>
    </row>
    <row r="60">
      <c r="A60" s="0">
        <v>2401</v>
      </c>
      <c r="B60" s="0">
        <v>0.002</v>
      </c>
      <c r="C60" s="0">
        <v>2401</v>
      </c>
      <c r="D60" s="0">
        <v>-0.005</v>
      </c>
      <c r="E60" s="0">
        <v>2401</v>
      </c>
      <c r="F60" s="0">
        <v>-0.007</v>
      </c>
      <c r="G60" s="0">
        <v>2401</v>
      </c>
      <c r="H60" s="0">
        <v>0.006</v>
      </c>
    </row>
    <row r="61">
      <c r="A61" s="0">
        <v>2450</v>
      </c>
      <c r="B61" s="0">
        <v>0.003</v>
      </c>
      <c r="C61" s="0">
        <v>2450</v>
      </c>
      <c r="D61" s="0">
        <v>-0.005</v>
      </c>
      <c r="E61" s="0">
        <v>2450</v>
      </c>
      <c r="F61" s="0">
        <v>-0.006</v>
      </c>
      <c r="G61" s="0">
        <v>2450</v>
      </c>
      <c r="H61" s="0">
        <v>0.007</v>
      </c>
    </row>
    <row r="62">
      <c r="A62" s="0">
        <v>2499</v>
      </c>
      <c r="B62" s="0">
        <v>0.002</v>
      </c>
      <c r="C62" s="0">
        <v>2499</v>
      </c>
      <c r="D62" s="0">
        <v>-0.005</v>
      </c>
      <c r="E62" s="0">
        <v>2499</v>
      </c>
      <c r="F62" s="0">
        <v>-0.006</v>
      </c>
      <c r="G62" s="0">
        <v>2499</v>
      </c>
      <c r="H62" s="0">
        <v>0.007</v>
      </c>
    </row>
    <row r="63">
      <c r="A63" s="0">
        <v>2548</v>
      </c>
      <c r="B63" s="0">
        <v>0.002</v>
      </c>
      <c r="C63" s="0">
        <v>2548</v>
      </c>
      <c r="D63" s="0">
        <v>-0.005</v>
      </c>
      <c r="E63" s="0">
        <v>2548</v>
      </c>
      <c r="F63" s="0">
        <v>-0.006</v>
      </c>
      <c r="G63" s="0">
        <v>2548</v>
      </c>
      <c r="H63" s="0">
        <v>0.007</v>
      </c>
    </row>
    <row r="64">
      <c r="A64" s="0">
        <v>2597</v>
      </c>
      <c r="B64" s="0">
        <v>0.003</v>
      </c>
      <c r="C64" s="0">
        <v>2597</v>
      </c>
      <c r="D64" s="0">
        <v>-0.005</v>
      </c>
      <c r="E64" s="0">
        <v>2597</v>
      </c>
      <c r="F64" s="0">
        <v>-0.006</v>
      </c>
      <c r="G64" s="0">
        <v>2597</v>
      </c>
      <c r="H64" s="0">
        <v>0.008</v>
      </c>
    </row>
    <row r="65">
      <c r="A65" s="0">
        <v>2646</v>
      </c>
      <c r="B65" s="0">
        <v>0.002</v>
      </c>
      <c r="C65" s="0">
        <v>2646</v>
      </c>
      <c r="D65" s="0">
        <v>-0.005</v>
      </c>
      <c r="E65" s="0">
        <v>2646</v>
      </c>
      <c r="F65" s="0">
        <v>-0.007</v>
      </c>
      <c r="G65" s="0">
        <v>2646</v>
      </c>
      <c r="H65" s="0">
        <v>0.007</v>
      </c>
    </row>
    <row r="66">
      <c r="A66" s="0">
        <v>2695</v>
      </c>
      <c r="B66" s="0">
        <v>0.003</v>
      </c>
      <c r="C66" s="0">
        <v>2695</v>
      </c>
      <c r="D66" s="0">
        <v>-0.006</v>
      </c>
      <c r="E66" s="0">
        <v>2695</v>
      </c>
      <c r="F66" s="0">
        <v>-0.006</v>
      </c>
      <c r="G66" s="0">
        <v>2695</v>
      </c>
      <c r="H66" s="0">
        <v>0.008</v>
      </c>
    </row>
    <row r="67">
      <c r="A67" s="0">
        <v>2744</v>
      </c>
      <c r="B67" s="0">
        <v>0.003</v>
      </c>
      <c r="C67" s="0">
        <v>2744</v>
      </c>
      <c r="D67" s="0">
        <v>-0.006</v>
      </c>
      <c r="E67" s="0">
        <v>2744</v>
      </c>
      <c r="F67" s="0">
        <v>-0.006</v>
      </c>
      <c r="G67" s="0">
        <v>2744</v>
      </c>
      <c r="H67" s="0">
        <v>0.007</v>
      </c>
    </row>
    <row r="68">
      <c r="A68" s="0">
        <v>2793</v>
      </c>
      <c r="B68" s="0">
        <v>0.003</v>
      </c>
      <c r="C68" s="0">
        <v>2793</v>
      </c>
      <c r="D68" s="0">
        <v>-0.004</v>
      </c>
      <c r="E68" s="0">
        <v>2793</v>
      </c>
      <c r="F68" s="0">
        <v>-0.006</v>
      </c>
      <c r="G68" s="0">
        <v>2793</v>
      </c>
      <c r="H68" s="0">
        <v>0.007</v>
      </c>
    </row>
    <row r="69">
      <c r="A69" s="0">
        <v>2842</v>
      </c>
      <c r="B69" s="0">
        <v>0.003</v>
      </c>
      <c r="C69" s="0">
        <v>2842</v>
      </c>
      <c r="D69" s="0">
        <v>-0.004</v>
      </c>
      <c r="E69" s="0">
        <v>2842</v>
      </c>
      <c r="F69" s="0">
        <v>-0.006</v>
      </c>
      <c r="G69" s="0">
        <v>2842</v>
      </c>
      <c r="H69" s="0">
        <v>0.008</v>
      </c>
    </row>
    <row r="70">
      <c r="A70" s="0">
        <v>2891</v>
      </c>
      <c r="B70" s="0">
        <v>0.003</v>
      </c>
      <c r="C70" s="0">
        <v>2891</v>
      </c>
      <c r="D70" s="0">
        <v>-0.005</v>
      </c>
      <c r="E70" s="0">
        <v>2891</v>
      </c>
      <c r="F70" s="0">
        <v>-0.005</v>
      </c>
      <c r="G70" s="0">
        <v>2891</v>
      </c>
      <c r="H70" s="0">
        <v>0.007</v>
      </c>
    </row>
    <row r="71">
      <c r="A71" s="0">
        <v>2940</v>
      </c>
      <c r="B71" s="0">
        <v>0.003</v>
      </c>
      <c r="C71" s="0">
        <v>2940</v>
      </c>
      <c r="D71" s="0">
        <v>-0.005</v>
      </c>
      <c r="E71" s="0">
        <v>2940</v>
      </c>
      <c r="F71" s="0">
        <v>-0.005</v>
      </c>
      <c r="G71" s="0">
        <v>2940</v>
      </c>
      <c r="H71" s="0">
        <v>0.007</v>
      </c>
    </row>
    <row r="72">
      <c r="A72" s="0">
        <v>2989</v>
      </c>
      <c r="B72" s="0">
        <v>0.003</v>
      </c>
      <c r="C72" s="0">
        <v>2989</v>
      </c>
      <c r="D72" s="0">
        <v>-0.004</v>
      </c>
      <c r="E72" s="0">
        <v>2989</v>
      </c>
      <c r="F72" s="0">
        <v>-0.006</v>
      </c>
      <c r="G72" s="0">
        <v>2989</v>
      </c>
      <c r="H72" s="0">
        <v>0.009</v>
      </c>
    </row>
    <row r="73">
      <c r="A73" s="0">
        <v>3038</v>
      </c>
      <c r="B73" s="0">
        <v>0.003</v>
      </c>
      <c r="C73" s="0">
        <v>3038</v>
      </c>
      <c r="D73" s="0">
        <v>-0.004</v>
      </c>
      <c r="E73" s="0">
        <v>3038</v>
      </c>
      <c r="F73" s="0">
        <v>-0.005</v>
      </c>
      <c r="G73" s="0">
        <v>3038</v>
      </c>
      <c r="H73" s="0">
        <v>0.008</v>
      </c>
    </row>
    <row r="74">
      <c r="A74" s="0">
        <v>3087</v>
      </c>
      <c r="B74" s="0">
        <v>0.003</v>
      </c>
      <c r="C74" s="0">
        <v>3087</v>
      </c>
      <c r="D74" s="0">
        <v>-0.005</v>
      </c>
      <c r="E74" s="0">
        <v>3087</v>
      </c>
      <c r="F74" s="0">
        <v>-0.006</v>
      </c>
      <c r="G74" s="0">
        <v>3087</v>
      </c>
      <c r="H74" s="0">
        <v>0.008</v>
      </c>
    </row>
    <row r="75">
      <c r="A75" s="0">
        <v>3136</v>
      </c>
      <c r="B75" s="0">
        <v>0.003</v>
      </c>
      <c r="C75" s="0">
        <v>3136</v>
      </c>
      <c r="D75" s="0">
        <v>-0.005</v>
      </c>
      <c r="E75" s="0">
        <v>3136</v>
      </c>
      <c r="F75" s="0">
        <v>-0.005</v>
      </c>
      <c r="G75" s="0">
        <v>3136</v>
      </c>
      <c r="H75" s="0">
        <v>0.008</v>
      </c>
    </row>
    <row r="76">
      <c r="A76" s="0">
        <v>3185</v>
      </c>
      <c r="B76" s="0">
        <v>0.004</v>
      </c>
      <c r="C76" s="0">
        <v>3185</v>
      </c>
      <c r="D76" s="0">
        <v>-0.004</v>
      </c>
      <c r="E76" s="0">
        <v>3185</v>
      </c>
      <c r="F76" s="0">
        <v>-0.005</v>
      </c>
      <c r="G76" s="0">
        <v>3185</v>
      </c>
      <c r="H76" s="0">
        <v>0.009</v>
      </c>
    </row>
    <row r="77">
      <c r="A77" s="0">
        <v>3234</v>
      </c>
      <c r="B77" s="0">
        <v>0.003</v>
      </c>
      <c r="C77" s="0">
        <v>3234</v>
      </c>
      <c r="D77" s="0">
        <v>-0.005</v>
      </c>
      <c r="E77" s="0">
        <v>3234</v>
      </c>
      <c r="F77" s="0">
        <v>-0.006</v>
      </c>
      <c r="G77" s="0">
        <v>3234</v>
      </c>
      <c r="H77" s="0">
        <v>0.008</v>
      </c>
    </row>
    <row r="78">
      <c r="A78" s="0">
        <v>3283</v>
      </c>
      <c r="B78" s="0">
        <v>0.003</v>
      </c>
      <c r="C78" s="0">
        <v>3283</v>
      </c>
      <c r="D78" s="0">
        <v>-0.004</v>
      </c>
      <c r="E78" s="0">
        <v>3283</v>
      </c>
      <c r="F78" s="0">
        <v>-0.005</v>
      </c>
      <c r="G78" s="0">
        <v>3283</v>
      </c>
      <c r="H78" s="0">
        <v>0.009</v>
      </c>
    </row>
    <row r="79">
      <c r="A79" s="0">
        <v>3332</v>
      </c>
      <c r="B79" s="0">
        <v>0.004</v>
      </c>
      <c r="C79" s="0">
        <v>3332</v>
      </c>
      <c r="D79" s="0">
        <v>-0.004</v>
      </c>
      <c r="E79" s="0">
        <v>3332</v>
      </c>
      <c r="F79" s="0">
        <v>-0.005</v>
      </c>
      <c r="G79" s="0">
        <v>3332</v>
      </c>
      <c r="H79" s="0">
        <v>0.008</v>
      </c>
    </row>
    <row r="80">
      <c r="A80" s="0">
        <v>3381</v>
      </c>
      <c r="B80" s="0">
        <v>0.003</v>
      </c>
      <c r="C80" s="0">
        <v>3381</v>
      </c>
      <c r="D80" s="0">
        <v>-0.004</v>
      </c>
      <c r="E80" s="0">
        <v>3381</v>
      </c>
      <c r="F80" s="0">
        <v>-0.006</v>
      </c>
      <c r="G80" s="0">
        <v>3381</v>
      </c>
      <c r="H80" s="0">
        <v>0.008</v>
      </c>
    </row>
    <row r="81">
      <c r="A81" s="0">
        <v>3430</v>
      </c>
      <c r="B81" s="0">
        <v>0.004</v>
      </c>
      <c r="C81" s="0">
        <v>3430</v>
      </c>
      <c r="D81" s="0">
        <v>-0.004</v>
      </c>
      <c r="E81" s="0">
        <v>3430</v>
      </c>
      <c r="F81" s="0">
        <v>-0.005</v>
      </c>
      <c r="G81" s="0">
        <v>3430</v>
      </c>
      <c r="H81" s="0">
        <v>0.009</v>
      </c>
    </row>
    <row r="82">
      <c r="A82" s="0">
        <v>3479</v>
      </c>
      <c r="B82" s="0">
        <v>0.004</v>
      </c>
      <c r="C82" s="0">
        <v>3479</v>
      </c>
      <c r="D82" s="0">
        <v>-0.004</v>
      </c>
      <c r="E82" s="0">
        <v>3479</v>
      </c>
      <c r="F82" s="0">
        <v>-0.004</v>
      </c>
      <c r="G82" s="0">
        <v>3479</v>
      </c>
      <c r="H82" s="0">
        <v>0.008</v>
      </c>
    </row>
    <row r="83">
      <c r="A83" s="0">
        <v>3528</v>
      </c>
      <c r="B83" s="0">
        <v>0.003</v>
      </c>
      <c r="C83" s="0">
        <v>3528</v>
      </c>
      <c r="D83" s="0">
        <v>-0.004</v>
      </c>
      <c r="E83" s="0">
        <v>3528</v>
      </c>
      <c r="F83" s="0">
        <v>-0.006</v>
      </c>
      <c r="G83" s="0">
        <v>3528</v>
      </c>
      <c r="H83" s="0">
        <v>0.009</v>
      </c>
    </row>
    <row r="84">
      <c r="A84" s="0">
        <v>3577</v>
      </c>
      <c r="B84" s="0">
        <v>0.004</v>
      </c>
      <c r="C84" s="0">
        <v>3577</v>
      </c>
      <c r="D84" s="0">
        <v>-0.004</v>
      </c>
      <c r="E84" s="0">
        <v>3577</v>
      </c>
      <c r="F84" s="0">
        <v>-0.005</v>
      </c>
      <c r="G84" s="0">
        <v>3577</v>
      </c>
      <c r="H84" s="0">
        <v>0.009</v>
      </c>
    </row>
    <row r="85">
      <c r="A85" s="0">
        <v>3626</v>
      </c>
      <c r="B85" s="0">
        <v>0.004</v>
      </c>
      <c r="C85" s="0">
        <v>3626</v>
      </c>
      <c r="D85" s="0">
        <v>-0.003</v>
      </c>
      <c r="E85" s="0">
        <v>3626</v>
      </c>
      <c r="F85" s="0">
        <v>-0.005</v>
      </c>
      <c r="G85" s="0">
        <v>3626</v>
      </c>
      <c r="H85" s="0">
        <v>0.008</v>
      </c>
    </row>
    <row r="86">
      <c r="A86" s="0">
        <v>3675</v>
      </c>
      <c r="B86" s="0">
        <v>0.004</v>
      </c>
      <c r="C86" s="0">
        <v>3675</v>
      </c>
      <c r="D86" s="0">
        <v>-0.004</v>
      </c>
      <c r="E86" s="0">
        <v>3675</v>
      </c>
      <c r="F86" s="0">
        <v>-0.004</v>
      </c>
      <c r="G86" s="0">
        <v>3675</v>
      </c>
      <c r="H86" s="0">
        <v>0.009</v>
      </c>
    </row>
    <row r="87">
      <c r="A87" s="0">
        <v>3724</v>
      </c>
      <c r="B87" s="0">
        <v>0.004</v>
      </c>
      <c r="C87" s="0">
        <v>3724</v>
      </c>
      <c r="D87" s="0">
        <v>-0.004</v>
      </c>
      <c r="E87" s="0">
        <v>3724</v>
      </c>
      <c r="F87" s="0">
        <v>-0.005</v>
      </c>
      <c r="G87" s="0">
        <v>3724</v>
      </c>
      <c r="H87" s="0">
        <v>0.009</v>
      </c>
    </row>
    <row r="88">
      <c r="A88" s="0">
        <v>3773</v>
      </c>
      <c r="B88" s="0">
        <v>0.004</v>
      </c>
      <c r="C88" s="0">
        <v>3773</v>
      </c>
      <c r="D88" s="0">
        <v>-0.004</v>
      </c>
      <c r="E88" s="0">
        <v>3773</v>
      </c>
      <c r="F88" s="0">
        <v>-0.004</v>
      </c>
      <c r="G88" s="0">
        <v>3773</v>
      </c>
      <c r="H88" s="0">
        <v>0.009</v>
      </c>
    </row>
    <row r="89">
      <c r="A89" s="0">
        <v>3822</v>
      </c>
      <c r="B89" s="0">
        <v>0.004</v>
      </c>
      <c r="C89" s="0">
        <v>3822</v>
      </c>
      <c r="D89" s="0">
        <v>-0.003</v>
      </c>
      <c r="E89" s="0">
        <v>3822</v>
      </c>
      <c r="F89" s="0">
        <v>-0.005</v>
      </c>
      <c r="G89" s="0">
        <v>3822</v>
      </c>
      <c r="H89" s="0">
        <v>0.009</v>
      </c>
    </row>
    <row r="90">
      <c r="A90" s="0">
        <v>3871</v>
      </c>
      <c r="B90" s="0">
        <v>0.004</v>
      </c>
      <c r="C90" s="0">
        <v>3871</v>
      </c>
      <c r="D90" s="0">
        <v>-0.004</v>
      </c>
      <c r="E90" s="0">
        <v>3871</v>
      </c>
      <c r="F90" s="0">
        <v>-0.005</v>
      </c>
      <c r="G90" s="0">
        <v>3871</v>
      </c>
      <c r="H90" s="0">
        <v>0.009</v>
      </c>
    </row>
    <row r="91">
      <c r="A91" s="0">
        <v>3920</v>
      </c>
      <c r="B91" s="0">
        <v>0.004</v>
      </c>
      <c r="C91" s="0">
        <v>3920</v>
      </c>
      <c r="D91" s="0">
        <v>-0.004</v>
      </c>
      <c r="E91" s="0">
        <v>3920</v>
      </c>
      <c r="F91" s="0">
        <v>-0.004</v>
      </c>
      <c r="G91" s="0">
        <v>3920</v>
      </c>
      <c r="H91" s="0">
        <v>0.009</v>
      </c>
    </row>
    <row r="92">
      <c r="A92" s="0">
        <v>3969</v>
      </c>
      <c r="B92" s="0">
        <v>0.005</v>
      </c>
      <c r="C92" s="0">
        <v>3969</v>
      </c>
      <c r="D92" s="0">
        <v>-0.003</v>
      </c>
      <c r="E92" s="0">
        <v>3969</v>
      </c>
      <c r="F92" s="0">
        <v>-0.005</v>
      </c>
      <c r="G92" s="0">
        <v>3969</v>
      </c>
      <c r="H92" s="0">
        <v>0.009</v>
      </c>
    </row>
    <row r="93">
      <c r="A93" s="0">
        <v>4018</v>
      </c>
      <c r="B93" s="0">
        <v>0.004</v>
      </c>
      <c r="C93" s="0">
        <v>4018</v>
      </c>
      <c r="D93" s="0">
        <v>-0.003</v>
      </c>
      <c r="E93" s="0">
        <v>4018</v>
      </c>
      <c r="F93" s="0">
        <v>-0.005</v>
      </c>
      <c r="G93" s="0">
        <v>4018</v>
      </c>
      <c r="H93" s="0">
        <v>0.009</v>
      </c>
    </row>
    <row r="94">
      <c r="A94" s="0">
        <v>4067</v>
      </c>
      <c r="B94" s="0">
        <v>0.004</v>
      </c>
      <c r="C94" s="0">
        <v>4067</v>
      </c>
      <c r="D94" s="0">
        <v>-0.003</v>
      </c>
      <c r="E94" s="0">
        <v>4067</v>
      </c>
      <c r="F94" s="0">
        <v>-0.005</v>
      </c>
      <c r="G94" s="0">
        <v>4067</v>
      </c>
      <c r="H94" s="0">
        <v>0.009</v>
      </c>
    </row>
    <row r="95">
      <c r="A95" s="0">
        <v>4116</v>
      </c>
      <c r="B95" s="0">
        <v>0.005</v>
      </c>
      <c r="C95" s="0">
        <v>4116</v>
      </c>
      <c r="D95" s="0">
        <v>-0.003</v>
      </c>
      <c r="E95" s="0">
        <v>4116</v>
      </c>
      <c r="F95" s="0">
        <v>-0.004</v>
      </c>
      <c r="G95" s="0">
        <v>4116</v>
      </c>
      <c r="H95" s="0">
        <v>0.01</v>
      </c>
    </row>
    <row r="96">
      <c r="A96" s="0">
        <v>4165</v>
      </c>
      <c r="B96" s="0">
        <v>0.005</v>
      </c>
      <c r="C96" s="0">
        <v>4165</v>
      </c>
      <c r="D96" s="0">
        <v>-0.003</v>
      </c>
      <c r="E96" s="0">
        <v>4165</v>
      </c>
      <c r="F96" s="0">
        <v>-0.005</v>
      </c>
      <c r="G96" s="0">
        <v>4165</v>
      </c>
      <c r="H96" s="0">
        <v>0.01</v>
      </c>
    </row>
    <row r="97">
      <c r="A97" s="0">
        <v>4214</v>
      </c>
      <c r="B97" s="0">
        <v>0.005</v>
      </c>
      <c r="C97" s="0">
        <v>4214</v>
      </c>
      <c r="D97" s="0">
        <v>-0.003</v>
      </c>
      <c r="E97" s="0">
        <v>4214</v>
      </c>
      <c r="F97" s="0">
        <v>-0.004</v>
      </c>
      <c r="G97" s="0">
        <v>4214</v>
      </c>
      <c r="H97" s="0">
        <v>0.01</v>
      </c>
    </row>
    <row r="98">
      <c r="A98" s="0">
        <v>4263</v>
      </c>
      <c r="B98" s="0">
        <v>0.004</v>
      </c>
      <c r="C98" s="0">
        <v>4263</v>
      </c>
      <c r="D98" s="0">
        <v>-0.002</v>
      </c>
      <c r="E98" s="0">
        <v>4263</v>
      </c>
      <c r="F98" s="0">
        <v>-0.004</v>
      </c>
      <c r="G98" s="0">
        <v>4263</v>
      </c>
      <c r="H98" s="0">
        <v>0.009</v>
      </c>
    </row>
    <row r="99">
      <c r="A99" s="0">
        <v>4312</v>
      </c>
      <c r="B99" s="0">
        <v>0.005</v>
      </c>
      <c r="C99" s="0">
        <v>4312</v>
      </c>
      <c r="D99" s="0">
        <v>-0.003</v>
      </c>
      <c r="E99" s="0">
        <v>4312</v>
      </c>
      <c r="F99" s="0">
        <v>-0.004</v>
      </c>
      <c r="G99" s="0">
        <v>4312</v>
      </c>
      <c r="H99" s="0">
        <v>0.01</v>
      </c>
    </row>
    <row r="100">
      <c r="A100" s="0">
        <v>4361</v>
      </c>
      <c r="B100" s="0">
        <v>0.005</v>
      </c>
      <c r="C100" s="0">
        <v>4361</v>
      </c>
      <c r="D100" s="0">
        <v>-0.003</v>
      </c>
      <c r="E100" s="0">
        <v>4361</v>
      </c>
      <c r="F100" s="0">
        <v>-0.004</v>
      </c>
      <c r="G100" s="0">
        <v>4361</v>
      </c>
      <c r="H100" s="0">
        <v>0.01</v>
      </c>
    </row>
    <row r="101">
      <c r="A101" s="0">
        <v>4410</v>
      </c>
      <c r="B101" s="0">
        <v>0.005</v>
      </c>
      <c r="C101" s="0">
        <v>4410</v>
      </c>
      <c r="D101" s="0">
        <v>-0.002</v>
      </c>
      <c r="E101" s="0">
        <v>4410</v>
      </c>
      <c r="F101" s="0">
        <v>-0.004</v>
      </c>
      <c r="G101" s="0">
        <v>4410</v>
      </c>
      <c r="H101" s="0">
        <v>0.01</v>
      </c>
    </row>
    <row r="102">
      <c r="A102" s="0">
        <v>4459</v>
      </c>
      <c r="B102" s="0">
        <v>0.005</v>
      </c>
      <c r="C102" s="0">
        <v>4459</v>
      </c>
      <c r="D102" s="0">
        <v>-0.003</v>
      </c>
      <c r="E102" s="0">
        <v>4459</v>
      </c>
      <c r="F102" s="0">
        <v>-0.004</v>
      </c>
      <c r="G102" s="0">
        <v>4459</v>
      </c>
      <c r="H102" s="0">
        <v>0.01</v>
      </c>
    </row>
    <row r="103">
      <c r="A103" s="0">
        <v>4508</v>
      </c>
      <c r="B103" s="0">
        <v>0.005</v>
      </c>
      <c r="C103" s="0">
        <v>4508</v>
      </c>
      <c r="D103" s="0">
        <v>-0.002</v>
      </c>
      <c r="E103" s="0">
        <v>4508</v>
      </c>
      <c r="F103" s="0">
        <v>-0.004</v>
      </c>
      <c r="G103" s="0">
        <v>4508</v>
      </c>
      <c r="H103" s="0">
        <v>0.01</v>
      </c>
    </row>
    <row r="104">
      <c r="A104" s="0">
        <v>4557</v>
      </c>
      <c r="B104" s="0">
        <v>0.006</v>
      </c>
      <c r="C104" s="0">
        <v>4557</v>
      </c>
      <c r="D104" s="0">
        <v>-0.002</v>
      </c>
      <c r="E104" s="0">
        <v>4557</v>
      </c>
      <c r="F104" s="0">
        <v>-0.004</v>
      </c>
      <c r="G104" s="0">
        <v>4557</v>
      </c>
      <c r="H104" s="0">
        <v>0.01</v>
      </c>
    </row>
    <row r="105">
      <c r="A105" s="0">
        <v>4606</v>
      </c>
      <c r="B105" s="0">
        <v>0.005</v>
      </c>
      <c r="C105" s="0">
        <v>4606</v>
      </c>
      <c r="D105" s="0">
        <v>-0.002</v>
      </c>
      <c r="E105" s="0">
        <v>4606</v>
      </c>
      <c r="F105" s="0">
        <v>-0.003</v>
      </c>
      <c r="G105" s="0">
        <v>4606</v>
      </c>
      <c r="H105" s="0">
        <v>0.01</v>
      </c>
    </row>
    <row r="106">
      <c r="A106" s="0">
        <v>4655</v>
      </c>
      <c r="B106" s="0">
        <v>0.006</v>
      </c>
      <c r="C106" s="0">
        <v>4655</v>
      </c>
      <c r="D106" s="0">
        <v>-0.002</v>
      </c>
      <c r="E106" s="0">
        <v>4655</v>
      </c>
      <c r="F106" s="0">
        <v>-0.004</v>
      </c>
      <c r="G106" s="0">
        <v>4655</v>
      </c>
      <c r="H106" s="0">
        <v>0.01</v>
      </c>
    </row>
    <row r="107">
      <c r="A107" s="0">
        <v>4704</v>
      </c>
      <c r="B107" s="0">
        <v>0.006</v>
      </c>
      <c r="C107" s="0">
        <v>4704</v>
      </c>
      <c r="D107" s="0">
        <v>-0.002</v>
      </c>
      <c r="E107" s="0">
        <v>4704</v>
      </c>
      <c r="F107" s="0">
        <v>-0.004</v>
      </c>
      <c r="G107" s="0">
        <v>4704</v>
      </c>
      <c r="H107" s="0">
        <v>0.01</v>
      </c>
    </row>
    <row r="108">
      <c r="A108" s="0">
        <v>4753</v>
      </c>
      <c r="B108" s="0">
        <v>0.006</v>
      </c>
      <c r="C108" s="0">
        <v>4753</v>
      </c>
      <c r="D108" s="0">
        <v>-0.003</v>
      </c>
      <c r="E108" s="0">
        <v>4753</v>
      </c>
      <c r="F108" s="0">
        <v>-0.004</v>
      </c>
      <c r="G108" s="0">
        <v>4753</v>
      </c>
      <c r="H108" s="0">
        <v>0.01</v>
      </c>
    </row>
    <row r="109">
      <c r="A109" s="0">
        <v>4802</v>
      </c>
      <c r="B109" s="0">
        <v>0.006</v>
      </c>
      <c r="C109" s="0">
        <v>4802</v>
      </c>
      <c r="D109" s="0">
        <v>-0.002</v>
      </c>
      <c r="E109" s="0">
        <v>4802</v>
      </c>
      <c r="F109" s="0">
        <v>-0.004</v>
      </c>
      <c r="G109" s="0">
        <v>4802</v>
      </c>
      <c r="H109" s="0">
        <v>0.011</v>
      </c>
    </row>
    <row r="110">
      <c r="A110" s="0">
        <v>4851</v>
      </c>
      <c r="B110" s="0">
        <v>0.006</v>
      </c>
      <c r="C110" s="0">
        <v>4851</v>
      </c>
      <c r="D110" s="0">
        <v>-0.002</v>
      </c>
      <c r="E110" s="0">
        <v>4851</v>
      </c>
      <c r="F110" s="0">
        <v>-0.003</v>
      </c>
      <c r="G110" s="0">
        <v>4851</v>
      </c>
      <c r="H110" s="0">
        <v>0.011</v>
      </c>
    </row>
    <row r="111">
      <c r="A111" s="0">
        <v>4900</v>
      </c>
      <c r="B111" s="0">
        <v>0.006</v>
      </c>
      <c r="C111" s="0">
        <v>4900</v>
      </c>
      <c r="D111" s="0">
        <v>-0.002</v>
      </c>
      <c r="E111" s="0">
        <v>4900</v>
      </c>
      <c r="F111" s="0">
        <v>-0.004</v>
      </c>
      <c r="G111" s="0">
        <v>4900</v>
      </c>
      <c r="H111" s="0">
        <v>0.011</v>
      </c>
    </row>
    <row r="112">
      <c r="A112" s="0">
        <v>4949</v>
      </c>
      <c r="B112" s="0">
        <v>0.006</v>
      </c>
      <c r="C112" s="0">
        <v>4949</v>
      </c>
      <c r="D112" s="0">
        <v>-0.001</v>
      </c>
      <c r="E112" s="0">
        <v>4949</v>
      </c>
      <c r="F112" s="0">
        <v>-0.003</v>
      </c>
      <c r="G112" s="0">
        <v>4949</v>
      </c>
      <c r="H112" s="0">
        <v>0.011</v>
      </c>
    </row>
    <row r="113">
      <c r="A113" s="0">
        <v>4998</v>
      </c>
      <c r="B113" s="0">
        <v>0.006</v>
      </c>
      <c r="C113" s="0">
        <v>4998</v>
      </c>
      <c r="D113" s="0">
        <v>-0.002</v>
      </c>
      <c r="E113" s="0">
        <v>4998</v>
      </c>
      <c r="F113" s="0">
        <v>-0.003</v>
      </c>
      <c r="G113" s="0">
        <v>4998</v>
      </c>
      <c r="H113" s="0">
        <v>0.011</v>
      </c>
    </row>
    <row r="114">
      <c r="A114" s="0">
        <v>5047</v>
      </c>
      <c r="B114" s="0">
        <v>0.006</v>
      </c>
      <c r="C114" s="0">
        <v>5047</v>
      </c>
      <c r="D114" s="0">
        <v>-0.001</v>
      </c>
      <c r="E114" s="0">
        <v>5047</v>
      </c>
      <c r="F114" s="0">
        <v>-0.003</v>
      </c>
      <c r="G114" s="0">
        <v>5047</v>
      </c>
      <c r="H114" s="0">
        <v>0.011</v>
      </c>
    </row>
    <row r="115">
      <c r="A115" s="0">
        <v>5096</v>
      </c>
      <c r="B115" s="0">
        <v>0.006</v>
      </c>
      <c r="C115" s="0">
        <v>5096</v>
      </c>
      <c r="D115" s="0">
        <v>-0.002</v>
      </c>
      <c r="E115" s="0">
        <v>5096</v>
      </c>
      <c r="F115" s="0">
        <v>-0.003</v>
      </c>
      <c r="G115" s="0">
        <v>5096</v>
      </c>
      <c r="H115" s="0">
        <v>0.011</v>
      </c>
    </row>
    <row r="116">
      <c r="A116" s="0">
        <v>5145</v>
      </c>
      <c r="B116" s="0">
        <v>0.006</v>
      </c>
      <c r="C116" s="0">
        <v>5145</v>
      </c>
      <c r="D116" s="0">
        <v>-0.001</v>
      </c>
      <c r="E116" s="0">
        <v>5145</v>
      </c>
      <c r="F116" s="0">
        <v>-0.002</v>
      </c>
      <c r="G116" s="0">
        <v>5145</v>
      </c>
      <c r="H116" s="0">
        <v>0.011</v>
      </c>
    </row>
    <row r="117">
      <c r="A117" s="0">
        <v>5194</v>
      </c>
      <c r="B117" s="0">
        <v>0.006</v>
      </c>
      <c r="C117" s="0">
        <v>5194</v>
      </c>
      <c r="D117" s="0">
        <v>-0.001</v>
      </c>
      <c r="E117" s="0">
        <v>5194</v>
      </c>
      <c r="F117" s="0">
        <v>-0.002</v>
      </c>
      <c r="G117" s="0">
        <v>5194</v>
      </c>
      <c r="H117" s="0">
        <v>0.011</v>
      </c>
    </row>
    <row r="118">
      <c r="A118" s="0">
        <v>5243</v>
      </c>
      <c r="B118" s="0">
        <v>0.007</v>
      </c>
      <c r="C118" s="0">
        <v>5243</v>
      </c>
      <c r="D118" s="0">
        <v>-0.001</v>
      </c>
      <c r="E118" s="0">
        <v>5243</v>
      </c>
      <c r="F118" s="0">
        <v>-0.003</v>
      </c>
      <c r="G118" s="0">
        <v>5243</v>
      </c>
      <c r="H118" s="0">
        <v>0.012</v>
      </c>
    </row>
    <row r="119">
      <c r="A119" s="0">
        <v>5292</v>
      </c>
      <c r="B119" s="0">
        <v>0.006</v>
      </c>
      <c r="C119" s="0">
        <v>5292</v>
      </c>
      <c r="D119" s="0">
        <v>-0.001</v>
      </c>
      <c r="E119" s="0">
        <v>5292</v>
      </c>
      <c r="F119" s="0">
        <v>-0.004</v>
      </c>
      <c r="G119" s="0">
        <v>5292</v>
      </c>
      <c r="H119" s="0">
        <v>0.011</v>
      </c>
    </row>
    <row r="120">
      <c r="A120" s="0">
        <v>5341</v>
      </c>
      <c r="B120" s="0">
        <v>0.006</v>
      </c>
      <c r="C120" s="0">
        <v>5341</v>
      </c>
      <c r="D120" s="0">
        <v>0</v>
      </c>
      <c r="E120" s="0">
        <v>5341</v>
      </c>
      <c r="F120" s="0">
        <v>-0.003</v>
      </c>
      <c r="G120" s="0">
        <v>5341</v>
      </c>
      <c r="H120" s="0">
        <v>0.01</v>
      </c>
    </row>
    <row r="121">
      <c r="A121" s="0">
        <v>5390</v>
      </c>
      <c r="B121" s="0">
        <v>0.007</v>
      </c>
      <c r="C121" s="0">
        <v>5390</v>
      </c>
      <c r="D121" s="0">
        <v>-0.001</v>
      </c>
      <c r="E121" s="0">
        <v>5390</v>
      </c>
      <c r="F121" s="0">
        <v>-0.003</v>
      </c>
      <c r="G121" s="0">
        <v>5390</v>
      </c>
      <c r="H121" s="0">
        <v>0.012</v>
      </c>
    </row>
    <row r="122">
      <c r="A122" s="0">
        <v>5439</v>
      </c>
      <c r="B122" s="0">
        <v>0.006</v>
      </c>
      <c r="C122" s="0">
        <v>5439</v>
      </c>
      <c r="D122" s="0">
        <v>-0.002</v>
      </c>
      <c r="E122" s="0">
        <v>5439</v>
      </c>
      <c r="F122" s="0">
        <v>-0.002</v>
      </c>
      <c r="G122" s="0">
        <v>5439</v>
      </c>
      <c r="H122" s="0">
        <v>0.012</v>
      </c>
    </row>
    <row r="123">
      <c r="A123" s="0">
        <v>5488</v>
      </c>
      <c r="B123" s="0">
        <v>0.006</v>
      </c>
      <c r="C123" s="0">
        <v>5488</v>
      </c>
      <c r="D123" s="0">
        <v>-0.001</v>
      </c>
      <c r="E123" s="0">
        <v>5488</v>
      </c>
      <c r="F123" s="0">
        <v>-0.003</v>
      </c>
      <c r="G123" s="0">
        <v>5488</v>
      </c>
      <c r="H123" s="0">
        <v>0.012</v>
      </c>
    </row>
    <row r="124">
      <c r="A124" s="0">
        <v>5537</v>
      </c>
      <c r="B124" s="0">
        <v>0.007</v>
      </c>
      <c r="C124" s="0">
        <v>5537</v>
      </c>
      <c r="D124" s="0">
        <v>-0.001</v>
      </c>
      <c r="E124" s="0">
        <v>5537</v>
      </c>
      <c r="F124" s="0">
        <v>-0.002</v>
      </c>
      <c r="G124" s="0">
        <v>5537</v>
      </c>
      <c r="H124" s="0">
        <v>0.012</v>
      </c>
    </row>
    <row r="125">
      <c r="A125" s="0">
        <v>5586</v>
      </c>
      <c r="B125" s="0">
        <v>0.007</v>
      </c>
      <c r="C125" s="0">
        <v>5586</v>
      </c>
      <c r="D125" s="0">
        <v>-0.001</v>
      </c>
      <c r="E125" s="0">
        <v>5586</v>
      </c>
      <c r="F125" s="0">
        <v>-0.002</v>
      </c>
      <c r="G125" s="0">
        <v>5586</v>
      </c>
      <c r="H125" s="0">
        <v>0.012</v>
      </c>
    </row>
    <row r="126">
      <c r="A126" s="0">
        <v>5635</v>
      </c>
      <c r="B126" s="0">
        <v>0.007</v>
      </c>
      <c r="C126" s="0">
        <v>5635</v>
      </c>
      <c r="D126" s="0">
        <v>-0.001</v>
      </c>
      <c r="E126" s="0">
        <v>5635</v>
      </c>
      <c r="F126" s="0">
        <v>-0.003</v>
      </c>
      <c r="G126" s="0">
        <v>5635</v>
      </c>
      <c r="H126" s="0">
        <v>0.012</v>
      </c>
    </row>
    <row r="127">
      <c r="A127" s="0">
        <v>5684</v>
      </c>
      <c r="B127" s="0">
        <v>0.007</v>
      </c>
      <c r="C127" s="0">
        <v>5684</v>
      </c>
      <c r="D127" s="0">
        <v>0</v>
      </c>
      <c r="E127" s="0">
        <v>5684</v>
      </c>
      <c r="F127" s="0">
        <v>-0.003</v>
      </c>
      <c r="G127" s="0">
        <v>5684</v>
      </c>
      <c r="H127" s="0">
        <v>0.012</v>
      </c>
    </row>
    <row r="128">
      <c r="A128" s="0">
        <v>5733</v>
      </c>
      <c r="B128" s="0">
        <v>0.007</v>
      </c>
      <c r="C128" s="0">
        <v>5733</v>
      </c>
      <c r="D128" s="0">
        <v>0</v>
      </c>
      <c r="E128" s="0">
        <v>5733</v>
      </c>
      <c r="F128" s="0">
        <v>-0.003</v>
      </c>
      <c r="G128" s="0">
        <v>5733</v>
      </c>
      <c r="H128" s="0">
        <v>0.012</v>
      </c>
    </row>
    <row r="129">
      <c r="A129" s="0">
        <v>5782</v>
      </c>
      <c r="B129" s="0">
        <v>0.007</v>
      </c>
      <c r="C129" s="0">
        <v>5782</v>
      </c>
      <c r="D129" s="0">
        <v>-0.001</v>
      </c>
      <c r="E129" s="0">
        <v>5782</v>
      </c>
      <c r="F129" s="0">
        <v>-0.002</v>
      </c>
      <c r="G129" s="0">
        <v>5782</v>
      </c>
      <c r="H129" s="0">
        <v>0.013</v>
      </c>
    </row>
    <row r="130">
      <c r="A130" s="0">
        <v>5831</v>
      </c>
      <c r="B130" s="0">
        <v>0.007</v>
      </c>
      <c r="C130" s="0">
        <v>5831</v>
      </c>
      <c r="D130" s="0">
        <v>-0.001</v>
      </c>
      <c r="E130" s="0">
        <v>5831</v>
      </c>
      <c r="F130" s="0">
        <v>-0.002</v>
      </c>
      <c r="G130" s="0">
        <v>5831</v>
      </c>
      <c r="H130" s="0">
        <v>0.013</v>
      </c>
    </row>
    <row r="131">
      <c r="A131" s="0">
        <v>5880</v>
      </c>
      <c r="B131" s="0">
        <v>0.007</v>
      </c>
      <c r="C131" s="0">
        <v>5880</v>
      </c>
      <c r="D131" s="0">
        <v>0</v>
      </c>
      <c r="E131" s="0">
        <v>5880</v>
      </c>
      <c r="F131" s="0">
        <v>-0.002</v>
      </c>
      <c r="G131" s="0">
        <v>5880</v>
      </c>
      <c r="H131" s="0">
        <v>0.012</v>
      </c>
    </row>
    <row r="132">
      <c r="A132" s="0">
        <v>5929</v>
      </c>
      <c r="B132" s="0">
        <v>0.007</v>
      </c>
      <c r="C132" s="0">
        <v>5929</v>
      </c>
      <c r="D132" s="0">
        <v>0</v>
      </c>
      <c r="E132" s="0">
        <v>5929</v>
      </c>
      <c r="F132" s="0">
        <v>-0.002</v>
      </c>
      <c r="G132" s="0">
        <v>5929</v>
      </c>
      <c r="H132" s="0">
        <v>0.012</v>
      </c>
    </row>
    <row r="133">
      <c r="A133" s="0">
        <v>5978</v>
      </c>
      <c r="B133" s="0">
        <v>0.007</v>
      </c>
      <c r="C133" s="0">
        <v>5978</v>
      </c>
      <c r="D133" s="0">
        <v>0</v>
      </c>
      <c r="E133" s="0">
        <v>5978</v>
      </c>
      <c r="F133" s="0">
        <v>-0.002</v>
      </c>
      <c r="G133" s="0">
        <v>5978</v>
      </c>
      <c r="H133" s="0">
        <v>0.013</v>
      </c>
    </row>
    <row r="134">
      <c r="A134" s="0">
        <v>6027</v>
      </c>
      <c r="B134" s="0">
        <v>0.008</v>
      </c>
      <c r="C134" s="0">
        <v>6027</v>
      </c>
      <c r="D134" s="0">
        <v>-0.001</v>
      </c>
      <c r="E134" s="0">
        <v>6027</v>
      </c>
      <c r="F134" s="0">
        <v>-0.001</v>
      </c>
      <c r="G134" s="0">
        <v>6027</v>
      </c>
      <c r="H134" s="0">
        <v>0.013</v>
      </c>
    </row>
    <row r="135">
      <c r="A135" s="0">
        <v>6076</v>
      </c>
      <c r="B135" s="0">
        <v>0.008</v>
      </c>
      <c r="C135" s="0">
        <v>6076</v>
      </c>
      <c r="D135" s="0">
        <v>0</v>
      </c>
      <c r="E135" s="0">
        <v>6076</v>
      </c>
      <c r="F135" s="0">
        <v>-0.002</v>
      </c>
      <c r="G135" s="0">
        <v>6076</v>
      </c>
      <c r="H135" s="0">
        <v>0.012</v>
      </c>
    </row>
    <row r="136">
      <c r="A136" s="0">
        <v>6125</v>
      </c>
      <c r="B136" s="0">
        <v>0.008</v>
      </c>
      <c r="C136" s="0">
        <v>6125</v>
      </c>
      <c r="D136" s="0">
        <v>0</v>
      </c>
      <c r="E136" s="0">
        <v>6125</v>
      </c>
      <c r="F136" s="0">
        <v>-0.002</v>
      </c>
      <c r="G136" s="0">
        <v>6125</v>
      </c>
      <c r="H136" s="0">
        <v>0.012</v>
      </c>
    </row>
    <row r="137">
      <c r="A137" s="0">
        <v>6174</v>
      </c>
      <c r="B137" s="0">
        <v>0.009</v>
      </c>
      <c r="C137" s="0">
        <v>6174</v>
      </c>
      <c r="D137" s="0">
        <v>0.001</v>
      </c>
      <c r="E137" s="0">
        <v>6174</v>
      </c>
      <c r="F137" s="0">
        <v>-0.002</v>
      </c>
      <c r="G137" s="0">
        <v>6174</v>
      </c>
      <c r="H137" s="0">
        <v>0.013</v>
      </c>
    </row>
    <row r="138">
      <c r="A138" s="0">
        <v>6223</v>
      </c>
      <c r="B138" s="0">
        <v>0.007</v>
      </c>
      <c r="C138" s="0">
        <v>6223</v>
      </c>
      <c r="D138" s="0">
        <v>0</v>
      </c>
      <c r="E138" s="0">
        <v>6223</v>
      </c>
      <c r="F138" s="0">
        <v>-0.002</v>
      </c>
      <c r="G138" s="0">
        <v>6223</v>
      </c>
      <c r="H138" s="0">
        <v>0.014</v>
      </c>
    </row>
    <row r="139">
      <c r="A139" s="0">
        <v>6272</v>
      </c>
      <c r="B139" s="0">
        <v>0.008</v>
      </c>
      <c r="C139" s="0">
        <v>6272</v>
      </c>
      <c r="D139" s="0">
        <v>0</v>
      </c>
      <c r="E139" s="0">
        <v>6272</v>
      </c>
      <c r="F139" s="0">
        <v>-0.002</v>
      </c>
      <c r="G139" s="0">
        <v>6272</v>
      </c>
      <c r="H139" s="0">
        <v>0.013</v>
      </c>
    </row>
    <row r="140">
      <c r="A140" s="0">
        <v>6321</v>
      </c>
      <c r="B140" s="0">
        <v>0.009</v>
      </c>
      <c r="C140" s="0">
        <v>6321</v>
      </c>
      <c r="D140" s="0">
        <v>0</v>
      </c>
      <c r="E140" s="0">
        <v>6321</v>
      </c>
      <c r="F140" s="0">
        <v>-0.001</v>
      </c>
      <c r="G140" s="0">
        <v>6321</v>
      </c>
      <c r="H140" s="0">
        <v>0.013</v>
      </c>
    </row>
    <row r="141">
      <c r="A141" s="0">
        <v>6370</v>
      </c>
      <c r="B141" s="0">
        <v>0.008</v>
      </c>
      <c r="C141" s="0">
        <v>6370</v>
      </c>
      <c r="D141" s="0">
        <v>0</v>
      </c>
      <c r="E141" s="0">
        <v>6370</v>
      </c>
      <c r="F141" s="0">
        <v>-0.002</v>
      </c>
      <c r="G141" s="0">
        <v>6370</v>
      </c>
      <c r="H141" s="0">
        <v>0.013</v>
      </c>
    </row>
    <row r="142">
      <c r="A142" s="0">
        <v>6419</v>
      </c>
      <c r="B142" s="0">
        <v>0.008</v>
      </c>
      <c r="C142" s="0">
        <v>6419</v>
      </c>
      <c r="D142" s="0">
        <v>0.001</v>
      </c>
      <c r="E142" s="0">
        <v>6419</v>
      </c>
      <c r="F142" s="0">
        <v>-0.001</v>
      </c>
      <c r="G142" s="0">
        <v>6419</v>
      </c>
      <c r="H142" s="0">
        <v>0.012</v>
      </c>
    </row>
    <row r="143">
      <c r="A143" s="0">
        <v>6468</v>
      </c>
      <c r="B143" s="0">
        <v>0.009</v>
      </c>
      <c r="C143" s="0">
        <v>6468</v>
      </c>
      <c r="D143" s="0">
        <v>0.001</v>
      </c>
      <c r="E143" s="0">
        <v>6468</v>
      </c>
      <c r="F143" s="0">
        <v>-0.001</v>
      </c>
      <c r="G143" s="0">
        <v>6468</v>
      </c>
      <c r="H143" s="0">
        <v>0.013</v>
      </c>
    </row>
    <row r="144">
      <c r="A144" s="0">
        <v>6517</v>
      </c>
      <c r="B144" s="0">
        <v>0.008</v>
      </c>
      <c r="C144" s="0">
        <v>6517</v>
      </c>
      <c r="D144" s="0">
        <v>0.001</v>
      </c>
      <c r="E144" s="0">
        <v>6517</v>
      </c>
      <c r="F144" s="0">
        <v>-0.001</v>
      </c>
      <c r="G144" s="0">
        <v>6517</v>
      </c>
      <c r="H144" s="0">
        <v>0.013</v>
      </c>
    </row>
    <row r="145">
      <c r="A145" s="0">
        <v>6566</v>
      </c>
      <c r="B145" s="0">
        <v>0.009</v>
      </c>
      <c r="C145" s="0">
        <v>6566</v>
      </c>
      <c r="D145" s="0">
        <v>0.001</v>
      </c>
      <c r="E145" s="0">
        <v>6566</v>
      </c>
      <c r="F145" s="0">
        <v>-0.001</v>
      </c>
      <c r="G145" s="0">
        <v>6566</v>
      </c>
      <c r="H145" s="0">
        <v>0.014</v>
      </c>
    </row>
    <row r="146">
      <c r="A146" s="0">
        <v>6615</v>
      </c>
      <c r="B146" s="0">
        <v>0.008</v>
      </c>
      <c r="C146" s="0">
        <v>6615</v>
      </c>
      <c r="D146" s="0">
        <v>0</v>
      </c>
      <c r="E146" s="0">
        <v>6615</v>
      </c>
      <c r="F146" s="0">
        <v>-0.001</v>
      </c>
      <c r="G146" s="0">
        <v>6615</v>
      </c>
      <c r="H146" s="0">
        <v>0.014</v>
      </c>
    </row>
    <row r="147">
      <c r="A147" s="0">
        <v>6664</v>
      </c>
      <c r="B147" s="0">
        <v>0.008</v>
      </c>
      <c r="C147" s="0">
        <v>6664</v>
      </c>
      <c r="D147" s="0">
        <v>0.001</v>
      </c>
      <c r="E147" s="0">
        <v>6664</v>
      </c>
      <c r="F147" s="0">
        <v>-0.001</v>
      </c>
      <c r="G147" s="0">
        <v>6664</v>
      </c>
      <c r="H147" s="0">
        <v>0.013</v>
      </c>
    </row>
    <row r="148">
      <c r="A148" s="0">
        <v>6713</v>
      </c>
      <c r="B148" s="0">
        <v>0.009</v>
      </c>
      <c r="C148" s="0">
        <v>6713</v>
      </c>
      <c r="D148" s="0">
        <v>0.001</v>
      </c>
      <c r="E148" s="0">
        <v>6713</v>
      </c>
      <c r="F148" s="0">
        <v>-0.001</v>
      </c>
      <c r="G148" s="0">
        <v>6713</v>
      </c>
      <c r="H148" s="0">
        <v>0.013</v>
      </c>
    </row>
    <row r="149">
      <c r="A149" s="0">
        <v>6762</v>
      </c>
      <c r="B149" s="0">
        <v>0.009</v>
      </c>
      <c r="C149" s="0">
        <v>6762</v>
      </c>
      <c r="D149" s="0">
        <v>0.001</v>
      </c>
      <c r="E149" s="0">
        <v>6762</v>
      </c>
      <c r="F149" s="0">
        <v>-0.002</v>
      </c>
      <c r="G149" s="0">
        <v>6762</v>
      </c>
      <c r="H149" s="0">
        <v>0.015</v>
      </c>
    </row>
    <row r="150">
      <c r="A150" s="0">
        <v>6811</v>
      </c>
      <c r="B150" s="0">
        <v>0.008</v>
      </c>
      <c r="C150" s="0">
        <v>6811</v>
      </c>
      <c r="D150" s="0">
        <v>0.001</v>
      </c>
      <c r="E150" s="0">
        <v>6811</v>
      </c>
      <c r="F150" s="0">
        <v>-0.001</v>
      </c>
      <c r="G150" s="0">
        <v>6811</v>
      </c>
      <c r="H150" s="0">
        <v>0.014</v>
      </c>
    </row>
    <row r="151">
      <c r="A151" s="0">
        <v>6860</v>
      </c>
      <c r="B151" s="0">
        <v>0.01</v>
      </c>
      <c r="C151" s="0">
        <v>6860</v>
      </c>
      <c r="D151" s="0">
        <v>0.002</v>
      </c>
      <c r="E151" s="0">
        <v>6860</v>
      </c>
      <c r="F151" s="0">
        <v>-0.001</v>
      </c>
      <c r="G151" s="0">
        <v>6860</v>
      </c>
      <c r="H151" s="0">
        <v>0.014</v>
      </c>
    </row>
    <row r="152">
      <c r="A152" s="0">
        <v>6909</v>
      </c>
      <c r="B152" s="0">
        <v>0.009</v>
      </c>
      <c r="C152" s="0">
        <v>6909</v>
      </c>
      <c r="D152" s="0">
        <v>0.001</v>
      </c>
      <c r="E152" s="0">
        <v>6909</v>
      </c>
      <c r="F152" s="0">
        <v>-0.001</v>
      </c>
      <c r="G152" s="0">
        <v>6909</v>
      </c>
      <c r="H152" s="0">
        <v>0.014</v>
      </c>
    </row>
    <row r="153">
      <c r="A153" s="0">
        <v>6958</v>
      </c>
      <c r="B153" s="0">
        <v>0.009</v>
      </c>
      <c r="C153" s="0">
        <v>6958</v>
      </c>
      <c r="D153" s="0">
        <v>0</v>
      </c>
      <c r="E153" s="0">
        <v>6958</v>
      </c>
      <c r="F153" s="0">
        <v>-0.001</v>
      </c>
      <c r="G153" s="0">
        <v>6958</v>
      </c>
      <c r="H153" s="0">
        <v>0.014</v>
      </c>
    </row>
    <row r="154">
      <c r="A154" s="0">
        <v>7007</v>
      </c>
      <c r="B154" s="0">
        <v>0.009</v>
      </c>
      <c r="C154" s="0">
        <v>7007</v>
      </c>
      <c r="D154" s="0">
        <v>0.002</v>
      </c>
      <c r="E154" s="0">
        <v>7007</v>
      </c>
      <c r="F154" s="0">
        <v>0</v>
      </c>
      <c r="G154" s="0">
        <v>7007</v>
      </c>
      <c r="H154" s="0">
        <v>0.014</v>
      </c>
    </row>
    <row r="155">
      <c r="A155" s="0">
        <v>7056</v>
      </c>
      <c r="B155" s="0">
        <v>0.009</v>
      </c>
      <c r="C155" s="0">
        <v>7056</v>
      </c>
      <c r="D155" s="0">
        <v>0.001</v>
      </c>
      <c r="E155" s="0">
        <v>7056</v>
      </c>
      <c r="F155" s="0">
        <v>-0.001</v>
      </c>
      <c r="G155" s="0">
        <v>7056</v>
      </c>
      <c r="H155" s="0">
        <v>0.015</v>
      </c>
    </row>
    <row r="156">
      <c r="A156" s="0">
        <v>7105</v>
      </c>
      <c r="B156" s="0">
        <v>0.009</v>
      </c>
      <c r="C156" s="0">
        <v>7105</v>
      </c>
      <c r="D156" s="0">
        <v>0.001</v>
      </c>
      <c r="E156" s="0">
        <v>7105</v>
      </c>
      <c r="F156" s="0">
        <v>-0.001</v>
      </c>
      <c r="G156" s="0">
        <v>7105</v>
      </c>
      <c r="H156" s="0">
        <v>0.015</v>
      </c>
    </row>
    <row r="157">
      <c r="A157" s="0">
        <v>7154</v>
      </c>
      <c r="B157" s="0">
        <v>0.01</v>
      </c>
      <c r="C157" s="0">
        <v>7154</v>
      </c>
      <c r="D157" s="0">
        <v>0.001</v>
      </c>
      <c r="E157" s="0">
        <v>7154</v>
      </c>
      <c r="F157" s="0">
        <v>-0.002</v>
      </c>
      <c r="G157" s="0">
        <v>7154</v>
      </c>
      <c r="H157" s="0">
        <v>0.014</v>
      </c>
    </row>
    <row r="158">
      <c r="A158" s="0">
        <v>7203</v>
      </c>
      <c r="B158" s="0">
        <v>0.009</v>
      </c>
      <c r="C158" s="0">
        <v>7203</v>
      </c>
      <c r="D158" s="0">
        <v>0.001</v>
      </c>
      <c r="E158" s="0">
        <v>7203</v>
      </c>
      <c r="F158" s="0">
        <v>0</v>
      </c>
      <c r="G158" s="0">
        <v>7203</v>
      </c>
      <c r="H158" s="0">
        <v>0.015</v>
      </c>
    </row>
    <row r="159">
      <c r="A159" s="0">
        <v>7252</v>
      </c>
      <c r="B159" s="0">
        <v>0.009</v>
      </c>
      <c r="C159" s="0">
        <v>7252</v>
      </c>
      <c r="D159" s="0">
        <v>0.001</v>
      </c>
      <c r="E159" s="0">
        <v>7252</v>
      </c>
      <c r="F159" s="0">
        <v>-0.001</v>
      </c>
      <c r="G159" s="0">
        <v>7252</v>
      </c>
      <c r="H159" s="0">
        <v>0.014</v>
      </c>
    </row>
    <row r="160">
      <c r="A160" s="0">
        <v>7301</v>
      </c>
      <c r="B160" s="0">
        <v>0.011</v>
      </c>
      <c r="C160" s="0">
        <v>7301</v>
      </c>
      <c r="D160" s="0">
        <v>0.002</v>
      </c>
      <c r="E160" s="0">
        <v>7301</v>
      </c>
      <c r="F160" s="0">
        <v>0</v>
      </c>
      <c r="G160" s="0">
        <v>7301</v>
      </c>
      <c r="H160" s="0">
        <v>0.015</v>
      </c>
    </row>
    <row r="161">
      <c r="A161" s="0">
        <v>7350</v>
      </c>
      <c r="B161" s="0">
        <v>0.009</v>
      </c>
      <c r="C161" s="0">
        <v>7350</v>
      </c>
      <c r="D161" s="0">
        <v>0.002</v>
      </c>
      <c r="E161" s="0">
        <v>7350</v>
      </c>
      <c r="F161" s="0">
        <v>-0.001</v>
      </c>
      <c r="G161" s="0">
        <v>7350</v>
      </c>
      <c r="H161" s="0">
        <v>0.015</v>
      </c>
    </row>
    <row r="162">
      <c r="A162" s="0">
        <v>7399</v>
      </c>
      <c r="B162" s="0">
        <v>0.01</v>
      </c>
      <c r="C162" s="0">
        <v>7399</v>
      </c>
      <c r="D162" s="0">
        <v>0.002</v>
      </c>
      <c r="E162" s="0">
        <v>7399</v>
      </c>
      <c r="F162" s="0">
        <v>0</v>
      </c>
      <c r="G162" s="0">
        <v>7399</v>
      </c>
      <c r="H162" s="0">
        <v>0.014</v>
      </c>
    </row>
    <row r="163">
      <c r="A163" s="0">
        <v>7448</v>
      </c>
      <c r="B163" s="0">
        <v>0.01</v>
      </c>
      <c r="C163" s="0">
        <v>7448</v>
      </c>
      <c r="D163" s="0">
        <v>0.002</v>
      </c>
      <c r="E163" s="0">
        <v>7448</v>
      </c>
      <c r="F163" s="0">
        <v>0</v>
      </c>
      <c r="G163" s="0">
        <v>7448</v>
      </c>
      <c r="H163" s="0">
        <v>0.015</v>
      </c>
    </row>
    <row r="164">
      <c r="A164" s="0">
        <v>7497</v>
      </c>
      <c r="B164" s="0">
        <v>0.011</v>
      </c>
      <c r="C164" s="0">
        <v>7497</v>
      </c>
      <c r="D164" s="0">
        <v>0.002</v>
      </c>
      <c r="E164" s="0">
        <v>7497</v>
      </c>
      <c r="F164" s="0">
        <v>0</v>
      </c>
      <c r="G164" s="0">
        <v>7497</v>
      </c>
      <c r="H164" s="0">
        <v>0.015</v>
      </c>
    </row>
    <row r="165">
      <c r="A165" s="0">
        <v>7546</v>
      </c>
      <c r="B165" s="0">
        <v>0.01</v>
      </c>
      <c r="C165" s="0">
        <v>7546</v>
      </c>
      <c r="D165" s="0">
        <v>0.002</v>
      </c>
      <c r="E165" s="0">
        <v>7546</v>
      </c>
      <c r="F165" s="0">
        <v>-0.001</v>
      </c>
      <c r="G165" s="0">
        <v>7546</v>
      </c>
      <c r="H165" s="0">
        <v>0.016</v>
      </c>
    </row>
    <row r="166">
      <c r="A166" s="0">
        <v>7595</v>
      </c>
      <c r="B166" s="0">
        <v>0.01</v>
      </c>
      <c r="C166" s="0">
        <v>7595</v>
      </c>
      <c r="D166" s="0">
        <v>0.002</v>
      </c>
      <c r="E166" s="0">
        <v>7595</v>
      </c>
      <c r="F166" s="0">
        <v>-0.001</v>
      </c>
      <c r="G166" s="0">
        <v>7595</v>
      </c>
      <c r="H166" s="0">
        <v>0.015</v>
      </c>
    </row>
    <row r="167">
      <c r="A167" s="0">
        <v>7644</v>
      </c>
      <c r="B167" s="0">
        <v>0.011</v>
      </c>
      <c r="C167" s="0">
        <v>7644</v>
      </c>
      <c r="D167" s="0">
        <v>0.003</v>
      </c>
      <c r="E167" s="0">
        <v>7644</v>
      </c>
      <c r="F167" s="0">
        <v>0</v>
      </c>
      <c r="G167" s="0">
        <v>7644</v>
      </c>
      <c r="H167" s="0">
        <v>0.015</v>
      </c>
    </row>
    <row r="168">
      <c r="A168" s="0">
        <v>7693</v>
      </c>
      <c r="B168" s="0">
        <v>0.011</v>
      </c>
      <c r="C168" s="0">
        <v>7693</v>
      </c>
      <c r="D168" s="0">
        <v>0.002</v>
      </c>
      <c r="E168" s="0">
        <v>7693</v>
      </c>
      <c r="F168" s="0">
        <v>-0.001</v>
      </c>
      <c r="G168" s="0">
        <v>7693</v>
      </c>
      <c r="H168" s="0">
        <v>0.015</v>
      </c>
    </row>
    <row r="169">
      <c r="A169" s="0">
        <v>7742</v>
      </c>
      <c r="B169" s="0">
        <v>0.011</v>
      </c>
      <c r="C169" s="0">
        <v>7742</v>
      </c>
      <c r="D169" s="0">
        <v>0.003</v>
      </c>
      <c r="E169" s="0">
        <v>7742</v>
      </c>
      <c r="F169" s="0">
        <v>0.001</v>
      </c>
      <c r="G169" s="0">
        <v>7742</v>
      </c>
      <c r="H169" s="0">
        <v>0.016</v>
      </c>
    </row>
    <row r="170">
      <c r="A170" s="0">
        <v>7791</v>
      </c>
      <c r="B170" s="0">
        <v>0.011</v>
      </c>
      <c r="C170" s="0">
        <v>7791</v>
      </c>
      <c r="D170" s="0">
        <v>0.002</v>
      </c>
      <c r="E170" s="0">
        <v>7791</v>
      </c>
      <c r="F170" s="0">
        <v>0</v>
      </c>
      <c r="G170" s="0">
        <v>7791</v>
      </c>
      <c r="H170" s="0">
        <v>0.015</v>
      </c>
    </row>
    <row r="171">
      <c r="A171" s="0">
        <v>7840</v>
      </c>
      <c r="B171" s="0">
        <v>0.01</v>
      </c>
      <c r="C171" s="0">
        <v>7840</v>
      </c>
      <c r="D171" s="0">
        <v>0.003</v>
      </c>
      <c r="E171" s="0">
        <v>7840</v>
      </c>
      <c r="F171" s="0">
        <v>0</v>
      </c>
      <c r="G171" s="0">
        <v>7840</v>
      </c>
      <c r="H171" s="0">
        <v>0.016</v>
      </c>
    </row>
    <row r="172">
      <c r="A172" s="0">
        <v>7889</v>
      </c>
      <c r="B172" s="0">
        <v>0.011</v>
      </c>
      <c r="C172" s="0">
        <v>7889</v>
      </c>
      <c r="D172" s="0">
        <v>0.002</v>
      </c>
      <c r="E172" s="0">
        <v>7889</v>
      </c>
      <c r="F172" s="0">
        <v>0</v>
      </c>
      <c r="G172" s="0">
        <v>7889</v>
      </c>
      <c r="H172" s="0">
        <v>0.015</v>
      </c>
    </row>
    <row r="173">
      <c r="A173" s="0">
        <v>7938</v>
      </c>
      <c r="B173" s="0">
        <v>0.011</v>
      </c>
      <c r="C173" s="0">
        <v>7938</v>
      </c>
      <c r="D173" s="0">
        <v>0.003</v>
      </c>
      <c r="E173" s="0">
        <v>7938</v>
      </c>
      <c r="F173" s="0">
        <v>0.001</v>
      </c>
      <c r="G173" s="0">
        <v>7938</v>
      </c>
      <c r="H173" s="0">
        <v>0.015</v>
      </c>
    </row>
    <row r="174">
      <c r="A174" s="0">
        <v>7987</v>
      </c>
      <c r="B174" s="0">
        <v>0.011</v>
      </c>
      <c r="C174" s="0">
        <v>7987</v>
      </c>
      <c r="D174" s="0">
        <v>0.003</v>
      </c>
      <c r="E174" s="0">
        <v>7987</v>
      </c>
      <c r="F174" s="0">
        <v>0</v>
      </c>
      <c r="G174" s="0">
        <v>7987</v>
      </c>
      <c r="H174" s="0">
        <v>0.015</v>
      </c>
    </row>
    <row r="175">
      <c r="A175" s="0">
        <v>8036</v>
      </c>
      <c r="B175" s="0">
        <v>0.012</v>
      </c>
      <c r="C175" s="0">
        <v>8036</v>
      </c>
      <c r="D175" s="0">
        <v>0.003</v>
      </c>
      <c r="E175" s="0">
        <v>8036</v>
      </c>
      <c r="F175" s="0">
        <v>0</v>
      </c>
      <c r="G175" s="0">
        <v>8036</v>
      </c>
      <c r="H175" s="0">
        <v>0.016</v>
      </c>
    </row>
    <row r="176">
      <c r="A176" s="0">
        <v>8085</v>
      </c>
      <c r="B176" s="0">
        <v>0.011</v>
      </c>
      <c r="C176" s="0">
        <v>8085</v>
      </c>
      <c r="D176" s="0">
        <v>0.002</v>
      </c>
      <c r="E176" s="0">
        <v>8085</v>
      </c>
      <c r="F176" s="0">
        <v>0</v>
      </c>
      <c r="G176" s="0">
        <v>8085</v>
      </c>
      <c r="H176" s="0">
        <v>0.016</v>
      </c>
    </row>
    <row r="177">
      <c r="A177" s="0">
        <v>8134</v>
      </c>
      <c r="B177" s="0">
        <v>0.012</v>
      </c>
      <c r="C177" s="0">
        <v>8134</v>
      </c>
      <c r="D177" s="0">
        <v>0.003</v>
      </c>
      <c r="E177" s="0">
        <v>8134</v>
      </c>
      <c r="F177" s="0">
        <v>0.001</v>
      </c>
      <c r="G177" s="0">
        <v>8134</v>
      </c>
      <c r="H177" s="0">
        <v>0.016</v>
      </c>
    </row>
    <row r="178">
      <c r="A178" s="0">
        <v>8183</v>
      </c>
      <c r="B178" s="0">
        <v>0.012</v>
      </c>
      <c r="C178" s="0">
        <v>8183</v>
      </c>
      <c r="D178" s="0">
        <v>0.003</v>
      </c>
      <c r="E178" s="0">
        <v>8183</v>
      </c>
      <c r="F178" s="0">
        <v>0.001</v>
      </c>
      <c r="G178" s="0">
        <v>8183</v>
      </c>
      <c r="H178" s="0">
        <v>0.016</v>
      </c>
    </row>
    <row r="179">
      <c r="A179" s="0">
        <v>8232</v>
      </c>
      <c r="B179" s="0">
        <v>0.012</v>
      </c>
      <c r="C179" s="0">
        <v>8232</v>
      </c>
      <c r="D179" s="0">
        <v>0.003</v>
      </c>
      <c r="E179" s="0">
        <v>8232</v>
      </c>
      <c r="F179" s="0">
        <v>0</v>
      </c>
      <c r="G179" s="0">
        <v>8232</v>
      </c>
      <c r="H179" s="0">
        <v>0.016</v>
      </c>
    </row>
    <row r="180">
      <c r="A180" s="0">
        <v>8281</v>
      </c>
      <c r="B180" s="0">
        <v>0.012</v>
      </c>
      <c r="C180" s="0">
        <v>8281</v>
      </c>
      <c r="D180" s="0">
        <v>0.003</v>
      </c>
      <c r="E180" s="0">
        <v>8281</v>
      </c>
      <c r="F180" s="0">
        <v>0.001</v>
      </c>
      <c r="G180" s="0">
        <v>8281</v>
      </c>
      <c r="H180" s="0">
        <v>0.017</v>
      </c>
    </row>
    <row r="181">
      <c r="A181" s="0">
        <v>8330</v>
      </c>
      <c r="B181" s="0">
        <v>0.012</v>
      </c>
      <c r="C181" s="0">
        <v>8330</v>
      </c>
      <c r="D181" s="0">
        <v>0.003</v>
      </c>
      <c r="E181" s="0">
        <v>8330</v>
      </c>
      <c r="F181" s="0">
        <v>0.001</v>
      </c>
      <c r="G181" s="0">
        <v>8330</v>
      </c>
      <c r="H181" s="0">
        <v>0.017</v>
      </c>
    </row>
    <row r="182">
      <c r="A182" s="0">
        <v>8379</v>
      </c>
      <c r="B182" s="0">
        <v>0.013</v>
      </c>
      <c r="C182" s="0">
        <v>8379</v>
      </c>
      <c r="D182" s="0">
        <v>0.003</v>
      </c>
      <c r="E182" s="0">
        <v>8379</v>
      </c>
      <c r="F182" s="0">
        <v>0.001</v>
      </c>
      <c r="G182" s="0">
        <v>8379</v>
      </c>
      <c r="H182" s="0">
        <v>0.016</v>
      </c>
    </row>
    <row r="183">
      <c r="A183" s="0">
        <v>8428</v>
      </c>
      <c r="B183" s="0">
        <v>0.011</v>
      </c>
      <c r="C183" s="0">
        <v>8428</v>
      </c>
      <c r="D183" s="0">
        <v>0.003</v>
      </c>
      <c r="E183" s="0">
        <v>8428</v>
      </c>
      <c r="F183" s="0">
        <v>0.002</v>
      </c>
      <c r="G183" s="0">
        <v>8428</v>
      </c>
      <c r="H183" s="0">
        <v>0.016</v>
      </c>
    </row>
    <row r="184">
      <c r="A184" s="0">
        <v>8477</v>
      </c>
      <c r="B184" s="0">
        <v>0.012</v>
      </c>
      <c r="C184" s="0">
        <v>8477</v>
      </c>
      <c r="D184" s="0">
        <v>0.004</v>
      </c>
      <c r="E184" s="0">
        <v>8477</v>
      </c>
      <c r="F184" s="0">
        <v>0.001</v>
      </c>
      <c r="G184" s="0">
        <v>8477</v>
      </c>
      <c r="H184" s="0">
        <v>0.016</v>
      </c>
    </row>
    <row r="185">
      <c r="A185" s="0">
        <v>8526</v>
      </c>
      <c r="B185" s="0">
        <v>0.012</v>
      </c>
      <c r="C185" s="0">
        <v>8526</v>
      </c>
      <c r="D185" s="0">
        <v>0.003</v>
      </c>
      <c r="E185" s="0">
        <v>8526</v>
      </c>
      <c r="F185" s="0">
        <v>0.001</v>
      </c>
      <c r="G185" s="0">
        <v>8526</v>
      </c>
      <c r="H185" s="0">
        <v>0.017</v>
      </c>
    </row>
    <row r="186">
      <c r="A186" s="0">
        <v>8575</v>
      </c>
      <c r="B186" s="0">
        <v>0.012</v>
      </c>
      <c r="C186" s="0">
        <v>8575</v>
      </c>
      <c r="D186" s="0">
        <v>0.004</v>
      </c>
      <c r="E186" s="0">
        <v>8575</v>
      </c>
      <c r="F186" s="0">
        <v>0.001</v>
      </c>
      <c r="G186" s="0">
        <v>8575</v>
      </c>
      <c r="H186" s="0">
        <v>0.016</v>
      </c>
    </row>
    <row r="187">
      <c r="A187" s="0">
        <v>8624</v>
      </c>
      <c r="B187" s="0">
        <v>0.012</v>
      </c>
      <c r="C187" s="0">
        <v>8624</v>
      </c>
      <c r="D187" s="0">
        <v>0.004</v>
      </c>
      <c r="E187" s="0">
        <v>8624</v>
      </c>
      <c r="F187" s="0">
        <v>0.001</v>
      </c>
      <c r="G187" s="0">
        <v>8624</v>
      </c>
      <c r="H187" s="0">
        <v>0.017</v>
      </c>
    </row>
    <row r="188">
      <c r="A188" s="0">
        <v>8673</v>
      </c>
      <c r="B188" s="0">
        <v>0.013</v>
      </c>
      <c r="C188" s="0">
        <v>8673</v>
      </c>
      <c r="D188" s="0">
        <v>0.004</v>
      </c>
      <c r="E188" s="0">
        <v>8673</v>
      </c>
      <c r="F188" s="0">
        <v>0.002</v>
      </c>
      <c r="G188" s="0">
        <v>8673</v>
      </c>
      <c r="H188" s="0">
        <v>0.017</v>
      </c>
    </row>
    <row r="189">
      <c r="A189" s="0">
        <v>8722</v>
      </c>
      <c r="B189" s="0">
        <v>0.012</v>
      </c>
      <c r="C189" s="0">
        <v>8722</v>
      </c>
      <c r="D189" s="0">
        <v>0.004</v>
      </c>
      <c r="E189" s="0">
        <v>8722</v>
      </c>
      <c r="F189" s="0">
        <v>0.002</v>
      </c>
      <c r="G189" s="0">
        <v>8722</v>
      </c>
      <c r="H189" s="0">
        <v>0.017</v>
      </c>
    </row>
    <row r="190">
      <c r="A190" s="0">
        <v>8771</v>
      </c>
      <c r="B190" s="0">
        <v>0.012</v>
      </c>
      <c r="C190" s="0">
        <v>8771</v>
      </c>
      <c r="D190" s="0">
        <v>0.003</v>
      </c>
      <c r="E190" s="0">
        <v>8771</v>
      </c>
      <c r="F190" s="0">
        <v>0.002</v>
      </c>
      <c r="G190" s="0">
        <v>8771</v>
      </c>
      <c r="H190" s="0">
        <v>0.017</v>
      </c>
    </row>
    <row r="191">
      <c r="A191" s="0">
        <v>8820</v>
      </c>
      <c r="B191" s="0">
        <v>0.013</v>
      </c>
      <c r="C191" s="0">
        <v>8820</v>
      </c>
      <c r="D191" s="0">
        <v>0.004</v>
      </c>
      <c r="E191" s="0">
        <v>8820</v>
      </c>
      <c r="F191" s="0">
        <v>0.003</v>
      </c>
      <c r="G191" s="0">
        <v>8820</v>
      </c>
      <c r="H191" s="0">
        <v>0.017</v>
      </c>
    </row>
    <row r="192">
      <c r="A192" s="0">
        <v>8869</v>
      </c>
      <c r="B192" s="0">
        <v>0.013</v>
      </c>
      <c r="C192" s="0">
        <v>8869</v>
      </c>
      <c r="D192" s="0">
        <v>0.004</v>
      </c>
      <c r="E192" s="0">
        <v>8869</v>
      </c>
      <c r="F192" s="0">
        <v>0.002</v>
      </c>
      <c r="G192" s="0">
        <v>8869</v>
      </c>
      <c r="H192" s="0">
        <v>0.017</v>
      </c>
    </row>
    <row r="193">
      <c r="A193" s="0">
        <v>8918</v>
      </c>
      <c r="B193" s="0">
        <v>0.013</v>
      </c>
      <c r="C193" s="0">
        <v>8918</v>
      </c>
      <c r="D193" s="0">
        <v>0.004</v>
      </c>
      <c r="E193" s="0">
        <v>8918</v>
      </c>
      <c r="F193" s="0">
        <v>0.002</v>
      </c>
      <c r="G193" s="0">
        <v>8918</v>
      </c>
      <c r="H193" s="0">
        <v>0.018</v>
      </c>
    </row>
    <row r="194">
      <c r="A194" s="0">
        <v>8967</v>
      </c>
      <c r="B194" s="0">
        <v>0.013</v>
      </c>
      <c r="C194" s="0">
        <v>8967</v>
      </c>
      <c r="D194" s="0">
        <v>0.004</v>
      </c>
      <c r="E194" s="0">
        <v>8967</v>
      </c>
      <c r="F194" s="0">
        <v>0.002</v>
      </c>
      <c r="G194" s="0">
        <v>8967</v>
      </c>
      <c r="H194" s="0">
        <v>0.017</v>
      </c>
    </row>
    <row r="195">
      <c r="A195" s="0">
        <v>9016</v>
      </c>
      <c r="B195" s="0">
        <v>0.012</v>
      </c>
      <c r="C195" s="0">
        <v>9016</v>
      </c>
      <c r="D195" s="0">
        <v>0.004</v>
      </c>
      <c r="E195" s="0">
        <v>9016</v>
      </c>
      <c r="F195" s="0">
        <v>0.002</v>
      </c>
      <c r="G195" s="0">
        <v>9016</v>
      </c>
      <c r="H195" s="0">
        <v>0.017</v>
      </c>
    </row>
    <row r="196">
      <c r="A196" s="0">
        <v>9065</v>
      </c>
      <c r="B196" s="0">
        <v>0.013</v>
      </c>
      <c r="C196" s="0">
        <v>9065</v>
      </c>
      <c r="D196" s="0">
        <v>0.004</v>
      </c>
      <c r="E196" s="0">
        <v>9065</v>
      </c>
      <c r="F196" s="0">
        <v>0.002</v>
      </c>
      <c r="G196" s="0">
        <v>9065</v>
      </c>
      <c r="H196" s="0">
        <v>0.016</v>
      </c>
    </row>
    <row r="197">
      <c r="A197" s="0">
        <v>9114</v>
      </c>
      <c r="B197" s="0">
        <v>0.013</v>
      </c>
      <c r="C197" s="0">
        <v>9114</v>
      </c>
      <c r="D197" s="0">
        <v>0.005</v>
      </c>
      <c r="E197" s="0">
        <v>9114</v>
      </c>
      <c r="F197" s="0">
        <v>0.002</v>
      </c>
      <c r="G197" s="0">
        <v>9114</v>
      </c>
      <c r="H197" s="0">
        <v>0.017</v>
      </c>
    </row>
    <row r="198">
      <c r="A198" s="0">
        <v>9163</v>
      </c>
      <c r="B198" s="0">
        <v>0.013</v>
      </c>
      <c r="C198" s="0">
        <v>9163</v>
      </c>
      <c r="D198" s="0">
        <v>0.004</v>
      </c>
      <c r="E198" s="0">
        <v>9163</v>
      </c>
      <c r="F198" s="0">
        <v>0.002</v>
      </c>
      <c r="G198" s="0">
        <v>9163</v>
      </c>
      <c r="H198" s="0">
        <v>0.017</v>
      </c>
    </row>
    <row r="199">
      <c r="A199" s="0">
        <v>9212</v>
      </c>
      <c r="B199" s="0">
        <v>0.013</v>
      </c>
      <c r="C199" s="0">
        <v>9212</v>
      </c>
      <c r="D199" s="0">
        <v>0.004</v>
      </c>
      <c r="E199" s="0">
        <v>9212</v>
      </c>
      <c r="F199" s="0">
        <v>0.002</v>
      </c>
      <c r="G199" s="0">
        <v>9212</v>
      </c>
      <c r="H199" s="0">
        <v>0.018</v>
      </c>
    </row>
    <row r="200">
      <c r="A200" s="0">
        <v>9261</v>
      </c>
      <c r="B200" s="0">
        <v>0.013</v>
      </c>
      <c r="C200" s="0">
        <v>9261</v>
      </c>
      <c r="D200" s="0">
        <v>0.005</v>
      </c>
      <c r="E200" s="0">
        <v>9261</v>
      </c>
      <c r="F200" s="0">
        <v>0.002</v>
      </c>
      <c r="G200" s="0">
        <v>9261</v>
      </c>
      <c r="H200" s="0">
        <v>0.017</v>
      </c>
    </row>
    <row r="201">
      <c r="A201" s="0">
        <v>9310</v>
      </c>
      <c r="B201" s="0">
        <v>0.013</v>
      </c>
      <c r="C201" s="0">
        <v>9310</v>
      </c>
      <c r="D201" s="0">
        <v>0.005</v>
      </c>
      <c r="E201" s="0">
        <v>9310</v>
      </c>
      <c r="F201" s="0">
        <v>0.002</v>
      </c>
      <c r="G201" s="0">
        <v>9310</v>
      </c>
      <c r="H201" s="0">
        <v>0.017</v>
      </c>
    </row>
    <row r="202">
      <c r="A202" s="0">
        <v>9359</v>
      </c>
      <c r="B202" s="0">
        <v>0.013</v>
      </c>
      <c r="C202" s="0">
        <v>9359</v>
      </c>
      <c r="D202" s="0">
        <v>0.005</v>
      </c>
      <c r="E202" s="0">
        <v>9359</v>
      </c>
      <c r="F202" s="0">
        <v>0.002</v>
      </c>
      <c r="G202" s="0">
        <v>9359</v>
      </c>
      <c r="H202" s="0">
        <v>0.017</v>
      </c>
    </row>
    <row r="203">
      <c r="A203" s="0">
        <v>9408</v>
      </c>
      <c r="B203" s="0">
        <v>0.013</v>
      </c>
      <c r="C203" s="0">
        <v>9408</v>
      </c>
      <c r="D203" s="0">
        <v>0.004</v>
      </c>
      <c r="E203" s="0">
        <v>9408</v>
      </c>
      <c r="F203" s="0">
        <v>0.002</v>
      </c>
      <c r="G203" s="0">
        <v>9408</v>
      </c>
      <c r="H203" s="0">
        <v>0.018</v>
      </c>
    </row>
    <row r="204">
      <c r="A204" s="0">
        <v>9457</v>
      </c>
      <c r="B204" s="0">
        <v>0.013</v>
      </c>
      <c r="C204" s="0">
        <v>9457</v>
      </c>
      <c r="D204" s="0">
        <v>0.004</v>
      </c>
      <c r="E204" s="0">
        <v>9457</v>
      </c>
      <c r="F204" s="0">
        <v>0.003</v>
      </c>
      <c r="G204" s="0">
        <v>9457</v>
      </c>
      <c r="H204" s="0">
        <v>0.017</v>
      </c>
    </row>
    <row r="205">
      <c r="A205" s="0">
        <v>9506</v>
      </c>
      <c r="B205" s="0">
        <v>0.014</v>
      </c>
      <c r="C205" s="0">
        <v>9506</v>
      </c>
      <c r="D205" s="0">
        <v>0.005</v>
      </c>
      <c r="E205" s="0">
        <v>9506</v>
      </c>
      <c r="F205" s="0">
        <v>0.002</v>
      </c>
      <c r="G205" s="0">
        <v>9506</v>
      </c>
      <c r="H205" s="0">
        <v>0.018</v>
      </c>
    </row>
    <row r="206">
      <c r="A206" s="0">
        <v>9555</v>
      </c>
      <c r="B206" s="0">
        <v>0.014</v>
      </c>
      <c r="C206" s="0">
        <v>9555</v>
      </c>
      <c r="D206" s="0">
        <v>0.004</v>
      </c>
      <c r="E206" s="0">
        <v>9555</v>
      </c>
      <c r="F206" s="0">
        <v>0.002</v>
      </c>
      <c r="G206" s="0">
        <v>9555</v>
      </c>
      <c r="H206" s="0">
        <v>0.018</v>
      </c>
    </row>
    <row r="207">
      <c r="A207" s="0">
        <v>9604</v>
      </c>
      <c r="B207" s="0">
        <v>0.014</v>
      </c>
      <c r="C207" s="0">
        <v>9604</v>
      </c>
      <c r="D207" s="0">
        <v>0.005</v>
      </c>
      <c r="E207" s="0">
        <v>9604</v>
      </c>
      <c r="F207" s="0">
        <v>0.002</v>
      </c>
      <c r="G207" s="0">
        <v>9604</v>
      </c>
      <c r="H207" s="0">
        <v>0.018</v>
      </c>
    </row>
    <row r="208">
      <c r="A208" s="0">
        <v>9653</v>
      </c>
      <c r="B208" s="0">
        <v>0.014</v>
      </c>
      <c r="C208" s="0">
        <v>9653</v>
      </c>
      <c r="D208" s="0">
        <v>0.005</v>
      </c>
      <c r="E208" s="0">
        <v>9653</v>
      </c>
      <c r="F208" s="0">
        <v>0.002</v>
      </c>
      <c r="G208" s="0">
        <v>9653</v>
      </c>
      <c r="H208" s="0">
        <v>0.017</v>
      </c>
    </row>
    <row r="209">
      <c r="A209" s="0">
        <v>9702</v>
      </c>
      <c r="B209" s="0">
        <v>0.014</v>
      </c>
      <c r="C209" s="0">
        <v>9702</v>
      </c>
      <c r="D209" s="0">
        <v>0.005</v>
      </c>
      <c r="E209" s="0">
        <v>9702</v>
      </c>
      <c r="F209" s="0">
        <v>0.003</v>
      </c>
      <c r="G209" s="0">
        <v>9702</v>
      </c>
      <c r="H209" s="0">
        <v>0.018</v>
      </c>
    </row>
    <row r="210">
      <c r="A210" s="0">
        <v>9751</v>
      </c>
      <c r="B210" s="0">
        <v>0.014</v>
      </c>
      <c r="C210" s="0">
        <v>9751</v>
      </c>
      <c r="D210" s="0">
        <v>0.006</v>
      </c>
      <c r="E210" s="0">
        <v>9751</v>
      </c>
      <c r="F210" s="0">
        <v>0.003</v>
      </c>
      <c r="G210" s="0">
        <v>9751</v>
      </c>
      <c r="H210" s="0">
        <v>0.019</v>
      </c>
    </row>
    <row r="211">
      <c r="A211" s="0">
        <v>9800</v>
      </c>
      <c r="B211" s="0">
        <v>0.014</v>
      </c>
      <c r="C211" s="0">
        <v>9800</v>
      </c>
      <c r="D211" s="0">
        <v>0.005</v>
      </c>
      <c r="E211" s="0">
        <v>9800</v>
      </c>
      <c r="F211" s="0">
        <v>0.003</v>
      </c>
      <c r="G211" s="0">
        <v>9800</v>
      </c>
      <c r="H211" s="0">
        <v>0.018</v>
      </c>
    </row>
    <row r="212">
      <c r="A212" s="0">
        <v>9849</v>
      </c>
      <c r="B212" s="0">
        <v>0.014</v>
      </c>
      <c r="C212" s="0">
        <v>9849</v>
      </c>
      <c r="D212" s="0">
        <v>0.005</v>
      </c>
      <c r="E212" s="0">
        <v>9849</v>
      </c>
      <c r="F212" s="0">
        <v>0.004</v>
      </c>
      <c r="G212" s="0">
        <v>9849</v>
      </c>
      <c r="H212" s="0">
        <v>0.018</v>
      </c>
    </row>
    <row r="213">
      <c r="A213" s="0">
        <v>9898</v>
      </c>
      <c r="B213" s="0">
        <v>0.014</v>
      </c>
      <c r="C213" s="0">
        <v>9898</v>
      </c>
      <c r="D213" s="0">
        <v>0.005</v>
      </c>
      <c r="E213" s="0">
        <v>9898</v>
      </c>
      <c r="F213" s="0">
        <v>0.003</v>
      </c>
      <c r="G213" s="0">
        <v>9898</v>
      </c>
      <c r="H213" s="0">
        <v>0.02</v>
      </c>
    </row>
    <row r="214">
      <c r="A214" s="0">
        <v>9947</v>
      </c>
      <c r="B214" s="0">
        <v>0.014</v>
      </c>
      <c r="C214" s="0">
        <v>9947</v>
      </c>
      <c r="D214" s="0">
        <v>0.006</v>
      </c>
      <c r="E214" s="0">
        <v>9947</v>
      </c>
      <c r="F214" s="0">
        <v>0.003</v>
      </c>
      <c r="G214" s="0">
        <v>9947</v>
      </c>
      <c r="H214" s="0">
        <v>0.018</v>
      </c>
    </row>
    <row r="215">
      <c r="A215" s="0">
        <v>9996</v>
      </c>
      <c r="B215" s="0">
        <v>0.014</v>
      </c>
      <c r="C215" s="0">
        <v>9996</v>
      </c>
      <c r="D215" s="0">
        <v>0.005</v>
      </c>
      <c r="E215" s="0">
        <v>9996</v>
      </c>
      <c r="F215" s="0">
        <v>0.004</v>
      </c>
      <c r="G215" s="0">
        <v>9996</v>
      </c>
      <c r="H215" s="0">
        <v>0.019</v>
      </c>
    </row>
    <row r="216">
      <c r="A216" s="0">
        <v>10045</v>
      </c>
      <c r="B216" s="0">
        <v>0.014</v>
      </c>
      <c r="C216" s="0">
        <v>10045</v>
      </c>
      <c r="D216" s="0">
        <v>0.006</v>
      </c>
      <c r="E216" s="0">
        <v>10045</v>
      </c>
      <c r="F216" s="0">
        <v>0.003</v>
      </c>
      <c r="G216" s="0">
        <v>10045</v>
      </c>
      <c r="H216" s="0">
        <v>0.019</v>
      </c>
    </row>
    <row r="217">
      <c r="A217" s="0">
        <v>10094</v>
      </c>
      <c r="B217" s="0">
        <v>0.015</v>
      </c>
      <c r="C217" s="0">
        <v>10094</v>
      </c>
      <c r="D217" s="0">
        <v>0.005</v>
      </c>
      <c r="E217" s="0">
        <v>10094</v>
      </c>
      <c r="F217" s="0">
        <v>0.003</v>
      </c>
      <c r="G217" s="0">
        <v>10094</v>
      </c>
      <c r="H217" s="0">
        <v>0.018</v>
      </c>
    </row>
    <row r="218">
      <c r="A218" s="0">
        <v>10143</v>
      </c>
      <c r="B218" s="0">
        <v>0.015</v>
      </c>
      <c r="C218" s="0">
        <v>10143</v>
      </c>
      <c r="D218" s="0">
        <v>0.005</v>
      </c>
      <c r="E218" s="0">
        <v>10143</v>
      </c>
      <c r="F218" s="0">
        <v>0.003</v>
      </c>
      <c r="G218" s="0">
        <v>10143</v>
      </c>
      <c r="H218" s="0">
        <v>0.019</v>
      </c>
    </row>
    <row r="219">
      <c r="A219" s="0">
        <v>10192</v>
      </c>
      <c r="B219" s="0">
        <v>0.015</v>
      </c>
      <c r="C219" s="0">
        <v>10192</v>
      </c>
      <c r="D219" s="0">
        <v>0.006</v>
      </c>
      <c r="E219" s="0">
        <v>10192</v>
      </c>
      <c r="F219" s="0">
        <v>0.003</v>
      </c>
      <c r="G219" s="0">
        <v>10192</v>
      </c>
      <c r="H219" s="0">
        <v>0.018</v>
      </c>
    </row>
    <row r="220">
      <c r="A220" s="0">
        <v>10241</v>
      </c>
      <c r="B220" s="0">
        <v>0.014</v>
      </c>
      <c r="C220" s="0">
        <v>10241</v>
      </c>
      <c r="D220" s="0">
        <v>0.005</v>
      </c>
      <c r="E220" s="0">
        <v>10241</v>
      </c>
      <c r="F220" s="0">
        <v>0.004</v>
      </c>
      <c r="G220" s="0">
        <v>10241</v>
      </c>
      <c r="H220" s="0">
        <v>0.018</v>
      </c>
    </row>
    <row r="221">
      <c r="A221" s="0">
        <v>10290</v>
      </c>
      <c r="B221" s="0">
        <v>0.015</v>
      </c>
      <c r="C221" s="0">
        <v>10290</v>
      </c>
      <c r="D221" s="0">
        <v>0.006</v>
      </c>
      <c r="E221" s="0">
        <v>10290</v>
      </c>
      <c r="F221" s="0">
        <v>0.004</v>
      </c>
      <c r="G221" s="0">
        <v>10290</v>
      </c>
      <c r="H221" s="0">
        <v>0.019</v>
      </c>
    </row>
    <row r="222">
      <c r="A222" s="0">
        <v>10339</v>
      </c>
      <c r="B222" s="0">
        <v>0.015</v>
      </c>
      <c r="C222" s="0">
        <v>10339</v>
      </c>
      <c r="D222" s="0">
        <v>0.007</v>
      </c>
      <c r="E222" s="0">
        <v>10339</v>
      </c>
      <c r="F222" s="0">
        <v>0.003</v>
      </c>
      <c r="G222" s="0">
        <v>10339</v>
      </c>
      <c r="H222" s="0">
        <v>0.019</v>
      </c>
    </row>
    <row r="223">
      <c r="A223" s="0">
        <v>10388</v>
      </c>
      <c r="B223" s="0">
        <v>0.015</v>
      </c>
      <c r="C223" s="0">
        <v>10388</v>
      </c>
      <c r="D223" s="0">
        <v>0.006</v>
      </c>
      <c r="E223" s="0">
        <v>10388</v>
      </c>
      <c r="F223" s="0">
        <v>0.004</v>
      </c>
      <c r="G223" s="0">
        <v>10388</v>
      </c>
      <c r="H223" s="0">
        <v>0.019</v>
      </c>
    </row>
    <row r="224">
      <c r="A224" s="0">
        <v>10437</v>
      </c>
      <c r="B224" s="0">
        <v>0.015</v>
      </c>
      <c r="C224" s="0">
        <v>10437</v>
      </c>
      <c r="D224" s="0">
        <v>0.005</v>
      </c>
      <c r="E224" s="0">
        <v>10437</v>
      </c>
      <c r="F224" s="0">
        <v>0.003</v>
      </c>
      <c r="G224" s="0">
        <v>10437</v>
      </c>
      <c r="H224" s="0">
        <v>0.019</v>
      </c>
    </row>
    <row r="225">
      <c r="A225" s="0">
        <v>10486</v>
      </c>
      <c r="B225" s="0">
        <v>0.015</v>
      </c>
      <c r="C225" s="0">
        <v>10486</v>
      </c>
      <c r="D225" s="0">
        <v>0.007</v>
      </c>
      <c r="E225" s="0">
        <v>10486</v>
      </c>
      <c r="F225" s="0">
        <v>0.004</v>
      </c>
      <c r="G225" s="0">
        <v>10486</v>
      </c>
      <c r="H225" s="0">
        <v>0.018</v>
      </c>
    </row>
    <row r="226">
      <c r="A226" s="0">
        <v>10535</v>
      </c>
      <c r="B226" s="0">
        <v>0.016</v>
      </c>
      <c r="C226" s="0">
        <v>10535</v>
      </c>
      <c r="D226" s="0">
        <v>0.006</v>
      </c>
      <c r="E226" s="0">
        <v>10535</v>
      </c>
      <c r="F226" s="0">
        <v>0.004</v>
      </c>
      <c r="G226" s="0">
        <v>10535</v>
      </c>
      <c r="H226" s="0">
        <v>0.019</v>
      </c>
    </row>
    <row r="227">
      <c r="A227" s="0">
        <v>10584</v>
      </c>
      <c r="B227" s="0">
        <v>0.015</v>
      </c>
      <c r="C227" s="0">
        <v>10584</v>
      </c>
      <c r="D227" s="0">
        <v>0.006</v>
      </c>
      <c r="E227" s="0">
        <v>10584</v>
      </c>
      <c r="F227" s="0">
        <v>0.004</v>
      </c>
      <c r="G227" s="0">
        <v>10584</v>
      </c>
      <c r="H227" s="0">
        <v>0.019</v>
      </c>
    </row>
    <row r="228">
      <c r="A228" s="0">
        <v>10633</v>
      </c>
      <c r="B228" s="0">
        <v>0.015</v>
      </c>
      <c r="C228" s="0">
        <v>10633</v>
      </c>
      <c r="D228" s="0">
        <v>0.006</v>
      </c>
      <c r="E228" s="0">
        <v>10633</v>
      </c>
      <c r="F228" s="0">
        <v>0.004</v>
      </c>
      <c r="G228" s="0">
        <v>10633</v>
      </c>
      <c r="H228" s="0">
        <v>0.02</v>
      </c>
    </row>
    <row r="229">
      <c r="A229" s="0">
        <v>10682</v>
      </c>
      <c r="B229" s="0">
        <v>0.016</v>
      </c>
      <c r="C229" s="0">
        <v>10682</v>
      </c>
      <c r="D229" s="0">
        <v>0.006</v>
      </c>
      <c r="E229" s="0">
        <v>10682</v>
      </c>
      <c r="F229" s="0">
        <v>0.004</v>
      </c>
      <c r="G229" s="0">
        <v>10682</v>
      </c>
      <c r="H229" s="0">
        <v>0.019</v>
      </c>
    </row>
    <row r="230">
      <c r="A230" s="0">
        <v>10731</v>
      </c>
      <c r="B230" s="0">
        <v>0.015</v>
      </c>
      <c r="C230" s="0">
        <v>10731</v>
      </c>
      <c r="D230" s="0">
        <v>0.006</v>
      </c>
      <c r="E230" s="0">
        <v>10731</v>
      </c>
      <c r="F230" s="0">
        <v>0.004</v>
      </c>
      <c r="G230" s="0">
        <v>10731</v>
      </c>
      <c r="H230" s="0">
        <v>0.02</v>
      </c>
    </row>
    <row r="231">
      <c r="A231" s="0">
        <v>10780</v>
      </c>
      <c r="B231" s="0">
        <v>0.016</v>
      </c>
      <c r="C231" s="0">
        <v>10780</v>
      </c>
      <c r="D231" s="0">
        <v>0.007</v>
      </c>
      <c r="E231" s="0">
        <v>10780</v>
      </c>
      <c r="F231" s="0">
        <v>0.004</v>
      </c>
      <c r="G231" s="0">
        <v>10780</v>
      </c>
      <c r="H231" s="0">
        <v>0.019</v>
      </c>
    </row>
    <row r="232">
      <c r="A232" s="0">
        <v>10829</v>
      </c>
      <c r="B232" s="0">
        <v>0.015</v>
      </c>
      <c r="C232" s="0">
        <v>10829</v>
      </c>
      <c r="D232" s="0">
        <v>0.007</v>
      </c>
      <c r="E232" s="0">
        <v>10829</v>
      </c>
      <c r="F232" s="0">
        <v>0.004</v>
      </c>
      <c r="G232" s="0">
        <v>10829</v>
      </c>
      <c r="H232" s="0">
        <v>0.02</v>
      </c>
    </row>
    <row r="233">
      <c r="A233" s="0">
        <v>10878</v>
      </c>
      <c r="B233" s="0">
        <v>0.015</v>
      </c>
      <c r="C233" s="0">
        <v>10878</v>
      </c>
      <c r="D233" s="0">
        <v>0.007</v>
      </c>
      <c r="E233" s="0">
        <v>10878</v>
      </c>
      <c r="F233" s="0">
        <v>0.004</v>
      </c>
      <c r="G233" s="0">
        <v>10878</v>
      </c>
      <c r="H233" s="0">
        <v>0.02</v>
      </c>
    </row>
    <row r="234">
      <c r="A234" s="0">
        <v>10927</v>
      </c>
      <c r="B234" s="0">
        <v>0.015</v>
      </c>
      <c r="C234" s="0">
        <v>10927</v>
      </c>
      <c r="D234" s="0">
        <v>0.007</v>
      </c>
      <c r="E234" s="0">
        <v>10927</v>
      </c>
      <c r="F234" s="0">
        <v>0.005</v>
      </c>
      <c r="G234" s="0">
        <v>10927</v>
      </c>
      <c r="H234" s="0">
        <v>0.02</v>
      </c>
    </row>
    <row r="235">
      <c r="A235" s="0">
        <v>10976</v>
      </c>
      <c r="B235" s="0">
        <v>0.016</v>
      </c>
      <c r="C235" s="0">
        <v>10976</v>
      </c>
      <c r="D235" s="0">
        <v>0.006</v>
      </c>
      <c r="E235" s="0">
        <v>10976</v>
      </c>
      <c r="F235" s="0">
        <v>0.004</v>
      </c>
      <c r="G235" s="0">
        <v>10976</v>
      </c>
      <c r="H235" s="0">
        <v>0.019</v>
      </c>
    </row>
    <row r="236">
      <c r="A236" s="0">
        <v>11025</v>
      </c>
      <c r="B236" s="0">
        <v>0.016</v>
      </c>
      <c r="C236" s="0">
        <v>11025</v>
      </c>
      <c r="D236" s="0">
        <v>0.007</v>
      </c>
      <c r="E236" s="0">
        <v>11025</v>
      </c>
      <c r="F236" s="0">
        <v>0.004</v>
      </c>
      <c r="G236" s="0">
        <v>11025</v>
      </c>
      <c r="H236" s="0">
        <v>0.02</v>
      </c>
    </row>
    <row r="237">
      <c r="A237" s="0">
        <v>11074</v>
      </c>
      <c r="B237" s="0">
        <v>0.016</v>
      </c>
      <c r="C237" s="0">
        <v>11074</v>
      </c>
      <c r="D237" s="0">
        <v>0.006</v>
      </c>
      <c r="E237" s="0">
        <v>11074</v>
      </c>
      <c r="F237" s="0">
        <v>0.004</v>
      </c>
      <c r="G237" s="0">
        <v>11074</v>
      </c>
      <c r="H237" s="0">
        <v>0.019</v>
      </c>
    </row>
    <row r="238">
      <c r="A238" s="0">
        <v>11123</v>
      </c>
      <c r="B238" s="0">
        <v>0.016</v>
      </c>
      <c r="C238" s="0">
        <v>11123</v>
      </c>
      <c r="D238" s="0">
        <v>0.007</v>
      </c>
      <c r="E238" s="0">
        <v>11123</v>
      </c>
      <c r="F238" s="0">
        <v>0.004</v>
      </c>
      <c r="G238" s="0">
        <v>11123</v>
      </c>
      <c r="H238" s="0">
        <v>0.02</v>
      </c>
    </row>
    <row r="239">
      <c r="A239" s="0">
        <v>11172</v>
      </c>
      <c r="B239" s="0">
        <v>0.017</v>
      </c>
      <c r="C239" s="0">
        <v>11172</v>
      </c>
      <c r="D239" s="0">
        <v>0.007</v>
      </c>
      <c r="E239" s="0">
        <v>11172</v>
      </c>
      <c r="F239" s="0">
        <v>0.005</v>
      </c>
      <c r="G239" s="0">
        <v>11172</v>
      </c>
      <c r="H239" s="0">
        <v>0.021</v>
      </c>
    </row>
    <row r="240">
      <c r="A240" s="0">
        <v>11221</v>
      </c>
      <c r="B240" s="0">
        <v>0.016</v>
      </c>
      <c r="C240" s="0">
        <v>11221</v>
      </c>
      <c r="D240" s="0">
        <v>0.007</v>
      </c>
      <c r="E240" s="0">
        <v>11221</v>
      </c>
      <c r="F240" s="0">
        <v>0.004</v>
      </c>
      <c r="G240" s="0">
        <v>11221</v>
      </c>
      <c r="H240" s="0">
        <v>0.02</v>
      </c>
    </row>
    <row r="241">
      <c r="A241" s="0">
        <v>11270</v>
      </c>
      <c r="B241" s="0">
        <v>0.016</v>
      </c>
      <c r="C241" s="0">
        <v>11270</v>
      </c>
      <c r="D241" s="0">
        <v>0.007</v>
      </c>
      <c r="E241" s="0">
        <v>11270</v>
      </c>
      <c r="F241" s="0">
        <v>0.005</v>
      </c>
      <c r="G241" s="0">
        <v>11270</v>
      </c>
      <c r="H241" s="0">
        <v>0.02</v>
      </c>
    </row>
    <row r="242">
      <c r="A242" s="0">
        <v>11319</v>
      </c>
      <c r="B242" s="0">
        <v>0.016</v>
      </c>
      <c r="C242" s="0">
        <v>11319</v>
      </c>
      <c r="D242" s="0">
        <v>0.007</v>
      </c>
      <c r="E242" s="0">
        <v>11319</v>
      </c>
      <c r="F242" s="0">
        <v>0.005</v>
      </c>
      <c r="G242" s="0">
        <v>11319</v>
      </c>
      <c r="H242" s="0">
        <v>0.02</v>
      </c>
    </row>
    <row r="243">
      <c r="A243" s="0">
        <v>11368</v>
      </c>
      <c r="B243" s="0">
        <v>0.016</v>
      </c>
      <c r="C243" s="0">
        <v>11368</v>
      </c>
      <c r="D243" s="0">
        <v>0.008</v>
      </c>
      <c r="E243" s="0">
        <v>11368</v>
      </c>
      <c r="F243" s="0">
        <v>0.005</v>
      </c>
      <c r="G243" s="0">
        <v>11368</v>
      </c>
      <c r="H243" s="0">
        <v>0.02</v>
      </c>
    </row>
    <row r="244">
      <c r="A244" s="0">
        <v>11417</v>
      </c>
      <c r="B244" s="0">
        <v>0.017</v>
      </c>
      <c r="C244" s="0">
        <v>11417</v>
      </c>
      <c r="D244" s="0">
        <v>0.007</v>
      </c>
      <c r="E244" s="0">
        <v>11417</v>
      </c>
      <c r="F244" s="0">
        <v>0.004</v>
      </c>
      <c r="G244" s="0">
        <v>11417</v>
      </c>
      <c r="H244" s="0">
        <v>0.02</v>
      </c>
    </row>
    <row r="245">
      <c r="A245" s="0">
        <v>11466</v>
      </c>
      <c r="B245" s="0">
        <v>0.017</v>
      </c>
      <c r="C245" s="0">
        <v>11466</v>
      </c>
      <c r="D245" s="0">
        <v>0.008</v>
      </c>
      <c r="E245" s="0">
        <v>11466</v>
      </c>
      <c r="F245" s="0">
        <v>0.005</v>
      </c>
      <c r="G245" s="0">
        <v>11466</v>
      </c>
      <c r="H245" s="0">
        <v>0.021</v>
      </c>
    </row>
    <row r="246">
      <c r="A246" s="0">
        <v>11515</v>
      </c>
      <c r="B246" s="0">
        <v>0.017</v>
      </c>
      <c r="C246" s="0">
        <v>11515</v>
      </c>
      <c r="D246" s="0">
        <v>0.007</v>
      </c>
      <c r="E246" s="0">
        <v>11515</v>
      </c>
      <c r="F246" s="0">
        <v>0.004</v>
      </c>
      <c r="G246" s="0">
        <v>11515</v>
      </c>
      <c r="H246" s="0">
        <v>0.021</v>
      </c>
    </row>
    <row r="247">
      <c r="A247" s="0">
        <v>11564</v>
      </c>
      <c r="B247" s="0">
        <v>0.017</v>
      </c>
      <c r="C247" s="0">
        <v>11564</v>
      </c>
      <c r="D247" s="0">
        <v>0.008</v>
      </c>
      <c r="E247" s="0">
        <v>11564</v>
      </c>
      <c r="F247" s="0">
        <v>0.005</v>
      </c>
      <c r="G247" s="0">
        <v>11564</v>
      </c>
      <c r="H247" s="0">
        <v>0.021</v>
      </c>
    </row>
    <row r="248">
      <c r="A248" s="0">
        <v>11613</v>
      </c>
      <c r="B248" s="0">
        <v>0.017</v>
      </c>
      <c r="C248" s="0">
        <v>11613</v>
      </c>
      <c r="D248" s="0">
        <v>0.008</v>
      </c>
      <c r="E248" s="0">
        <v>11613</v>
      </c>
      <c r="F248" s="0">
        <v>0.005</v>
      </c>
      <c r="G248" s="0">
        <v>11613</v>
      </c>
      <c r="H248" s="0">
        <v>0.021</v>
      </c>
    </row>
    <row r="249">
      <c r="A249" s="0">
        <v>11662</v>
      </c>
      <c r="B249" s="0">
        <v>0.017</v>
      </c>
      <c r="C249" s="0">
        <v>11662</v>
      </c>
      <c r="D249" s="0">
        <v>0.008</v>
      </c>
      <c r="E249" s="0">
        <v>11662</v>
      </c>
      <c r="F249" s="0">
        <v>0.005</v>
      </c>
      <c r="G249" s="0">
        <v>11662</v>
      </c>
      <c r="H249" s="0">
        <v>0.02</v>
      </c>
    </row>
    <row r="250">
      <c r="A250" s="0">
        <v>11711</v>
      </c>
      <c r="B250" s="0">
        <v>0.017</v>
      </c>
      <c r="C250" s="0">
        <v>11711</v>
      </c>
      <c r="D250" s="0">
        <v>0.008</v>
      </c>
      <c r="E250" s="0">
        <v>11711</v>
      </c>
      <c r="F250" s="0">
        <v>0.005</v>
      </c>
      <c r="G250" s="0">
        <v>11711</v>
      </c>
      <c r="H250" s="0">
        <v>0.021</v>
      </c>
    </row>
    <row r="251">
      <c r="A251" s="0">
        <v>11760</v>
      </c>
      <c r="B251" s="0">
        <v>0.017</v>
      </c>
      <c r="C251" s="0">
        <v>11760</v>
      </c>
      <c r="D251" s="0">
        <v>0.008</v>
      </c>
      <c r="E251" s="0">
        <v>11760</v>
      </c>
      <c r="F251" s="0">
        <v>0.005</v>
      </c>
      <c r="G251" s="0">
        <v>11760</v>
      </c>
      <c r="H251" s="0">
        <v>0.021</v>
      </c>
    </row>
    <row r="252">
      <c r="A252" s="0">
        <v>11809</v>
      </c>
      <c r="B252" s="0">
        <v>0.017</v>
      </c>
      <c r="C252" s="0">
        <v>11809</v>
      </c>
      <c r="D252" s="0">
        <v>0.008</v>
      </c>
      <c r="E252" s="0">
        <v>11809</v>
      </c>
      <c r="F252" s="0">
        <v>0.005</v>
      </c>
      <c r="G252" s="0">
        <v>11809</v>
      </c>
      <c r="H252" s="0">
        <v>0.021</v>
      </c>
    </row>
    <row r="253">
      <c r="A253" s="0">
        <v>11858</v>
      </c>
      <c r="B253" s="0">
        <v>0.018</v>
      </c>
      <c r="C253" s="0">
        <v>11858</v>
      </c>
      <c r="D253" s="0">
        <v>0.008</v>
      </c>
      <c r="E253" s="0">
        <v>11858</v>
      </c>
      <c r="F253" s="0">
        <v>0.005</v>
      </c>
      <c r="G253" s="0">
        <v>11858</v>
      </c>
      <c r="H253" s="0">
        <v>0.021</v>
      </c>
    </row>
    <row r="254">
      <c r="A254" s="0">
        <v>11907</v>
      </c>
      <c r="B254" s="0">
        <v>0.018</v>
      </c>
      <c r="C254" s="0">
        <v>11907</v>
      </c>
      <c r="D254" s="0">
        <v>0.008</v>
      </c>
      <c r="E254" s="0">
        <v>11907</v>
      </c>
      <c r="F254" s="0">
        <v>0.005</v>
      </c>
      <c r="G254" s="0">
        <v>11907</v>
      </c>
      <c r="H254" s="0">
        <v>0.022</v>
      </c>
    </row>
    <row r="255">
      <c r="A255" s="0">
        <v>11956</v>
      </c>
      <c r="B255" s="0">
        <v>0.018</v>
      </c>
      <c r="C255" s="0">
        <v>11956</v>
      </c>
      <c r="D255" s="0">
        <v>0.008</v>
      </c>
      <c r="E255" s="0">
        <v>11956</v>
      </c>
      <c r="F255" s="0">
        <v>0.005</v>
      </c>
      <c r="G255" s="0">
        <v>11956</v>
      </c>
      <c r="H255" s="0">
        <v>0.021</v>
      </c>
    </row>
    <row r="256">
      <c r="A256" s="0">
        <v>12005</v>
      </c>
      <c r="B256" s="0">
        <v>0.017</v>
      </c>
      <c r="C256" s="0">
        <v>12005</v>
      </c>
      <c r="D256" s="0">
        <v>0.008</v>
      </c>
      <c r="E256" s="0">
        <v>12005</v>
      </c>
      <c r="F256" s="0">
        <v>0.006</v>
      </c>
      <c r="G256" s="0">
        <v>12005</v>
      </c>
      <c r="H256" s="0">
        <v>0.021</v>
      </c>
    </row>
    <row r="257">
      <c r="A257" s="0">
        <v>12054</v>
      </c>
      <c r="B257" s="0">
        <v>0.017</v>
      </c>
      <c r="C257" s="0">
        <v>12054</v>
      </c>
      <c r="D257" s="0">
        <v>0.009</v>
      </c>
      <c r="E257" s="0">
        <v>12054</v>
      </c>
      <c r="F257" s="0">
        <v>0.007</v>
      </c>
      <c r="G257" s="0">
        <v>12054</v>
      </c>
      <c r="H257" s="0">
        <v>0.021</v>
      </c>
    </row>
    <row r="258">
      <c r="A258" s="0">
        <v>12103</v>
      </c>
      <c r="B258" s="0">
        <v>0.017</v>
      </c>
      <c r="C258" s="0">
        <v>12103</v>
      </c>
      <c r="D258" s="0">
        <v>0.009</v>
      </c>
      <c r="E258" s="0">
        <v>12103</v>
      </c>
      <c r="F258" s="0">
        <v>0.005</v>
      </c>
      <c r="G258" s="0">
        <v>12103</v>
      </c>
      <c r="H258" s="0">
        <v>0.021</v>
      </c>
    </row>
    <row r="259">
      <c r="A259" s="0">
        <v>12152</v>
      </c>
      <c r="B259" s="0">
        <v>0.018</v>
      </c>
      <c r="C259" s="0">
        <v>12152</v>
      </c>
      <c r="D259" s="0">
        <v>0.009</v>
      </c>
      <c r="E259" s="0">
        <v>12152</v>
      </c>
      <c r="F259" s="0">
        <v>0.005</v>
      </c>
      <c r="G259" s="0">
        <v>12152</v>
      </c>
      <c r="H259" s="0">
        <v>0.021</v>
      </c>
    </row>
    <row r="260">
      <c r="A260" s="0">
        <v>12201</v>
      </c>
      <c r="B260" s="0">
        <v>0.017</v>
      </c>
      <c r="C260" s="0">
        <v>12201</v>
      </c>
      <c r="D260" s="0">
        <v>0.009</v>
      </c>
      <c r="E260" s="0">
        <v>12201</v>
      </c>
      <c r="F260" s="0">
        <v>0.006</v>
      </c>
      <c r="G260" s="0">
        <v>12201</v>
      </c>
      <c r="H260" s="0">
        <v>0.022</v>
      </c>
    </row>
    <row r="261">
      <c r="A261" s="0">
        <v>12250</v>
      </c>
      <c r="B261" s="0">
        <v>0.018</v>
      </c>
      <c r="C261" s="0">
        <v>12250</v>
      </c>
      <c r="D261" s="0">
        <v>0.009</v>
      </c>
      <c r="E261" s="0">
        <v>12250</v>
      </c>
      <c r="F261" s="0">
        <v>0.006</v>
      </c>
      <c r="G261" s="0">
        <v>12250</v>
      </c>
      <c r="H261" s="0">
        <v>0.022</v>
      </c>
    </row>
    <row r="262">
      <c r="A262" s="0">
        <v>12299</v>
      </c>
      <c r="B262" s="0">
        <v>0.018</v>
      </c>
      <c r="C262" s="0">
        <v>12299</v>
      </c>
      <c r="D262" s="0">
        <v>0.008</v>
      </c>
      <c r="E262" s="0">
        <v>12299</v>
      </c>
      <c r="F262" s="0">
        <v>0.005</v>
      </c>
      <c r="G262" s="0">
        <v>12299</v>
      </c>
      <c r="H262" s="0">
        <v>0.021</v>
      </c>
    </row>
    <row r="263">
      <c r="A263" s="0">
        <v>12348</v>
      </c>
      <c r="B263" s="0">
        <v>0.017</v>
      </c>
      <c r="C263" s="0">
        <v>12348</v>
      </c>
      <c r="D263" s="0">
        <v>0.009</v>
      </c>
      <c r="E263" s="0">
        <v>12348</v>
      </c>
      <c r="F263" s="0">
        <v>0.005</v>
      </c>
      <c r="G263" s="0">
        <v>12348</v>
      </c>
      <c r="H263" s="0">
        <v>0.022</v>
      </c>
    </row>
    <row r="264">
      <c r="A264" s="0">
        <v>12397</v>
      </c>
      <c r="B264" s="0">
        <v>0.018</v>
      </c>
      <c r="C264" s="0">
        <v>12397</v>
      </c>
      <c r="D264" s="0">
        <v>0.009</v>
      </c>
      <c r="E264" s="0">
        <v>12397</v>
      </c>
      <c r="F264" s="0">
        <v>0.006</v>
      </c>
      <c r="G264" s="0">
        <v>12397</v>
      </c>
      <c r="H264" s="0">
        <v>0.022</v>
      </c>
    </row>
    <row r="265">
      <c r="A265" s="0">
        <v>12446</v>
      </c>
      <c r="B265" s="0">
        <v>0.018</v>
      </c>
      <c r="C265" s="0">
        <v>12446</v>
      </c>
      <c r="D265" s="0">
        <v>0.009</v>
      </c>
      <c r="E265" s="0">
        <v>12446</v>
      </c>
      <c r="F265" s="0">
        <v>0.006</v>
      </c>
      <c r="G265" s="0">
        <v>12446</v>
      </c>
      <c r="H265" s="0">
        <v>0.022</v>
      </c>
    </row>
    <row r="266">
      <c r="A266" s="0">
        <v>12495</v>
      </c>
      <c r="B266" s="0">
        <v>0.018</v>
      </c>
      <c r="C266" s="0">
        <v>12495</v>
      </c>
      <c r="D266" s="0">
        <v>0.009</v>
      </c>
      <c r="E266" s="0">
        <v>12495</v>
      </c>
      <c r="F266" s="0">
        <v>0.005</v>
      </c>
      <c r="G266" s="0">
        <v>12495</v>
      </c>
      <c r="H266" s="0">
        <v>0.022</v>
      </c>
    </row>
    <row r="267">
      <c r="A267" s="0">
        <v>12544</v>
      </c>
      <c r="B267" s="0">
        <v>0.018</v>
      </c>
      <c r="C267" s="0">
        <v>12544</v>
      </c>
      <c r="D267" s="0">
        <v>0.009</v>
      </c>
      <c r="E267" s="0">
        <v>12544</v>
      </c>
      <c r="F267" s="0">
        <v>0.006</v>
      </c>
      <c r="G267" s="0">
        <v>12544</v>
      </c>
      <c r="H267" s="0">
        <v>0.022</v>
      </c>
    </row>
    <row r="268">
      <c r="A268" s="0">
        <v>12593</v>
      </c>
      <c r="B268" s="0">
        <v>0.018</v>
      </c>
      <c r="C268" s="0">
        <v>12593</v>
      </c>
      <c r="D268" s="0">
        <v>0.009</v>
      </c>
      <c r="E268" s="0">
        <v>12593</v>
      </c>
      <c r="F268" s="0">
        <v>0.006</v>
      </c>
      <c r="G268" s="0">
        <v>12593</v>
      </c>
      <c r="H268" s="0">
        <v>0.021</v>
      </c>
    </row>
    <row r="269">
      <c r="A269" s="0">
        <v>12642</v>
      </c>
      <c r="B269" s="0">
        <v>0.018</v>
      </c>
      <c r="C269" s="0">
        <v>12642</v>
      </c>
      <c r="D269" s="0">
        <v>0.009</v>
      </c>
      <c r="E269" s="0">
        <v>12642</v>
      </c>
      <c r="F269" s="0">
        <v>0.006</v>
      </c>
      <c r="G269" s="0">
        <v>12642</v>
      </c>
      <c r="H269" s="0">
        <v>0.021</v>
      </c>
    </row>
    <row r="270">
      <c r="A270" s="0">
        <v>12691</v>
      </c>
      <c r="B270" s="0">
        <v>0.018</v>
      </c>
      <c r="C270" s="0">
        <v>12691</v>
      </c>
      <c r="D270" s="0">
        <v>0.009</v>
      </c>
      <c r="E270" s="0">
        <v>12691</v>
      </c>
      <c r="F270" s="0">
        <v>0.007</v>
      </c>
      <c r="G270" s="0">
        <v>12691</v>
      </c>
      <c r="H270" s="0">
        <v>0.022</v>
      </c>
    </row>
    <row r="271">
      <c r="A271" s="0">
        <v>12740</v>
      </c>
      <c r="B271" s="0">
        <v>0.018</v>
      </c>
      <c r="C271" s="0">
        <v>12740</v>
      </c>
      <c r="D271" s="0">
        <v>0.009</v>
      </c>
      <c r="E271" s="0">
        <v>12740</v>
      </c>
      <c r="F271" s="0">
        <v>0.006</v>
      </c>
      <c r="G271" s="0">
        <v>12740</v>
      </c>
      <c r="H271" s="0">
        <v>0.022</v>
      </c>
    </row>
    <row r="272">
      <c r="A272" s="0">
        <v>12789</v>
      </c>
      <c r="B272" s="0">
        <v>0.018</v>
      </c>
      <c r="C272" s="0">
        <v>12789</v>
      </c>
      <c r="D272" s="0">
        <v>0.009</v>
      </c>
      <c r="E272" s="0">
        <v>12789</v>
      </c>
      <c r="F272" s="0">
        <v>0.005</v>
      </c>
      <c r="G272" s="0">
        <v>12789</v>
      </c>
      <c r="H272" s="0">
        <v>0.022</v>
      </c>
    </row>
    <row r="273">
      <c r="A273" s="0">
        <v>12838</v>
      </c>
      <c r="B273" s="0">
        <v>0.018</v>
      </c>
      <c r="C273" s="0">
        <v>12838</v>
      </c>
      <c r="D273" s="0">
        <v>0.009</v>
      </c>
      <c r="E273" s="0">
        <v>12838</v>
      </c>
      <c r="F273" s="0">
        <v>0.007</v>
      </c>
      <c r="G273" s="0">
        <v>12838</v>
      </c>
      <c r="H273" s="0">
        <v>0.023</v>
      </c>
    </row>
    <row r="274">
      <c r="A274" s="0">
        <v>12887</v>
      </c>
      <c r="B274" s="0">
        <v>0.019</v>
      </c>
      <c r="C274" s="0">
        <v>12887</v>
      </c>
      <c r="D274" s="0">
        <v>0.01</v>
      </c>
      <c r="E274" s="0">
        <v>12887</v>
      </c>
      <c r="F274" s="0">
        <v>0.006</v>
      </c>
      <c r="G274" s="0">
        <v>12887</v>
      </c>
      <c r="H274" s="0">
        <v>0.023</v>
      </c>
    </row>
    <row r="275">
      <c r="A275" s="0">
        <v>12936</v>
      </c>
      <c r="B275" s="0">
        <v>0.019</v>
      </c>
      <c r="C275" s="0">
        <v>12936</v>
      </c>
      <c r="D275" s="0">
        <v>0.01</v>
      </c>
      <c r="E275" s="0">
        <v>12936</v>
      </c>
      <c r="F275" s="0">
        <v>0.006</v>
      </c>
      <c r="G275" s="0">
        <v>12936</v>
      </c>
      <c r="H275" s="0">
        <v>0.023</v>
      </c>
    </row>
    <row r="276">
      <c r="A276" s="0">
        <v>12985</v>
      </c>
      <c r="B276" s="0">
        <v>0.019</v>
      </c>
      <c r="C276" s="0">
        <v>12985</v>
      </c>
      <c r="D276" s="0">
        <v>0.009</v>
      </c>
      <c r="E276" s="0">
        <v>12985</v>
      </c>
      <c r="F276" s="0">
        <v>0.007</v>
      </c>
      <c r="G276" s="0">
        <v>12985</v>
      </c>
      <c r="H276" s="0">
        <v>0.023</v>
      </c>
    </row>
    <row r="277">
      <c r="A277" s="0">
        <v>13034</v>
      </c>
      <c r="B277" s="0">
        <v>0.018</v>
      </c>
      <c r="C277" s="0">
        <v>13034</v>
      </c>
      <c r="D277" s="0">
        <v>0.01</v>
      </c>
      <c r="E277" s="0">
        <v>13034</v>
      </c>
      <c r="F277" s="0">
        <v>0.007</v>
      </c>
      <c r="G277" s="0">
        <v>13034</v>
      </c>
      <c r="H277" s="0">
        <v>0.022</v>
      </c>
    </row>
    <row r="278">
      <c r="A278" s="0">
        <v>13083</v>
      </c>
      <c r="B278" s="0">
        <v>0.02</v>
      </c>
      <c r="C278" s="0">
        <v>13083</v>
      </c>
      <c r="D278" s="0">
        <v>0.01</v>
      </c>
      <c r="E278" s="0">
        <v>13083</v>
      </c>
      <c r="F278" s="0">
        <v>0.007</v>
      </c>
      <c r="G278" s="0">
        <v>13083</v>
      </c>
      <c r="H278" s="0">
        <v>0.023</v>
      </c>
    </row>
    <row r="279">
      <c r="A279" s="0">
        <v>13132</v>
      </c>
      <c r="B279" s="0">
        <v>0.019</v>
      </c>
      <c r="C279" s="0">
        <v>13132</v>
      </c>
      <c r="D279" s="0">
        <v>0.01</v>
      </c>
      <c r="E279" s="0">
        <v>13132</v>
      </c>
      <c r="F279" s="0">
        <v>0.006</v>
      </c>
      <c r="G279" s="0">
        <v>13132</v>
      </c>
      <c r="H279" s="0">
        <v>0.022</v>
      </c>
    </row>
    <row r="280">
      <c r="A280" s="0">
        <v>13181</v>
      </c>
      <c r="B280" s="0">
        <v>0.019</v>
      </c>
      <c r="C280" s="0">
        <v>13181</v>
      </c>
      <c r="D280" s="0">
        <v>0.01</v>
      </c>
      <c r="E280" s="0">
        <v>13181</v>
      </c>
      <c r="F280" s="0">
        <v>0.006</v>
      </c>
      <c r="G280" s="0">
        <v>13181</v>
      </c>
      <c r="H280" s="0">
        <v>0.023</v>
      </c>
    </row>
    <row r="281">
      <c r="A281" s="0">
        <v>13230</v>
      </c>
      <c r="B281" s="0">
        <v>0.019</v>
      </c>
      <c r="C281" s="0">
        <v>13230</v>
      </c>
      <c r="D281" s="0">
        <v>0.01</v>
      </c>
      <c r="E281" s="0">
        <v>13230</v>
      </c>
      <c r="F281" s="0">
        <v>0.006</v>
      </c>
      <c r="G281" s="0">
        <v>13230</v>
      </c>
      <c r="H281" s="0">
        <v>0.022</v>
      </c>
    </row>
    <row r="282">
      <c r="A282" s="0">
        <v>13279</v>
      </c>
      <c r="B282" s="0">
        <v>0.019</v>
      </c>
      <c r="C282" s="0">
        <v>13279</v>
      </c>
      <c r="D282" s="0">
        <v>0.01</v>
      </c>
      <c r="E282" s="0">
        <v>13279</v>
      </c>
      <c r="F282" s="0">
        <v>0.008</v>
      </c>
      <c r="G282" s="0">
        <v>13279</v>
      </c>
      <c r="H282" s="0">
        <v>0.023</v>
      </c>
    </row>
    <row r="283">
      <c r="A283" s="0">
        <v>13328</v>
      </c>
      <c r="B283" s="0">
        <v>0.02</v>
      </c>
      <c r="C283" s="0">
        <v>13328</v>
      </c>
      <c r="D283" s="0">
        <v>0.01</v>
      </c>
      <c r="E283" s="0">
        <v>13328</v>
      </c>
      <c r="F283" s="0">
        <v>0.007</v>
      </c>
      <c r="G283" s="0">
        <v>13328</v>
      </c>
      <c r="H283" s="0">
        <v>0.024</v>
      </c>
    </row>
    <row r="284">
      <c r="A284" s="0">
        <v>13377</v>
      </c>
      <c r="B284" s="0">
        <v>0.02</v>
      </c>
      <c r="C284" s="0">
        <v>13377</v>
      </c>
      <c r="D284" s="0">
        <v>0.01</v>
      </c>
      <c r="E284" s="0">
        <v>13377</v>
      </c>
      <c r="F284" s="0">
        <v>0.007</v>
      </c>
      <c r="G284" s="0">
        <v>13377</v>
      </c>
      <c r="H284" s="0">
        <v>0.023</v>
      </c>
    </row>
    <row r="285">
      <c r="A285" s="0">
        <v>13426</v>
      </c>
      <c r="B285" s="0">
        <v>0.019</v>
      </c>
      <c r="C285" s="0">
        <v>13426</v>
      </c>
      <c r="D285" s="0">
        <v>0.01</v>
      </c>
      <c r="E285" s="0">
        <v>13426</v>
      </c>
      <c r="F285" s="0">
        <v>0.006</v>
      </c>
      <c r="G285" s="0">
        <v>13426</v>
      </c>
      <c r="H285" s="0">
        <v>0.023</v>
      </c>
    </row>
    <row r="286">
      <c r="A286" s="0">
        <v>13475</v>
      </c>
      <c r="B286" s="0">
        <v>0.02</v>
      </c>
      <c r="C286" s="0">
        <v>13475</v>
      </c>
      <c r="D286" s="0">
        <v>0.01</v>
      </c>
      <c r="E286" s="0">
        <v>13475</v>
      </c>
      <c r="F286" s="0">
        <v>0.007</v>
      </c>
      <c r="G286" s="0">
        <v>13475</v>
      </c>
      <c r="H286" s="0">
        <v>0.024</v>
      </c>
    </row>
    <row r="287">
      <c r="A287" s="0">
        <v>13524</v>
      </c>
      <c r="B287" s="0">
        <v>0.019</v>
      </c>
      <c r="C287" s="0">
        <v>13524</v>
      </c>
      <c r="D287" s="0">
        <v>0.009</v>
      </c>
      <c r="E287" s="0">
        <v>13524</v>
      </c>
      <c r="F287" s="0">
        <v>0.008</v>
      </c>
      <c r="G287" s="0">
        <v>13524</v>
      </c>
      <c r="H287" s="0">
        <v>0.024</v>
      </c>
    </row>
    <row r="288">
      <c r="A288" s="0">
        <v>13573</v>
      </c>
      <c r="B288" s="0">
        <v>0.019</v>
      </c>
      <c r="C288" s="0">
        <v>13573</v>
      </c>
      <c r="D288" s="0">
        <v>0.01</v>
      </c>
      <c r="E288" s="0">
        <v>13573</v>
      </c>
      <c r="F288" s="0">
        <v>0.007</v>
      </c>
      <c r="G288" s="0">
        <v>13573</v>
      </c>
      <c r="H288" s="0">
        <v>0.023</v>
      </c>
    </row>
    <row r="289">
      <c r="A289" s="0">
        <v>13622</v>
      </c>
      <c r="B289" s="0">
        <v>0.019</v>
      </c>
      <c r="C289" s="0">
        <v>13622</v>
      </c>
      <c r="D289" s="0">
        <v>0.01</v>
      </c>
      <c r="E289" s="0">
        <v>13622</v>
      </c>
      <c r="F289" s="0">
        <v>0.007</v>
      </c>
      <c r="G289" s="0">
        <v>13622</v>
      </c>
      <c r="H289" s="0">
        <v>0.023</v>
      </c>
    </row>
    <row r="290">
      <c r="A290" s="0">
        <v>13671</v>
      </c>
      <c r="B290" s="0">
        <v>0.02</v>
      </c>
      <c r="C290" s="0">
        <v>13671</v>
      </c>
      <c r="D290" s="0">
        <v>0.011</v>
      </c>
      <c r="E290" s="0">
        <v>13671</v>
      </c>
      <c r="F290" s="0">
        <v>0.007</v>
      </c>
      <c r="G290" s="0">
        <v>13671</v>
      </c>
      <c r="H290" s="0">
        <v>0.024</v>
      </c>
    </row>
    <row r="291">
      <c r="A291" s="0">
        <v>13720</v>
      </c>
      <c r="B291" s="0">
        <v>0.02</v>
      </c>
      <c r="C291" s="0">
        <v>13720</v>
      </c>
      <c r="D291" s="0">
        <v>0.01</v>
      </c>
      <c r="E291" s="0">
        <v>13720</v>
      </c>
      <c r="F291" s="0">
        <v>0.008</v>
      </c>
      <c r="G291" s="0">
        <v>13720</v>
      </c>
      <c r="H291" s="0">
        <v>0.023</v>
      </c>
    </row>
    <row r="292">
      <c r="A292" s="0">
        <v>13769</v>
      </c>
      <c r="B292" s="0">
        <v>0.02</v>
      </c>
      <c r="C292" s="0">
        <v>13769</v>
      </c>
      <c r="D292" s="0">
        <v>0.011</v>
      </c>
      <c r="E292" s="0">
        <v>13769</v>
      </c>
      <c r="F292" s="0">
        <v>0.006</v>
      </c>
      <c r="G292" s="0">
        <v>13769</v>
      </c>
      <c r="H292" s="0">
        <v>0.022</v>
      </c>
    </row>
    <row r="293">
      <c r="A293" s="0">
        <v>13818</v>
      </c>
      <c r="B293" s="0">
        <v>0.021</v>
      </c>
      <c r="C293" s="0">
        <v>13818</v>
      </c>
      <c r="D293" s="0">
        <v>0.011</v>
      </c>
      <c r="E293" s="0">
        <v>13818</v>
      </c>
      <c r="F293" s="0">
        <v>0.007</v>
      </c>
      <c r="G293" s="0">
        <v>13818</v>
      </c>
      <c r="H293" s="0">
        <v>0.024</v>
      </c>
    </row>
    <row r="294">
      <c r="A294" s="0">
        <v>13867</v>
      </c>
      <c r="B294" s="0">
        <v>0.019</v>
      </c>
      <c r="C294" s="0">
        <v>13867</v>
      </c>
      <c r="D294" s="0">
        <v>0.01</v>
      </c>
      <c r="E294" s="0">
        <v>13867</v>
      </c>
      <c r="F294" s="0">
        <v>0.007</v>
      </c>
      <c r="G294" s="0">
        <v>13867</v>
      </c>
      <c r="H294" s="0">
        <v>0.024</v>
      </c>
    </row>
    <row r="295">
      <c r="A295" s="0">
        <v>13916</v>
      </c>
      <c r="B295" s="0">
        <v>0.02</v>
      </c>
      <c r="C295" s="0">
        <v>13916</v>
      </c>
      <c r="D295" s="0">
        <v>0.01</v>
      </c>
      <c r="E295" s="0">
        <v>13916</v>
      </c>
      <c r="F295" s="0">
        <v>0.007</v>
      </c>
      <c r="G295" s="0">
        <v>13916</v>
      </c>
      <c r="H295" s="0">
        <v>0.024</v>
      </c>
    </row>
    <row r="296">
      <c r="A296" s="0">
        <v>13965</v>
      </c>
      <c r="B296" s="0">
        <v>0.02</v>
      </c>
      <c r="C296" s="0">
        <v>13965</v>
      </c>
      <c r="D296" s="0">
        <v>0.011</v>
      </c>
      <c r="E296" s="0">
        <v>13965</v>
      </c>
      <c r="F296" s="0">
        <v>0.008</v>
      </c>
      <c r="G296" s="0">
        <v>13965</v>
      </c>
      <c r="H296" s="0">
        <v>0.024</v>
      </c>
    </row>
    <row r="297">
      <c r="A297" s="0">
        <v>14014</v>
      </c>
      <c r="B297" s="0">
        <v>0.021</v>
      </c>
      <c r="C297" s="0">
        <v>14014</v>
      </c>
      <c r="D297" s="0">
        <v>0.011</v>
      </c>
      <c r="E297" s="0">
        <v>14014</v>
      </c>
      <c r="F297" s="0">
        <v>0.008</v>
      </c>
      <c r="G297" s="0">
        <v>14014</v>
      </c>
      <c r="H297" s="0">
        <v>0.024</v>
      </c>
    </row>
    <row r="298">
      <c r="A298" s="0">
        <v>14063</v>
      </c>
      <c r="B298" s="0">
        <v>0.021</v>
      </c>
      <c r="C298" s="0">
        <v>14063</v>
      </c>
      <c r="D298" s="0">
        <v>0.011</v>
      </c>
      <c r="E298" s="0">
        <v>14063</v>
      </c>
      <c r="F298" s="0">
        <v>0.008</v>
      </c>
      <c r="G298" s="0">
        <v>14063</v>
      </c>
      <c r="H298" s="0">
        <v>0.025</v>
      </c>
    </row>
    <row r="299">
      <c r="A299" s="0">
        <v>14112</v>
      </c>
      <c r="B299" s="0">
        <v>0.02</v>
      </c>
      <c r="C299" s="0">
        <v>14112</v>
      </c>
      <c r="D299" s="0">
        <v>0.012</v>
      </c>
      <c r="E299" s="0">
        <v>14112</v>
      </c>
      <c r="F299" s="0">
        <v>0.008</v>
      </c>
      <c r="G299" s="0">
        <v>14112</v>
      </c>
      <c r="H299" s="0">
        <v>0.025</v>
      </c>
    </row>
    <row r="300">
      <c r="A300" s="0">
        <v>14161</v>
      </c>
      <c r="B300" s="0">
        <v>0.021</v>
      </c>
      <c r="C300" s="0">
        <v>14161</v>
      </c>
      <c r="D300" s="0">
        <v>0.011</v>
      </c>
      <c r="E300" s="0">
        <v>14161</v>
      </c>
      <c r="F300" s="0">
        <v>0.008</v>
      </c>
      <c r="G300" s="0">
        <v>14161</v>
      </c>
      <c r="H300" s="0">
        <v>0.024</v>
      </c>
    </row>
    <row r="301">
      <c r="A301" s="0">
        <v>14210</v>
      </c>
      <c r="B301" s="0">
        <v>0.021</v>
      </c>
      <c r="C301" s="0">
        <v>14210</v>
      </c>
      <c r="D301" s="0">
        <v>0.012</v>
      </c>
      <c r="E301" s="0">
        <v>14210</v>
      </c>
      <c r="F301" s="0">
        <v>0.008</v>
      </c>
      <c r="G301" s="0">
        <v>14210</v>
      </c>
      <c r="H301" s="0">
        <v>0.024</v>
      </c>
    </row>
    <row r="302">
      <c r="A302" s="0">
        <v>14259</v>
      </c>
      <c r="B302" s="0">
        <v>0.02</v>
      </c>
      <c r="C302" s="0">
        <v>14259</v>
      </c>
      <c r="D302" s="0">
        <v>0.011</v>
      </c>
      <c r="E302" s="0">
        <v>14259</v>
      </c>
      <c r="F302" s="0">
        <v>0.008</v>
      </c>
      <c r="G302" s="0">
        <v>14259</v>
      </c>
      <c r="H302" s="0">
        <v>0.024</v>
      </c>
    </row>
    <row r="303">
      <c r="A303" s="0">
        <v>14308</v>
      </c>
      <c r="B303" s="0">
        <v>0.021</v>
      </c>
      <c r="C303" s="0">
        <v>14308</v>
      </c>
      <c r="D303" s="0">
        <v>0.012</v>
      </c>
      <c r="E303" s="0">
        <v>14308</v>
      </c>
      <c r="F303" s="0">
        <v>0.008</v>
      </c>
      <c r="G303" s="0">
        <v>14308</v>
      </c>
      <c r="H303" s="0">
        <v>0.024</v>
      </c>
    </row>
    <row r="304">
      <c r="A304" s="0">
        <v>14357</v>
      </c>
      <c r="B304" s="0">
        <v>0.021</v>
      </c>
      <c r="C304" s="0">
        <v>14357</v>
      </c>
      <c r="D304" s="0">
        <v>0.012</v>
      </c>
      <c r="E304" s="0">
        <v>14357</v>
      </c>
      <c r="F304" s="0">
        <v>0.009</v>
      </c>
      <c r="G304" s="0">
        <v>14357</v>
      </c>
      <c r="H304" s="0">
        <v>0.025</v>
      </c>
    </row>
    <row r="305">
      <c r="A305" s="0">
        <v>14406</v>
      </c>
      <c r="B305" s="0">
        <v>0.021</v>
      </c>
      <c r="C305" s="0">
        <v>14406</v>
      </c>
      <c r="D305" s="0">
        <v>0.012</v>
      </c>
      <c r="E305" s="0">
        <v>14406</v>
      </c>
      <c r="F305" s="0">
        <v>0.008</v>
      </c>
      <c r="G305" s="0">
        <v>14406</v>
      </c>
      <c r="H305" s="0">
        <v>0.024</v>
      </c>
    </row>
    <row r="306">
      <c r="A306" s="0">
        <v>14455</v>
      </c>
      <c r="B306" s="0">
        <v>0.022</v>
      </c>
      <c r="C306" s="0">
        <v>14455</v>
      </c>
      <c r="D306" s="0">
        <v>0.012</v>
      </c>
      <c r="E306" s="0">
        <v>14455</v>
      </c>
      <c r="F306" s="0">
        <v>0.008</v>
      </c>
      <c r="G306" s="0">
        <v>14455</v>
      </c>
      <c r="H306" s="0">
        <v>0.025</v>
      </c>
    </row>
    <row r="307">
      <c r="A307" s="0">
        <v>14504</v>
      </c>
      <c r="B307" s="0">
        <v>0.021</v>
      </c>
      <c r="C307" s="0">
        <v>14504</v>
      </c>
      <c r="D307" s="0">
        <v>0.012</v>
      </c>
      <c r="E307" s="0">
        <v>14504</v>
      </c>
      <c r="F307" s="0">
        <v>0.009</v>
      </c>
      <c r="G307" s="0">
        <v>14504</v>
      </c>
      <c r="H307" s="0">
        <v>0.025</v>
      </c>
    </row>
    <row r="308">
      <c r="A308" s="0">
        <v>14553</v>
      </c>
      <c r="B308" s="0">
        <v>0.021</v>
      </c>
      <c r="C308" s="0">
        <v>14553</v>
      </c>
      <c r="D308" s="0">
        <v>0.012</v>
      </c>
      <c r="E308" s="0">
        <v>14553</v>
      </c>
      <c r="F308" s="0">
        <v>0.008</v>
      </c>
      <c r="G308" s="0">
        <v>14553</v>
      </c>
      <c r="H308" s="0">
        <v>0.025</v>
      </c>
    </row>
    <row r="309">
      <c r="A309" s="0">
        <v>14602</v>
      </c>
      <c r="B309" s="0">
        <v>0.021</v>
      </c>
      <c r="C309" s="0">
        <v>14602</v>
      </c>
      <c r="D309" s="0">
        <v>0.012</v>
      </c>
      <c r="E309" s="0">
        <v>14602</v>
      </c>
      <c r="F309" s="0">
        <v>0.009</v>
      </c>
      <c r="G309" s="0">
        <v>14602</v>
      </c>
      <c r="H309" s="0">
        <v>0.024</v>
      </c>
    </row>
    <row r="310">
      <c r="A310" s="0">
        <v>14651</v>
      </c>
      <c r="B310" s="0">
        <v>0.021</v>
      </c>
      <c r="C310" s="0">
        <v>14651</v>
      </c>
      <c r="D310" s="0">
        <v>0.012</v>
      </c>
      <c r="E310" s="0">
        <v>14651</v>
      </c>
      <c r="F310" s="0">
        <v>0.008</v>
      </c>
      <c r="G310" s="0">
        <v>14651</v>
      </c>
      <c r="H310" s="0">
        <v>0.025</v>
      </c>
    </row>
    <row r="311">
      <c r="A311" s="0">
        <v>14700</v>
      </c>
      <c r="B311" s="0">
        <v>0.022</v>
      </c>
      <c r="C311" s="0">
        <v>14700</v>
      </c>
      <c r="D311" s="0">
        <v>0.012</v>
      </c>
      <c r="E311" s="0">
        <v>14700</v>
      </c>
      <c r="F311" s="0">
        <v>0.009</v>
      </c>
      <c r="G311" s="0">
        <v>14700</v>
      </c>
      <c r="H311" s="0">
        <v>0.025</v>
      </c>
    </row>
    <row r="312">
      <c r="A312" s="0">
        <v>14749</v>
      </c>
      <c r="B312" s="0">
        <v>0.021</v>
      </c>
      <c r="C312" s="0">
        <v>14749</v>
      </c>
      <c r="D312" s="0">
        <v>0.012</v>
      </c>
      <c r="E312" s="0">
        <v>14749</v>
      </c>
      <c r="F312" s="0">
        <v>0.008</v>
      </c>
      <c r="G312" s="0">
        <v>14749</v>
      </c>
      <c r="H312" s="0">
        <v>0.025</v>
      </c>
    </row>
    <row r="313">
      <c r="A313" s="0">
        <v>14798</v>
      </c>
      <c r="B313" s="0">
        <v>0.022</v>
      </c>
      <c r="C313" s="0">
        <v>14798</v>
      </c>
      <c r="D313" s="0">
        <v>0.012</v>
      </c>
      <c r="E313" s="0">
        <v>14798</v>
      </c>
      <c r="F313" s="0">
        <v>0.008</v>
      </c>
      <c r="G313" s="0">
        <v>14798</v>
      </c>
      <c r="H313" s="0">
        <v>0.025</v>
      </c>
    </row>
    <row r="314">
      <c r="A314" s="0">
        <v>14847</v>
      </c>
      <c r="B314" s="0">
        <v>0.021</v>
      </c>
      <c r="C314" s="0">
        <v>14847</v>
      </c>
      <c r="D314" s="0">
        <v>0.011</v>
      </c>
      <c r="E314" s="0">
        <v>14847</v>
      </c>
      <c r="F314" s="0">
        <v>0.009</v>
      </c>
      <c r="G314" s="0">
        <v>14847</v>
      </c>
      <c r="H314" s="0">
        <v>0.026</v>
      </c>
    </row>
    <row r="315">
      <c r="A315" s="0">
        <v>14896</v>
      </c>
      <c r="B315" s="0">
        <v>0.022</v>
      </c>
      <c r="C315" s="0">
        <v>14896</v>
      </c>
      <c r="D315" s="0">
        <v>0.013</v>
      </c>
      <c r="E315" s="0">
        <v>14896</v>
      </c>
      <c r="F315" s="0">
        <v>0.009</v>
      </c>
      <c r="G315" s="0">
        <v>14896</v>
      </c>
      <c r="H315" s="0">
        <v>0.025</v>
      </c>
    </row>
    <row r="316">
      <c r="A316" s="0">
        <v>14945</v>
      </c>
      <c r="B316" s="0">
        <v>0.022</v>
      </c>
      <c r="C316" s="0">
        <v>14945</v>
      </c>
      <c r="D316" s="0">
        <v>0.012</v>
      </c>
      <c r="E316" s="0">
        <v>14945</v>
      </c>
      <c r="F316" s="0">
        <v>0.008</v>
      </c>
      <c r="G316" s="0">
        <v>14945</v>
      </c>
      <c r="H316" s="0">
        <v>0.025</v>
      </c>
    </row>
    <row r="317">
      <c r="A317" s="0">
        <v>14994</v>
      </c>
      <c r="B317" s="0">
        <v>0.022</v>
      </c>
      <c r="C317" s="0">
        <v>14994</v>
      </c>
      <c r="D317" s="0">
        <v>0.013</v>
      </c>
      <c r="E317" s="0">
        <v>14994</v>
      </c>
      <c r="F317" s="0">
        <v>0.009</v>
      </c>
      <c r="G317" s="0">
        <v>14994</v>
      </c>
      <c r="H317" s="0">
        <v>0.025</v>
      </c>
    </row>
    <row r="318">
      <c r="A318" s="0">
        <v>15043</v>
      </c>
      <c r="B318" s="0">
        <v>0.022</v>
      </c>
      <c r="C318" s="0">
        <v>15043</v>
      </c>
      <c r="D318" s="0">
        <v>0.012</v>
      </c>
      <c r="E318" s="0">
        <v>15043</v>
      </c>
      <c r="F318" s="0">
        <v>0.009</v>
      </c>
      <c r="G318" s="0">
        <v>15043</v>
      </c>
      <c r="H318" s="0">
        <v>0.026</v>
      </c>
    </row>
    <row r="319">
      <c r="A319" s="0">
        <v>15092</v>
      </c>
      <c r="B319" s="0">
        <v>0.022</v>
      </c>
      <c r="C319" s="0">
        <v>15092</v>
      </c>
      <c r="D319" s="0">
        <v>0.013</v>
      </c>
      <c r="E319" s="0">
        <v>15092</v>
      </c>
      <c r="F319" s="0">
        <v>0.009</v>
      </c>
      <c r="G319" s="0">
        <v>15092</v>
      </c>
      <c r="H319" s="0">
        <v>0.026</v>
      </c>
    </row>
    <row r="320">
      <c r="A320" s="0">
        <v>15141</v>
      </c>
      <c r="B320" s="0">
        <v>0.021</v>
      </c>
      <c r="C320" s="0">
        <v>15141</v>
      </c>
      <c r="D320" s="0">
        <v>0.012</v>
      </c>
      <c r="E320" s="0">
        <v>15141</v>
      </c>
      <c r="F320" s="0">
        <v>0.01</v>
      </c>
      <c r="G320" s="0">
        <v>15141</v>
      </c>
      <c r="H320" s="0">
        <v>0.026</v>
      </c>
    </row>
    <row r="321">
      <c r="A321" s="0">
        <v>15190</v>
      </c>
      <c r="B321" s="0">
        <v>0.022</v>
      </c>
      <c r="C321" s="0">
        <v>15190</v>
      </c>
      <c r="D321" s="0">
        <v>0.012</v>
      </c>
      <c r="E321" s="0">
        <v>15190</v>
      </c>
      <c r="F321" s="0">
        <v>0.01</v>
      </c>
      <c r="G321" s="0">
        <v>15190</v>
      </c>
      <c r="H321" s="0">
        <v>0.026</v>
      </c>
    </row>
    <row r="322">
      <c r="A322" s="0">
        <v>15239</v>
      </c>
      <c r="B322" s="0">
        <v>0.022</v>
      </c>
      <c r="C322" s="0">
        <v>15239</v>
      </c>
      <c r="D322" s="0">
        <v>0.013</v>
      </c>
      <c r="E322" s="0">
        <v>15239</v>
      </c>
      <c r="F322" s="0">
        <v>0.009</v>
      </c>
      <c r="G322" s="0">
        <v>15239</v>
      </c>
      <c r="H322" s="0">
        <v>0.025</v>
      </c>
    </row>
    <row r="323">
      <c r="A323" s="0">
        <v>15288</v>
      </c>
      <c r="B323" s="0">
        <v>0.023</v>
      </c>
      <c r="C323" s="0">
        <v>15288</v>
      </c>
      <c r="D323" s="0">
        <v>0.013</v>
      </c>
      <c r="E323" s="0">
        <v>15288</v>
      </c>
      <c r="F323" s="0">
        <v>0.01</v>
      </c>
      <c r="G323" s="0">
        <v>15288</v>
      </c>
      <c r="H323" s="0">
        <v>0.026</v>
      </c>
    </row>
    <row r="324">
      <c r="A324" s="0">
        <v>15337</v>
      </c>
      <c r="B324" s="0">
        <v>0.022</v>
      </c>
      <c r="C324" s="0">
        <v>15337</v>
      </c>
      <c r="D324" s="0">
        <v>0.013</v>
      </c>
      <c r="E324" s="0">
        <v>15337</v>
      </c>
      <c r="F324" s="0">
        <v>0.01</v>
      </c>
      <c r="G324" s="0">
        <v>15337</v>
      </c>
      <c r="H324" s="0">
        <v>0.026</v>
      </c>
    </row>
    <row r="325">
      <c r="A325" s="0">
        <v>15386</v>
      </c>
      <c r="B325" s="0">
        <v>0.023</v>
      </c>
      <c r="C325" s="0">
        <v>15386</v>
      </c>
      <c r="D325" s="0">
        <v>0.014</v>
      </c>
      <c r="E325" s="0">
        <v>15386</v>
      </c>
      <c r="F325" s="0">
        <v>0.01</v>
      </c>
      <c r="G325" s="0">
        <v>15386</v>
      </c>
      <c r="H325" s="0">
        <v>0.026</v>
      </c>
    </row>
    <row r="326">
      <c r="A326" s="0">
        <v>15435</v>
      </c>
      <c r="B326" s="0">
        <v>0.022</v>
      </c>
      <c r="C326" s="0">
        <v>15435</v>
      </c>
      <c r="D326" s="0">
        <v>0.014</v>
      </c>
      <c r="E326" s="0">
        <v>15435</v>
      </c>
      <c r="F326" s="0">
        <v>0.009</v>
      </c>
      <c r="G326" s="0">
        <v>15435</v>
      </c>
      <c r="H326" s="0">
        <v>0.026</v>
      </c>
    </row>
    <row r="327">
      <c r="A327" s="0">
        <v>15484</v>
      </c>
      <c r="B327" s="0">
        <v>0.023</v>
      </c>
      <c r="C327" s="0">
        <v>15484</v>
      </c>
      <c r="D327" s="0">
        <v>0.012</v>
      </c>
      <c r="E327" s="0">
        <v>15484</v>
      </c>
      <c r="F327" s="0">
        <v>0.009</v>
      </c>
      <c r="G327" s="0">
        <v>15484</v>
      </c>
      <c r="H327" s="0">
        <v>0.026</v>
      </c>
    </row>
    <row r="328">
      <c r="A328" s="0">
        <v>15533</v>
      </c>
      <c r="B328" s="0">
        <v>0.023</v>
      </c>
      <c r="C328" s="0">
        <v>15533</v>
      </c>
      <c r="D328" s="0">
        <v>0.013</v>
      </c>
      <c r="E328" s="0">
        <v>15533</v>
      </c>
      <c r="F328" s="0">
        <v>0.009</v>
      </c>
      <c r="G328" s="0">
        <v>15533</v>
      </c>
      <c r="H328" s="0">
        <v>0.025</v>
      </c>
    </row>
    <row r="329">
      <c r="A329" s="0">
        <v>15582</v>
      </c>
      <c r="B329" s="0">
        <v>0.023</v>
      </c>
      <c r="C329" s="0">
        <v>15582</v>
      </c>
      <c r="D329" s="0">
        <v>0.013</v>
      </c>
      <c r="E329" s="0">
        <v>15582</v>
      </c>
      <c r="F329" s="0">
        <v>0.009</v>
      </c>
      <c r="G329" s="0">
        <v>15582</v>
      </c>
      <c r="H329" s="0">
        <v>0.026</v>
      </c>
    </row>
    <row r="330">
      <c r="A330" s="0">
        <v>15631</v>
      </c>
      <c r="B330" s="0">
        <v>0.023</v>
      </c>
      <c r="C330" s="0">
        <v>15631</v>
      </c>
      <c r="D330" s="0">
        <v>0.014</v>
      </c>
      <c r="E330" s="0">
        <v>15631</v>
      </c>
      <c r="F330" s="0">
        <v>0.01</v>
      </c>
      <c r="G330" s="0">
        <v>15631</v>
      </c>
      <c r="H330" s="0">
        <v>0.026</v>
      </c>
    </row>
    <row r="331">
      <c r="A331" s="0">
        <v>15680</v>
      </c>
      <c r="B331" s="0">
        <v>0.022</v>
      </c>
      <c r="C331" s="0">
        <v>15680</v>
      </c>
      <c r="D331" s="0">
        <v>0.014</v>
      </c>
      <c r="E331" s="0">
        <v>15680</v>
      </c>
      <c r="F331" s="0">
        <v>0.01</v>
      </c>
      <c r="G331" s="0">
        <v>15680</v>
      </c>
      <c r="H331" s="0">
        <v>0.026</v>
      </c>
    </row>
    <row r="332">
      <c r="A332" s="0">
        <v>15729</v>
      </c>
      <c r="B332" s="0">
        <v>0.023</v>
      </c>
      <c r="C332" s="0">
        <v>15729</v>
      </c>
      <c r="D332" s="0">
        <v>0.014</v>
      </c>
      <c r="E332" s="0">
        <v>15729</v>
      </c>
      <c r="F332" s="0">
        <v>0.009</v>
      </c>
      <c r="G332" s="0">
        <v>15729</v>
      </c>
      <c r="H332" s="0">
        <v>0.026</v>
      </c>
    </row>
    <row r="333">
      <c r="A333" s="0">
        <v>15778</v>
      </c>
      <c r="B333" s="0">
        <v>0.023</v>
      </c>
      <c r="C333" s="0">
        <v>15778</v>
      </c>
      <c r="D333" s="0">
        <v>0.013</v>
      </c>
      <c r="E333" s="0">
        <v>15778</v>
      </c>
      <c r="F333" s="0">
        <v>0.01</v>
      </c>
      <c r="G333" s="0">
        <v>15778</v>
      </c>
      <c r="H333" s="0">
        <v>0.026</v>
      </c>
    </row>
    <row r="334">
      <c r="A334" s="0">
        <v>15827</v>
      </c>
      <c r="B334" s="0">
        <v>0.023</v>
      </c>
      <c r="C334" s="0">
        <v>15827</v>
      </c>
      <c r="D334" s="0">
        <v>0.014</v>
      </c>
      <c r="E334" s="0">
        <v>15827</v>
      </c>
      <c r="F334" s="0">
        <v>0.01</v>
      </c>
      <c r="G334" s="0">
        <v>15827</v>
      </c>
      <c r="H334" s="0">
        <v>0.026</v>
      </c>
    </row>
    <row r="335">
      <c r="A335" s="0">
        <v>15876</v>
      </c>
      <c r="B335" s="0">
        <v>0.024</v>
      </c>
      <c r="C335" s="0">
        <v>15876</v>
      </c>
      <c r="D335" s="0">
        <v>0.013</v>
      </c>
      <c r="E335" s="0">
        <v>15876</v>
      </c>
      <c r="F335" s="0">
        <v>0.009</v>
      </c>
      <c r="G335" s="0">
        <v>15876</v>
      </c>
      <c r="H335" s="0">
        <v>0.026</v>
      </c>
    </row>
    <row r="336">
      <c r="A336" s="0">
        <v>15925</v>
      </c>
      <c r="B336" s="0">
        <v>0.023</v>
      </c>
      <c r="C336" s="0">
        <v>15925</v>
      </c>
      <c r="D336" s="0">
        <v>0.014</v>
      </c>
      <c r="E336" s="0">
        <v>15925</v>
      </c>
      <c r="F336" s="0">
        <v>0.01</v>
      </c>
      <c r="G336" s="0">
        <v>15925</v>
      </c>
      <c r="H336" s="0">
        <v>0.026</v>
      </c>
    </row>
    <row r="337">
      <c r="A337" s="0">
        <v>15974</v>
      </c>
      <c r="B337" s="0">
        <v>0.023</v>
      </c>
      <c r="C337" s="0">
        <v>15974</v>
      </c>
      <c r="D337" s="0">
        <v>0.014</v>
      </c>
      <c r="E337" s="0">
        <v>15974</v>
      </c>
      <c r="F337" s="0">
        <v>0.01</v>
      </c>
      <c r="G337" s="0">
        <v>15974</v>
      </c>
      <c r="H337" s="0">
        <v>0.027</v>
      </c>
    </row>
    <row r="338">
      <c r="A338" s="0">
        <v>16023</v>
      </c>
      <c r="B338" s="0">
        <v>0.023</v>
      </c>
      <c r="C338" s="0">
        <v>16023</v>
      </c>
      <c r="D338" s="0">
        <v>0.014</v>
      </c>
      <c r="E338" s="0">
        <v>16023</v>
      </c>
      <c r="F338" s="0">
        <v>0.01</v>
      </c>
      <c r="G338" s="0">
        <v>16023</v>
      </c>
      <c r="H338" s="0">
        <v>0.026</v>
      </c>
    </row>
    <row r="339">
      <c r="A339" s="0">
        <v>16072</v>
      </c>
      <c r="B339" s="0">
        <v>0.023</v>
      </c>
      <c r="C339" s="0">
        <v>16072</v>
      </c>
      <c r="D339" s="0">
        <v>0.014</v>
      </c>
      <c r="E339" s="0">
        <v>16072</v>
      </c>
      <c r="F339" s="0">
        <v>0.011</v>
      </c>
      <c r="G339" s="0">
        <v>16072</v>
      </c>
      <c r="H339" s="0">
        <v>0.026</v>
      </c>
    </row>
    <row r="340">
      <c r="A340" s="0">
        <v>16121</v>
      </c>
      <c r="B340" s="0">
        <v>0.023</v>
      </c>
      <c r="C340" s="0">
        <v>16121</v>
      </c>
      <c r="D340" s="0">
        <v>0.014</v>
      </c>
      <c r="E340" s="0">
        <v>16121</v>
      </c>
      <c r="F340" s="0">
        <v>0.01</v>
      </c>
      <c r="G340" s="0">
        <v>16121</v>
      </c>
      <c r="H340" s="0">
        <v>0.027</v>
      </c>
    </row>
    <row r="341">
      <c r="A341" s="0">
        <v>16170</v>
      </c>
      <c r="B341" s="0">
        <v>0.023</v>
      </c>
      <c r="C341" s="0">
        <v>16170</v>
      </c>
      <c r="D341" s="0">
        <v>0.014</v>
      </c>
      <c r="E341" s="0">
        <v>16170</v>
      </c>
      <c r="F341" s="0">
        <v>0.01</v>
      </c>
      <c r="G341" s="0">
        <v>16170</v>
      </c>
      <c r="H341" s="0">
        <v>0.027</v>
      </c>
    </row>
    <row r="342">
      <c r="A342" s="0">
        <v>16219</v>
      </c>
      <c r="B342" s="0">
        <v>0.023</v>
      </c>
      <c r="C342" s="0">
        <v>16219</v>
      </c>
      <c r="D342" s="0">
        <v>0.014</v>
      </c>
      <c r="E342" s="0">
        <v>16219</v>
      </c>
      <c r="F342" s="0">
        <v>0.01</v>
      </c>
      <c r="G342" s="0">
        <v>16219</v>
      </c>
      <c r="H342" s="0">
        <v>0.027</v>
      </c>
    </row>
    <row r="343">
      <c r="A343" s="0">
        <v>16268</v>
      </c>
      <c r="B343" s="0">
        <v>0.023</v>
      </c>
      <c r="C343" s="0">
        <v>16268</v>
      </c>
      <c r="D343" s="0">
        <v>0.015</v>
      </c>
      <c r="E343" s="0">
        <v>16268</v>
      </c>
      <c r="F343" s="0">
        <v>0.011</v>
      </c>
      <c r="G343" s="0">
        <v>16268</v>
      </c>
      <c r="H343" s="0">
        <v>0.027</v>
      </c>
    </row>
    <row r="344">
      <c r="A344" s="0">
        <v>16317</v>
      </c>
      <c r="B344" s="0">
        <v>0.023</v>
      </c>
      <c r="C344" s="0">
        <v>16317</v>
      </c>
      <c r="D344" s="0">
        <v>0.014</v>
      </c>
      <c r="E344" s="0">
        <v>16317</v>
      </c>
      <c r="F344" s="0">
        <v>0.011</v>
      </c>
      <c r="G344" s="0">
        <v>16317</v>
      </c>
      <c r="H344" s="0">
        <v>0.027</v>
      </c>
    </row>
    <row r="345">
      <c r="A345" s="0">
        <v>16366</v>
      </c>
      <c r="B345" s="0">
        <v>0.023</v>
      </c>
      <c r="C345" s="0">
        <v>16366</v>
      </c>
      <c r="D345" s="0">
        <v>0.015</v>
      </c>
      <c r="E345" s="0">
        <v>16366</v>
      </c>
      <c r="F345" s="0">
        <v>0.011</v>
      </c>
      <c r="G345" s="0">
        <v>16366</v>
      </c>
      <c r="H345" s="0">
        <v>0.027</v>
      </c>
    </row>
    <row r="346">
      <c r="A346" s="0">
        <v>16415</v>
      </c>
      <c r="B346" s="0">
        <v>0.024</v>
      </c>
      <c r="C346" s="0">
        <v>16415</v>
      </c>
      <c r="D346" s="0">
        <v>0.014</v>
      </c>
      <c r="E346" s="0">
        <v>16415</v>
      </c>
      <c r="F346" s="0">
        <v>0.011</v>
      </c>
      <c r="G346" s="0">
        <v>16415</v>
      </c>
      <c r="H346" s="0">
        <v>0.027</v>
      </c>
    </row>
    <row r="347">
      <c r="A347" s="0">
        <v>16464</v>
      </c>
      <c r="B347" s="0">
        <v>0.024</v>
      </c>
      <c r="C347" s="0">
        <v>16464</v>
      </c>
      <c r="D347" s="0">
        <v>0.014</v>
      </c>
      <c r="E347" s="0">
        <v>16464</v>
      </c>
      <c r="F347" s="0">
        <v>0.011</v>
      </c>
      <c r="G347" s="0">
        <v>16464</v>
      </c>
      <c r="H347" s="0">
        <v>0.027</v>
      </c>
    </row>
    <row r="348">
      <c r="A348" s="0">
        <v>16513</v>
      </c>
      <c r="B348" s="0">
        <v>0.024</v>
      </c>
      <c r="C348" s="0">
        <v>16513</v>
      </c>
      <c r="D348" s="0">
        <v>0.015</v>
      </c>
      <c r="E348" s="0">
        <v>16513</v>
      </c>
      <c r="F348" s="0">
        <v>0.01</v>
      </c>
      <c r="G348" s="0">
        <v>16513</v>
      </c>
      <c r="H348" s="0">
        <v>0.027</v>
      </c>
    </row>
    <row r="349">
      <c r="A349" s="0">
        <v>16562</v>
      </c>
      <c r="B349" s="0">
        <v>0.024</v>
      </c>
      <c r="C349" s="0">
        <v>16562</v>
      </c>
      <c r="D349" s="0">
        <v>0.016</v>
      </c>
      <c r="E349" s="0">
        <v>16562</v>
      </c>
      <c r="F349" s="0">
        <v>0.011</v>
      </c>
      <c r="G349" s="0">
        <v>16562</v>
      </c>
      <c r="H349" s="0">
        <v>0.027</v>
      </c>
    </row>
    <row r="350">
      <c r="A350" s="0">
        <v>16611</v>
      </c>
      <c r="B350" s="0">
        <v>0.025</v>
      </c>
      <c r="C350" s="0">
        <v>16611</v>
      </c>
      <c r="D350" s="0">
        <v>0.015</v>
      </c>
      <c r="E350" s="0">
        <v>16611</v>
      </c>
      <c r="F350" s="0">
        <v>0.01</v>
      </c>
      <c r="G350" s="0">
        <v>16611</v>
      </c>
      <c r="H350" s="0">
        <v>0.027</v>
      </c>
    </row>
    <row r="351">
      <c r="A351" s="0">
        <v>16660</v>
      </c>
      <c r="B351" s="0">
        <v>0.024</v>
      </c>
      <c r="C351" s="0">
        <v>16660</v>
      </c>
      <c r="D351" s="0">
        <v>0.015</v>
      </c>
      <c r="E351" s="0">
        <v>16660</v>
      </c>
      <c r="F351" s="0">
        <v>0.012</v>
      </c>
      <c r="G351" s="0">
        <v>16660</v>
      </c>
      <c r="H351" s="0">
        <v>0.027</v>
      </c>
    </row>
    <row r="352">
      <c r="A352" s="0">
        <v>16709</v>
      </c>
      <c r="B352" s="0">
        <v>0.024</v>
      </c>
      <c r="C352" s="0">
        <v>16709</v>
      </c>
      <c r="D352" s="0">
        <v>0.015</v>
      </c>
      <c r="E352" s="0">
        <v>16709</v>
      </c>
      <c r="F352" s="0">
        <v>0.01</v>
      </c>
      <c r="G352" s="0">
        <v>16709</v>
      </c>
      <c r="H352" s="0">
        <v>0.028</v>
      </c>
    </row>
    <row r="353">
      <c r="A353" s="0">
        <v>16758</v>
      </c>
      <c r="B353" s="0">
        <v>0.024</v>
      </c>
      <c r="C353" s="0">
        <v>16758</v>
      </c>
      <c r="D353" s="0">
        <v>0.015</v>
      </c>
      <c r="E353" s="0">
        <v>16758</v>
      </c>
      <c r="F353" s="0">
        <v>0.01</v>
      </c>
      <c r="G353" s="0">
        <v>16758</v>
      </c>
      <c r="H353" s="0">
        <v>0.027</v>
      </c>
    </row>
    <row r="354">
      <c r="A354" s="0">
        <v>16807</v>
      </c>
      <c r="B354" s="0">
        <v>0.024</v>
      </c>
      <c r="C354" s="0">
        <v>16807</v>
      </c>
      <c r="D354" s="0">
        <v>0.015</v>
      </c>
      <c r="E354" s="0">
        <v>16807</v>
      </c>
      <c r="F354" s="0">
        <v>0.012</v>
      </c>
      <c r="G354" s="0">
        <v>16807</v>
      </c>
      <c r="H354" s="0">
        <v>0.028</v>
      </c>
    </row>
    <row r="355">
      <c r="A355" s="0">
        <v>16856</v>
      </c>
      <c r="B355" s="0">
        <v>0.024</v>
      </c>
      <c r="C355" s="0">
        <v>16856</v>
      </c>
      <c r="D355" s="0">
        <v>0.015</v>
      </c>
      <c r="E355" s="0">
        <v>16856</v>
      </c>
      <c r="F355" s="0">
        <v>0.011</v>
      </c>
      <c r="G355" s="0">
        <v>16856</v>
      </c>
      <c r="H355" s="0">
        <v>0.027</v>
      </c>
    </row>
    <row r="356">
      <c r="A356" s="0">
        <v>16905</v>
      </c>
      <c r="B356" s="0">
        <v>0.024</v>
      </c>
      <c r="C356" s="0">
        <v>16905</v>
      </c>
      <c r="D356" s="0">
        <v>0.015</v>
      </c>
      <c r="E356" s="0">
        <v>16905</v>
      </c>
      <c r="F356" s="0">
        <v>0.011</v>
      </c>
      <c r="G356" s="0">
        <v>16905</v>
      </c>
      <c r="H356" s="0">
        <v>0.028</v>
      </c>
    </row>
    <row r="357">
      <c r="A357" s="0">
        <v>16954</v>
      </c>
      <c r="B357" s="0">
        <v>0.025</v>
      </c>
      <c r="C357" s="0">
        <v>16954</v>
      </c>
      <c r="D357" s="0">
        <v>0.015</v>
      </c>
      <c r="E357" s="0">
        <v>16954</v>
      </c>
      <c r="F357" s="0">
        <v>0.012</v>
      </c>
      <c r="G357" s="0">
        <v>16954</v>
      </c>
      <c r="H357" s="0">
        <v>0.028</v>
      </c>
    </row>
    <row r="358">
      <c r="A358" s="0">
        <v>17003</v>
      </c>
      <c r="B358" s="0">
        <v>0.025</v>
      </c>
      <c r="C358" s="0">
        <v>17003</v>
      </c>
      <c r="D358" s="0">
        <v>0.016</v>
      </c>
      <c r="E358" s="0">
        <v>17003</v>
      </c>
      <c r="F358" s="0">
        <v>0.011</v>
      </c>
      <c r="G358" s="0">
        <v>17003</v>
      </c>
      <c r="H358" s="0">
        <v>0.028</v>
      </c>
    </row>
    <row r="359">
      <c r="A359" s="0">
        <v>17052</v>
      </c>
      <c r="B359" s="0">
        <v>0.025</v>
      </c>
      <c r="C359" s="0">
        <v>17052</v>
      </c>
      <c r="D359" s="0">
        <v>0.015</v>
      </c>
      <c r="E359" s="0">
        <v>17052</v>
      </c>
      <c r="F359" s="0">
        <v>0.011</v>
      </c>
      <c r="G359" s="0">
        <v>17052</v>
      </c>
      <c r="H359" s="0">
        <v>0.027</v>
      </c>
    </row>
    <row r="360">
      <c r="A360" s="0">
        <v>17101</v>
      </c>
      <c r="B360" s="0">
        <v>0.024</v>
      </c>
      <c r="C360" s="0">
        <v>17101</v>
      </c>
      <c r="D360" s="0">
        <v>0.016</v>
      </c>
      <c r="E360" s="0">
        <v>17101</v>
      </c>
      <c r="F360" s="0">
        <v>0.012</v>
      </c>
      <c r="G360" s="0">
        <v>17101</v>
      </c>
      <c r="H360" s="0">
        <v>0.028</v>
      </c>
    </row>
    <row r="361">
      <c r="A361" s="0">
        <v>17150</v>
      </c>
      <c r="B361" s="0">
        <v>0.025</v>
      </c>
      <c r="C361" s="0">
        <v>17150</v>
      </c>
      <c r="D361" s="0">
        <v>0.015</v>
      </c>
      <c r="E361" s="0">
        <v>17150</v>
      </c>
      <c r="F361" s="0">
        <v>0.012</v>
      </c>
      <c r="G361" s="0">
        <v>17150</v>
      </c>
      <c r="H361" s="0">
        <v>0.028</v>
      </c>
    </row>
    <row r="362">
      <c r="A362" s="0">
        <v>17199</v>
      </c>
      <c r="B362" s="0">
        <v>0.025</v>
      </c>
      <c r="C362" s="0">
        <v>17199</v>
      </c>
      <c r="D362" s="0">
        <v>0.015</v>
      </c>
      <c r="E362" s="0">
        <v>17199</v>
      </c>
      <c r="F362" s="0">
        <v>0.011</v>
      </c>
      <c r="G362" s="0">
        <v>17199</v>
      </c>
      <c r="H362" s="0">
        <v>0.029</v>
      </c>
    </row>
    <row r="363">
      <c r="A363" s="0">
        <v>17248</v>
      </c>
      <c r="B363" s="0">
        <v>0.026</v>
      </c>
      <c r="C363" s="0">
        <v>17248</v>
      </c>
      <c r="D363" s="0">
        <v>0.016</v>
      </c>
      <c r="E363" s="0">
        <v>17248</v>
      </c>
      <c r="F363" s="0">
        <v>0.011</v>
      </c>
      <c r="G363" s="0">
        <v>17248</v>
      </c>
      <c r="H363" s="0">
        <v>0.029</v>
      </c>
    </row>
    <row r="364">
      <c r="A364" s="0">
        <v>17297</v>
      </c>
      <c r="B364" s="0">
        <v>0.025</v>
      </c>
      <c r="C364" s="0">
        <v>17297</v>
      </c>
      <c r="D364" s="0">
        <v>0.016</v>
      </c>
      <c r="E364" s="0">
        <v>17297</v>
      </c>
      <c r="F364" s="0">
        <v>0.012</v>
      </c>
      <c r="G364" s="0">
        <v>17297</v>
      </c>
      <c r="H364" s="0">
        <v>0.029</v>
      </c>
    </row>
    <row r="365">
      <c r="A365" s="0">
        <v>17346</v>
      </c>
      <c r="B365" s="0">
        <v>0.026</v>
      </c>
      <c r="C365" s="0">
        <v>17346</v>
      </c>
      <c r="D365" s="0">
        <v>0.015</v>
      </c>
      <c r="E365" s="0">
        <v>17346</v>
      </c>
      <c r="F365" s="0">
        <v>0.012</v>
      </c>
      <c r="G365" s="0">
        <v>17346</v>
      </c>
      <c r="H365" s="0">
        <v>0.028</v>
      </c>
    </row>
    <row r="366">
      <c r="A366" s="0">
        <v>17395</v>
      </c>
      <c r="B366" s="0">
        <v>0.025</v>
      </c>
      <c r="C366" s="0">
        <v>17395</v>
      </c>
      <c r="D366" s="0">
        <v>0.016</v>
      </c>
      <c r="E366" s="0">
        <v>17395</v>
      </c>
      <c r="F366" s="0">
        <v>0.012</v>
      </c>
      <c r="G366" s="0">
        <v>17395</v>
      </c>
      <c r="H366" s="0">
        <v>0.03</v>
      </c>
    </row>
    <row r="367">
      <c r="A367" s="0">
        <v>17444</v>
      </c>
      <c r="B367" s="0">
        <v>0.026</v>
      </c>
      <c r="C367" s="0">
        <v>17444</v>
      </c>
      <c r="D367" s="0">
        <v>0.016</v>
      </c>
      <c r="E367" s="0">
        <v>17444</v>
      </c>
      <c r="F367" s="0">
        <v>0.011</v>
      </c>
      <c r="G367" s="0">
        <v>17444</v>
      </c>
      <c r="H367" s="0">
        <v>0.029</v>
      </c>
    </row>
    <row r="368">
      <c r="A368" s="0">
        <v>17493</v>
      </c>
      <c r="B368" s="0">
        <v>0.025</v>
      </c>
      <c r="C368" s="0">
        <v>17493</v>
      </c>
      <c r="D368" s="0">
        <v>0.016</v>
      </c>
      <c r="E368" s="0">
        <v>17493</v>
      </c>
      <c r="F368" s="0">
        <v>0.012</v>
      </c>
      <c r="G368" s="0">
        <v>17493</v>
      </c>
      <c r="H368" s="0">
        <v>0.028</v>
      </c>
    </row>
    <row r="369">
      <c r="A369" s="0">
        <v>17542</v>
      </c>
      <c r="B369" s="0">
        <v>0.026</v>
      </c>
      <c r="C369" s="0">
        <v>17542</v>
      </c>
      <c r="D369" s="0">
        <v>0.016</v>
      </c>
      <c r="E369" s="0">
        <v>17542</v>
      </c>
      <c r="F369" s="0">
        <v>0.013</v>
      </c>
      <c r="G369" s="0">
        <v>17542</v>
      </c>
      <c r="H369" s="0">
        <v>0.029</v>
      </c>
    </row>
    <row r="370">
      <c r="A370" s="0">
        <v>17591</v>
      </c>
      <c r="B370" s="0">
        <v>0.026</v>
      </c>
      <c r="C370" s="0">
        <v>17591</v>
      </c>
      <c r="D370" s="0">
        <v>0.016</v>
      </c>
      <c r="E370" s="0">
        <v>17591</v>
      </c>
      <c r="F370" s="0">
        <v>0.012</v>
      </c>
      <c r="G370" s="0">
        <v>17591</v>
      </c>
      <c r="H370" s="0">
        <v>0.029</v>
      </c>
    </row>
    <row r="371">
      <c r="A371" s="0">
        <v>17640</v>
      </c>
      <c r="B371" s="0">
        <v>0.025</v>
      </c>
      <c r="C371" s="0">
        <v>17640</v>
      </c>
      <c r="D371" s="0">
        <v>0.016</v>
      </c>
      <c r="E371" s="0">
        <v>17640</v>
      </c>
      <c r="F371" s="0">
        <v>0.012</v>
      </c>
      <c r="G371" s="0">
        <v>17640</v>
      </c>
      <c r="H371" s="0">
        <v>0.029</v>
      </c>
    </row>
    <row r="372">
      <c r="A372" s="0">
        <v>17689</v>
      </c>
      <c r="B372" s="0">
        <v>0.026</v>
      </c>
      <c r="C372" s="0">
        <v>17689</v>
      </c>
      <c r="D372" s="0">
        <v>0.016</v>
      </c>
      <c r="E372" s="0">
        <v>17689</v>
      </c>
      <c r="F372" s="0">
        <v>0.012</v>
      </c>
      <c r="G372" s="0">
        <v>17689</v>
      </c>
      <c r="H372" s="0">
        <v>0.029</v>
      </c>
    </row>
    <row r="373">
      <c r="A373" s="0">
        <v>17738</v>
      </c>
      <c r="B373" s="0">
        <v>0.025</v>
      </c>
      <c r="C373" s="0">
        <v>17738</v>
      </c>
      <c r="D373" s="0">
        <v>0.016</v>
      </c>
      <c r="E373" s="0">
        <v>17738</v>
      </c>
      <c r="F373" s="0">
        <v>0.013</v>
      </c>
      <c r="G373" s="0">
        <v>17738</v>
      </c>
      <c r="H373" s="0">
        <v>0.029</v>
      </c>
    </row>
    <row r="374">
      <c r="A374" s="0">
        <v>17787</v>
      </c>
      <c r="B374" s="0">
        <v>0.025</v>
      </c>
      <c r="C374" s="0">
        <v>17787</v>
      </c>
      <c r="D374" s="0">
        <v>0.016</v>
      </c>
      <c r="E374" s="0">
        <v>17787</v>
      </c>
      <c r="F374" s="0">
        <v>0.013</v>
      </c>
      <c r="G374" s="0">
        <v>17787</v>
      </c>
      <c r="H374" s="0">
        <v>0.029</v>
      </c>
    </row>
    <row r="375">
      <c r="A375" s="0">
        <v>17836</v>
      </c>
      <c r="B375" s="0">
        <v>0.026</v>
      </c>
      <c r="C375" s="0">
        <v>17836</v>
      </c>
      <c r="D375" s="0">
        <v>0.017</v>
      </c>
      <c r="E375" s="0">
        <v>17836</v>
      </c>
      <c r="F375" s="0">
        <v>0.012</v>
      </c>
      <c r="G375" s="0">
        <v>17836</v>
      </c>
      <c r="H375" s="0">
        <v>0.029</v>
      </c>
    </row>
    <row r="376">
      <c r="A376" s="0">
        <v>17885</v>
      </c>
      <c r="B376" s="0">
        <v>0.026</v>
      </c>
      <c r="C376" s="0">
        <v>17885</v>
      </c>
      <c r="D376" s="0">
        <v>0.016</v>
      </c>
      <c r="E376" s="0">
        <v>17885</v>
      </c>
      <c r="F376" s="0">
        <v>0.012</v>
      </c>
      <c r="G376" s="0">
        <v>17885</v>
      </c>
      <c r="H376" s="0">
        <v>0.029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topLeftCell="A1" workbookViewId="0">
      <selection pane="topLeft" activeCell="A1" sqref="A1"/>
    </sheetView>
  </sheetViews>
  <sheetFormatPr baseColWidth="8" defaultRowHeight="12"/>
  <sheetData>
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