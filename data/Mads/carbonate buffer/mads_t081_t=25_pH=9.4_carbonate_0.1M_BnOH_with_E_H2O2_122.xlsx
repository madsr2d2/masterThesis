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/>
  <calcPr/>
  <extLst>
    <ext uri="GoogleSheetsCustomDataVersion1">
      <go:sheetsCustomData xmlns:go="http://customooxmlschemas.google.com/" r:id="rId7" roundtripDataSignature="AMtx7mgv1i817NFRc/HKqYcietaY0O0zoA=="/>
    </ext>
  </extLst>
</workbook>
</file>

<file path=xl/sharedStrings.xml><?xml version="1.0" encoding="utf-8"?>
<sst xmlns="http://schemas.openxmlformats.org/spreadsheetml/2006/main" count="136" uniqueCount="114">
  <si>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</si>
  <si>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</si>
  <si>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</si>
  <si>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</si>
  <si>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</si>
  <si>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</si>
  <si>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</si>
  <si>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</si>
  <si>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</si>
  <si>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</si>
  <si>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</si>
  <si>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</si>
  <si>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</si>
  <si>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</si>
  <si>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</si>
  <si>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</si>
  <si>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</si>
  <si>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</si>
  <si>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</si>
  <si>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</si>
  <si>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</si>
  <si>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</si>
  <si>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</si>
  <si>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</si>
  <si>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</si>
  <si>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</si>
  <si>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</si>
  <si>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</si>
  <si>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</si>
  <si>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</si>
  <si>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</si>
  <si>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</si>
  <si>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</si>
  <si>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</si>
  <si>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</si>
  <si>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</si>
  <si>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</si>
  <si>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</si>
  <si>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</si>
  <si>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</si>
  <si>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carbonate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</si>
  <si>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</si>
  <si>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</si>
  <si>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</si>
  <si>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</si>
  <si>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</si>
  <si>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</si>
  <si>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</si>
  <si>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</si>
  <si>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</si>
  <si>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</si>
  <si>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</si>
  <si>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</si>
  <si>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</si>
  <si>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</si>
  <si>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</si>
  <si>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</si>
  <si>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</si>
  <si>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</si>
  <si>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</si>
  <si>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</si>
  <si>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</si>
  <si>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</si>
  <si>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</si>
  <si>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</si>
  <si>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</si>
  <si>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</si>
  <si>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</si>
  <si>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</si>
  <si>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</si>
  <si>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</si>
  <si>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</si>
  <si>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</si>
  <si>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</si>
  <si>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</si>
  <si>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</si>
  <si>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</si>
  <si>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Enz fortynding</t>
  </si>
  <si>
    <t>stamopløsninmg mol/l</t>
  </si>
  <si>
    <t>vol [l]</t>
  </si>
  <si>
    <t>final vol [l]</t>
  </si>
  <si>
    <t xml:space="preserve"> final conc. mol/l</t>
  </si>
  <si>
    <t>Vmax</t>
  </si>
  <si>
    <t>U/31</t>
  </si>
  <si>
    <t>mM/s</t>
  </si>
  <si>
    <t>Km</t>
  </si>
  <si>
    <t>mmol/L</t>
  </si>
  <si>
    <t>kcat</t>
  </si>
  <si>
    <t>1/s</t>
  </si>
  <si>
    <t>Kinetics Experiment - 76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</si>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</sst>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804429"/>
        <c:axId val="1666553872"/>
      </c:scatterChart>
      <c:valAx>
        <c:axId val="1529804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553872"/>
      </c:valAx>
      <c:valAx>
        <c:axId val="1666553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804429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20693356"/>
        <c:axId val="153605440"/>
      </c:scatterChart>
      <c:valAx>
        <c:axId val="22069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05440"/>
      </c:valAx>
      <c:valAx>
        <c:axId val="1536054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20693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408805"/>
        <c:axId val="56343294"/>
      </c:scatterChart>
      <c:valAx>
        <c:axId val="145640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43294"/>
      </c:valAx>
      <c:valAx>
        <c:axId val="563432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408805"/>
      </c:valAx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9944868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1226133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65888129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9.57"/>
    <col customWidth="1" min="3" max="3" width="14.29"/>
    <col customWidth="1" min="4" max="4" width="8.0"/>
    <col customWidth="1" min="5" max="5" width="16.71"/>
    <col customWidth="1" min="6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13" width="12.43"/>
    <col customWidth="1" min="14" max="26" width="8.0"/>
  </cols>
  <sheetData>
    <row r="1" ht="12.75" customHeight="1">
      <c r="A1" s="1">
        <v>81.0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9.4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0.05596183213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1.4</v>
      </c>
      <c r="D20" s="1">
        <v>0.0</v>
      </c>
      <c r="E20" s="1">
        <v>0.2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3" si="6">E20*$E$33/H20</f>
        <v>0.000005596183213</v>
      </c>
      <c r="N20" s="1">
        <f t="shared" ref="N20:N27" si="7">(C20*$O$4*1000)/H20</f>
        <v>70</v>
      </c>
    </row>
    <row r="21" ht="12.75" customHeight="1">
      <c r="B21" s="15">
        <v>2.0</v>
      </c>
      <c r="C21" s="1">
        <v>1.4</v>
      </c>
      <c r="D21" s="1">
        <v>0.0</v>
      </c>
      <c r="E21" s="1">
        <v>0.2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0.000005596183213</v>
      </c>
      <c r="N21" s="1">
        <f t="shared" si="7"/>
        <v>70</v>
      </c>
    </row>
    <row r="22" ht="12.75" customHeight="1">
      <c r="B22" s="15">
        <v>3.0</v>
      </c>
      <c r="C22" s="1">
        <v>1.4</v>
      </c>
      <c r="D22" s="1">
        <v>0.0</v>
      </c>
      <c r="E22" s="1">
        <v>0.2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0.000005596183213</v>
      </c>
      <c r="N22" s="1">
        <f t="shared" si="7"/>
        <v>70</v>
      </c>
    </row>
    <row r="23" ht="12.75" customHeight="1">
      <c r="B23" s="16">
        <v>4.0</v>
      </c>
      <c r="C23" s="16">
        <v>1.4</v>
      </c>
      <c r="D23" s="16">
        <v>0.0</v>
      </c>
      <c r="E23" s="16">
        <v>0.2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0.000005596183213</v>
      </c>
      <c r="N23" s="1">
        <f t="shared" si="7"/>
        <v>70</v>
      </c>
    </row>
    <row r="24" ht="12.75" customHeight="1">
      <c r="B24" s="15" t="s">
        <v>73</v>
      </c>
      <c r="C24" s="1">
        <v>1.4</v>
      </c>
      <c r="D24" s="4">
        <v>0.2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ref="M24:M27" si="8">E24*$G$12/H24</f>
        <v>0</v>
      </c>
      <c r="N24" s="1">
        <f t="shared" si="7"/>
        <v>70</v>
      </c>
    </row>
    <row r="25" ht="12.75" customHeight="1">
      <c r="B25" s="15" t="s">
        <v>74</v>
      </c>
      <c r="C25" s="1">
        <v>1.4</v>
      </c>
      <c r="D25" s="4">
        <v>0.2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8"/>
        <v>0</v>
      </c>
      <c r="N25" s="1">
        <f t="shared" si="7"/>
        <v>70</v>
      </c>
    </row>
    <row r="26" ht="12.75" customHeight="1">
      <c r="B26" s="15" t="s">
        <v>75</v>
      </c>
      <c r="C26" s="1">
        <v>1.4</v>
      </c>
      <c r="D26" s="4">
        <v>0.2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8"/>
        <v>0</v>
      </c>
      <c r="N26" s="1">
        <f t="shared" si="7"/>
        <v>70</v>
      </c>
    </row>
    <row r="27" ht="13.5" customHeight="1">
      <c r="B27" s="14" t="s">
        <v>76</v>
      </c>
      <c r="C27" s="5">
        <v>1.4</v>
      </c>
      <c r="D27" s="5">
        <v>0.2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8"/>
        <v>0</v>
      </c>
      <c r="N27" s="5">
        <f t="shared" si="7"/>
        <v>70</v>
      </c>
    </row>
    <row r="28" ht="12.75" customHeight="1">
      <c r="C28" s="1">
        <f t="shared" ref="C28:G28" si="9">SUM(C20:C27)</f>
        <v>11.2</v>
      </c>
      <c r="D28" s="1">
        <f t="shared" si="9"/>
        <v>0.8</v>
      </c>
      <c r="E28" s="1">
        <f t="shared" si="9"/>
        <v>0.8</v>
      </c>
      <c r="F28" s="1">
        <f t="shared" si="9"/>
        <v>2.4</v>
      </c>
      <c r="G28" s="1">
        <f t="shared" si="9"/>
        <v>0.8</v>
      </c>
    </row>
    <row r="29" ht="12.75" customHeight="1"/>
    <row r="30" ht="13.5" customHeight="1"/>
    <row r="31" ht="12.75" customHeight="1">
      <c r="B31" s="9" t="s">
        <v>77</v>
      </c>
      <c r="C31" s="7"/>
      <c r="D31" s="7"/>
      <c r="E31" s="8"/>
    </row>
    <row r="32" ht="12.75" customHeight="1">
      <c r="B32" s="10" t="s">
        <v>78</v>
      </c>
      <c r="C32" s="4" t="s">
        <v>79</v>
      </c>
      <c r="D32" s="4" t="s">
        <v>80</v>
      </c>
      <c r="E32" s="11" t="s">
        <v>81</v>
      </c>
    </row>
    <row r="33" ht="13.5" customHeight="1">
      <c r="B33" s="12">
        <f>G11</f>
        <v>0.0005596183213</v>
      </c>
      <c r="C33" s="5">
        <v>2.0E-4</v>
      </c>
      <c r="D33" s="5">
        <v>0.002</v>
      </c>
      <c r="E33" s="13">
        <f>(B33*C33)/D33</f>
        <v>0.00005596183213</v>
      </c>
    </row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82</v>
      </c>
      <c r="L41" s="1">
        <f>I49</f>
        <v>0.003842948951</v>
      </c>
      <c r="M41" s="8" t="s">
        <v>83</v>
      </c>
    </row>
    <row r="42" ht="12.75" customHeight="1">
      <c r="J42" s="17"/>
      <c r="K42" s="10" t="s">
        <v>82</v>
      </c>
      <c r="L42" s="4">
        <f>(L41/I2)/31</f>
        <v>0.0001007854432</v>
      </c>
      <c r="M42" s="11" t="s">
        <v>84</v>
      </c>
    </row>
    <row r="43" ht="12.75" customHeight="1">
      <c r="K43" s="10" t="s">
        <v>85</v>
      </c>
      <c r="L43" s="1">
        <f>I50</f>
        <v>0.5865715758</v>
      </c>
      <c r="M43" s="11" t="s">
        <v>86</v>
      </c>
    </row>
    <row r="44" ht="13.5" customHeight="1">
      <c r="K44" s="12" t="s">
        <v>87</v>
      </c>
      <c r="L44" s="5">
        <f>L42/G13</f>
        <v>0.001800967542</v>
      </c>
      <c r="M44" s="13" t="s">
        <v>88</v>
      </c>
    </row>
    <row r="45" ht="12.75" customHeight="1">
      <c r="B45" s="4" t="s">
        <v>89</v>
      </c>
      <c r="C45" s="4"/>
      <c r="D45" s="4"/>
      <c r="E45" s="4"/>
      <c r="F45" s="4"/>
      <c r="G45" s="4" t="s">
        <v>89</v>
      </c>
      <c r="H45" s="4"/>
      <c r="I45" s="4"/>
    </row>
    <row r="46" ht="12.75" customHeight="1">
      <c r="B46" s="4" t="s">
        <v>90</v>
      </c>
      <c r="C46" s="4"/>
      <c r="D46" s="4"/>
      <c r="E46" s="4"/>
      <c r="F46" s="4"/>
      <c r="G46" s="4" t="s">
        <v>91</v>
      </c>
      <c r="L46" s="17"/>
    </row>
    <row r="47" ht="12.75" customHeight="1">
      <c r="B47" s="1" t="s">
        <v>92</v>
      </c>
      <c r="H47" s="1" t="s">
        <v>93</v>
      </c>
      <c r="I47" s="1" t="s">
        <v>94</v>
      </c>
    </row>
    <row r="48" ht="12.75" customHeight="1">
      <c r="B48" s="1" t="s">
        <v>95</v>
      </c>
      <c r="C48" s="1" t="s">
        <v>96</v>
      </c>
      <c r="D48" s="1" t="s">
        <v>97</v>
      </c>
      <c r="E48" s="1" t="s">
        <v>98</v>
      </c>
      <c r="F48" s="1" t="s">
        <v>99</v>
      </c>
      <c r="G48" s="1" t="s">
        <v>100</v>
      </c>
    </row>
    <row r="49" ht="12.75" customHeight="1">
      <c r="B49" s="1" t="s">
        <v>101</v>
      </c>
      <c r="C49" s="1">
        <v>6.32510000019758</v>
      </c>
      <c r="D49" s="1">
        <v>0.0</v>
      </c>
      <c r="E49" s="1">
        <v>0.003498560324578</v>
      </c>
      <c r="F49" s="1" t="s">
        <v>102</v>
      </c>
      <c r="H49" s="1" t="s">
        <v>103</v>
      </c>
      <c r="I49" s="1">
        <v>0.00384294895069987</v>
      </c>
    </row>
    <row r="50" ht="12.75" customHeight="1">
      <c r="B50" s="1" t="s">
        <v>104</v>
      </c>
      <c r="C50" s="1">
        <v>3.16259999993623</v>
      </c>
      <c r="D50" s="1">
        <v>0.0</v>
      </c>
      <c r="E50" s="1">
        <v>0.003253642826724</v>
      </c>
      <c r="F50" s="1" t="s">
        <v>102</v>
      </c>
      <c r="H50" s="1" t="s">
        <v>85</v>
      </c>
      <c r="I50" s="1">
        <v>0.586571575780075</v>
      </c>
    </row>
    <row r="51" ht="12.75" customHeight="1">
      <c r="B51" s="1" t="s">
        <v>105</v>
      </c>
      <c r="C51" s="1">
        <v>1.26500000023521</v>
      </c>
      <c r="D51" s="1">
        <v>0.0</v>
      </c>
      <c r="E51" s="1">
        <v>0.002920627685876</v>
      </c>
      <c r="F51" s="18" t="s">
        <v>102</v>
      </c>
      <c r="G51" s="1" t="s">
        <v>106</v>
      </c>
    </row>
    <row r="52" ht="12.75" customHeight="1">
      <c r="B52" s="1" t="s">
        <v>107</v>
      </c>
      <c r="C52" s="1">
        <v>0.316300000059589</v>
      </c>
      <c r="D52" s="1">
        <v>0.0</v>
      </c>
      <c r="E52" s="1">
        <v>0.001138491812991</v>
      </c>
      <c r="F52" s="1" t="s">
        <v>102</v>
      </c>
      <c r="H52" s="1" t="s">
        <v>108</v>
      </c>
      <c r="I52" s="1">
        <v>4309.77789403327</v>
      </c>
    </row>
    <row r="53" ht="12.75" customHeight="1">
      <c r="H53" s="1" t="s">
        <v>109</v>
      </c>
      <c r="I53" s="1">
        <v>0.998493628619184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110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111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112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113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B6" s="19"/>
      <c r="D6" s="19"/>
      <c r="F6" s="19"/>
      <c r="H6" s="19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