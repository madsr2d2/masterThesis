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57" vbProcedure="false">Sheet2!$A$1:$H$64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<sst xmlns="http://schemas.openxmlformats.org/spreadsheetml/2006/main" count="181" uniqueCount="121">
  <si>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</si>
  <si>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</si>
  <si>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</si>
  <si>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</si>
  <si>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</si>
  <si>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</si>
  <si>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</si>
  <si>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</si>
  <si>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</si>
  <si>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</si>
  <si>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</si>
  <si>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</si>
  <si>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</si>
  <si>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</si>
  <si>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</si>
  <si>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</si>
  <si>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</si>
  <si>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</si>
  <si>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</si>
  <si>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</si>
  <si>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</si>
  <si>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</si>
  <si>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</si>
  <si>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</si>
  <si>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</si>
  <si>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</si>
  <si>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</si>
  <si>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</si>
  <si>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</si>
  <si>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</si>
  <si>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</si>
  <si>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</si>
  <si>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</si>
  <si>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</si>
  <si>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</si>
  <si>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4-MeO-BnOH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</si>
  <si>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</si>
  <si>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</si>
  <si>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</si>
  <si>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</si>
  <si>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</si>
  <si>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</si>
  <si>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</si>
  <si>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</si>
  <si>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</si>
  <si>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</si>
  <si>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</si>
  <si>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carbonat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</si>
  <si>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</si>
  <si>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</si>
  <si>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</si>
  <si>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</si>
  <si>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</si>
  <si>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</si>
  <si>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</si>
  <si>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</si>
  <si>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</si>
  <si>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</si>
  <si>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</si>
  <si>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</si>
  <si>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</si>
  <si>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</si>
  <si>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</si>
  <si>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</si>
  <si>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</si>
  <si>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</si>
  <si>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</si>
  <si>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</si>
  <si>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</si>
  <si>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</si>
  <si>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</si>
  <si>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</si>
  <si>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</si>
  <si>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</si>
  <si>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</si>
  <si>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- 57 best fit 2</t>
  </si>
  <si>
    <t xml:space="preserve">Conc. Units</t>
  </si>
  <si>
    <t xml:space="preserve">Hanes-Woolf</t>
  </si>
  <si>
    <t xml:space="preserve">Raw Data</t>
  </si>
  <si>
    <t xml:space="preserve">Parameters</t>
  </si>
  <si>
    <t xml:space="preserve">[I]=0.000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</si>
  <si>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</si>
  <si>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</si>
  <si>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</si>
  <si>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</si>
  <si>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</si>
  <si>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Calculated Values</t>
  </si>
  <si>
    <t xml:space="preserve">Sample001</t>
  </si>
  <si>
    <t xml:space="preserve">No</t>
  </si>
  <si>
    <t xml:space="preserve">VMax</t>
  </si>
  <si>
    <t xml:space="preserve">Sample002</t>
  </si>
  <si>
    <t xml:space="preserve">Yes</t>
  </si>
  <si>
    <t xml:space="preserve">Sample003</t>
  </si>
  <si>
    <t xml:space="preserve">Statistics</t>
  </si>
  <si>
    <t xml:space="preserve">Sample004</t>
  </si>
  <si>
    <t xml:space="preserve">Chi Squared</t>
  </si>
  <si>
    <t xml:space="preserve">Corr.Coeff.</t>
  </si>
  <si>
    <t xml:space="preserve">Batch</t>
  </si>
  <si>
    <t xml:space="preserve">rate057.rre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</si>
  <si>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</si>
  <si>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</si>
  <si>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</si>
  <si>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</si>
  <si>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</si>
  <si>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</si>
  <si>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</si>
  <si>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2:42:47PM</t>
  </si>
  <si>
    <t xml:space="preserve">2:42:53PM</t>
  </si>
  <si>
    <t xml:space="preserve">2:43:00PM</t>
  </si>
  <si>
    <t xml:space="preserve">3:33:39PM</t>
  </si>
  <si>
    <t xml:space="preserve">Inhibitor Conc.</t>
  </si>
  <si>
    <t xml:space="preserve">0.4693 mmol/L</t>
  </si>
  <si>
    <t xml:space="preserve">Substrate Conc.</t>
  </si>
  <si>
    <t xml:space="preserve">1.5286 mmol/L</t>
  </si>
  <si>
    <t xml:space="preserve">0.9386 mmol/L</t>
  </si>
  <si>
    <t xml:space="preserve">1.8772 mmol/L</t>
  </si>
  <si>
    <t xml:space="preserve">3.7545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</si>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</sst>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1A1A1A"/>
      <name val="Calibri"/>
      <family val="2"/>
    </font>
    <font>
      <sz val="18"/>
      <color rgb="FF757575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33312449"/>
        <c:axId val="89168191"/>
      </c:scatterChart>
      <c:valAx>
        <c:axId val="33312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168191"/>
        <c:crosses val="autoZero"/>
        <c:crossBetween val="midCat"/>
      </c:valAx>
      <c:valAx>
        <c:axId val="891681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3124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92535187"/>
        <c:axId val="84964348"/>
      </c:barChart>
      <c:catAx>
        <c:axId val="92535187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4964348"/>
        <c:auto val="1"/>
        <c:lblAlgn val="ctr"/>
        <c:lblOffset val="100"/>
        <c:noMultiLvlLbl val="0"/>
      </c:catAx>
      <c:valAx>
        <c:axId val="8496434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2535187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85238441"/>
        <c:axId val="14672582"/>
      </c:scatterChart>
      <c:valAx>
        <c:axId val="85238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672582"/>
        <c:crosses val="autoZero"/>
        <c:crossBetween val="midCat"/>
      </c:valAx>
      <c:valAx>
        <c:axId val="146725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2384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7367015"/>
        <c:axId val="16963397"/>
      </c:barChart>
      <c:catAx>
        <c:axId val="6736701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6963397"/>
        <c:auto val="1"/>
        <c:lblAlgn val="ctr"/>
        <c:lblOffset val="100"/>
        <c:noMultiLvlLbl val="0"/>
      </c:catAx>
      <c:valAx>
        <c:axId val="16963397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736701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Sheet2!$A$10:$A$15</c:f>
              <c:numCache>
                <c:formatCode>General</c:formatCode>
                <c:ptCount val="6"/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</c:numCache>
            </c:numRef>
          </c:xVal>
          <c:yVal>
            <c:numRef>
              <c:f>Sheet2!$B$10:$B$15</c:f>
              <c:numCache>
                <c:formatCode>General</c:formatCode>
                <c:ptCount val="6"/>
                <c:pt idx="1">
                  <c:v>-0.002</c:v>
                </c:pt>
                <c:pt idx="2">
                  <c:v>-0.003</c:v>
                </c:pt>
                <c:pt idx="3">
                  <c:v>-0.002</c:v>
                </c:pt>
                <c:pt idx="4">
                  <c:v>-0.002</c:v>
                </c:pt>
                <c:pt idx="5">
                  <c:v>-0.001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Sheet2!$A$10:$A$15</c:f>
              <c:numCache>
                <c:formatCode>General</c:formatCode>
                <c:ptCount val="6"/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</c:numCache>
            </c:numRef>
          </c:xVal>
          <c:yVal>
            <c:numRef>
              <c:f>Sheet2!$D$10:$D$15</c:f>
              <c:numCache>
                <c:formatCode>General</c:formatCode>
                <c:ptCount val="6"/>
                <c:pt idx="1">
                  <c:v>0.008</c:v>
                </c:pt>
                <c:pt idx="2">
                  <c:v>0.009</c:v>
                </c:pt>
                <c:pt idx="3">
                  <c:v>0.011</c:v>
                </c:pt>
                <c:pt idx="4">
                  <c:v>0.014</c:v>
                </c:pt>
                <c:pt idx="5">
                  <c:v>0.019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Sheet2!$A$10:$A$15</c:f>
              <c:numCache>
                <c:formatCode>General</c:formatCode>
                <c:ptCount val="6"/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</c:numCache>
            </c:numRef>
          </c:xVal>
          <c:yVal>
            <c:numRef>
              <c:f>Sheet2!$F$10:$F$15</c:f>
              <c:numCache>
                <c:formatCode>General</c:formatCode>
                <c:ptCount val="6"/>
                <c:pt idx="1">
                  <c:v>0.02</c:v>
                </c:pt>
                <c:pt idx="2">
                  <c:v>0.023</c:v>
                </c:pt>
                <c:pt idx="3">
                  <c:v>0.026</c:v>
                </c:pt>
                <c:pt idx="4">
                  <c:v>0.028</c:v>
                </c:pt>
                <c:pt idx="5">
                  <c:v>0.03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Sheet2!$A$10:$A$15</c:f>
              <c:numCache>
                <c:formatCode>General</c:formatCode>
                <c:ptCount val="6"/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</c:numCache>
            </c:numRef>
          </c:xVal>
          <c:yVal>
            <c:numRef>
              <c:f>Sheet2!$H$10:$H$15</c:f>
              <c:numCache>
                <c:formatCode>General</c:formatCode>
                <c:ptCount val="6"/>
                <c:pt idx="1">
                  <c:v>0.041</c:v>
                </c:pt>
                <c:pt idx="2">
                  <c:v>0.046</c:v>
                </c:pt>
                <c:pt idx="3">
                  <c:v>0.05</c:v>
                </c:pt>
                <c:pt idx="4">
                  <c:v>0.054</c:v>
                </c:pt>
                <c:pt idx="5">
                  <c:v>0.057</c:v>
                </c:pt>
              </c:numCache>
            </c:numRef>
          </c:yVal>
          <c:smooth val="1"/>
        </c:ser>
        <c:axId val="66005421"/>
        <c:axId val="77170251"/>
      </c:scatterChart>
      <c:valAx>
        <c:axId val="6600542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170251"/>
        <c:crosses val="autoZero"/>
        <c:crossBetween val="midCat"/>
      </c:valAx>
      <c:valAx>
        <c:axId val="7717025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0054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Sheet2!$A$10:$A$61</c:f>
              <c:strCache>
                <c:ptCount val="52"/>
                <c:pt idx="0">
                  <c:v>ss.sss</c:v>
                </c:pt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840</c:v>
                </c:pt>
                <c:pt idx="16">
                  <c:v>900</c:v>
                </c:pt>
                <c:pt idx="17">
                  <c:v>960</c:v>
                </c:pt>
                <c:pt idx="18">
                  <c:v>1020</c:v>
                </c:pt>
                <c:pt idx="19">
                  <c:v>1080</c:v>
                </c:pt>
                <c:pt idx="20">
                  <c:v>1140</c:v>
                </c:pt>
                <c:pt idx="21">
                  <c:v>1200</c:v>
                </c:pt>
                <c:pt idx="22">
                  <c:v>1260</c:v>
                </c:pt>
                <c:pt idx="23">
                  <c:v>1320</c:v>
                </c:pt>
                <c:pt idx="24">
                  <c:v>1380</c:v>
                </c:pt>
                <c:pt idx="25">
                  <c:v>1440</c:v>
                </c:pt>
                <c:pt idx="26">
                  <c:v>1500</c:v>
                </c:pt>
                <c:pt idx="27">
                  <c:v>1560</c:v>
                </c:pt>
                <c:pt idx="28">
                  <c:v>1620</c:v>
                </c:pt>
                <c:pt idx="29">
                  <c:v>1680</c:v>
                </c:pt>
                <c:pt idx="30">
                  <c:v>1740</c:v>
                </c:pt>
                <c:pt idx="31">
                  <c:v>1800</c:v>
                </c:pt>
                <c:pt idx="32">
                  <c:v>1860</c:v>
                </c:pt>
                <c:pt idx="33">
                  <c:v>1920</c:v>
                </c:pt>
                <c:pt idx="34">
                  <c:v>1980</c:v>
                </c:pt>
                <c:pt idx="35">
                  <c:v>2040</c:v>
                </c:pt>
                <c:pt idx="36">
                  <c:v>2100</c:v>
                </c:pt>
                <c:pt idx="37">
                  <c:v>2160</c:v>
                </c:pt>
                <c:pt idx="38">
                  <c:v>2220</c:v>
                </c:pt>
                <c:pt idx="39">
                  <c:v>2280</c:v>
                </c:pt>
                <c:pt idx="40">
                  <c:v>2340</c:v>
                </c:pt>
                <c:pt idx="41">
                  <c:v>2400</c:v>
                </c:pt>
                <c:pt idx="42">
                  <c:v>2460</c:v>
                </c:pt>
                <c:pt idx="43">
                  <c:v>2520</c:v>
                </c:pt>
                <c:pt idx="44">
                  <c:v>2580</c:v>
                </c:pt>
                <c:pt idx="45">
                  <c:v>2640</c:v>
                </c:pt>
                <c:pt idx="46">
                  <c:v>2700</c:v>
                </c:pt>
                <c:pt idx="47">
                  <c:v>2760</c:v>
                </c:pt>
                <c:pt idx="48">
                  <c:v>2820</c:v>
                </c:pt>
                <c:pt idx="49">
                  <c:v>2880</c:v>
                </c:pt>
                <c:pt idx="50">
                  <c:v>2940</c:v>
                </c:pt>
                <c:pt idx="51">
                  <c:v>3000</c:v>
                </c:pt>
              </c:strCache>
            </c:strRef>
          </c:cat>
          <c:val>
            <c:numRef>
              <c:f>Sheet2!$B$10:$B$61</c:f>
              <c:numCache>
                <c:formatCode>General</c:formatCode>
                <c:ptCount val="52"/>
                <c:pt idx="1">
                  <c:v>-0.002</c:v>
                </c:pt>
                <c:pt idx="2">
                  <c:v>-0.003</c:v>
                </c:pt>
                <c:pt idx="3">
                  <c:v>-0.002</c:v>
                </c:pt>
                <c:pt idx="4">
                  <c:v>-0.002</c:v>
                </c:pt>
                <c:pt idx="5">
                  <c:v>-0.001</c:v>
                </c:pt>
                <c:pt idx="6">
                  <c:v>-0.002</c:v>
                </c:pt>
                <c:pt idx="7">
                  <c:v>0</c:v>
                </c:pt>
                <c:pt idx="8">
                  <c:v>-0.001</c:v>
                </c:pt>
                <c:pt idx="9">
                  <c:v>0.001</c:v>
                </c:pt>
                <c:pt idx="10">
                  <c:v>0</c:v>
                </c:pt>
                <c:pt idx="11">
                  <c:v>0.001</c:v>
                </c:pt>
                <c:pt idx="12">
                  <c:v>0.002</c:v>
                </c:pt>
                <c:pt idx="13">
                  <c:v>0.002</c:v>
                </c:pt>
                <c:pt idx="14">
                  <c:v>0.002</c:v>
                </c:pt>
                <c:pt idx="15">
                  <c:v>0.002</c:v>
                </c:pt>
                <c:pt idx="16">
                  <c:v>0.001</c:v>
                </c:pt>
                <c:pt idx="17">
                  <c:v>0</c:v>
                </c:pt>
                <c:pt idx="18">
                  <c:v>0.001</c:v>
                </c:pt>
                <c:pt idx="19">
                  <c:v>0.001</c:v>
                </c:pt>
                <c:pt idx="20">
                  <c:v>0</c:v>
                </c:pt>
                <c:pt idx="21">
                  <c:v>0.001</c:v>
                </c:pt>
                <c:pt idx="22">
                  <c:v>0.001</c:v>
                </c:pt>
                <c:pt idx="23">
                  <c:v>0.002</c:v>
                </c:pt>
                <c:pt idx="24">
                  <c:v>0.002</c:v>
                </c:pt>
                <c:pt idx="25">
                  <c:v>0.001</c:v>
                </c:pt>
                <c:pt idx="26">
                  <c:v>0.001</c:v>
                </c:pt>
                <c:pt idx="27">
                  <c:v>0.001</c:v>
                </c:pt>
                <c:pt idx="28">
                  <c:v>0</c:v>
                </c:pt>
                <c:pt idx="29">
                  <c:v>0.002</c:v>
                </c:pt>
                <c:pt idx="30">
                  <c:v>0.001</c:v>
                </c:pt>
                <c:pt idx="31">
                  <c:v>0.001</c:v>
                </c:pt>
                <c:pt idx="32">
                  <c:v>0.001</c:v>
                </c:pt>
                <c:pt idx="33">
                  <c:v>0.001</c:v>
                </c:pt>
                <c:pt idx="34">
                  <c:v>0.001</c:v>
                </c:pt>
                <c:pt idx="35">
                  <c:v>0.001</c:v>
                </c:pt>
                <c:pt idx="36">
                  <c:v>0.002</c:v>
                </c:pt>
                <c:pt idx="37">
                  <c:v>0</c:v>
                </c:pt>
                <c:pt idx="38">
                  <c:v>0</c:v>
                </c:pt>
                <c:pt idx="39">
                  <c:v>0.001</c:v>
                </c:pt>
                <c:pt idx="40">
                  <c:v>0</c:v>
                </c:pt>
                <c:pt idx="41">
                  <c:v>0</c:v>
                </c:pt>
                <c:pt idx="42">
                  <c:v>0.001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Sheet2!$A$10:$A$61</c:f>
              <c:strCache>
                <c:ptCount val="52"/>
                <c:pt idx="0">
                  <c:v>ss.sss</c:v>
                </c:pt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840</c:v>
                </c:pt>
                <c:pt idx="16">
                  <c:v>900</c:v>
                </c:pt>
                <c:pt idx="17">
                  <c:v>960</c:v>
                </c:pt>
                <c:pt idx="18">
                  <c:v>1020</c:v>
                </c:pt>
                <c:pt idx="19">
                  <c:v>1080</c:v>
                </c:pt>
                <c:pt idx="20">
                  <c:v>1140</c:v>
                </c:pt>
                <c:pt idx="21">
                  <c:v>1200</c:v>
                </c:pt>
                <c:pt idx="22">
                  <c:v>1260</c:v>
                </c:pt>
                <c:pt idx="23">
                  <c:v>1320</c:v>
                </c:pt>
                <c:pt idx="24">
                  <c:v>1380</c:v>
                </c:pt>
                <c:pt idx="25">
                  <c:v>1440</c:v>
                </c:pt>
                <c:pt idx="26">
                  <c:v>1500</c:v>
                </c:pt>
                <c:pt idx="27">
                  <c:v>1560</c:v>
                </c:pt>
                <c:pt idx="28">
                  <c:v>1620</c:v>
                </c:pt>
                <c:pt idx="29">
                  <c:v>1680</c:v>
                </c:pt>
                <c:pt idx="30">
                  <c:v>1740</c:v>
                </c:pt>
                <c:pt idx="31">
                  <c:v>1800</c:v>
                </c:pt>
                <c:pt idx="32">
                  <c:v>1860</c:v>
                </c:pt>
                <c:pt idx="33">
                  <c:v>1920</c:v>
                </c:pt>
                <c:pt idx="34">
                  <c:v>1980</c:v>
                </c:pt>
                <c:pt idx="35">
                  <c:v>2040</c:v>
                </c:pt>
                <c:pt idx="36">
                  <c:v>2100</c:v>
                </c:pt>
                <c:pt idx="37">
                  <c:v>2160</c:v>
                </c:pt>
                <c:pt idx="38">
                  <c:v>2220</c:v>
                </c:pt>
                <c:pt idx="39">
                  <c:v>2280</c:v>
                </c:pt>
                <c:pt idx="40">
                  <c:v>2340</c:v>
                </c:pt>
                <c:pt idx="41">
                  <c:v>2400</c:v>
                </c:pt>
                <c:pt idx="42">
                  <c:v>2460</c:v>
                </c:pt>
                <c:pt idx="43">
                  <c:v>2520</c:v>
                </c:pt>
                <c:pt idx="44">
                  <c:v>2580</c:v>
                </c:pt>
                <c:pt idx="45">
                  <c:v>2640</c:v>
                </c:pt>
                <c:pt idx="46">
                  <c:v>2700</c:v>
                </c:pt>
                <c:pt idx="47">
                  <c:v>2760</c:v>
                </c:pt>
                <c:pt idx="48">
                  <c:v>2820</c:v>
                </c:pt>
                <c:pt idx="49">
                  <c:v>2880</c:v>
                </c:pt>
                <c:pt idx="50">
                  <c:v>2940</c:v>
                </c:pt>
                <c:pt idx="51">
                  <c:v>3000</c:v>
                </c:pt>
              </c:strCache>
            </c:strRef>
          </c:cat>
          <c:val>
            <c:numRef>
              <c:f>Sheet2!$D$10:$D$61</c:f>
              <c:numCache>
                <c:formatCode>General</c:formatCode>
                <c:ptCount val="52"/>
                <c:pt idx="1">
                  <c:v>0.008</c:v>
                </c:pt>
                <c:pt idx="2">
                  <c:v>0.009</c:v>
                </c:pt>
                <c:pt idx="3">
                  <c:v>0.011</c:v>
                </c:pt>
                <c:pt idx="4">
                  <c:v>0.014</c:v>
                </c:pt>
                <c:pt idx="5">
                  <c:v>0.019</c:v>
                </c:pt>
                <c:pt idx="6">
                  <c:v>0.028</c:v>
                </c:pt>
                <c:pt idx="7">
                  <c:v>0.041</c:v>
                </c:pt>
                <c:pt idx="8">
                  <c:v>0.052</c:v>
                </c:pt>
                <c:pt idx="9">
                  <c:v>0.052</c:v>
                </c:pt>
                <c:pt idx="10">
                  <c:v>0.047</c:v>
                </c:pt>
                <c:pt idx="11">
                  <c:v>0.057</c:v>
                </c:pt>
                <c:pt idx="12">
                  <c:v>0.069</c:v>
                </c:pt>
                <c:pt idx="13">
                  <c:v>0.065</c:v>
                </c:pt>
                <c:pt idx="14">
                  <c:v>0.077</c:v>
                </c:pt>
                <c:pt idx="15">
                  <c:v>0.078</c:v>
                </c:pt>
                <c:pt idx="16">
                  <c:v>0.067</c:v>
                </c:pt>
                <c:pt idx="17">
                  <c:v>0.075</c:v>
                </c:pt>
                <c:pt idx="18">
                  <c:v>0.074</c:v>
                </c:pt>
                <c:pt idx="19">
                  <c:v>0.075</c:v>
                </c:pt>
                <c:pt idx="20">
                  <c:v>0.06</c:v>
                </c:pt>
                <c:pt idx="21">
                  <c:v>0.066</c:v>
                </c:pt>
                <c:pt idx="22">
                  <c:v>0.059</c:v>
                </c:pt>
                <c:pt idx="23">
                  <c:v>0.062</c:v>
                </c:pt>
                <c:pt idx="24">
                  <c:v>0.06</c:v>
                </c:pt>
                <c:pt idx="25">
                  <c:v>0.053</c:v>
                </c:pt>
                <c:pt idx="26">
                  <c:v>0.058</c:v>
                </c:pt>
                <c:pt idx="27">
                  <c:v>0.066</c:v>
                </c:pt>
                <c:pt idx="28">
                  <c:v>0.066</c:v>
                </c:pt>
                <c:pt idx="29">
                  <c:v>0.07</c:v>
                </c:pt>
                <c:pt idx="30">
                  <c:v>0.079</c:v>
                </c:pt>
                <c:pt idx="31">
                  <c:v>0.052</c:v>
                </c:pt>
                <c:pt idx="32">
                  <c:v>0.046</c:v>
                </c:pt>
                <c:pt idx="33">
                  <c:v>0.036</c:v>
                </c:pt>
                <c:pt idx="34">
                  <c:v>0.046</c:v>
                </c:pt>
                <c:pt idx="35">
                  <c:v>0.047</c:v>
                </c:pt>
                <c:pt idx="36">
                  <c:v>0.056</c:v>
                </c:pt>
                <c:pt idx="37">
                  <c:v>0.052</c:v>
                </c:pt>
                <c:pt idx="38">
                  <c:v>0.059</c:v>
                </c:pt>
                <c:pt idx="39">
                  <c:v>0.069</c:v>
                </c:pt>
                <c:pt idx="40">
                  <c:v>0.075</c:v>
                </c:pt>
                <c:pt idx="41">
                  <c:v>0.055</c:v>
                </c:pt>
                <c:pt idx="42">
                  <c:v>0.063</c:v>
                </c:pt>
                <c:pt idx="43">
                  <c:v>0.062</c:v>
                </c:pt>
                <c:pt idx="44">
                  <c:v>0.068</c:v>
                </c:pt>
                <c:pt idx="45">
                  <c:v>0.05</c:v>
                </c:pt>
                <c:pt idx="46">
                  <c:v>0.051</c:v>
                </c:pt>
                <c:pt idx="47">
                  <c:v>0.057</c:v>
                </c:pt>
                <c:pt idx="48">
                  <c:v>0.056</c:v>
                </c:pt>
                <c:pt idx="49">
                  <c:v>0.059</c:v>
                </c:pt>
                <c:pt idx="50">
                  <c:v>0.061</c:v>
                </c:pt>
                <c:pt idx="51">
                  <c:v>0.048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Sheet2!$A$10:$A$61</c:f>
              <c:strCache>
                <c:ptCount val="52"/>
                <c:pt idx="0">
                  <c:v>ss.sss</c:v>
                </c:pt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840</c:v>
                </c:pt>
                <c:pt idx="16">
                  <c:v>900</c:v>
                </c:pt>
                <c:pt idx="17">
                  <c:v>960</c:v>
                </c:pt>
                <c:pt idx="18">
                  <c:v>1020</c:v>
                </c:pt>
                <c:pt idx="19">
                  <c:v>1080</c:v>
                </c:pt>
                <c:pt idx="20">
                  <c:v>1140</c:v>
                </c:pt>
                <c:pt idx="21">
                  <c:v>1200</c:v>
                </c:pt>
                <c:pt idx="22">
                  <c:v>1260</c:v>
                </c:pt>
                <c:pt idx="23">
                  <c:v>1320</c:v>
                </c:pt>
                <c:pt idx="24">
                  <c:v>1380</c:v>
                </c:pt>
                <c:pt idx="25">
                  <c:v>1440</c:v>
                </c:pt>
                <c:pt idx="26">
                  <c:v>1500</c:v>
                </c:pt>
                <c:pt idx="27">
                  <c:v>1560</c:v>
                </c:pt>
                <c:pt idx="28">
                  <c:v>1620</c:v>
                </c:pt>
                <c:pt idx="29">
                  <c:v>1680</c:v>
                </c:pt>
                <c:pt idx="30">
                  <c:v>1740</c:v>
                </c:pt>
                <c:pt idx="31">
                  <c:v>1800</c:v>
                </c:pt>
                <c:pt idx="32">
                  <c:v>1860</c:v>
                </c:pt>
                <c:pt idx="33">
                  <c:v>1920</c:v>
                </c:pt>
                <c:pt idx="34">
                  <c:v>1980</c:v>
                </c:pt>
                <c:pt idx="35">
                  <c:v>2040</c:v>
                </c:pt>
                <c:pt idx="36">
                  <c:v>2100</c:v>
                </c:pt>
                <c:pt idx="37">
                  <c:v>2160</c:v>
                </c:pt>
                <c:pt idx="38">
                  <c:v>2220</c:v>
                </c:pt>
                <c:pt idx="39">
                  <c:v>2280</c:v>
                </c:pt>
                <c:pt idx="40">
                  <c:v>2340</c:v>
                </c:pt>
                <c:pt idx="41">
                  <c:v>2400</c:v>
                </c:pt>
                <c:pt idx="42">
                  <c:v>2460</c:v>
                </c:pt>
                <c:pt idx="43">
                  <c:v>2520</c:v>
                </c:pt>
                <c:pt idx="44">
                  <c:v>2580</c:v>
                </c:pt>
                <c:pt idx="45">
                  <c:v>2640</c:v>
                </c:pt>
                <c:pt idx="46">
                  <c:v>2700</c:v>
                </c:pt>
                <c:pt idx="47">
                  <c:v>2760</c:v>
                </c:pt>
                <c:pt idx="48">
                  <c:v>2820</c:v>
                </c:pt>
                <c:pt idx="49">
                  <c:v>2880</c:v>
                </c:pt>
                <c:pt idx="50">
                  <c:v>2940</c:v>
                </c:pt>
                <c:pt idx="51">
                  <c:v>3000</c:v>
                </c:pt>
              </c:strCache>
            </c:strRef>
          </c:cat>
          <c:val>
            <c:numRef>
              <c:f>Sheet2!$F$10:$F$61</c:f>
              <c:numCache>
                <c:formatCode>General</c:formatCode>
                <c:ptCount val="52"/>
                <c:pt idx="1">
                  <c:v>0.02</c:v>
                </c:pt>
                <c:pt idx="2">
                  <c:v>0.023</c:v>
                </c:pt>
                <c:pt idx="3">
                  <c:v>0.026</c:v>
                </c:pt>
                <c:pt idx="4">
                  <c:v>0.028</c:v>
                </c:pt>
                <c:pt idx="5">
                  <c:v>0.03</c:v>
                </c:pt>
                <c:pt idx="6">
                  <c:v>0.034</c:v>
                </c:pt>
                <c:pt idx="7">
                  <c:v>0.035</c:v>
                </c:pt>
                <c:pt idx="8">
                  <c:v>0.038</c:v>
                </c:pt>
                <c:pt idx="9">
                  <c:v>0.039</c:v>
                </c:pt>
                <c:pt idx="10">
                  <c:v>0.041</c:v>
                </c:pt>
                <c:pt idx="11">
                  <c:v>0.043</c:v>
                </c:pt>
                <c:pt idx="12">
                  <c:v>0.045</c:v>
                </c:pt>
                <c:pt idx="13">
                  <c:v>0.047</c:v>
                </c:pt>
                <c:pt idx="14">
                  <c:v>0.048</c:v>
                </c:pt>
                <c:pt idx="15">
                  <c:v>0.049</c:v>
                </c:pt>
                <c:pt idx="16">
                  <c:v>0.05</c:v>
                </c:pt>
                <c:pt idx="17">
                  <c:v>0.054</c:v>
                </c:pt>
                <c:pt idx="18">
                  <c:v>0.054</c:v>
                </c:pt>
                <c:pt idx="19">
                  <c:v>0.054</c:v>
                </c:pt>
                <c:pt idx="20">
                  <c:v>0.055</c:v>
                </c:pt>
                <c:pt idx="21">
                  <c:v>0.056</c:v>
                </c:pt>
                <c:pt idx="22">
                  <c:v>0.057</c:v>
                </c:pt>
                <c:pt idx="23">
                  <c:v>0.06</c:v>
                </c:pt>
                <c:pt idx="24">
                  <c:v>0.063</c:v>
                </c:pt>
                <c:pt idx="25">
                  <c:v>0.064</c:v>
                </c:pt>
                <c:pt idx="26">
                  <c:v>0.063</c:v>
                </c:pt>
                <c:pt idx="27">
                  <c:v>0.066</c:v>
                </c:pt>
                <c:pt idx="28">
                  <c:v>0.065</c:v>
                </c:pt>
                <c:pt idx="29">
                  <c:v>0.067</c:v>
                </c:pt>
                <c:pt idx="30">
                  <c:v>0.068</c:v>
                </c:pt>
                <c:pt idx="31">
                  <c:v>0.07</c:v>
                </c:pt>
                <c:pt idx="32">
                  <c:v>0.072</c:v>
                </c:pt>
                <c:pt idx="33">
                  <c:v>0.073</c:v>
                </c:pt>
                <c:pt idx="34">
                  <c:v>0.072</c:v>
                </c:pt>
                <c:pt idx="35">
                  <c:v>0.074</c:v>
                </c:pt>
                <c:pt idx="36">
                  <c:v>0.074</c:v>
                </c:pt>
                <c:pt idx="37">
                  <c:v>0.075</c:v>
                </c:pt>
                <c:pt idx="38">
                  <c:v>0.077</c:v>
                </c:pt>
                <c:pt idx="39">
                  <c:v>0.077</c:v>
                </c:pt>
                <c:pt idx="40">
                  <c:v>0.078</c:v>
                </c:pt>
                <c:pt idx="41">
                  <c:v>0.08</c:v>
                </c:pt>
                <c:pt idx="42">
                  <c:v>0.08</c:v>
                </c:pt>
                <c:pt idx="43">
                  <c:v>0.082</c:v>
                </c:pt>
                <c:pt idx="44">
                  <c:v>0.082</c:v>
                </c:pt>
                <c:pt idx="45">
                  <c:v>0.083</c:v>
                </c:pt>
                <c:pt idx="46">
                  <c:v>0.083</c:v>
                </c:pt>
                <c:pt idx="47">
                  <c:v>0.086</c:v>
                </c:pt>
                <c:pt idx="48">
                  <c:v>0.085</c:v>
                </c:pt>
                <c:pt idx="49">
                  <c:v>0.086</c:v>
                </c:pt>
                <c:pt idx="50">
                  <c:v>0.086</c:v>
                </c:pt>
                <c:pt idx="51">
                  <c:v>0.087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Sheet2!$A$10:$A$61</c:f>
              <c:strCache>
                <c:ptCount val="52"/>
                <c:pt idx="0">
                  <c:v>ss.sss</c:v>
                </c:pt>
                <c:pt idx="1">
                  <c:v>0</c:v>
                </c:pt>
                <c:pt idx="2">
                  <c:v>60</c:v>
                </c:pt>
                <c:pt idx="3">
                  <c:v>120</c:v>
                </c:pt>
                <c:pt idx="4">
                  <c:v>180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660</c:v>
                </c:pt>
                <c:pt idx="13">
                  <c:v>720</c:v>
                </c:pt>
                <c:pt idx="14">
                  <c:v>780</c:v>
                </c:pt>
                <c:pt idx="15">
                  <c:v>840</c:v>
                </c:pt>
                <c:pt idx="16">
                  <c:v>900</c:v>
                </c:pt>
                <c:pt idx="17">
                  <c:v>960</c:v>
                </c:pt>
                <c:pt idx="18">
                  <c:v>1020</c:v>
                </c:pt>
                <c:pt idx="19">
                  <c:v>1080</c:v>
                </c:pt>
                <c:pt idx="20">
                  <c:v>1140</c:v>
                </c:pt>
                <c:pt idx="21">
                  <c:v>1200</c:v>
                </c:pt>
                <c:pt idx="22">
                  <c:v>1260</c:v>
                </c:pt>
                <c:pt idx="23">
                  <c:v>1320</c:v>
                </c:pt>
                <c:pt idx="24">
                  <c:v>1380</c:v>
                </c:pt>
                <c:pt idx="25">
                  <c:v>1440</c:v>
                </c:pt>
                <c:pt idx="26">
                  <c:v>1500</c:v>
                </c:pt>
                <c:pt idx="27">
                  <c:v>1560</c:v>
                </c:pt>
                <c:pt idx="28">
                  <c:v>1620</c:v>
                </c:pt>
                <c:pt idx="29">
                  <c:v>1680</c:v>
                </c:pt>
                <c:pt idx="30">
                  <c:v>1740</c:v>
                </c:pt>
                <c:pt idx="31">
                  <c:v>1800</c:v>
                </c:pt>
                <c:pt idx="32">
                  <c:v>1860</c:v>
                </c:pt>
                <c:pt idx="33">
                  <c:v>1920</c:v>
                </c:pt>
                <c:pt idx="34">
                  <c:v>1980</c:v>
                </c:pt>
                <c:pt idx="35">
                  <c:v>2040</c:v>
                </c:pt>
                <c:pt idx="36">
                  <c:v>2100</c:v>
                </c:pt>
                <c:pt idx="37">
                  <c:v>2160</c:v>
                </c:pt>
                <c:pt idx="38">
                  <c:v>2220</c:v>
                </c:pt>
                <c:pt idx="39">
                  <c:v>2280</c:v>
                </c:pt>
                <c:pt idx="40">
                  <c:v>2340</c:v>
                </c:pt>
                <c:pt idx="41">
                  <c:v>2400</c:v>
                </c:pt>
                <c:pt idx="42">
                  <c:v>2460</c:v>
                </c:pt>
                <c:pt idx="43">
                  <c:v>2520</c:v>
                </c:pt>
                <c:pt idx="44">
                  <c:v>2580</c:v>
                </c:pt>
                <c:pt idx="45">
                  <c:v>2640</c:v>
                </c:pt>
                <c:pt idx="46">
                  <c:v>2700</c:v>
                </c:pt>
                <c:pt idx="47">
                  <c:v>2760</c:v>
                </c:pt>
                <c:pt idx="48">
                  <c:v>2820</c:v>
                </c:pt>
                <c:pt idx="49">
                  <c:v>2880</c:v>
                </c:pt>
                <c:pt idx="50">
                  <c:v>2940</c:v>
                </c:pt>
                <c:pt idx="51">
                  <c:v>3000</c:v>
                </c:pt>
              </c:strCache>
            </c:strRef>
          </c:cat>
          <c:val>
            <c:numRef>
              <c:f>Sheet2!$H$10:$H$61</c:f>
              <c:numCache>
                <c:formatCode>General</c:formatCode>
                <c:ptCount val="52"/>
                <c:pt idx="1">
                  <c:v>0.041</c:v>
                </c:pt>
                <c:pt idx="2">
                  <c:v>0.046</c:v>
                </c:pt>
                <c:pt idx="3">
                  <c:v>0.05</c:v>
                </c:pt>
                <c:pt idx="4">
                  <c:v>0.054</c:v>
                </c:pt>
                <c:pt idx="5">
                  <c:v>0.057</c:v>
                </c:pt>
                <c:pt idx="6">
                  <c:v>0.061</c:v>
                </c:pt>
                <c:pt idx="7">
                  <c:v>0.064</c:v>
                </c:pt>
                <c:pt idx="8">
                  <c:v>0.067</c:v>
                </c:pt>
                <c:pt idx="9">
                  <c:v>0.071</c:v>
                </c:pt>
                <c:pt idx="10">
                  <c:v>0.074</c:v>
                </c:pt>
                <c:pt idx="11">
                  <c:v>0.077</c:v>
                </c:pt>
                <c:pt idx="12">
                  <c:v>0.081</c:v>
                </c:pt>
                <c:pt idx="13">
                  <c:v>0.083</c:v>
                </c:pt>
                <c:pt idx="14">
                  <c:v>0.086</c:v>
                </c:pt>
                <c:pt idx="15">
                  <c:v>0.089</c:v>
                </c:pt>
                <c:pt idx="16">
                  <c:v>0.091</c:v>
                </c:pt>
                <c:pt idx="17">
                  <c:v>0.093</c:v>
                </c:pt>
                <c:pt idx="18">
                  <c:v>0.096</c:v>
                </c:pt>
                <c:pt idx="19">
                  <c:v>0.098</c:v>
                </c:pt>
                <c:pt idx="20">
                  <c:v>0.101</c:v>
                </c:pt>
                <c:pt idx="21">
                  <c:v>0.103</c:v>
                </c:pt>
                <c:pt idx="22">
                  <c:v>0.105</c:v>
                </c:pt>
                <c:pt idx="23">
                  <c:v>0.107</c:v>
                </c:pt>
                <c:pt idx="24">
                  <c:v>0.11</c:v>
                </c:pt>
                <c:pt idx="25">
                  <c:v>0.112</c:v>
                </c:pt>
                <c:pt idx="26">
                  <c:v>0.114</c:v>
                </c:pt>
                <c:pt idx="27">
                  <c:v>0.116</c:v>
                </c:pt>
                <c:pt idx="28">
                  <c:v>0.118</c:v>
                </c:pt>
                <c:pt idx="29">
                  <c:v>0.119</c:v>
                </c:pt>
                <c:pt idx="30">
                  <c:v>0.122</c:v>
                </c:pt>
                <c:pt idx="31">
                  <c:v>0.123</c:v>
                </c:pt>
                <c:pt idx="32">
                  <c:v>0.125</c:v>
                </c:pt>
                <c:pt idx="33">
                  <c:v>0.127</c:v>
                </c:pt>
                <c:pt idx="34">
                  <c:v>0.129</c:v>
                </c:pt>
                <c:pt idx="35">
                  <c:v>0.13</c:v>
                </c:pt>
                <c:pt idx="36">
                  <c:v>0.132</c:v>
                </c:pt>
                <c:pt idx="37">
                  <c:v>0.133</c:v>
                </c:pt>
                <c:pt idx="38">
                  <c:v>0.137</c:v>
                </c:pt>
                <c:pt idx="39">
                  <c:v>0.138</c:v>
                </c:pt>
                <c:pt idx="40">
                  <c:v>0.141</c:v>
                </c:pt>
                <c:pt idx="41">
                  <c:v>0.143</c:v>
                </c:pt>
                <c:pt idx="42">
                  <c:v>0.146</c:v>
                </c:pt>
                <c:pt idx="43">
                  <c:v>0.144</c:v>
                </c:pt>
                <c:pt idx="44">
                  <c:v>0.144</c:v>
                </c:pt>
                <c:pt idx="45">
                  <c:v>0.146</c:v>
                </c:pt>
                <c:pt idx="46">
                  <c:v>0.148</c:v>
                </c:pt>
                <c:pt idx="47">
                  <c:v>0.148</c:v>
                </c:pt>
                <c:pt idx="48">
                  <c:v>0.15</c:v>
                </c:pt>
                <c:pt idx="49">
                  <c:v>0.152</c:v>
                </c:pt>
                <c:pt idx="50">
                  <c:v>0.152</c:v>
                </c:pt>
                <c:pt idx="51">
                  <c:v>0.153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180439"/>
        <c:axId val="44087739"/>
      </c:lineChart>
      <c:catAx>
        <c:axId val="721804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087739"/>
        <c:crosses val="autoZero"/>
        <c:auto val="1"/>
        <c:lblAlgn val="ctr"/>
        <c:lblOffset val="100"/>
        <c:noMultiLvlLbl val="0"/>
      </c:catAx>
      <c:valAx>
        <c:axId val="4408773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180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V ift.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Sheet2!$J$31:$J$34</c:f>
              <c:numCache>
                <c:formatCode>General</c:formatCode>
                <c:ptCount val="4"/>
                <c:pt idx="0">
                  <c:v>0.469309736405924</c:v>
                </c:pt>
                <c:pt idx="1">
                  <c:v>0.938619472811848</c:v>
                </c:pt>
                <c:pt idx="2">
                  <c:v>1.8772389456237</c:v>
                </c:pt>
                <c:pt idx="3">
                  <c:v>3.75447789124739</c:v>
                </c:pt>
              </c:numCache>
            </c:numRef>
          </c:xVal>
          <c:yVal>
            <c:numRef>
              <c:f>Sheet2!$K$31:$K$34</c:f>
              <c:numCache>
                <c:formatCode>General</c:formatCode>
                <c:ptCount val="4"/>
                <c:pt idx="0">
                  <c:v>5</c:v>
                </c:pt>
                <c:pt idx="1">
                  <c:v>45</c:v>
                </c:pt>
                <c:pt idx="2">
                  <c:v>41.7</c:v>
                </c:pt>
                <c:pt idx="3">
                  <c:v>66.7</c:v>
                </c:pt>
              </c:numCache>
            </c:numRef>
          </c:yVal>
          <c:smooth val="1"/>
        </c:ser>
        <c:axId val="44288755"/>
        <c:axId val="62573431"/>
      </c:scatterChart>
      <c:valAx>
        <c:axId val="44288755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573431"/>
        <c:crosses val="autoZero"/>
        <c:crossBetween val="midCat"/>
      </c:valAx>
      <c:valAx>
        <c:axId val="6257343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2887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93960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42872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162000</xdr:colOff>
      <xdr:row>2</xdr:row>
      <xdr:rowOff>85680</xdr:rowOff>
    </xdr:from>
    <xdr:to>
      <xdr:col>24</xdr:col>
      <xdr:colOff>324360</xdr:colOff>
      <xdr:row>26</xdr:row>
      <xdr:rowOff>142560</xdr:rowOff>
    </xdr:to>
    <xdr:graphicFrame>
      <xdr:nvGraphicFramePr>
        <xdr:cNvPr id="4" name="Chart 5"/>
        <xdr:cNvGraphicFramePr/>
      </xdr:nvGraphicFramePr>
      <xdr:xfrm>
        <a:off x="10886400" y="409680"/>
        <a:ext cx="6372000" cy="394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162000</xdr:colOff>
      <xdr:row>40</xdr:row>
      <xdr:rowOff>85680</xdr:rowOff>
    </xdr:from>
    <xdr:to>
      <xdr:col>20</xdr:col>
      <xdr:colOff>324360</xdr:colOff>
      <xdr:row>64</xdr:row>
      <xdr:rowOff>142560</xdr:rowOff>
    </xdr:to>
    <xdr:graphicFrame>
      <xdr:nvGraphicFramePr>
        <xdr:cNvPr id="5" name="Chart 6"/>
        <xdr:cNvGraphicFramePr/>
      </xdr:nvGraphicFramePr>
      <xdr:xfrm>
        <a:off x="8628480" y="6562800"/>
        <a:ext cx="6372000" cy="394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743040</xdr:colOff>
      <xdr:row>4</xdr:row>
      <xdr:rowOff>9360</xdr:rowOff>
    </xdr:from>
    <xdr:to>
      <xdr:col>7</xdr:col>
      <xdr:colOff>531360</xdr:colOff>
      <xdr:row>25</xdr:row>
      <xdr:rowOff>142200</xdr:rowOff>
    </xdr:to>
    <xdr:graphicFrame>
      <xdr:nvGraphicFramePr>
        <xdr:cNvPr id="6" name="Chart 7"/>
        <xdr:cNvGraphicFramePr/>
      </xdr:nvGraphicFramePr>
      <xdr:xfrm>
        <a:off x="1771200" y="65700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4" activeCellId="0" sqref="L34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8" min="8" style="0" width="8"/>
    <col collapsed="false" customWidth="true" hidden="false" outlineLevel="0" max="9" min="9" style="0" width="12.14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57</v>
      </c>
    </row>
    <row r="2" customFormat="false" ht="13.5" hidden="false" customHeight="true" outlineLevel="0" collapsed="false">
      <c r="C2" s="1" t="n">
        <v>285</v>
      </c>
      <c r="D2" s="1" t="s">
        <v>33</v>
      </c>
      <c r="H2" s="1" t="s">
        <v>34</v>
      </c>
      <c r="I2" s="1" t="n">
        <v>1.59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5</v>
      </c>
      <c r="L5" s="9" t="n">
        <v>45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187.03</v>
      </c>
      <c r="D7" s="9"/>
      <c r="F7" s="8" t="s">
        <v>41</v>
      </c>
      <c r="G7" s="3" t="n">
        <v>1054.29</v>
      </c>
      <c r="H7" s="9"/>
      <c r="J7" s="8"/>
      <c r="K7" s="3"/>
      <c r="L7" s="9"/>
      <c r="O7" s="1" t="n">
        <f aca="false">5*9</f>
        <v>45</v>
      </c>
    </row>
    <row r="8" customFormat="false" ht="12.75" hidden="false" customHeight="true" outlineLevel="0" collapsed="false">
      <c r="B8" s="8" t="s">
        <v>42</v>
      </c>
      <c r="C8" s="3" t="n">
        <v>0.3511</v>
      </c>
      <c r="D8" s="9"/>
      <c r="F8" s="8" t="s">
        <v>42</v>
      </c>
      <c r="G8" s="3" t="n">
        <v>0.0236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0.1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0.001877238946</v>
      </c>
      <c r="D10" s="9"/>
      <c r="F10" s="8" t="s">
        <v>46</v>
      </c>
      <c r="G10" s="3" t="n">
        <f aca="false">G8/G7</f>
        <v>2.238473285E-005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0.01877238946</v>
      </c>
      <c r="D11" s="9"/>
      <c r="F11" s="8" t="s">
        <v>45</v>
      </c>
      <c r="G11" s="3" t="n">
        <f aca="false">G10/G9</f>
        <v>0.005596183213</v>
      </c>
      <c r="H11" s="9"/>
      <c r="J11" s="8" t="s">
        <v>47</v>
      </c>
      <c r="K11" s="3" t="s">
        <v>48</v>
      </c>
      <c r="L11" s="9" t="n">
        <v>9.48</v>
      </c>
    </row>
    <row r="12" customFormat="false" ht="13.5" hidden="false" customHeight="true" outlineLevel="0" collapsed="false">
      <c r="B12" s="10" t="s">
        <v>49</v>
      </c>
      <c r="C12" s="4" t="n">
        <f aca="false">C11*1000</f>
        <v>18.77238946</v>
      </c>
      <c r="D12" s="11"/>
      <c r="F12" s="8" t="s">
        <v>49</v>
      </c>
      <c r="G12" s="3" t="n">
        <f aca="false">G11*1000</f>
        <v>5.596183213</v>
      </c>
      <c r="H12" s="9"/>
      <c r="J12" s="8"/>
      <c r="K12" s="3" t="s">
        <v>50</v>
      </c>
      <c r="L12" s="9" t="n">
        <v>25</v>
      </c>
    </row>
    <row r="13" customFormat="false" ht="13.5" hidden="false" customHeight="true" outlineLevel="0" collapsed="false">
      <c r="F13" s="10" t="s">
        <v>51</v>
      </c>
      <c r="G13" s="4" t="n">
        <f aca="false">E20*G12/H20</f>
        <v>0.1399045803</v>
      </c>
      <c r="H13" s="11" t="s">
        <v>49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customFormat="false" ht="13.5" hidden="false" customHeight="true" outlineLevel="0" collapsed="false">
      <c r="B19" s="12" t="s">
        <v>51</v>
      </c>
      <c r="C19" s="4" t="s">
        <v>54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  <c r="I19" s="4" t="s">
        <v>45</v>
      </c>
      <c r="J19" s="4" t="s">
        <v>49</v>
      </c>
      <c r="K19" s="4" t="s">
        <v>45</v>
      </c>
      <c r="L19" s="4" t="s">
        <v>49</v>
      </c>
      <c r="M19" s="4" t="s">
        <v>49</v>
      </c>
    </row>
    <row r="20" customFormat="false" ht="12.75" hidden="false" customHeight="true" outlineLevel="0" collapsed="false">
      <c r="B20" s="13" t="n">
        <v>1</v>
      </c>
      <c r="C20" s="1" t="n">
        <v>1.8</v>
      </c>
      <c r="D20" s="1" t="n">
        <v>0</v>
      </c>
      <c r="E20" s="1" t="n">
        <v>0.05</v>
      </c>
      <c r="F20" s="1" t="n">
        <v>0.05</v>
      </c>
      <c r="G20" s="1" t="n">
        <v>0.1</v>
      </c>
      <c r="H20" s="1" t="n">
        <f aca="false">SUM(C20:G20)</f>
        <v>2</v>
      </c>
      <c r="I20" s="1" t="n">
        <f aca="false">F20*$C$11/H20</f>
        <v>0.0004693097365</v>
      </c>
      <c r="J20" s="14" t="n">
        <f aca="false">I20*1000</f>
        <v>0.4693097365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0.139904580325</v>
      </c>
    </row>
    <row r="21" customFormat="false" ht="12.75" hidden="false" customHeight="true" outlineLevel="0" collapsed="false">
      <c r="B21" s="13" t="n">
        <v>2</v>
      </c>
      <c r="C21" s="1" t="n">
        <v>1.75</v>
      </c>
      <c r="D21" s="1" t="n">
        <v>0</v>
      </c>
      <c r="E21" s="1" t="n">
        <v>0.05</v>
      </c>
      <c r="F21" s="1" t="n">
        <v>0.1</v>
      </c>
      <c r="G21" s="1" t="n">
        <v>0.1</v>
      </c>
      <c r="H21" s="1" t="n">
        <f aca="false">SUM(C21:G21)</f>
        <v>2</v>
      </c>
      <c r="I21" s="1" t="n">
        <f aca="false">F21*$C$11/H21</f>
        <v>0.000938619473</v>
      </c>
      <c r="J21" s="14" t="n">
        <f aca="false">I21*1000</f>
        <v>0.938619473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0.139904580325</v>
      </c>
    </row>
    <row r="22" customFormat="false" ht="12.75" hidden="false" customHeight="true" outlineLevel="0" collapsed="false">
      <c r="B22" s="13" t="n">
        <v>3</v>
      </c>
      <c r="C22" s="1" t="n">
        <v>1.65</v>
      </c>
      <c r="D22" s="1" t="n">
        <v>0</v>
      </c>
      <c r="E22" s="1" t="n">
        <v>0.05</v>
      </c>
      <c r="F22" s="1" t="n">
        <v>0.2</v>
      </c>
      <c r="G22" s="1" t="n">
        <v>0.1</v>
      </c>
      <c r="H22" s="1" t="n">
        <f aca="false">SUM(C22:G22)</f>
        <v>2</v>
      </c>
      <c r="I22" s="1" t="n">
        <f aca="false">F22*$C$11/H22</f>
        <v>0.001877238946</v>
      </c>
      <c r="J22" s="14" t="n">
        <f aca="false">I22*1000</f>
        <v>1.877238946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0.139904580325</v>
      </c>
    </row>
    <row r="23" customFormat="false" ht="12.75" hidden="false" customHeight="true" outlineLevel="0" collapsed="false">
      <c r="B23" s="16" t="n">
        <v>4</v>
      </c>
      <c r="C23" s="16" t="n">
        <v>1.45</v>
      </c>
      <c r="D23" s="16" t="n">
        <v>0</v>
      </c>
      <c r="E23" s="16" t="n">
        <v>0.05</v>
      </c>
      <c r="F23" s="16" t="n">
        <v>0.4</v>
      </c>
      <c r="G23" s="16" t="n">
        <v>0.1</v>
      </c>
      <c r="H23" s="16" t="n">
        <f aca="false">SUM(C23:G23)</f>
        <v>2</v>
      </c>
      <c r="I23" s="16" t="n">
        <f aca="false">F23*$C$11/H23</f>
        <v>0.003754477892</v>
      </c>
      <c r="J23" s="17" t="n">
        <f aca="false">I23*1000</f>
        <v>3.754477892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0.139904580325</v>
      </c>
    </row>
    <row r="24" customFormat="false" ht="12.75" hidden="false" customHeight="true" outlineLevel="0" collapsed="false">
      <c r="B24" s="13" t="n">
        <v>5</v>
      </c>
      <c r="C24" s="1" t="n">
        <v>1.8</v>
      </c>
      <c r="D24" s="3" t="n">
        <v>0.05</v>
      </c>
      <c r="E24" s="3" t="n">
        <v>0</v>
      </c>
      <c r="F24" s="1" t="n">
        <v>0.05</v>
      </c>
      <c r="G24" s="3" t="n">
        <v>0.1</v>
      </c>
      <c r="H24" s="1" t="n">
        <f aca="false">SUM(C24:G24)</f>
        <v>2</v>
      </c>
      <c r="I24" s="1" t="n">
        <f aca="false">F24*$C$11/H24</f>
        <v>0.0004693097365</v>
      </c>
      <c r="J24" s="1" t="n">
        <f aca="false">I24*1000</f>
        <v>0.4693097365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1.75</v>
      </c>
      <c r="D25" s="3" t="n">
        <v>0.05</v>
      </c>
      <c r="E25" s="3" t="n">
        <v>0</v>
      </c>
      <c r="F25" s="1" t="n">
        <v>0.1</v>
      </c>
      <c r="G25" s="3" t="n">
        <v>0.1</v>
      </c>
      <c r="H25" s="1" t="n">
        <f aca="false">SUM(C25:G25)</f>
        <v>2</v>
      </c>
      <c r="I25" s="1" t="n">
        <f aca="false">F25*$C$11/H25</f>
        <v>0.000938619473</v>
      </c>
      <c r="J25" s="1" t="n">
        <f aca="false">I25*1000</f>
        <v>0.938619473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1.65</v>
      </c>
      <c r="D26" s="3" t="n">
        <v>0.05</v>
      </c>
      <c r="E26" s="3" t="n">
        <v>0</v>
      </c>
      <c r="F26" s="1" t="n">
        <v>0.2</v>
      </c>
      <c r="G26" s="3" t="n">
        <v>0.1</v>
      </c>
      <c r="H26" s="1" t="n">
        <f aca="false">SUM(C26:G26)</f>
        <v>2</v>
      </c>
      <c r="I26" s="1" t="n">
        <f aca="false">F26*$C$11/H26</f>
        <v>0.001877238946</v>
      </c>
      <c r="J26" s="1" t="n">
        <f aca="false">I26*1000</f>
        <v>1.877238946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1.45</v>
      </c>
      <c r="D27" s="4" t="n">
        <v>0.05</v>
      </c>
      <c r="E27" s="4" t="n">
        <v>0</v>
      </c>
      <c r="F27" s="4" t="n">
        <v>0.4</v>
      </c>
      <c r="G27" s="4" t="n">
        <v>0.1</v>
      </c>
      <c r="H27" s="4" t="n">
        <f aca="false">SUM(C27:G27)</f>
        <v>2</v>
      </c>
      <c r="I27" s="4" t="n">
        <f aca="false">F27*$C$11/H27</f>
        <v>0.003754477892</v>
      </c>
      <c r="J27" s="4" t="n">
        <f aca="false">I27*1000</f>
        <v>3.754477892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13.3</v>
      </c>
      <c r="D28" s="1" t="n">
        <f aca="false">SUM(D20:D27)</f>
        <v>0.2</v>
      </c>
      <c r="E28" s="1" t="n">
        <f aca="false">SUM(E20:E27)</f>
        <v>0.2</v>
      </c>
      <c r="F28" s="1" t="n">
        <f aca="false">SUM(F20:F27)</f>
        <v>1.5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8"/>
      <c r="M34" s="18"/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60</v>
      </c>
      <c r="J38" s="1" t="n">
        <v>0.00888608903705225</v>
      </c>
      <c r="K38" s="1" t="s">
        <v>61</v>
      </c>
    </row>
    <row r="39" customFormat="false" ht="12.75" hidden="false" customHeight="true" outlineLevel="0" collapsed="false">
      <c r="H39" s="18"/>
      <c r="I39" s="1" t="s">
        <v>60</v>
      </c>
      <c r="J39" s="1" t="n">
        <f aca="false">J38/I2</f>
        <v>0.005588735243</v>
      </c>
      <c r="K39" s="1" t="s">
        <v>62</v>
      </c>
    </row>
    <row r="40" customFormat="false" ht="12.75" hidden="false" customHeight="true" outlineLevel="0" collapsed="false">
      <c r="I40" s="1" t="s">
        <v>63</v>
      </c>
      <c r="J40" s="1" t="n">
        <v>4.16508640478782</v>
      </c>
      <c r="K40" s="1" t="s">
        <v>64</v>
      </c>
    </row>
    <row r="41" customFormat="false" ht="12.75" hidden="false" customHeight="true" outlineLevel="0" collapsed="false">
      <c r="I41" s="1" t="s">
        <v>65</v>
      </c>
      <c r="J41" s="1" t="n">
        <f aca="false">J39/G13</f>
        <v>0.03994676393</v>
      </c>
      <c r="K41" s="1" t="s">
        <v>66</v>
      </c>
    </row>
    <row r="42" customFormat="false" ht="12.75" hidden="false" customHeight="true" outlineLevel="0" collapsed="false">
      <c r="J42" s="1" t="n">
        <f aca="false">J41/60</f>
        <v>0.0006657793988</v>
      </c>
      <c r="K42" s="1" t="s">
        <v>67</v>
      </c>
      <c r="N42" s="1" t="n">
        <v>0.039946764</v>
      </c>
    </row>
    <row r="43" customFormat="false" ht="12.75" hidden="false" customHeight="true" outlineLevel="0" collapsed="false">
      <c r="I43" s="1" t="s">
        <v>68</v>
      </c>
      <c r="J43" s="18" t="n">
        <v>1.43E-009</v>
      </c>
      <c r="K43" s="1" t="s">
        <v>69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66</v>
      </c>
    </row>
    <row r="45" customFormat="false" ht="12.75" hidden="false" customHeight="true" outlineLevel="0" collapsed="false">
      <c r="I45" s="1" t="s">
        <v>70</v>
      </c>
      <c r="J45" s="18" t="n">
        <f aca="false">J42/J43</f>
        <v>465579.9992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71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72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73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74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2.7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1" t="s">
        <v>75</v>
      </c>
      <c r="H97" s="1" t="s">
        <v>75</v>
      </c>
      <c r="K97" s="3"/>
      <c r="L97" s="3"/>
      <c r="M97" s="3"/>
    </row>
    <row r="98" customFormat="false" ht="12.75" hidden="false" customHeight="true" outlineLevel="0" collapsed="false">
      <c r="B98" s="3"/>
      <c r="C98" s="1" t="s">
        <v>76</v>
      </c>
      <c r="H98" s="1" t="s">
        <v>77</v>
      </c>
      <c r="K98" s="3"/>
      <c r="L98" s="3"/>
      <c r="M98" s="3"/>
    </row>
    <row r="99" customFormat="false" ht="12.75" hidden="false" customHeight="true" outlineLevel="0" collapsed="false">
      <c r="B99" s="3"/>
      <c r="C99" s="1" t="s">
        <v>78</v>
      </c>
      <c r="I99" s="1" t="s">
        <v>79</v>
      </c>
      <c r="J99" s="1" t="s">
        <v>80</v>
      </c>
      <c r="K99" s="3"/>
      <c r="L99" s="3"/>
      <c r="M99" s="3"/>
    </row>
    <row r="100" customFormat="false" ht="12.75" hidden="false" customHeight="true" outlineLevel="0" collapsed="false">
      <c r="B100" s="3"/>
      <c r="C100" s="1" t="s">
        <v>81</v>
      </c>
      <c r="D100" s="1" t="s">
        <v>82</v>
      </c>
      <c r="E100" s="1" t="s">
        <v>83</v>
      </c>
      <c r="F100" s="1" t="s">
        <v>84</v>
      </c>
      <c r="G100" s="1" t="s">
        <v>85</v>
      </c>
      <c r="H100" s="1" t="s">
        <v>86</v>
      </c>
      <c r="K100" s="3"/>
      <c r="L100" s="3"/>
      <c r="M100" s="3"/>
    </row>
    <row r="101" customFormat="false" ht="12.75" hidden="false" customHeight="true" outlineLevel="0" collapsed="false">
      <c r="B101" s="3"/>
      <c r="C101" s="1" t="s">
        <v>87</v>
      </c>
      <c r="D101" s="1" t="n">
        <v>1.52859999979509</v>
      </c>
      <c r="E101" s="1" t="n">
        <v>0.469299999845279</v>
      </c>
      <c r="F101" s="1" t="n">
        <v>-0.000100400198896</v>
      </c>
      <c r="G101" s="20" t="s">
        <v>88</v>
      </c>
      <c r="I101" s="1" t="s">
        <v>89</v>
      </c>
      <c r="J101" s="1" t="n">
        <v>0.00888608903705225</v>
      </c>
      <c r="K101" s="3"/>
      <c r="L101" s="3"/>
      <c r="M101" s="3"/>
    </row>
    <row r="102" customFormat="false" ht="12.75" hidden="false" customHeight="true" outlineLevel="0" collapsed="false">
      <c r="B102" s="3"/>
      <c r="C102" s="1" t="s">
        <v>90</v>
      </c>
      <c r="D102" s="1" t="n">
        <v>0.938599999690558</v>
      </c>
      <c r="E102" s="1" t="n">
        <v>0</v>
      </c>
      <c r="F102" s="1" t="n">
        <v>0.001615154599501</v>
      </c>
      <c r="G102" s="1" t="s">
        <v>91</v>
      </c>
      <c r="I102" s="1" t="s">
        <v>63</v>
      </c>
      <c r="J102" s="1" t="n">
        <v>4.16508640478782</v>
      </c>
      <c r="K102" s="3"/>
      <c r="L102" s="3"/>
      <c r="M102" s="3"/>
    </row>
    <row r="103" customFormat="false" ht="12.75" hidden="false" customHeight="true" outlineLevel="0" collapsed="false">
      <c r="B103" s="3"/>
      <c r="C103" s="1" t="s">
        <v>92</v>
      </c>
      <c r="D103" s="1" t="n">
        <v>1.87720000003449</v>
      </c>
      <c r="E103" s="1" t="n">
        <v>0</v>
      </c>
      <c r="F103" s="1" t="n">
        <v>0.002802591362443</v>
      </c>
      <c r="G103" s="1" t="s">
        <v>91</v>
      </c>
      <c r="H103" s="1" t="s">
        <v>93</v>
      </c>
      <c r="K103" s="3"/>
      <c r="L103" s="3"/>
      <c r="M103" s="3"/>
    </row>
    <row r="104" customFormat="false" ht="12.75" hidden="false" customHeight="true" outlineLevel="0" collapsed="false">
      <c r="B104" s="3"/>
      <c r="C104" s="1" t="s">
        <v>94</v>
      </c>
      <c r="D104" s="1" t="n">
        <v>3.75449999974387</v>
      </c>
      <c r="E104" s="1" t="n">
        <v>0</v>
      </c>
      <c r="F104" s="1" t="n">
        <v>0.004196746216565</v>
      </c>
      <c r="G104" s="1" t="s">
        <v>91</v>
      </c>
      <c r="I104" s="1" t="s">
        <v>95</v>
      </c>
      <c r="J104" s="1" t="n">
        <v>160.659956065426</v>
      </c>
      <c r="K104" s="3"/>
      <c r="L104" s="3"/>
      <c r="M104" s="3"/>
    </row>
    <row r="105" customFormat="false" ht="13.5" hidden="false" customHeight="true" outlineLevel="0" collapsed="false">
      <c r="B105" s="3"/>
      <c r="C105" s="10"/>
      <c r="D105" s="4"/>
      <c r="E105" s="4"/>
      <c r="F105" s="4"/>
      <c r="G105" s="4"/>
      <c r="I105" s="1" t="s">
        <v>96</v>
      </c>
      <c r="J105" s="1" t="n">
        <v>0.998460802179541</v>
      </c>
      <c r="K105" s="3"/>
      <c r="L105" s="3"/>
      <c r="M105" s="3"/>
    </row>
    <row r="106" customFormat="false" ht="13.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5"/>
      <c r="D107" s="6"/>
      <c r="E107" s="6"/>
      <c r="F107" s="6"/>
      <c r="G107" s="6"/>
      <c r="H107" s="6"/>
      <c r="I107" s="6"/>
      <c r="J107" s="7"/>
      <c r="K107" s="3"/>
      <c r="L107" s="3"/>
      <c r="M107" s="3"/>
    </row>
    <row r="108" customFormat="false" ht="12.75" hidden="false" customHeight="true" outlineLevel="0" collapsed="false">
      <c r="B108" s="3"/>
      <c r="C108" s="8"/>
      <c r="D108" s="3"/>
      <c r="E108" s="3"/>
      <c r="F108" s="3"/>
      <c r="G108" s="3"/>
      <c r="H108" s="3"/>
      <c r="I108" s="3"/>
      <c r="J108" s="9"/>
      <c r="K108" s="3"/>
      <c r="L108" s="3"/>
      <c r="M108" s="3"/>
    </row>
    <row r="109" customFormat="false" ht="12.75" hidden="false" customHeight="true" outlineLevel="0" collapsed="false">
      <c r="B109" s="3"/>
      <c r="C109" s="8"/>
      <c r="D109" s="3"/>
      <c r="E109" s="3"/>
      <c r="F109" s="3"/>
      <c r="G109" s="3"/>
      <c r="H109" s="3"/>
      <c r="I109" s="3"/>
      <c r="J109" s="9"/>
      <c r="K109" s="3"/>
      <c r="L109" s="3"/>
      <c r="M109" s="3"/>
    </row>
    <row r="110" customFormat="false" ht="12.75" hidden="false" customHeight="true" outlineLevel="0" collapsed="false">
      <c r="B110" s="3"/>
      <c r="C110" s="8"/>
      <c r="D110" s="3"/>
      <c r="E110" s="3"/>
      <c r="F110" s="3"/>
      <c r="G110" s="3"/>
      <c r="H110" s="3"/>
      <c r="I110" s="3"/>
      <c r="J110" s="9"/>
      <c r="K110" s="3"/>
      <c r="L110" s="3"/>
      <c r="M110" s="3"/>
    </row>
    <row r="111" customFormat="false" ht="12.75" hidden="false" customHeight="true" outlineLevel="0" collapsed="false">
      <c r="B111" s="3"/>
      <c r="C111" s="8"/>
      <c r="D111" s="3"/>
      <c r="E111" s="3"/>
      <c r="F111" s="3"/>
      <c r="G111" s="20"/>
      <c r="H111" s="3"/>
      <c r="I111" s="3"/>
      <c r="J111" s="9"/>
      <c r="K111" s="3"/>
      <c r="L111" s="3"/>
    </row>
    <row r="112" customFormat="false" ht="12.75" hidden="false" customHeight="true" outlineLevel="0" collapsed="false">
      <c r="B112" s="3"/>
      <c r="C112" s="8"/>
      <c r="D112" s="3"/>
      <c r="E112" s="3"/>
      <c r="F112" s="3"/>
      <c r="G112" s="3"/>
      <c r="H112" s="3"/>
      <c r="I112" s="3"/>
      <c r="J112" s="9"/>
      <c r="K112" s="3"/>
      <c r="L112" s="3"/>
    </row>
    <row r="113" customFormat="false" ht="12.75" hidden="false" customHeight="true" outlineLevel="0" collapsed="false">
      <c r="B113" s="3"/>
      <c r="C113" s="8"/>
      <c r="D113" s="3"/>
      <c r="E113" s="3"/>
      <c r="F113" s="3"/>
      <c r="G113" s="3"/>
      <c r="H113" s="3"/>
      <c r="I113" s="3"/>
      <c r="J113" s="9"/>
      <c r="K113" s="20"/>
      <c r="L113" s="3"/>
    </row>
    <row r="114" customFormat="false" ht="12.75" hidden="false" customHeight="true" outlineLevel="0" collapsed="false">
      <c r="B114" s="3"/>
      <c r="C114" s="8"/>
      <c r="D114" s="3"/>
      <c r="E114" s="3"/>
      <c r="F114" s="3"/>
      <c r="G114" s="3"/>
      <c r="H114" s="3"/>
      <c r="I114" s="3"/>
      <c r="J114" s="9"/>
      <c r="K114" s="3"/>
      <c r="L114" s="3"/>
    </row>
    <row r="115" customFormat="false" ht="13.5" hidden="false" customHeight="true" outlineLevel="0" collapsed="false">
      <c r="B115" s="3"/>
      <c r="C115" s="10"/>
      <c r="D115" s="4"/>
      <c r="E115" s="4"/>
      <c r="F115" s="4"/>
      <c r="G115" s="4"/>
      <c r="H115" s="4"/>
      <c r="I115" s="4"/>
      <c r="J115" s="11"/>
      <c r="K115" s="3"/>
      <c r="L115" s="3"/>
    </row>
    <row r="116" customFormat="false" ht="12.75" hidden="false" customHeight="true" outlineLevel="0" collapsed="false">
      <c r="B116" s="3"/>
      <c r="F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0" width="13.43"/>
    <col collapsed="false" customWidth="true" hidden="false" outlineLevel="0" max="5" min="5" style="0" width="14.57"/>
    <col collapsed="false" customWidth="true" hidden="false" outlineLevel="0" max="6" min="6" style="0" width="13.43"/>
    <col collapsed="false" customWidth="true" hidden="false" outlineLevel="0" max="7" min="7" style="0" width="14.57"/>
    <col collapsed="false" customWidth="true" hidden="false" outlineLevel="0" max="8" min="8" style="0" width="13.43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97</v>
      </c>
      <c r="B1" s="1" t="s">
        <v>98</v>
      </c>
    </row>
    <row r="2" customFormat="false" ht="12.75" hidden="false" customHeight="true" outlineLevel="0" collapsed="false">
      <c r="A2" s="1" t="s">
        <v>99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92</v>
      </c>
      <c r="G3" s="1" t="s">
        <v>81</v>
      </c>
      <c r="H3" s="1" t="s">
        <v>94</v>
      </c>
    </row>
    <row r="4" customFormat="false" ht="12.75" hidden="false" customHeight="true" outlineLevel="0" collapsed="false">
      <c r="A4" s="1" t="s">
        <v>100</v>
      </c>
      <c r="B4" s="1" t="s">
        <v>101</v>
      </c>
      <c r="C4" s="1" t="s">
        <v>100</v>
      </c>
      <c r="D4" s="1" t="s">
        <v>101</v>
      </c>
      <c r="E4" s="1" t="s">
        <v>100</v>
      </c>
      <c r="F4" s="1" t="s">
        <v>101</v>
      </c>
      <c r="G4" s="1" t="s">
        <v>100</v>
      </c>
      <c r="H4" s="1" t="s">
        <v>101</v>
      </c>
    </row>
    <row r="5" customFormat="false" ht="12.75" hidden="false" customHeight="true" outlineLevel="0" collapsed="false">
      <c r="A5" s="1" t="s">
        <v>102</v>
      </c>
      <c r="B5" s="1" t="s">
        <v>103</v>
      </c>
      <c r="C5" s="1" t="s">
        <v>102</v>
      </c>
      <c r="D5" s="1" t="s">
        <v>103</v>
      </c>
      <c r="E5" s="1" t="s">
        <v>102</v>
      </c>
      <c r="F5" s="1" t="s">
        <v>103</v>
      </c>
      <c r="G5" s="1" t="s">
        <v>102</v>
      </c>
      <c r="H5" s="1" t="s">
        <v>103</v>
      </c>
    </row>
    <row r="6" customFormat="false" ht="12.75" hidden="false" customHeight="true" outlineLevel="0" collapsed="false">
      <c r="A6" s="1" t="s">
        <v>104</v>
      </c>
      <c r="B6" s="21" t="n">
        <v>40333</v>
      </c>
      <c r="C6" s="1" t="s">
        <v>104</v>
      </c>
      <c r="D6" s="21" t="n">
        <v>40333</v>
      </c>
      <c r="E6" s="1" t="s">
        <v>104</v>
      </c>
      <c r="F6" s="21" t="n">
        <v>40333</v>
      </c>
      <c r="G6" s="1" t="s">
        <v>104</v>
      </c>
      <c r="H6" s="21" t="n">
        <v>40333</v>
      </c>
    </row>
    <row r="7" customFormat="false" ht="12.75" hidden="false" customHeight="true" outlineLevel="0" collapsed="false">
      <c r="A7" s="1" t="s">
        <v>105</v>
      </c>
      <c r="B7" s="1" t="s">
        <v>106</v>
      </c>
      <c r="C7" s="1" t="s">
        <v>105</v>
      </c>
      <c r="D7" s="1" t="s">
        <v>107</v>
      </c>
      <c r="E7" s="1" t="s">
        <v>105</v>
      </c>
      <c r="F7" s="1" t="s">
        <v>108</v>
      </c>
      <c r="G7" s="1" t="s">
        <v>105</v>
      </c>
      <c r="H7" s="1" t="s">
        <v>109</v>
      </c>
    </row>
    <row r="8" customFormat="false" ht="12.75" hidden="false" customHeight="true" outlineLevel="0" collapsed="false">
      <c r="A8" s="1" t="s">
        <v>110</v>
      </c>
      <c r="B8" s="1" t="s">
        <v>111</v>
      </c>
    </row>
    <row r="9" customFormat="false" ht="12.75" hidden="false" customHeight="true" outlineLevel="0" collapsed="false">
      <c r="A9" s="1" t="s">
        <v>112</v>
      </c>
      <c r="B9" s="1" t="s">
        <v>113</v>
      </c>
      <c r="C9" s="1" t="s">
        <v>112</v>
      </c>
      <c r="D9" s="1" t="s">
        <v>114</v>
      </c>
      <c r="E9" s="1" t="s">
        <v>112</v>
      </c>
      <c r="F9" s="1" t="s">
        <v>115</v>
      </c>
      <c r="G9" s="1" t="s">
        <v>112</v>
      </c>
      <c r="H9" s="1" t="s">
        <v>116</v>
      </c>
    </row>
    <row r="10" customFormat="false" ht="12.75" hidden="false" customHeight="true" outlineLevel="0" collapsed="false">
      <c r="A10" s="1" t="s">
        <v>117</v>
      </c>
      <c r="B10" s="1" t="s">
        <v>118</v>
      </c>
      <c r="C10" s="1" t="s">
        <v>117</v>
      </c>
      <c r="D10" s="1" t="s">
        <v>118</v>
      </c>
      <c r="E10" s="1" t="s">
        <v>117</v>
      </c>
      <c r="F10" s="1" t="s">
        <v>118</v>
      </c>
      <c r="G10" s="1" t="s">
        <v>117</v>
      </c>
      <c r="H10" s="1" t="s">
        <v>118</v>
      </c>
    </row>
    <row r="11" customFormat="false" ht="12.75" hidden="false" customHeight="true" outlineLevel="0" collapsed="false">
      <c r="A11" s="1" t="n">
        <v>0</v>
      </c>
      <c r="B11" s="1" t="n">
        <v>-0.002</v>
      </c>
      <c r="C11" s="1" t="n">
        <v>0</v>
      </c>
      <c r="D11" s="1" t="n">
        <v>0.008</v>
      </c>
      <c r="E11" s="1" t="n">
        <v>0</v>
      </c>
      <c r="F11" s="1" t="n">
        <v>0.02</v>
      </c>
      <c r="G11" s="1" t="n">
        <v>0</v>
      </c>
      <c r="H11" s="1" t="n">
        <v>0.041</v>
      </c>
    </row>
    <row r="12" customFormat="false" ht="12.75" hidden="false" customHeight="true" outlineLevel="0" collapsed="false">
      <c r="A12" s="1" t="n">
        <v>60</v>
      </c>
      <c r="B12" s="1" t="n">
        <v>-0.003</v>
      </c>
      <c r="C12" s="1" t="n">
        <v>60</v>
      </c>
      <c r="D12" s="1" t="n">
        <v>0.009</v>
      </c>
      <c r="E12" s="1" t="n">
        <v>60</v>
      </c>
      <c r="F12" s="1" t="n">
        <v>0.023</v>
      </c>
      <c r="G12" s="1" t="n">
        <v>60</v>
      </c>
      <c r="H12" s="1" t="n">
        <v>0.046</v>
      </c>
    </row>
    <row r="13" customFormat="false" ht="12.75" hidden="false" customHeight="true" outlineLevel="0" collapsed="false">
      <c r="A13" s="1" t="n">
        <v>120</v>
      </c>
      <c r="B13" s="1" t="n">
        <v>-0.002</v>
      </c>
      <c r="C13" s="1" t="n">
        <v>120</v>
      </c>
      <c r="D13" s="1" t="n">
        <v>0.011</v>
      </c>
      <c r="E13" s="1" t="n">
        <v>120</v>
      </c>
      <c r="F13" s="1" t="n">
        <v>0.026</v>
      </c>
      <c r="G13" s="1" t="n">
        <v>120</v>
      </c>
      <c r="H13" s="1" t="n">
        <v>0.05</v>
      </c>
    </row>
    <row r="14" customFormat="false" ht="12.75" hidden="false" customHeight="true" outlineLevel="0" collapsed="false">
      <c r="A14" s="1" t="n">
        <v>180</v>
      </c>
      <c r="B14" s="1" t="n">
        <v>-0.002</v>
      </c>
      <c r="C14" s="1" t="n">
        <v>180</v>
      </c>
      <c r="D14" s="1" t="n">
        <v>0.014</v>
      </c>
      <c r="E14" s="1" t="n">
        <v>180</v>
      </c>
      <c r="F14" s="1" t="n">
        <v>0.028</v>
      </c>
      <c r="G14" s="1" t="n">
        <v>180</v>
      </c>
      <c r="H14" s="1" t="n">
        <v>0.054</v>
      </c>
    </row>
    <row r="15" customFormat="false" ht="12.75" hidden="false" customHeight="true" outlineLevel="0" collapsed="false">
      <c r="A15" s="1" t="n">
        <v>240</v>
      </c>
      <c r="B15" s="1" t="n">
        <v>-0.001</v>
      </c>
      <c r="C15" s="1" t="n">
        <v>240</v>
      </c>
      <c r="D15" s="1" t="n">
        <v>0.019</v>
      </c>
      <c r="E15" s="1" t="n">
        <v>240</v>
      </c>
      <c r="F15" s="1" t="n">
        <v>0.03</v>
      </c>
      <c r="G15" s="1" t="n">
        <v>240</v>
      </c>
      <c r="H15" s="1" t="n">
        <v>0.057</v>
      </c>
    </row>
    <row r="16" customFormat="false" ht="12.75" hidden="false" customHeight="true" outlineLevel="0" collapsed="false">
      <c r="A16" s="1" t="n">
        <v>300</v>
      </c>
      <c r="B16" s="1" t="n">
        <v>-0.002</v>
      </c>
      <c r="C16" s="1" t="n">
        <v>300</v>
      </c>
      <c r="D16" s="1" t="n">
        <v>0.028</v>
      </c>
      <c r="E16" s="1" t="n">
        <v>300</v>
      </c>
      <c r="F16" s="1" t="n">
        <v>0.034</v>
      </c>
      <c r="G16" s="1" t="n">
        <v>300</v>
      </c>
      <c r="H16" s="1" t="n">
        <v>0.061</v>
      </c>
    </row>
    <row r="17" customFormat="false" ht="12.75" hidden="false" customHeight="true" outlineLevel="0" collapsed="false">
      <c r="A17" s="1" t="n">
        <v>360</v>
      </c>
      <c r="B17" s="1" t="n">
        <v>0</v>
      </c>
      <c r="C17" s="1" t="n">
        <v>360</v>
      </c>
      <c r="D17" s="1" t="n">
        <v>0.041</v>
      </c>
      <c r="E17" s="1" t="n">
        <v>360</v>
      </c>
      <c r="F17" s="1" t="n">
        <v>0.035</v>
      </c>
      <c r="G17" s="1" t="n">
        <v>360</v>
      </c>
      <c r="H17" s="1" t="n">
        <v>0.064</v>
      </c>
    </row>
    <row r="18" customFormat="false" ht="12.75" hidden="false" customHeight="true" outlineLevel="0" collapsed="false">
      <c r="A18" s="1" t="n">
        <v>420</v>
      </c>
      <c r="B18" s="1" t="n">
        <v>-0.001</v>
      </c>
      <c r="C18" s="1" t="n">
        <v>420</v>
      </c>
      <c r="D18" s="1" t="n">
        <v>0.052</v>
      </c>
      <c r="E18" s="1" t="n">
        <v>420</v>
      </c>
      <c r="F18" s="1" t="n">
        <v>0.038</v>
      </c>
      <c r="G18" s="1" t="n">
        <v>420</v>
      </c>
      <c r="H18" s="1" t="n">
        <v>0.067</v>
      </c>
    </row>
    <row r="19" customFormat="false" ht="12.75" hidden="false" customHeight="true" outlineLevel="0" collapsed="false">
      <c r="A19" s="1" t="n">
        <v>480</v>
      </c>
      <c r="B19" s="1" t="n">
        <v>0.001</v>
      </c>
      <c r="C19" s="1" t="n">
        <v>480</v>
      </c>
      <c r="D19" s="1" t="n">
        <v>0.052</v>
      </c>
      <c r="E19" s="1" t="n">
        <v>480</v>
      </c>
      <c r="F19" s="1" t="n">
        <v>0.039</v>
      </c>
      <c r="G19" s="1" t="n">
        <v>480</v>
      </c>
      <c r="H19" s="1" t="n">
        <v>0.071</v>
      </c>
    </row>
    <row r="20" customFormat="false" ht="12.75" hidden="false" customHeight="true" outlineLevel="0" collapsed="false">
      <c r="A20" s="1" t="n">
        <v>540</v>
      </c>
      <c r="B20" s="1" t="n">
        <v>0</v>
      </c>
      <c r="C20" s="1" t="n">
        <v>540</v>
      </c>
      <c r="D20" s="1" t="n">
        <v>0.047</v>
      </c>
      <c r="E20" s="1" t="n">
        <v>540</v>
      </c>
      <c r="F20" s="1" t="n">
        <v>0.041</v>
      </c>
      <c r="G20" s="1" t="n">
        <v>540</v>
      </c>
      <c r="H20" s="1" t="n">
        <v>0.074</v>
      </c>
    </row>
    <row r="21" customFormat="false" ht="12.75" hidden="false" customHeight="true" outlineLevel="0" collapsed="false">
      <c r="A21" s="1" t="n">
        <v>600</v>
      </c>
      <c r="B21" s="1" t="n">
        <v>0.001</v>
      </c>
      <c r="C21" s="1" t="n">
        <v>600</v>
      </c>
      <c r="D21" s="1" t="n">
        <v>0.057</v>
      </c>
      <c r="E21" s="1" t="n">
        <v>600</v>
      </c>
      <c r="F21" s="1" t="n">
        <v>0.043</v>
      </c>
      <c r="G21" s="1" t="n">
        <v>600</v>
      </c>
      <c r="H21" s="1" t="n">
        <v>0.077</v>
      </c>
    </row>
    <row r="22" customFormat="false" ht="12.75" hidden="false" customHeight="true" outlineLevel="0" collapsed="false">
      <c r="A22" s="1" t="n">
        <v>660</v>
      </c>
      <c r="B22" s="1" t="n">
        <v>0.002</v>
      </c>
      <c r="C22" s="1" t="n">
        <v>660</v>
      </c>
      <c r="D22" s="1" t="n">
        <v>0.069</v>
      </c>
      <c r="E22" s="1" t="n">
        <v>660</v>
      </c>
      <c r="F22" s="1" t="n">
        <v>0.045</v>
      </c>
      <c r="G22" s="1" t="n">
        <v>660</v>
      </c>
      <c r="H22" s="1" t="n">
        <v>0.081</v>
      </c>
    </row>
    <row r="23" customFormat="false" ht="12.75" hidden="false" customHeight="true" outlineLevel="0" collapsed="false">
      <c r="A23" s="1" t="n">
        <v>720</v>
      </c>
      <c r="B23" s="1" t="n">
        <v>0.002</v>
      </c>
      <c r="C23" s="1" t="n">
        <v>720</v>
      </c>
      <c r="D23" s="1" t="n">
        <v>0.065</v>
      </c>
      <c r="E23" s="1" t="n">
        <v>720</v>
      </c>
      <c r="F23" s="1" t="n">
        <v>0.047</v>
      </c>
      <c r="G23" s="1" t="n">
        <v>720</v>
      </c>
      <c r="H23" s="1" t="n">
        <v>0.083</v>
      </c>
    </row>
    <row r="24" customFormat="false" ht="12.75" hidden="false" customHeight="true" outlineLevel="0" collapsed="false">
      <c r="A24" s="1" t="n">
        <v>780</v>
      </c>
      <c r="B24" s="1" t="n">
        <v>0.002</v>
      </c>
      <c r="C24" s="1" t="n">
        <v>780</v>
      </c>
      <c r="D24" s="1" t="n">
        <v>0.077</v>
      </c>
      <c r="E24" s="1" t="n">
        <v>780</v>
      </c>
      <c r="F24" s="1" t="n">
        <v>0.048</v>
      </c>
      <c r="G24" s="1" t="n">
        <v>780</v>
      </c>
      <c r="H24" s="1" t="n">
        <v>0.086</v>
      </c>
    </row>
    <row r="25" customFormat="false" ht="12.75" hidden="false" customHeight="true" outlineLevel="0" collapsed="false">
      <c r="A25" s="1" t="n">
        <v>840</v>
      </c>
      <c r="B25" s="1" t="n">
        <v>0.002</v>
      </c>
      <c r="C25" s="1" t="n">
        <v>840</v>
      </c>
      <c r="D25" s="1" t="n">
        <v>0.078</v>
      </c>
      <c r="E25" s="1" t="n">
        <v>840</v>
      </c>
      <c r="F25" s="1" t="n">
        <v>0.049</v>
      </c>
      <c r="G25" s="1" t="n">
        <v>840</v>
      </c>
      <c r="H25" s="1" t="n">
        <v>0.089</v>
      </c>
    </row>
    <row r="26" customFormat="false" ht="12.75" hidden="false" customHeight="true" outlineLevel="0" collapsed="false">
      <c r="A26" s="1" t="n">
        <v>900</v>
      </c>
      <c r="B26" s="1" t="n">
        <v>0.001</v>
      </c>
      <c r="C26" s="1" t="n">
        <v>900</v>
      </c>
      <c r="D26" s="1" t="n">
        <v>0.067</v>
      </c>
      <c r="E26" s="1" t="n">
        <v>900</v>
      </c>
      <c r="F26" s="1" t="n">
        <v>0.05</v>
      </c>
      <c r="G26" s="1" t="n">
        <v>900</v>
      </c>
      <c r="H26" s="1" t="n">
        <v>0.091</v>
      </c>
    </row>
    <row r="27" customFormat="false" ht="12.75" hidden="false" customHeight="true" outlineLevel="0" collapsed="false">
      <c r="A27" s="1" t="n">
        <v>960</v>
      </c>
      <c r="B27" s="1" t="n">
        <v>0</v>
      </c>
      <c r="C27" s="1" t="n">
        <v>960</v>
      </c>
      <c r="D27" s="1" t="n">
        <v>0.075</v>
      </c>
      <c r="E27" s="1" t="n">
        <v>960</v>
      </c>
      <c r="F27" s="1" t="n">
        <v>0.054</v>
      </c>
      <c r="G27" s="1" t="n">
        <v>960</v>
      </c>
      <c r="H27" s="1" t="n">
        <v>0.093</v>
      </c>
    </row>
    <row r="28" customFormat="false" ht="12.75" hidden="false" customHeight="true" outlineLevel="0" collapsed="false">
      <c r="A28" s="1" t="n">
        <v>1020</v>
      </c>
      <c r="B28" s="1" t="n">
        <v>0.001</v>
      </c>
      <c r="C28" s="1" t="n">
        <v>1020</v>
      </c>
      <c r="D28" s="1" t="n">
        <v>0.074</v>
      </c>
      <c r="E28" s="1" t="n">
        <v>1020</v>
      </c>
      <c r="F28" s="1" t="n">
        <v>0.054</v>
      </c>
      <c r="G28" s="1" t="n">
        <v>1020</v>
      </c>
      <c r="H28" s="1" t="n">
        <v>0.096</v>
      </c>
    </row>
    <row r="29" customFormat="false" ht="12.75" hidden="false" customHeight="true" outlineLevel="0" collapsed="false">
      <c r="A29" s="1" t="n">
        <v>1080</v>
      </c>
      <c r="B29" s="1" t="n">
        <v>0.001</v>
      </c>
      <c r="C29" s="1" t="n">
        <v>1080</v>
      </c>
      <c r="D29" s="1" t="n">
        <v>0.075</v>
      </c>
      <c r="E29" s="1" t="n">
        <v>1080</v>
      </c>
      <c r="F29" s="1" t="n">
        <v>0.054</v>
      </c>
      <c r="G29" s="1" t="n">
        <v>1080</v>
      </c>
      <c r="H29" s="1" t="n">
        <v>0.098</v>
      </c>
    </row>
    <row r="30" customFormat="false" ht="12.75" hidden="false" customHeight="true" outlineLevel="0" collapsed="false">
      <c r="A30" s="1" t="n">
        <v>1140</v>
      </c>
      <c r="B30" s="1" t="n">
        <v>0</v>
      </c>
      <c r="C30" s="1" t="n">
        <v>1140</v>
      </c>
      <c r="D30" s="1" t="n">
        <v>0.06</v>
      </c>
      <c r="E30" s="1" t="n">
        <v>1140</v>
      </c>
      <c r="F30" s="1" t="n">
        <v>0.055</v>
      </c>
      <c r="G30" s="1" t="n">
        <v>1140</v>
      </c>
      <c r="H30" s="1" t="n">
        <v>0.101</v>
      </c>
      <c r="J30" s="22" t="s">
        <v>119</v>
      </c>
      <c r="K30" s="22" t="s">
        <v>84</v>
      </c>
      <c r="L30" s="22" t="s">
        <v>120</v>
      </c>
    </row>
    <row r="31" customFormat="false" ht="12.75" hidden="false" customHeight="true" outlineLevel="0" collapsed="false">
      <c r="A31" s="1" t="n">
        <v>1200</v>
      </c>
      <c r="B31" s="1" t="n">
        <v>0.001</v>
      </c>
      <c r="C31" s="1" t="n">
        <v>1200</v>
      </c>
      <c r="D31" s="1" t="n">
        <v>0.066</v>
      </c>
      <c r="E31" s="1" t="n">
        <v>1200</v>
      </c>
      <c r="F31" s="1" t="n">
        <v>0.056</v>
      </c>
      <c r="G31" s="1" t="n">
        <v>1200</v>
      </c>
      <c r="H31" s="1" t="n">
        <v>0.103</v>
      </c>
      <c r="J31" s="1" t="n">
        <v>0.469309736405924</v>
      </c>
      <c r="K31" s="22" t="n">
        <v>5</v>
      </c>
    </row>
    <row r="32" customFormat="false" ht="12.75" hidden="false" customHeight="true" outlineLevel="0" collapsed="false">
      <c r="A32" s="1" t="n">
        <v>1260</v>
      </c>
      <c r="B32" s="1" t="n">
        <v>0.001</v>
      </c>
      <c r="C32" s="1" t="n">
        <v>1260</v>
      </c>
      <c r="D32" s="1" t="n">
        <v>0.059</v>
      </c>
      <c r="E32" s="1" t="n">
        <v>1260</v>
      </c>
      <c r="F32" s="1" t="n">
        <v>0.057</v>
      </c>
      <c r="G32" s="1" t="n">
        <v>1260</v>
      </c>
      <c r="H32" s="1" t="n">
        <v>0.105</v>
      </c>
      <c r="J32" s="1" t="n">
        <v>0.938619472811848</v>
      </c>
      <c r="K32" s="22" t="n">
        <v>45</v>
      </c>
    </row>
    <row r="33" customFormat="false" ht="12.75" hidden="false" customHeight="true" outlineLevel="0" collapsed="false">
      <c r="A33" s="1" t="n">
        <v>1320</v>
      </c>
      <c r="B33" s="1" t="n">
        <v>0.002</v>
      </c>
      <c r="C33" s="1" t="n">
        <v>1320</v>
      </c>
      <c r="D33" s="1" t="n">
        <v>0.062</v>
      </c>
      <c r="E33" s="1" t="n">
        <v>1320</v>
      </c>
      <c r="F33" s="1" t="n">
        <v>0.06</v>
      </c>
      <c r="G33" s="1" t="n">
        <v>1320</v>
      </c>
      <c r="H33" s="1" t="n">
        <v>0.107</v>
      </c>
      <c r="J33" s="1" t="n">
        <v>1.8772389456237</v>
      </c>
      <c r="K33" s="22" t="n">
        <v>41.7</v>
      </c>
    </row>
    <row r="34" customFormat="false" ht="12.75" hidden="false" customHeight="true" outlineLevel="0" collapsed="false">
      <c r="A34" s="1" t="n">
        <v>1380</v>
      </c>
      <c r="B34" s="1" t="n">
        <v>0.002</v>
      </c>
      <c r="C34" s="1" t="n">
        <v>1380</v>
      </c>
      <c r="D34" s="1" t="n">
        <v>0.06</v>
      </c>
      <c r="E34" s="1" t="n">
        <v>1380</v>
      </c>
      <c r="F34" s="1" t="n">
        <v>0.063</v>
      </c>
      <c r="G34" s="1" t="n">
        <v>1380</v>
      </c>
      <c r="H34" s="1" t="n">
        <v>0.11</v>
      </c>
      <c r="J34" s="1" t="n">
        <v>3.75447789124739</v>
      </c>
      <c r="K34" s="22" t="n">
        <v>66.7</v>
      </c>
    </row>
    <row r="35" customFormat="false" ht="12.75" hidden="false" customHeight="true" outlineLevel="0" collapsed="false">
      <c r="A35" s="1" t="n">
        <v>1440</v>
      </c>
      <c r="B35" s="1" t="n">
        <v>0.001</v>
      </c>
      <c r="C35" s="1" t="n">
        <v>1440</v>
      </c>
      <c r="D35" s="1" t="n">
        <v>0.053</v>
      </c>
      <c r="E35" s="1" t="n">
        <v>1440</v>
      </c>
      <c r="F35" s="1" t="n">
        <v>0.064</v>
      </c>
      <c r="G35" s="1" t="n">
        <v>1440</v>
      </c>
      <c r="H35" s="1" t="n">
        <v>0.112</v>
      </c>
    </row>
    <row r="36" customFormat="false" ht="12.75" hidden="false" customHeight="true" outlineLevel="0" collapsed="false">
      <c r="A36" s="1" t="n">
        <v>1500</v>
      </c>
      <c r="B36" s="1" t="n">
        <v>0.001</v>
      </c>
      <c r="C36" s="1" t="n">
        <v>1500</v>
      </c>
      <c r="D36" s="1" t="n">
        <v>0.058</v>
      </c>
      <c r="E36" s="1" t="n">
        <v>1500</v>
      </c>
      <c r="F36" s="1" t="n">
        <v>0.063</v>
      </c>
      <c r="G36" s="1" t="n">
        <v>1500</v>
      </c>
      <c r="H36" s="1" t="n">
        <v>0.114</v>
      </c>
    </row>
    <row r="37" customFormat="false" ht="12.75" hidden="false" customHeight="true" outlineLevel="0" collapsed="false">
      <c r="A37" s="1" t="n">
        <v>1560</v>
      </c>
      <c r="B37" s="1" t="n">
        <v>0.001</v>
      </c>
      <c r="C37" s="1" t="n">
        <v>1560</v>
      </c>
      <c r="D37" s="1" t="n">
        <v>0.066</v>
      </c>
      <c r="E37" s="1" t="n">
        <v>1560</v>
      </c>
      <c r="F37" s="1" t="n">
        <v>0.066</v>
      </c>
      <c r="G37" s="1" t="n">
        <v>1560</v>
      </c>
      <c r="H37" s="1" t="n">
        <v>0.116</v>
      </c>
    </row>
    <row r="38" customFormat="false" ht="12.75" hidden="false" customHeight="true" outlineLevel="0" collapsed="false">
      <c r="A38" s="1" t="n">
        <v>1620</v>
      </c>
      <c r="B38" s="1" t="n">
        <v>0</v>
      </c>
      <c r="C38" s="1" t="n">
        <v>1620</v>
      </c>
      <c r="D38" s="1" t="n">
        <v>0.066</v>
      </c>
      <c r="E38" s="1" t="n">
        <v>1620</v>
      </c>
      <c r="F38" s="1" t="n">
        <v>0.065</v>
      </c>
      <c r="G38" s="1" t="n">
        <v>1620</v>
      </c>
      <c r="H38" s="1" t="n">
        <v>0.118</v>
      </c>
    </row>
    <row r="39" customFormat="false" ht="12.75" hidden="false" customHeight="true" outlineLevel="0" collapsed="false">
      <c r="A39" s="1" t="n">
        <v>1680</v>
      </c>
      <c r="B39" s="1" t="n">
        <v>0.002</v>
      </c>
      <c r="C39" s="1" t="n">
        <v>1680</v>
      </c>
      <c r="D39" s="1" t="n">
        <v>0.07</v>
      </c>
      <c r="E39" s="1" t="n">
        <v>1680</v>
      </c>
      <c r="F39" s="1" t="n">
        <v>0.067</v>
      </c>
      <c r="G39" s="1" t="n">
        <v>1680</v>
      </c>
      <c r="H39" s="1" t="n">
        <v>0.119</v>
      </c>
    </row>
    <row r="40" customFormat="false" ht="12.75" hidden="false" customHeight="true" outlineLevel="0" collapsed="false">
      <c r="A40" s="1" t="n">
        <v>1740</v>
      </c>
      <c r="B40" s="1" t="n">
        <v>0.001</v>
      </c>
      <c r="C40" s="1" t="n">
        <v>1740</v>
      </c>
      <c r="D40" s="1" t="n">
        <v>0.079</v>
      </c>
      <c r="E40" s="1" t="n">
        <v>1740</v>
      </c>
      <c r="F40" s="1" t="n">
        <v>0.068</v>
      </c>
      <c r="G40" s="1" t="n">
        <v>1740</v>
      </c>
      <c r="H40" s="1" t="n">
        <v>0.122</v>
      </c>
    </row>
    <row r="41" customFormat="false" ht="12.75" hidden="false" customHeight="true" outlineLevel="0" collapsed="false">
      <c r="A41" s="1" t="n">
        <v>1800</v>
      </c>
      <c r="B41" s="1" t="n">
        <v>0.001</v>
      </c>
      <c r="C41" s="1" t="n">
        <v>1800</v>
      </c>
      <c r="D41" s="1" t="n">
        <v>0.052</v>
      </c>
      <c r="E41" s="1" t="n">
        <v>1800</v>
      </c>
      <c r="F41" s="1" t="n">
        <v>0.07</v>
      </c>
      <c r="G41" s="1" t="n">
        <v>1800</v>
      </c>
      <c r="H41" s="1" t="n">
        <v>0.123</v>
      </c>
    </row>
    <row r="42" customFormat="false" ht="12.75" hidden="false" customHeight="true" outlineLevel="0" collapsed="false">
      <c r="A42" s="1" t="n">
        <v>1860</v>
      </c>
      <c r="B42" s="1" t="n">
        <v>0.001</v>
      </c>
      <c r="C42" s="1" t="n">
        <v>1860</v>
      </c>
      <c r="D42" s="1" t="n">
        <v>0.046</v>
      </c>
      <c r="E42" s="1" t="n">
        <v>1860</v>
      </c>
      <c r="F42" s="1" t="n">
        <v>0.072</v>
      </c>
      <c r="G42" s="1" t="n">
        <v>1860</v>
      </c>
      <c r="H42" s="1" t="n">
        <v>0.125</v>
      </c>
    </row>
    <row r="43" customFormat="false" ht="12.75" hidden="false" customHeight="true" outlineLevel="0" collapsed="false">
      <c r="A43" s="1" t="n">
        <v>1920</v>
      </c>
      <c r="B43" s="1" t="n">
        <v>0.001</v>
      </c>
      <c r="C43" s="1" t="n">
        <v>1920</v>
      </c>
      <c r="D43" s="1" t="n">
        <v>0.036</v>
      </c>
      <c r="E43" s="1" t="n">
        <v>1920</v>
      </c>
      <c r="F43" s="1" t="n">
        <v>0.073</v>
      </c>
      <c r="G43" s="1" t="n">
        <v>1920</v>
      </c>
      <c r="H43" s="1" t="n">
        <v>0.127</v>
      </c>
    </row>
    <row r="44" customFormat="false" ht="12.75" hidden="false" customHeight="true" outlineLevel="0" collapsed="false">
      <c r="A44" s="1" t="n">
        <v>1980</v>
      </c>
      <c r="B44" s="1" t="n">
        <v>0.001</v>
      </c>
      <c r="C44" s="1" t="n">
        <v>1980</v>
      </c>
      <c r="D44" s="1" t="n">
        <v>0.046</v>
      </c>
      <c r="E44" s="1" t="n">
        <v>1980</v>
      </c>
      <c r="F44" s="1" t="n">
        <v>0.072</v>
      </c>
      <c r="G44" s="1" t="n">
        <v>1980</v>
      </c>
      <c r="H44" s="1" t="n">
        <v>0.129</v>
      </c>
    </row>
    <row r="45" customFormat="false" ht="12.75" hidden="false" customHeight="true" outlineLevel="0" collapsed="false">
      <c r="A45" s="1" t="n">
        <v>2040</v>
      </c>
      <c r="B45" s="1" t="n">
        <v>0.001</v>
      </c>
      <c r="C45" s="1" t="n">
        <v>2040</v>
      </c>
      <c r="D45" s="1" t="n">
        <v>0.047</v>
      </c>
      <c r="E45" s="1" t="n">
        <v>2040</v>
      </c>
      <c r="F45" s="1" t="n">
        <v>0.074</v>
      </c>
      <c r="G45" s="1" t="n">
        <v>2040</v>
      </c>
      <c r="H45" s="1" t="n">
        <v>0.13</v>
      </c>
    </row>
    <row r="46" customFormat="false" ht="12.75" hidden="false" customHeight="true" outlineLevel="0" collapsed="false">
      <c r="A46" s="1" t="n">
        <v>2100</v>
      </c>
      <c r="B46" s="1" t="n">
        <v>0.002</v>
      </c>
      <c r="C46" s="1" t="n">
        <v>2100</v>
      </c>
      <c r="D46" s="1" t="n">
        <v>0.056</v>
      </c>
      <c r="E46" s="1" t="n">
        <v>2100</v>
      </c>
      <c r="F46" s="1" t="n">
        <v>0.074</v>
      </c>
      <c r="G46" s="1" t="n">
        <v>2100</v>
      </c>
      <c r="H46" s="1" t="n">
        <v>0.132</v>
      </c>
    </row>
    <row r="47" customFormat="false" ht="12.75" hidden="false" customHeight="true" outlineLevel="0" collapsed="false">
      <c r="A47" s="1" t="n">
        <v>2160</v>
      </c>
      <c r="B47" s="1" t="n">
        <v>0</v>
      </c>
      <c r="C47" s="1" t="n">
        <v>2160</v>
      </c>
      <c r="D47" s="1" t="n">
        <v>0.052</v>
      </c>
      <c r="E47" s="1" t="n">
        <v>2160</v>
      </c>
      <c r="F47" s="1" t="n">
        <v>0.075</v>
      </c>
      <c r="G47" s="1" t="n">
        <v>2160</v>
      </c>
      <c r="H47" s="1" t="n">
        <v>0.133</v>
      </c>
    </row>
    <row r="48" customFormat="false" ht="12.75" hidden="false" customHeight="true" outlineLevel="0" collapsed="false">
      <c r="A48" s="1" t="n">
        <v>2220</v>
      </c>
      <c r="B48" s="1" t="n">
        <v>0</v>
      </c>
      <c r="C48" s="1" t="n">
        <v>2220</v>
      </c>
      <c r="D48" s="1" t="n">
        <v>0.059</v>
      </c>
      <c r="E48" s="1" t="n">
        <v>2220</v>
      </c>
      <c r="F48" s="1" t="n">
        <v>0.077</v>
      </c>
      <c r="G48" s="1" t="n">
        <v>2220</v>
      </c>
      <c r="H48" s="1" t="n">
        <v>0.137</v>
      </c>
    </row>
    <row r="49" customFormat="false" ht="12.75" hidden="false" customHeight="true" outlineLevel="0" collapsed="false">
      <c r="A49" s="1" t="n">
        <v>2280</v>
      </c>
      <c r="B49" s="1" t="n">
        <v>0.001</v>
      </c>
      <c r="C49" s="1" t="n">
        <v>2280</v>
      </c>
      <c r="D49" s="1" t="n">
        <v>0.069</v>
      </c>
      <c r="E49" s="1" t="n">
        <v>2280</v>
      </c>
      <c r="F49" s="1" t="n">
        <v>0.077</v>
      </c>
      <c r="G49" s="1" t="n">
        <v>2280</v>
      </c>
      <c r="H49" s="1" t="n">
        <v>0.138</v>
      </c>
    </row>
    <row r="50" customFormat="false" ht="12.75" hidden="false" customHeight="true" outlineLevel="0" collapsed="false">
      <c r="A50" s="1" t="n">
        <v>2340</v>
      </c>
      <c r="B50" s="1" t="n">
        <v>0</v>
      </c>
      <c r="C50" s="1" t="n">
        <v>2340</v>
      </c>
      <c r="D50" s="1" t="n">
        <v>0.075</v>
      </c>
      <c r="E50" s="1" t="n">
        <v>2340</v>
      </c>
      <c r="F50" s="1" t="n">
        <v>0.078</v>
      </c>
      <c r="G50" s="1" t="n">
        <v>2340</v>
      </c>
      <c r="H50" s="1" t="n">
        <v>0.141</v>
      </c>
    </row>
    <row r="51" customFormat="false" ht="12.75" hidden="false" customHeight="true" outlineLevel="0" collapsed="false">
      <c r="A51" s="1" t="n">
        <v>2400</v>
      </c>
      <c r="B51" s="1" t="n">
        <v>0</v>
      </c>
      <c r="C51" s="1" t="n">
        <v>2400</v>
      </c>
      <c r="D51" s="1" t="n">
        <v>0.055</v>
      </c>
      <c r="E51" s="1" t="n">
        <v>2400</v>
      </c>
      <c r="F51" s="1" t="n">
        <v>0.08</v>
      </c>
      <c r="G51" s="1" t="n">
        <v>2400</v>
      </c>
      <c r="H51" s="1" t="n">
        <v>0.143</v>
      </c>
    </row>
    <row r="52" customFormat="false" ht="12.75" hidden="false" customHeight="true" outlineLevel="0" collapsed="false">
      <c r="A52" s="1" t="n">
        <v>2460</v>
      </c>
      <c r="B52" s="1" t="n">
        <v>0.001</v>
      </c>
      <c r="C52" s="1" t="n">
        <v>2460</v>
      </c>
      <c r="D52" s="1" t="n">
        <v>0.063</v>
      </c>
      <c r="E52" s="1" t="n">
        <v>2460</v>
      </c>
      <c r="F52" s="1" t="n">
        <v>0.08</v>
      </c>
      <c r="G52" s="1" t="n">
        <v>2460</v>
      </c>
      <c r="H52" s="1" t="n">
        <v>0.146</v>
      </c>
    </row>
    <row r="53" customFormat="false" ht="12.75" hidden="false" customHeight="true" outlineLevel="0" collapsed="false">
      <c r="A53" s="1" t="n">
        <v>2520</v>
      </c>
      <c r="B53" s="1" t="n">
        <v>0</v>
      </c>
      <c r="C53" s="1" t="n">
        <v>2520</v>
      </c>
      <c r="D53" s="1" t="n">
        <v>0.062</v>
      </c>
      <c r="E53" s="1" t="n">
        <v>2520</v>
      </c>
      <c r="F53" s="1" t="n">
        <v>0.082</v>
      </c>
      <c r="G53" s="1" t="n">
        <v>2520</v>
      </c>
      <c r="H53" s="1" t="n">
        <v>0.144</v>
      </c>
    </row>
    <row r="54" customFormat="false" ht="12.75" hidden="false" customHeight="true" outlineLevel="0" collapsed="false">
      <c r="A54" s="1" t="n">
        <v>2580</v>
      </c>
      <c r="B54" s="1" t="n">
        <v>0</v>
      </c>
      <c r="C54" s="1" t="n">
        <v>2580</v>
      </c>
      <c r="D54" s="1" t="n">
        <v>0.068</v>
      </c>
      <c r="E54" s="1" t="n">
        <v>2580</v>
      </c>
      <c r="F54" s="1" t="n">
        <v>0.082</v>
      </c>
      <c r="G54" s="1" t="n">
        <v>2580</v>
      </c>
      <c r="H54" s="1" t="n">
        <v>0.144</v>
      </c>
    </row>
    <row r="55" customFormat="false" ht="12.75" hidden="false" customHeight="true" outlineLevel="0" collapsed="false">
      <c r="A55" s="1" t="n">
        <v>2640</v>
      </c>
      <c r="B55" s="1" t="n">
        <v>0</v>
      </c>
      <c r="C55" s="1" t="n">
        <v>2640</v>
      </c>
      <c r="D55" s="1" t="n">
        <v>0.05</v>
      </c>
      <c r="E55" s="1" t="n">
        <v>2640</v>
      </c>
      <c r="F55" s="1" t="n">
        <v>0.083</v>
      </c>
      <c r="G55" s="1" t="n">
        <v>2640</v>
      </c>
      <c r="H55" s="1" t="n">
        <v>0.146</v>
      </c>
    </row>
    <row r="56" customFormat="false" ht="12.75" hidden="false" customHeight="true" outlineLevel="0" collapsed="false">
      <c r="A56" s="1" t="n">
        <v>2700</v>
      </c>
      <c r="B56" s="1" t="n">
        <v>0</v>
      </c>
      <c r="C56" s="1" t="n">
        <v>2700</v>
      </c>
      <c r="D56" s="1" t="n">
        <v>0.051</v>
      </c>
      <c r="E56" s="1" t="n">
        <v>2700</v>
      </c>
      <c r="F56" s="1" t="n">
        <v>0.083</v>
      </c>
      <c r="G56" s="1" t="n">
        <v>2700</v>
      </c>
      <c r="H56" s="1" t="n">
        <v>0.148</v>
      </c>
    </row>
    <row r="57" customFormat="false" ht="12.75" hidden="false" customHeight="true" outlineLevel="0" collapsed="false">
      <c r="A57" s="1" t="n">
        <v>2760</v>
      </c>
      <c r="B57" s="1" t="n">
        <v>0</v>
      </c>
      <c r="C57" s="1" t="n">
        <v>2760</v>
      </c>
      <c r="D57" s="1" t="n">
        <v>0.057</v>
      </c>
      <c r="E57" s="1" t="n">
        <v>2760</v>
      </c>
      <c r="F57" s="1" t="n">
        <v>0.086</v>
      </c>
      <c r="G57" s="1" t="n">
        <v>2760</v>
      </c>
      <c r="H57" s="1" t="n">
        <v>0.148</v>
      </c>
    </row>
    <row r="58" customFormat="false" ht="12.75" hidden="false" customHeight="true" outlineLevel="0" collapsed="false">
      <c r="A58" s="1" t="n">
        <v>2820</v>
      </c>
      <c r="B58" s="1" t="n">
        <v>0</v>
      </c>
      <c r="C58" s="1" t="n">
        <v>2820</v>
      </c>
      <c r="D58" s="1" t="n">
        <v>0.056</v>
      </c>
      <c r="E58" s="1" t="n">
        <v>2820</v>
      </c>
      <c r="F58" s="1" t="n">
        <v>0.085</v>
      </c>
      <c r="G58" s="1" t="n">
        <v>2820</v>
      </c>
      <c r="H58" s="1" t="n">
        <v>0.15</v>
      </c>
    </row>
    <row r="59" customFormat="false" ht="12.75" hidden="false" customHeight="true" outlineLevel="0" collapsed="false">
      <c r="A59" s="1" t="n">
        <v>2880</v>
      </c>
      <c r="B59" s="1" t="n">
        <v>0</v>
      </c>
      <c r="C59" s="1" t="n">
        <v>2880</v>
      </c>
      <c r="D59" s="1" t="n">
        <v>0.059</v>
      </c>
      <c r="E59" s="1" t="n">
        <v>2880</v>
      </c>
      <c r="F59" s="1" t="n">
        <v>0.086</v>
      </c>
      <c r="G59" s="1" t="n">
        <v>2880</v>
      </c>
      <c r="H59" s="1" t="n">
        <v>0.152</v>
      </c>
    </row>
    <row r="60" customFormat="false" ht="12.75" hidden="false" customHeight="true" outlineLevel="0" collapsed="false">
      <c r="A60" s="1" t="n">
        <v>2940</v>
      </c>
      <c r="B60" s="1" t="n">
        <v>0</v>
      </c>
      <c r="C60" s="1" t="n">
        <v>2940</v>
      </c>
      <c r="D60" s="1" t="n">
        <v>0.061</v>
      </c>
      <c r="E60" s="1" t="n">
        <v>2940</v>
      </c>
      <c r="F60" s="1" t="n">
        <v>0.086</v>
      </c>
      <c r="G60" s="1" t="n">
        <v>2940</v>
      </c>
      <c r="H60" s="1" t="n">
        <v>0.152</v>
      </c>
    </row>
    <row r="61" customFormat="false" ht="12.75" hidden="false" customHeight="true" outlineLevel="0" collapsed="false">
      <c r="A61" s="1" t="n">
        <v>3000</v>
      </c>
      <c r="B61" s="1" t="n">
        <v>0</v>
      </c>
      <c r="C61" s="1" t="n">
        <v>3000</v>
      </c>
      <c r="D61" s="1" t="n">
        <v>0.048</v>
      </c>
      <c r="E61" s="1" t="n">
        <v>3000</v>
      </c>
      <c r="F61" s="1" t="n">
        <v>0.087</v>
      </c>
      <c r="G61" s="1" t="n">
        <v>3000</v>
      </c>
      <c r="H61" s="1" t="n">
        <v>0.153</v>
      </c>
    </row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2024-12-12T22:49:10Z</dcterms:modified>
  <cp:revision>1</cp:revision>
  <dc:subject/>
  <dc:title/>
</cp:coreProperties>
</file>