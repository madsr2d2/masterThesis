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80">Sheet2!$A$1:$H$130</definedName>
  </definedNames>
  <calcPr/>
  <extLst>
    <ext uri="GoogleSheetsCustomDataVersion1">
      <go:sheetsCustomData xmlns:go="http://customooxmlschemas.google.com/" r:id="rId7" roundtripDataSignature="AMtx7mjCJ2lYiMxrNXxo+kDZaW7YT9TnNA=="/>
    </ext>
  </extLst>
</workbook>
</file>

<file path=xl/sharedStrings.xml><?xml version="1.0" encoding="utf-8"?>
<sst xmlns="http://schemas.openxmlformats.org/spreadsheetml/2006/main" count="191" uniqueCount="134">
  <si>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</si>
  <si>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</si>
  <si>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</si>
  <si>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</si>
  <si>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</si>
  <si>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</si>
  <si>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</si>
  <si>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</si>
  <si>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</si>
  <si>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</si>
  <si>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</si>
  <si>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</si>
  <si>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</si>
  <si>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</si>
  <si>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</si>
  <si>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</si>
  <si>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</si>
  <si>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</si>
  <si>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</si>
  <si>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</si>
  <si>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</si>
  <si>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</si>
  <si>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</si>
  <si>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</si>
  <si>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</si>
  <si>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</si>
  <si>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</si>
  <si>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</si>
  <si>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</si>
  <si>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</si>
  <si>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</si>
  <si>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</si>
  <si>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</si>
  <si>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</si>
  <si>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</si>
  <si>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</si>
  <si>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</si>
  <si>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</si>
  <si>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</si>
  <si>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</si>
  <si>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carbonate</t>
  </si>
  <si>
    <t>Stamopløsning 2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</si>
  <si>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</si>
  <si>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</si>
  <si>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</si>
  <si>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</si>
  <si>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</si>
  <si>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</si>
  <si>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</si>
  <si>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</si>
  <si>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</si>
  <si>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</si>
  <si>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</si>
  <si>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</si>
  <si>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</si>
  <si>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 2:2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</si>
  <si>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</si>
  <si>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</si>
  <si>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</si>
  <si>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</si>
  <si>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</si>
  <si>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</si>
  <si>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</si>
  <si>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</si>
  <si>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</si>
  <si>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</si>
  <si>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</si>
  <si>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</si>
  <si>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</si>
  <si>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</si>
  <si>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</si>
  <si>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</si>
  <si>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</si>
  <si>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</si>
  <si>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</si>
  <si>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</si>
  <si>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</si>
  <si>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Enz fortynding</t>
  </si>
  <si>
    <t>stamopløsninmg mol/l</t>
  </si>
  <si>
    <t>vol [l]</t>
  </si>
  <si>
    <t>final vol [l]</t>
  </si>
  <si>
    <t xml:space="preserve"> final conc. mol/l</t>
  </si>
  <si>
    <t>Vmax</t>
  </si>
  <si>
    <t>U/31</t>
  </si>
  <si>
    <t>mM/s</t>
  </si>
  <si>
    <t>Km</t>
  </si>
  <si>
    <t>mmol/L</t>
  </si>
  <si>
    <t>kcat</t>
  </si>
  <si>
    <t>1/s</t>
  </si>
  <si>
    <t>Kinetics Experiment - 76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</si>
  <si>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</si>
  <si>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</si>
  <si>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</si>
  <si>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</si>
  <si>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</si>
  <si>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</si>
  <si>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</si>
  <si>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</si>
  <si>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</si>
  <si>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</si>
  <si>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</si>
  <si>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</si>
  <si>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</si>
  <si>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</si>
  <si>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</si>
  <si>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</si>
  <si>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</si>
  <si>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</si>
  <si>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</si>
  <si>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</si>
  <si>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</si>
  <si>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</si>
  <si>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</si>
  <si>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</si>
  <si>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</si>
  <si>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rate080.rre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</si>
  <si>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</si>
  <si>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</si>
  <si>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</si>
  <si>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</si>
  <si>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</si>
  <si>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</si>
  <si>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</si>
  <si>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6:42:32PM</t>
  </si>
  <si>
    <t>6:42:39PM</t>
  </si>
  <si>
    <t>6:42:46PM</t>
  </si>
  <si>
    <t>6:42:53PM</t>
  </si>
  <si>
    <t>Substrate Conc.</t>
  </si>
  <si>
    <t>6.3251 mmol/L</t>
  </si>
  <si>
    <t>3.1626 mmol/L</t>
  </si>
  <si>
    <t>1.2650 mmol/L</t>
  </si>
  <si>
    <t>0.3163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</si>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</sst>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246667"/>
        <c:axId val="1790015678"/>
      </c:scatterChart>
      <c:valAx>
        <c:axId val="621246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0015678"/>
      </c:valAx>
      <c:valAx>
        <c:axId val="179001567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246667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66087992"/>
        <c:axId val="102181949"/>
      </c:scatterChart>
      <c:valAx>
        <c:axId val="166087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81949"/>
      </c:valAx>
      <c:valAx>
        <c:axId val="10218194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6087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481975"/>
        <c:axId val="180467594"/>
      </c:scatterChart>
      <c:valAx>
        <c:axId val="435481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467594"/>
      </c:valAx>
      <c:valAx>
        <c:axId val="1804675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481975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6.3251 mmol/L/Value, Substrate Conc./ss.sss, 3.1626 mmol/L/Value, Substrate Conc./ss.sss, 1.2650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Sheet2!$A$11:$A$127</c:f>
            </c:numRef>
          </c:xVal>
          <c:yVal>
            <c:numRef>
              <c:f>Sheet2!$B$11:$B$127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Sheet2!$A$11:$A$127</c:f>
            </c:numRef>
          </c:xVal>
          <c:yVal>
            <c:numRef>
              <c:f>Sheet2!$D$11:$D$127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Sheet2!$A$11:$A$127</c:f>
            </c:numRef>
          </c:xVal>
          <c:yVal>
            <c:numRef>
              <c:f>Sheet2!$F$11:$F$127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Sheet2!$A$11:$A$127</c:f>
            </c:numRef>
          </c:xVal>
          <c:yVal>
            <c:numRef>
              <c:f>Sheet2!$H$11:$H$127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565832"/>
        <c:axId val="1373862902"/>
      </c:scatterChart>
      <c:valAx>
        <c:axId val="9285658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862902"/>
      </c:valAx>
      <c:valAx>
        <c:axId val="1373862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565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6800885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44636088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31849448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4</xdr:row>
      <xdr:rowOff>123825</xdr:rowOff>
    </xdr:from>
    <xdr:ext cx="5715000" cy="5219700"/>
    <xdr:graphicFrame>
      <xdr:nvGraphicFramePr>
        <xdr:cNvPr id="393716260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9.57"/>
    <col customWidth="1" min="3" max="3" width="14.29"/>
    <col customWidth="1" min="4" max="4" width="8.0"/>
    <col customWidth="1" min="5" max="5" width="16.71"/>
    <col customWidth="1" min="6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13" width="12.43"/>
    <col customWidth="1" min="14" max="26" width="8.0"/>
  </cols>
  <sheetData>
    <row r="1" ht="12.75" customHeight="1">
      <c r="A1" s="1">
        <v>80.0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8" t="s">
        <v>42</v>
      </c>
      <c r="E4" s="4"/>
      <c r="F4" s="6"/>
      <c r="G4" s="7" t="s">
        <v>43</v>
      </c>
      <c r="H4" s="8"/>
      <c r="J4" s="10" t="s">
        <v>44</v>
      </c>
      <c r="K4" s="4">
        <v>1110.0</v>
      </c>
      <c r="L4" s="11"/>
      <c r="N4" s="10" t="s">
        <v>45</v>
      </c>
      <c r="O4" s="11">
        <v>0.1</v>
      </c>
    </row>
    <row r="5" ht="12.75" customHeight="1">
      <c r="A5" s="10" t="s">
        <v>46</v>
      </c>
      <c r="B5" s="4">
        <v>0.114</v>
      </c>
      <c r="C5" s="11">
        <v>108.14</v>
      </c>
      <c r="E5" s="4"/>
      <c r="F5" s="10"/>
      <c r="G5" s="4" t="s">
        <v>47</v>
      </c>
      <c r="H5" s="11"/>
      <c r="J5" s="10" t="s">
        <v>45</v>
      </c>
      <c r="K5" s="4">
        <f>(K4*0.3)/34</f>
        <v>9.794117647</v>
      </c>
      <c r="L5" s="11"/>
      <c r="N5" s="10" t="s">
        <v>48</v>
      </c>
      <c r="O5" s="11">
        <v>9.4</v>
      </c>
    </row>
    <row r="6" ht="13.5" customHeight="1">
      <c r="A6" s="10" t="s">
        <v>49</v>
      </c>
      <c r="B6" s="4">
        <v>0.025</v>
      </c>
      <c r="C6" s="11"/>
      <c r="E6" s="4"/>
      <c r="F6" s="10"/>
      <c r="G6" s="4"/>
      <c r="H6" s="11"/>
      <c r="J6" s="10" t="s">
        <v>50</v>
      </c>
      <c r="K6" s="4">
        <v>0.001</v>
      </c>
      <c r="L6" s="11">
        <v>0.004</v>
      </c>
      <c r="N6" s="12" t="s">
        <v>51</v>
      </c>
      <c r="O6" s="13">
        <v>25.0</v>
      </c>
    </row>
    <row r="7" ht="13.5" customHeight="1">
      <c r="A7" s="12" t="s">
        <v>52</v>
      </c>
      <c r="B7" s="5">
        <f>(B5/C5)/B6</f>
        <v>0.04216756057</v>
      </c>
      <c r="C7" s="13"/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53</v>
      </c>
      <c r="G8" s="4">
        <v>0.0236</v>
      </c>
      <c r="H8" s="11"/>
      <c r="J8" s="10"/>
      <c r="K8" s="4" t="s">
        <v>54</v>
      </c>
      <c r="L8" s="11"/>
    </row>
    <row r="9" ht="13.5" customHeight="1">
      <c r="A9" s="9" t="s">
        <v>55</v>
      </c>
      <c r="B9" s="7"/>
      <c r="C9" s="7"/>
      <c r="D9" s="8"/>
      <c r="E9" s="4"/>
      <c r="F9" s="10" t="s">
        <v>56</v>
      </c>
      <c r="G9" s="4">
        <v>0.04</v>
      </c>
      <c r="H9" s="11"/>
      <c r="J9" s="12" t="s">
        <v>45</v>
      </c>
      <c r="K9" s="5">
        <f>(K5*K6)/L6</f>
        <v>2.448529412</v>
      </c>
      <c r="L9" s="13"/>
    </row>
    <row r="10" ht="12.75" customHeight="1">
      <c r="A10" s="10" t="s">
        <v>57</v>
      </c>
      <c r="B10" s="4" t="s">
        <v>58</v>
      </c>
      <c r="C10" s="4" t="s">
        <v>59</v>
      </c>
      <c r="D10" s="11" t="s">
        <v>52</v>
      </c>
      <c r="E10" s="4"/>
      <c r="F10" s="10" t="s">
        <v>60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0.005</v>
      </c>
      <c r="C11" s="4">
        <v>0.005</v>
      </c>
      <c r="D11" s="11">
        <f t="shared" ref="D11:D14" si="1">(B11*$B$7)/C11</f>
        <v>0.04216756057</v>
      </c>
      <c r="E11" s="4"/>
      <c r="F11" s="10" t="s">
        <v>45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0.005</v>
      </c>
      <c r="C12" s="4">
        <v>0.01</v>
      </c>
      <c r="D12" s="11">
        <f t="shared" si="1"/>
        <v>0.02108378028</v>
      </c>
      <c r="E12" s="4"/>
      <c r="F12" s="10" t="s">
        <v>61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0.002</v>
      </c>
      <c r="C13" s="4">
        <v>0.01</v>
      </c>
      <c r="D13" s="11">
        <f t="shared" si="1"/>
        <v>0.008433512114</v>
      </c>
      <c r="E13" s="4"/>
      <c r="F13" s="12" t="s">
        <v>62</v>
      </c>
      <c r="G13" s="5">
        <f>E20*G12/H20</f>
        <v>0.02798091607</v>
      </c>
      <c r="H13" s="13" t="s">
        <v>61</v>
      </c>
      <c r="J13" s="4"/>
      <c r="K13" s="4"/>
      <c r="L13" s="4"/>
    </row>
    <row r="14" ht="13.5" customHeight="1">
      <c r="A14" s="12">
        <v>4.0</v>
      </c>
      <c r="B14" s="5">
        <v>5.0E-4</v>
      </c>
      <c r="C14" s="5">
        <v>0.01</v>
      </c>
      <c r="D14" s="13">
        <f t="shared" si="1"/>
        <v>0.002108378028</v>
      </c>
      <c r="E14" s="4"/>
    </row>
    <row r="15" ht="12.75" customHeight="1"/>
    <row r="16" ht="12.75" customHeight="1"/>
    <row r="17" ht="12.75" customHeight="1"/>
    <row r="18" ht="12.75" customHeight="1">
      <c r="I18" s="1" t="s">
        <v>63</v>
      </c>
      <c r="J18" s="1" t="s">
        <v>63</v>
      </c>
      <c r="K18" s="1" t="s">
        <v>54</v>
      </c>
      <c r="L18" s="1" t="s">
        <v>54</v>
      </c>
      <c r="M18" s="1" t="s">
        <v>64</v>
      </c>
      <c r="N18" s="1" t="s">
        <v>65</v>
      </c>
    </row>
    <row r="19" ht="13.5" customHeight="1">
      <c r="B19" s="14" t="s">
        <v>62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70</v>
      </c>
      <c r="H19" s="5" t="s">
        <v>71</v>
      </c>
      <c r="I19" s="5" t="s">
        <v>45</v>
      </c>
      <c r="J19" s="5" t="s">
        <v>61</v>
      </c>
      <c r="K19" s="5" t="s">
        <v>45</v>
      </c>
      <c r="L19" s="5" t="s">
        <v>61</v>
      </c>
      <c r="M19" s="5" t="s">
        <v>61</v>
      </c>
      <c r="N19" s="5" t="s">
        <v>72</v>
      </c>
    </row>
    <row r="20" ht="12.75" customHeight="1">
      <c r="B20" s="15">
        <v>1.0</v>
      </c>
      <c r="C20" s="1">
        <v>1.5</v>
      </c>
      <c r="D20" s="1">
        <v>0.0</v>
      </c>
      <c r="E20" s="1">
        <v>0.1</v>
      </c>
      <c r="F20" s="1">
        <v>0.3</v>
      </c>
      <c r="G20" s="1">
        <v>0.1</v>
      </c>
      <c r="H20" s="1">
        <f t="shared" ref="H20:H27" si="2">SUM(C20:G20)</f>
        <v>2</v>
      </c>
      <c r="I20" s="1">
        <f>F20*$D$11/H20</f>
        <v>0.006325134085</v>
      </c>
      <c r="J20" s="1">
        <f t="shared" ref="J20:J27" si="3">I20*1000</f>
        <v>6.325134085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3" si="6">E20*$E$33/H20</f>
        <v>0.000002798091607</v>
      </c>
      <c r="N20" s="1">
        <f t="shared" ref="N20:N27" si="7">(C20*$O$4*1000)/H20</f>
        <v>75</v>
      </c>
    </row>
    <row r="21" ht="12.75" customHeight="1">
      <c r="B21" s="15">
        <v>2.0</v>
      </c>
      <c r="C21" s="1">
        <v>1.5</v>
      </c>
      <c r="D21" s="1">
        <v>0.0</v>
      </c>
      <c r="E21" s="1">
        <v>0.1</v>
      </c>
      <c r="F21" s="1">
        <v>0.3</v>
      </c>
      <c r="G21" s="1">
        <v>0.1</v>
      </c>
      <c r="H21" s="1">
        <f t="shared" si="2"/>
        <v>2</v>
      </c>
      <c r="I21" s="1">
        <f>F21*$D$12/H21</f>
        <v>0.003162567043</v>
      </c>
      <c r="J21" s="1">
        <f t="shared" si="3"/>
        <v>3.162567043</v>
      </c>
      <c r="K21" s="4">
        <f t="shared" si="4"/>
        <v>0.1224264706</v>
      </c>
      <c r="L21" s="4">
        <f t="shared" si="5"/>
        <v>122.4264706</v>
      </c>
      <c r="M21" s="1">
        <f t="shared" si="6"/>
        <v>0.000002798091607</v>
      </c>
      <c r="N21" s="1">
        <f t="shared" si="7"/>
        <v>75</v>
      </c>
    </row>
    <row r="22" ht="12.75" customHeight="1">
      <c r="B22" s="15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2"/>
        <v>2</v>
      </c>
      <c r="I22" s="1">
        <f>F22*$D$13/H22</f>
        <v>0.001265026817</v>
      </c>
      <c r="J22" s="1">
        <f t="shared" si="3"/>
        <v>1.265026817</v>
      </c>
      <c r="K22" s="4">
        <f t="shared" si="4"/>
        <v>0.1224264706</v>
      </c>
      <c r="L22" s="4">
        <f t="shared" si="5"/>
        <v>122.4264706</v>
      </c>
      <c r="M22" s="1">
        <f t="shared" si="6"/>
        <v>0.000002798091607</v>
      </c>
      <c r="N22" s="1">
        <f t="shared" si="7"/>
        <v>75</v>
      </c>
    </row>
    <row r="23" ht="12.75" customHeight="1">
      <c r="B23" s="16">
        <v>4.0</v>
      </c>
      <c r="C23" s="16">
        <v>1.5</v>
      </c>
      <c r="D23" s="16">
        <v>0.0</v>
      </c>
      <c r="E23" s="16">
        <v>0.1</v>
      </c>
      <c r="F23" s="16">
        <v>0.3</v>
      </c>
      <c r="G23" s="16">
        <v>0.1</v>
      </c>
      <c r="H23" s="16">
        <f t="shared" si="2"/>
        <v>2</v>
      </c>
      <c r="I23" s="16">
        <f>F23*$D$14/H23</f>
        <v>0.0003162567043</v>
      </c>
      <c r="J23" s="16">
        <f t="shared" si="3"/>
        <v>0.3162567043</v>
      </c>
      <c r="K23" s="4">
        <f t="shared" si="4"/>
        <v>0.1224264706</v>
      </c>
      <c r="L23" s="16">
        <f t="shared" si="5"/>
        <v>122.4264706</v>
      </c>
      <c r="M23" s="1">
        <f t="shared" si="6"/>
        <v>0.000002798091607</v>
      </c>
      <c r="N23" s="1">
        <f t="shared" si="7"/>
        <v>75</v>
      </c>
    </row>
    <row r="24" ht="12.75" customHeight="1">
      <c r="B24" s="15" t="s">
        <v>73</v>
      </c>
      <c r="C24" s="1">
        <v>1.5</v>
      </c>
      <c r="D24" s="4">
        <v>0.1</v>
      </c>
      <c r="E24" s="4">
        <v>0.0</v>
      </c>
      <c r="F24" s="1">
        <v>0.3</v>
      </c>
      <c r="G24" s="4">
        <v>0.1</v>
      </c>
      <c r="H24" s="1">
        <f t="shared" si="2"/>
        <v>2</v>
      </c>
      <c r="I24" s="1">
        <f>F24*$D$11/H24</f>
        <v>0.006325134085</v>
      </c>
      <c r="J24" s="1">
        <f t="shared" si="3"/>
        <v>6.325134085</v>
      </c>
      <c r="K24" s="4">
        <f t="shared" si="4"/>
        <v>0.1224264706</v>
      </c>
      <c r="L24" s="4">
        <f t="shared" si="5"/>
        <v>122.4264706</v>
      </c>
      <c r="M24" s="1">
        <f t="shared" ref="M24:M27" si="8">E24*$G$12/H24</f>
        <v>0</v>
      </c>
      <c r="N24" s="1">
        <f t="shared" si="7"/>
        <v>75</v>
      </c>
    </row>
    <row r="25" ht="12.75" customHeight="1">
      <c r="B25" s="15" t="s">
        <v>74</v>
      </c>
      <c r="C25" s="1">
        <v>1.5</v>
      </c>
      <c r="D25" s="4">
        <v>0.1</v>
      </c>
      <c r="E25" s="4">
        <v>0.0</v>
      </c>
      <c r="F25" s="1">
        <v>0.3</v>
      </c>
      <c r="G25" s="4">
        <v>0.1</v>
      </c>
      <c r="H25" s="1">
        <f t="shared" si="2"/>
        <v>2</v>
      </c>
      <c r="I25" s="1">
        <f>F25*$D$12/H25</f>
        <v>0.003162567043</v>
      </c>
      <c r="J25" s="1">
        <f t="shared" si="3"/>
        <v>3.162567043</v>
      </c>
      <c r="K25" s="4">
        <f t="shared" si="4"/>
        <v>0.1224264706</v>
      </c>
      <c r="L25" s="4">
        <f t="shared" si="5"/>
        <v>122.4264706</v>
      </c>
      <c r="M25" s="1">
        <f t="shared" si="8"/>
        <v>0</v>
      </c>
      <c r="N25" s="1">
        <f t="shared" si="7"/>
        <v>75</v>
      </c>
    </row>
    <row r="26" ht="12.75" customHeight="1">
      <c r="B26" s="15" t="s">
        <v>75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2"/>
        <v>2</v>
      </c>
      <c r="I26" s="1">
        <f>F26*$D$13/H26</f>
        <v>0.001265026817</v>
      </c>
      <c r="J26" s="1">
        <f t="shared" si="3"/>
        <v>1.265026817</v>
      </c>
      <c r="K26" s="4">
        <f t="shared" si="4"/>
        <v>0.1224264706</v>
      </c>
      <c r="L26" s="4">
        <f t="shared" si="5"/>
        <v>122.4264706</v>
      </c>
      <c r="M26" s="1">
        <f t="shared" si="8"/>
        <v>0</v>
      </c>
      <c r="N26" s="1">
        <f t="shared" si="7"/>
        <v>75</v>
      </c>
    </row>
    <row r="27" ht="13.5" customHeight="1">
      <c r="B27" s="14" t="s">
        <v>76</v>
      </c>
      <c r="C27" s="5">
        <v>1.5</v>
      </c>
      <c r="D27" s="5">
        <v>0.1</v>
      </c>
      <c r="E27" s="5">
        <v>0.0</v>
      </c>
      <c r="F27" s="5">
        <v>0.3</v>
      </c>
      <c r="G27" s="5">
        <v>0.1</v>
      </c>
      <c r="H27" s="5">
        <f t="shared" si="2"/>
        <v>2</v>
      </c>
      <c r="I27" s="5">
        <f>F27*$D$14/H27</f>
        <v>0.0003162567043</v>
      </c>
      <c r="J27" s="5">
        <f t="shared" si="3"/>
        <v>0.3162567043</v>
      </c>
      <c r="K27" s="5">
        <f t="shared" si="4"/>
        <v>0.1224264706</v>
      </c>
      <c r="L27" s="5">
        <f t="shared" si="5"/>
        <v>122.4264706</v>
      </c>
      <c r="M27" s="5">
        <f t="shared" si="8"/>
        <v>0</v>
      </c>
      <c r="N27" s="5">
        <f t="shared" si="7"/>
        <v>75</v>
      </c>
    </row>
    <row r="28" ht="12.75" customHeight="1">
      <c r="C28" s="1">
        <f t="shared" ref="C28:G28" si="9">SUM(C20:C27)</f>
        <v>12</v>
      </c>
      <c r="D28" s="1">
        <f t="shared" si="9"/>
        <v>0.4</v>
      </c>
      <c r="E28" s="1">
        <f t="shared" si="9"/>
        <v>0.4</v>
      </c>
      <c r="F28" s="1">
        <f t="shared" si="9"/>
        <v>2.4</v>
      </c>
      <c r="G28" s="1">
        <f t="shared" si="9"/>
        <v>0.8</v>
      </c>
    </row>
    <row r="29" ht="12.75" customHeight="1"/>
    <row r="30" ht="13.5" customHeight="1"/>
    <row r="31" ht="12.75" customHeight="1">
      <c r="B31" s="9" t="s">
        <v>77</v>
      </c>
      <c r="C31" s="7"/>
      <c r="D31" s="7"/>
      <c r="E31" s="8"/>
    </row>
    <row r="32" ht="12.75" customHeight="1">
      <c r="B32" s="10" t="s">
        <v>78</v>
      </c>
      <c r="C32" s="4" t="s">
        <v>79</v>
      </c>
      <c r="D32" s="4" t="s">
        <v>80</v>
      </c>
      <c r="E32" s="11" t="s">
        <v>81</v>
      </c>
    </row>
    <row r="33" ht="13.5" customHeight="1">
      <c r="B33" s="12">
        <f>G11</f>
        <v>0.0005596183213</v>
      </c>
      <c r="C33" s="5">
        <v>2.0E-4</v>
      </c>
      <c r="D33" s="5">
        <v>0.002</v>
      </c>
      <c r="E33" s="13">
        <f>(B33*C33)/D33</f>
        <v>0.00005596183213</v>
      </c>
    </row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82</v>
      </c>
      <c r="L41" s="1">
        <f>I49</f>
        <v>0.003842948951</v>
      </c>
      <c r="M41" s="8" t="s">
        <v>83</v>
      </c>
    </row>
    <row r="42" ht="12.75" customHeight="1">
      <c r="J42" s="17"/>
      <c r="K42" s="10" t="s">
        <v>82</v>
      </c>
      <c r="L42" s="4">
        <f>(L41/I2)/31</f>
        <v>0.0001007854432</v>
      </c>
      <c r="M42" s="11" t="s">
        <v>84</v>
      </c>
    </row>
    <row r="43" ht="12.75" customHeight="1">
      <c r="K43" s="10" t="s">
        <v>85</v>
      </c>
      <c r="L43" s="1">
        <f>I50</f>
        <v>0.5865715758</v>
      </c>
      <c r="M43" s="11" t="s">
        <v>86</v>
      </c>
    </row>
    <row r="44" ht="13.5" customHeight="1">
      <c r="K44" s="12" t="s">
        <v>87</v>
      </c>
      <c r="L44" s="5">
        <f>L42/G13</f>
        <v>0.003601935083</v>
      </c>
      <c r="M44" s="13" t="s">
        <v>88</v>
      </c>
    </row>
    <row r="45" ht="12.75" customHeight="1">
      <c r="B45" s="4" t="s">
        <v>89</v>
      </c>
      <c r="C45" s="4"/>
      <c r="D45" s="4"/>
      <c r="E45" s="4"/>
      <c r="F45" s="4"/>
      <c r="G45" s="4" t="s">
        <v>89</v>
      </c>
      <c r="H45" s="4"/>
      <c r="I45" s="4"/>
    </row>
    <row r="46" ht="12.75" customHeight="1">
      <c r="B46" s="4" t="s">
        <v>90</v>
      </c>
      <c r="C46" s="4"/>
      <c r="D46" s="4"/>
      <c r="E46" s="4"/>
      <c r="F46" s="4"/>
      <c r="G46" s="4" t="s">
        <v>91</v>
      </c>
      <c r="L46" s="17"/>
    </row>
    <row r="47" ht="12.75" customHeight="1">
      <c r="B47" s="1" t="s">
        <v>92</v>
      </c>
      <c r="H47" s="1" t="s">
        <v>93</v>
      </c>
      <c r="I47" s="1" t="s">
        <v>94</v>
      </c>
    </row>
    <row r="48" ht="12.75" customHeight="1">
      <c r="B48" s="1" t="s">
        <v>95</v>
      </c>
      <c r="C48" s="1" t="s">
        <v>96</v>
      </c>
      <c r="D48" s="1" t="s">
        <v>97</v>
      </c>
      <c r="E48" s="1" t="s">
        <v>98</v>
      </c>
      <c r="F48" s="1" t="s">
        <v>99</v>
      </c>
      <c r="G48" s="1" t="s">
        <v>100</v>
      </c>
    </row>
    <row r="49" ht="12.75" customHeight="1">
      <c r="B49" s="1" t="s">
        <v>101</v>
      </c>
      <c r="C49" s="1">
        <v>6.32510000019758</v>
      </c>
      <c r="D49" s="1">
        <v>0.0</v>
      </c>
      <c r="E49" s="1">
        <v>0.003498560324578</v>
      </c>
      <c r="F49" s="1" t="s">
        <v>102</v>
      </c>
      <c r="H49" s="1" t="s">
        <v>103</v>
      </c>
      <c r="I49" s="1">
        <v>0.00384294895069987</v>
      </c>
    </row>
    <row r="50" ht="12.75" customHeight="1">
      <c r="B50" s="1" t="s">
        <v>104</v>
      </c>
      <c r="C50" s="1">
        <v>3.16259999993623</v>
      </c>
      <c r="D50" s="1">
        <v>0.0</v>
      </c>
      <c r="E50" s="1">
        <v>0.003253642826724</v>
      </c>
      <c r="F50" s="1" t="s">
        <v>102</v>
      </c>
      <c r="H50" s="1" t="s">
        <v>85</v>
      </c>
      <c r="I50" s="1">
        <v>0.586571575780075</v>
      </c>
    </row>
    <row r="51" ht="12.75" customHeight="1">
      <c r="B51" s="1" t="s">
        <v>105</v>
      </c>
      <c r="C51" s="1">
        <v>1.26500000023521</v>
      </c>
      <c r="D51" s="1">
        <v>0.0</v>
      </c>
      <c r="E51" s="1">
        <v>0.002920627685876</v>
      </c>
      <c r="F51" s="18" t="s">
        <v>102</v>
      </c>
      <c r="G51" s="1" t="s">
        <v>106</v>
      </c>
    </row>
    <row r="52" ht="12.75" customHeight="1">
      <c r="B52" s="1" t="s">
        <v>107</v>
      </c>
      <c r="C52" s="1">
        <v>0.316300000059589</v>
      </c>
      <c r="D52" s="1">
        <v>0.0</v>
      </c>
      <c r="E52" s="1">
        <v>0.001138491812991</v>
      </c>
      <c r="F52" s="1" t="s">
        <v>102</v>
      </c>
      <c r="H52" s="1" t="s">
        <v>108</v>
      </c>
      <c r="I52" s="1">
        <v>4309.77789403327</v>
      </c>
    </row>
    <row r="53" ht="12.75" customHeight="1">
      <c r="H53" s="1" t="s">
        <v>109</v>
      </c>
      <c r="I53" s="1">
        <v>0.998493628619184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110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111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112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113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114</v>
      </c>
      <c r="B1" s="1" t="s">
        <v>115</v>
      </c>
    </row>
    <row r="2" ht="12.75" customHeight="1">
      <c r="A2" s="1" t="s">
        <v>116</v>
      </c>
      <c r="B2" s="1">
        <v>161008.0</v>
      </c>
    </row>
    <row r="3" ht="12.75" customHeight="1">
      <c r="A3" s="1" t="s">
        <v>95</v>
      </c>
      <c r="B3" s="1" t="s">
        <v>101</v>
      </c>
      <c r="C3" s="1" t="s">
        <v>95</v>
      </c>
      <c r="D3" s="1" t="s">
        <v>104</v>
      </c>
      <c r="E3" s="1" t="s">
        <v>95</v>
      </c>
      <c r="F3" s="1" t="s">
        <v>105</v>
      </c>
      <c r="G3" s="1" t="s">
        <v>95</v>
      </c>
      <c r="H3" s="1" t="s">
        <v>107</v>
      </c>
    </row>
    <row r="4" ht="12.75" customHeight="1">
      <c r="A4" s="1" t="s">
        <v>117</v>
      </c>
      <c r="B4" s="1" t="s">
        <v>118</v>
      </c>
      <c r="C4" s="1" t="s">
        <v>117</v>
      </c>
      <c r="D4" s="1" t="s">
        <v>118</v>
      </c>
      <c r="E4" s="1" t="s">
        <v>117</v>
      </c>
      <c r="F4" s="1" t="s">
        <v>118</v>
      </c>
      <c r="G4" s="1" t="s">
        <v>117</v>
      </c>
      <c r="H4" s="1" t="s">
        <v>118</v>
      </c>
    </row>
    <row r="5" ht="12.75" customHeight="1">
      <c r="A5" s="1" t="s">
        <v>119</v>
      </c>
      <c r="B5" s="1" t="s">
        <v>120</v>
      </c>
      <c r="C5" s="1" t="s">
        <v>119</v>
      </c>
      <c r="D5" s="1" t="s">
        <v>120</v>
      </c>
      <c r="E5" s="1" t="s">
        <v>119</v>
      </c>
      <c r="F5" s="1" t="s">
        <v>120</v>
      </c>
      <c r="G5" s="1" t="s">
        <v>119</v>
      </c>
      <c r="H5" s="1" t="s">
        <v>120</v>
      </c>
    </row>
    <row r="6" ht="12.75" customHeight="1">
      <c r="A6" s="1" t="s">
        <v>121</v>
      </c>
      <c r="B6" s="19">
        <v>40457.0</v>
      </c>
      <c r="C6" s="1" t="s">
        <v>121</v>
      </c>
      <c r="D6" s="19">
        <v>40457.0</v>
      </c>
      <c r="E6" s="1" t="s">
        <v>121</v>
      </c>
      <c r="F6" s="19">
        <v>40457.0</v>
      </c>
      <c r="G6" s="1" t="s">
        <v>121</v>
      </c>
      <c r="H6" s="19">
        <v>40457.0</v>
      </c>
    </row>
    <row r="7" ht="12.75" customHeight="1">
      <c r="A7" s="1" t="s">
        <v>122</v>
      </c>
      <c r="B7" s="1" t="s">
        <v>123</v>
      </c>
      <c r="C7" s="1" t="s">
        <v>122</v>
      </c>
      <c r="D7" s="1" t="s">
        <v>124</v>
      </c>
      <c r="E7" s="1" t="s">
        <v>122</v>
      </c>
      <c r="F7" s="1" t="s">
        <v>125</v>
      </c>
      <c r="G7" s="1" t="s">
        <v>122</v>
      </c>
      <c r="H7" s="1" t="s">
        <v>126</v>
      </c>
    </row>
    <row r="8" ht="12.75" customHeight="1"/>
    <row r="9" ht="12.75" customHeight="1">
      <c r="A9" s="1" t="s">
        <v>127</v>
      </c>
      <c r="B9" s="1" t="s">
        <v>128</v>
      </c>
      <c r="C9" s="1" t="s">
        <v>127</v>
      </c>
      <c r="D9" s="1" t="s">
        <v>129</v>
      </c>
      <c r="E9" s="1" t="s">
        <v>127</v>
      </c>
      <c r="F9" s="1" t="s">
        <v>130</v>
      </c>
      <c r="G9" s="1" t="s">
        <v>127</v>
      </c>
      <c r="H9" s="1" t="s">
        <v>131</v>
      </c>
    </row>
    <row r="10" ht="12.75" customHeight="1">
      <c r="A10" s="1" t="s">
        <v>132</v>
      </c>
      <c r="B10" s="1" t="s">
        <v>133</v>
      </c>
      <c r="C10" s="1" t="s">
        <v>132</v>
      </c>
      <c r="D10" s="1" t="s">
        <v>133</v>
      </c>
      <c r="E10" s="1" t="s">
        <v>132</v>
      </c>
      <c r="F10" s="1" t="s">
        <v>133</v>
      </c>
      <c r="G10" s="1" t="s">
        <v>132</v>
      </c>
      <c r="H10" s="1" t="s">
        <v>133</v>
      </c>
    </row>
    <row r="11" ht="12.75" customHeight="1">
      <c r="A11" s="1">
        <v>0.0</v>
      </c>
      <c r="B11" s="1">
        <v>-0.001</v>
      </c>
      <c r="C11" s="1">
        <v>0.0</v>
      </c>
      <c r="D11" s="1">
        <v>0.0</v>
      </c>
      <c r="E11" s="1">
        <v>0.0</v>
      </c>
      <c r="F11" s="1">
        <v>0.015</v>
      </c>
      <c r="G11" s="1">
        <v>0.0</v>
      </c>
      <c r="H11" s="1">
        <v>0.022</v>
      </c>
    </row>
    <row r="12" ht="12.75" customHeight="1">
      <c r="A12" s="1">
        <v>31.0</v>
      </c>
      <c r="B12" s="1">
        <v>0.0</v>
      </c>
      <c r="C12" s="1">
        <v>31.0</v>
      </c>
      <c r="D12" s="1">
        <v>0.0</v>
      </c>
      <c r="E12" s="1">
        <v>31.0</v>
      </c>
      <c r="F12" s="1">
        <v>0.016</v>
      </c>
      <c r="G12" s="1">
        <v>31.0</v>
      </c>
      <c r="H12" s="1">
        <v>0.022</v>
      </c>
    </row>
    <row r="13" ht="12.75" customHeight="1">
      <c r="A13" s="1">
        <v>62.0</v>
      </c>
      <c r="B13" s="1">
        <v>0.0</v>
      </c>
      <c r="C13" s="1">
        <v>62.0</v>
      </c>
      <c r="D13" s="1">
        <v>0.001</v>
      </c>
      <c r="E13" s="1">
        <v>62.0</v>
      </c>
      <c r="F13" s="1">
        <v>0.015</v>
      </c>
      <c r="G13" s="1">
        <v>62.0</v>
      </c>
      <c r="H13" s="1">
        <v>0.022</v>
      </c>
    </row>
    <row r="14" ht="12.75" customHeight="1">
      <c r="A14" s="1">
        <v>93.0</v>
      </c>
      <c r="B14" s="1">
        <v>-0.001</v>
      </c>
      <c r="C14" s="1">
        <v>93.0</v>
      </c>
      <c r="D14" s="1">
        <v>0.0</v>
      </c>
      <c r="E14" s="1">
        <v>93.0</v>
      </c>
      <c r="F14" s="1">
        <v>0.015</v>
      </c>
      <c r="G14" s="1">
        <v>93.0</v>
      </c>
      <c r="H14" s="1">
        <v>0.021</v>
      </c>
    </row>
    <row r="15" ht="12.75" customHeight="1">
      <c r="A15" s="1">
        <v>124.0</v>
      </c>
      <c r="B15" s="1">
        <v>-0.001</v>
      </c>
      <c r="C15" s="1">
        <v>124.0</v>
      </c>
      <c r="D15" s="1">
        <v>0.0</v>
      </c>
      <c r="E15" s="1">
        <v>124.0</v>
      </c>
      <c r="F15" s="1">
        <v>0.015</v>
      </c>
      <c r="G15" s="1">
        <v>124.0</v>
      </c>
      <c r="H15" s="1">
        <v>0.022</v>
      </c>
    </row>
    <row r="16" ht="12.75" customHeight="1">
      <c r="A16" s="1">
        <v>155.0</v>
      </c>
      <c r="B16" s="1">
        <v>0.0</v>
      </c>
      <c r="C16" s="1">
        <v>155.0</v>
      </c>
      <c r="D16" s="1">
        <v>0.0</v>
      </c>
      <c r="E16" s="1">
        <v>155.0</v>
      </c>
      <c r="F16" s="1">
        <v>0.015</v>
      </c>
      <c r="G16" s="1">
        <v>155.0</v>
      </c>
      <c r="H16" s="1">
        <v>0.021</v>
      </c>
    </row>
    <row r="17" ht="12.75" customHeight="1">
      <c r="A17" s="1">
        <v>186.0</v>
      </c>
      <c r="B17" s="1">
        <v>0.0</v>
      </c>
      <c r="C17" s="1">
        <v>186.0</v>
      </c>
      <c r="D17" s="1">
        <v>0.0</v>
      </c>
      <c r="E17" s="1">
        <v>186.0</v>
      </c>
      <c r="F17" s="1">
        <v>0.015</v>
      </c>
      <c r="G17" s="1">
        <v>186.0</v>
      </c>
      <c r="H17" s="1">
        <v>0.021</v>
      </c>
    </row>
    <row r="18" ht="12.75" customHeight="1">
      <c r="A18" s="1">
        <v>217.0</v>
      </c>
      <c r="B18" s="1">
        <v>0.0</v>
      </c>
      <c r="C18" s="1">
        <v>217.0</v>
      </c>
      <c r="D18" s="1">
        <v>0.0</v>
      </c>
      <c r="E18" s="1">
        <v>217.0</v>
      </c>
      <c r="F18" s="1">
        <v>0.015</v>
      </c>
      <c r="G18" s="1">
        <v>217.0</v>
      </c>
      <c r="H18" s="1">
        <v>0.022</v>
      </c>
    </row>
    <row r="19" ht="12.75" customHeight="1">
      <c r="A19" s="1">
        <v>248.0</v>
      </c>
      <c r="B19" s="1">
        <v>0.0</v>
      </c>
      <c r="C19" s="1">
        <v>248.0</v>
      </c>
      <c r="D19" s="1">
        <v>0.0</v>
      </c>
      <c r="E19" s="1">
        <v>248.0</v>
      </c>
      <c r="F19" s="1">
        <v>0.015</v>
      </c>
      <c r="G19" s="1">
        <v>248.0</v>
      </c>
      <c r="H19" s="1">
        <v>0.021</v>
      </c>
    </row>
    <row r="20" ht="12.75" customHeight="1">
      <c r="A20" s="1">
        <v>279.0</v>
      </c>
      <c r="B20" s="1">
        <v>0.0</v>
      </c>
      <c r="C20" s="1">
        <v>279.0</v>
      </c>
      <c r="D20" s="1">
        <v>0.001</v>
      </c>
      <c r="E20" s="1">
        <v>279.0</v>
      </c>
      <c r="F20" s="1">
        <v>0.015</v>
      </c>
      <c r="G20" s="1">
        <v>279.0</v>
      </c>
      <c r="H20" s="1">
        <v>0.022</v>
      </c>
    </row>
    <row r="21" ht="12.75" customHeight="1">
      <c r="A21" s="1">
        <v>310.0</v>
      </c>
      <c r="B21" s="1">
        <v>0.0</v>
      </c>
      <c r="C21" s="1">
        <v>310.0</v>
      </c>
      <c r="D21" s="1">
        <v>0.001</v>
      </c>
      <c r="E21" s="1">
        <v>310.0</v>
      </c>
      <c r="F21" s="1">
        <v>0.015</v>
      </c>
      <c r="G21" s="1">
        <v>310.0</v>
      </c>
      <c r="H21" s="1">
        <v>0.021</v>
      </c>
    </row>
    <row r="22" ht="12.75" customHeight="1">
      <c r="A22" s="1">
        <v>341.0</v>
      </c>
      <c r="B22" s="1">
        <v>0.0</v>
      </c>
      <c r="C22" s="1">
        <v>341.0</v>
      </c>
      <c r="D22" s="1">
        <v>0.001</v>
      </c>
      <c r="E22" s="1">
        <v>341.0</v>
      </c>
      <c r="F22" s="1">
        <v>0.015</v>
      </c>
      <c r="G22" s="1">
        <v>341.0</v>
      </c>
      <c r="H22" s="1">
        <v>0.021</v>
      </c>
    </row>
    <row r="23" ht="12.75" customHeight="1">
      <c r="A23" s="1">
        <v>372.0</v>
      </c>
      <c r="B23" s="1">
        <v>0.0</v>
      </c>
      <c r="C23" s="1">
        <v>372.0</v>
      </c>
      <c r="D23" s="1">
        <v>0.0</v>
      </c>
      <c r="E23" s="1">
        <v>372.0</v>
      </c>
      <c r="F23" s="1">
        <v>0.015</v>
      </c>
      <c r="G23" s="1">
        <v>372.0</v>
      </c>
      <c r="H23" s="1">
        <v>0.021</v>
      </c>
    </row>
    <row r="24" ht="12.75" customHeight="1">
      <c r="A24" s="1">
        <v>403.0</v>
      </c>
      <c r="B24" s="1">
        <v>0.0</v>
      </c>
      <c r="C24" s="1">
        <v>403.0</v>
      </c>
      <c r="D24" s="1">
        <v>0.001</v>
      </c>
      <c r="E24" s="1">
        <v>403.0</v>
      </c>
      <c r="F24" s="1">
        <v>0.015</v>
      </c>
      <c r="G24" s="1">
        <v>403.0</v>
      </c>
      <c r="H24" s="1">
        <v>0.022</v>
      </c>
    </row>
    <row r="25" ht="12.75" customHeight="1">
      <c r="A25" s="1">
        <v>434.0</v>
      </c>
      <c r="B25" s="1">
        <v>0.0</v>
      </c>
      <c r="C25" s="1">
        <v>434.0</v>
      </c>
      <c r="D25" s="1">
        <v>0.001</v>
      </c>
      <c r="E25" s="1">
        <v>434.0</v>
      </c>
      <c r="F25" s="1">
        <v>0.015</v>
      </c>
      <c r="G25" s="1">
        <v>434.0</v>
      </c>
      <c r="H25" s="1">
        <v>0.021</v>
      </c>
    </row>
    <row r="26" ht="12.75" customHeight="1">
      <c r="A26" s="1">
        <v>465.0</v>
      </c>
      <c r="B26" s="1">
        <v>0.0</v>
      </c>
      <c r="C26" s="1">
        <v>465.0</v>
      </c>
      <c r="D26" s="1">
        <v>0.001</v>
      </c>
      <c r="E26" s="1">
        <v>465.0</v>
      </c>
      <c r="F26" s="1">
        <v>0.015</v>
      </c>
      <c r="G26" s="1">
        <v>465.0</v>
      </c>
      <c r="H26" s="1">
        <v>0.021</v>
      </c>
    </row>
    <row r="27" ht="12.75" customHeight="1">
      <c r="A27" s="1">
        <v>496.0</v>
      </c>
      <c r="B27" s="1">
        <v>0.0</v>
      </c>
      <c r="C27" s="1">
        <v>496.0</v>
      </c>
      <c r="D27" s="1">
        <v>0.0</v>
      </c>
      <c r="E27" s="1">
        <v>496.0</v>
      </c>
      <c r="F27" s="1">
        <v>0.015</v>
      </c>
      <c r="G27" s="1">
        <v>496.0</v>
      </c>
      <c r="H27" s="1">
        <v>0.021</v>
      </c>
    </row>
    <row r="28" ht="12.75" customHeight="1">
      <c r="A28" s="1">
        <v>527.0</v>
      </c>
      <c r="B28" s="1">
        <v>0.0</v>
      </c>
      <c r="C28" s="1">
        <v>527.0</v>
      </c>
      <c r="D28" s="1">
        <v>0.0</v>
      </c>
      <c r="E28" s="1">
        <v>527.0</v>
      </c>
      <c r="F28" s="1">
        <v>0.015</v>
      </c>
      <c r="G28" s="1">
        <v>527.0</v>
      </c>
      <c r="H28" s="1">
        <v>0.022</v>
      </c>
    </row>
    <row r="29" ht="12.75" customHeight="1">
      <c r="A29" s="1">
        <v>558.0</v>
      </c>
      <c r="B29" s="1">
        <v>0.0</v>
      </c>
      <c r="C29" s="1">
        <v>558.0</v>
      </c>
      <c r="D29" s="1">
        <v>0.001</v>
      </c>
      <c r="E29" s="1">
        <v>558.0</v>
      </c>
      <c r="F29" s="1">
        <v>0.016</v>
      </c>
      <c r="G29" s="1">
        <v>558.0</v>
      </c>
      <c r="H29" s="1">
        <v>0.021</v>
      </c>
    </row>
    <row r="30" ht="12.75" customHeight="1">
      <c r="A30" s="1">
        <v>589.0</v>
      </c>
      <c r="B30" s="1">
        <v>0.0</v>
      </c>
      <c r="C30" s="1">
        <v>589.0</v>
      </c>
      <c r="D30" s="1">
        <v>0.0</v>
      </c>
      <c r="E30" s="1">
        <v>589.0</v>
      </c>
      <c r="F30" s="1">
        <v>0.016</v>
      </c>
      <c r="G30" s="1">
        <v>589.0</v>
      </c>
      <c r="H30" s="1">
        <v>0.021</v>
      </c>
    </row>
    <row r="31" ht="12.75" customHeight="1">
      <c r="A31" s="1">
        <v>620.0</v>
      </c>
      <c r="B31" s="1">
        <v>0.0</v>
      </c>
      <c r="C31" s="1">
        <v>620.0</v>
      </c>
      <c r="D31" s="1">
        <v>0.0</v>
      </c>
      <c r="E31" s="1">
        <v>620.0</v>
      </c>
      <c r="F31" s="1">
        <v>0.015</v>
      </c>
      <c r="G31" s="1">
        <v>620.0</v>
      </c>
      <c r="H31" s="1">
        <v>0.021</v>
      </c>
    </row>
    <row r="32" ht="12.75" customHeight="1">
      <c r="A32" s="1">
        <v>651.0</v>
      </c>
      <c r="B32" s="1">
        <v>0.0</v>
      </c>
      <c r="C32" s="1">
        <v>651.0</v>
      </c>
      <c r="D32" s="1">
        <v>0.001</v>
      </c>
      <c r="E32" s="1">
        <v>651.0</v>
      </c>
      <c r="F32" s="1">
        <v>0.015</v>
      </c>
      <c r="G32" s="1">
        <v>651.0</v>
      </c>
      <c r="H32" s="1">
        <v>0.021</v>
      </c>
    </row>
    <row r="33" ht="12.75" customHeight="1">
      <c r="A33" s="1">
        <v>682.0</v>
      </c>
      <c r="B33" s="1">
        <v>0.0</v>
      </c>
      <c r="C33" s="1">
        <v>682.0</v>
      </c>
      <c r="D33" s="1">
        <v>0.0</v>
      </c>
      <c r="E33" s="1">
        <v>682.0</v>
      </c>
      <c r="F33" s="1">
        <v>0.015</v>
      </c>
      <c r="G33" s="1">
        <v>682.0</v>
      </c>
      <c r="H33" s="1">
        <v>0.021</v>
      </c>
    </row>
    <row r="34" ht="12.75" customHeight="1">
      <c r="A34" s="1">
        <v>713.0</v>
      </c>
      <c r="B34" s="1">
        <v>0.0</v>
      </c>
      <c r="C34" s="1">
        <v>713.0</v>
      </c>
      <c r="D34" s="1">
        <v>0.001</v>
      </c>
      <c r="E34" s="1">
        <v>713.0</v>
      </c>
      <c r="F34" s="1">
        <v>0.016</v>
      </c>
      <c r="G34" s="1">
        <v>713.0</v>
      </c>
      <c r="H34" s="1">
        <v>0.021</v>
      </c>
    </row>
    <row r="35" ht="12.75" customHeight="1">
      <c r="A35" s="1">
        <v>744.0</v>
      </c>
      <c r="B35" s="1">
        <v>0.0</v>
      </c>
      <c r="C35" s="1">
        <v>744.0</v>
      </c>
      <c r="D35" s="1">
        <v>0.001</v>
      </c>
      <c r="E35" s="1">
        <v>744.0</v>
      </c>
      <c r="F35" s="1">
        <v>0.017</v>
      </c>
      <c r="G35" s="1">
        <v>744.0</v>
      </c>
      <c r="H35" s="1">
        <v>0.021</v>
      </c>
    </row>
    <row r="36" ht="12.75" customHeight="1">
      <c r="A36" s="1">
        <v>775.0</v>
      </c>
      <c r="B36" s="1">
        <v>0.0</v>
      </c>
      <c r="C36" s="1">
        <v>775.0</v>
      </c>
      <c r="D36" s="1">
        <v>0.0</v>
      </c>
      <c r="E36" s="1">
        <v>775.0</v>
      </c>
      <c r="F36" s="1">
        <v>0.016</v>
      </c>
      <c r="G36" s="1">
        <v>775.0</v>
      </c>
      <c r="H36" s="1">
        <v>0.021</v>
      </c>
    </row>
    <row r="37" ht="12.75" customHeight="1">
      <c r="A37" s="1">
        <v>806.0</v>
      </c>
      <c r="B37" s="1">
        <v>0.0</v>
      </c>
      <c r="C37" s="1">
        <v>806.0</v>
      </c>
      <c r="D37" s="1">
        <v>0.001</v>
      </c>
      <c r="E37" s="1">
        <v>806.0</v>
      </c>
      <c r="F37" s="1">
        <v>0.017</v>
      </c>
      <c r="G37" s="1">
        <v>806.0</v>
      </c>
      <c r="H37" s="1">
        <v>0.021</v>
      </c>
    </row>
    <row r="38" ht="12.75" customHeight="1">
      <c r="A38" s="1">
        <v>837.0</v>
      </c>
      <c r="B38" s="1">
        <v>0.0</v>
      </c>
      <c r="C38" s="1">
        <v>837.0</v>
      </c>
      <c r="D38" s="1">
        <v>0.0</v>
      </c>
      <c r="E38" s="1">
        <v>837.0</v>
      </c>
      <c r="F38" s="1">
        <v>0.016</v>
      </c>
      <c r="G38" s="1">
        <v>837.0</v>
      </c>
      <c r="H38" s="1">
        <v>0.021</v>
      </c>
    </row>
    <row r="39" ht="12.75" customHeight="1">
      <c r="A39" s="1">
        <v>868.0</v>
      </c>
      <c r="B39" s="1">
        <v>0.0</v>
      </c>
      <c r="C39" s="1">
        <v>868.0</v>
      </c>
      <c r="D39" s="1">
        <v>0.001</v>
      </c>
      <c r="E39" s="1">
        <v>868.0</v>
      </c>
      <c r="F39" s="1">
        <v>0.016</v>
      </c>
      <c r="G39" s="1">
        <v>868.0</v>
      </c>
      <c r="H39" s="1">
        <v>0.021</v>
      </c>
    </row>
    <row r="40" ht="12.75" customHeight="1">
      <c r="A40" s="1">
        <v>899.0</v>
      </c>
      <c r="B40" s="1">
        <v>0.0</v>
      </c>
      <c r="C40" s="1">
        <v>899.0</v>
      </c>
      <c r="D40" s="1">
        <v>0.001</v>
      </c>
      <c r="E40" s="1">
        <v>899.0</v>
      </c>
      <c r="F40" s="1">
        <v>0.017</v>
      </c>
      <c r="G40" s="1">
        <v>899.0</v>
      </c>
      <c r="H40" s="1">
        <v>0.021</v>
      </c>
    </row>
    <row r="41" ht="12.75" customHeight="1">
      <c r="A41" s="1">
        <v>930.0</v>
      </c>
      <c r="B41" s="1">
        <v>0.0</v>
      </c>
      <c r="C41" s="1">
        <v>930.0</v>
      </c>
      <c r="D41" s="1">
        <v>0.001</v>
      </c>
      <c r="E41" s="1">
        <v>930.0</v>
      </c>
      <c r="F41" s="1">
        <v>0.017</v>
      </c>
      <c r="G41" s="1">
        <v>930.0</v>
      </c>
      <c r="H41" s="1">
        <v>0.02</v>
      </c>
    </row>
    <row r="42" ht="12.75" customHeight="1">
      <c r="A42" s="1">
        <v>961.0</v>
      </c>
      <c r="B42" s="1">
        <v>0.0</v>
      </c>
      <c r="C42" s="1">
        <v>961.0</v>
      </c>
      <c r="D42" s="1">
        <v>0.001</v>
      </c>
      <c r="E42" s="1">
        <v>961.0</v>
      </c>
      <c r="F42" s="1">
        <v>0.018</v>
      </c>
      <c r="G42" s="1">
        <v>961.0</v>
      </c>
      <c r="H42" s="1">
        <v>0.021</v>
      </c>
    </row>
    <row r="43" ht="12.75" customHeight="1">
      <c r="A43" s="1">
        <v>992.0</v>
      </c>
      <c r="B43" s="1">
        <v>0.001</v>
      </c>
      <c r="C43" s="1">
        <v>992.0</v>
      </c>
      <c r="D43" s="1">
        <v>0.001</v>
      </c>
      <c r="E43" s="1">
        <v>992.0</v>
      </c>
      <c r="F43" s="1">
        <v>0.018</v>
      </c>
      <c r="G43" s="1">
        <v>992.0</v>
      </c>
      <c r="H43" s="1">
        <v>0.021</v>
      </c>
    </row>
    <row r="44" ht="12.75" customHeight="1">
      <c r="A44" s="1">
        <v>1023.0</v>
      </c>
      <c r="B44" s="1">
        <v>0.002</v>
      </c>
      <c r="C44" s="1">
        <v>1023.0</v>
      </c>
      <c r="D44" s="1">
        <v>0.001</v>
      </c>
      <c r="E44" s="1">
        <v>1023.0</v>
      </c>
      <c r="F44" s="1">
        <v>0.02</v>
      </c>
      <c r="G44" s="1">
        <v>1023.0</v>
      </c>
      <c r="H44" s="1">
        <v>0.021</v>
      </c>
    </row>
    <row r="45" ht="12.75" customHeight="1">
      <c r="A45" s="1">
        <v>1054.0</v>
      </c>
      <c r="B45" s="1">
        <v>0.002</v>
      </c>
      <c r="C45" s="1">
        <v>1054.0</v>
      </c>
      <c r="D45" s="1">
        <v>0.001</v>
      </c>
      <c r="E45" s="1">
        <v>1054.0</v>
      </c>
      <c r="F45" s="1">
        <v>0.019</v>
      </c>
      <c r="G45" s="1">
        <v>1054.0</v>
      </c>
      <c r="H45" s="1">
        <v>0.021</v>
      </c>
    </row>
    <row r="46" ht="12.75" customHeight="1">
      <c r="A46" s="1">
        <v>1085.0</v>
      </c>
      <c r="B46" s="1">
        <v>0.002</v>
      </c>
      <c r="C46" s="1">
        <v>1085.0</v>
      </c>
      <c r="D46" s="1">
        <v>0.001</v>
      </c>
      <c r="E46" s="1">
        <v>1085.0</v>
      </c>
      <c r="F46" s="1">
        <v>0.02</v>
      </c>
      <c r="G46" s="1">
        <v>1085.0</v>
      </c>
      <c r="H46" s="1">
        <v>0.021</v>
      </c>
    </row>
    <row r="47" ht="12.75" customHeight="1">
      <c r="A47" s="1">
        <v>1116.0</v>
      </c>
      <c r="B47" s="1">
        <v>0.0</v>
      </c>
      <c r="C47" s="1">
        <v>1116.0</v>
      </c>
      <c r="D47" s="1">
        <v>0.001</v>
      </c>
      <c r="E47" s="1">
        <v>1116.0</v>
      </c>
      <c r="F47" s="1">
        <v>0.021</v>
      </c>
      <c r="G47" s="1">
        <v>1116.0</v>
      </c>
      <c r="H47" s="1">
        <v>0.021</v>
      </c>
    </row>
    <row r="48" ht="12.75" customHeight="1">
      <c r="A48" s="1">
        <v>1147.0</v>
      </c>
      <c r="B48" s="1">
        <v>0.0</v>
      </c>
      <c r="C48" s="1">
        <v>1147.0</v>
      </c>
      <c r="D48" s="1">
        <v>0.001</v>
      </c>
      <c r="E48" s="1">
        <v>1147.0</v>
      </c>
      <c r="F48" s="1">
        <v>0.021</v>
      </c>
      <c r="G48" s="1">
        <v>1147.0</v>
      </c>
      <c r="H48" s="1">
        <v>0.021</v>
      </c>
    </row>
    <row r="49" ht="12.75" customHeight="1">
      <c r="A49" s="1">
        <v>1178.0</v>
      </c>
      <c r="B49" s="1">
        <v>0.0</v>
      </c>
      <c r="C49" s="1">
        <v>1178.0</v>
      </c>
      <c r="D49" s="1">
        <v>0.001</v>
      </c>
      <c r="E49" s="1">
        <v>1178.0</v>
      </c>
      <c r="F49" s="1">
        <v>0.02</v>
      </c>
      <c r="G49" s="1">
        <v>1178.0</v>
      </c>
      <c r="H49" s="1">
        <v>0.021</v>
      </c>
    </row>
    <row r="50" ht="12.75" customHeight="1">
      <c r="A50" s="1">
        <v>1209.0</v>
      </c>
      <c r="B50" s="1">
        <v>0.0</v>
      </c>
      <c r="C50" s="1">
        <v>1209.0</v>
      </c>
      <c r="D50" s="1">
        <v>0.001</v>
      </c>
      <c r="E50" s="1">
        <v>1209.0</v>
      </c>
      <c r="F50" s="1">
        <v>0.02</v>
      </c>
      <c r="G50" s="1">
        <v>1209.0</v>
      </c>
      <c r="H50" s="1">
        <v>0.021</v>
      </c>
    </row>
    <row r="51" ht="12.75" customHeight="1">
      <c r="A51" s="1">
        <v>1240.0</v>
      </c>
      <c r="B51" s="1">
        <v>0.001</v>
      </c>
      <c r="C51" s="1">
        <v>1240.0</v>
      </c>
      <c r="D51" s="1">
        <v>0.001</v>
      </c>
      <c r="E51" s="1">
        <v>1240.0</v>
      </c>
      <c r="F51" s="1">
        <v>0.021</v>
      </c>
      <c r="G51" s="1">
        <v>1240.0</v>
      </c>
      <c r="H51" s="1">
        <v>0.021</v>
      </c>
    </row>
    <row r="52" ht="12.75" customHeight="1">
      <c r="A52" s="1">
        <v>1271.0</v>
      </c>
      <c r="B52" s="1">
        <v>0.001</v>
      </c>
      <c r="C52" s="1">
        <v>1271.0</v>
      </c>
      <c r="D52" s="1">
        <v>0.001</v>
      </c>
      <c r="E52" s="1">
        <v>1271.0</v>
      </c>
      <c r="F52" s="1">
        <v>0.016</v>
      </c>
      <c r="G52" s="1">
        <v>1271.0</v>
      </c>
      <c r="H52" s="1">
        <v>0.021</v>
      </c>
    </row>
    <row r="53" ht="12.75" customHeight="1">
      <c r="A53" s="1">
        <v>1302.0</v>
      </c>
      <c r="B53" s="1">
        <v>0.002</v>
      </c>
      <c r="C53" s="1">
        <v>1302.0</v>
      </c>
      <c r="D53" s="1">
        <v>0.001</v>
      </c>
      <c r="E53" s="1">
        <v>1302.0</v>
      </c>
      <c r="F53" s="1">
        <v>0.016</v>
      </c>
      <c r="G53" s="1">
        <v>1302.0</v>
      </c>
      <c r="H53" s="1">
        <v>0.021</v>
      </c>
    </row>
    <row r="54" ht="12.75" customHeight="1">
      <c r="A54" s="1">
        <v>1333.0</v>
      </c>
      <c r="B54" s="1">
        <v>0.002</v>
      </c>
      <c r="C54" s="1">
        <v>1333.0</v>
      </c>
      <c r="D54" s="1">
        <v>0.001</v>
      </c>
      <c r="E54" s="1">
        <v>1333.0</v>
      </c>
      <c r="F54" s="1">
        <v>0.017</v>
      </c>
      <c r="G54" s="1">
        <v>1333.0</v>
      </c>
      <c r="H54" s="1">
        <v>0.02</v>
      </c>
    </row>
    <row r="55" ht="12.75" customHeight="1">
      <c r="A55" s="1">
        <v>1364.0</v>
      </c>
      <c r="B55" s="1">
        <v>0.0</v>
      </c>
      <c r="C55" s="1">
        <v>1364.0</v>
      </c>
      <c r="D55" s="1">
        <v>0.001</v>
      </c>
      <c r="E55" s="1">
        <v>1364.0</v>
      </c>
      <c r="F55" s="1">
        <v>0.016</v>
      </c>
      <c r="G55" s="1">
        <v>1364.0</v>
      </c>
      <c r="H55" s="1">
        <v>0.021</v>
      </c>
    </row>
    <row r="56" ht="12.75" customHeight="1">
      <c r="A56" s="1">
        <v>1395.0</v>
      </c>
      <c r="B56" s="1">
        <v>0.001</v>
      </c>
      <c r="C56" s="1">
        <v>1395.0</v>
      </c>
      <c r="D56" s="1">
        <v>0.001</v>
      </c>
      <c r="E56" s="1">
        <v>1395.0</v>
      </c>
      <c r="F56" s="1">
        <v>0.017</v>
      </c>
      <c r="G56" s="1">
        <v>1395.0</v>
      </c>
      <c r="H56" s="1">
        <v>0.021</v>
      </c>
    </row>
    <row r="57" ht="12.75" customHeight="1">
      <c r="A57" s="1">
        <v>1426.0</v>
      </c>
      <c r="B57" s="1">
        <v>0.0</v>
      </c>
      <c r="C57" s="1">
        <v>1426.0</v>
      </c>
      <c r="D57" s="1">
        <v>0.001</v>
      </c>
      <c r="E57" s="1">
        <v>1426.0</v>
      </c>
      <c r="F57" s="1">
        <v>0.017</v>
      </c>
      <c r="G57" s="1">
        <v>1426.0</v>
      </c>
      <c r="H57" s="1">
        <v>0.021</v>
      </c>
    </row>
    <row r="58" ht="12.75" customHeight="1">
      <c r="A58" s="1">
        <v>1457.0</v>
      </c>
      <c r="B58" s="1">
        <v>0.001</v>
      </c>
      <c r="C58" s="1">
        <v>1457.0</v>
      </c>
      <c r="D58" s="1">
        <v>0.001</v>
      </c>
      <c r="E58" s="1">
        <v>1457.0</v>
      </c>
      <c r="F58" s="1">
        <v>0.018</v>
      </c>
      <c r="G58" s="1">
        <v>1457.0</v>
      </c>
      <c r="H58" s="1">
        <v>0.021</v>
      </c>
    </row>
    <row r="59" ht="12.75" customHeight="1">
      <c r="A59" s="1">
        <v>1488.0</v>
      </c>
      <c r="B59" s="1">
        <v>0.001</v>
      </c>
      <c r="C59" s="1">
        <v>1488.0</v>
      </c>
      <c r="D59" s="1">
        <v>0.001</v>
      </c>
      <c r="E59" s="1">
        <v>1488.0</v>
      </c>
      <c r="F59" s="1">
        <v>0.015</v>
      </c>
      <c r="G59" s="1">
        <v>1488.0</v>
      </c>
      <c r="H59" s="1">
        <v>0.021</v>
      </c>
    </row>
    <row r="60" ht="12.75" customHeight="1">
      <c r="A60" s="1">
        <v>1519.0</v>
      </c>
      <c r="B60" s="1">
        <v>0.002</v>
      </c>
      <c r="C60" s="1">
        <v>1519.0</v>
      </c>
      <c r="D60" s="1">
        <v>0.001</v>
      </c>
      <c r="E60" s="1">
        <v>1519.0</v>
      </c>
      <c r="F60" s="1">
        <v>0.016</v>
      </c>
      <c r="G60" s="1">
        <v>1519.0</v>
      </c>
      <c r="H60" s="1">
        <v>0.02</v>
      </c>
    </row>
    <row r="61" ht="12.75" customHeight="1">
      <c r="A61" s="1">
        <v>1550.0</v>
      </c>
      <c r="B61" s="1">
        <v>0.002</v>
      </c>
      <c r="C61" s="1">
        <v>1550.0</v>
      </c>
      <c r="D61" s="1">
        <v>0.001</v>
      </c>
      <c r="E61" s="1">
        <v>1550.0</v>
      </c>
      <c r="F61" s="1">
        <v>0.016</v>
      </c>
      <c r="G61" s="1">
        <v>1550.0</v>
      </c>
      <c r="H61" s="1">
        <v>0.02</v>
      </c>
    </row>
    <row r="62" ht="12.75" customHeight="1">
      <c r="A62" s="1">
        <v>1581.0</v>
      </c>
      <c r="B62" s="1">
        <v>0.003</v>
      </c>
      <c r="C62" s="1">
        <v>1581.0</v>
      </c>
      <c r="D62" s="1">
        <v>0.001</v>
      </c>
      <c r="E62" s="1">
        <v>1581.0</v>
      </c>
      <c r="F62" s="1">
        <v>0.015</v>
      </c>
      <c r="G62" s="1">
        <v>1581.0</v>
      </c>
      <c r="H62" s="1">
        <v>0.02</v>
      </c>
    </row>
    <row r="63" ht="12.75" customHeight="1">
      <c r="A63" s="1">
        <v>1612.0</v>
      </c>
      <c r="B63" s="1">
        <v>0.001</v>
      </c>
      <c r="C63" s="1">
        <v>1612.0</v>
      </c>
      <c r="D63" s="1">
        <v>0.001</v>
      </c>
      <c r="E63" s="1">
        <v>1612.0</v>
      </c>
      <c r="F63" s="1">
        <v>0.016</v>
      </c>
      <c r="G63" s="1">
        <v>1612.0</v>
      </c>
      <c r="H63" s="1">
        <v>0.02</v>
      </c>
    </row>
    <row r="64" ht="12.75" customHeight="1">
      <c r="A64" s="1">
        <v>1643.0</v>
      </c>
      <c r="B64" s="1">
        <v>0.001</v>
      </c>
      <c r="C64" s="1">
        <v>1643.0</v>
      </c>
      <c r="D64" s="1">
        <v>0.001</v>
      </c>
      <c r="E64" s="1">
        <v>1643.0</v>
      </c>
      <c r="F64" s="1">
        <v>0.017</v>
      </c>
      <c r="G64" s="1">
        <v>1643.0</v>
      </c>
      <c r="H64" s="1">
        <v>0.02</v>
      </c>
    </row>
    <row r="65" ht="12.75" customHeight="1">
      <c r="A65" s="1">
        <v>1674.0</v>
      </c>
      <c r="B65" s="1">
        <v>0.001</v>
      </c>
      <c r="C65" s="1">
        <v>1674.0</v>
      </c>
      <c r="D65" s="1">
        <v>0.001</v>
      </c>
      <c r="E65" s="1">
        <v>1674.0</v>
      </c>
      <c r="F65" s="1">
        <v>0.018</v>
      </c>
      <c r="G65" s="1">
        <v>1674.0</v>
      </c>
      <c r="H65" s="1">
        <v>0.02</v>
      </c>
    </row>
    <row r="66" ht="12.75" customHeight="1">
      <c r="A66" s="1">
        <v>1705.0</v>
      </c>
      <c r="B66" s="1">
        <v>0.001</v>
      </c>
      <c r="C66" s="1">
        <v>1705.0</v>
      </c>
      <c r="D66" s="1">
        <v>0.001</v>
      </c>
      <c r="E66" s="1">
        <v>1705.0</v>
      </c>
      <c r="F66" s="1">
        <v>0.018</v>
      </c>
      <c r="G66" s="1">
        <v>1705.0</v>
      </c>
      <c r="H66" s="1">
        <v>0.02</v>
      </c>
    </row>
    <row r="67" ht="12.75" customHeight="1">
      <c r="A67" s="1">
        <v>1736.0</v>
      </c>
      <c r="B67" s="1">
        <v>0.002</v>
      </c>
      <c r="C67" s="1">
        <v>1736.0</v>
      </c>
      <c r="D67" s="1">
        <v>0.001</v>
      </c>
      <c r="E67" s="1">
        <v>1736.0</v>
      </c>
      <c r="F67" s="1">
        <v>0.019</v>
      </c>
      <c r="G67" s="1">
        <v>1736.0</v>
      </c>
      <c r="H67" s="1">
        <v>0.02</v>
      </c>
    </row>
    <row r="68" ht="12.75" customHeight="1">
      <c r="A68" s="1">
        <v>1767.0</v>
      </c>
      <c r="B68" s="1">
        <v>0.002</v>
      </c>
      <c r="C68" s="1">
        <v>1767.0</v>
      </c>
      <c r="D68" s="1">
        <v>0.001</v>
      </c>
      <c r="E68" s="1">
        <v>1767.0</v>
      </c>
      <c r="F68" s="1">
        <v>0.015</v>
      </c>
      <c r="G68" s="1">
        <v>1767.0</v>
      </c>
      <c r="H68" s="1">
        <v>0.02</v>
      </c>
    </row>
    <row r="69" ht="12.75" customHeight="1">
      <c r="A69" s="1">
        <v>1798.0</v>
      </c>
      <c r="B69" s="1">
        <v>0.002</v>
      </c>
      <c r="C69" s="1">
        <v>1798.0</v>
      </c>
      <c r="D69" s="1">
        <v>0.001</v>
      </c>
      <c r="E69" s="1">
        <v>1798.0</v>
      </c>
      <c r="F69" s="1">
        <v>0.014</v>
      </c>
      <c r="G69" s="1">
        <v>1798.0</v>
      </c>
      <c r="H69" s="1">
        <v>0.02</v>
      </c>
    </row>
    <row r="70" ht="12.75" customHeight="1">
      <c r="A70" s="1">
        <v>1829.0</v>
      </c>
      <c r="B70" s="1">
        <v>0.001</v>
      </c>
      <c r="C70" s="1">
        <v>1829.0</v>
      </c>
      <c r="D70" s="1">
        <v>0.001</v>
      </c>
      <c r="E70" s="1">
        <v>1829.0</v>
      </c>
      <c r="F70" s="1">
        <v>0.015</v>
      </c>
      <c r="G70" s="1">
        <v>1829.0</v>
      </c>
      <c r="H70" s="1">
        <v>0.02</v>
      </c>
    </row>
    <row r="71" ht="12.75" customHeight="1">
      <c r="A71" s="1">
        <v>1860.0</v>
      </c>
      <c r="B71" s="1">
        <v>0.001</v>
      </c>
      <c r="C71" s="1">
        <v>1860.0</v>
      </c>
      <c r="D71" s="1">
        <v>0.001</v>
      </c>
      <c r="E71" s="1">
        <v>1860.0</v>
      </c>
      <c r="F71" s="1">
        <v>0.02</v>
      </c>
      <c r="G71" s="1">
        <v>1860.0</v>
      </c>
      <c r="H71" s="1">
        <v>0.02</v>
      </c>
    </row>
    <row r="72" ht="12.75" customHeight="1">
      <c r="A72" s="1">
        <v>1891.0</v>
      </c>
      <c r="B72" s="1">
        <v>0.001</v>
      </c>
      <c r="C72" s="1">
        <v>1891.0</v>
      </c>
      <c r="D72" s="1">
        <v>0.001</v>
      </c>
      <c r="E72" s="1">
        <v>1891.0</v>
      </c>
      <c r="F72" s="1">
        <v>0.021</v>
      </c>
      <c r="G72" s="1">
        <v>1891.0</v>
      </c>
      <c r="H72" s="1">
        <v>0.02</v>
      </c>
    </row>
    <row r="73" ht="12.75" customHeight="1">
      <c r="A73" s="1">
        <v>1922.0</v>
      </c>
      <c r="B73" s="1">
        <v>0.001</v>
      </c>
      <c r="C73" s="1">
        <v>1922.0</v>
      </c>
      <c r="D73" s="1">
        <v>0.002</v>
      </c>
      <c r="E73" s="1">
        <v>1922.0</v>
      </c>
      <c r="F73" s="1">
        <v>0.021</v>
      </c>
      <c r="G73" s="1">
        <v>1922.0</v>
      </c>
      <c r="H73" s="1">
        <v>0.02</v>
      </c>
    </row>
    <row r="74" ht="12.75" customHeight="1">
      <c r="A74" s="1">
        <v>1953.0</v>
      </c>
      <c r="B74" s="1">
        <v>0.001</v>
      </c>
      <c r="C74" s="1">
        <v>1953.0</v>
      </c>
      <c r="D74" s="1">
        <v>0.001</v>
      </c>
      <c r="E74" s="1">
        <v>1953.0</v>
      </c>
      <c r="F74" s="1">
        <v>0.022</v>
      </c>
      <c r="G74" s="1">
        <v>1953.0</v>
      </c>
      <c r="H74" s="1">
        <v>0.02</v>
      </c>
    </row>
    <row r="75" ht="12.75" customHeight="1">
      <c r="A75" s="1">
        <v>1984.0</v>
      </c>
      <c r="B75" s="1">
        <v>0.002</v>
      </c>
      <c r="C75" s="1">
        <v>1984.0</v>
      </c>
      <c r="D75" s="1">
        <v>0.001</v>
      </c>
      <c r="E75" s="1">
        <v>1984.0</v>
      </c>
      <c r="F75" s="1">
        <v>0.023</v>
      </c>
      <c r="G75" s="1">
        <v>1984.0</v>
      </c>
      <c r="H75" s="1">
        <v>0.02</v>
      </c>
    </row>
    <row r="76" ht="12.75" customHeight="1">
      <c r="A76" s="1">
        <v>2015.0</v>
      </c>
      <c r="B76" s="1">
        <v>0.002</v>
      </c>
      <c r="C76" s="1">
        <v>2015.0</v>
      </c>
      <c r="D76" s="1">
        <v>0.001</v>
      </c>
      <c r="E76" s="1">
        <v>2015.0</v>
      </c>
      <c r="F76" s="1">
        <v>0.025</v>
      </c>
      <c r="G76" s="1">
        <v>2015.0</v>
      </c>
      <c r="H76" s="1">
        <v>0.02</v>
      </c>
    </row>
    <row r="77" ht="12.75" customHeight="1">
      <c r="A77" s="1">
        <v>2046.0</v>
      </c>
      <c r="B77" s="1">
        <v>0.003</v>
      </c>
      <c r="C77" s="1">
        <v>2046.0</v>
      </c>
      <c r="D77" s="1">
        <v>0.001</v>
      </c>
      <c r="E77" s="1">
        <v>2046.0</v>
      </c>
      <c r="F77" s="1">
        <v>0.019</v>
      </c>
      <c r="G77" s="1">
        <v>2046.0</v>
      </c>
      <c r="H77" s="1">
        <v>0.02</v>
      </c>
    </row>
    <row r="78" ht="12.75" customHeight="1">
      <c r="A78" s="1">
        <v>2077.0</v>
      </c>
      <c r="B78" s="1">
        <v>0.001</v>
      </c>
      <c r="C78" s="1">
        <v>2077.0</v>
      </c>
      <c r="D78" s="1">
        <v>0.002</v>
      </c>
      <c r="E78" s="1">
        <v>2077.0</v>
      </c>
      <c r="F78" s="1">
        <v>0.016</v>
      </c>
      <c r="G78" s="1">
        <v>2077.0</v>
      </c>
      <c r="H78" s="1">
        <v>0.02</v>
      </c>
    </row>
    <row r="79" ht="12.75" customHeight="1">
      <c r="A79" s="1">
        <v>2108.0</v>
      </c>
      <c r="B79" s="1">
        <v>0.001</v>
      </c>
      <c r="C79" s="1">
        <v>2108.0</v>
      </c>
      <c r="D79" s="1">
        <v>0.002</v>
      </c>
      <c r="E79" s="1">
        <v>2108.0</v>
      </c>
      <c r="F79" s="1">
        <v>0.017</v>
      </c>
      <c r="G79" s="1">
        <v>2108.0</v>
      </c>
      <c r="H79" s="1">
        <v>0.02</v>
      </c>
    </row>
    <row r="80" ht="12.75" customHeight="1">
      <c r="A80" s="1">
        <v>2139.0</v>
      </c>
      <c r="B80" s="1">
        <v>0.001</v>
      </c>
      <c r="C80" s="1">
        <v>2139.0</v>
      </c>
      <c r="D80" s="1">
        <v>0.001</v>
      </c>
      <c r="E80" s="1">
        <v>2139.0</v>
      </c>
      <c r="F80" s="1">
        <v>0.017</v>
      </c>
      <c r="G80" s="1">
        <v>2139.0</v>
      </c>
      <c r="H80" s="1">
        <v>0.02</v>
      </c>
    </row>
    <row r="81" ht="12.75" customHeight="1">
      <c r="A81" s="1">
        <v>2170.0</v>
      </c>
      <c r="B81" s="1">
        <v>0.001</v>
      </c>
      <c r="C81" s="1">
        <v>2170.0</v>
      </c>
      <c r="D81" s="1">
        <v>0.002</v>
      </c>
      <c r="E81" s="1">
        <v>2170.0</v>
      </c>
      <c r="F81" s="1">
        <v>0.016</v>
      </c>
      <c r="G81" s="1">
        <v>2170.0</v>
      </c>
      <c r="H81" s="1">
        <v>0.02</v>
      </c>
    </row>
    <row r="82" ht="12.75" customHeight="1">
      <c r="A82" s="1">
        <v>2201.0</v>
      </c>
      <c r="B82" s="1">
        <v>0.002</v>
      </c>
      <c r="C82" s="1">
        <v>2201.0</v>
      </c>
      <c r="D82" s="1">
        <v>0.002</v>
      </c>
      <c r="E82" s="1">
        <v>2201.0</v>
      </c>
      <c r="F82" s="1">
        <v>0.017</v>
      </c>
      <c r="G82" s="1">
        <v>2201.0</v>
      </c>
      <c r="H82" s="1">
        <v>0.02</v>
      </c>
    </row>
    <row r="83" ht="12.75" customHeight="1">
      <c r="A83" s="1">
        <v>2232.0</v>
      </c>
      <c r="B83" s="1">
        <v>0.002</v>
      </c>
      <c r="C83" s="1">
        <v>2232.0</v>
      </c>
      <c r="D83" s="1">
        <v>0.002</v>
      </c>
      <c r="E83" s="1">
        <v>2232.0</v>
      </c>
      <c r="F83" s="1">
        <v>0.018</v>
      </c>
      <c r="G83" s="1">
        <v>2232.0</v>
      </c>
      <c r="H83" s="1">
        <v>0.02</v>
      </c>
    </row>
    <row r="84" ht="12.75" customHeight="1">
      <c r="A84" s="1">
        <v>2263.0</v>
      </c>
      <c r="B84" s="1">
        <v>0.003</v>
      </c>
      <c r="C84" s="1">
        <v>2263.0</v>
      </c>
      <c r="D84" s="1">
        <v>0.001</v>
      </c>
      <c r="E84" s="1">
        <v>2263.0</v>
      </c>
      <c r="F84" s="1">
        <v>0.019</v>
      </c>
      <c r="G84" s="1">
        <v>2263.0</v>
      </c>
      <c r="H84" s="1">
        <v>0.02</v>
      </c>
    </row>
    <row r="85" ht="12.75" customHeight="1">
      <c r="A85" s="1">
        <v>2294.0</v>
      </c>
      <c r="B85" s="1">
        <v>0.001</v>
      </c>
      <c r="C85" s="1">
        <v>2294.0</v>
      </c>
      <c r="D85" s="1">
        <v>0.002</v>
      </c>
      <c r="E85" s="1">
        <v>2294.0</v>
      </c>
      <c r="F85" s="1">
        <v>0.02</v>
      </c>
      <c r="G85" s="1">
        <v>2294.0</v>
      </c>
      <c r="H85" s="1">
        <v>0.02</v>
      </c>
    </row>
    <row r="86" ht="12.75" customHeight="1">
      <c r="A86" s="1">
        <v>2325.0</v>
      </c>
      <c r="B86" s="1">
        <v>0.001</v>
      </c>
      <c r="C86" s="1">
        <v>2325.0</v>
      </c>
      <c r="D86" s="1">
        <v>0.001</v>
      </c>
      <c r="E86" s="1">
        <v>2325.0</v>
      </c>
      <c r="F86" s="1">
        <v>0.02</v>
      </c>
      <c r="G86" s="1">
        <v>2325.0</v>
      </c>
      <c r="H86" s="1">
        <v>0.019</v>
      </c>
    </row>
    <row r="87" ht="12.75" customHeight="1">
      <c r="A87" s="1">
        <v>2356.0</v>
      </c>
      <c r="B87" s="1">
        <v>0.001</v>
      </c>
      <c r="C87" s="1">
        <v>2356.0</v>
      </c>
      <c r="D87" s="1">
        <v>0.002</v>
      </c>
      <c r="E87" s="1">
        <v>2356.0</v>
      </c>
      <c r="F87" s="1">
        <v>0.017</v>
      </c>
      <c r="G87" s="1">
        <v>2356.0</v>
      </c>
      <c r="H87" s="1">
        <v>0.02</v>
      </c>
    </row>
    <row r="88" ht="12.75" customHeight="1">
      <c r="A88" s="1">
        <v>2387.0</v>
      </c>
      <c r="B88" s="1">
        <v>0.001</v>
      </c>
      <c r="C88" s="1">
        <v>2387.0</v>
      </c>
      <c r="D88" s="1">
        <v>0.002</v>
      </c>
      <c r="E88" s="1">
        <v>2387.0</v>
      </c>
      <c r="F88" s="1">
        <v>0.017</v>
      </c>
      <c r="G88" s="1">
        <v>2387.0</v>
      </c>
      <c r="H88" s="1">
        <v>0.02</v>
      </c>
    </row>
    <row r="89" ht="12.75" customHeight="1">
      <c r="A89" s="1">
        <v>2418.0</v>
      </c>
      <c r="B89" s="1">
        <v>0.002</v>
      </c>
      <c r="C89" s="1">
        <v>2418.0</v>
      </c>
      <c r="D89" s="1">
        <v>0.002</v>
      </c>
      <c r="E89" s="1">
        <v>2418.0</v>
      </c>
      <c r="F89" s="1">
        <v>0.018</v>
      </c>
      <c r="G89" s="1">
        <v>2418.0</v>
      </c>
      <c r="H89" s="1">
        <v>0.02</v>
      </c>
    </row>
    <row r="90" ht="12.75" customHeight="1">
      <c r="A90" s="1">
        <v>2449.0</v>
      </c>
      <c r="B90" s="1">
        <v>0.002</v>
      </c>
      <c r="C90" s="1">
        <v>2449.0</v>
      </c>
      <c r="D90" s="1">
        <v>0.002</v>
      </c>
      <c r="E90" s="1">
        <v>2449.0</v>
      </c>
      <c r="F90" s="1">
        <v>0.015</v>
      </c>
      <c r="G90" s="1">
        <v>2449.0</v>
      </c>
      <c r="H90" s="1">
        <v>0.02</v>
      </c>
    </row>
    <row r="91" ht="12.75" customHeight="1">
      <c r="A91" s="1">
        <v>2480.0</v>
      </c>
      <c r="B91" s="1">
        <v>0.003</v>
      </c>
      <c r="C91" s="1">
        <v>2480.0</v>
      </c>
      <c r="D91" s="1">
        <v>0.002</v>
      </c>
      <c r="E91" s="1">
        <v>2480.0</v>
      </c>
      <c r="F91" s="1">
        <v>0.015</v>
      </c>
      <c r="G91" s="1">
        <v>2480.0</v>
      </c>
      <c r="H91" s="1">
        <v>0.02</v>
      </c>
    </row>
    <row r="92" ht="12.75" customHeight="1">
      <c r="A92" s="1">
        <v>2511.0</v>
      </c>
      <c r="B92" s="1">
        <v>0.003</v>
      </c>
      <c r="C92" s="1">
        <v>2511.0</v>
      </c>
      <c r="D92" s="1">
        <v>0.002</v>
      </c>
      <c r="E92" s="1">
        <v>2511.0</v>
      </c>
      <c r="F92" s="1">
        <v>0.016</v>
      </c>
      <c r="G92" s="1">
        <v>2511.0</v>
      </c>
      <c r="H92" s="1">
        <v>0.02</v>
      </c>
    </row>
    <row r="93" ht="12.75" customHeight="1">
      <c r="A93" s="1">
        <v>2542.0</v>
      </c>
      <c r="B93" s="1">
        <v>0.001</v>
      </c>
      <c r="C93" s="1">
        <v>2542.0</v>
      </c>
      <c r="D93" s="1">
        <v>0.002</v>
      </c>
      <c r="E93" s="1">
        <v>2542.0</v>
      </c>
      <c r="F93" s="1">
        <v>0.016</v>
      </c>
      <c r="G93" s="1">
        <v>2542.0</v>
      </c>
      <c r="H93" s="1">
        <v>0.02</v>
      </c>
    </row>
    <row r="94" ht="12.75" customHeight="1">
      <c r="A94" s="1">
        <v>2573.0</v>
      </c>
      <c r="B94" s="1">
        <v>0.001</v>
      </c>
      <c r="C94" s="1">
        <v>2573.0</v>
      </c>
      <c r="D94" s="1">
        <v>0.002</v>
      </c>
      <c r="E94" s="1">
        <v>2573.0</v>
      </c>
      <c r="F94" s="1">
        <v>0.017</v>
      </c>
      <c r="G94" s="1">
        <v>2573.0</v>
      </c>
      <c r="H94" s="1">
        <v>0.019</v>
      </c>
    </row>
    <row r="95" ht="12.75" customHeight="1">
      <c r="A95" s="1">
        <v>2604.0</v>
      </c>
      <c r="B95" s="1">
        <v>0.001</v>
      </c>
      <c r="C95" s="1">
        <v>2604.0</v>
      </c>
      <c r="D95" s="1">
        <v>0.002</v>
      </c>
      <c r="E95" s="1">
        <v>2604.0</v>
      </c>
      <c r="F95" s="1">
        <v>0.016</v>
      </c>
      <c r="G95" s="1">
        <v>2604.0</v>
      </c>
      <c r="H95" s="1">
        <v>0.02</v>
      </c>
    </row>
    <row r="96" ht="12.75" customHeight="1">
      <c r="A96" s="1">
        <v>2635.0</v>
      </c>
      <c r="B96" s="1">
        <v>0.002</v>
      </c>
      <c r="C96" s="1">
        <v>2635.0</v>
      </c>
      <c r="D96" s="1">
        <v>0.001</v>
      </c>
      <c r="E96" s="1">
        <v>2635.0</v>
      </c>
      <c r="F96" s="1">
        <v>0.017</v>
      </c>
      <c r="G96" s="1">
        <v>2635.0</v>
      </c>
      <c r="H96" s="1">
        <v>0.02</v>
      </c>
    </row>
    <row r="97" ht="12.75" customHeight="1">
      <c r="A97" s="1">
        <v>2666.0</v>
      </c>
      <c r="B97" s="1">
        <v>0.002</v>
      </c>
      <c r="C97" s="1">
        <v>2666.0</v>
      </c>
      <c r="D97" s="1">
        <v>0.002</v>
      </c>
      <c r="E97" s="1">
        <v>2666.0</v>
      </c>
      <c r="F97" s="1">
        <v>0.017</v>
      </c>
      <c r="G97" s="1">
        <v>2666.0</v>
      </c>
      <c r="H97" s="1">
        <v>0.019</v>
      </c>
    </row>
    <row r="98" ht="12.75" customHeight="1">
      <c r="A98" s="1">
        <v>2697.0</v>
      </c>
      <c r="B98" s="1">
        <v>0.002</v>
      </c>
      <c r="C98" s="1">
        <v>2697.0</v>
      </c>
      <c r="D98" s="1">
        <v>0.002</v>
      </c>
      <c r="E98" s="1">
        <v>2697.0</v>
      </c>
      <c r="F98" s="1">
        <v>0.018</v>
      </c>
      <c r="G98" s="1">
        <v>2697.0</v>
      </c>
      <c r="H98" s="1">
        <v>0.019</v>
      </c>
    </row>
    <row r="99" ht="12.75" customHeight="1">
      <c r="A99" s="1">
        <v>2728.0</v>
      </c>
      <c r="B99" s="1">
        <v>0.002</v>
      </c>
      <c r="C99" s="1">
        <v>2728.0</v>
      </c>
      <c r="D99" s="1">
        <v>0.002</v>
      </c>
      <c r="E99" s="1">
        <v>2728.0</v>
      </c>
      <c r="F99" s="1">
        <v>0.019</v>
      </c>
      <c r="G99" s="1">
        <v>2728.0</v>
      </c>
      <c r="H99" s="1">
        <v>0.02</v>
      </c>
    </row>
    <row r="100" ht="12.75" customHeight="1">
      <c r="A100" s="1">
        <v>2759.0</v>
      </c>
      <c r="B100" s="1">
        <v>0.003</v>
      </c>
      <c r="C100" s="1">
        <v>2759.0</v>
      </c>
      <c r="D100" s="1">
        <v>0.002</v>
      </c>
      <c r="E100" s="1">
        <v>2759.0</v>
      </c>
      <c r="F100" s="1">
        <v>0.018</v>
      </c>
      <c r="G100" s="1">
        <v>2759.0</v>
      </c>
      <c r="H100" s="1">
        <v>0.02</v>
      </c>
    </row>
    <row r="101" ht="12.75" customHeight="1">
      <c r="A101" s="1">
        <v>2790.0</v>
      </c>
      <c r="B101" s="1">
        <v>0.003</v>
      </c>
      <c r="C101" s="1">
        <v>2790.0</v>
      </c>
      <c r="D101" s="1">
        <v>0.002</v>
      </c>
      <c r="E101" s="1">
        <v>2790.0</v>
      </c>
      <c r="F101" s="1">
        <v>0.015</v>
      </c>
      <c r="G101" s="1">
        <v>2790.0</v>
      </c>
      <c r="H101" s="1">
        <v>0.02</v>
      </c>
    </row>
    <row r="102" ht="12.75" customHeight="1">
      <c r="A102" s="1">
        <v>2821.0</v>
      </c>
      <c r="B102" s="1">
        <v>0.002</v>
      </c>
      <c r="C102" s="1">
        <v>2821.0</v>
      </c>
      <c r="D102" s="1">
        <v>0.002</v>
      </c>
      <c r="E102" s="1">
        <v>2821.0</v>
      </c>
      <c r="F102" s="1">
        <v>0.016</v>
      </c>
      <c r="G102" s="1">
        <v>2821.0</v>
      </c>
      <c r="H102" s="1">
        <v>0.019</v>
      </c>
    </row>
    <row r="103" ht="12.75" customHeight="1">
      <c r="A103" s="1">
        <v>2852.0</v>
      </c>
      <c r="B103" s="1">
        <v>0.002</v>
      </c>
      <c r="C103" s="1">
        <v>2852.0</v>
      </c>
      <c r="D103" s="1">
        <v>0.002</v>
      </c>
      <c r="E103" s="1">
        <v>2852.0</v>
      </c>
      <c r="F103" s="1">
        <v>0.015</v>
      </c>
      <c r="G103" s="1">
        <v>2852.0</v>
      </c>
      <c r="H103" s="1">
        <v>0.019</v>
      </c>
    </row>
    <row r="104" ht="12.75" customHeight="1">
      <c r="A104" s="1">
        <v>2883.0</v>
      </c>
      <c r="B104" s="1">
        <v>0.002</v>
      </c>
      <c r="C104" s="1">
        <v>2883.0</v>
      </c>
      <c r="D104" s="1">
        <v>0.002</v>
      </c>
      <c r="E104" s="1">
        <v>2883.0</v>
      </c>
      <c r="F104" s="1">
        <v>0.015</v>
      </c>
      <c r="G104" s="1">
        <v>2883.0</v>
      </c>
      <c r="H104" s="1">
        <v>0.02</v>
      </c>
    </row>
    <row r="105" ht="12.75" customHeight="1">
      <c r="A105" s="1">
        <v>2914.0</v>
      </c>
      <c r="B105" s="1">
        <v>0.001</v>
      </c>
      <c r="C105" s="1">
        <v>2914.0</v>
      </c>
      <c r="D105" s="1">
        <v>0.002</v>
      </c>
      <c r="E105" s="1">
        <v>2914.0</v>
      </c>
      <c r="F105" s="1">
        <v>0.015</v>
      </c>
      <c r="G105" s="1">
        <v>2914.0</v>
      </c>
      <c r="H105" s="1">
        <v>0.019</v>
      </c>
    </row>
    <row r="106" ht="12.75" customHeight="1">
      <c r="A106" s="1">
        <v>2945.0</v>
      </c>
      <c r="B106" s="1">
        <v>0.001</v>
      </c>
      <c r="C106" s="1">
        <v>2945.0</v>
      </c>
      <c r="D106" s="1">
        <v>0.002</v>
      </c>
      <c r="E106" s="1">
        <v>2945.0</v>
      </c>
      <c r="F106" s="1">
        <v>0.015</v>
      </c>
      <c r="G106" s="1">
        <v>2945.0</v>
      </c>
      <c r="H106" s="1">
        <v>0.019</v>
      </c>
    </row>
    <row r="107" ht="12.75" customHeight="1">
      <c r="A107" s="1">
        <v>2976.0</v>
      </c>
      <c r="B107" s="1">
        <v>0.002</v>
      </c>
      <c r="C107" s="1">
        <v>2976.0</v>
      </c>
      <c r="D107" s="1">
        <v>0.002</v>
      </c>
      <c r="E107" s="1">
        <v>2976.0</v>
      </c>
      <c r="F107" s="1">
        <v>0.015</v>
      </c>
      <c r="G107" s="1">
        <v>2976.0</v>
      </c>
      <c r="H107" s="1">
        <v>0.019</v>
      </c>
    </row>
    <row r="108" ht="12.75" customHeight="1">
      <c r="A108" s="1">
        <v>3007.0</v>
      </c>
      <c r="B108" s="1">
        <v>0.002</v>
      </c>
      <c r="C108" s="1">
        <v>3007.0</v>
      </c>
      <c r="D108" s="1">
        <v>0.002</v>
      </c>
      <c r="E108" s="1">
        <v>3007.0</v>
      </c>
      <c r="F108" s="1">
        <v>0.015</v>
      </c>
      <c r="G108" s="1">
        <v>3007.0</v>
      </c>
      <c r="H108" s="1">
        <v>0.02</v>
      </c>
    </row>
    <row r="109" ht="12.75" customHeight="1">
      <c r="A109" s="1">
        <v>3038.0</v>
      </c>
      <c r="B109" s="1">
        <v>0.002</v>
      </c>
      <c r="C109" s="1">
        <v>3038.0</v>
      </c>
      <c r="D109" s="1">
        <v>0.002</v>
      </c>
      <c r="E109" s="1">
        <v>3038.0</v>
      </c>
      <c r="F109" s="1">
        <v>0.014</v>
      </c>
      <c r="G109" s="1">
        <v>3038.0</v>
      </c>
      <c r="H109" s="1">
        <v>0.019</v>
      </c>
    </row>
    <row r="110" ht="12.75" customHeight="1">
      <c r="A110" s="1">
        <v>3069.0</v>
      </c>
      <c r="B110" s="1">
        <v>0.003</v>
      </c>
      <c r="C110" s="1">
        <v>3069.0</v>
      </c>
      <c r="D110" s="1">
        <v>0.002</v>
      </c>
      <c r="E110" s="1">
        <v>3069.0</v>
      </c>
      <c r="F110" s="1">
        <v>0.014</v>
      </c>
      <c r="G110" s="1">
        <v>3069.0</v>
      </c>
      <c r="H110" s="1">
        <v>0.019</v>
      </c>
    </row>
    <row r="111" ht="12.75" customHeight="1">
      <c r="A111" s="1">
        <v>3100.0</v>
      </c>
      <c r="B111" s="1">
        <v>0.003</v>
      </c>
      <c r="C111" s="1">
        <v>3100.0</v>
      </c>
      <c r="D111" s="1">
        <v>0.002</v>
      </c>
      <c r="E111" s="1">
        <v>3100.0</v>
      </c>
      <c r="F111" s="1">
        <v>0.014</v>
      </c>
      <c r="G111" s="1">
        <v>3100.0</v>
      </c>
      <c r="H111" s="1">
        <v>0.019</v>
      </c>
    </row>
    <row r="112" ht="12.75" customHeight="1">
      <c r="A112" s="1">
        <v>3131.0</v>
      </c>
      <c r="B112" s="1">
        <v>0.003</v>
      </c>
      <c r="C112" s="1">
        <v>3131.0</v>
      </c>
      <c r="D112" s="1">
        <v>0.002</v>
      </c>
      <c r="E112" s="1">
        <v>3131.0</v>
      </c>
      <c r="F112" s="1">
        <v>0.014</v>
      </c>
      <c r="G112" s="1">
        <v>3131.0</v>
      </c>
      <c r="H112" s="1">
        <v>0.019</v>
      </c>
    </row>
    <row r="113" ht="12.75" customHeight="1">
      <c r="A113" s="1">
        <v>3162.0</v>
      </c>
      <c r="B113" s="1">
        <v>0.002</v>
      </c>
      <c r="C113" s="1">
        <v>3162.0</v>
      </c>
      <c r="D113" s="1">
        <v>0.002</v>
      </c>
      <c r="E113" s="1">
        <v>3162.0</v>
      </c>
      <c r="F113" s="1">
        <v>0.015</v>
      </c>
      <c r="G113" s="1">
        <v>3162.0</v>
      </c>
      <c r="H113" s="1">
        <v>0.019</v>
      </c>
    </row>
    <row r="114" ht="12.75" customHeight="1">
      <c r="A114" s="1">
        <v>3193.0</v>
      </c>
      <c r="B114" s="1">
        <v>0.002</v>
      </c>
      <c r="C114" s="1">
        <v>3193.0</v>
      </c>
      <c r="D114" s="1">
        <v>0.002</v>
      </c>
      <c r="E114" s="1">
        <v>3193.0</v>
      </c>
      <c r="F114" s="1">
        <v>0.016</v>
      </c>
      <c r="G114" s="1">
        <v>3193.0</v>
      </c>
      <c r="H114" s="1">
        <v>0.019</v>
      </c>
    </row>
    <row r="115" ht="12.75" customHeight="1">
      <c r="A115" s="1">
        <v>3224.0</v>
      </c>
      <c r="B115" s="1">
        <v>0.002</v>
      </c>
      <c r="C115" s="1">
        <v>3224.0</v>
      </c>
      <c r="D115" s="1">
        <v>0.002</v>
      </c>
      <c r="E115" s="1">
        <v>3224.0</v>
      </c>
      <c r="F115" s="1">
        <v>0.015</v>
      </c>
      <c r="G115" s="1">
        <v>3224.0</v>
      </c>
      <c r="H115" s="1">
        <v>0.019</v>
      </c>
    </row>
    <row r="116" ht="12.75" customHeight="1">
      <c r="A116" s="1">
        <v>3255.0</v>
      </c>
      <c r="B116" s="1">
        <v>0.002</v>
      </c>
      <c r="C116" s="1">
        <v>3255.0</v>
      </c>
      <c r="D116" s="1">
        <v>0.002</v>
      </c>
      <c r="E116" s="1">
        <v>3255.0</v>
      </c>
      <c r="F116" s="1">
        <v>0.016</v>
      </c>
      <c r="G116" s="1">
        <v>3255.0</v>
      </c>
      <c r="H116" s="1">
        <v>0.019</v>
      </c>
    </row>
    <row r="117" ht="12.75" customHeight="1">
      <c r="A117" s="1">
        <v>3286.0</v>
      </c>
      <c r="B117" s="1">
        <v>0.002</v>
      </c>
      <c r="C117" s="1">
        <v>3286.0</v>
      </c>
      <c r="D117" s="1">
        <v>0.002</v>
      </c>
      <c r="E117" s="1">
        <v>3286.0</v>
      </c>
      <c r="F117" s="1">
        <v>0.017</v>
      </c>
      <c r="G117" s="1">
        <v>3286.0</v>
      </c>
      <c r="H117" s="1">
        <v>0.019</v>
      </c>
    </row>
    <row r="118" ht="12.75" customHeight="1">
      <c r="A118" s="1">
        <v>3317.0</v>
      </c>
      <c r="B118" s="1">
        <v>0.002</v>
      </c>
      <c r="C118" s="1">
        <v>3317.0</v>
      </c>
      <c r="D118" s="1">
        <v>0.002</v>
      </c>
      <c r="E118" s="1">
        <v>3317.0</v>
      </c>
      <c r="F118" s="1">
        <v>0.017</v>
      </c>
      <c r="G118" s="1">
        <v>3317.0</v>
      </c>
      <c r="H118" s="1">
        <v>0.019</v>
      </c>
    </row>
    <row r="119" ht="12.75" customHeight="1">
      <c r="A119" s="1">
        <v>3348.0</v>
      </c>
      <c r="B119" s="1">
        <v>0.002</v>
      </c>
      <c r="C119" s="1">
        <v>3348.0</v>
      </c>
      <c r="D119" s="1">
        <v>0.002</v>
      </c>
      <c r="E119" s="1">
        <v>3348.0</v>
      </c>
      <c r="F119" s="1">
        <v>0.017</v>
      </c>
      <c r="G119" s="1">
        <v>3348.0</v>
      </c>
      <c r="H119" s="1">
        <v>0.019</v>
      </c>
    </row>
    <row r="120" ht="12.75" customHeight="1">
      <c r="A120" s="1">
        <v>3379.0</v>
      </c>
      <c r="B120" s="1">
        <v>0.003</v>
      </c>
      <c r="C120" s="1">
        <v>3379.0</v>
      </c>
      <c r="D120" s="1">
        <v>0.002</v>
      </c>
      <c r="E120" s="1">
        <v>3379.0</v>
      </c>
      <c r="F120" s="1">
        <v>0.017</v>
      </c>
      <c r="G120" s="1">
        <v>3379.0</v>
      </c>
      <c r="H120" s="1">
        <v>0.019</v>
      </c>
    </row>
    <row r="121" ht="12.75" customHeight="1">
      <c r="A121" s="1">
        <v>3410.0</v>
      </c>
      <c r="B121" s="1">
        <v>0.004</v>
      </c>
      <c r="C121" s="1">
        <v>3410.0</v>
      </c>
      <c r="D121" s="1">
        <v>0.002</v>
      </c>
      <c r="E121" s="1">
        <v>3410.0</v>
      </c>
      <c r="F121" s="1">
        <v>0.018</v>
      </c>
      <c r="G121" s="1">
        <v>3410.0</v>
      </c>
      <c r="H121" s="1">
        <v>0.019</v>
      </c>
    </row>
    <row r="122" ht="12.75" customHeight="1">
      <c r="A122" s="1">
        <v>3441.0</v>
      </c>
      <c r="B122" s="1">
        <v>0.002</v>
      </c>
      <c r="C122" s="1">
        <v>3441.0</v>
      </c>
      <c r="D122" s="1">
        <v>0.002</v>
      </c>
      <c r="E122" s="1">
        <v>3441.0</v>
      </c>
      <c r="F122" s="1">
        <v>0.017</v>
      </c>
      <c r="G122" s="1">
        <v>3441.0</v>
      </c>
      <c r="H122" s="1">
        <v>0.019</v>
      </c>
    </row>
    <row r="123" ht="12.75" customHeight="1">
      <c r="A123" s="1">
        <v>3472.0</v>
      </c>
      <c r="B123" s="1">
        <v>0.002</v>
      </c>
      <c r="C123" s="1">
        <v>3472.0</v>
      </c>
      <c r="D123" s="1">
        <v>0.002</v>
      </c>
      <c r="E123" s="1">
        <v>3472.0</v>
      </c>
      <c r="F123" s="1">
        <v>0.018</v>
      </c>
      <c r="G123" s="1">
        <v>3472.0</v>
      </c>
      <c r="H123" s="1">
        <v>0.019</v>
      </c>
    </row>
    <row r="124" ht="12.75" customHeight="1">
      <c r="A124" s="1">
        <v>3503.0</v>
      </c>
      <c r="B124" s="1">
        <v>0.002</v>
      </c>
      <c r="C124" s="1">
        <v>3503.0</v>
      </c>
      <c r="D124" s="1">
        <v>0.002</v>
      </c>
      <c r="E124" s="1">
        <v>3503.0</v>
      </c>
      <c r="F124" s="1">
        <v>0.018</v>
      </c>
      <c r="G124" s="1">
        <v>3503.0</v>
      </c>
      <c r="H124" s="1">
        <v>0.019</v>
      </c>
    </row>
    <row r="125" ht="12.75" customHeight="1">
      <c r="A125" s="1">
        <v>3534.0</v>
      </c>
      <c r="B125" s="1">
        <v>0.002</v>
      </c>
      <c r="C125" s="1">
        <v>3534.0</v>
      </c>
      <c r="D125" s="1">
        <v>0.003</v>
      </c>
      <c r="E125" s="1">
        <v>3534.0</v>
      </c>
      <c r="F125" s="1">
        <v>0.019</v>
      </c>
      <c r="G125" s="1">
        <v>3534.0</v>
      </c>
      <c r="H125" s="1">
        <v>0.019</v>
      </c>
    </row>
    <row r="126" ht="12.75" customHeight="1">
      <c r="A126" s="1">
        <v>3565.0</v>
      </c>
      <c r="B126" s="1">
        <v>0.002</v>
      </c>
      <c r="C126" s="1">
        <v>3565.0</v>
      </c>
      <c r="D126" s="1">
        <v>0.002</v>
      </c>
      <c r="E126" s="1">
        <v>3565.0</v>
      </c>
      <c r="F126" s="1">
        <v>0.016</v>
      </c>
      <c r="G126" s="1">
        <v>3565.0</v>
      </c>
      <c r="H126" s="1">
        <v>0.019</v>
      </c>
    </row>
    <row r="127" ht="12.75" customHeight="1">
      <c r="A127" s="1">
        <v>3596.0</v>
      </c>
      <c r="B127" s="1">
        <v>0.002</v>
      </c>
      <c r="C127" s="1">
        <v>3596.0</v>
      </c>
      <c r="D127" s="1">
        <v>0.002</v>
      </c>
      <c r="E127" s="1">
        <v>3596.0</v>
      </c>
      <c r="F127" s="1">
        <v>0.016</v>
      </c>
      <c r="G127" s="1">
        <v>3596.0</v>
      </c>
      <c r="H127" s="1">
        <v>0.019</v>
      </c>
    </row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