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drawings/drawing3.xml" ContentType="application/vnd.openxmlformats-officedocument.drawingml.chartshape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24.xml" ContentType="application/vnd.openxmlformats-officedocument.drawingml.chart+xml"/>
  <Override PartName="/xl/drawings/drawing6.xml" ContentType="application/vnd.openxmlformats-officedocument.drawingml.chartshapes+xml"/>
  <Override PartName="/xl/charts/chart25.xml" ContentType="application/vnd.openxmlformats-officedocument.drawingml.chart+xml"/>
  <Override PartName="/xl/drawings/drawing7.xml" ContentType="application/vnd.openxmlformats-officedocument.drawingml.chartshapes+xml"/>
  <Override PartName="/xl/charts/chart26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drawings/drawing12.xml" ContentType="application/vnd.openxmlformats-officedocument.drawingml.chartshapes+xml"/>
  <Override PartName="/xl/charts/chart33.xml" ContentType="application/vnd.openxmlformats-officedocument.drawingml.chart+xml"/>
  <Override PartName="/xl/drawings/drawing13.xml" ContentType="application/vnd.openxmlformats-officedocument.drawingml.chartshape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4.xml" ContentType="application/vnd.openxmlformats-officedocument.drawingml.chartshapes+xml"/>
  <Override PartName="/xl/charts/chart36.xml" ContentType="application/vnd.openxmlformats-officedocument.drawingml.chart+xml"/>
  <Override PartName="/xl/drawings/drawing15.xml" ContentType="application/vnd.openxmlformats-officedocument.drawingml.chartshapes+xml"/>
  <Override PartName="/xl/charts/chart37.xml" ContentType="application/vnd.openxmlformats-officedocument.drawingml.chart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950" yWindow="2745" windowWidth="5820" windowHeight="2130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9" r:id="rId7"/>
    <sheet name="Sheet9" sheetId="10" r:id="rId8"/>
    <sheet name="Sheet10" sheetId="11" r:id="rId9"/>
    <sheet name="Sheet5" sheetId="12" r:id="rId10"/>
    <sheet name="Sheet11" sheetId="13" r:id="rId11"/>
  </sheets>
  <externalReferences>
    <externalReference r:id="rId12"/>
  </externalReferences>
  <definedNames>
    <definedName name="data" localSheetId="5">Sheet7!#REF!</definedName>
    <definedName name="S" localSheetId="5">Sheet7!$G$103:$I$147</definedName>
    <definedName name="S_1" localSheetId="5">Sheet7!#REF!</definedName>
    <definedName name="S_2" localSheetId="5">Sheet7!#REF!</definedName>
    <definedName name="S_3" localSheetId="5">Sheet7!#REF!</definedName>
    <definedName name="S_4" localSheetId="5">Sheet7!#REF!</definedName>
    <definedName name="S_5" localSheetId="5">Sheet7!$G$8:$I$52</definedName>
    <definedName name="S_6" localSheetId="5">Sheet7!$G$55:$I$99</definedName>
    <definedName name="T" localSheetId="5">Sheet7!$M$103:$O$137</definedName>
    <definedName name="T_1" localSheetId="5">Sheet7!#REF!</definedName>
    <definedName name="T_2" localSheetId="5">Sheet7!#REF!</definedName>
    <definedName name="T_3" localSheetId="5">Sheet7!#REF!</definedName>
    <definedName name="T_4" localSheetId="5">Sheet7!$M$8:$O$42</definedName>
    <definedName name="T_5" localSheetId="5">Sheet7!$M$55:$O$89</definedName>
  </definedNames>
  <calcPr calcId="145621"/>
  <fileRecoveryPr repairLoad="1"/>
</workbook>
</file>

<file path=xl/calcChain.xml><?xml version="1.0" encoding="utf-8"?>
<calcChain xmlns="http://schemas.openxmlformats.org/spreadsheetml/2006/main">
  <c r="AH292" i="1" l="1"/>
  <c r="AI292" i="1"/>
  <c r="AX461" i="1"/>
  <c r="AF471" i="1"/>
  <c r="AD29" i="13"/>
  <c r="U87" i="13"/>
  <c r="U86" i="13"/>
  <c r="S76" i="13"/>
  <c r="T86" i="13"/>
  <c r="T87" i="13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W332" i="1"/>
  <c r="W331" i="1"/>
  <c r="W330" i="1"/>
  <c r="W329" i="1"/>
  <c r="Z458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61" i="1"/>
  <c r="AR388" i="1"/>
  <c r="AR389" i="1"/>
  <c r="AR390" i="1"/>
  <c r="AR391" i="1"/>
  <c r="AR392" i="1"/>
  <c r="AR393" i="1"/>
  <c r="AR394" i="1"/>
  <c r="AR395" i="1"/>
  <c r="AR396" i="1"/>
  <c r="AR387" i="1"/>
  <c r="Z464" i="1"/>
  <c r="X458" i="1"/>
  <c r="V458" i="1"/>
  <c r="AM458" i="1"/>
  <c r="AO458" i="1" s="1"/>
  <c r="AD458" i="1"/>
  <c r="AE458" i="1"/>
  <c r="AI458" i="1"/>
  <c r="AJ458" i="1" s="1"/>
  <c r="AL458" i="1"/>
  <c r="AN458" i="1" s="1"/>
  <c r="S440" i="1"/>
  <c r="N440" i="1"/>
  <c r="K440" i="1"/>
  <c r="J440" i="1"/>
  <c r="I440" i="1"/>
  <c r="S439" i="1"/>
  <c r="N439" i="1"/>
  <c r="K439" i="1"/>
  <c r="J439" i="1"/>
  <c r="I439" i="1"/>
  <c r="S438" i="1"/>
  <c r="N438" i="1"/>
  <c r="K438" i="1"/>
  <c r="J438" i="1"/>
  <c r="I438" i="1"/>
  <c r="S437" i="1"/>
  <c r="N437" i="1"/>
  <c r="K437" i="1"/>
  <c r="J437" i="1"/>
  <c r="I437" i="1"/>
  <c r="V470" i="1"/>
  <c r="X470" i="1"/>
  <c r="Z470" i="1"/>
  <c r="AL470" i="1" s="1"/>
  <c r="AN470" i="1" s="1"/>
  <c r="V469" i="1"/>
  <c r="X469" i="1"/>
  <c r="Z469" i="1"/>
  <c r="AM469" i="1" s="1"/>
  <c r="AO469" i="1" s="1"/>
  <c r="V468" i="1"/>
  <c r="X468" i="1"/>
  <c r="Z468" i="1"/>
  <c r="AL468" i="1" s="1"/>
  <c r="AN468" i="1" s="1"/>
  <c r="Z467" i="1"/>
  <c r="AL467" i="1" s="1"/>
  <c r="AN467" i="1" s="1"/>
  <c r="X467" i="1"/>
  <c r="V467" i="1"/>
  <c r="X459" i="1"/>
  <c r="Z466" i="1"/>
  <c r="AL466" i="1" s="1"/>
  <c r="AN466" i="1" s="1"/>
  <c r="X466" i="1"/>
  <c r="V466" i="1"/>
  <c r="Z465" i="1"/>
  <c r="AL465" i="1" s="1"/>
  <c r="AN465" i="1" s="1"/>
  <c r="V465" i="1"/>
  <c r="X465" i="1"/>
  <c r="AM464" i="1"/>
  <c r="AO464" i="1" s="1"/>
  <c r="X464" i="1"/>
  <c r="V464" i="1"/>
  <c r="Z463" i="1"/>
  <c r="AM463" i="1" s="1"/>
  <c r="AO463" i="1" s="1"/>
  <c r="X463" i="1"/>
  <c r="V463" i="1"/>
  <c r="Z462" i="1"/>
  <c r="AL462" i="1" s="1"/>
  <c r="AN462" i="1" s="1"/>
  <c r="X462" i="1"/>
  <c r="V462" i="1"/>
  <c r="Z461" i="1"/>
  <c r="AL461" i="1" s="1"/>
  <c r="AN461" i="1" s="1"/>
  <c r="X461" i="1"/>
  <c r="V461" i="1"/>
  <c r="Z460" i="1"/>
  <c r="AM460" i="1" s="1"/>
  <c r="AO460" i="1" s="1"/>
  <c r="X460" i="1"/>
  <c r="V460" i="1"/>
  <c r="AL463" i="1"/>
  <c r="AN463" i="1" s="1"/>
  <c r="AL464" i="1"/>
  <c r="AN464" i="1" s="1"/>
  <c r="AM467" i="1"/>
  <c r="AO467" i="1" s="1"/>
  <c r="AL469" i="1"/>
  <c r="AN469" i="1" s="1"/>
  <c r="AI460" i="1"/>
  <c r="AJ460" i="1" s="1"/>
  <c r="AI461" i="1"/>
  <c r="AJ461" i="1" s="1"/>
  <c r="AI462" i="1"/>
  <c r="AJ462" i="1" s="1"/>
  <c r="AI463" i="1"/>
  <c r="AJ463" i="1" s="1"/>
  <c r="AI464" i="1"/>
  <c r="AJ464" i="1" s="1"/>
  <c r="AI465" i="1"/>
  <c r="AJ465" i="1" s="1"/>
  <c r="AI466" i="1"/>
  <c r="AJ466" i="1" s="1"/>
  <c r="AI467" i="1"/>
  <c r="AJ467" i="1" s="1"/>
  <c r="AI468" i="1"/>
  <c r="AJ468" i="1" s="1"/>
  <c r="AI469" i="1"/>
  <c r="AJ469" i="1" s="1"/>
  <c r="AI470" i="1"/>
  <c r="AJ470" i="1" s="1"/>
  <c r="AD460" i="1"/>
  <c r="AE460" i="1" s="1"/>
  <c r="AD461" i="1"/>
  <c r="AE461" i="1" s="1"/>
  <c r="AD462" i="1"/>
  <c r="AE462" i="1" s="1"/>
  <c r="AD463" i="1"/>
  <c r="AE463" i="1" s="1"/>
  <c r="AD464" i="1"/>
  <c r="AE464" i="1" s="1"/>
  <c r="AD465" i="1"/>
  <c r="AE465" i="1" s="1"/>
  <c r="AD466" i="1"/>
  <c r="AE466" i="1" s="1"/>
  <c r="AD467" i="1"/>
  <c r="AE467" i="1" s="1"/>
  <c r="AD468" i="1"/>
  <c r="AE468" i="1" s="1"/>
  <c r="AD469" i="1"/>
  <c r="AE469" i="1" s="1"/>
  <c r="AD470" i="1"/>
  <c r="AE470" i="1" s="1"/>
  <c r="AI459" i="1"/>
  <c r="AJ459" i="1" s="1"/>
  <c r="AD459" i="1"/>
  <c r="AE459" i="1" s="1"/>
  <c r="AB383" i="1"/>
  <c r="Z459" i="1"/>
  <c r="AL459" i="1" s="1"/>
  <c r="AN459" i="1" s="1"/>
  <c r="V459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I492" i="1"/>
  <c r="J492" i="1"/>
  <c r="K492" i="1"/>
  <c r="N492" i="1"/>
  <c r="I489" i="1"/>
  <c r="J489" i="1"/>
  <c r="K489" i="1"/>
  <c r="N489" i="1"/>
  <c r="I490" i="1"/>
  <c r="J490" i="1"/>
  <c r="K490" i="1"/>
  <c r="N490" i="1"/>
  <c r="K482" i="1"/>
  <c r="K483" i="1"/>
  <c r="K484" i="1"/>
  <c r="K485" i="1"/>
  <c r="J482" i="1"/>
  <c r="J483" i="1"/>
  <c r="J484" i="1"/>
  <c r="J485" i="1"/>
  <c r="I482" i="1"/>
  <c r="N482" i="1"/>
  <c r="I483" i="1"/>
  <c r="N483" i="1"/>
  <c r="I484" i="1"/>
  <c r="N484" i="1"/>
  <c r="I475" i="1"/>
  <c r="J475" i="1"/>
  <c r="K475" i="1"/>
  <c r="N475" i="1"/>
  <c r="I476" i="1"/>
  <c r="J476" i="1"/>
  <c r="K476" i="1"/>
  <c r="N476" i="1"/>
  <c r="I477" i="1"/>
  <c r="J477" i="1"/>
  <c r="K477" i="1"/>
  <c r="N477" i="1"/>
  <c r="I468" i="1"/>
  <c r="J468" i="1"/>
  <c r="K468" i="1"/>
  <c r="N468" i="1"/>
  <c r="I469" i="1"/>
  <c r="J469" i="1"/>
  <c r="K469" i="1"/>
  <c r="N469" i="1"/>
  <c r="I470" i="1"/>
  <c r="J470" i="1"/>
  <c r="K470" i="1"/>
  <c r="N470" i="1"/>
  <c r="I461" i="1"/>
  <c r="J461" i="1"/>
  <c r="K461" i="1"/>
  <c r="N461" i="1"/>
  <c r="I462" i="1"/>
  <c r="J462" i="1"/>
  <c r="K462" i="1"/>
  <c r="N462" i="1"/>
  <c r="I463" i="1"/>
  <c r="J463" i="1"/>
  <c r="K463" i="1"/>
  <c r="N463" i="1"/>
  <c r="I464" i="1"/>
  <c r="J464" i="1"/>
  <c r="K464" i="1"/>
  <c r="N464" i="1"/>
  <c r="I454" i="1"/>
  <c r="J454" i="1"/>
  <c r="K454" i="1"/>
  <c r="N454" i="1"/>
  <c r="I455" i="1"/>
  <c r="J455" i="1"/>
  <c r="K455" i="1"/>
  <c r="N455" i="1"/>
  <c r="I456" i="1"/>
  <c r="J456" i="1"/>
  <c r="K456" i="1"/>
  <c r="N456" i="1"/>
  <c r="I451" i="1"/>
  <c r="J451" i="1"/>
  <c r="K451" i="1"/>
  <c r="N451" i="1"/>
  <c r="I452" i="1"/>
  <c r="J452" i="1"/>
  <c r="K452" i="1"/>
  <c r="N452" i="1"/>
  <c r="I453" i="1"/>
  <c r="J453" i="1"/>
  <c r="K453" i="1"/>
  <c r="N453" i="1"/>
  <c r="S441" i="1"/>
  <c r="AH384" i="1"/>
  <c r="AI384" i="1" s="1"/>
  <c r="AH385" i="1"/>
  <c r="AI385" i="1" s="1"/>
  <c r="AH386" i="1"/>
  <c r="AI386" i="1" s="1"/>
  <c r="AH387" i="1"/>
  <c r="AI387" i="1" s="1"/>
  <c r="AH388" i="1"/>
  <c r="AI388" i="1" s="1"/>
  <c r="AH389" i="1"/>
  <c r="AI389" i="1" s="1"/>
  <c r="AH390" i="1"/>
  <c r="AI390" i="1" s="1"/>
  <c r="AH391" i="1"/>
  <c r="AI391" i="1" s="1"/>
  <c r="AH392" i="1"/>
  <c r="AI392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D391" i="1" s="1"/>
  <c r="AB392" i="1"/>
  <c r="AC392" i="1" s="1"/>
  <c r="AC383" i="1"/>
  <c r="AH383" i="1"/>
  <c r="AI383" i="1" s="1"/>
  <c r="AB273" i="1"/>
  <c r="AC273" i="1" s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261" i="1"/>
  <c r="AC284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266" i="1"/>
  <c r="AH274" i="1"/>
  <c r="AI274" i="1" s="1"/>
  <c r="AH275" i="1"/>
  <c r="AI275" i="1" s="1"/>
  <c r="AH276" i="1"/>
  <c r="AI276" i="1" s="1"/>
  <c r="AH277" i="1"/>
  <c r="AI277" i="1" s="1"/>
  <c r="AH278" i="1"/>
  <c r="AI278" i="1" s="1"/>
  <c r="AH279" i="1"/>
  <c r="AI279" i="1" s="1"/>
  <c r="AH280" i="1"/>
  <c r="AI280" i="1" s="1"/>
  <c r="AH281" i="1"/>
  <c r="AI281" i="1" s="1"/>
  <c r="AH282" i="1"/>
  <c r="AI282" i="1" s="1"/>
  <c r="AH283" i="1"/>
  <c r="AI283" i="1" s="1"/>
  <c r="AH284" i="1"/>
  <c r="AI284" i="1" s="1"/>
  <c r="AH285" i="1"/>
  <c r="AI285" i="1" s="1"/>
  <c r="AH286" i="1"/>
  <c r="AI286" i="1" s="1"/>
  <c r="AH287" i="1"/>
  <c r="AI287" i="1" s="1"/>
  <c r="AH288" i="1"/>
  <c r="AI288" i="1" s="1"/>
  <c r="AH289" i="1"/>
  <c r="AI289" i="1" s="1"/>
  <c r="AH290" i="1"/>
  <c r="AI290" i="1" s="1"/>
  <c r="AH291" i="1"/>
  <c r="AI291" i="1" s="1"/>
  <c r="AH293" i="1"/>
  <c r="AI293" i="1" s="1"/>
  <c r="AH273" i="1"/>
  <c r="AI273" i="1" s="1"/>
  <c r="AB274" i="1"/>
  <c r="AD274" i="1" s="1"/>
  <c r="AB275" i="1"/>
  <c r="AD275" i="1" s="1"/>
  <c r="AB276" i="1"/>
  <c r="AD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D282" i="1" s="1"/>
  <c r="AB283" i="1"/>
  <c r="AD283" i="1" s="1"/>
  <c r="AB284" i="1"/>
  <c r="AD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D290" i="1" s="1"/>
  <c r="AB291" i="1"/>
  <c r="AD291" i="1" s="1"/>
  <c r="AB292" i="1"/>
  <c r="AD292" i="1" s="1"/>
  <c r="AB293" i="1"/>
  <c r="AC293" i="1" s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266" i="1"/>
  <c r="V287" i="1"/>
  <c r="X391" i="1"/>
  <c r="AL391" i="1" s="1"/>
  <c r="AN391" i="1" s="1"/>
  <c r="X392" i="1"/>
  <c r="AK392" i="1" s="1"/>
  <c r="AM392" i="1" s="1"/>
  <c r="W392" i="1"/>
  <c r="V392" i="1"/>
  <c r="U392" i="1"/>
  <c r="W391" i="1"/>
  <c r="V391" i="1"/>
  <c r="U391" i="1"/>
  <c r="X390" i="1"/>
  <c r="AK390" i="1" s="1"/>
  <c r="AM390" i="1" s="1"/>
  <c r="W390" i="1"/>
  <c r="V390" i="1"/>
  <c r="U390" i="1"/>
  <c r="W389" i="1"/>
  <c r="X389" i="1"/>
  <c r="AL389" i="1" s="1"/>
  <c r="AN389" i="1" s="1"/>
  <c r="V389" i="1"/>
  <c r="U389" i="1"/>
  <c r="X388" i="1"/>
  <c r="AK388" i="1" s="1"/>
  <c r="AM388" i="1" s="1"/>
  <c r="W388" i="1"/>
  <c r="V388" i="1"/>
  <c r="U388" i="1"/>
  <c r="T392" i="1"/>
  <c r="T391" i="1"/>
  <c r="T390" i="1"/>
  <c r="T389" i="1"/>
  <c r="T388" i="1"/>
  <c r="X387" i="1"/>
  <c r="AK387" i="1" s="1"/>
  <c r="AM387" i="1" s="1"/>
  <c r="W387" i="1"/>
  <c r="V387" i="1"/>
  <c r="U387" i="1"/>
  <c r="X386" i="1"/>
  <c r="AK386" i="1" s="1"/>
  <c r="AM386" i="1" s="1"/>
  <c r="W386" i="1"/>
  <c r="V386" i="1"/>
  <c r="U386" i="1"/>
  <c r="X385" i="1"/>
  <c r="AL385" i="1" s="1"/>
  <c r="AN385" i="1" s="1"/>
  <c r="W385" i="1"/>
  <c r="V385" i="1"/>
  <c r="U385" i="1"/>
  <c r="X384" i="1"/>
  <c r="AK384" i="1" s="1"/>
  <c r="AM384" i="1" s="1"/>
  <c r="W384" i="1"/>
  <c r="V384" i="1"/>
  <c r="U384" i="1"/>
  <c r="X383" i="1"/>
  <c r="AL383" i="1" s="1"/>
  <c r="AN383" i="1" s="1"/>
  <c r="W383" i="1"/>
  <c r="V383" i="1"/>
  <c r="U383" i="1"/>
  <c r="T387" i="1"/>
  <c r="T386" i="1"/>
  <c r="T385" i="1"/>
  <c r="T384" i="1"/>
  <c r="T383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357" i="1"/>
  <c r="J257" i="1"/>
  <c r="J307" i="1"/>
  <c r="X293" i="1"/>
  <c r="AK293" i="1" s="1"/>
  <c r="AM293" i="1" s="1"/>
  <c r="W293" i="1"/>
  <c r="V293" i="1"/>
  <c r="U293" i="1"/>
  <c r="W292" i="1"/>
  <c r="V292" i="1"/>
  <c r="U292" i="1"/>
  <c r="W291" i="1"/>
  <c r="V291" i="1"/>
  <c r="U291" i="1"/>
  <c r="T291" i="1"/>
  <c r="W290" i="1"/>
  <c r="V290" i="1"/>
  <c r="U290" i="1"/>
  <c r="X289" i="1"/>
  <c r="AK289" i="1" s="1"/>
  <c r="AM289" i="1" s="1"/>
  <c r="W289" i="1"/>
  <c r="V289" i="1"/>
  <c r="U289" i="1"/>
  <c r="W288" i="1"/>
  <c r="V288" i="1"/>
  <c r="U288" i="1"/>
  <c r="W287" i="1"/>
  <c r="U287" i="1"/>
  <c r="W286" i="1"/>
  <c r="V286" i="1"/>
  <c r="U286" i="1"/>
  <c r="W285" i="1"/>
  <c r="V285" i="1"/>
  <c r="U285" i="1"/>
  <c r="W284" i="1"/>
  <c r="V284" i="1"/>
  <c r="U284" i="1"/>
  <c r="W283" i="1"/>
  <c r="V283" i="1"/>
  <c r="U283" i="1"/>
  <c r="W282" i="1"/>
  <c r="V282" i="1"/>
  <c r="U282" i="1"/>
  <c r="T293" i="1"/>
  <c r="T292" i="1"/>
  <c r="T290" i="1"/>
  <c r="T289" i="1"/>
  <c r="T288" i="1"/>
  <c r="T287" i="1"/>
  <c r="T286" i="1"/>
  <c r="T285" i="1"/>
  <c r="T284" i="1"/>
  <c r="T283" i="1"/>
  <c r="T282" i="1"/>
  <c r="I282" i="1"/>
  <c r="P282" i="1"/>
  <c r="I278" i="1"/>
  <c r="P278" i="1"/>
  <c r="X281" i="1"/>
  <c r="AK281" i="1" s="1"/>
  <c r="AM281" i="1" s="1"/>
  <c r="W281" i="1"/>
  <c r="V281" i="1"/>
  <c r="U281" i="1"/>
  <c r="X280" i="1"/>
  <c r="AL280" i="1" s="1"/>
  <c r="AN280" i="1" s="1"/>
  <c r="W280" i="1"/>
  <c r="V280" i="1"/>
  <c r="U280" i="1"/>
  <c r="X279" i="1"/>
  <c r="AL279" i="1" s="1"/>
  <c r="AN279" i="1" s="1"/>
  <c r="W279" i="1"/>
  <c r="V279" i="1"/>
  <c r="U279" i="1"/>
  <c r="X278" i="1"/>
  <c r="AL278" i="1" s="1"/>
  <c r="AN278" i="1" s="1"/>
  <c r="W278" i="1"/>
  <c r="V278" i="1"/>
  <c r="U278" i="1"/>
  <c r="X277" i="1"/>
  <c r="AK277" i="1" s="1"/>
  <c r="AM277" i="1" s="1"/>
  <c r="W277" i="1"/>
  <c r="V277" i="1"/>
  <c r="U277" i="1"/>
  <c r="X276" i="1"/>
  <c r="AK276" i="1" s="1"/>
  <c r="AM276" i="1" s="1"/>
  <c r="W276" i="1"/>
  <c r="V276" i="1"/>
  <c r="U276" i="1"/>
  <c r="X275" i="1"/>
  <c r="AK275" i="1" s="1"/>
  <c r="AM275" i="1" s="1"/>
  <c r="W275" i="1"/>
  <c r="V275" i="1"/>
  <c r="U275" i="1"/>
  <c r="X274" i="1"/>
  <c r="AK274" i="1" s="1"/>
  <c r="AM274" i="1" s="1"/>
  <c r="W274" i="1"/>
  <c r="V274" i="1"/>
  <c r="U274" i="1"/>
  <c r="X273" i="1"/>
  <c r="AK273" i="1" s="1"/>
  <c r="AM273" i="1" s="1"/>
  <c r="W273" i="1"/>
  <c r="V273" i="1"/>
  <c r="U273" i="1"/>
  <c r="T281" i="1"/>
  <c r="T280" i="1"/>
  <c r="T279" i="1"/>
  <c r="T278" i="1"/>
  <c r="T277" i="1"/>
  <c r="T276" i="1"/>
  <c r="T275" i="1"/>
  <c r="T274" i="1"/>
  <c r="T273" i="1"/>
  <c r="R221" i="1"/>
  <c r="AQ198" i="1"/>
  <c r="AR198" i="1"/>
  <c r="AS198" i="1"/>
  <c r="AT198" i="1"/>
  <c r="AU198" i="1"/>
  <c r="AV198" i="1"/>
  <c r="AQ199" i="1"/>
  <c r="AR199" i="1"/>
  <c r="AS199" i="1"/>
  <c r="AT199" i="1"/>
  <c r="AU199" i="1"/>
  <c r="AV199" i="1"/>
  <c r="AQ200" i="1"/>
  <c r="AR200" i="1"/>
  <c r="AS200" i="1"/>
  <c r="AT200" i="1"/>
  <c r="AU200" i="1"/>
  <c r="AV200" i="1"/>
  <c r="AQ201" i="1"/>
  <c r="AR201" i="1"/>
  <c r="AS201" i="1"/>
  <c r="AT201" i="1"/>
  <c r="AU201" i="1"/>
  <c r="AV201" i="1"/>
  <c r="AQ202" i="1"/>
  <c r="AR202" i="1"/>
  <c r="AS202" i="1"/>
  <c r="AT202" i="1"/>
  <c r="AU202" i="1"/>
  <c r="AV202" i="1"/>
  <c r="AQ203" i="1"/>
  <c r="AR203" i="1"/>
  <c r="AS203" i="1"/>
  <c r="AT203" i="1"/>
  <c r="AU203" i="1"/>
  <c r="AV203" i="1"/>
  <c r="AQ204" i="1"/>
  <c r="AR204" i="1"/>
  <c r="AS204" i="1"/>
  <c r="AT204" i="1"/>
  <c r="AU204" i="1"/>
  <c r="AV204" i="1"/>
  <c r="AQ205" i="1"/>
  <c r="AR205" i="1"/>
  <c r="AS205" i="1"/>
  <c r="AT205" i="1"/>
  <c r="AU205" i="1"/>
  <c r="AV205" i="1"/>
  <c r="AQ206" i="1"/>
  <c r="AR206" i="1"/>
  <c r="AS206" i="1"/>
  <c r="AT206" i="1"/>
  <c r="AU206" i="1"/>
  <c r="AV206" i="1"/>
  <c r="AQ207" i="1"/>
  <c r="AR207" i="1"/>
  <c r="AS207" i="1"/>
  <c r="AT207" i="1"/>
  <c r="AU207" i="1"/>
  <c r="AV207" i="1"/>
  <c r="AQ208" i="1"/>
  <c r="AR208" i="1"/>
  <c r="AS208" i="1"/>
  <c r="AT208" i="1"/>
  <c r="AU208" i="1"/>
  <c r="AV208" i="1"/>
  <c r="AQ209" i="1"/>
  <c r="AR209" i="1"/>
  <c r="AS209" i="1"/>
  <c r="AT209" i="1"/>
  <c r="AU209" i="1"/>
  <c r="AV209" i="1"/>
  <c r="AQ210" i="1"/>
  <c r="AR210" i="1"/>
  <c r="AS210" i="1"/>
  <c r="AT210" i="1"/>
  <c r="AU210" i="1"/>
  <c r="AV210" i="1"/>
  <c r="AQ211" i="1"/>
  <c r="AR211" i="1"/>
  <c r="AS211" i="1"/>
  <c r="AT211" i="1"/>
  <c r="AU211" i="1"/>
  <c r="AV211" i="1"/>
  <c r="AQ212" i="1"/>
  <c r="AR212" i="1"/>
  <c r="AS212" i="1"/>
  <c r="AT212" i="1"/>
  <c r="AU212" i="1"/>
  <c r="AV212" i="1"/>
  <c r="AQ213" i="1"/>
  <c r="AR213" i="1"/>
  <c r="AS213" i="1"/>
  <c r="AT213" i="1"/>
  <c r="AU213" i="1"/>
  <c r="AV213" i="1"/>
  <c r="AQ214" i="1"/>
  <c r="AR214" i="1"/>
  <c r="AS214" i="1"/>
  <c r="AT214" i="1"/>
  <c r="AU214" i="1"/>
  <c r="AV214" i="1"/>
  <c r="AQ215" i="1"/>
  <c r="AR215" i="1"/>
  <c r="AS215" i="1"/>
  <c r="AT215" i="1"/>
  <c r="AU215" i="1"/>
  <c r="AV215" i="1"/>
  <c r="AQ216" i="1"/>
  <c r="AR216" i="1"/>
  <c r="AS216" i="1"/>
  <c r="AT216" i="1"/>
  <c r="AU216" i="1"/>
  <c r="AV216" i="1"/>
  <c r="AQ217" i="1"/>
  <c r="AR217" i="1"/>
  <c r="AS217" i="1"/>
  <c r="AT217" i="1"/>
  <c r="AU217" i="1"/>
  <c r="AV217" i="1"/>
  <c r="AQ218" i="1"/>
  <c r="AR218" i="1"/>
  <c r="AS218" i="1"/>
  <c r="AT218" i="1"/>
  <c r="AU218" i="1"/>
  <c r="AV218" i="1"/>
  <c r="AQ219" i="1"/>
  <c r="AR219" i="1"/>
  <c r="AS219" i="1"/>
  <c r="AT219" i="1"/>
  <c r="AU219" i="1"/>
  <c r="AV219" i="1"/>
  <c r="AQ220" i="1"/>
  <c r="AR220" i="1"/>
  <c r="AS220" i="1"/>
  <c r="AT220" i="1"/>
  <c r="AU220" i="1"/>
  <c r="AV220" i="1"/>
  <c r="AQ221" i="1"/>
  <c r="AR221" i="1"/>
  <c r="AS221" i="1"/>
  <c r="AT221" i="1"/>
  <c r="AU221" i="1"/>
  <c r="AV221" i="1"/>
  <c r="AQ222" i="1"/>
  <c r="AR222" i="1"/>
  <c r="AS222" i="1"/>
  <c r="AT222" i="1"/>
  <c r="AU222" i="1"/>
  <c r="AV222" i="1"/>
  <c r="AQ223" i="1"/>
  <c r="AR223" i="1"/>
  <c r="AS223" i="1"/>
  <c r="AT223" i="1"/>
  <c r="AU223" i="1"/>
  <c r="AV223" i="1"/>
  <c r="AQ224" i="1"/>
  <c r="AR224" i="1"/>
  <c r="AS224" i="1"/>
  <c r="AT224" i="1"/>
  <c r="AU224" i="1"/>
  <c r="AV224" i="1"/>
  <c r="AQ225" i="1"/>
  <c r="AR225" i="1"/>
  <c r="AS225" i="1"/>
  <c r="AT225" i="1"/>
  <c r="AU225" i="1"/>
  <c r="AV225" i="1"/>
  <c r="AQ226" i="1"/>
  <c r="AR226" i="1"/>
  <c r="AS226" i="1"/>
  <c r="AT226" i="1"/>
  <c r="AU226" i="1"/>
  <c r="AV226" i="1"/>
  <c r="AQ227" i="1"/>
  <c r="AR227" i="1"/>
  <c r="AS227" i="1"/>
  <c r="AT227" i="1"/>
  <c r="AU227" i="1"/>
  <c r="AV227" i="1"/>
  <c r="AQ228" i="1"/>
  <c r="AR228" i="1"/>
  <c r="AS228" i="1"/>
  <c r="AT228" i="1"/>
  <c r="AU228" i="1"/>
  <c r="AV228" i="1"/>
  <c r="AQ229" i="1"/>
  <c r="AR229" i="1"/>
  <c r="AS229" i="1"/>
  <c r="AT229" i="1"/>
  <c r="AU229" i="1"/>
  <c r="AV229" i="1"/>
  <c r="AQ230" i="1"/>
  <c r="AR230" i="1"/>
  <c r="AS230" i="1"/>
  <c r="AT230" i="1"/>
  <c r="AU230" i="1"/>
  <c r="AV230" i="1"/>
  <c r="AQ231" i="1"/>
  <c r="AR231" i="1"/>
  <c r="AS231" i="1"/>
  <c r="AT231" i="1"/>
  <c r="AU231" i="1"/>
  <c r="AV231" i="1"/>
  <c r="AM461" i="1" l="1"/>
  <c r="AO461" i="1" s="1"/>
  <c r="AM470" i="1"/>
  <c r="AO470" i="1" s="1"/>
  <c r="AM468" i="1"/>
  <c r="AO468" i="1" s="1"/>
  <c r="AM459" i="1"/>
  <c r="AO459" i="1" s="1"/>
  <c r="AK389" i="1"/>
  <c r="AM389" i="1" s="1"/>
  <c r="AM466" i="1"/>
  <c r="AO466" i="1" s="1"/>
  <c r="AM465" i="1"/>
  <c r="AO465" i="1" s="1"/>
  <c r="AL460" i="1"/>
  <c r="AN460" i="1" s="1"/>
  <c r="AM462" i="1"/>
  <c r="AO462" i="1" s="1"/>
  <c r="AK385" i="1"/>
  <c r="AM385" i="1" s="1"/>
  <c r="AC276" i="1"/>
  <c r="AL387" i="1"/>
  <c r="AN387" i="1" s="1"/>
  <c r="AL289" i="1"/>
  <c r="AN289" i="1" s="1"/>
  <c r="AD281" i="1"/>
  <c r="AD288" i="1"/>
  <c r="AK280" i="1"/>
  <c r="AM280" i="1" s="1"/>
  <c r="AL276" i="1"/>
  <c r="AN276" i="1" s="1"/>
  <c r="AD289" i="1"/>
  <c r="AC283" i="1"/>
  <c r="AC391" i="1"/>
  <c r="AD280" i="1"/>
  <c r="AC275" i="1"/>
  <c r="AD273" i="1"/>
  <c r="AC292" i="1"/>
  <c r="AD383" i="1"/>
  <c r="AC291" i="1"/>
  <c r="AL293" i="1"/>
  <c r="AN293" i="1" s="1"/>
  <c r="AK279" i="1"/>
  <c r="AM279" i="1" s="1"/>
  <c r="AK278" i="1"/>
  <c r="AM278" i="1" s="1"/>
  <c r="AL275" i="1"/>
  <c r="AN275" i="1" s="1"/>
  <c r="AD287" i="1"/>
  <c r="AD279" i="1"/>
  <c r="AC290" i="1"/>
  <c r="AC282" i="1"/>
  <c r="AC274" i="1"/>
  <c r="AK383" i="1"/>
  <c r="AM383" i="1" s="1"/>
  <c r="AL392" i="1"/>
  <c r="AN392" i="1" s="1"/>
  <c r="AL388" i="1"/>
  <c r="AN388" i="1" s="1"/>
  <c r="AL384" i="1"/>
  <c r="AN384" i="1" s="1"/>
  <c r="AL277" i="1"/>
  <c r="AN277" i="1" s="1"/>
  <c r="AL273" i="1"/>
  <c r="AN273" i="1" s="1"/>
  <c r="AL274" i="1"/>
  <c r="AN274" i="1" s="1"/>
  <c r="AD286" i="1"/>
  <c r="AD278" i="1"/>
  <c r="AL281" i="1"/>
  <c r="AN281" i="1" s="1"/>
  <c r="AD387" i="1"/>
  <c r="AK391" i="1"/>
  <c r="AM391" i="1" s="1"/>
  <c r="AD293" i="1"/>
  <c r="AD277" i="1"/>
  <c r="AL390" i="1"/>
  <c r="AN390" i="1" s="1"/>
  <c r="AL386" i="1"/>
  <c r="AN386" i="1" s="1"/>
  <c r="AD285" i="1"/>
  <c r="AD390" i="1"/>
  <c r="AD389" i="1"/>
  <c r="AD386" i="1"/>
  <c r="AD388" i="1"/>
  <c r="AD385" i="1"/>
  <c r="AD392" i="1"/>
  <c r="AD384" i="1"/>
  <c r="Y100" i="13"/>
  <c r="U108" i="13"/>
  <c r="Y99" i="13"/>
  <c r="V104" i="1" l="1"/>
  <c r="V105" i="1"/>
  <c r="K72" i="1"/>
  <c r="D50" i="1" s="1"/>
  <c r="N446" i="1"/>
  <c r="K446" i="1"/>
  <c r="J446" i="1"/>
  <c r="I446" i="1"/>
  <c r="N445" i="1"/>
  <c r="K445" i="1"/>
  <c r="J445" i="1"/>
  <c r="I445" i="1"/>
  <c r="Y37" i="12" l="1"/>
  <c r="C327" i="1"/>
  <c r="W108" i="13"/>
  <c r="V107" i="13"/>
  <c r="W107" i="13"/>
  <c r="T108" i="13"/>
  <c r="U107" i="13"/>
  <c r="T107" i="13"/>
  <c r="S496" i="1" l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I442" i="1"/>
  <c r="J442" i="1"/>
  <c r="K442" i="1"/>
  <c r="N442" i="1"/>
  <c r="V315" i="1"/>
  <c r="V314" i="1"/>
  <c r="V313" i="1"/>
  <c r="V312" i="1"/>
  <c r="V324" i="1"/>
  <c r="V316" i="1"/>
  <c r="V317" i="1"/>
  <c r="V318" i="1"/>
  <c r="V319" i="1"/>
  <c r="V320" i="1"/>
  <c r="V321" i="1"/>
  <c r="V322" i="1"/>
  <c r="V323" i="1"/>
  <c r="V325" i="1"/>
  <c r="V326" i="1"/>
  <c r="V327" i="1"/>
  <c r="M345" i="1"/>
  <c r="M341" i="1"/>
  <c r="M337" i="1"/>
  <c r="M333" i="1"/>
  <c r="T327" i="1"/>
  <c r="I327" i="1"/>
  <c r="N327" i="1" s="1"/>
  <c r="T326" i="1"/>
  <c r="I326" i="1"/>
  <c r="N326" i="1" s="1"/>
  <c r="T325" i="1"/>
  <c r="I325" i="1"/>
  <c r="N325" i="1" s="1"/>
  <c r="T324" i="1"/>
  <c r="I324" i="1"/>
  <c r="N324" i="1" s="1"/>
  <c r="T323" i="1"/>
  <c r="I323" i="1"/>
  <c r="N323" i="1" s="1"/>
  <c r="T322" i="1"/>
  <c r="I322" i="1"/>
  <c r="N322" i="1" s="1"/>
  <c r="T321" i="1"/>
  <c r="I321" i="1"/>
  <c r="N321" i="1" s="1"/>
  <c r="T320" i="1"/>
  <c r="I320" i="1"/>
  <c r="N320" i="1" s="1"/>
  <c r="I342" i="1" l="1"/>
  <c r="J342" i="1" s="1"/>
  <c r="I346" i="1"/>
  <c r="J346" i="1" s="1"/>
  <c r="I333" i="1"/>
  <c r="J333" i="1" s="1"/>
  <c r="W323" i="1"/>
  <c r="X323" i="1" s="1"/>
  <c r="I334" i="1"/>
  <c r="J334" i="1" s="1"/>
  <c r="W325" i="1"/>
  <c r="X325" i="1" s="1"/>
  <c r="I338" i="1"/>
  <c r="J338" i="1" s="1"/>
  <c r="I345" i="1"/>
  <c r="J345" i="1" s="1"/>
  <c r="I341" i="1"/>
  <c r="J341" i="1" s="1"/>
  <c r="I337" i="1"/>
  <c r="J337" i="1" s="1"/>
  <c r="W327" i="1"/>
  <c r="X327" i="1" s="1"/>
  <c r="W324" i="1"/>
  <c r="X324" i="1" s="1"/>
  <c r="W326" i="1"/>
  <c r="X326" i="1" s="1"/>
  <c r="W322" i="1"/>
  <c r="X322" i="1" s="1"/>
  <c r="W320" i="1"/>
  <c r="X320" i="1" s="1"/>
  <c r="W321" i="1"/>
  <c r="X321" i="1" s="1"/>
  <c r="D267" i="1"/>
  <c r="J427" i="1"/>
  <c r="M77" i="12"/>
  <c r="M78" i="12"/>
  <c r="W49" i="13"/>
  <c r="W48" i="13"/>
  <c r="O108" i="13"/>
  <c r="N108" i="13"/>
  <c r="Z45" i="13"/>
  <c r="L108" i="13"/>
  <c r="N109" i="13"/>
  <c r="N95" i="13"/>
  <c r="K109" i="13"/>
  <c r="N96" i="13"/>
  <c r="K96" i="13"/>
  <c r="K95" i="13"/>
  <c r="N94" i="13"/>
  <c r="K94" i="13"/>
  <c r="N92" i="13"/>
  <c r="K92" i="13"/>
  <c r="N93" i="13"/>
  <c r="K93" i="13"/>
  <c r="N107" i="13"/>
  <c r="K107" i="13"/>
  <c r="K108" i="13"/>
  <c r="Y45" i="13"/>
  <c r="AJ57" i="1"/>
  <c r="D269" i="1" l="1"/>
  <c r="L96" i="13"/>
  <c r="J96" i="13"/>
  <c r="L93" i="13"/>
  <c r="J93" i="13"/>
  <c r="J95" i="13"/>
  <c r="J92" i="13"/>
  <c r="J109" i="13"/>
  <c r="L109" i="13"/>
  <c r="J108" i="13"/>
  <c r="J107" i="13"/>
  <c r="L107" i="13"/>
  <c r="L92" i="13"/>
  <c r="L94" i="13"/>
  <c r="J94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P76" i="13"/>
  <c r="Q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AP62" i="1"/>
  <c r="AQ62" i="1"/>
  <c r="AP63" i="1"/>
  <c r="AQ63" i="1"/>
  <c r="AP64" i="1"/>
  <c r="AQ64" i="1"/>
  <c r="AP65" i="1"/>
  <c r="AQ65" i="1"/>
  <c r="AP66" i="1"/>
  <c r="AQ66" i="1"/>
  <c r="AP67" i="1"/>
  <c r="AQ67" i="1"/>
  <c r="AP68" i="1"/>
  <c r="AQ68" i="1"/>
  <c r="AP69" i="1"/>
  <c r="AQ69" i="1"/>
  <c r="AP70" i="1"/>
  <c r="AQ70" i="1"/>
  <c r="AP71" i="1"/>
  <c r="AQ71" i="1"/>
  <c r="AP72" i="1"/>
  <c r="AQ72" i="1"/>
  <c r="AP73" i="1"/>
  <c r="AQ73" i="1"/>
  <c r="AP74" i="1"/>
  <c r="AQ74" i="1"/>
  <c r="AP75" i="1"/>
  <c r="AQ75" i="1"/>
  <c r="AP76" i="1"/>
  <c r="AQ76" i="1"/>
  <c r="AP77" i="1"/>
  <c r="AQ77" i="1"/>
  <c r="AP78" i="1"/>
  <c r="AQ78" i="1"/>
  <c r="AP79" i="1"/>
  <c r="AQ79" i="1"/>
  <c r="AP80" i="1"/>
  <c r="AQ80" i="1"/>
  <c r="AP81" i="1"/>
  <c r="AQ81" i="1"/>
  <c r="AP82" i="1"/>
  <c r="AQ82" i="1"/>
  <c r="AP83" i="1"/>
  <c r="AQ83" i="1"/>
  <c r="AP84" i="1"/>
  <c r="AQ84" i="1"/>
  <c r="AP85" i="1"/>
  <c r="AQ85" i="1"/>
  <c r="AP86" i="1"/>
  <c r="AQ86" i="1"/>
  <c r="AP87" i="1"/>
  <c r="AQ87" i="1"/>
  <c r="AP88" i="1"/>
  <c r="AQ88" i="1"/>
  <c r="AP89" i="1"/>
  <c r="AQ89" i="1"/>
  <c r="AP90" i="1"/>
  <c r="AQ90" i="1"/>
  <c r="AP91" i="1"/>
  <c r="AQ91" i="1"/>
  <c r="AP92" i="1"/>
  <c r="AQ92" i="1"/>
  <c r="AP93" i="1"/>
  <c r="AQ93" i="1"/>
  <c r="AP94" i="1"/>
  <c r="AQ94" i="1"/>
  <c r="AP95" i="1"/>
  <c r="AQ95" i="1"/>
  <c r="AP96" i="1"/>
  <c r="AQ96" i="1"/>
  <c r="AP97" i="1"/>
  <c r="AQ97" i="1"/>
  <c r="AP98" i="1"/>
  <c r="AQ98" i="1"/>
  <c r="AP99" i="1"/>
  <c r="AQ99" i="1"/>
  <c r="AP100" i="1"/>
  <c r="AQ100" i="1"/>
  <c r="AP101" i="1"/>
  <c r="AQ101" i="1"/>
  <c r="AP102" i="1"/>
  <c r="AQ102" i="1"/>
  <c r="AP103" i="1"/>
  <c r="AQ103" i="1"/>
  <c r="AP104" i="1"/>
  <c r="AQ104" i="1"/>
  <c r="AP105" i="1"/>
  <c r="AQ105" i="1"/>
  <c r="AP106" i="1"/>
  <c r="AQ106" i="1"/>
  <c r="AP107" i="1"/>
  <c r="AQ107" i="1"/>
  <c r="AP108" i="1"/>
  <c r="AQ108" i="1"/>
  <c r="AP109" i="1"/>
  <c r="AQ109" i="1"/>
  <c r="AP110" i="1"/>
  <c r="AQ110" i="1"/>
  <c r="AP111" i="1"/>
  <c r="AQ111" i="1"/>
  <c r="AP112" i="1"/>
  <c r="AQ112" i="1"/>
  <c r="AP113" i="1"/>
  <c r="AQ113" i="1"/>
  <c r="AP114" i="1"/>
  <c r="AQ114" i="1"/>
  <c r="AP115" i="1"/>
  <c r="AQ115" i="1"/>
  <c r="AP116" i="1"/>
  <c r="AQ116" i="1"/>
  <c r="AP117" i="1"/>
  <c r="AQ117" i="1"/>
  <c r="AP118" i="1"/>
  <c r="AQ118" i="1"/>
  <c r="AP119" i="1"/>
  <c r="AQ119" i="1"/>
  <c r="AP120" i="1"/>
  <c r="AQ120" i="1"/>
  <c r="AP121" i="1"/>
  <c r="AQ121" i="1"/>
  <c r="AP122" i="1"/>
  <c r="AQ122" i="1"/>
  <c r="AP123" i="1"/>
  <c r="AQ123" i="1"/>
  <c r="AP124" i="1"/>
  <c r="AQ124" i="1"/>
  <c r="AP125" i="1"/>
  <c r="AQ125" i="1"/>
  <c r="AP126" i="1"/>
  <c r="AQ126" i="1"/>
  <c r="AP127" i="1"/>
  <c r="AQ127" i="1"/>
  <c r="AP128" i="1"/>
  <c r="AQ128" i="1"/>
  <c r="AP129" i="1"/>
  <c r="AQ129" i="1"/>
  <c r="AP130" i="1"/>
  <c r="AQ130" i="1"/>
  <c r="AP131" i="1"/>
  <c r="AQ131" i="1"/>
  <c r="AP132" i="1"/>
  <c r="AQ132" i="1"/>
  <c r="AP133" i="1"/>
  <c r="AQ133" i="1"/>
  <c r="AP134" i="1"/>
  <c r="AQ134" i="1"/>
  <c r="AP135" i="1"/>
  <c r="AQ135" i="1"/>
  <c r="AP136" i="1"/>
  <c r="AQ136" i="1"/>
  <c r="AP137" i="1"/>
  <c r="AQ137" i="1"/>
  <c r="AP138" i="1"/>
  <c r="AQ138" i="1"/>
  <c r="AP139" i="1"/>
  <c r="AQ139" i="1"/>
  <c r="AP140" i="1"/>
  <c r="AQ140" i="1"/>
  <c r="AP141" i="1"/>
  <c r="AQ141" i="1"/>
  <c r="AP142" i="1"/>
  <c r="AQ142" i="1"/>
  <c r="AP143" i="1"/>
  <c r="AQ143" i="1"/>
  <c r="AP144" i="1"/>
  <c r="AQ144" i="1"/>
  <c r="AP145" i="1"/>
  <c r="AQ145" i="1"/>
  <c r="AP146" i="1"/>
  <c r="AQ146" i="1"/>
  <c r="AP147" i="1"/>
  <c r="AQ147" i="1"/>
  <c r="AP148" i="1"/>
  <c r="AQ148" i="1"/>
  <c r="AP149" i="1"/>
  <c r="AQ149" i="1"/>
  <c r="AP150" i="1"/>
  <c r="AQ150" i="1"/>
  <c r="AP151" i="1"/>
  <c r="AQ151" i="1"/>
  <c r="AP152" i="1"/>
  <c r="AQ152" i="1"/>
  <c r="AP153" i="1"/>
  <c r="AQ153" i="1"/>
  <c r="AP154" i="1"/>
  <c r="AQ154" i="1"/>
  <c r="AP155" i="1"/>
  <c r="AQ155" i="1"/>
  <c r="AP156" i="1"/>
  <c r="AQ156" i="1"/>
  <c r="AP157" i="1"/>
  <c r="AQ157" i="1"/>
  <c r="AP158" i="1"/>
  <c r="AQ158" i="1"/>
  <c r="AP159" i="1"/>
  <c r="AQ159" i="1"/>
  <c r="AP160" i="1"/>
  <c r="AQ160" i="1"/>
  <c r="AP161" i="1"/>
  <c r="AQ161" i="1"/>
  <c r="AQ61" i="1"/>
  <c r="AP61" i="1"/>
  <c r="AO61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N77" i="12"/>
  <c r="L77" i="12"/>
  <c r="T143" i="1"/>
  <c r="T144" i="1"/>
  <c r="T145" i="1"/>
  <c r="T146" i="1"/>
  <c r="AE39" i="1"/>
  <c r="AJ41" i="1"/>
  <c r="AI41" i="1"/>
  <c r="AG41" i="1"/>
  <c r="AF41" i="1"/>
  <c r="AE41" i="1"/>
  <c r="AH41" i="1"/>
  <c r="AJ40" i="1"/>
  <c r="AI40" i="1"/>
  <c r="AH40" i="1"/>
  <c r="AG40" i="1"/>
  <c r="AE40" i="1"/>
  <c r="AF40" i="1"/>
  <c r="AG39" i="1"/>
  <c r="AB39" i="1"/>
  <c r="AH39" i="1" s="1"/>
  <c r="Q75" i="12"/>
  <c r="Q74" i="12"/>
  <c r="P62" i="12"/>
  <c r="Q62" i="12"/>
  <c r="R62" i="12"/>
  <c r="S62" i="12"/>
  <c r="T62" i="12"/>
  <c r="U62" i="12"/>
  <c r="V62" i="12"/>
  <c r="W62" i="12"/>
  <c r="P63" i="12"/>
  <c r="Q63" i="12"/>
  <c r="R63" i="12"/>
  <c r="S63" i="12"/>
  <c r="T63" i="12"/>
  <c r="L79" i="12" s="1"/>
  <c r="U63" i="12"/>
  <c r="V63" i="12"/>
  <c r="W63" i="12"/>
  <c r="M82" i="12"/>
  <c r="M79" i="12"/>
  <c r="V192" i="1"/>
  <c r="S74" i="12"/>
  <c r="M81" i="12"/>
  <c r="W55" i="13"/>
  <c r="T59" i="12"/>
  <c r="P59" i="12"/>
  <c r="Q59" i="12"/>
  <c r="R59" i="12"/>
  <c r="S59" i="12"/>
  <c r="U59" i="12"/>
  <c r="V59" i="12"/>
  <c r="W59" i="12"/>
  <c r="P60" i="12"/>
  <c r="Q60" i="12"/>
  <c r="R60" i="12"/>
  <c r="S60" i="12"/>
  <c r="T60" i="12"/>
  <c r="U60" i="12"/>
  <c r="V60" i="12"/>
  <c r="W60" i="12"/>
  <c r="P61" i="12"/>
  <c r="Q61" i="12"/>
  <c r="R61" i="12"/>
  <c r="S61" i="12"/>
  <c r="T61" i="12"/>
  <c r="U61" i="12"/>
  <c r="V61" i="12"/>
  <c r="W61" i="12"/>
  <c r="R28" i="13"/>
  <c r="V49" i="13"/>
  <c r="O40" i="13"/>
  <c r="O41" i="13"/>
  <c r="P40" i="13"/>
  <c r="V54" i="13"/>
  <c r="Q40" i="13"/>
  <c r="Y23" i="13"/>
  <c r="V55" i="13" s="1"/>
  <c r="X2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P23" i="13"/>
  <c r="Q23" i="13"/>
  <c r="R23" i="13"/>
  <c r="S23" i="13"/>
  <c r="T23" i="13"/>
  <c r="U23" i="13"/>
  <c r="V23" i="13"/>
  <c r="W23" i="13"/>
  <c r="X23" i="13"/>
  <c r="Z23" i="13"/>
  <c r="AA23" i="13"/>
  <c r="AB23" i="13"/>
  <c r="AC23" i="13"/>
  <c r="AD23" i="13"/>
  <c r="P13" i="13"/>
  <c r="Q13" i="13"/>
  <c r="R13" i="13"/>
  <c r="S13" i="13"/>
  <c r="T13" i="13"/>
  <c r="U13" i="13"/>
  <c r="V13" i="13"/>
  <c r="W13" i="13"/>
  <c r="X13" i="13"/>
  <c r="Y13" i="13"/>
  <c r="V60" i="13" s="1"/>
  <c r="Z13" i="13"/>
  <c r="AA13" i="13"/>
  <c r="AB13" i="13"/>
  <c r="AC13" i="13"/>
  <c r="AD13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W38" i="13" s="1"/>
  <c r="AB14" i="13"/>
  <c r="AC14" i="13"/>
  <c r="X45" i="13" s="1"/>
  <c r="AA45" i="13" s="1"/>
  <c r="AD14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P18" i="13"/>
  <c r="Q18" i="13"/>
  <c r="R18" i="13"/>
  <c r="S18" i="13"/>
  <c r="T18" i="13"/>
  <c r="U18" i="13"/>
  <c r="V18" i="13"/>
  <c r="W18" i="13"/>
  <c r="X18" i="13"/>
  <c r="Y18" i="13"/>
  <c r="V39" i="13" s="1"/>
  <c r="V40" i="13" s="1"/>
  <c r="Z18" i="13"/>
  <c r="AA18" i="13"/>
  <c r="AB18" i="13"/>
  <c r="AC18" i="13"/>
  <c r="X39" i="13" s="1"/>
  <c r="X40" i="13" s="1"/>
  <c r="AD18" i="13"/>
  <c r="P19" i="13"/>
  <c r="Q19" i="13"/>
  <c r="R19" i="13"/>
  <c r="S19" i="13"/>
  <c r="T19" i="13"/>
  <c r="U19" i="13"/>
  <c r="V19" i="13"/>
  <c r="W19" i="13"/>
  <c r="X19" i="13"/>
  <c r="Y19" i="13"/>
  <c r="V45" i="13" s="1"/>
  <c r="Z19" i="13"/>
  <c r="AA19" i="13"/>
  <c r="AB19" i="13"/>
  <c r="AC19" i="13"/>
  <c r="X46" i="13" s="1"/>
  <c r="X47" i="13" s="1"/>
  <c r="X48" i="13" s="1"/>
  <c r="AD19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W46" i="13" s="1"/>
  <c r="W47" i="13" s="1"/>
  <c r="AB20" i="13"/>
  <c r="AC20" i="13"/>
  <c r="AD20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W54" i="13" s="1"/>
  <c r="AB21" i="13"/>
  <c r="AC21" i="13"/>
  <c r="AD21" i="13"/>
  <c r="P22" i="13"/>
  <c r="Q22" i="13"/>
  <c r="R22" i="13"/>
  <c r="S22" i="13"/>
  <c r="T22" i="13"/>
  <c r="U22" i="13"/>
  <c r="V22" i="13"/>
  <c r="W22" i="13"/>
  <c r="Y22" i="13"/>
  <c r="Z22" i="13"/>
  <c r="AA22" i="13"/>
  <c r="AB22" i="13"/>
  <c r="AC22" i="13"/>
  <c r="X54" i="13" s="1"/>
  <c r="AD22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W61" i="13" s="1"/>
  <c r="AB24" i="13"/>
  <c r="AC24" i="13"/>
  <c r="AD24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J13" i="13"/>
  <c r="R80" i="12"/>
  <c r="AJ30" i="13"/>
  <c r="AJ29" i="13"/>
  <c r="AJ23" i="13"/>
  <c r="AJ22" i="13"/>
  <c r="AJ19" i="13"/>
  <c r="AJ33" i="13" s="1"/>
  <c r="AJ15" i="13"/>
  <c r="Z21" i="10"/>
  <c r="W39" i="13"/>
  <c r="W40" i="13" s="1"/>
  <c r="X11" i="13"/>
  <c r="Y11" i="13"/>
  <c r="V53" i="13" s="1"/>
  <c r="Z11" i="13"/>
  <c r="AA11" i="13"/>
  <c r="AB11" i="13"/>
  <c r="AC11" i="13"/>
  <c r="AD11" i="13"/>
  <c r="AD10" i="13"/>
  <c r="W10" i="13"/>
  <c r="AC10" i="13"/>
  <c r="V10" i="13"/>
  <c r="AB10" i="13"/>
  <c r="U10" i="13"/>
  <c r="AA10" i="13"/>
  <c r="T10" i="13"/>
  <c r="Z10" i="13"/>
  <c r="S10" i="13"/>
  <c r="Y10" i="13"/>
  <c r="X10" i="13"/>
  <c r="O3" i="13"/>
  <c r="W11" i="13"/>
  <c r="V11" i="13"/>
  <c r="U11" i="13"/>
  <c r="T11" i="13"/>
  <c r="S11" i="13"/>
  <c r="R11" i="13"/>
  <c r="Q11" i="13"/>
  <c r="P11" i="13"/>
  <c r="R10" i="13"/>
  <c r="Q10" i="13"/>
  <c r="P10" i="13"/>
  <c r="AM15" i="1"/>
  <c r="AM14" i="1"/>
  <c r="AM13" i="1"/>
  <c r="AM11" i="1"/>
  <c r="AM1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" i="1"/>
  <c r="AN11" i="1" s="1"/>
  <c r="BE38" i="2"/>
  <c r="AI39" i="1" l="1"/>
  <c r="AF39" i="1"/>
  <c r="L95" i="13"/>
  <c r="AJ39" i="1"/>
  <c r="V61" i="13"/>
  <c r="V62" i="13" s="1"/>
  <c r="X60" i="13"/>
  <c r="R40" i="13"/>
  <c r="R42" i="13" s="1"/>
  <c r="W60" i="13"/>
  <c r="W62" i="13" s="1"/>
  <c r="V38" i="13"/>
  <c r="V46" i="13"/>
  <c r="V47" i="13" s="1"/>
  <c r="V48" i="13" s="1"/>
  <c r="X61" i="13"/>
  <c r="X53" i="13"/>
  <c r="X55" i="13" s="1"/>
  <c r="W53" i="13"/>
  <c r="Y49" i="13"/>
  <c r="AA49" i="13"/>
  <c r="X49" i="13"/>
  <c r="W41" i="13"/>
  <c r="V41" i="13"/>
  <c r="W45" i="13"/>
  <c r="Z49" i="13" s="1"/>
  <c r="X38" i="13"/>
  <c r="X41" i="13" s="1"/>
  <c r="AJ24" i="13"/>
  <c r="AJ25" i="13" s="1"/>
  <c r="AJ26" i="13"/>
  <c r="AJ27" i="13" s="1"/>
  <c r="AJ31" i="13"/>
  <c r="X62" i="13" l="1"/>
  <c r="K74" i="1" l="1"/>
  <c r="D63" i="1" s="1"/>
  <c r="L92" i="12"/>
  <c r="L91" i="12"/>
  <c r="K92" i="12"/>
  <c r="K90" i="12"/>
  <c r="L89" i="12"/>
  <c r="K91" i="12"/>
  <c r="L90" i="12"/>
  <c r="K89" i="12"/>
  <c r="L78" i="12"/>
  <c r="V204" i="1"/>
  <c r="I73" i="12"/>
  <c r="V56" i="12"/>
  <c r="V57" i="12"/>
  <c r="U52" i="12"/>
  <c r="P56" i="12"/>
  <c r="Q56" i="12"/>
  <c r="R56" i="12"/>
  <c r="S56" i="12"/>
  <c r="T56" i="12"/>
  <c r="U56" i="12"/>
  <c r="W56" i="12"/>
  <c r="P57" i="12"/>
  <c r="Q57" i="12"/>
  <c r="R57" i="12"/>
  <c r="S57" i="12"/>
  <c r="T57" i="12"/>
  <c r="U57" i="12"/>
  <c r="W57" i="12"/>
  <c r="P58" i="12"/>
  <c r="Q58" i="12"/>
  <c r="R58" i="12"/>
  <c r="S58" i="12"/>
  <c r="T58" i="12"/>
  <c r="U58" i="12"/>
  <c r="V58" i="12"/>
  <c r="W58" i="12"/>
  <c r="B31" i="12"/>
  <c r="W38" i="12"/>
  <c r="AT171" i="1"/>
  <c r="Q55" i="12"/>
  <c r="V55" i="12"/>
  <c r="R53" i="12"/>
  <c r="R54" i="12"/>
  <c r="R55" i="12"/>
  <c r="R52" i="12"/>
  <c r="S52" i="12"/>
  <c r="S53" i="12"/>
  <c r="S54" i="12"/>
  <c r="S55" i="12"/>
  <c r="J14" i="12"/>
  <c r="K14" i="12"/>
  <c r="L14" i="12"/>
  <c r="M14" i="12"/>
  <c r="N14" i="12"/>
  <c r="O14" i="12"/>
  <c r="P14" i="12"/>
  <c r="Q14" i="12"/>
  <c r="R14" i="12"/>
  <c r="J15" i="12"/>
  <c r="K15" i="12"/>
  <c r="L15" i="12"/>
  <c r="M15" i="12"/>
  <c r="N15" i="12"/>
  <c r="O15" i="12"/>
  <c r="P15" i="12"/>
  <c r="Q15" i="12"/>
  <c r="R15" i="12"/>
  <c r="J21" i="12"/>
  <c r="K21" i="12"/>
  <c r="L21" i="12"/>
  <c r="M21" i="12"/>
  <c r="N21" i="12"/>
  <c r="O21" i="12"/>
  <c r="P21" i="12"/>
  <c r="Q21" i="12"/>
  <c r="R21" i="12"/>
  <c r="J12" i="12"/>
  <c r="K12" i="12"/>
  <c r="L12" i="12"/>
  <c r="M12" i="12"/>
  <c r="Z37" i="12" s="1"/>
  <c r="N12" i="12"/>
  <c r="O12" i="12"/>
  <c r="P12" i="12"/>
  <c r="Y35" i="12" s="1"/>
  <c r="Q12" i="12"/>
  <c r="R12" i="12"/>
  <c r="J13" i="12"/>
  <c r="K13" i="12"/>
  <c r="L13" i="12"/>
  <c r="M13" i="12"/>
  <c r="N13" i="12"/>
  <c r="O13" i="12"/>
  <c r="P13" i="12"/>
  <c r="Q13" i="12"/>
  <c r="R13" i="12"/>
  <c r="J16" i="12"/>
  <c r="K16" i="12"/>
  <c r="L16" i="12"/>
  <c r="M16" i="12"/>
  <c r="N16" i="12"/>
  <c r="O16" i="12"/>
  <c r="P16" i="12"/>
  <c r="Q16" i="12"/>
  <c r="R16" i="12"/>
  <c r="J17" i="12"/>
  <c r="K17" i="12"/>
  <c r="L17" i="12"/>
  <c r="M17" i="12"/>
  <c r="N17" i="12"/>
  <c r="O17" i="12"/>
  <c r="P17" i="12"/>
  <c r="Q17" i="12"/>
  <c r="R17" i="12"/>
  <c r="AC35" i="12" s="1"/>
  <c r="J18" i="12"/>
  <c r="K18" i="12"/>
  <c r="L18" i="12"/>
  <c r="M18" i="12"/>
  <c r="N18" i="12"/>
  <c r="O18" i="12"/>
  <c r="P18" i="12"/>
  <c r="Q18" i="12"/>
  <c r="AA36" i="12" s="1"/>
  <c r="R18" i="12"/>
  <c r="J19" i="12"/>
  <c r="K19" i="12"/>
  <c r="L19" i="12"/>
  <c r="M19" i="12"/>
  <c r="N19" i="12"/>
  <c r="O19" i="12"/>
  <c r="P19" i="12"/>
  <c r="Q19" i="12"/>
  <c r="R19" i="12"/>
  <c r="J20" i="12"/>
  <c r="K20" i="12"/>
  <c r="L20" i="12"/>
  <c r="M20" i="12"/>
  <c r="N20" i="12"/>
  <c r="O20" i="12"/>
  <c r="P20" i="12"/>
  <c r="Q20" i="12"/>
  <c r="R20" i="12"/>
  <c r="T53" i="12"/>
  <c r="T54" i="12"/>
  <c r="T55" i="12"/>
  <c r="T52" i="12"/>
  <c r="AW29" i="4"/>
  <c r="P53" i="12"/>
  <c r="Q53" i="12"/>
  <c r="U53" i="12"/>
  <c r="V53" i="12"/>
  <c r="W53" i="12"/>
  <c r="P54" i="12"/>
  <c r="Q54" i="12"/>
  <c r="U54" i="12"/>
  <c r="V54" i="12"/>
  <c r="W54" i="12"/>
  <c r="P55" i="12"/>
  <c r="U55" i="12"/>
  <c r="W55" i="12"/>
  <c r="V52" i="12"/>
  <c r="Q52" i="12"/>
  <c r="W52" i="12"/>
  <c r="P52" i="12"/>
  <c r="J11" i="12"/>
  <c r="R23" i="12"/>
  <c r="R24" i="12"/>
  <c r="AC43" i="12" s="1"/>
  <c r="R25" i="12"/>
  <c r="AC44" i="12" s="1"/>
  <c r="R26" i="12"/>
  <c r="R27" i="12"/>
  <c r="AC45" i="12" s="1"/>
  <c r="R11" i="12"/>
  <c r="Q11" i="12"/>
  <c r="Q23" i="12"/>
  <c r="Q24" i="12"/>
  <c r="Q25" i="12"/>
  <c r="Q26" i="12"/>
  <c r="Q27" i="12"/>
  <c r="P11" i="12"/>
  <c r="Y36" i="12"/>
  <c r="P23" i="12"/>
  <c r="P24" i="12"/>
  <c r="P25" i="12"/>
  <c r="P26" i="12"/>
  <c r="P27" i="12"/>
  <c r="O11" i="12"/>
  <c r="O23" i="12"/>
  <c r="O24" i="12"/>
  <c r="O25" i="12"/>
  <c r="O26" i="12"/>
  <c r="O27" i="12"/>
  <c r="K11" i="12"/>
  <c r="L26" i="12"/>
  <c r="K26" i="12"/>
  <c r="J23" i="12"/>
  <c r="N27" i="12"/>
  <c r="M27" i="12"/>
  <c r="L27" i="12"/>
  <c r="K27" i="12"/>
  <c r="J27" i="12"/>
  <c r="N26" i="12"/>
  <c r="M26" i="12"/>
  <c r="J26" i="12"/>
  <c r="N25" i="12"/>
  <c r="M25" i="12"/>
  <c r="L25" i="12"/>
  <c r="K25" i="12"/>
  <c r="J25" i="12"/>
  <c r="N24" i="12"/>
  <c r="M24" i="12"/>
  <c r="L24" i="12"/>
  <c r="X43" i="12" s="1"/>
  <c r="K24" i="12"/>
  <c r="V43" i="12" s="1"/>
  <c r="J24" i="12"/>
  <c r="N23" i="12"/>
  <c r="M23" i="12"/>
  <c r="L23" i="12"/>
  <c r="K23" i="12"/>
  <c r="L11" i="12"/>
  <c r="N11" i="12"/>
  <c r="M11" i="12"/>
  <c r="W3" i="6"/>
  <c r="T74" i="12" l="1"/>
  <c r="T76" i="12" s="1"/>
  <c r="AB45" i="12"/>
  <c r="W43" i="12"/>
  <c r="Z43" i="12"/>
  <c r="X46" i="12"/>
  <c r="AB43" i="12"/>
  <c r="W35" i="12"/>
  <c r="AA38" i="12"/>
  <c r="W45" i="12"/>
  <c r="X45" i="12"/>
  <c r="W46" i="12"/>
  <c r="V45" i="12"/>
  <c r="W44" i="12"/>
  <c r="Y44" i="12"/>
  <c r="Y43" i="12"/>
  <c r="AA46" i="12"/>
  <c r="AA43" i="12"/>
  <c r="Y38" i="12"/>
  <c r="AC46" i="12"/>
  <c r="Z45" i="12"/>
  <c r="AA35" i="12"/>
  <c r="V37" i="12"/>
  <c r="AA37" i="12"/>
  <c r="W37" i="12"/>
  <c r="Y45" i="12"/>
  <c r="AC37" i="12"/>
  <c r="Z35" i="12"/>
  <c r="AB46" i="12"/>
  <c r="Y46" i="12"/>
  <c r="AA44" i="12"/>
  <c r="AC38" i="12"/>
  <c r="V35" i="12"/>
  <c r="Z46" i="12"/>
  <c r="V36" i="12"/>
  <c r="V46" i="12"/>
  <c r="Z38" i="12"/>
  <c r="X35" i="12"/>
  <c r="V38" i="12"/>
  <c r="W36" i="12"/>
  <c r="AC36" i="12"/>
  <c r="Z44" i="12"/>
  <c r="X37" i="12"/>
  <c r="AB44" i="12"/>
  <c r="V44" i="12"/>
  <c r="AA45" i="12"/>
  <c r="X44" i="12"/>
  <c r="X36" i="12"/>
  <c r="AB37" i="12"/>
  <c r="AB36" i="12"/>
  <c r="Z36" i="12"/>
  <c r="AB35" i="12"/>
  <c r="AB38" i="12"/>
  <c r="X38" i="12"/>
  <c r="BD6" i="2" l="1"/>
  <c r="BA5" i="2"/>
  <c r="AZ10" i="2" s="1"/>
  <c r="BA4" i="2"/>
  <c r="AY13" i="1"/>
  <c r="BC4" i="2"/>
  <c r="U285" i="11"/>
  <c r="U278" i="11"/>
  <c r="S185" i="11"/>
  <c r="AB362" i="11"/>
  <c r="S189" i="11"/>
  <c r="AA168" i="11"/>
  <c r="Z168" i="11"/>
  <c r="AF244" i="11"/>
  <c r="AF243" i="11"/>
  <c r="S48" i="11"/>
  <c r="S49" i="11" s="1"/>
  <c r="BD4" i="2" l="1"/>
  <c r="P174" i="11"/>
  <c r="O174" i="11"/>
  <c r="P173" i="11"/>
  <c r="O173" i="11"/>
  <c r="P172" i="11"/>
  <c r="O172" i="11"/>
  <c r="P171" i="11"/>
  <c r="O171" i="11"/>
  <c r="P170" i="11"/>
  <c r="O170" i="11"/>
  <c r="P169" i="11"/>
  <c r="O169" i="11"/>
  <c r="P168" i="11"/>
  <c r="O168" i="11"/>
  <c r="P167" i="11"/>
  <c r="O167" i="11"/>
  <c r="P166" i="11"/>
  <c r="O166" i="11"/>
  <c r="P165" i="11"/>
  <c r="O165" i="11"/>
  <c r="P164" i="11" l="1"/>
  <c r="O164" i="11"/>
  <c r="P163" i="11"/>
  <c r="O163" i="11"/>
  <c r="P162" i="11"/>
  <c r="O162" i="11"/>
  <c r="P161" i="11"/>
  <c r="O161" i="11"/>
  <c r="P160" i="11"/>
  <c r="O160" i="11"/>
  <c r="P159" i="11"/>
  <c r="O159" i="11"/>
  <c r="P158" i="11"/>
  <c r="O158" i="11"/>
  <c r="P157" i="11"/>
  <c r="O157" i="11"/>
  <c r="P156" i="11"/>
  <c r="O156" i="11"/>
  <c r="P155" i="11"/>
  <c r="O155" i="11"/>
  <c r="P154" i="11"/>
  <c r="O154" i="11"/>
  <c r="P153" i="11"/>
  <c r="O153" i="11"/>
  <c r="P152" i="11"/>
  <c r="O152" i="11"/>
  <c r="P151" i="11"/>
  <c r="O151" i="11"/>
  <c r="P150" i="11"/>
  <c r="O150" i="11"/>
  <c r="P149" i="11"/>
  <c r="O149" i="11"/>
  <c r="P148" i="11"/>
  <c r="O148" i="11"/>
  <c r="P147" i="11"/>
  <c r="O147" i="11"/>
  <c r="P146" i="11"/>
  <c r="O146" i="11"/>
  <c r="V139" i="11"/>
  <c r="U139" i="11"/>
  <c r="V138" i="11"/>
  <c r="U138" i="11"/>
  <c r="AA73" i="11"/>
  <c r="W68" i="11"/>
  <c r="AK45" i="11"/>
  <c r="AK44" i="11"/>
  <c r="AK43" i="11"/>
  <c r="AK42" i="11"/>
  <c r="AK41" i="11"/>
  <c r="AK40" i="11"/>
  <c r="AK39" i="11"/>
  <c r="AB39" i="11" s="1"/>
  <c r="AK38" i="11"/>
  <c r="AK37" i="11"/>
  <c r="AK36" i="11"/>
  <c r="AK35" i="11"/>
  <c r="AK34" i="11"/>
  <c r="AK33" i="11"/>
  <c r="AK32" i="11"/>
  <c r="AK31" i="11"/>
  <c r="AK30" i="11"/>
  <c r="AH30" i="11"/>
  <c r="AC30" i="11"/>
  <c r="AK29" i="11"/>
  <c r="O29" i="11"/>
  <c r="AK28" i="11"/>
  <c r="T28" i="11"/>
  <c r="O28" i="11"/>
  <c r="AK27" i="11"/>
  <c r="Z27" i="11"/>
  <c r="I27" i="11"/>
  <c r="AK26" i="11"/>
  <c r="Z26" i="11"/>
  <c r="J26" i="11"/>
  <c r="AN25" i="11"/>
  <c r="K25" i="11"/>
  <c r="AN24" i="11"/>
  <c r="L24" i="11"/>
  <c r="L23" i="11"/>
  <c r="K22" i="11"/>
  <c r="J21" i="11"/>
  <c r="J20" i="11"/>
  <c r="K19" i="11"/>
  <c r="T18" i="11"/>
  <c r="M18" i="11"/>
  <c r="M17" i="11"/>
  <c r="M16" i="11"/>
  <c r="M15" i="11"/>
  <c r="N14" i="11"/>
  <c r="T13" i="11"/>
  <c r="T15" i="11" s="1"/>
  <c r="O12" i="11"/>
  <c r="O11" i="11"/>
  <c r="Q10" i="11"/>
  <c r="Q11" i="11" s="1"/>
  <c r="O10" i="11"/>
  <c r="AM9" i="11"/>
  <c r="AL9" i="11"/>
  <c r="AK9" i="11" s="1"/>
  <c r="AJ9" i="11"/>
  <c r="AH9" i="11"/>
  <c r="AE9" i="11"/>
  <c r="AD9" i="11"/>
  <c r="AC9" i="11" s="1"/>
  <c r="AB9" i="11"/>
  <c r="Z9" i="11"/>
  <c r="N9" i="11"/>
  <c r="AM8" i="11"/>
  <c r="AL8" i="11"/>
  <c r="AJ8" i="11"/>
  <c r="AH8" i="11"/>
  <c r="AE8" i="11"/>
  <c r="AD8" i="11"/>
  <c r="AC8" i="11" s="1"/>
  <c r="AB8" i="11"/>
  <c r="Z8" i="11"/>
  <c r="M8" i="11"/>
  <c r="K8" i="11"/>
  <c r="J8" i="11"/>
  <c r="AM7" i="11"/>
  <c r="AL7" i="11"/>
  <c r="AJ7" i="11"/>
  <c r="AH7" i="11"/>
  <c r="AE7" i="11"/>
  <c r="AD7" i="11"/>
  <c r="AC7" i="11" s="1"/>
  <c r="AB7" i="11"/>
  <c r="Z7" i="11"/>
  <c r="M7" i="11"/>
  <c r="K7" i="11"/>
  <c r="J7" i="11"/>
  <c r="AM6" i="11"/>
  <c r="AL6" i="11"/>
  <c r="AJ6" i="11"/>
  <c r="AH6" i="11"/>
  <c r="AE6" i="11"/>
  <c r="AD6" i="11"/>
  <c r="AC6" i="11" s="1"/>
  <c r="AB6" i="11"/>
  <c r="Z6" i="11"/>
  <c r="N6" i="11"/>
  <c r="M6" i="11"/>
  <c r="L6" i="11"/>
  <c r="K6" i="11"/>
  <c r="J6" i="11"/>
  <c r="AM5" i="11"/>
  <c r="AL5" i="11"/>
  <c r="AJ5" i="11"/>
  <c r="AH5" i="11"/>
  <c r="AE5" i="11"/>
  <c r="AD5" i="11"/>
  <c r="AC5" i="11" s="1"/>
  <c r="AB5" i="11"/>
  <c r="Z5" i="11"/>
  <c r="O5" i="11"/>
  <c r="N5" i="11"/>
  <c r="M5" i="11"/>
  <c r="L5" i="11"/>
  <c r="K5" i="11"/>
  <c r="J5" i="11"/>
  <c r="O4" i="11"/>
  <c r="N4" i="11"/>
  <c r="M4" i="11"/>
  <c r="L4" i="11"/>
  <c r="K4" i="11"/>
  <c r="J4" i="11"/>
  <c r="I4" i="11"/>
  <c r="T3" i="11"/>
  <c r="L32" i="11" s="1"/>
  <c r="O3" i="11"/>
  <c r="N3" i="11"/>
  <c r="M3" i="11"/>
  <c r="L3" i="11"/>
  <c r="K3" i="11"/>
  <c r="J3" i="11"/>
  <c r="I3" i="11"/>
  <c r="O147" i="10" s="1"/>
  <c r="O146" i="10"/>
  <c r="M139" i="10"/>
  <c r="L139" i="10"/>
  <c r="K139" i="10"/>
  <c r="J139" i="10"/>
  <c r="M138" i="10"/>
  <c r="L138" i="10"/>
  <c r="K138" i="10"/>
  <c r="J138" i="10"/>
  <c r="M137" i="10"/>
  <c r="L137" i="10"/>
  <c r="K137" i="10"/>
  <c r="J137" i="10"/>
  <c r="M136" i="10"/>
  <c r="L136" i="10"/>
  <c r="K136" i="10"/>
  <c r="J136" i="10"/>
  <c r="M135" i="10"/>
  <c r="L135" i="10"/>
  <c r="K135" i="10"/>
  <c r="J135" i="10"/>
  <c r="M134" i="10"/>
  <c r="L134" i="10"/>
  <c r="K134" i="10"/>
  <c r="J134" i="10"/>
  <c r="M133" i="10"/>
  <c r="L133" i="10"/>
  <c r="K133" i="10"/>
  <c r="J133" i="10"/>
  <c r="M132" i="10"/>
  <c r="L132" i="10"/>
  <c r="K132" i="10"/>
  <c r="P128" i="10" s="1"/>
  <c r="J132" i="10"/>
  <c r="M131" i="10"/>
  <c r="L131" i="10"/>
  <c r="K131" i="10"/>
  <c r="J131" i="10"/>
  <c r="M130" i="10"/>
  <c r="L130" i="10"/>
  <c r="K130" i="10"/>
  <c r="J130" i="10"/>
  <c r="M129" i="10"/>
  <c r="L129" i="10"/>
  <c r="K129" i="10"/>
  <c r="J129" i="10"/>
  <c r="M128" i="10"/>
  <c r="L128" i="10"/>
  <c r="K128" i="10"/>
  <c r="J128" i="10"/>
  <c r="M127" i="10"/>
  <c r="L127" i="10"/>
  <c r="K127" i="10"/>
  <c r="J127" i="10"/>
  <c r="M126" i="10"/>
  <c r="L126" i="10"/>
  <c r="K126" i="10"/>
  <c r="J126" i="10"/>
  <c r="M125" i="10"/>
  <c r="L125" i="10"/>
  <c r="K125" i="10"/>
  <c r="J125" i="10"/>
  <c r="AB124" i="10"/>
  <c r="X124" i="10"/>
  <c r="W124" i="10"/>
  <c r="V124" i="10"/>
  <c r="S124" i="10"/>
  <c r="R124" i="10"/>
  <c r="M124" i="10"/>
  <c r="L124" i="10"/>
  <c r="K124" i="10"/>
  <c r="J124" i="10"/>
  <c r="AB123" i="10"/>
  <c r="X123" i="10"/>
  <c r="W123" i="10"/>
  <c r="V123" i="10"/>
  <c r="S123" i="10"/>
  <c r="R123" i="10"/>
  <c r="M123" i="10"/>
  <c r="L123" i="10"/>
  <c r="K123" i="10"/>
  <c r="J123" i="10"/>
  <c r="AB122" i="10"/>
  <c r="W122" i="10"/>
  <c r="V122" i="10"/>
  <c r="S122" i="10"/>
  <c r="R122" i="10"/>
  <c r="M122" i="10"/>
  <c r="L122" i="10"/>
  <c r="K122" i="10"/>
  <c r="J122" i="10"/>
  <c r="AB121" i="10"/>
  <c r="X121" i="10"/>
  <c r="W121" i="10"/>
  <c r="V121" i="10"/>
  <c r="S121" i="10"/>
  <c r="R121" i="10"/>
  <c r="M121" i="10"/>
  <c r="L121" i="10"/>
  <c r="K121" i="10"/>
  <c r="J121" i="10"/>
  <c r="AB120" i="10"/>
  <c r="W120" i="10"/>
  <c r="V120" i="10"/>
  <c r="S120" i="10"/>
  <c r="R120" i="10"/>
  <c r="M120" i="10"/>
  <c r="L120" i="10"/>
  <c r="K120" i="10"/>
  <c r="J120" i="10"/>
  <c r="M119" i="10"/>
  <c r="X122" i="10" s="1"/>
  <c r="L119" i="10"/>
  <c r="K119" i="10"/>
  <c r="J119" i="10"/>
  <c r="M118" i="10"/>
  <c r="L118" i="10"/>
  <c r="K118" i="10"/>
  <c r="J118" i="10"/>
  <c r="M117" i="10"/>
  <c r="X120" i="10" s="1"/>
  <c r="L117" i="10"/>
  <c r="K117" i="10"/>
  <c r="J117" i="10"/>
  <c r="M113" i="10"/>
  <c r="L113" i="10"/>
  <c r="K113" i="10"/>
  <c r="J113" i="10"/>
  <c r="M112" i="10"/>
  <c r="L112" i="10"/>
  <c r="K112" i="10"/>
  <c r="J112" i="10"/>
  <c r="M111" i="10"/>
  <c r="L111" i="10"/>
  <c r="K111" i="10"/>
  <c r="J111" i="10"/>
  <c r="M110" i="10"/>
  <c r="L110" i="10"/>
  <c r="K110" i="10"/>
  <c r="J110" i="10"/>
  <c r="M109" i="10"/>
  <c r="L109" i="10"/>
  <c r="K109" i="10"/>
  <c r="J109" i="10"/>
  <c r="M108" i="10"/>
  <c r="L108" i="10"/>
  <c r="K108" i="10"/>
  <c r="J108" i="10"/>
  <c r="M107" i="10"/>
  <c r="L107" i="10"/>
  <c r="K107" i="10"/>
  <c r="J107" i="10"/>
  <c r="M106" i="10"/>
  <c r="L106" i="10"/>
  <c r="K106" i="10"/>
  <c r="J106" i="10"/>
  <c r="M105" i="10"/>
  <c r="L105" i="10"/>
  <c r="K105" i="10"/>
  <c r="J105" i="10"/>
  <c r="M104" i="10"/>
  <c r="L104" i="10"/>
  <c r="K104" i="10"/>
  <c r="J104" i="10"/>
  <c r="M103" i="10"/>
  <c r="L103" i="10"/>
  <c r="K103" i="10"/>
  <c r="J103" i="10"/>
  <c r="M102" i="10"/>
  <c r="L102" i="10"/>
  <c r="K102" i="10"/>
  <c r="J102" i="10"/>
  <c r="M101" i="10"/>
  <c r="L101" i="10"/>
  <c r="K101" i="10"/>
  <c r="J101" i="10"/>
  <c r="M100" i="10"/>
  <c r="L100" i="10"/>
  <c r="K100" i="10"/>
  <c r="J100" i="10"/>
  <c r="M99" i="10"/>
  <c r="L99" i="10"/>
  <c r="K99" i="10"/>
  <c r="J99" i="10"/>
  <c r="M98" i="10"/>
  <c r="L98" i="10"/>
  <c r="K98" i="10"/>
  <c r="J98" i="10"/>
  <c r="M97" i="10"/>
  <c r="L97" i="10"/>
  <c r="K97" i="10"/>
  <c r="J97" i="10"/>
  <c r="M96" i="10"/>
  <c r="L96" i="10"/>
  <c r="K96" i="10"/>
  <c r="J96" i="10"/>
  <c r="M95" i="10"/>
  <c r="L95" i="10"/>
  <c r="K95" i="10"/>
  <c r="J95" i="10"/>
  <c r="M94" i="10"/>
  <c r="L94" i="10"/>
  <c r="K94" i="10"/>
  <c r="J94" i="10"/>
  <c r="M93" i="10"/>
  <c r="L93" i="10"/>
  <c r="K93" i="10"/>
  <c r="J93" i="10"/>
  <c r="O92" i="10"/>
  <c r="M92" i="10"/>
  <c r="L92" i="10"/>
  <c r="K92" i="10"/>
  <c r="J92" i="10"/>
  <c r="M91" i="10"/>
  <c r="L91" i="10"/>
  <c r="K91" i="10"/>
  <c r="J91" i="10"/>
  <c r="M87" i="10"/>
  <c r="L87" i="10"/>
  <c r="K87" i="10"/>
  <c r="J87" i="10"/>
  <c r="M86" i="10"/>
  <c r="L86" i="10"/>
  <c r="K86" i="10"/>
  <c r="J86" i="10"/>
  <c r="M85" i="10"/>
  <c r="L85" i="10"/>
  <c r="K85" i="10"/>
  <c r="J85" i="10"/>
  <c r="M84" i="10"/>
  <c r="L84" i="10"/>
  <c r="K84" i="10"/>
  <c r="J84" i="10"/>
  <c r="M83" i="10"/>
  <c r="L83" i="10"/>
  <c r="K83" i="10"/>
  <c r="J83" i="10"/>
  <c r="M82" i="10"/>
  <c r="L82" i="10"/>
  <c r="K82" i="10"/>
  <c r="J82" i="10"/>
  <c r="M81" i="10"/>
  <c r="L81" i="10"/>
  <c r="K81" i="10"/>
  <c r="J81" i="10"/>
  <c r="M80" i="10"/>
  <c r="L80" i="10"/>
  <c r="K80" i="10"/>
  <c r="J80" i="10"/>
  <c r="M79" i="10"/>
  <c r="L79" i="10"/>
  <c r="K79" i="10"/>
  <c r="J79" i="10"/>
  <c r="M78" i="10"/>
  <c r="L78" i="10"/>
  <c r="K78" i="10"/>
  <c r="J78" i="10"/>
  <c r="M77" i="10"/>
  <c r="L77" i="10"/>
  <c r="K77" i="10"/>
  <c r="J77" i="10"/>
  <c r="M76" i="10"/>
  <c r="L76" i="10"/>
  <c r="K76" i="10"/>
  <c r="J76" i="10"/>
  <c r="M75" i="10"/>
  <c r="L75" i="10"/>
  <c r="K75" i="10"/>
  <c r="J75" i="10"/>
  <c r="M74" i="10"/>
  <c r="L74" i="10"/>
  <c r="K74" i="10"/>
  <c r="J74" i="10"/>
  <c r="M73" i="10"/>
  <c r="L73" i="10"/>
  <c r="K73" i="10"/>
  <c r="J73" i="10"/>
  <c r="M72" i="10"/>
  <c r="L72" i="10"/>
  <c r="K72" i="10"/>
  <c r="J72" i="10"/>
  <c r="O71" i="10"/>
  <c r="O72" i="10" s="1"/>
  <c r="M71" i="10"/>
  <c r="L71" i="10"/>
  <c r="K71" i="10"/>
  <c r="J71" i="10"/>
  <c r="M70" i="10"/>
  <c r="L70" i="10"/>
  <c r="K70" i="10"/>
  <c r="J70" i="10"/>
  <c r="M69" i="10"/>
  <c r="L69" i="10"/>
  <c r="K69" i="10"/>
  <c r="J69" i="10"/>
  <c r="M68" i="10"/>
  <c r="H45" i="10" s="1"/>
  <c r="L68" i="10"/>
  <c r="K68" i="10"/>
  <c r="J68" i="10"/>
  <c r="M67" i="10"/>
  <c r="L67" i="10"/>
  <c r="K67" i="10"/>
  <c r="J67" i="10"/>
  <c r="M66" i="10"/>
  <c r="H43" i="10" s="1"/>
  <c r="L66" i="10"/>
  <c r="K66" i="10"/>
  <c r="J66" i="10"/>
  <c r="M65" i="10"/>
  <c r="L65" i="10"/>
  <c r="K65" i="10"/>
  <c r="O69" i="10" s="1"/>
  <c r="J65" i="10"/>
  <c r="H58" i="10"/>
  <c r="G58" i="10"/>
  <c r="N55" i="10"/>
  <c r="L54" i="10"/>
  <c r="G54" i="10"/>
  <c r="F54" i="10"/>
  <c r="C54" i="10"/>
  <c r="B54" i="10"/>
  <c r="L53" i="10"/>
  <c r="G53" i="10"/>
  <c r="F53" i="10"/>
  <c r="C53" i="10"/>
  <c r="B53" i="10"/>
  <c r="L52" i="10"/>
  <c r="G52" i="10"/>
  <c r="F52" i="10"/>
  <c r="C52" i="10"/>
  <c r="B52" i="10"/>
  <c r="L51" i="10"/>
  <c r="G51" i="10"/>
  <c r="F51" i="10"/>
  <c r="C51" i="10"/>
  <c r="B51" i="10"/>
  <c r="L50" i="10"/>
  <c r="G50" i="10"/>
  <c r="F50" i="10"/>
  <c r="C50" i="10"/>
  <c r="B50" i="10"/>
  <c r="L46" i="10"/>
  <c r="G46" i="10"/>
  <c r="F46" i="10"/>
  <c r="C46" i="10"/>
  <c r="B46" i="10"/>
  <c r="L45" i="10"/>
  <c r="G45" i="10"/>
  <c r="F45" i="10"/>
  <c r="C45" i="10"/>
  <c r="B45" i="10"/>
  <c r="L44" i="10"/>
  <c r="H44" i="10"/>
  <c r="G44" i="10"/>
  <c r="F44" i="10"/>
  <c r="C44" i="10"/>
  <c r="B44" i="10"/>
  <c r="L43" i="10"/>
  <c r="G43" i="10"/>
  <c r="F43" i="10"/>
  <c r="C43" i="10"/>
  <c r="B43" i="10"/>
  <c r="L42" i="10"/>
  <c r="H42" i="10"/>
  <c r="G42" i="10"/>
  <c r="F42" i="10"/>
  <c r="C42" i="10"/>
  <c r="B42" i="10"/>
  <c r="L37" i="10"/>
  <c r="G37" i="10"/>
  <c r="F37" i="10"/>
  <c r="C37" i="10"/>
  <c r="B37" i="10"/>
  <c r="L36" i="10"/>
  <c r="G36" i="10"/>
  <c r="F36" i="10"/>
  <c r="C36" i="10"/>
  <c r="B36" i="10"/>
  <c r="L35" i="10"/>
  <c r="G35" i="10"/>
  <c r="F35" i="10"/>
  <c r="C35" i="10"/>
  <c r="B35" i="10"/>
  <c r="L34" i="10"/>
  <c r="G34" i="10"/>
  <c r="F34" i="10"/>
  <c r="C34" i="10"/>
  <c r="B34" i="10"/>
  <c r="L33" i="10"/>
  <c r="E50" i="11" l="1"/>
  <c r="E74" i="11"/>
  <c r="E51" i="11"/>
  <c r="O67" i="11"/>
  <c r="O66" i="11"/>
  <c r="O81" i="11"/>
  <c r="O80" i="11"/>
  <c r="U98" i="11"/>
  <c r="Q64" i="11"/>
  <c r="E49" i="11"/>
  <c r="W99" i="11"/>
  <c r="Q65" i="11"/>
  <c r="U99" i="11"/>
  <c r="W98" i="11"/>
  <c r="E48" i="11"/>
  <c r="K9" i="11"/>
  <c r="L10" i="11"/>
  <c r="L11" i="11"/>
  <c r="L12" i="11"/>
  <c r="M13" i="11"/>
  <c r="K14" i="11"/>
  <c r="J15" i="11"/>
  <c r="J16" i="11"/>
  <c r="J17" i="11"/>
  <c r="J18" i="11"/>
  <c r="AS18" i="11"/>
  <c r="O20" i="11"/>
  <c r="O21" i="11"/>
  <c r="I23" i="11"/>
  <c r="I24" i="11"/>
  <c r="T25" i="11"/>
  <c r="T27" i="11" s="1"/>
  <c r="O26" i="11"/>
  <c r="N27" i="11"/>
  <c r="L28" i="11"/>
  <c r="K29" i="11"/>
  <c r="F58" i="11" s="1"/>
  <c r="K30" i="11"/>
  <c r="L31" i="11"/>
  <c r="O32" i="11"/>
  <c r="E71" i="11"/>
  <c r="E70" i="11"/>
  <c r="W69" i="11" s="1"/>
  <c r="F50" i="11"/>
  <c r="F74" i="11"/>
  <c r="F51" i="11"/>
  <c r="W93" i="11"/>
  <c r="X92" i="11" s="1"/>
  <c r="W92" i="11"/>
  <c r="P66" i="11"/>
  <c r="P81" i="11"/>
  <c r="P80" i="11"/>
  <c r="X93" i="11"/>
  <c r="P67" i="11"/>
  <c r="F49" i="11"/>
  <c r="R65" i="11"/>
  <c r="V99" i="11"/>
  <c r="F48" i="11"/>
  <c r="V98" i="11"/>
  <c r="R64" i="11"/>
  <c r="L9" i="11"/>
  <c r="M10" i="11"/>
  <c r="M11" i="11"/>
  <c r="M12" i="11"/>
  <c r="N13" i="11"/>
  <c r="L14" i="11"/>
  <c r="K15" i="11"/>
  <c r="K16" i="11"/>
  <c r="K17" i="11"/>
  <c r="K18" i="11"/>
  <c r="I19" i="11"/>
  <c r="T19" i="11"/>
  <c r="T20" i="11" s="1"/>
  <c r="I22" i="11"/>
  <c r="J23" i="11"/>
  <c r="Q18" i="11" s="1"/>
  <c r="J24" i="11"/>
  <c r="I25" i="11"/>
  <c r="T26" i="11"/>
  <c r="O27" i="11"/>
  <c r="M28" i="11"/>
  <c r="L29" i="11"/>
  <c r="L30" i="11"/>
  <c r="N31" i="11"/>
  <c r="K44" i="11"/>
  <c r="AA37" i="11"/>
  <c r="AA39" i="11"/>
  <c r="AB38" i="11"/>
  <c r="AA38" i="11"/>
  <c r="AB37" i="11"/>
  <c r="F71" i="11"/>
  <c r="F70" i="11"/>
  <c r="L7" i="11"/>
  <c r="L8" i="11"/>
  <c r="M9" i="11"/>
  <c r="N10" i="11"/>
  <c r="N11" i="11"/>
  <c r="N12" i="11"/>
  <c r="O13" i="11"/>
  <c r="M14" i="11"/>
  <c r="L15" i="11"/>
  <c r="L16" i="11"/>
  <c r="L17" i="11"/>
  <c r="L18" i="11"/>
  <c r="J19" i="11"/>
  <c r="I20" i="11"/>
  <c r="I21" i="11"/>
  <c r="J22" i="11"/>
  <c r="K23" i="11"/>
  <c r="K24" i="11"/>
  <c r="J25" i="11"/>
  <c r="I26" i="11"/>
  <c r="N28" i="11"/>
  <c r="M29" i="11"/>
  <c r="N30" i="11"/>
  <c r="O31" i="11"/>
  <c r="K33" i="11"/>
  <c r="N7" i="11"/>
  <c r="N8" i="11"/>
  <c r="AK8" i="11"/>
  <c r="O9" i="11"/>
  <c r="I13" i="11"/>
  <c r="AA51" i="11"/>
  <c r="W25" i="11"/>
  <c r="AA52" i="11"/>
  <c r="AA53" i="11" s="1"/>
  <c r="S50" i="11"/>
  <c r="AQ212" i="11"/>
  <c r="AI210" i="11"/>
  <c r="AJ207" i="11"/>
  <c r="AQ204" i="11"/>
  <c r="AI202" i="11"/>
  <c r="AJ199" i="11"/>
  <c r="AQ196" i="11"/>
  <c r="AJ196" i="11"/>
  <c r="AQ203" i="11"/>
  <c r="AJ212" i="11"/>
  <c r="AQ209" i="11"/>
  <c r="AI207" i="11"/>
  <c r="AJ204" i="11"/>
  <c r="AQ201" i="11"/>
  <c r="AI199" i="11"/>
  <c r="AI212" i="11"/>
  <c r="AJ209" i="11"/>
  <c r="AQ206" i="11"/>
  <c r="AI204" i="11"/>
  <c r="AJ201" i="11"/>
  <c r="AQ198" i="11"/>
  <c r="AJ206" i="11"/>
  <c r="AQ210" i="11"/>
  <c r="AI208" i="11"/>
  <c r="AJ205" i="11"/>
  <c r="AQ202" i="11"/>
  <c r="AI200" i="11"/>
  <c r="AJ197" i="11"/>
  <c r="AQ211" i="11"/>
  <c r="AJ198" i="11"/>
  <c r="AJ210" i="11"/>
  <c r="AQ207" i="11"/>
  <c r="AI205" i="11"/>
  <c r="AJ202" i="11"/>
  <c r="AQ199" i="11"/>
  <c r="AI197" i="11"/>
  <c r="AI209" i="11"/>
  <c r="AI201" i="11"/>
  <c r="AJ200" i="11"/>
  <c r="AQ197" i="11"/>
  <c r="AI206" i="11"/>
  <c r="AQ208" i="11"/>
  <c r="AI198" i="11"/>
  <c r="AJ203" i="11"/>
  <c r="AJ208" i="11"/>
  <c r="AQ205" i="11"/>
  <c r="AJ211" i="11"/>
  <c r="AI211" i="11"/>
  <c r="AI203" i="11"/>
  <c r="AQ200" i="11"/>
  <c r="AQ193" i="11"/>
  <c r="AI192" i="11"/>
  <c r="AI196" i="11"/>
  <c r="AJ193" i="11"/>
  <c r="AQ195" i="11"/>
  <c r="AI193" i="11"/>
  <c r="AJ195" i="11"/>
  <c r="AJ194" i="11"/>
  <c r="AQ194" i="11"/>
  <c r="AI194" i="11"/>
  <c r="AJ192" i="11"/>
  <c r="AI195" i="11"/>
  <c r="W113" i="11"/>
  <c r="K57" i="11"/>
  <c r="J55" i="11"/>
  <c r="K52" i="11"/>
  <c r="K50" i="11"/>
  <c r="J47" i="11"/>
  <c r="K43" i="11"/>
  <c r="W108" i="11"/>
  <c r="J57" i="11"/>
  <c r="I55" i="11"/>
  <c r="J52" i="11"/>
  <c r="J50" i="11"/>
  <c r="I47" i="11"/>
  <c r="W112" i="11"/>
  <c r="W107" i="11"/>
  <c r="W106" i="11"/>
  <c r="I57" i="11"/>
  <c r="F57" i="11" s="1"/>
  <c r="K54" i="11"/>
  <c r="I52" i="11"/>
  <c r="I50" i="11"/>
  <c r="K48" i="11"/>
  <c r="K45" i="11"/>
  <c r="J44" i="11"/>
  <c r="I43" i="11"/>
  <c r="K58" i="11"/>
  <c r="J54" i="11"/>
  <c r="K51" i="11"/>
  <c r="J48" i="11"/>
  <c r="J45" i="11"/>
  <c r="I44" i="11"/>
  <c r="W111" i="11"/>
  <c r="J58" i="11"/>
  <c r="K56" i="11"/>
  <c r="I54" i="11"/>
  <c r="J51" i="11"/>
  <c r="I48" i="11"/>
  <c r="K46" i="11"/>
  <c r="I45" i="11"/>
  <c r="T42" i="11"/>
  <c r="W110" i="11"/>
  <c r="I58" i="11"/>
  <c r="J56" i="11"/>
  <c r="K53" i="11"/>
  <c r="I51" i="11"/>
  <c r="K49" i="11"/>
  <c r="J46" i="11"/>
  <c r="I56" i="11"/>
  <c r="J53" i="11"/>
  <c r="J49" i="11"/>
  <c r="I46" i="11"/>
  <c r="W109" i="11"/>
  <c r="K55" i="11"/>
  <c r="I53" i="11"/>
  <c r="I49" i="11"/>
  <c r="K47" i="11"/>
  <c r="O14" i="11"/>
  <c r="N15" i="11"/>
  <c r="N16" i="11"/>
  <c r="N17" i="11"/>
  <c r="N18" i="11"/>
  <c r="L19" i="11"/>
  <c r="K20" i="11"/>
  <c r="X94" i="11" s="1"/>
  <c r="K21" i="11"/>
  <c r="L22" i="11"/>
  <c r="M23" i="11"/>
  <c r="M24" i="11"/>
  <c r="L25" i="11"/>
  <c r="K26" i="11"/>
  <c r="J27" i="11"/>
  <c r="T29" i="11"/>
  <c r="AK5" i="11"/>
  <c r="O6" i="11"/>
  <c r="AK6" i="11"/>
  <c r="O7" i="11"/>
  <c r="AK7" i="11"/>
  <c r="O8" i="11"/>
  <c r="I10" i="11"/>
  <c r="I11" i="11"/>
  <c r="I12" i="11"/>
  <c r="J13" i="11"/>
  <c r="AC13" i="11"/>
  <c r="O15" i="11"/>
  <c r="O16" i="11"/>
  <c r="O17" i="11"/>
  <c r="O18" i="11"/>
  <c r="M19" i="11"/>
  <c r="L20" i="11"/>
  <c r="L21" i="11"/>
  <c r="M22" i="11"/>
  <c r="N23" i="11"/>
  <c r="N24" i="11"/>
  <c r="M25" i="11"/>
  <c r="L26" i="11"/>
  <c r="K27" i="11"/>
  <c r="N44" i="11" s="1"/>
  <c r="I28" i="11"/>
  <c r="J32" i="11"/>
  <c r="Q5" i="11"/>
  <c r="Q6" i="11"/>
  <c r="I9" i="11"/>
  <c r="J10" i="11"/>
  <c r="E75" i="11" s="1"/>
  <c r="J11" i="11"/>
  <c r="O72" i="11" s="1"/>
  <c r="J12" i="11"/>
  <c r="K13" i="11"/>
  <c r="I14" i="11"/>
  <c r="AC14" i="11"/>
  <c r="Y15" i="11"/>
  <c r="Y16" i="11"/>
  <c r="AS17" i="11"/>
  <c r="N19" i="11"/>
  <c r="M20" i="11"/>
  <c r="M21" i="11"/>
  <c r="N22" i="11"/>
  <c r="O23" i="11"/>
  <c r="O24" i="11"/>
  <c r="N25" i="11"/>
  <c r="M26" i="11"/>
  <c r="L27" i="11"/>
  <c r="J28" i="11"/>
  <c r="I29" i="11"/>
  <c r="I30" i="11"/>
  <c r="I31" i="11"/>
  <c r="Q352" i="11"/>
  <c r="I352" i="11"/>
  <c r="J351" i="11"/>
  <c r="K350" i="11"/>
  <c r="L349" i="11"/>
  <c r="M348" i="11"/>
  <c r="N347" i="11"/>
  <c r="O346" i="11"/>
  <c r="P345" i="11"/>
  <c r="Q344" i="11"/>
  <c r="I344" i="11"/>
  <c r="J343" i="11"/>
  <c r="K342" i="11"/>
  <c r="L341" i="11"/>
  <c r="M340" i="11"/>
  <c r="N339" i="11"/>
  <c r="O338" i="11"/>
  <c r="P337" i="11"/>
  <c r="Q336" i="11"/>
  <c r="I336" i="11"/>
  <c r="J335" i="11"/>
  <c r="K334" i="11"/>
  <c r="L333" i="11"/>
  <c r="M332" i="11"/>
  <c r="N331" i="11"/>
  <c r="O330" i="11"/>
  <c r="P329" i="11"/>
  <c r="I315" i="11"/>
  <c r="Q315" i="11"/>
  <c r="N319" i="11"/>
  <c r="M302" i="11"/>
  <c r="L303" i="11"/>
  <c r="K304" i="11"/>
  <c r="J305" i="11"/>
  <c r="I306" i="11"/>
  <c r="Q306" i="11"/>
  <c r="P307" i="11"/>
  <c r="O308" i="11"/>
  <c r="N309" i="11"/>
  <c r="M310" i="11"/>
  <c r="L311" i="11"/>
  <c r="K312" i="11"/>
  <c r="J313" i="11"/>
  <c r="I314" i="11"/>
  <c r="Q314" i="11"/>
  <c r="P316" i="11"/>
  <c r="O317" i="11"/>
  <c r="N318" i="11"/>
  <c r="M320" i="11"/>
  <c r="L321" i="11"/>
  <c r="K322" i="11"/>
  <c r="J323" i="11"/>
  <c r="I324" i="11"/>
  <c r="Q324" i="11"/>
  <c r="AA173" i="11"/>
  <c r="AB166" i="11"/>
  <c r="P211" i="11"/>
  <c r="O212" i="11"/>
  <c r="N213" i="11"/>
  <c r="M214" i="11"/>
  <c r="L215" i="11"/>
  <c r="K216" i="11"/>
  <c r="J217" i="11"/>
  <c r="I218" i="11"/>
  <c r="Q218" i="11"/>
  <c r="P219" i="11"/>
  <c r="O220" i="11"/>
  <c r="N221" i="11"/>
  <c r="M222" i="11"/>
  <c r="L223" i="11"/>
  <c r="K224" i="11"/>
  <c r="J225" i="11"/>
  <c r="I226" i="11"/>
  <c r="Q226" i="11"/>
  <c r="P352" i="11"/>
  <c r="Q351" i="11"/>
  <c r="I351" i="11"/>
  <c r="J350" i="11"/>
  <c r="K349" i="11"/>
  <c r="L348" i="11"/>
  <c r="M347" i="11"/>
  <c r="N346" i="11"/>
  <c r="O345" i="11"/>
  <c r="P344" i="11"/>
  <c r="Q343" i="11"/>
  <c r="I343" i="11"/>
  <c r="J342" i="11"/>
  <c r="K341" i="11"/>
  <c r="L340" i="11"/>
  <c r="M339" i="11"/>
  <c r="N338" i="11"/>
  <c r="O337" i="11"/>
  <c r="P336" i="11"/>
  <c r="Q335" i="11"/>
  <c r="I335" i="11"/>
  <c r="J334" i="11"/>
  <c r="K333" i="11"/>
  <c r="L332" i="11"/>
  <c r="M331" i="11"/>
  <c r="N330" i="11"/>
  <c r="O329" i="11"/>
  <c r="J315" i="11"/>
  <c r="N278" i="11"/>
  <c r="O319" i="11"/>
  <c r="N302" i="11"/>
  <c r="M303" i="11"/>
  <c r="L304" i="11"/>
  <c r="K305" i="11"/>
  <c r="J306" i="11"/>
  <c r="I307" i="11"/>
  <c r="Q307" i="11"/>
  <c r="P308" i="11"/>
  <c r="O309" i="11"/>
  <c r="N310" i="11"/>
  <c r="M311" i="11"/>
  <c r="L312" i="11"/>
  <c r="K313" i="11"/>
  <c r="J314" i="11"/>
  <c r="I316" i="11"/>
  <c r="Q316" i="11"/>
  <c r="P317" i="11"/>
  <c r="O318" i="11"/>
  <c r="N320" i="11"/>
  <c r="M321" i="11"/>
  <c r="L322" i="11"/>
  <c r="K323" i="11"/>
  <c r="J324" i="11"/>
  <c r="AA174" i="11"/>
  <c r="AB167" i="11"/>
  <c r="I211" i="11"/>
  <c r="Q211" i="11"/>
  <c r="P212" i="11"/>
  <c r="O213" i="11"/>
  <c r="N214" i="11"/>
  <c r="M215" i="11"/>
  <c r="L216" i="11"/>
  <c r="K217" i="11"/>
  <c r="J218" i="11"/>
  <c r="I219" i="11"/>
  <c r="Q219" i="11"/>
  <c r="P220" i="11"/>
  <c r="O221" i="11"/>
  <c r="N222" i="11"/>
  <c r="M223" i="11"/>
  <c r="L224" i="11"/>
  <c r="K225" i="11"/>
  <c r="J226" i="11"/>
  <c r="I227" i="11"/>
  <c r="Q227" i="11"/>
  <c r="P228" i="11"/>
  <c r="O229" i="11"/>
  <c r="N230" i="11"/>
  <c r="M181" i="11"/>
  <c r="M182" i="11"/>
  <c r="O352" i="11"/>
  <c r="P351" i="11"/>
  <c r="Q350" i="11"/>
  <c r="I350" i="11"/>
  <c r="J349" i="11"/>
  <c r="K348" i="11"/>
  <c r="L347" i="11"/>
  <c r="M346" i="11"/>
  <c r="N345" i="11"/>
  <c r="O344" i="11"/>
  <c r="P343" i="11"/>
  <c r="Q342" i="11"/>
  <c r="I342" i="11"/>
  <c r="J341" i="11"/>
  <c r="K340" i="11"/>
  <c r="L339" i="11"/>
  <c r="M338" i="11"/>
  <c r="N337" i="11"/>
  <c r="O336" i="11"/>
  <c r="P335" i="11"/>
  <c r="Q334" i="11"/>
  <c r="I334" i="11"/>
  <c r="J333" i="11"/>
  <c r="K332" i="11"/>
  <c r="L331" i="11"/>
  <c r="M330" i="11"/>
  <c r="N329" i="11"/>
  <c r="K315" i="11"/>
  <c r="P319" i="11"/>
  <c r="O302" i="11"/>
  <c r="N303" i="11"/>
  <c r="M304" i="11"/>
  <c r="L305" i="11"/>
  <c r="K306" i="11"/>
  <c r="J307" i="11"/>
  <c r="I308" i="11"/>
  <c r="Q308" i="11"/>
  <c r="P309" i="11"/>
  <c r="O310" i="11"/>
  <c r="N311" i="11"/>
  <c r="M312" i="11"/>
  <c r="L313" i="11"/>
  <c r="K314" i="11"/>
  <c r="J316" i="11"/>
  <c r="I317" i="11"/>
  <c r="Q317" i="11"/>
  <c r="P318" i="11"/>
  <c r="O320" i="11"/>
  <c r="N321" i="11"/>
  <c r="M322" i="11"/>
  <c r="L323" i="11"/>
  <c r="K324" i="11"/>
  <c r="AA175" i="11"/>
  <c r="Q181" i="11"/>
  <c r="J211" i="11"/>
  <c r="I212" i="11"/>
  <c r="Q212" i="11"/>
  <c r="P213" i="11"/>
  <c r="O214" i="11"/>
  <c r="N215" i="11"/>
  <c r="M216" i="11"/>
  <c r="L217" i="11"/>
  <c r="K218" i="11"/>
  <c r="J219" i="11"/>
  <c r="I220" i="11"/>
  <c r="Q220" i="11"/>
  <c r="P221" i="11"/>
  <c r="O222" i="11"/>
  <c r="N223" i="11"/>
  <c r="M224" i="11"/>
  <c r="L225" i="11"/>
  <c r="K226" i="11"/>
  <c r="J227" i="11"/>
  <c r="I228" i="11"/>
  <c r="Q228" i="11"/>
  <c r="P229" i="11"/>
  <c r="O230" i="11"/>
  <c r="N181" i="11"/>
  <c r="N182" i="11"/>
  <c r="M183" i="11"/>
  <c r="N352" i="11"/>
  <c r="O351" i="11"/>
  <c r="P350" i="11"/>
  <c r="Q349" i="11"/>
  <c r="I349" i="11"/>
  <c r="J348" i="11"/>
  <c r="K347" i="11"/>
  <c r="L346" i="11"/>
  <c r="M345" i="11"/>
  <c r="N344" i="11"/>
  <c r="O343" i="11"/>
  <c r="P342" i="11"/>
  <c r="Q341" i="11"/>
  <c r="I341" i="11"/>
  <c r="J340" i="11"/>
  <c r="K339" i="11"/>
  <c r="L338" i="11"/>
  <c r="M337" i="11"/>
  <c r="N336" i="11"/>
  <c r="O335" i="11"/>
  <c r="P334" i="11"/>
  <c r="Q333" i="11"/>
  <c r="I333" i="11"/>
  <c r="J332" i="11"/>
  <c r="K331" i="11"/>
  <c r="L330" i="11"/>
  <c r="M329" i="11"/>
  <c r="L315" i="11"/>
  <c r="I319" i="11"/>
  <c r="Q319" i="11"/>
  <c r="P302" i="11"/>
  <c r="O303" i="11"/>
  <c r="N304" i="11"/>
  <c r="M305" i="11"/>
  <c r="L306" i="11"/>
  <c r="K307" i="11"/>
  <c r="J308" i="11"/>
  <c r="I309" i="11"/>
  <c r="Q309" i="11"/>
  <c r="P310" i="11"/>
  <c r="O311" i="11"/>
  <c r="N312" i="11"/>
  <c r="M313" i="11"/>
  <c r="L314" i="11"/>
  <c r="K316" i="11"/>
  <c r="J317" i="11"/>
  <c r="I318" i="11"/>
  <c r="Q318" i="11"/>
  <c r="P320" i="11"/>
  <c r="O321" i="11"/>
  <c r="N322" i="11"/>
  <c r="M323" i="11"/>
  <c r="L324" i="11"/>
  <c r="AA176" i="11"/>
  <c r="S149" i="11"/>
  <c r="K211" i="11"/>
  <c r="J212" i="11"/>
  <c r="I213" i="11"/>
  <c r="Q213" i="11"/>
  <c r="P214" i="11"/>
  <c r="O215" i="11"/>
  <c r="N216" i="11"/>
  <c r="M217" i="11"/>
  <c r="L218" i="11"/>
  <c r="K219" i="11"/>
  <c r="J220" i="11"/>
  <c r="I221" i="11"/>
  <c r="Q221" i="11"/>
  <c r="P222" i="11"/>
  <c r="O223" i="11"/>
  <c r="M352" i="11"/>
  <c r="N351" i="11"/>
  <c r="O350" i="11"/>
  <c r="P349" i="11"/>
  <c r="Q348" i="11"/>
  <c r="I348" i="11"/>
  <c r="J347" i="11"/>
  <c r="K346" i="11"/>
  <c r="L345" i="11"/>
  <c r="M344" i="11"/>
  <c r="N343" i="11"/>
  <c r="O342" i="11"/>
  <c r="P341" i="11"/>
  <c r="Q340" i="11"/>
  <c r="I340" i="11"/>
  <c r="J339" i="11"/>
  <c r="K338" i="11"/>
  <c r="L337" i="11"/>
  <c r="M336" i="11"/>
  <c r="N335" i="11"/>
  <c r="O334" i="11"/>
  <c r="P333" i="11"/>
  <c r="Q332" i="11"/>
  <c r="I332" i="11"/>
  <c r="J331" i="11"/>
  <c r="K330" i="11"/>
  <c r="L329" i="11"/>
  <c r="M315" i="11"/>
  <c r="J319" i="11"/>
  <c r="I302" i="11"/>
  <c r="Q302" i="11"/>
  <c r="P303" i="11"/>
  <c r="O304" i="11"/>
  <c r="N305" i="11"/>
  <c r="M306" i="11"/>
  <c r="L307" i="11"/>
  <c r="K308" i="11"/>
  <c r="J309" i="11"/>
  <c r="I310" i="11"/>
  <c r="Q310" i="11"/>
  <c r="P311" i="11"/>
  <c r="O312" i="11"/>
  <c r="N313" i="11"/>
  <c r="M314" i="11"/>
  <c r="L316" i="11"/>
  <c r="K317" i="11"/>
  <c r="J318" i="11"/>
  <c r="I320" i="11"/>
  <c r="Q320" i="11"/>
  <c r="P321" i="11"/>
  <c r="O322" i="11"/>
  <c r="N323" i="11"/>
  <c r="M324" i="11"/>
  <c r="AA172" i="11"/>
  <c r="R146" i="11"/>
  <c r="L211" i="11"/>
  <c r="K212" i="11"/>
  <c r="J213" i="11"/>
  <c r="I214" i="11"/>
  <c r="Q214" i="11"/>
  <c r="P215" i="11"/>
  <c r="O216" i="11"/>
  <c r="N217" i="11"/>
  <c r="M218" i="11"/>
  <c r="L219" i="11"/>
  <c r="K220" i="11"/>
  <c r="J221" i="11"/>
  <c r="I222" i="11"/>
  <c r="Q222" i="11"/>
  <c r="P223" i="11"/>
  <c r="O224" i="11"/>
  <c r="N225" i="11"/>
  <c r="M226" i="11"/>
  <c r="K352" i="11"/>
  <c r="L351" i="11"/>
  <c r="M350" i="11"/>
  <c r="N349" i="11"/>
  <c r="O348" i="11"/>
  <c r="P347" i="11"/>
  <c r="Q346" i="11"/>
  <c r="I346" i="11"/>
  <c r="J345" i="11"/>
  <c r="K344" i="11"/>
  <c r="L343" i="11"/>
  <c r="M342" i="11"/>
  <c r="N341" i="11"/>
  <c r="O340" i="11"/>
  <c r="P339" i="11"/>
  <c r="Q338" i="11"/>
  <c r="I338" i="11"/>
  <c r="J337" i="11"/>
  <c r="K336" i="11"/>
  <c r="L335" i="11"/>
  <c r="M334" i="11"/>
  <c r="N333" i="11"/>
  <c r="O332" i="11"/>
  <c r="P331" i="11"/>
  <c r="Q330" i="11"/>
  <c r="I330" i="11"/>
  <c r="J329" i="11"/>
  <c r="O315" i="11"/>
  <c r="L319" i="11"/>
  <c r="K302" i="11"/>
  <c r="J303" i="11"/>
  <c r="I304" i="11"/>
  <c r="Q304" i="11"/>
  <c r="P305" i="11"/>
  <c r="O306" i="11"/>
  <c r="N307" i="11"/>
  <c r="M308" i="11"/>
  <c r="L309" i="11"/>
  <c r="K310" i="11"/>
  <c r="J311" i="11"/>
  <c r="I312" i="11"/>
  <c r="Q312" i="11"/>
  <c r="P313" i="11"/>
  <c r="O314" i="11"/>
  <c r="N316" i="11"/>
  <c r="M317" i="11"/>
  <c r="L318" i="11"/>
  <c r="K320" i="11"/>
  <c r="J321" i="11"/>
  <c r="I322" i="11"/>
  <c r="Q322" i="11"/>
  <c r="P323" i="11"/>
  <c r="O324" i="11"/>
  <c r="S186" i="11"/>
  <c r="N211" i="11"/>
  <c r="M212" i="11"/>
  <c r="L213" i="11"/>
  <c r="K214" i="11"/>
  <c r="J215" i="11"/>
  <c r="I216" i="11"/>
  <c r="Q216" i="11"/>
  <c r="P217" i="11"/>
  <c r="O218" i="11"/>
  <c r="N219" i="11"/>
  <c r="M220" i="11"/>
  <c r="L221" i="11"/>
  <c r="K222" i="11"/>
  <c r="J223" i="11"/>
  <c r="I224" i="11"/>
  <c r="Q224" i="11"/>
  <c r="P225" i="11"/>
  <c r="O226" i="11"/>
  <c r="N227" i="11"/>
  <c r="M228" i="11"/>
  <c r="L229" i="11"/>
  <c r="K230" i="11"/>
  <c r="J181" i="11"/>
  <c r="U279" i="11"/>
  <c r="M349" i="11"/>
  <c r="Q345" i="11"/>
  <c r="L342" i="11"/>
  <c r="P338" i="11"/>
  <c r="K335" i="11"/>
  <c r="O331" i="11"/>
  <c r="P315" i="11"/>
  <c r="Q303" i="11"/>
  <c r="M307" i="11"/>
  <c r="I311" i="11"/>
  <c r="N314" i="11"/>
  <c r="J320" i="11"/>
  <c r="O323" i="11"/>
  <c r="O211" i="11"/>
  <c r="K215" i="11"/>
  <c r="P218" i="11"/>
  <c r="L222" i="11"/>
  <c r="M225" i="11"/>
  <c r="M227" i="11"/>
  <c r="I229" i="11"/>
  <c r="L230" i="11"/>
  <c r="P181" i="11"/>
  <c r="I183" i="11"/>
  <c r="I184" i="11"/>
  <c r="Q184" i="11"/>
  <c r="P185" i="11"/>
  <c r="O186" i="11"/>
  <c r="N187" i="11"/>
  <c r="M188" i="11"/>
  <c r="L189" i="11"/>
  <c r="K190" i="11"/>
  <c r="J191" i="11"/>
  <c r="I192" i="11"/>
  <c r="Q192" i="11"/>
  <c r="P193" i="11"/>
  <c r="O194" i="11"/>
  <c r="N195" i="11"/>
  <c r="M196" i="11"/>
  <c r="L197" i="11"/>
  <c r="K198" i="11"/>
  <c r="J199" i="11"/>
  <c r="I200" i="11"/>
  <c r="Q200" i="11"/>
  <c r="P201" i="11"/>
  <c r="O202" i="11"/>
  <c r="N203" i="11"/>
  <c r="M204" i="11"/>
  <c r="L205" i="11"/>
  <c r="K206" i="11"/>
  <c r="Q203" i="11"/>
  <c r="I339" i="11"/>
  <c r="Q313" i="11"/>
  <c r="I225" i="11"/>
  <c r="P184" i="11"/>
  <c r="L188" i="11"/>
  <c r="O193" i="11"/>
  <c r="P200" i="11"/>
  <c r="J206" i="11"/>
  <c r="L352" i="11"/>
  <c r="P348" i="11"/>
  <c r="K345" i="11"/>
  <c r="O341" i="11"/>
  <c r="J338" i="11"/>
  <c r="N334" i="11"/>
  <c r="I331" i="11"/>
  <c r="J304" i="11"/>
  <c r="O307" i="11"/>
  <c r="K311" i="11"/>
  <c r="P314" i="11"/>
  <c r="L320" i="11"/>
  <c r="Q323" i="11"/>
  <c r="L212" i="11"/>
  <c r="Q215" i="11"/>
  <c r="M219" i="11"/>
  <c r="I223" i="11"/>
  <c r="O225" i="11"/>
  <c r="O227" i="11"/>
  <c r="J229" i="11"/>
  <c r="M230" i="11"/>
  <c r="I182" i="11"/>
  <c r="J183" i="11"/>
  <c r="J184" i="11"/>
  <c r="I185" i="11"/>
  <c r="Q185" i="11"/>
  <c r="P186" i="11"/>
  <c r="O187" i="11"/>
  <c r="N188" i="11"/>
  <c r="M189" i="11"/>
  <c r="L190" i="11"/>
  <c r="K191" i="11"/>
  <c r="J192" i="11"/>
  <c r="I193" i="11"/>
  <c r="Q193" i="11"/>
  <c r="P194" i="11"/>
  <c r="O195" i="11"/>
  <c r="N196" i="11"/>
  <c r="M197" i="11"/>
  <c r="L198" i="11"/>
  <c r="K199" i="11"/>
  <c r="J200" i="11"/>
  <c r="I201" i="11"/>
  <c r="Q201" i="11"/>
  <c r="P202" i="11"/>
  <c r="O203" i="11"/>
  <c r="N204" i="11"/>
  <c r="M205" i="11"/>
  <c r="L206" i="11"/>
  <c r="J202" i="11"/>
  <c r="N206" i="11"/>
  <c r="M335" i="11"/>
  <c r="I215" i="11"/>
  <c r="J230" i="11"/>
  <c r="N186" i="11"/>
  <c r="K189" i="11"/>
  <c r="K197" i="11"/>
  <c r="K205" i="11"/>
  <c r="J352" i="11"/>
  <c r="N348" i="11"/>
  <c r="I345" i="11"/>
  <c r="M341" i="11"/>
  <c r="Q337" i="11"/>
  <c r="L334" i="11"/>
  <c r="P330" i="11"/>
  <c r="K319" i="11"/>
  <c r="P304" i="11"/>
  <c r="L308" i="11"/>
  <c r="Q311" i="11"/>
  <c r="M316" i="11"/>
  <c r="I321" i="11"/>
  <c r="N324" i="11"/>
  <c r="N212" i="11"/>
  <c r="J216" i="11"/>
  <c r="O219" i="11"/>
  <c r="K223" i="11"/>
  <c r="Q225" i="11"/>
  <c r="P227" i="11"/>
  <c r="K229" i="11"/>
  <c r="P230" i="11"/>
  <c r="J182" i="11"/>
  <c r="K183" i="11"/>
  <c r="K184" i="11"/>
  <c r="J185" i="11"/>
  <c r="I186" i="11"/>
  <c r="Q186" i="11"/>
  <c r="P187" i="11"/>
  <c r="O188" i="11"/>
  <c r="N189" i="11"/>
  <c r="M190" i="11"/>
  <c r="L191" i="11"/>
  <c r="K192" i="11"/>
  <c r="J193" i="11"/>
  <c r="I194" i="11"/>
  <c r="Q194" i="11"/>
  <c r="P195" i="11"/>
  <c r="O196" i="11"/>
  <c r="N197" i="11"/>
  <c r="M198" i="11"/>
  <c r="L199" i="11"/>
  <c r="K200" i="11"/>
  <c r="J201" i="11"/>
  <c r="I202" i="11"/>
  <c r="Q202" i="11"/>
  <c r="P203" i="11"/>
  <c r="O204" i="11"/>
  <c r="N205" i="11"/>
  <c r="M206" i="11"/>
  <c r="P204" i="11"/>
  <c r="N342" i="11"/>
  <c r="M318" i="11"/>
  <c r="O181" i="11"/>
  <c r="J190" i="11"/>
  <c r="N194" i="11"/>
  <c r="I199" i="11"/>
  <c r="L204" i="11"/>
  <c r="M351" i="11"/>
  <c r="Q347" i="11"/>
  <c r="L344" i="11"/>
  <c r="P340" i="11"/>
  <c r="K337" i="11"/>
  <c r="O333" i="11"/>
  <c r="J330" i="11"/>
  <c r="M319" i="11"/>
  <c r="I305" i="11"/>
  <c r="N308" i="11"/>
  <c r="J312" i="11"/>
  <c r="O316" i="11"/>
  <c r="K321" i="11"/>
  <c r="P324" i="11"/>
  <c r="K213" i="11"/>
  <c r="P216" i="11"/>
  <c r="L220" i="11"/>
  <c r="Q223" i="11"/>
  <c r="L226" i="11"/>
  <c r="J228" i="11"/>
  <c r="M229" i="11"/>
  <c r="Q230" i="11"/>
  <c r="K182" i="11"/>
  <c r="L183" i="11"/>
  <c r="L184" i="11"/>
  <c r="K185" i="11"/>
  <c r="J186" i="11"/>
  <c r="I187" i="11"/>
  <c r="Q187" i="11"/>
  <c r="P188" i="11"/>
  <c r="O189" i="11"/>
  <c r="N190" i="11"/>
  <c r="M191" i="11"/>
  <c r="L192" i="11"/>
  <c r="K193" i="11"/>
  <c r="J194" i="11"/>
  <c r="I195" i="11"/>
  <c r="Q195" i="11"/>
  <c r="P196" i="11"/>
  <c r="O197" i="11"/>
  <c r="N198" i="11"/>
  <c r="M199" i="11"/>
  <c r="L200" i="11"/>
  <c r="K201" i="11"/>
  <c r="I203" i="11"/>
  <c r="O205" i="11"/>
  <c r="Q331" i="11"/>
  <c r="AB165" i="11"/>
  <c r="L227" i="11"/>
  <c r="O185" i="11"/>
  <c r="Q191" i="11"/>
  <c r="Q199" i="11"/>
  <c r="K351" i="11"/>
  <c r="O347" i="11"/>
  <c r="J344" i="11"/>
  <c r="N340" i="11"/>
  <c r="I337" i="11"/>
  <c r="M333" i="11"/>
  <c r="Q329" i="11"/>
  <c r="J302" i="11"/>
  <c r="O305" i="11"/>
  <c r="K309" i="11"/>
  <c r="P312" i="11"/>
  <c r="L317" i="11"/>
  <c r="Q321" i="11"/>
  <c r="M213" i="11"/>
  <c r="I217" i="11"/>
  <c r="N220" i="11"/>
  <c r="J224" i="11"/>
  <c r="N226" i="11"/>
  <c r="K228" i="11"/>
  <c r="N229" i="11"/>
  <c r="I181" i="11"/>
  <c r="L182" i="11"/>
  <c r="N183" i="11"/>
  <c r="M184" i="11"/>
  <c r="L185" i="11"/>
  <c r="K186" i="11"/>
  <c r="J187" i="11"/>
  <c r="I188" i="11"/>
  <c r="Q188" i="11"/>
  <c r="P189" i="11"/>
  <c r="O190" i="11"/>
  <c r="N191" i="11"/>
  <c r="M192" i="11"/>
  <c r="L193" i="11"/>
  <c r="K194" i="11"/>
  <c r="J195" i="11"/>
  <c r="I196" i="11"/>
  <c r="Q196" i="11"/>
  <c r="P197" i="11"/>
  <c r="O198" i="11"/>
  <c r="N199" i="11"/>
  <c r="M200" i="11"/>
  <c r="L201" i="11"/>
  <c r="K202" i="11"/>
  <c r="J203" i="11"/>
  <c r="I204" i="11"/>
  <c r="Q204" i="11"/>
  <c r="P205" i="11"/>
  <c r="O206" i="11"/>
  <c r="O349" i="11"/>
  <c r="L310" i="11"/>
  <c r="N218" i="11"/>
  <c r="O228" i="11"/>
  <c r="M187" i="11"/>
  <c r="L196" i="11"/>
  <c r="O201" i="11"/>
  <c r="N350" i="11"/>
  <c r="I347" i="11"/>
  <c r="M343" i="11"/>
  <c r="Q339" i="11"/>
  <c r="L336" i="11"/>
  <c r="P332" i="11"/>
  <c r="K329" i="11"/>
  <c r="L302" i="11"/>
  <c r="Q305" i="11"/>
  <c r="M309" i="11"/>
  <c r="I313" i="11"/>
  <c r="N317" i="11"/>
  <c r="J322" i="11"/>
  <c r="S190" i="11"/>
  <c r="J214" i="11"/>
  <c r="O217" i="11"/>
  <c r="K221" i="11"/>
  <c r="N224" i="11"/>
  <c r="P226" i="11"/>
  <c r="L228" i="11"/>
  <c r="Q229" i="11"/>
  <c r="K181" i="11"/>
  <c r="O182" i="11"/>
  <c r="O183" i="11"/>
  <c r="N184" i="11"/>
  <c r="M185" i="11"/>
  <c r="L186" i="11"/>
  <c r="K187" i="11"/>
  <c r="J188" i="11"/>
  <c r="I189" i="11"/>
  <c r="Q189" i="11"/>
  <c r="P190" i="11"/>
  <c r="O191" i="11"/>
  <c r="N192" i="11"/>
  <c r="M193" i="11"/>
  <c r="L194" i="11"/>
  <c r="K195" i="11"/>
  <c r="J196" i="11"/>
  <c r="I197" i="11"/>
  <c r="Q197" i="11"/>
  <c r="P198" i="11"/>
  <c r="O199" i="11"/>
  <c r="N200" i="11"/>
  <c r="M201" i="11"/>
  <c r="L202" i="11"/>
  <c r="K203" i="11"/>
  <c r="J204" i="11"/>
  <c r="V243" i="11" s="1"/>
  <c r="I205" i="11"/>
  <c r="Q205" i="11"/>
  <c r="P206" i="11"/>
  <c r="J346" i="11"/>
  <c r="K303" i="11"/>
  <c r="M211" i="11"/>
  <c r="Q183" i="11"/>
  <c r="P192" i="11"/>
  <c r="J198" i="11"/>
  <c r="N202" i="11"/>
  <c r="L350" i="11"/>
  <c r="P346" i="11"/>
  <c r="K343" i="11"/>
  <c r="O339" i="11"/>
  <c r="J336" i="11"/>
  <c r="N332" i="11"/>
  <c r="I329" i="11"/>
  <c r="I303" i="11"/>
  <c r="N306" i="11"/>
  <c r="J310" i="11"/>
  <c r="O313" i="11"/>
  <c r="K318" i="11"/>
  <c r="P322" i="11"/>
  <c r="Q210" i="11"/>
  <c r="L214" i="11"/>
  <c r="Q217" i="11"/>
  <c r="M221" i="11"/>
  <c r="P224" i="11"/>
  <c r="K227" i="11"/>
  <c r="N228" i="11"/>
  <c r="I230" i="11"/>
  <c r="L181" i="11"/>
  <c r="P182" i="11"/>
  <c r="P183" i="11"/>
  <c r="O184" i="11"/>
  <c r="N185" i="11"/>
  <c r="M186" i="11"/>
  <c r="L187" i="11"/>
  <c r="K188" i="11"/>
  <c r="J189" i="11"/>
  <c r="I190" i="11"/>
  <c r="Q190" i="11"/>
  <c r="P191" i="11"/>
  <c r="O192" i="11"/>
  <c r="N193" i="11"/>
  <c r="M194" i="11"/>
  <c r="L195" i="11"/>
  <c r="K196" i="11"/>
  <c r="J197" i="11"/>
  <c r="I198" i="11"/>
  <c r="Q198" i="11"/>
  <c r="P199" i="11"/>
  <c r="O200" i="11"/>
  <c r="N201" i="11"/>
  <c r="M202" i="11"/>
  <c r="L203" i="11"/>
  <c r="K204" i="11"/>
  <c r="J205" i="11"/>
  <c r="I206" i="11"/>
  <c r="Q206" i="11"/>
  <c r="N315" i="11"/>
  <c r="P306" i="11"/>
  <c r="I323" i="11"/>
  <c r="J222" i="11"/>
  <c r="Q182" i="11"/>
  <c r="I191" i="11"/>
  <c r="M195" i="11"/>
  <c r="M203" i="11"/>
  <c r="U286" i="11"/>
  <c r="AB168" i="11"/>
  <c r="O301" i="11"/>
  <c r="P297" i="11"/>
  <c r="Q296" i="11"/>
  <c r="I296" i="11"/>
  <c r="J295" i="11"/>
  <c r="K294" i="11"/>
  <c r="L293" i="11"/>
  <c r="M292" i="11"/>
  <c r="P291" i="11"/>
  <c r="K290" i="11"/>
  <c r="N289" i="11"/>
  <c r="Q288" i="11"/>
  <c r="I288" i="11"/>
  <c r="L287" i="11"/>
  <c r="O286" i="11"/>
  <c r="J285" i="11"/>
  <c r="M284" i="11"/>
  <c r="P283" i="11"/>
  <c r="J282" i="11"/>
  <c r="M281" i="11"/>
  <c r="P280" i="11"/>
  <c r="K279" i="11"/>
  <c r="M278" i="11"/>
  <c r="N260" i="11"/>
  <c r="O259" i="11"/>
  <c r="J258" i="11"/>
  <c r="M257" i="11"/>
  <c r="P256" i="11"/>
  <c r="K255" i="11"/>
  <c r="N254" i="11"/>
  <c r="Q253" i="11"/>
  <c r="I253" i="11"/>
  <c r="K252" i="11"/>
  <c r="N251" i="11"/>
  <c r="Q250" i="11"/>
  <c r="I250" i="11"/>
  <c r="J249" i="11"/>
  <c r="M248" i="11"/>
  <c r="P247" i="11"/>
  <c r="Q246" i="11"/>
  <c r="I246" i="11"/>
  <c r="J245" i="11"/>
  <c r="M244" i="11"/>
  <c r="P243" i="11"/>
  <c r="K242" i="11"/>
  <c r="N241" i="11"/>
  <c r="L210" i="11"/>
  <c r="M297" i="11"/>
  <c r="M291" i="11"/>
  <c r="L286" i="11"/>
  <c r="P279" i="11"/>
  <c r="L259" i="11"/>
  <c r="M256" i="11"/>
  <c r="K251" i="11"/>
  <c r="P242" i="11"/>
  <c r="L297" i="11"/>
  <c r="P293" i="11"/>
  <c r="L291" i="11"/>
  <c r="M288" i="11"/>
  <c r="L283" i="11"/>
  <c r="L280" i="11"/>
  <c r="I278" i="11"/>
  <c r="N301" i="11"/>
  <c r="O297" i="11"/>
  <c r="P296" i="11"/>
  <c r="Q295" i="11"/>
  <c r="I295" i="11"/>
  <c r="J294" i="11"/>
  <c r="K293" i="11"/>
  <c r="L292" i="11"/>
  <c r="O291" i="11"/>
  <c r="J290" i="11"/>
  <c r="M289" i="11"/>
  <c r="P288" i="11"/>
  <c r="K287" i="11"/>
  <c r="N286" i="11"/>
  <c r="Q285" i="11"/>
  <c r="I285" i="11"/>
  <c r="L284" i="11"/>
  <c r="O283" i="11"/>
  <c r="Q282" i="11"/>
  <c r="I282" i="11"/>
  <c r="L281" i="11"/>
  <c r="O280" i="11"/>
  <c r="J279" i="11"/>
  <c r="L278" i="11"/>
  <c r="M260" i="11"/>
  <c r="N259" i="11"/>
  <c r="Q258" i="11"/>
  <c r="I258" i="11"/>
  <c r="L257" i="11"/>
  <c r="O256" i="11"/>
  <c r="J255" i="11"/>
  <c r="M254" i="11"/>
  <c r="P253" i="11"/>
  <c r="J252" i="11"/>
  <c r="M251" i="11"/>
  <c r="P250" i="11"/>
  <c r="Q249" i="11"/>
  <c r="I249" i="11"/>
  <c r="L248" i="11"/>
  <c r="O247" i="11"/>
  <c r="P246" i="11"/>
  <c r="Q245" i="11"/>
  <c r="I245" i="11"/>
  <c r="L244" i="11"/>
  <c r="AF270" i="11" s="1"/>
  <c r="O243" i="11"/>
  <c r="J242" i="11"/>
  <c r="M241" i="11"/>
  <c r="K210" i="11"/>
  <c r="L301" i="11"/>
  <c r="I293" i="11"/>
  <c r="P290" i="11"/>
  <c r="Q287" i="11"/>
  <c r="M283" i="11"/>
  <c r="J278" i="11"/>
  <c r="J257" i="11"/>
  <c r="K254" i="11"/>
  <c r="J248" i="11"/>
  <c r="O245" i="11"/>
  <c r="I210" i="11"/>
  <c r="M296" i="11"/>
  <c r="O290" i="11"/>
  <c r="N285" i="11"/>
  <c r="N282" i="11"/>
  <c r="O279" i="11"/>
  <c r="M301" i="11"/>
  <c r="N297" i="11"/>
  <c r="O296" i="11"/>
  <c r="P295" i="11"/>
  <c r="Q294" i="11"/>
  <c r="I294" i="11"/>
  <c r="J293" i="11"/>
  <c r="K292" i="11"/>
  <c r="N291" i="11"/>
  <c r="Q290" i="11"/>
  <c r="I290" i="11"/>
  <c r="L289" i="11"/>
  <c r="O288" i="11"/>
  <c r="J287" i="11"/>
  <c r="M286" i="11"/>
  <c r="P285" i="11"/>
  <c r="K284" i="11"/>
  <c r="N283" i="11"/>
  <c r="P282" i="11"/>
  <c r="K281" i="11"/>
  <c r="N280" i="11"/>
  <c r="Q279" i="11"/>
  <c r="I279" i="11"/>
  <c r="K278" i="11"/>
  <c r="L260" i="11"/>
  <c r="M259" i="11"/>
  <c r="P258" i="11"/>
  <c r="K257" i="11"/>
  <c r="N256" i="11"/>
  <c r="Q255" i="11"/>
  <c r="I255" i="11"/>
  <c r="L254" i="11"/>
  <c r="O253" i="11"/>
  <c r="Q252" i="11"/>
  <c r="I252" i="11"/>
  <c r="L251" i="11"/>
  <c r="AF264" i="11" s="1"/>
  <c r="O250" i="11"/>
  <c r="P249" i="11"/>
  <c r="K248" i="11"/>
  <c r="N247" i="11"/>
  <c r="O246" i="11"/>
  <c r="P245" i="11"/>
  <c r="K244" i="11"/>
  <c r="N243" i="11"/>
  <c r="Q242" i="11"/>
  <c r="I242" i="11"/>
  <c r="L241" i="11"/>
  <c r="X230" i="11"/>
  <c r="J210" i="11"/>
  <c r="Z267" i="11" s="1"/>
  <c r="P294" i="11"/>
  <c r="Q293" i="11"/>
  <c r="J292" i="11"/>
  <c r="K289" i="11"/>
  <c r="O285" i="11"/>
  <c r="M280" i="11"/>
  <c r="P255" i="11"/>
  <c r="P252" i="11"/>
  <c r="N250" i="11"/>
  <c r="M247" i="11"/>
  <c r="K241" i="11"/>
  <c r="O294" i="11"/>
  <c r="I292" i="11"/>
  <c r="J289" i="11"/>
  <c r="Q284" i="11"/>
  <c r="Q301" i="11"/>
  <c r="I301" i="11"/>
  <c r="J297" i="11"/>
  <c r="K296" i="11"/>
  <c r="L295" i="11"/>
  <c r="M294" i="11"/>
  <c r="N293" i="11"/>
  <c r="O292" i="11"/>
  <c r="J291" i="11"/>
  <c r="M290" i="11"/>
  <c r="P289" i="11"/>
  <c r="K288" i="11"/>
  <c r="N287" i="11"/>
  <c r="Q286" i="11"/>
  <c r="I286" i="11"/>
  <c r="L285" i="11"/>
  <c r="O284" i="11"/>
  <c r="J283" i="11"/>
  <c r="AI229" i="11" s="1"/>
  <c r="L282" i="11"/>
  <c r="O281" i="11"/>
  <c r="J280" i="11"/>
  <c r="M279" i="11"/>
  <c r="P278" i="11"/>
  <c r="P260" i="11"/>
  <c r="Q259" i="11"/>
  <c r="I259" i="11"/>
  <c r="L258" i="11"/>
  <c r="O257" i="11"/>
  <c r="J256" i="11"/>
  <c r="M255" i="11"/>
  <c r="P254" i="11"/>
  <c r="K253" i="11"/>
  <c r="M252" i="11"/>
  <c r="P251" i="11"/>
  <c r="K250" i="11"/>
  <c r="AE262" i="11" s="1"/>
  <c r="L249" i="11"/>
  <c r="AK226" i="11" s="1"/>
  <c r="O248" i="11"/>
  <c r="J247" i="11"/>
  <c r="K246" i="11"/>
  <c r="L245" i="11"/>
  <c r="O244" i="11"/>
  <c r="J243" i="11"/>
  <c r="M242" i="11"/>
  <c r="P241" i="11"/>
  <c r="X231" i="11"/>
  <c r="N210" i="11"/>
  <c r="N296" i="11"/>
  <c r="I287" i="11"/>
  <c r="J284" i="11"/>
  <c r="J281" i="11"/>
  <c r="O258" i="11"/>
  <c r="N253" i="11"/>
  <c r="O249" i="11"/>
  <c r="M243" i="11"/>
  <c r="N295" i="11"/>
  <c r="Q292" i="11"/>
  <c r="P287" i="11"/>
  <c r="I284" i="11"/>
  <c r="Q281" i="11"/>
  <c r="P301" i="11"/>
  <c r="Q297" i="11"/>
  <c r="I297" i="11"/>
  <c r="J296" i="11"/>
  <c r="K295" i="11"/>
  <c r="L294" i="11"/>
  <c r="M293" i="11"/>
  <c r="N292" i="11"/>
  <c r="Q291" i="11"/>
  <c r="I291" i="11"/>
  <c r="L290" i="11"/>
  <c r="O289" i="11"/>
  <c r="J288" i="11"/>
  <c r="M287" i="11"/>
  <c r="P286" i="11"/>
  <c r="K285" i="11"/>
  <c r="N284" i="11"/>
  <c r="Q283" i="11"/>
  <c r="I283" i="11"/>
  <c r="K282" i="11"/>
  <c r="N281" i="11"/>
  <c r="Q280" i="11"/>
  <c r="I280" i="11"/>
  <c r="L279" i="11"/>
  <c r="O278" i="11"/>
  <c r="O260" i="11"/>
  <c r="P259" i="11"/>
  <c r="K258" i="11"/>
  <c r="N257" i="11"/>
  <c r="Q256" i="11"/>
  <c r="I256" i="11"/>
  <c r="L255" i="11"/>
  <c r="O254" i="11"/>
  <c r="J253" i="11"/>
  <c r="L252" i="11"/>
  <c r="O251" i="11"/>
  <c r="J250" i="11"/>
  <c r="K249" i="11"/>
  <c r="N248" i="11"/>
  <c r="Q247" i="11"/>
  <c r="I247" i="11"/>
  <c r="J246" i="11"/>
  <c r="K245" i="11"/>
  <c r="N244" i="11"/>
  <c r="Q243" i="11"/>
  <c r="I243" i="11"/>
  <c r="L242" i="11"/>
  <c r="AF258" i="11" s="1"/>
  <c r="O241" i="11"/>
  <c r="M210" i="11"/>
  <c r="O295" i="11"/>
  <c r="N288" i="11"/>
  <c r="O282" i="11"/>
  <c r="K260" i="11"/>
  <c r="N246" i="11"/>
  <c r="J244" i="11"/>
  <c r="K301" i="11"/>
  <c r="K286" i="11"/>
  <c r="I281" i="11"/>
  <c r="J260" i="11"/>
  <c r="J286" i="11"/>
  <c r="AI227" i="11" s="1"/>
  <c r="K280" i="11"/>
  <c r="M258" i="11"/>
  <c r="N255" i="11"/>
  <c r="N252" i="11"/>
  <c r="M249" i="11"/>
  <c r="AL227" i="11" s="1"/>
  <c r="AK227" i="11" s="1"/>
  <c r="L246" i="11"/>
  <c r="AK229" i="11" s="1"/>
  <c r="K243" i="11"/>
  <c r="O210" i="11"/>
  <c r="Q289" i="11"/>
  <c r="I248" i="11"/>
  <c r="I289" i="11"/>
  <c r="I254" i="11"/>
  <c r="M282" i="11"/>
  <c r="I244" i="11"/>
  <c r="J301" i="11"/>
  <c r="K291" i="11"/>
  <c r="M285" i="11"/>
  <c r="N279" i="11"/>
  <c r="Q257" i="11"/>
  <c r="Q248" i="11"/>
  <c r="N245" i="11"/>
  <c r="O242" i="11"/>
  <c r="L296" i="11"/>
  <c r="I257" i="11"/>
  <c r="J251" i="11"/>
  <c r="M295" i="11"/>
  <c r="Q241" i="11"/>
  <c r="L256" i="11"/>
  <c r="J241" i="11"/>
  <c r="AG230" i="11" s="1"/>
  <c r="K297" i="11"/>
  <c r="N290" i="11"/>
  <c r="P284" i="11"/>
  <c r="Q278" i="11"/>
  <c r="P257" i="11"/>
  <c r="Q254" i="11"/>
  <c r="Q251" i="11"/>
  <c r="P248" i="11"/>
  <c r="M245" i="11"/>
  <c r="N242" i="11"/>
  <c r="AK230" i="11" s="1"/>
  <c r="Q260" i="11"/>
  <c r="Q244" i="11"/>
  <c r="I251" i="11"/>
  <c r="K259" i="11"/>
  <c r="L247" i="11"/>
  <c r="AF260" i="11" s="1"/>
  <c r="O293" i="11"/>
  <c r="O287" i="11"/>
  <c r="P281" i="11"/>
  <c r="J259" i="11"/>
  <c r="K256" i="11"/>
  <c r="L253" i="11"/>
  <c r="AF266" i="11" s="1"/>
  <c r="L250" i="11"/>
  <c r="AF262" i="11" s="1"/>
  <c r="K247" i="11"/>
  <c r="I241" i="11"/>
  <c r="I260" i="11"/>
  <c r="N294" i="11"/>
  <c r="M253" i="11"/>
  <c r="P292" i="11"/>
  <c r="N258" i="11"/>
  <c r="O255" i="11"/>
  <c r="O252" i="11"/>
  <c r="N249" i="11"/>
  <c r="M246" i="11"/>
  <c r="L243" i="11"/>
  <c r="P210" i="11"/>
  <c r="J254" i="11"/>
  <c r="K283" i="11"/>
  <c r="P244" i="11"/>
  <c r="L288" i="11"/>
  <c r="M250" i="11"/>
  <c r="N180" i="11"/>
  <c r="R174" i="11"/>
  <c r="S173" i="11"/>
  <c r="T172" i="11"/>
  <c r="L172" i="11"/>
  <c r="M171" i="11"/>
  <c r="N170" i="11"/>
  <c r="Q167" i="11"/>
  <c r="R166" i="11"/>
  <c r="S165" i="11"/>
  <c r="S170" i="11"/>
  <c r="M168" i="11"/>
  <c r="Q171" i="11"/>
  <c r="T168" i="11"/>
  <c r="Q180" i="11"/>
  <c r="S168" i="11"/>
  <c r="M166" i="11"/>
  <c r="M180" i="11"/>
  <c r="Y268" i="11" s="1"/>
  <c r="Q174" i="11"/>
  <c r="R173" i="11"/>
  <c r="S172" i="11"/>
  <c r="T171" i="11"/>
  <c r="L171" i="11"/>
  <c r="M170" i="11"/>
  <c r="N169" i="11"/>
  <c r="Q166" i="11"/>
  <c r="R165" i="11"/>
  <c r="K180" i="11"/>
  <c r="L169" i="11"/>
  <c r="N174" i="11"/>
  <c r="L168" i="11"/>
  <c r="N173" i="11"/>
  <c r="L167" i="11"/>
  <c r="L180" i="11"/>
  <c r="AJ293" i="11" s="1"/>
  <c r="Q173" i="11"/>
  <c r="R172" i="11"/>
  <c r="S171" i="11"/>
  <c r="T170" i="11"/>
  <c r="L170" i="11"/>
  <c r="M169" i="11"/>
  <c r="N168" i="11"/>
  <c r="Q165" i="11"/>
  <c r="J180" i="11"/>
  <c r="R170" i="11"/>
  <c r="N166" i="11"/>
  <c r="M174" i="11"/>
  <c r="Q170" i="11"/>
  <c r="T167" i="11"/>
  <c r="P180" i="11"/>
  <c r="T174" i="11"/>
  <c r="L174" i="11"/>
  <c r="M173" i="11"/>
  <c r="N172" i="11"/>
  <c r="Q169" i="11"/>
  <c r="R168" i="11"/>
  <c r="S167" i="11"/>
  <c r="T166" i="11"/>
  <c r="L166" i="11"/>
  <c r="M165" i="11"/>
  <c r="R171" i="11"/>
  <c r="N167" i="11"/>
  <c r="S169" i="11"/>
  <c r="M167" i="11"/>
  <c r="R169" i="11"/>
  <c r="N165" i="11"/>
  <c r="O180" i="11"/>
  <c r="S174" i="11"/>
  <c r="T173" i="11"/>
  <c r="L173" i="11"/>
  <c r="M172" i="11"/>
  <c r="N171" i="11"/>
  <c r="Q168" i="11"/>
  <c r="R167" i="11"/>
  <c r="S166" i="11"/>
  <c r="T165" i="11"/>
  <c r="L165" i="11"/>
  <c r="Q172" i="11"/>
  <c r="T169" i="11"/>
  <c r="I180" i="11"/>
  <c r="R163" i="11"/>
  <c r="M162" i="11"/>
  <c r="Q160" i="11"/>
  <c r="Q159" i="11"/>
  <c r="R158" i="11"/>
  <c r="M157" i="11"/>
  <c r="S155" i="11"/>
  <c r="S153" i="11"/>
  <c r="N152" i="11"/>
  <c r="Q148" i="11"/>
  <c r="S147" i="11"/>
  <c r="T146" i="11"/>
  <c r="O142" i="11"/>
  <c r="N141" i="11"/>
  <c r="M140" i="11"/>
  <c r="N139" i="11"/>
  <c r="O138" i="11"/>
  <c r="N137" i="11"/>
  <c r="M136" i="11"/>
  <c r="L135" i="11"/>
  <c r="O134" i="11"/>
  <c r="I132" i="11"/>
  <c r="I131" i="11"/>
  <c r="K124" i="11"/>
  <c r="L123" i="11"/>
  <c r="M122" i="11"/>
  <c r="N121" i="11"/>
  <c r="O120" i="11"/>
  <c r="J113" i="11"/>
  <c r="L112" i="11"/>
  <c r="M111" i="11"/>
  <c r="O110" i="11"/>
  <c r="I109" i="11"/>
  <c r="J108" i="11"/>
  <c r="J107" i="11"/>
  <c r="J106" i="11"/>
  <c r="L33" i="11"/>
  <c r="N32" i="11"/>
  <c r="N164" i="11"/>
  <c r="Q163" i="11"/>
  <c r="T162" i="11"/>
  <c r="L162" i="11"/>
  <c r="Q158" i="11"/>
  <c r="T157" i="11"/>
  <c r="L157" i="11"/>
  <c r="R155" i="11"/>
  <c r="R153" i="11"/>
  <c r="M152" i="11"/>
  <c r="N151" i="11"/>
  <c r="Z154" i="11" s="1"/>
  <c r="R147" i="11"/>
  <c r="S146" i="11"/>
  <c r="N142" i="11"/>
  <c r="M141" i="11"/>
  <c r="L140" i="11"/>
  <c r="M139" i="11"/>
  <c r="N138" i="11"/>
  <c r="M137" i="11"/>
  <c r="L136" i="11"/>
  <c r="K135" i="11"/>
  <c r="N134" i="11"/>
  <c r="O133" i="11"/>
  <c r="J124" i="11"/>
  <c r="K123" i="11"/>
  <c r="L122" i="11"/>
  <c r="M121" i="11"/>
  <c r="N120" i="11"/>
  <c r="O119" i="11"/>
  <c r="O118" i="11"/>
  <c r="I113" i="11"/>
  <c r="K112" i="11"/>
  <c r="L111" i="11"/>
  <c r="N110" i="11"/>
  <c r="I108" i="11"/>
  <c r="I107" i="11"/>
  <c r="I106" i="11"/>
  <c r="M164" i="11"/>
  <c r="S162" i="11"/>
  <c r="N161" i="11"/>
  <c r="S157" i="11"/>
  <c r="N156" i="11"/>
  <c r="Q155" i="11"/>
  <c r="N154" i="11"/>
  <c r="Q153" i="11"/>
  <c r="T152" i="11"/>
  <c r="L152" i="11"/>
  <c r="M151" i="11"/>
  <c r="N150" i="11"/>
  <c r="N149" i="11"/>
  <c r="Q147" i="11"/>
  <c r="Q146" i="11"/>
  <c r="M142" i="11"/>
  <c r="L141" i="11"/>
  <c r="K140" i="11"/>
  <c r="L139" i="11"/>
  <c r="M138" i="11"/>
  <c r="L137" i="11"/>
  <c r="K136" i="11"/>
  <c r="J135" i="11"/>
  <c r="M134" i="11"/>
  <c r="N133" i="11"/>
  <c r="O132" i="11"/>
  <c r="O131" i="11"/>
  <c r="I124" i="11"/>
  <c r="J123" i="11"/>
  <c r="K122" i="11"/>
  <c r="L121" i="11"/>
  <c r="M120" i="11"/>
  <c r="N119" i="11"/>
  <c r="N118" i="11"/>
  <c r="J112" i="11"/>
  <c r="K111" i="11"/>
  <c r="M110" i="11"/>
  <c r="O109" i="11"/>
  <c r="J33" i="11"/>
  <c r="O68" i="11" s="1"/>
  <c r="T164" i="11"/>
  <c r="L164" i="11"/>
  <c r="R162" i="11"/>
  <c r="M161" i="11"/>
  <c r="M160" i="11"/>
  <c r="N159" i="11"/>
  <c r="R157" i="11"/>
  <c r="M156" i="11"/>
  <c r="M154" i="11"/>
  <c r="S152" i="11"/>
  <c r="T151" i="11"/>
  <c r="L151" i="11"/>
  <c r="M150" i="11"/>
  <c r="M149" i="11"/>
  <c r="N148" i="11"/>
  <c r="L142" i="11"/>
  <c r="K141" i="11"/>
  <c r="J140" i="11"/>
  <c r="K139" i="11"/>
  <c r="L138" i="11"/>
  <c r="K137" i="11"/>
  <c r="J136" i="11"/>
  <c r="I135" i="11"/>
  <c r="L134" i="11"/>
  <c r="M133" i="11"/>
  <c r="N132" i="11"/>
  <c r="N131" i="11"/>
  <c r="I123" i="11"/>
  <c r="J122" i="11"/>
  <c r="K121" i="11"/>
  <c r="L120" i="11"/>
  <c r="M119" i="11"/>
  <c r="M118" i="11"/>
  <c r="O113" i="11"/>
  <c r="I112" i="11"/>
  <c r="J111" i="11"/>
  <c r="Q24" i="11" s="1"/>
  <c r="L110" i="11"/>
  <c r="N109" i="11"/>
  <c r="O108" i="11"/>
  <c r="O107" i="11"/>
  <c r="O106" i="11"/>
  <c r="I33" i="11"/>
  <c r="K32" i="11"/>
  <c r="M31" i="11"/>
  <c r="O30" i="11"/>
  <c r="S164" i="11"/>
  <c r="N163" i="11"/>
  <c r="Q162" i="11"/>
  <c r="T161" i="11"/>
  <c r="L161" i="11"/>
  <c r="L160" i="11"/>
  <c r="M159" i="11"/>
  <c r="N158" i="11"/>
  <c r="Q157" i="11"/>
  <c r="T156" i="11"/>
  <c r="L156" i="11"/>
  <c r="T154" i="11"/>
  <c r="L154" i="11"/>
  <c r="R152" i="11"/>
  <c r="S151" i="11"/>
  <c r="T150" i="11"/>
  <c r="L150" i="11"/>
  <c r="L149" i="11"/>
  <c r="M148" i="11"/>
  <c r="K142" i="11"/>
  <c r="J141" i="11"/>
  <c r="I140" i="11"/>
  <c r="J139" i="11"/>
  <c r="K138" i="11"/>
  <c r="J137" i="11"/>
  <c r="I136" i="11"/>
  <c r="K134" i="11"/>
  <c r="L133" i="11"/>
  <c r="M132" i="11"/>
  <c r="M131" i="11"/>
  <c r="O124" i="11"/>
  <c r="I122" i="11"/>
  <c r="J121" i="11"/>
  <c r="K120" i="11"/>
  <c r="L119" i="11"/>
  <c r="L118" i="11"/>
  <c r="N113" i="11"/>
  <c r="I111" i="11"/>
  <c r="K110" i="11"/>
  <c r="M109" i="11"/>
  <c r="N108" i="11"/>
  <c r="N107" i="11"/>
  <c r="N106" i="11"/>
  <c r="R164" i="11"/>
  <c r="M163" i="11"/>
  <c r="S161" i="11"/>
  <c r="T160" i="11"/>
  <c r="T159" i="11"/>
  <c r="L159" i="11"/>
  <c r="M158" i="11"/>
  <c r="S156" i="11"/>
  <c r="N155" i="11"/>
  <c r="S154" i="11"/>
  <c r="N153" i="11"/>
  <c r="Q152" i="11"/>
  <c r="R151" i="11"/>
  <c r="S150" i="11"/>
  <c r="T149" i="11"/>
  <c r="T148" i="11"/>
  <c r="L148" i="11"/>
  <c r="N147" i="11"/>
  <c r="N146" i="11"/>
  <c r="J142" i="11"/>
  <c r="I141" i="11"/>
  <c r="I139" i="11"/>
  <c r="J138" i="11"/>
  <c r="I137" i="11"/>
  <c r="O135" i="11"/>
  <c r="J134" i="11"/>
  <c r="K133" i="11"/>
  <c r="L132" i="11"/>
  <c r="L131" i="11"/>
  <c r="N124" i="11"/>
  <c r="O123" i="11"/>
  <c r="I121" i="11"/>
  <c r="J120" i="11"/>
  <c r="K119" i="11"/>
  <c r="K118" i="11"/>
  <c r="M113" i="11"/>
  <c r="O112" i="11"/>
  <c r="J110" i="11"/>
  <c r="L109" i="11"/>
  <c r="M108" i="11"/>
  <c r="M107" i="11"/>
  <c r="M106" i="11"/>
  <c r="O33" i="11"/>
  <c r="I32" i="11"/>
  <c r="K31" i="11"/>
  <c r="M30" i="11"/>
  <c r="N29" i="11"/>
  <c r="Q164" i="11"/>
  <c r="T163" i="11"/>
  <c r="L163" i="11"/>
  <c r="R161" i="11"/>
  <c r="S160" i="11"/>
  <c r="S159" i="11"/>
  <c r="T158" i="11"/>
  <c r="L158" i="11"/>
  <c r="R156" i="11"/>
  <c r="M155" i="11"/>
  <c r="R154" i="11"/>
  <c r="M153" i="11"/>
  <c r="Q151" i="11"/>
  <c r="R150" i="11"/>
  <c r="R149" i="11"/>
  <c r="S148" i="11"/>
  <c r="M147" i="11"/>
  <c r="M146" i="11"/>
  <c r="I142" i="11"/>
  <c r="O140" i="11"/>
  <c r="I138" i="11"/>
  <c r="O136" i="11"/>
  <c r="N135" i="11"/>
  <c r="I134" i="11"/>
  <c r="J133" i="11"/>
  <c r="K132" i="11"/>
  <c r="K131" i="11"/>
  <c r="M124" i="11"/>
  <c r="N123" i="11"/>
  <c r="O122" i="11"/>
  <c r="I120" i="11"/>
  <c r="J119" i="11"/>
  <c r="J118" i="11"/>
  <c r="L113" i="11"/>
  <c r="N112" i="11"/>
  <c r="O111" i="11"/>
  <c r="I110" i="11"/>
  <c r="K109" i="11"/>
  <c r="L108" i="11"/>
  <c r="L107" i="11"/>
  <c r="L106" i="11"/>
  <c r="N33" i="11"/>
  <c r="S163" i="11"/>
  <c r="N162" i="11"/>
  <c r="Q161" i="11"/>
  <c r="R160" i="11"/>
  <c r="R159" i="11"/>
  <c r="S158" i="11"/>
  <c r="N157" i="11"/>
  <c r="Q156" i="11"/>
  <c r="T155" i="11"/>
  <c r="L155" i="11"/>
  <c r="Q154" i="11"/>
  <c r="T153" i="11"/>
  <c r="L153" i="11"/>
  <c r="Q150" i="11"/>
  <c r="Q149" i="11"/>
  <c r="R148" i="11"/>
  <c r="T147" i="11"/>
  <c r="L147" i="11"/>
  <c r="L146" i="11"/>
  <c r="Z145" i="11" s="1"/>
  <c r="Y145" i="11" s="1"/>
  <c r="O141" i="11"/>
  <c r="N140" i="11"/>
  <c r="O139" i="11"/>
  <c r="O137" i="11"/>
  <c r="N136" i="11"/>
  <c r="M135" i="11"/>
  <c r="I133" i="11"/>
  <c r="J132" i="11"/>
  <c r="J131" i="11"/>
  <c r="L124" i="11"/>
  <c r="M123" i="11"/>
  <c r="N122" i="11"/>
  <c r="O121" i="11"/>
  <c r="I119" i="11"/>
  <c r="I118" i="11"/>
  <c r="K113" i="11"/>
  <c r="M112" i="11"/>
  <c r="N111" i="11"/>
  <c r="J109" i="11"/>
  <c r="K108" i="11"/>
  <c r="K107" i="11"/>
  <c r="K106" i="11"/>
  <c r="M33" i="11"/>
  <c r="I5" i="11"/>
  <c r="I6" i="11"/>
  <c r="I7" i="11"/>
  <c r="I8" i="11"/>
  <c r="J9" i="11"/>
  <c r="E61" i="11" s="1"/>
  <c r="K10" i="11"/>
  <c r="F75" i="11" s="1"/>
  <c r="K11" i="11"/>
  <c r="P73" i="11" s="1"/>
  <c r="K12" i="11"/>
  <c r="L13" i="11"/>
  <c r="J14" i="11"/>
  <c r="I15" i="11"/>
  <c r="I16" i="11"/>
  <c r="I17" i="11"/>
  <c r="I18" i="11"/>
  <c r="O19" i="11"/>
  <c r="N20" i="11"/>
  <c r="N21" i="11"/>
  <c r="O22" i="11"/>
  <c r="O25" i="11"/>
  <c r="N26" i="11"/>
  <c r="M27" i="11"/>
  <c r="K28" i="11"/>
  <c r="J29" i="11"/>
  <c r="J30" i="11"/>
  <c r="J31" i="11"/>
  <c r="M32" i="11"/>
  <c r="J43" i="11"/>
  <c r="N160" i="11"/>
  <c r="G33" i="10"/>
  <c r="F33" i="10"/>
  <c r="D33" i="10"/>
  <c r="C33" i="10"/>
  <c r="B33" i="10"/>
  <c r="Z28" i="10"/>
  <c r="Z26" i="10"/>
  <c r="Z25" i="10"/>
  <c r="N25" i="10"/>
  <c r="M25" i="10"/>
  <c r="L25" i="10"/>
  <c r="K25" i="10"/>
  <c r="N24" i="10"/>
  <c r="M24" i="10"/>
  <c r="L24" i="10"/>
  <c r="K24" i="10"/>
  <c r="Z23" i="10" s="1"/>
  <c r="N23" i="10"/>
  <c r="M23" i="10"/>
  <c r="L23" i="10"/>
  <c r="K23" i="10"/>
  <c r="N22" i="10"/>
  <c r="M22" i="10"/>
  <c r="L22" i="10"/>
  <c r="K22" i="10"/>
  <c r="N21" i="10"/>
  <c r="M21" i="10"/>
  <c r="L21" i="10"/>
  <c r="K21" i="10"/>
  <c r="N20" i="10"/>
  <c r="M20" i="10"/>
  <c r="L20" i="10"/>
  <c r="K20" i="10"/>
  <c r="Z19" i="10"/>
  <c r="Z20" i="10" s="1"/>
  <c r="N19" i="10"/>
  <c r="M19" i="10"/>
  <c r="L19" i="10"/>
  <c r="K19" i="10"/>
  <c r="Z18" i="10"/>
  <c r="Z22" i="10" s="1"/>
  <c r="N18" i="10"/>
  <c r="M18" i="10"/>
  <c r="L18" i="10"/>
  <c r="R19" i="10" s="1"/>
  <c r="K18" i="10"/>
  <c r="N17" i="10"/>
  <c r="M17" i="10"/>
  <c r="L17" i="10"/>
  <c r="K17" i="10"/>
  <c r="N16" i="10"/>
  <c r="M16" i="10"/>
  <c r="L16" i="10"/>
  <c r="K16" i="10"/>
  <c r="Z15" i="10"/>
  <c r="N15" i="10"/>
  <c r="M15" i="10"/>
  <c r="L15" i="10"/>
  <c r="K15" i="10"/>
  <c r="N14" i="10"/>
  <c r="M14" i="10"/>
  <c r="L14" i="10"/>
  <c r="K14" i="10"/>
  <c r="Q13" i="10"/>
  <c r="Q14" i="10" s="1"/>
  <c r="N13" i="10"/>
  <c r="M13" i="10"/>
  <c r="L13" i="10"/>
  <c r="K13" i="10"/>
  <c r="N12" i="10"/>
  <c r="M12" i="10"/>
  <c r="L12" i="10"/>
  <c r="K12" i="10"/>
  <c r="Z11" i="10"/>
  <c r="N11" i="10"/>
  <c r="M11" i="10"/>
  <c r="L11" i="10"/>
  <c r="K11" i="10"/>
  <c r="N10" i="10"/>
  <c r="M10" i="10"/>
  <c r="L10" i="10"/>
  <c r="K10" i="10"/>
  <c r="Q9" i="10"/>
  <c r="Q10" i="10" s="1"/>
  <c r="N9" i="10"/>
  <c r="M9" i="10"/>
  <c r="L9" i="10"/>
  <c r="K9" i="10"/>
  <c r="N8" i="10"/>
  <c r="M8" i="10"/>
  <c r="L8" i="10"/>
  <c r="K8" i="10"/>
  <c r="N7" i="10"/>
  <c r="M7" i="10"/>
  <c r="L7" i="10"/>
  <c r="K7" i="10"/>
  <c r="Q6" i="10"/>
  <c r="N6" i="10"/>
  <c r="M6" i="10"/>
  <c r="L6" i="10"/>
  <c r="K6" i="10"/>
  <c r="Q5" i="10"/>
  <c r="N5" i="10"/>
  <c r="M5" i="10"/>
  <c r="L5" i="10"/>
  <c r="K5" i="10"/>
  <c r="N4" i="10"/>
  <c r="M4" i="10"/>
  <c r="L4" i="10"/>
  <c r="K4" i="10"/>
  <c r="N3" i="10"/>
  <c r="M3" i="10"/>
  <c r="L3" i="10"/>
  <c r="K3" i="10"/>
  <c r="W40" i="9"/>
  <c r="S40" i="9"/>
  <c r="P40" i="9"/>
  <c r="O40" i="9"/>
  <c r="W39" i="9"/>
  <c r="S39" i="9"/>
  <c r="Q39" i="9"/>
  <c r="P39" i="9"/>
  <c r="O39" i="9"/>
  <c r="W38" i="9"/>
  <c r="T38" i="9"/>
  <c r="H52" i="10" s="1"/>
  <c r="S38" i="9"/>
  <c r="P38" i="9"/>
  <c r="O38" i="9"/>
  <c r="W37" i="9"/>
  <c r="T37" i="9"/>
  <c r="S37" i="9"/>
  <c r="P37" i="9"/>
  <c r="O37" i="9"/>
  <c r="W36" i="9"/>
  <c r="S36" i="9"/>
  <c r="Q36" i="9"/>
  <c r="P36" i="9"/>
  <c r="O36" i="9"/>
  <c r="F35" i="9"/>
  <c r="T30" i="9"/>
  <c r="T29" i="9"/>
  <c r="Z28" i="9"/>
  <c r="T28" i="9"/>
  <c r="Z26" i="9"/>
  <c r="Z25" i="9"/>
  <c r="L25" i="9"/>
  <c r="K25" i="9"/>
  <c r="J25" i="9"/>
  <c r="L24" i="9"/>
  <c r="K24" i="9"/>
  <c r="J24" i="9"/>
  <c r="L23" i="9"/>
  <c r="K23" i="9"/>
  <c r="J23" i="9"/>
  <c r="Z22" i="9"/>
  <c r="R22" i="9"/>
  <c r="L22" i="9"/>
  <c r="K22" i="9"/>
  <c r="J22" i="9"/>
  <c r="L21" i="9"/>
  <c r="T39" i="9" s="1"/>
  <c r="K21" i="9"/>
  <c r="J21" i="9"/>
  <c r="Z20" i="9"/>
  <c r="U20" i="9"/>
  <c r="L20" i="9"/>
  <c r="K20" i="9"/>
  <c r="J20" i="9"/>
  <c r="Z19" i="9"/>
  <c r="R19" i="9"/>
  <c r="L19" i="9"/>
  <c r="K19" i="9"/>
  <c r="J19" i="9"/>
  <c r="Z18" i="9"/>
  <c r="L18" i="9"/>
  <c r="K18" i="9"/>
  <c r="O25" i="9" s="1"/>
  <c r="J18" i="9"/>
  <c r="L17" i="9"/>
  <c r="K17" i="9"/>
  <c r="J17" i="9"/>
  <c r="N16" i="9"/>
  <c r="L16" i="9"/>
  <c r="K16" i="9"/>
  <c r="J16" i="9"/>
  <c r="AD15" i="9"/>
  <c r="Z15" i="9"/>
  <c r="Q37" i="9" s="1"/>
  <c r="L15" i="9"/>
  <c r="K15" i="9"/>
  <c r="J15" i="9"/>
  <c r="BB14" i="9" s="1"/>
  <c r="L14" i="9"/>
  <c r="K14" i="9"/>
  <c r="J14" i="9"/>
  <c r="L13" i="9"/>
  <c r="K13" i="9"/>
  <c r="J13" i="9"/>
  <c r="L12" i="9"/>
  <c r="K12" i="9"/>
  <c r="J12" i="9"/>
  <c r="Z11" i="9"/>
  <c r="L11" i="9"/>
  <c r="K11" i="9"/>
  <c r="J11" i="9"/>
  <c r="L10" i="9"/>
  <c r="K10" i="9"/>
  <c r="J10" i="9"/>
  <c r="L9" i="9"/>
  <c r="K9" i="9"/>
  <c r="J9" i="9"/>
  <c r="L8" i="9"/>
  <c r="K8" i="9"/>
  <c r="J8" i="9"/>
  <c r="L7" i="9"/>
  <c r="K7" i="9"/>
  <c r="J7" i="9"/>
  <c r="L6" i="9"/>
  <c r="K6" i="9"/>
  <c r="J6" i="9"/>
  <c r="L5" i="9"/>
  <c r="K5" i="9"/>
  <c r="J5" i="9"/>
  <c r="L4" i="9"/>
  <c r="K4" i="9"/>
  <c r="J4" i="9"/>
  <c r="L3" i="9"/>
  <c r="T36" i="9" s="1"/>
  <c r="K3" i="9"/>
  <c r="J3" i="9"/>
  <c r="J147" i="7"/>
  <c r="K147" i="7" s="1"/>
  <c r="K146" i="7"/>
  <c r="J146" i="7"/>
  <c r="J145" i="7"/>
  <c r="K145" i="7" s="1"/>
  <c r="K144" i="7"/>
  <c r="J144" i="7"/>
  <c r="J143" i="7"/>
  <c r="K143" i="7" s="1"/>
  <c r="K142" i="7"/>
  <c r="J142" i="7"/>
  <c r="J141" i="7"/>
  <c r="K141" i="7" s="1"/>
  <c r="K140" i="7"/>
  <c r="J140" i="7"/>
  <c r="J139" i="7"/>
  <c r="K139" i="7" s="1"/>
  <c r="K138" i="7"/>
  <c r="J138" i="7"/>
  <c r="P137" i="7"/>
  <c r="K137" i="7"/>
  <c r="J137" i="7"/>
  <c r="P136" i="7"/>
  <c r="K136" i="7"/>
  <c r="J136" i="7"/>
  <c r="P135" i="7"/>
  <c r="K135" i="7"/>
  <c r="J135" i="7"/>
  <c r="P134" i="7"/>
  <c r="K134" i="7"/>
  <c r="J134" i="7"/>
  <c r="P133" i="7"/>
  <c r="K133" i="7"/>
  <c r="J133" i="7"/>
  <c r="P132" i="7"/>
  <c r="K132" i="7"/>
  <c r="J132" i="7"/>
  <c r="P131" i="7"/>
  <c r="K131" i="7"/>
  <c r="J131" i="7"/>
  <c r="P130" i="7"/>
  <c r="K130" i="7"/>
  <c r="J130" i="7"/>
  <c r="P129" i="7"/>
  <c r="K129" i="7"/>
  <c r="J129" i="7"/>
  <c r="P128" i="7"/>
  <c r="K128" i="7"/>
  <c r="J128" i="7"/>
  <c r="P127" i="7"/>
  <c r="K127" i="7"/>
  <c r="J127" i="7"/>
  <c r="P126" i="7"/>
  <c r="K126" i="7"/>
  <c r="J126" i="7"/>
  <c r="P125" i="7"/>
  <c r="K125" i="7"/>
  <c r="J125" i="7"/>
  <c r="P124" i="7"/>
  <c r="K124" i="7"/>
  <c r="J124" i="7"/>
  <c r="P123" i="7"/>
  <c r="K123" i="7"/>
  <c r="J123" i="7"/>
  <c r="P122" i="7"/>
  <c r="K122" i="7"/>
  <c r="J122" i="7"/>
  <c r="P121" i="7"/>
  <c r="K121" i="7"/>
  <c r="J121" i="7"/>
  <c r="P120" i="7"/>
  <c r="K120" i="7"/>
  <c r="J120" i="7"/>
  <c r="P119" i="7"/>
  <c r="K119" i="7"/>
  <c r="J119" i="7"/>
  <c r="P118" i="7"/>
  <c r="K118" i="7"/>
  <c r="J118" i="7"/>
  <c r="P117" i="7"/>
  <c r="K117" i="7"/>
  <c r="J117" i="7"/>
  <c r="P116" i="7"/>
  <c r="K116" i="7"/>
  <c r="J116" i="7"/>
  <c r="P115" i="7"/>
  <c r="K115" i="7"/>
  <c r="J115" i="7"/>
  <c r="P114" i="7"/>
  <c r="K114" i="7"/>
  <c r="J114" i="7"/>
  <c r="P113" i="7"/>
  <c r="K113" i="7"/>
  <c r="J113" i="7"/>
  <c r="P112" i="7"/>
  <c r="K112" i="7"/>
  <c r="J112" i="7"/>
  <c r="P111" i="7"/>
  <c r="J111" i="7"/>
  <c r="K111" i="7" s="1"/>
  <c r="P110" i="7"/>
  <c r="K110" i="7"/>
  <c r="J110" i="7"/>
  <c r="P109" i="7"/>
  <c r="J109" i="7"/>
  <c r="K109" i="7" s="1"/>
  <c r="P108" i="7"/>
  <c r="K108" i="7"/>
  <c r="J108" i="7"/>
  <c r="P107" i="7"/>
  <c r="J107" i="7"/>
  <c r="K107" i="7" s="1"/>
  <c r="J99" i="7"/>
  <c r="J98" i="7"/>
  <c r="J97" i="7"/>
  <c r="J96" i="7"/>
  <c r="J95" i="7"/>
  <c r="J94" i="7"/>
  <c r="K94" i="7" s="1"/>
  <c r="J93" i="7"/>
  <c r="J92" i="7"/>
  <c r="K92" i="7" s="1"/>
  <c r="J91" i="7"/>
  <c r="J90" i="7"/>
  <c r="Q89" i="7"/>
  <c r="P89" i="7"/>
  <c r="J89" i="7"/>
  <c r="K89" i="7" s="1"/>
  <c r="P88" i="7"/>
  <c r="J88" i="7"/>
  <c r="K88" i="7" s="1"/>
  <c r="P87" i="7"/>
  <c r="J87" i="7"/>
  <c r="P86" i="7"/>
  <c r="J86" i="7"/>
  <c r="Q85" i="7"/>
  <c r="P85" i="7"/>
  <c r="J85" i="7"/>
  <c r="P84" i="7"/>
  <c r="Q84" i="7" s="1"/>
  <c r="J84" i="7"/>
  <c r="P83" i="7"/>
  <c r="J83" i="7"/>
  <c r="P82" i="7"/>
  <c r="J82" i="7"/>
  <c r="P81" i="7"/>
  <c r="Q81" i="7" s="1"/>
  <c r="J81" i="7"/>
  <c r="P80" i="7"/>
  <c r="J80" i="7"/>
  <c r="Q79" i="7"/>
  <c r="P79" i="7"/>
  <c r="J79" i="7"/>
  <c r="P78" i="7"/>
  <c r="J78" i="7"/>
  <c r="P77" i="7"/>
  <c r="Q77" i="7" s="1"/>
  <c r="K77" i="7"/>
  <c r="J77" i="7"/>
  <c r="P76" i="7"/>
  <c r="Q76" i="7" s="1"/>
  <c r="J76" i="7"/>
  <c r="P75" i="7"/>
  <c r="Q75" i="7" s="1"/>
  <c r="J75" i="7"/>
  <c r="P74" i="7"/>
  <c r="J74" i="7"/>
  <c r="P73" i="7"/>
  <c r="Q73" i="7" s="1"/>
  <c r="K73" i="7"/>
  <c r="J73" i="7"/>
  <c r="P72" i="7"/>
  <c r="Q72" i="7" s="1"/>
  <c r="J72" i="7"/>
  <c r="P71" i="7"/>
  <c r="K71" i="7"/>
  <c r="J71" i="7"/>
  <c r="P70" i="7"/>
  <c r="J70" i="7"/>
  <c r="P69" i="7"/>
  <c r="Q69" i="7" s="1"/>
  <c r="T69" i="7" s="1"/>
  <c r="K69" i="7"/>
  <c r="J69" i="7"/>
  <c r="P68" i="7"/>
  <c r="Q68" i="7" s="1"/>
  <c r="J68" i="7"/>
  <c r="P67" i="7"/>
  <c r="J67" i="7"/>
  <c r="K67" i="7" s="1"/>
  <c r="P66" i="7"/>
  <c r="J66" i="7"/>
  <c r="P65" i="7"/>
  <c r="K65" i="7"/>
  <c r="J65" i="7"/>
  <c r="P64" i="7"/>
  <c r="J64" i="7"/>
  <c r="K64" i="7" s="1"/>
  <c r="P63" i="7"/>
  <c r="Q63" i="7" s="1"/>
  <c r="T63" i="7" s="1"/>
  <c r="K63" i="7"/>
  <c r="J63" i="7"/>
  <c r="P62" i="7"/>
  <c r="J62" i="7"/>
  <c r="P61" i="7"/>
  <c r="Q61" i="7" s="1"/>
  <c r="T61" i="7" s="1"/>
  <c r="K61" i="7"/>
  <c r="J61" i="7"/>
  <c r="P60" i="7"/>
  <c r="Q60" i="7" s="1"/>
  <c r="J60" i="7"/>
  <c r="P59" i="7"/>
  <c r="K59" i="7"/>
  <c r="J59" i="7"/>
  <c r="Y54" i="7"/>
  <c r="AD53" i="7"/>
  <c r="AC53" i="7"/>
  <c r="AC54" i="7" s="1"/>
  <c r="Y53" i="7"/>
  <c r="J52" i="7"/>
  <c r="K52" i="7" s="1"/>
  <c r="J51" i="7"/>
  <c r="J50" i="7"/>
  <c r="AC49" i="7"/>
  <c r="AB49" i="7"/>
  <c r="Z49" i="7"/>
  <c r="Y49" i="7" s="1"/>
  <c r="X49" i="7"/>
  <c r="J49" i="7"/>
  <c r="AC48" i="7"/>
  <c r="AB48" i="7"/>
  <c r="AA48" i="7"/>
  <c r="AA49" i="7" s="1"/>
  <c r="Z48" i="7"/>
  <c r="Y48" i="7"/>
  <c r="X48" i="7"/>
  <c r="W48" i="7"/>
  <c r="W49" i="7" s="1"/>
  <c r="U49" i="7" s="1"/>
  <c r="S49" i="7" s="1"/>
  <c r="U48" i="7"/>
  <c r="S48" i="7"/>
  <c r="R48" i="7"/>
  <c r="R49" i="7" s="1"/>
  <c r="K48" i="7"/>
  <c r="J48" i="7"/>
  <c r="J47" i="7"/>
  <c r="J46" i="7"/>
  <c r="J45" i="7"/>
  <c r="J44" i="7"/>
  <c r="J43" i="7"/>
  <c r="K43" i="7" s="1"/>
  <c r="P42" i="7"/>
  <c r="J42" i="7"/>
  <c r="K42" i="7" s="1"/>
  <c r="P41" i="7"/>
  <c r="J41" i="7"/>
  <c r="Q40" i="7"/>
  <c r="P40" i="7"/>
  <c r="J40" i="7"/>
  <c r="P39" i="7"/>
  <c r="J39" i="7"/>
  <c r="K39" i="7" s="1"/>
  <c r="Q38" i="7"/>
  <c r="P38" i="7"/>
  <c r="J38" i="7"/>
  <c r="K38" i="7" s="1"/>
  <c r="P37" i="7"/>
  <c r="J37" i="7"/>
  <c r="P36" i="7"/>
  <c r="Q36" i="7" s="1"/>
  <c r="J36" i="7"/>
  <c r="P35" i="7"/>
  <c r="Q35" i="7" s="1"/>
  <c r="J35" i="7"/>
  <c r="P34" i="7"/>
  <c r="Q34" i="7" s="1"/>
  <c r="J34" i="7"/>
  <c r="P33" i="7"/>
  <c r="J33" i="7"/>
  <c r="W32" i="7"/>
  <c r="W33" i="7" s="1"/>
  <c r="T33" i="7" s="1"/>
  <c r="T32" i="7"/>
  <c r="P32" i="7"/>
  <c r="J32" i="7"/>
  <c r="K32" i="7" s="1"/>
  <c r="P31" i="7"/>
  <c r="J31" i="7"/>
  <c r="K31" i="7" s="1"/>
  <c r="P30" i="7"/>
  <c r="J30" i="7"/>
  <c r="K30" i="7" s="1"/>
  <c r="P29" i="7"/>
  <c r="J29" i="7"/>
  <c r="Q28" i="7"/>
  <c r="P28" i="7"/>
  <c r="J28" i="7"/>
  <c r="P27" i="7"/>
  <c r="J27" i="7"/>
  <c r="K27" i="7" s="1"/>
  <c r="Q26" i="7"/>
  <c r="P26" i="7"/>
  <c r="J26" i="7"/>
  <c r="P25" i="7"/>
  <c r="J25" i="7"/>
  <c r="P24" i="7"/>
  <c r="Q24" i="7" s="1"/>
  <c r="J24" i="7"/>
  <c r="K24" i="7" s="1"/>
  <c r="P23" i="7"/>
  <c r="Q23" i="7" s="1"/>
  <c r="J23" i="7"/>
  <c r="K23" i="7" s="1"/>
  <c r="T22" i="7"/>
  <c r="P22" i="7"/>
  <c r="J22" i="7"/>
  <c r="K22" i="7" s="1"/>
  <c r="P21" i="7"/>
  <c r="J21" i="7"/>
  <c r="Q20" i="7"/>
  <c r="P20" i="7"/>
  <c r="J20" i="7"/>
  <c r="K20" i="7" s="1"/>
  <c r="P19" i="7"/>
  <c r="J19" i="7"/>
  <c r="K19" i="7" s="1"/>
  <c r="Q18" i="7"/>
  <c r="P18" i="7"/>
  <c r="J18" i="7"/>
  <c r="P17" i="7"/>
  <c r="J17" i="7"/>
  <c r="Q16" i="7"/>
  <c r="P16" i="7"/>
  <c r="J16" i="7"/>
  <c r="P15" i="7"/>
  <c r="Q15" i="7" s="1"/>
  <c r="J15" i="7"/>
  <c r="P14" i="7"/>
  <c r="Q14" i="7" s="1"/>
  <c r="J14" i="7"/>
  <c r="P13" i="7"/>
  <c r="J13" i="7"/>
  <c r="P12" i="7"/>
  <c r="Q12" i="7" s="1"/>
  <c r="K12" i="7"/>
  <c r="J12" i="7"/>
  <c r="AI10" i="7"/>
  <c r="AG60" i="6"/>
  <c r="AF60" i="6"/>
  <c r="AE60" i="6"/>
  <c r="AD60" i="6"/>
  <c r="AC60" i="6"/>
  <c r="AB60" i="6"/>
  <c r="AA60" i="6"/>
  <c r="Z60" i="6"/>
  <c r="Y60" i="6"/>
  <c r="X60" i="6"/>
  <c r="W60" i="6"/>
  <c r="AG59" i="6"/>
  <c r="AF59" i="6"/>
  <c r="AE59" i="6"/>
  <c r="AD59" i="6"/>
  <c r="AC59" i="6"/>
  <c r="AB59" i="6"/>
  <c r="AA59" i="6"/>
  <c r="Z59" i="6"/>
  <c r="Y59" i="6"/>
  <c r="X59" i="6"/>
  <c r="W59" i="6"/>
  <c r="AG58" i="6"/>
  <c r="AF58" i="6"/>
  <c r="AE58" i="6"/>
  <c r="AD58" i="6"/>
  <c r="AC58" i="6"/>
  <c r="AB58" i="6"/>
  <c r="AA58" i="6"/>
  <c r="Z58" i="6"/>
  <c r="Y58" i="6"/>
  <c r="X58" i="6"/>
  <c r="W58" i="6"/>
  <c r="AG57" i="6"/>
  <c r="AF57" i="6"/>
  <c r="AE57" i="6"/>
  <c r="AD57" i="6"/>
  <c r="AC57" i="6"/>
  <c r="AB57" i="6"/>
  <c r="AA57" i="6"/>
  <c r="Z57" i="6"/>
  <c r="Y57" i="6"/>
  <c r="X57" i="6"/>
  <c r="W57" i="6"/>
  <c r="AG56" i="6"/>
  <c r="AF56" i="6"/>
  <c r="AE56" i="6"/>
  <c r="AD56" i="6"/>
  <c r="AC56" i="6"/>
  <c r="AB56" i="6"/>
  <c r="AA56" i="6"/>
  <c r="Z56" i="6"/>
  <c r="Y56" i="6"/>
  <c r="X56" i="6"/>
  <c r="W56" i="6"/>
  <c r="AG55" i="6"/>
  <c r="AF55" i="6"/>
  <c r="AE55" i="6"/>
  <c r="AD55" i="6"/>
  <c r="AC55" i="6"/>
  <c r="AB55" i="6"/>
  <c r="AA55" i="6"/>
  <c r="Z55" i="6"/>
  <c r="Y55" i="6"/>
  <c r="X55" i="6"/>
  <c r="W55" i="6"/>
  <c r="AG54" i="6"/>
  <c r="AF54" i="6"/>
  <c r="AE54" i="6"/>
  <c r="AD54" i="6"/>
  <c r="AC54" i="6"/>
  <c r="AB54" i="6"/>
  <c r="AA54" i="6"/>
  <c r="Z54" i="6"/>
  <c r="Y54" i="6"/>
  <c r="X54" i="6"/>
  <c r="W54" i="6"/>
  <c r="AG53" i="6"/>
  <c r="AF53" i="6"/>
  <c r="AE53" i="6"/>
  <c r="AD53" i="6"/>
  <c r="AC53" i="6"/>
  <c r="AB53" i="6"/>
  <c r="AA53" i="6"/>
  <c r="Z53" i="6"/>
  <c r="Y53" i="6"/>
  <c r="X53" i="6"/>
  <c r="W53" i="6"/>
  <c r="AG52" i="6"/>
  <c r="AF52" i="6"/>
  <c r="AE52" i="6"/>
  <c r="AD52" i="6"/>
  <c r="AC52" i="6"/>
  <c r="AB52" i="6"/>
  <c r="AA52" i="6"/>
  <c r="Z52" i="6"/>
  <c r="Y52" i="6"/>
  <c r="X52" i="6"/>
  <c r="W52" i="6"/>
  <c r="AG51" i="6"/>
  <c r="AF51" i="6"/>
  <c r="AE51" i="6"/>
  <c r="AD51" i="6"/>
  <c r="AC51" i="6"/>
  <c r="AB51" i="6"/>
  <c r="AA51" i="6"/>
  <c r="Z51" i="6"/>
  <c r="Y51" i="6"/>
  <c r="X51" i="6"/>
  <c r="W51" i="6"/>
  <c r="AG50" i="6"/>
  <c r="AF50" i="6"/>
  <c r="K65" i="6" s="1"/>
  <c r="AE50" i="6"/>
  <c r="AD50" i="6"/>
  <c r="AC50" i="6"/>
  <c r="AB50" i="6"/>
  <c r="AA50" i="6"/>
  <c r="Z50" i="6"/>
  <c r="Y50" i="6"/>
  <c r="X50" i="6"/>
  <c r="W50" i="6"/>
  <c r="AG49" i="6"/>
  <c r="AF49" i="6"/>
  <c r="AE49" i="6"/>
  <c r="AD49" i="6"/>
  <c r="AC49" i="6"/>
  <c r="AB49" i="6"/>
  <c r="AA49" i="6"/>
  <c r="Z49" i="6"/>
  <c r="Y49" i="6"/>
  <c r="X49" i="6"/>
  <c r="W49" i="6"/>
  <c r="AG48" i="6"/>
  <c r="AF48" i="6"/>
  <c r="AE48" i="6"/>
  <c r="AD48" i="6"/>
  <c r="AC48" i="6"/>
  <c r="AB48" i="6"/>
  <c r="AA48" i="6"/>
  <c r="Z48" i="6"/>
  <c r="Y48" i="6"/>
  <c r="X48" i="6"/>
  <c r="W48" i="6"/>
  <c r="AG47" i="6"/>
  <c r="AF47" i="6"/>
  <c r="AE47" i="6"/>
  <c r="AD47" i="6"/>
  <c r="AC47" i="6"/>
  <c r="AB47" i="6"/>
  <c r="AA47" i="6"/>
  <c r="Z47" i="6"/>
  <c r="Y47" i="6"/>
  <c r="X47" i="6"/>
  <c r="W47" i="6"/>
  <c r="AG46" i="6"/>
  <c r="AF46" i="6"/>
  <c r="AE46" i="6"/>
  <c r="AD46" i="6"/>
  <c r="AC46" i="6"/>
  <c r="AB46" i="6"/>
  <c r="AA46" i="6"/>
  <c r="Z46" i="6"/>
  <c r="Y46" i="6"/>
  <c r="X46" i="6"/>
  <c r="W46" i="6"/>
  <c r="AG45" i="6"/>
  <c r="AF45" i="6"/>
  <c r="AE45" i="6"/>
  <c r="AD45" i="6"/>
  <c r="AC45" i="6"/>
  <c r="AB45" i="6"/>
  <c r="AA45" i="6"/>
  <c r="Z45" i="6"/>
  <c r="Y45" i="6"/>
  <c r="X45" i="6"/>
  <c r="W45" i="6"/>
  <c r="AG44" i="6"/>
  <c r="AF44" i="6"/>
  <c r="AE44" i="6"/>
  <c r="AD44" i="6"/>
  <c r="AC44" i="6"/>
  <c r="AB44" i="6"/>
  <c r="AA44" i="6"/>
  <c r="Z44" i="6"/>
  <c r="Y44" i="6"/>
  <c r="X44" i="6"/>
  <c r="W44" i="6"/>
  <c r="AG43" i="6"/>
  <c r="AF43" i="6"/>
  <c r="AE43" i="6"/>
  <c r="AD43" i="6"/>
  <c r="AC43" i="6"/>
  <c r="AB43" i="6"/>
  <c r="AA43" i="6"/>
  <c r="Z43" i="6"/>
  <c r="Y43" i="6"/>
  <c r="X43" i="6"/>
  <c r="W43" i="6"/>
  <c r="AG42" i="6"/>
  <c r="AF42" i="6"/>
  <c r="AE42" i="6"/>
  <c r="AD42" i="6"/>
  <c r="AC42" i="6"/>
  <c r="AB42" i="6"/>
  <c r="AA42" i="6"/>
  <c r="Z42" i="6"/>
  <c r="Y42" i="6"/>
  <c r="X42" i="6"/>
  <c r="W42" i="6"/>
  <c r="AG41" i="6"/>
  <c r="AF41" i="6"/>
  <c r="AE41" i="6"/>
  <c r="AD41" i="6"/>
  <c r="AC41" i="6"/>
  <c r="AB41" i="6"/>
  <c r="AA41" i="6"/>
  <c r="Z41" i="6"/>
  <c r="Y41" i="6"/>
  <c r="X41" i="6"/>
  <c r="W41" i="6"/>
  <c r="AG40" i="6"/>
  <c r="AF40" i="6"/>
  <c r="AE40" i="6"/>
  <c r="AD40" i="6"/>
  <c r="AC40" i="6"/>
  <c r="AB40" i="6"/>
  <c r="AA40" i="6"/>
  <c r="Z40" i="6"/>
  <c r="Y40" i="6"/>
  <c r="X40" i="6"/>
  <c r="W40" i="6"/>
  <c r="AG39" i="6"/>
  <c r="K64" i="6" s="1"/>
  <c r="AF39" i="6"/>
  <c r="AE39" i="6"/>
  <c r="AD39" i="6"/>
  <c r="AC39" i="6"/>
  <c r="AB39" i="6"/>
  <c r="AA39" i="6"/>
  <c r="Z39" i="6"/>
  <c r="Y39" i="6"/>
  <c r="X39" i="6"/>
  <c r="W39" i="6"/>
  <c r="AG38" i="6"/>
  <c r="AF38" i="6"/>
  <c r="AE38" i="6"/>
  <c r="AD38" i="6"/>
  <c r="AC38" i="6"/>
  <c r="AB38" i="6"/>
  <c r="AA38" i="6"/>
  <c r="Z38" i="6"/>
  <c r="Y38" i="6"/>
  <c r="X38" i="6"/>
  <c r="W38" i="6"/>
  <c r="AG37" i="6"/>
  <c r="AF37" i="6"/>
  <c r="AE37" i="6"/>
  <c r="AD37" i="6"/>
  <c r="AC37" i="6"/>
  <c r="AB37" i="6"/>
  <c r="AA37" i="6"/>
  <c r="Z37" i="6"/>
  <c r="Y37" i="6"/>
  <c r="X37" i="6"/>
  <c r="W37" i="6"/>
  <c r="AG36" i="6"/>
  <c r="AF36" i="6"/>
  <c r="AE36" i="6"/>
  <c r="AD36" i="6"/>
  <c r="AC36" i="6"/>
  <c r="AB36" i="6"/>
  <c r="AA36" i="6"/>
  <c r="Z36" i="6"/>
  <c r="Y36" i="6"/>
  <c r="X36" i="6"/>
  <c r="W36" i="6"/>
  <c r="AW29" i="6"/>
  <c r="AW28" i="6"/>
  <c r="AG27" i="6"/>
  <c r="AF27" i="6"/>
  <c r="AE27" i="6"/>
  <c r="AD27" i="6"/>
  <c r="AC27" i="6"/>
  <c r="AB27" i="6"/>
  <c r="AA27" i="6"/>
  <c r="Z27" i="6"/>
  <c r="Y27" i="6"/>
  <c r="X27" i="6"/>
  <c r="W27" i="6"/>
  <c r="AW26" i="6"/>
  <c r="AG26" i="6"/>
  <c r="AF26" i="6"/>
  <c r="AE26" i="6"/>
  <c r="AD26" i="6"/>
  <c r="AC26" i="6"/>
  <c r="AB26" i="6"/>
  <c r="AA26" i="6"/>
  <c r="Z26" i="6"/>
  <c r="Y26" i="6"/>
  <c r="X26" i="6"/>
  <c r="W26" i="6"/>
  <c r="AW25" i="6"/>
  <c r="AG25" i="6"/>
  <c r="AF25" i="6"/>
  <c r="AE25" i="6"/>
  <c r="AD25" i="6"/>
  <c r="AC25" i="6"/>
  <c r="AB25" i="6"/>
  <c r="AA25" i="6"/>
  <c r="Z25" i="6"/>
  <c r="Y25" i="6"/>
  <c r="X25" i="6"/>
  <c r="W25" i="6"/>
  <c r="AG24" i="6"/>
  <c r="AF24" i="6"/>
  <c r="AE24" i="6"/>
  <c r="AD24" i="6"/>
  <c r="AC24" i="6"/>
  <c r="AB24" i="6"/>
  <c r="AA24" i="6"/>
  <c r="Z24" i="6"/>
  <c r="Y24" i="6"/>
  <c r="X24" i="6"/>
  <c r="W24" i="6"/>
  <c r="AG23" i="6"/>
  <c r="AF23" i="6"/>
  <c r="AE23" i="6"/>
  <c r="AD23" i="6"/>
  <c r="AC23" i="6"/>
  <c r="AB23" i="6"/>
  <c r="AA23" i="6"/>
  <c r="Z23" i="6"/>
  <c r="Y23" i="6"/>
  <c r="X23" i="6"/>
  <c r="W23" i="6"/>
  <c r="AG22" i="6"/>
  <c r="AF22" i="6"/>
  <c r="AE22" i="6"/>
  <c r="AD22" i="6"/>
  <c r="AC22" i="6"/>
  <c r="AB22" i="6"/>
  <c r="AA22" i="6"/>
  <c r="Z22" i="6"/>
  <c r="Y22" i="6"/>
  <c r="X22" i="6"/>
  <c r="W22" i="6"/>
  <c r="AG21" i="6"/>
  <c r="AF21" i="6"/>
  <c r="AE21" i="6"/>
  <c r="AD21" i="6"/>
  <c r="AC21" i="6"/>
  <c r="AB21" i="6"/>
  <c r="AA21" i="6"/>
  <c r="Z21" i="6"/>
  <c r="Y21" i="6"/>
  <c r="X21" i="6"/>
  <c r="W21" i="6"/>
  <c r="AG20" i="6"/>
  <c r="AF20" i="6"/>
  <c r="AE20" i="6"/>
  <c r="AD20" i="6"/>
  <c r="AC20" i="6"/>
  <c r="AB20" i="6"/>
  <c r="AA20" i="6"/>
  <c r="Z20" i="6"/>
  <c r="Y20" i="6"/>
  <c r="X20" i="6"/>
  <c r="W20" i="6"/>
  <c r="AW19" i="6"/>
  <c r="AG19" i="6"/>
  <c r="AF19" i="6"/>
  <c r="AE19" i="6"/>
  <c r="AD19" i="6"/>
  <c r="AC19" i="6"/>
  <c r="AB19" i="6"/>
  <c r="AA19" i="6"/>
  <c r="Z19" i="6"/>
  <c r="Y19" i="6"/>
  <c r="X19" i="6"/>
  <c r="W19" i="6"/>
  <c r="AW18" i="6"/>
  <c r="AG18" i="6"/>
  <c r="AF18" i="6"/>
  <c r="AE18" i="6"/>
  <c r="AD18" i="6"/>
  <c r="AC18" i="6"/>
  <c r="AB18" i="6"/>
  <c r="AA18" i="6"/>
  <c r="Z18" i="6"/>
  <c r="Y18" i="6"/>
  <c r="X18" i="6"/>
  <c r="W18" i="6"/>
  <c r="AG17" i="6"/>
  <c r="AF17" i="6"/>
  <c r="AE17" i="6"/>
  <c r="AD17" i="6"/>
  <c r="AC17" i="6"/>
  <c r="AB17" i="6"/>
  <c r="AA17" i="6"/>
  <c r="Z17" i="6"/>
  <c r="Y17" i="6"/>
  <c r="X17" i="6"/>
  <c r="W17" i="6"/>
  <c r="AG16" i="6"/>
  <c r="AF16" i="6"/>
  <c r="AE16" i="6"/>
  <c r="AD16" i="6"/>
  <c r="AC16" i="6"/>
  <c r="AB16" i="6"/>
  <c r="AA16" i="6"/>
  <c r="Z16" i="6"/>
  <c r="Y16" i="6"/>
  <c r="X16" i="6"/>
  <c r="W16" i="6"/>
  <c r="AW15" i="6"/>
  <c r="AG15" i="6"/>
  <c r="AF15" i="6"/>
  <c r="AE15" i="6"/>
  <c r="AD15" i="6"/>
  <c r="AC15" i="6"/>
  <c r="AB15" i="6"/>
  <c r="AA15" i="6"/>
  <c r="Z15" i="6"/>
  <c r="Y15" i="6"/>
  <c r="X15" i="6"/>
  <c r="W15" i="6"/>
  <c r="AG14" i="6"/>
  <c r="AF14" i="6"/>
  <c r="AE14" i="6"/>
  <c r="AD14" i="6"/>
  <c r="AC14" i="6"/>
  <c r="AB14" i="6"/>
  <c r="AA14" i="6"/>
  <c r="Z14" i="6"/>
  <c r="Y14" i="6"/>
  <c r="X14" i="6"/>
  <c r="W14" i="6"/>
  <c r="AG13" i="6"/>
  <c r="AF13" i="6"/>
  <c r="AE13" i="6"/>
  <c r="AD13" i="6"/>
  <c r="AC13" i="6"/>
  <c r="AB13" i="6"/>
  <c r="AA13" i="6"/>
  <c r="Z13" i="6"/>
  <c r="Y13" i="6"/>
  <c r="X13" i="6"/>
  <c r="W13" i="6"/>
  <c r="AG12" i="6"/>
  <c r="AF12" i="6"/>
  <c r="AE12" i="6"/>
  <c r="AD12" i="6"/>
  <c r="AC12" i="6"/>
  <c r="AB12" i="6"/>
  <c r="AA12" i="6"/>
  <c r="Z12" i="6"/>
  <c r="Y12" i="6"/>
  <c r="X12" i="6"/>
  <c r="W12" i="6"/>
  <c r="AW11" i="6"/>
  <c r="AG11" i="6"/>
  <c r="AF11" i="6"/>
  <c r="AE11" i="6"/>
  <c r="AD11" i="6"/>
  <c r="AC11" i="6"/>
  <c r="AB11" i="6"/>
  <c r="AA11" i="6"/>
  <c r="Z11" i="6"/>
  <c r="Y11" i="6"/>
  <c r="X11" i="6"/>
  <c r="W11" i="6"/>
  <c r="AG10" i="6"/>
  <c r="AF10" i="6"/>
  <c r="AE10" i="6"/>
  <c r="AD10" i="6"/>
  <c r="AC10" i="6"/>
  <c r="AB10" i="6"/>
  <c r="AA10" i="6"/>
  <c r="Z10" i="6"/>
  <c r="Y10" i="6"/>
  <c r="X10" i="6"/>
  <c r="W10" i="6"/>
  <c r="AG9" i="6"/>
  <c r="AF9" i="6"/>
  <c r="AE9" i="6"/>
  <c r="AD9" i="6"/>
  <c r="AC9" i="6"/>
  <c r="AB9" i="6"/>
  <c r="AA9" i="6"/>
  <c r="Z9" i="6"/>
  <c r="Y9" i="6"/>
  <c r="X9" i="6"/>
  <c r="W9" i="6"/>
  <c r="AG8" i="6"/>
  <c r="AF8" i="6"/>
  <c r="AE8" i="6"/>
  <c r="AD8" i="6"/>
  <c r="AC8" i="6"/>
  <c r="AB8" i="6"/>
  <c r="AA8" i="6"/>
  <c r="Z8" i="6"/>
  <c r="Y8" i="6"/>
  <c r="X8" i="6"/>
  <c r="W8" i="6"/>
  <c r="AG7" i="6"/>
  <c r="AF7" i="6"/>
  <c r="AE7" i="6"/>
  <c r="AD7" i="6"/>
  <c r="AC7" i="6"/>
  <c r="AB7" i="6"/>
  <c r="AA7" i="6"/>
  <c r="Z7" i="6"/>
  <c r="Y7" i="6"/>
  <c r="X7" i="6"/>
  <c r="W7" i="6"/>
  <c r="AG6" i="6"/>
  <c r="AF6" i="6"/>
  <c r="AE6" i="6"/>
  <c r="AD6" i="6"/>
  <c r="AC6" i="6"/>
  <c r="AB6" i="6"/>
  <c r="AA6" i="6"/>
  <c r="Z6" i="6"/>
  <c r="Y6" i="6"/>
  <c r="X6" i="6"/>
  <c r="W6" i="6"/>
  <c r="AG5" i="6"/>
  <c r="AF5" i="6"/>
  <c r="AE5" i="6"/>
  <c r="AD5" i="6"/>
  <c r="AC5" i="6"/>
  <c r="AB5" i="6"/>
  <c r="AA5" i="6"/>
  <c r="Z5" i="6"/>
  <c r="Y5" i="6"/>
  <c r="X5" i="6"/>
  <c r="W5" i="6"/>
  <c r="AG4" i="6"/>
  <c r="AF4" i="6"/>
  <c r="AE4" i="6"/>
  <c r="AD4" i="6"/>
  <c r="AC4" i="6"/>
  <c r="AB4" i="6"/>
  <c r="AA4" i="6"/>
  <c r="Z4" i="6"/>
  <c r="Y4" i="6"/>
  <c r="X4" i="6"/>
  <c r="W4" i="6"/>
  <c r="AG3" i="6"/>
  <c r="AF3" i="6"/>
  <c r="AE3" i="6"/>
  <c r="AD3" i="6"/>
  <c r="AC3" i="6"/>
  <c r="AB3" i="6"/>
  <c r="AA3" i="6"/>
  <c r="Z3" i="6"/>
  <c r="Y3" i="6"/>
  <c r="X3" i="6"/>
  <c r="F155" i="4"/>
  <c r="AG148" i="4"/>
  <c r="S148" i="4"/>
  <c r="S147" i="4"/>
  <c r="S146" i="4"/>
  <c r="P146" i="4"/>
  <c r="O146" i="4"/>
  <c r="S145" i="4"/>
  <c r="S144" i="4"/>
  <c r="S143" i="4"/>
  <c r="S142" i="4"/>
  <c r="S139" i="4"/>
  <c r="P139" i="4"/>
  <c r="S138" i="4"/>
  <c r="S137" i="4"/>
  <c r="S136" i="4"/>
  <c r="S135" i="4"/>
  <c r="O135" i="4"/>
  <c r="S134" i="4"/>
  <c r="S133" i="4"/>
  <c r="P133" i="4"/>
  <c r="J132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AN114" i="4" s="1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AL112" i="4"/>
  <c r="Y150" i="4" s="1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P148" i="4" s="1"/>
  <c r="AL109" i="4"/>
  <c r="O147" i="4" s="1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P147" i="4" s="1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AL107" i="4"/>
  <c r="O145" i="4" s="1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P145" i="4" s="1"/>
  <c r="AL106" i="4"/>
  <c r="O144" i="4" s="1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AL105" i="4"/>
  <c r="O143" i="4" s="1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P143" i="4" s="1"/>
  <c r="Q143" i="4" s="1"/>
  <c r="AL104" i="4"/>
  <c r="O142" i="4" s="1"/>
  <c r="AK104" i="4"/>
  <c r="G130" i="4" s="1"/>
  <c r="AJ104" i="4"/>
  <c r="AI104" i="4"/>
  <c r="AH104" i="4"/>
  <c r="AG104" i="4"/>
  <c r="AF104" i="4"/>
  <c r="AE104" i="4"/>
  <c r="AD104" i="4"/>
  <c r="AC104" i="4"/>
  <c r="AB104" i="4"/>
  <c r="AA104" i="4"/>
  <c r="Z104" i="4"/>
  <c r="P142" i="4" s="1"/>
  <c r="AL103" i="4"/>
  <c r="AK103" i="4"/>
  <c r="AJ103" i="4"/>
  <c r="AI103" i="4"/>
  <c r="AH103" i="4"/>
  <c r="AG103" i="4"/>
  <c r="AF103" i="4"/>
  <c r="AE103" i="4"/>
  <c r="AF133" i="4" s="1"/>
  <c r="AD103" i="4"/>
  <c r="AC103" i="4"/>
  <c r="AB103" i="4"/>
  <c r="AA103" i="4"/>
  <c r="Z103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AL101" i="4"/>
  <c r="O139" i="4" s="1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AL100" i="4"/>
  <c r="O138" i="4" s="1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P138" i="4" s="1"/>
  <c r="AL99" i="4"/>
  <c r="O137" i="4" s="1"/>
  <c r="AK99" i="4"/>
  <c r="AJ99" i="4"/>
  <c r="AI99" i="4"/>
  <c r="AH99" i="4"/>
  <c r="AG99" i="4"/>
  <c r="AF99" i="4"/>
  <c r="AE99" i="4"/>
  <c r="AD99" i="4"/>
  <c r="AC99" i="4"/>
  <c r="AB99" i="4"/>
  <c r="AA99" i="4"/>
  <c r="Z99" i="4"/>
  <c r="P137" i="4" s="1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P136" i="4" s="1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AL96" i="4"/>
  <c r="O134" i="4" s="1"/>
  <c r="AK96" i="4"/>
  <c r="AJ96" i="4"/>
  <c r="AI96" i="4"/>
  <c r="AH96" i="4"/>
  <c r="AG96" i="4"/>
  <c r="AF96" i="4"/>
  <c r="AE96" i="4"/>
  <c r="AD96" i="4"/>
  <c r="AC96" i="4"/>
  <c r="AB96" i="4"/>
  <c r="AA96" i="4"/>
  <c r="Z96" i="4"/>
  <c r="P134" i="4" s="1"/>
  <c r="AL95" i="4"/>
  <c r="O133" i="4" s="1"/>
  <c r="AK95" i="4"/>
  <c r="AJ95" i="4"/>
  <c r="AI95" i="4"/>
  <c r="AH95" i="4"/>
  <c r="AG95" i="4"/>
  <c r="AF95" i="4"/>
  <c r="AE95" i="4"/>
  <c r="AD95" i="4"/>
  <c r="AC95" i="4"/>
  <c r="AB95" i="4"/>
  <c r="AA95" i="4"/>
  <c r="Z95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P135" i="4" s="1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W60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AL43" i="4"/>
  <c r="AH78" i="4" s="1"/>
  <c r="AK43" i="4"/>
  <c r="K62" i="4" s="1"/>
  <c r="AJ43" i="4"/>
  <c r="AI43" i="4"/>
  <c r="AH43" i="4"/>
  <c r="AG43" i="4"/>
  <c r="AF43" i="4"/>
  <c r="AE43" i="4"/>
  <c r="AD43" i="4"/>
  <c r="AC43" i="4"/>
  <c r="AB43" i="4"/>
  <c r="AA43" i="4"/>
  <c r="Z43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AL38" i="4"/>
  <c r="AH79" i="4" s="1"/>
  <c r="AI78" i="4" s="1"/>
  <c r="AK38" i="4"/>
  <c r="AJ38" i="4"/>
  <c r="AI38" i="4"/>
  <c r="AH38" i="4"/>
  <c r="AG38" i="4"/>
  <c r="AF38" i="4"/>
  <c r="AE38" i="4"/>
  <c r="AD38" i="4"/>
  <c r="AC38" i="4"/>
  <c r="AB38" i="4"/>
  <c r="AA38" i="4"/>
  <c r="Z38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AL35" i="4"/>
  <c r="N59" i="4" s="1"/>
  <c r="AK35" i="4"/>
  <c r="AJ35" i="4"/>
  <c r="AI35" i="4"/>
  <c r="AH35" i="4"/>
  <c r="AG35" i="4"/>
  <c r="AF35" i="4"/>
  <c r="AE35" i="4"/>
  <c r="AD35" i="4"/>
  <c r="AC35" i="4"/>
  <c r="AB35" i="4"/>
  <c r="AA35" i="4"/>
  <c r="Z35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R28" i="4"/>
  <c r="AG27" i="4"/>
  <c r="AF27" i="4"/>
  <c r="AE27" i="4"/>
  <c r="AD27" i="4"/>
  <c r="AC27" i="4"/>
  <c r="AB27" i="4"/>
  <c r="AA27" i="4"/>
  <c r="Z27" i="4"/>
  <c r="Y27" i="4"/>
  <c r="X27" i="4"/>
  <c r="W27" i="4"/>
  <c r="AW26" i="4"/>
  <c r="AG26" i="4"/>
  <c r="AF26" i="4"/>
  <c r="AE26" i="4"/>
  <c r="AD26" i="4"/>
  <c r="AC26" i="4"/>
  <c r="AB26" i="4"/>
  <c r="AA26" i="4"/>
  <c r="Z26" i="4"/>
  <c r="Y26" i="4"/>
  <c r="X26" i="4"/>
  <c r="W26" i="4"/>
  <c r="AW25" i="4"/>
  <c r="AW27" i="4" s="1"/>
  <c r="AG25" i="4"/>
  <c r="AF25" i="4"/>
  <c r="AE25" i="4"/>
  <c r="AD25" i="4"/>
  <c r="AC25" i="4"/>
  <c r="AB25" i="4"/>
  <c r="AA25" i="4"/>
  <c r="Z25" i="4"/>
  <c r="Y25" i="4"/>
  <c r="X25" i="4"/>
  <c r="W25" i="4"/>
  <c r="AG24" i="4"/>
  <c r="AF24" i="4"/>
  <c r="AE24" i="4"/>
  <c r="AD24" i="4"/>
  <c r="AC24" i="4"/>
  <c r="AB24" i="4"/>
  <c r="AA24" i="4"/>
  <c r="Z24" i="4"/>
  <c r="Y24" i="4"/>
  <c r="X24" i="4"/>
  <c r="W24" i="4"/>
  <c r="AG23" i="4"/>
  <c r="AF23" i="4"/>
  <c r="AE23" i="4"/>
  <c r="AD23" i="4"/>
  <c r="AC23" i="4"/>
  <c r="AB23" i="4"/>
  <c r="AA23" i="4"/>
  <c r="Z23" i="4"/>
  <c r="Y23" i="4"/>
  <c r="X23" i="4"/>
  <c r="W23" i="4"/>
  <c r="AG22" i="4"/>
  <c r="AF22" i="4"/>
  <c r="AE22" i="4"/>
  <c r="AD22" i="4"/>
  <c r="AC22" i="4"/>
  <c r="AB22" i="4"/>
  <c r="AA22" i="4"/>
  <c r="Z22" i="4"/>
  <c r="Y22" i="4"/>
  <c r="X22" i="4"/>
  <c r="W22" i="4"/>
  <c r="AG21" i="4"/>
  <c r="AF21" i="4"/>
  <c r="AE21" i="4"/>
  <c r="AD21" i="4"/>
  <c r="AC21" i="4"/>
  <c r="AB21" i="4"/>
  <c r="AA21" i="4"/>
  <c r="Z21" i="4"/>
  <c r="Y21" i="4"/>
  <c r="X21" i="4"/>
  <c r="W21" i="4"/>
  <c r="AG20" i="4"/>
  <c r="AF20" i="4"/>
  <c r="AE20" i="4"/>
  <c r="AD20" i="4"/>
  <c r="AC20" i="4"/>
  <c r="AB20" i="4"/>
  <c r="AA20" i="4"/>
  <c r="Z20" i="4"/>
  <c r="Y20" i="4"/>
  <c r="X20" i="4"/>
  <c r="W20" i="4"/>
  <c r="AW19" i="4"/>
  <c r="AW22" i="4" s="1"/>
  <c r="AG19" i="4"/>
  <c r="AF19" i="4"/>
  <c r="AE19" i="4"/>
  <c r="AD19" i="4"/>
  <c r="AC19" i="4"/>
  <c r="AB19" i="4"/>
  <c r="AA19" i="4"/>
  <c r="Z19" i="4"/>
  <c r="Y19" i="4"/>
  <c r="X19" i="4"/>
  <c r="W19" i="4"/>
  <c r="AW18" i="4"/>
  <c r="AG18" i="4"/>
  <c r="AF18" i="4"/>
  <c r="AE18" i="4"/>
  <c r="AD18" i="4"/>
  <c r="AC18" i="4"/>
  <c r="AB18" i="4"/>
  <c r="AA18" i="4"/>
  <c r="Z18" i="4"/>
  <c r="Y18" i="4"/>
  <c r="X18" i="4"/>
  <c r="W18" i="4"/>
  <c r="AG17" i="4"/>
  <c r="AF17" i="4"/>
  <c r="AE17" i="4"/>
  <c r="AD17" i="4"/>
  <c r="L28" i="4" s="1"/>
  <c r="AC17" i="4"/>
  <c r="AB17" i="4"/>
  <c r="AA17" i="4"/>
  <c r="Z17" i="4"/>
  <c r="Y17" i="4"/>
  <c r="X17" i="4"/>
  <c r="W17" i="4"/>
  <c r="AG16" i="4"/>
  <c r="AF16" i="4"/>
  <c r="AE16" i="4"/>
  <c r="AD16" i="4"/>
  <c r="AC16" i="4"/>
  <c r="AB16" i="4"/>
  <c r="AA16" i="4"/>
  <c r="Z16" i="4"/>
  <c r="Y16" i="4"/>
  <c r="X16" i="4"/>
  <c r="W16" i="4"/>
  <c r="AW15" i="4"/>
  <c r="AH130" i="4" s="1"/>
  <c r="AG15" i="4"/>
  <c r="AF15" i="4"/>
  <c r="AE15" i="4"/>
  <c r="AD15" i="4"/>
  <c r="AC15" i="4"/>
  <c r="AB15" i="4"/>
  <c r="AA15" i="4"/>
  <c r="Z15" i="4"/>
  <c r="Y15" i="4"/>
  <c r="X15" i="4"/>
  <c r="W15" i="4"/>
  <c r="AG14" i="4"/>
  <c r="AF14" i="4"/>
  <c r="AE14" i="4"/>
  <c r="AD14" i="4"/>
  <c r="AC14" i="4"/>
  <c r="AB14" i="4"/>
  <c r="AA14" i="4"/>
  <c r="Z14" i="4"/>
  <c r="Y14" i="4"/>
  <c r="AM127" i="4" s="1"/>
  <c r="X14" i="4"/>
  <c r="W14" i="4"/>
  <c r="AG13" i="4"/>
  <c r="AF13" i="4"/>
  <c r="AE13" i="4"/>
  <c r="AD13" i="4"/>
  <c r="AC13" i="4"/>
  <c r="AB13" i="4"/>
  <c r="AA13" i="4"/>
  <c r="Z13" i="4"/>
  <c r="Y13" i="4"/>
  <c r="X13" i="4"/>
  <c r="W13" i="4"/>
  <c r="AG12" i="4"/>
  <c r="AF12" i="4"/>
  <c r="AE12" i="4"/>
  <c r="AD12" i="4"/>
  <c r="AC12" i="4"/>
  <c r="AB12" i="4"/>
  <c r="AA12" i="4"/>
  <c r="Z12" i="4"/>
  <c r="Y12" i="4"/>
  <c r="X12" i="4"/>
  <c r="W12" i="4"/>
  <c r="AW11" i="4"/>
  <c r="AG11" i="4"/>
  <c r="AF11" i="4"/>
  <c r="AE11" i="4"/>
  <c r="AD11" i="4"/>
  <c r="AC11" i="4"/>
  <c r="AB11" i="4"/>
  <c r="AA11" i="4"/>
  <c r="Z11" i="4"/>
  <c r="Y11" i="4"/>
  <c r="AM125" i="4" s="1"/>
  <c r="X11" i="4"/>
  <c r="W11" i="4"/>
  <c r="AG10" i="4"/>
  <c r="AF10" i="4"/>
  <c r="AE10" i="4"/>
  <c r="AD10" i="4"/>
  <c r="AC10" i="4"/>
  <c r="AB10" i="4"/>
  <c r="AA10" i="4"/>
  <c r="Z10" i="4"/>
  <c r="Y10" i="4"/>
  <c r="X10" i="4"/>
  <c r="W10" i="4"/>
  <c r="AG9" i="4"/>
  <c r="AF9" i="4"/>
  <c r="AE9" i="4"/>
  <c r="AD9" i="4"/>
  <c r="AC9" i="4"/>
  <c r="AB9" i="4"/>
  <c r="AA9" i="4"/>
  <c r="Z9" i="4"/>
  <c r="Y9" i="4"/>
  <c r="AM123" i="4" s="1"/>
  <c r="X9" i="4"/>
  <c r="W9" i="4"/>
  <c r="AG8" i="4"/>
  <c r="AF8" i="4"/>
  <c r="AE8" i="4"/>
  <c r="AD8" i="4"/>
  <c r="AC8" i="4"/>
  <c r="AB8" i="4"/>
  <c r="AA8" i="4"/>
  <c r="Z8" i="4"/>
  <c r="Y8" i="4"/>
  <c r="X8" i="4"/>
  <c r="W8" i="4"/>
  <c r="AG7" i="4"/>
  <c r="AF7" i="4"/>
  <c r="AE7" i="4"/>
  <c r="AD7" i="4"/>
  <c r="AC7" i="4"/>
  <c r="AB7" i="4"/>
  <c r="AA7" i="4"/>
  <c r="Z7" i="4"/>
  <c r="Y7" i="4"/>
  <c r="X7" i="4"/>
  <c r="W7" i="4"/>
  <c r="AG6" i="4"/>
  <c r="AF6" i="4"/>
  <c r="AE6" i="4"/>
  <c r="AD6" i="4"/>
  <c r="AC6" i="4"/>
  <c r="AB6" i="4"/>
  <c r="AA6" i="4"/>
  <c r="Z6" i="4"/>
  <c r="Y6" i="4"/>
  <c r="X6" i="4"/>
  <c r="W6" i="4"/>
  <c r="AG5" i="4"/>
  <c r="AF5" i="4"/>
  <c r="AE5" i="4"/>
  <c r="AD5" i="4"/>
  <c r="AC5" i="4"/>
  <c r="AB5" i="4"/>
  <c r="AA5" i="4"/>
  <c r="Z5" i="4"/>
  <c r="Y5" i="4"/>
  <c r="X5" i="4"/>
  <c r="W5" i="4"/>
  <c r="AG4" i="4"/>
  <c r="AF4" i="4"/>
  <c r="AE4" i="4"/>
  <c r="AD4" i="4"/>
  <c r="AC4" i="4"/>
  <c r="AB4" i="4"/>
  <c r="AA4" i="4"/>
  <c r="Z4" i="4"/>
  <c r="Y4" i="4"/>
  <c r="X4" i="4"/>
  <c r="W4" i="4"/>
  <c r="AG3" i="4"/>
  <c r="AF3" i="4"/>
  <c r="AE3" i="4"/>
  <c r="AD3" i="4"/>
  <c r="AC3" i="4"/>
  <c r="AB3" i="4"/>
  <c r="AA3" i="4"/>
  <c r="Z3" i="4"/>
  <c r="Y3" i="4"/>
  <c r="X3" i="4"/>
  <c r="W3" i="4"/>
  <c r="BC37" i="3"/>
  <c r="BJ29" i="3"/>
  <c r="BJ26" i="3"/>
  <c r="BJ25" i="3"/>
  <c r="AY22" i="3"/>
  <c r="R22" i="3"/>
  <c r="AY21" i="3"/>
  <c r="BJ19" i="3"/>
  <c r="AT19" i="3"/>
  <c r="BJ18" i="3"/>
  <c r="K16" i="3"/>
  <c r="BJ11" i="3"/>
  <c r="AY11" i="3"/>
  <c r="M6" i="3"/>
  <c r="L6" i="3"/>
  <c r="K6" i="3"/>
  <c r="J6" i="3"/>
  <c r="M5" i="3"/>
  <c r="N5" i="3" s="1"/>
  <c r="L5" i="3"/>
  <c r="K5" i="3"/>
  <c r="J5" i="3"/>
  <c r="AV4" i="3"/>
  <c r="M4" i="3"/>
  <c r="L4" i="3"/>
  <c r="K4" i="3"/>
  <c r="J4" i="3"/>
  <c r="M3" i="3"/>
  <c r="N3" i="3" s="1"/>
  <c r="AT4" i="3" s="1"/>
  <c r="L3" i="3"/>
  <c r="H15" i="3" s="1"/>
  <c r="K3" i="3"/>
  <c r="J3" i="3"/>
  <c r="M147" i="2"/>
  <c r="AB142" i="2"/>
  <c r="O136" i="2"/>
  <c r="AW22" i="6" l="1"/>
  <c r="AW23" i="6" s="1"/>
  <c r="AW20" i="4"/>
  <c r="AW27" i="6"/>
  <c r="Q137" i="4"/>
  <c r="Q138" i="4"/>
  <c r="R138" i="4" s="1"/>
  <c r="T138" i="4" s="1"/>
  <c r="AN125" i="4"/>
  <c r="V119" i="11"/>
  <c r="AQ288" i="11"/>
  <c r="AP288" i="11" s="1"/>
  <c r="AE259" i="11"/>
  <c r="AQ289" i="11"/>
  <c r="AG258" i="11"/>
  <c r="AL231" i="11"/>
  <c r="AG257" i="11"/>
  <c r="AF257" i="11" s="1"/>
  <c r="N28" i="4"/>
  <c r="N4" i="3"/>
  <c r="C15" i="3"/>
  <c r="AH80" i="4"/>
  <c r="AN127" i="4"/>
  <c r="K28" i="7"/>
  <c r="K49" i="7"/>
  <c r="H53" i="10"/>
  <c r="U39" i="9"/>
  <c r="AB36" i="11"/>
  <c r="AA36" i="11"/>
  <c r="P144" i="4"/>
  <c r="O148" i="4"/>
  <c r="Q19" i="7"/>
  <c r="K26" i="7"/>
  <c r="K84" i="7"/>
  <c r="T89" i="7"/>
  <c r="T40" i="9"/>
  <c r="H33" i="10"/>
  <c r="I33" i="10" s="1"/>
  <c r="AA40" i="11"/>
  <c r="AB40" i="11"/>
  <c r="H50" i="10"/>
  <c r="U36" i="9"/>
  <c r="V36" i="9" s="1"/>
  <c r="X36" i="9" s="1"/>
  <c r="V39" i="9"/>
  <c r="X39" i="9" s="1"/>
  <c r="AN123" i="4"/>
  <c r="O31" i="6"/>
  <c r="K51" i="7"/>
  <c r="K47" i="7"/>
  <c r="Q42" i="7"/>
  <c r="K36" i="7"/>
  <c r="K34" i="7"/>
  <c r="Q32" i="7"/>
  <c r="Q30" i="7"/>
  <c r="Q22" i="7"/>
  <c r="K16" i="7"/>
  <c r="K14" i="7"/>
  <c r="Q39" i="7"/>
  <c r="Q37" i="7"/>
  <c r="Q33" i="7"/>
  <c r="Q27" i="7"/>
  <c r="Q25" i="7"/>
  <c r="K44" i="7"/>
  <c r="Q41" i="7"/>
  <c r="K35" i="7"/>
  <c r="Q31" i="7"/>
  <c r="Q29" i="7"/>
  <c r="Q21" i="7"/>
  <c r="K15" i="7"/>
  <c r="K98" i="7"/>
  <c r="K99" i="7"/>
  <c r="J43" i="10"/>
  <c r="J33" i="10"/>
  <c r="U123" i="11"/>
  <c r="U122" i="11"/>
  <c r="V121" i="11"/>
  <c r="V120" i="11"/>
  <c r="AG262" i="11"/>
  <c r="AG261" i="11"/>
  <c r="AF261" i="11" s="1"/>
  <c r="AE261" i="11" s="1"/>
  <c r="AD261" i="11" s="1"/>
  <c r="AE264" i="11"/>
  <c r="AE267" i="11"/>
  <c r="AQ292" i="11"/>
  <c r="AP292" i="11" s="1"/>
  <c r="AQ293" i="11"/>
  <c r="AM226" i="11"/>
  <c r="AL226" i="11" s="1"/>
  <c r="AM227" i="11"/>
  <c r="V251" i="11"/>
  <c r="V233" i="11"/>
  <c r="V250" i="11"/>
  <c r="V232" i="11"/>
  <c r="Z269" i="11"/>
  <c r="AL294" i="11"/>
  <c r="Z270" i="11"/>
  <c r="AL295" i="11"/>
  <c r="AJ290" i="11"/>
  <c r="AJ291" i="11"/>
  <c r="AI291" i="11" s="1"/>
  <c r="V229" i="11"/>
  <c r="V248" i="11"/>
  <c r="V249" i="11"/>
  <c r="V240" i="11"/>
  <c r="V241" i="11"/>
  <c r="AN291" i="11"/>
  <c r="AN290" i="11"/>
  <c r="V341" i="11"/>
  <c r="V340" i="11"/>
  <c r="Y266" i="11"/>
  <c r="Y265" i="11"/>
  <c r="V246" i="11"/>
  <c r="V247" i="11"/>
  <c r="X363" i="11"/>
  <c r="X364" i="11"/>
  <c r="X367" i="11"/>
  <c r="X366" i="11"/>
  <c r="V348" i="11"/>
  <c r="V369" i="11"/>
  <c r="V368" i="11"/>
  <c r="V349" i="11"/>
  <c r="Y324" i="11"/>
  <c r="Y325" i="11"/>
  <c r="V371" i="11"/>
  <c r="V347" i="11"/>
  <c r="V370" i="11"/>
  <c r="V346" i="11"/>
  <c r="AC268" i="11"/>
  <c r="AC267" i="11"/>
  <c r="AB260" i="11"/>
  <c r="AN288" i="11"/>
  <c r="AB259" i="11"/>
  <c r="AN289" i="11"/>
  <c r="Y342" i="11"/>
  <c r="Y360" i="11"/>
  <c r="Y359" i="11"/>
  <c r="Y343" i="11"/>
  <c r="Y358" i="11"/>
  <c r="Y357" i="11"/>
  <c r="AC265" i="11"/>
  <c r="AC266" i="11"/>
  <c r="AJ229" i="11"/>
  <c r="AJ228" i="11"/>
  <c r="AI228" i="11" s="1"/>
  <c r="Y326" i="11"/>
  <c r="Y327" i="11"/>
  <c r="X349" i="11"/>
  <c r="X369" i="11"/>
  <c r="X348" i="11"/>
  <c r="X368" i="11"/>
  <c r="W95" i="11"/>
  <c r="W94" i="11"/>
  <c r="W101" i="11"/>
  <c r="X96" i="11"/>
  <c r="H51" i="10"/>
  <c r="U37" i="9"/>
  <c r="U111" i="11"/>
  <c r="U110" i="11"/>
  <c r="AE260" i="11"/>
  <c r="AG259" i="11"/>
  <c r="AF259" i="11" s="1"/>
  <c r="AG260" i="11"/>
  <c r="AE270" i="11"/>
  <c r="AQ294" i="11"/>
  <c r="AP294" i="11" s="1"/>
  <c r="AE269" i="11"/>
  <c r="AQ295" i="11"/>
  <c r="AG264" i="11"/>
  <c r="AG263" i="11"/>
  <c r="AF263" i="11" s="1"/>
  <c r="AK293" i="11"/>
  <c r="AK292" i="11"/>
  <c r="X264" i="11"/>
  <c r="X263" i="11"/>
  <c r="AI289" i="11"/>
  <c r="AI298" i="11"/>
  <c r="AI288" i="11"/>
  <c r="AI299" i="11"/>
  <c r="W260" i="11"/>
  <c r="W259" i="11"/>
  <c r="Y338" i="11"/>
  <c r="Y353" i="11"/>
  <c r="Y339" i="11"/>
  <c r="Y354" i="11"/>
  <c r="W236" i="11"/>
  <c r="W237" i="11"/>
  <c r="AI281" i="11"/>
  <c r="AI280" i="11"/>
  <c r="AM162" i="11"/>
  <c r="AJ287" i="11"/>
  <c r="AI287" i="11" s="1"/>
  <c r="AH287" i="11" s="1"/>
  <c r="AM161" i="11"/>
  <c r="X258" i="11"/>
  <c r="Y231" i="11"/>
  <c r="X257" i="11"/>
  <c r="Y230" i="11"/>
  <c r="W238" i="11"/>
  <c r="Y246" i="11" s="1"/>
  <c r="W239" i="11"/>
  <c r="V235" i="11"/>
  <c r="V234" i="11"/>
  <c r="AB257" i="11"/>
  <c r="AJ231" i="11"/>
  <c r="AN287" i="11"/>
  <c r="AJ230" i="11"/>
  <c r="W267" i="11"/>
  <c r="W268" i="11"/>
  <c r="V226" i="11"/>
  <c r="V227" i="11"/>
  <c r="X333" i="11"/>
  <c r="X332" i="11"/>
  <c r="W356" i="11"/>
  <c r="W329" i="11"/>
  <c r="W337" i="11"/>
  <c r="W336" i="11"/>
  <c r="W355" i="11"/>
  <c r="W328" i="11"/>
  <c r="V366" i="11"/>
  <c r="V363" i="11"/>
  <c r="V367" i="11"/>
  <c r="V364" i="11"/>
  <c r="W345" i="11"/>
  <c r="W344" i="11"/>
  <c r="V354" i="11"/>
  <c r="V359" i="11"/>
  <c r="V338" i="11"/>
  <c r="V339" i="11"/>
  <c r="V353" i="11"/>
  <c r="V360" i="11"/>
  <c r="AA267" i="11"/>
  <c r="AA268" i="11"/>
  <c r="Z259" i="11"/>
  <c r="Z260" i="11"/>
  <c r="AL288" i="11"/>
  <c r="AL289" i="11"/>
  <c r="E60" i="11"/>
  <c r="E73" i="11"/>
  <c r="E59" i="11"/>
  <c r="E72" i="11"/>
  <c r="F61" i="11"/>
  <c r="F77" i="11"/>
  <c r="F76" i="11"/>
  <c r="F62" i="11"/>
  <c r="X97" i="11"/>
  <c r="Q142" i="4"/>
  <c r="U130" i="11"/>
  <c r="V129" i="11" s="1"/>
  <c r="U129" i="11"/>
  <c r="O136" i="4"/>
  <c r="R143" i="4"/>
  <c r="T143" i="4" s="1"/>
  <c r="K18" i="7"/>
  <c r="L24" i="7"/>
  <c r="K40" i="7"/>
  <c r="T72" i="7"/>
  <c r="K97" i="7"/>
  <c r="K93" i="7"/>
  <c r="K83" i="7"/>
  <c r="K81" i="7"/>
  <c r="T81" i="7" s="1"/>
  <c r="K79" i="7"/>
  <c r="K75" i="7"/>
  <c r="Q66" i="7"/>
  <c r="T66" i="7" s="1"/>
  <c r="Q64" i="7"/>
  <c r="T64" i="7" s="1"/>
  <c r="K96" i="7"/>
  <c r="Q82" i="7"/>
  <c r="Q80" i="7"/>
  <c r="Q78" i="7"/>
  <c r="K68" i="7"/>
  <c r="K95" i="7"/>
  <c r="K91" i="7"/>
  <c r="Q88" i="7"/>
  <c r="T88" i="7" s="1"/>
  <c r="K80" i="7"/>
  <c r="K76" i="7"/>
  <c r="T76" i="7" s="1"/>
  <c r="K72" i="7"/>
  <c r="Q65" i="7"/>
  <c r="T65" i="7" s="1"/>
  <c r="K60" i="7"/>
  <c r="T60" i="7" s="1"/>
  <c r="R137" i="4"/>
  <c r="T137" i="4" s="1"/>
  <c r="K21" i="7"/>
  <c r="K29" i="7"/>
  <c r="K41" i="7"/>
  <c r="T75" i="7"/>
  <c r="T79" i="7"/>
  <c r="K90" i="7"/>
  <c r="H35" i="10"/>
  <c r="U121" i="11"/>
  <c r="U120" i="11"/>
  <c r="V130" i="11"/>
  <c r="AP295" i="11"/>
  <c r="AD270" i="11"/>
  <c r="AD269" i="11"/>
  <c r="AH229" i="11"/>
  <c r="W245" i="11"/>
  <c r="Y261" i="11"/>
  <c r="Y262" i="11"/>
  <c r="W366" i="11"/>
  <c r="W367" i="11"/>
  <c r="W364" i="11"/>
  <c r="W363" i="11"/>
  <c r="AJ292" i="11"/>
  <c r="W263" i="11"/>
  <c r="W264" i="11"/>
  <c r="AH299" i="11"/>
  <c r="AH289" i="11"/>
  <c r="AH298" i="11"/>
  <c r="AH288" i="11"/>
  <c r="V260" i="11"/>
  <c r="V259" i="11"/>
  <c r="V237" i="11"/>
  <c r="V236" i="11"/>
  <c r="AN293" i="11"/>
  <c r="AN292" i="11"/>
  <c r="Z226" i="11"/>
  <c r="Z227" i="11"/>
  <c r="AJ294" i="11"/>
  <c r="AJ295" i="11"/>
  <c r="AI295" i="11" s="1"/>
  <c r="X270" i="11"/>
  <c r="X269" i="11"/>
  <c r="AB262" i="11"/>
  <c r="AB261" i="11"/>
  <c r="AI290" i="11"/>
  <c r="AM164" i="11"/>
  <c r="AJ289" i="11"/>
  <c r="AJ288" i="11"/>
  <c r="AM163" i="11"/>
  <c r="X260" i="11"/>
  <c r="X259" i="11"/>
  <c r="X265" i="11"/>
  <c r="X266" i="11"/>
  <c r="AH281" i="11"/>
  <c r="AH280" i="11"/>
  <c r="W370" i="11"/>
  <c r="W346" i="11"/>
  <c r="W347" i="11"/>
  <c r="W371" i="11"/>
  <c r="V333" i="11"/>
  <c r="V332" i="11"/>
  <c r="V344" i="11"/>
  <c r="V345" i="11"/>
  <c r="AB265" i="11"/>
  <c r="AB266" i="11"/>
  <c r="AF228" i="11"/>
  <c r="AF229" i="11"/>
  <c r="W97" i="11"/>
  <c r="P62" i="11"/>
  <c r="R63" i="11"/>
  <c r="W96" i="11"/>
  <c r="P63" i="11"/>
  <c r="R62" i="11"/>
  <c r="Q13" i="11"/>
  <c r="O64" i="11"/>
  <c r="O65" i="11"/>
  <c r="Q62" i="11"/>
  <c r="O62" i="11"/>
  <c r="Q63" i="11"/>
  <c r="O63" i="11"/>
  <c r="AB34" i="11"/>
  <c r="AA34" i="11"/>
  <c r="T21" i="11"/>
  <c r="E62" i="11"/>
  <c r="AT5" i="3"/>
  <c r="AW4" i="3" s="1"/>
  <c r="AW6" i="3" s="1"/>
  <c r="N6" i="3" s="1"/>
  <c r="AW23" i="4"/>
  <c r="K17" i="7"/>
  <c r="K25" i="7"/>
  <c r="K33" i="7"/>
  <c r="K37" i="7"/>
  <c r="T73" i="7"/>
  <c r="T77" i="7"/>
  <c r="K86" i="7"/>
  <c r="Z29" i="9"/>
  <c r="V37" i="9"/>
  <c r="Q40" i="9"/>
  <c r="T122" i="10"/>
  <c r="Y122" i="10" s="1"/>
  <c r="D54" i="10"/>
  <c r="T123" i="10"/>
  <c r="Y123" i="10" s="1"/>
  <c r="D50" i="10"/>
  <c r="D43" i="10"/>
  <c r="I43" i="10" s="1"/>
  <c r="D36" i="10"/>
  <c r="T124" i="10"/>
  <c r="D52" i="10"/>
  <c r="D51" i="10"/>
  <c r="D35" i="10"/>
  <c r="L60" i="10"/>
  <c r="D34" i="10"/>
  <c r="D53" i="10"/>
  <c r="D45" i="10"/>
  <c r="I45" i="10" s="1"/>
  <c r="J45" i="10" s="1"/>
  <c r="T120" i="10"/>
  <c r="P51" i="10"/>
  <c r="P48" i="10"/>
  <c r="D42" i="10"/>
  <c r="I42" i="10" s="1"/>
  <c r="J42" i="10" s="1"/>
  <c r="P47" i="10"/>
  <c r="D44" i="10"/>
  <c r="T121" i="10"/>
  <c r="Y121" i="10" s="1"/>
  <c r="D46" i="10"/>
  <c r="D37" i="10"/>
  <c r="P49" i="10"/>
  <c r="H37" i="10"/>
  <c r="Z27" i="10"/>
  <c r="E69" i="11"/>
  <c r="E68" i="11"/>
  <c r="V109" i="11"/>
  <c r="V108" i="11"/>
  <c r="U108" i="11" s="1"/>
  <c r="U133" i="11"/>
  <c r="U134" i="11"/>
  <c r="V144" i="11"/>
  <c r="U144" i="11" s="1"/>
  <c r="V110" i="11"/>
  <c r="Y154" i="11"/>
  <c r="U119" i="11"/>
  <c r="U118" i="11"/>
  <c r="AH226" i="11"/>
  <c r="AB258" i="11"/>
  <c r="Z228" i="11"/>
  <c r="Z229" i="11"/>
  <c r="AM292" i="11"/>
  <c r="AM293" i="11"/>
  <c r="W368" i="11"/>
  <c r="W349" i="11"/>
  <c r="W369" i="11"/>
  <c r="W348" i="11"/>
  <c r="X262" i="11"/>
  <c r="X261" i="11"/>
  <c r="AI284" i="11"/>
  <c r="AI297" i="11"/>
  <c r="AI296" i="11"/>
  <c r="AI285" i="11"/>
  <c r="AI292" i="11"/>
  <c r="V264" i="11"/>
  <c r="V263" i="11"/>
  <c r="X370" i="11"/>
  <c r="X371" i="11"/>
  <c r="X346" i="11"/>
  <c r="X347" i="11"/>
  <c r="AI283" i="11"/>
  <c r="AI282" i="11"/>
  <c r="AH282" i="11" s="1"/>
  <c r="V238" i="11"/>
  <c r="V239" i="11"/>
  <c r="AA265" i="11"/>
  <c r="AA266" i="11"/>
  <c r="X339" i="11"/>
  <c r="X359" i="11"/>
  <c r="X338" i="11"/>
  <c r="X353" i="11"/>
  <c r="X360" i="11"/>
  <c r="X354" i="11"/>
  <c r="X361" i="11"/>
  <c r="X362" i="11"/>
  <c r="Z266" i="11"/>
  <c r="Z265" i="11"/>
  <c r="X345" i="11"/>
  <c r="X344" i="11"/>
  <c r="W354" i="11"/>
  <c r="W353" i="11"/>
  <c r="W339" i="11"/>
  <c r="W360" i="11"/>
  <c r="W338" i="11"/>
  <c r="W359" i="11"/>
  <c r="X331" i="11"/>
  <c r="X327" i="11"/>
  <c r="X326" i="11"/>
  <c r="X330" i="11"/>
  <c r="W358" i="11"/>
  <c r="W342" i="11"/>
  <c r="W343" i="11"/>
  <c r="W357" i="11"/>
  <c r="V326" i="11"/>
  <c r="V330" i="11"/>
  <c r="V327" i="11"/>
  <c r="V331" i="11"/>
  <c r="E44" i="11"/>
  <c r="E45" i="11"/>
  <c r="E46" i="11"/>
  <c r="E47" i="11"/>
  <c r="U96" i="11"/>
  <c r="P72" i="11"/>
  <c r="T22" i="11"/>
  <c r="T23" i="11" s="1"/>
  <c r="V97" i="11"/>
  <c r="U97" i="11" s="1"/>
  <c r="V96" i="11"/>
  <c r="AW21" i="4"/>
  <c r="K13" i="7"/>
  <c r="Q17" i="7"/>
  <c r="K74" i="7"/>
  <c r="K78" i="7"/>
  <c r="K82" i="7"/>
  <c r="Q86" i="7"/>
  <c r="X37" i="9"/>
  <c r="H34" i="10"/>
  <c r="I34" i="10" s="1"/>
  <c r="E57" i="11"/>
  <c r="E58" i="11"/>
  <c r="F47" i="11"/>
  <c r="F46" i="11"/>
  <c r="AE154" i="11"/>
  <c r="AE155" i="11"/>
  <c r="P64" i="11"/>
  <c r="P65" i="11"/>
  <c r="U109" i="11"/>
  <c r="AQ290" i="11"/>
  <c r="AP290" i="11" s="1"/>
  <c r="AQ291" i="11"/>
  <c r="AD264" i="11"/>
  <c r="AD262" i="11"/>
  <c r="AE266" i="11"/>
  <c r="AE263" i="11"/>
  <c r="AD263" i="11" s="1"/>
  <c r="Y229" i="11"/>
  <c r="Y228" i="11"/>
  <c r="W261" i="11"/>
  <c r="V261" i="11" s="1"/>
  <c r="W262" i="11"/>
  <c r="AH284" i="11"/>
  <c r="AH297" i="11"/>
  <c r="AH296" i="11"/>
  <c r="AH285" i="11"/>
  <c r="Y345" i="11"/>
  <c r="Y344" i="11"/>
  <c r="AI286" i="11"/>
  <c r="W258" i="11"/>
  <c r="W230" i="11"/>
  <c r="W257" i="11"/>
  <c r="W231" i="11"/>
  <c r="Y328" i="11"/>
  <c r="Y356" i="11"/>
  <c r="Y355" i="11"/>
  <c r="Y329" i="11"/>
  <c r="Y336" i="11"/>
  <c r="Y337" i="11"/>
  <c r="Y267" i="11"/>
  <c r="Y226" i="11"/>
  <c r="Y227" i="11"/>
  <c r="AI294" i="11"/>
  <c r="W269" i="11"/>
  <c r="W270" i="11"/>
  <c r="AN164" i="11"/>
  <c r="AK289" i="11"/>
  <c r="AN163" i="11"/>
  <c r="AK288" i="11"/>
  <c r="Y260" i="11"/>
  <c r="Y259" i="11"/>
  <c r="Z261" i="11"/>
  <c r="Z262" i="11"/>
  <c r="X343" i="11"/>
  <c r="X357" i="11"/>
  <c r="X342" i="11"/>
  <c r="X358" i="11"/>
  <c r="W331" i="11"/>
  <c r="W326" i="11"/>
  <c r="W330" i="11"/>
  <c r="W327" i="11"/>
  <c r="X341" i="11"/>
  <c r="X340" i="11"/>
  <c r="AO295" i="11"/>
  <c r="AC270" i="11"/>
  <c r="AC269" i="11"/>
  <c r="AO294" i="11"/>
  <c r="O43" i="11"/>
  <c r="AA31" i="11"/>
  <c r="AB31" i="11"/>
  <c r="V94" i="11"/>
  <c r="F69" i="11"/>
  <c r="F68" i="11"/>
  <c r="R142" i="4"/>
  <c r="T142" i="4" s="1"/>
  <c r="Q13" i="7"/>
  <c r="K45" i="7"/>
  <c r="K62" i="7"/>
  <c r="K70" i="7"/>
  <c r="Q74" i="7"/>
  <c r="T84" i="7"/>
  <c r="T86" i="7"/>
  <c r="Z21" i="9"/>
  <c r="Z23" i="9"/>
  <c r="Z29" i="10"/>
  <c r="F44" i="11"/>
  <c r="V140" i="11" s="1"/>
  <c r="U140" i="11" s="1"/>
  <c r="F45" i="11"/>
  <c r="V118" i="11"/>
  <c r="V141" i="11"/>
  <c r="U141" i="11" s="1"/>
  <c r="V123" i="11"/>
  <c r="V122" i="11"/>
  <c r="Z156" i="11"/>
  <c r="X134" i="11"/>
  <c r="Z157" i="11"/>
  <c r="Y152" i="11"/>
  <c r="Y153" i="11"/>
  <c r="AG266" i="11"/>
  <c r="AG265" i="11"/>
  <c r="AF265" i="11" s="1"/>
  <c r="AE265" i="11" s="1"/>
  <c r="AD265" i="11" s="1"/>
  <c r="AH227" i="11"/>
  <c r="AH228" i="11"/>
  <c r="AK231" i="11"/>
  <c r="AP293" i="11"/>
  <c r="AD268" i="11"/>
  <c r="AD267" i="11"/>
  <c r="AL230" i="11"/>
  <c r="AH230" i="11"/>
  <c r="AE258" i="11"/>
  <c r="AE257" i="11"/>
  <c r="AQ287" i="11"/>
  <c r="AH231" i="11"/>
  <c r="AG226" i="11"/>
  <c r="AG227" i="11"/>
  <c r="Y264" i="11"/>
  <c r="Y263" i="11"/>
  <c r="AC264" i="11"/>
  <c r="AC263" i="11"/>
  <c r="AK291" i="11"/>
  <c r="AK290" i="11"/>
  <c r="W248" i="11"/>
  <c r="W241" i="11"/>
  <c r="W229" i="11"/>
  <c r="W228" i="11"/>
  <c r="V228" i="11" s="1"/>
  <c r="W249" i="11"/>
  <c r="W240" i="11"/>
  <c r="W333" i="11"/>
  <c r="W332" i="11"/>
  <c r="W246" i="11"/>
  <c r="W247" i="11"/>
  <c r="AE228" i="11"/>
  <c r="AE229" i="11"/>
  <c r="W244" i="11"/>
  <c r="AH292" i="11"/>
  <c r="AH293" i="11"/>
  <c r="AH290" i="11"/>
  <c r="AH291" i="11"/>
  <c r="W325" i="11"/>
  <c r="W324" i="11"/>
  <c r="V361" i="11"/>
  <c r="V362" i="11"/>
  <c r="AB264" i="11"/>
  <c r="AB263" i="11"/>
  <c r="AA269" i="11"/>
  <c r="AM295" i="11"/>
  <c r="AM294" i="11"/>
  <c r="AA270" i="11"/>
  <c r="Z264" i="11"/>
  <c r="Z263" i="11"/>
  <c r="AF226" i="11"/>
  <c r="AF227" i="11"/>
  <c r="AL287" i="11"/>
  <c r="Z258" i="11"/>
  <c r="AE231" i="11"/>
  <c r="Z257" i="11"/>
  <c r="AE230" i="11"/>
  <c r="AL293" i="11"/>
  <c r="AL292" i="11"/>
  <c r="AL291" i="11"/>
  <c r="AL290" i="11"/>
  <c r="V342" i="11"/>
  <c r="V357" i="11"/>
  <c r="V343" i="11"/>
  <c r="V358" i="11"/>
  <c r="V111" i="11"/>
  <c r="V95" i="11"/>
  <c r="P70" i="11"/>
  <c r="P71" i="11"/>
  <c r="E76" i="11"/>
  <c r="AW20" i="6"/>
  <c r="AW21" i="6" s="1"/>
  <c r="K46" i="7"/>
  <c r="K50" i="7"/>
  <c r="Q62" i="7"/>
  <c r="K66" i="7"/>
  <c r="Q70" i="7"/>
  <c r="T70" i="7" s="1"/>
  <c r="T74" i="7"/>
  <c r="T78" i="7"/>
  <c r="T80" i="7"/>
  <c r="T82" i="7"/>
  <c r="K85" i="7"/>
  <c r="T85" i="7" s="1"/>
  <c r="K87" i="7"/>
  <c r="T27" i="9"/>
  <c r="Q38" i="9"/>
  <c r="V113" i="11"/>
  <c r="V112" i="11"/>
  <c r="V134" i="11"/>
  <c r="V133" i="11"/>
  <c r="AD154" i="11"/>
  <c r="AD155" i="11"/>
  <c r="Z155" i="11" s="1"/>
  <c r="Y155" i="11" s="1"/>
  <c r="V132" i="11"/>
  <c r="V131" i="11"/>
  <c r="U131" i="11" s="1"/>
  <c r="U113" i="11"/>
  <c r="U112" i="11"/>
  <c r="AI293" i="11"/>
  <c r="AD259" i="11"/>
  <c r="AP289" i="11"/>
  <c r="AD260" i="11"/>
  <c r="AP287" i="11"/>
  <c r="AD258" i="11"/>
  <c r="AD257" i="11"/>
  <c r="AG231" i="11"/>
  <c r="AM228" i="11"/>
  <c r="W242" i="11"/>
  <c r="V242" i="11" s="1"/>
  <c r="V245" i="11"/>
  <c r="V244" i="11"/>
  <c r="AA264" i="11"/>
  <c r="AA263" i="11"/>
  <c r="Z268" i="11"/>
  <c r="AH286" i="11"/>
  <c r="V231" i="11"/>
  <c r="V258" i="11"/>
  <c r="V257" i="11"/>
  <c r="V230" i="11"/>
  <c r="AM229" i="11" s="1"/>
  <c r="W266" i="11"/>
  <c r="W265" i="11"/>
  <c r="AH283" i="11"/>
  <c r="AO293" i="11"/>
  <c r="AO292" i="11"/>
  <c r="AC261" i="11"/>
  <c r="AC262" i="11"/>
  <c r="AA261" i="11"/>
  <c r="AA262" i="11"/>
  <c r="AM291" i="11"/>
  <c r="AM290" i="11"/>
  <c r="AE227" i="11"/>
  <c r="AE226" i="11"/>
  <c r="AK287" i="11"/>
  <c r="AN161" i="11"/>
  <c r="Y257" i="11"/>
  <c r="Z230" i="11"/>
  <c r="Y258" i="11"/>
  <c r="Z231" i="11"/>
  <c r="AN162" i="11"/>
  <c r="W341" i="11"/>
  <c r="W340" i="11"/>
  <c r="Q9" i="11"/>
  <c r="AB33" i="11"/>
  <c r="AA33" i="11"/>
  <c r="AB32" i="11"/>
  <c r="AA32" i="11"/>
  <c r="AE202" i="11"/>
  <c r="AE203" i="11" s="1"/>
  <c r="P68" i="11"/>
  <c r="P69" i="11"/>
  <c r="O69" i="11" s="1"/>
  <c r="X95" i="11"/>
  <c r="F73" i="11"/>
  <c r="F59" i="11"/>
  <c r="F72" i="11"/>
  <c r="F60" i="11"/>
  <c r="E77" i="11"/>
  <c r="O73" i="11"/>
  <c r="Q19" i="11"/>
  <c r="T62" i="7"/>
  <c r="T68" i="7"/>
  <c r="Z27" i="9"/>
  <c r="H36" i="10"/>
  <c r="Y157" i="11"/>
  <c r="Y156" i="11"/>
  <c r="W134" i="11"/>
  <c r="U132" i="11"/>
  <c r="Z152" i="11"/>
  <c r="Z153" i="11"/>
  <c r="W147" i="11"/>
  <c r="AL228" i="11"/>
  <c r="AK228" i="11" s="1"/>
  <c r="AL229" i="11"/>
  <c r="AG228" i="11"/>
  <c r="AG229" i="11"/>
  <c r="AD266" i="11"/>
  <c r="AP291" i="11"/>
  <c r="AF268" i="11"/>
  <c r="AE268" i="11" s="1"/>
  <c r="AG270" i="11"/>
  <c r="AG269" i="11"/>
  <c r="AF269" i="11" s="1"/>
  <c r="AG268" i="11"/>
  <c r="AG267" i="11"/>
  <c r="AF267" i="11" s="1"/>
  <c r="W243" i="11"/>
  <c r="V266" i="11"/>
  <c r="V265" i="11"/>
  <c r="AN295" i="11"/>
  <c r="AN294" i="11"/>
  <c r="AB270" i="11"/>
  <c r="AB269" i="11"/>
  <c r="V267" i="11"/>
  <c r="V268" i="11"/>
  <c r="X328" i="11"/>
  <c r="X336" i="11"/>
  <c r="X355" i="11"/>
  <c r="X356" i="11"/>
  <c r="X337" i="11"/>
  <c r="X329" i="11"/>
  <c r="AK295" i="11"/>
  <c r="AK294" i="11"/>
  <c r="Y270" i="11"/>
  <c r="Y269" i="11"/>
  <c r="V336" i="11"/>
  <c r="V329" i="11"/>
  <c r="V328" i="11"/>
  <c r="V337" i="11"/>
  <c r="V356" i="11"/>
  <c r="V355" i="11"/>
  <c r="W235" i="11"/>
  <c r="W234" i="11"/>
  <c r="V262" i="11"/>
  <c r="W233" i="11"/>
  <c r="W250" i="11"/>
  <c r="W251" i="11"/>
  <c r="W232" i="11"/>
  <c r="X268" i="11"/>
  <c r="X267" i="11"/>
  <c r="W226" i="11"/>
  <c r="W227" i="11"/>
  <c r="AH294" i="11"/>
  <c r="AH295" i="11"/>
  <c r="V269" i="11"/>
  <c r="V270" i="11"/>
  <c r="AC258" i="11"/>
  <c r="AO287" i="11"/>
  <c r="AC257" i="11"/>
  <c r="W362" i="11"/>
  <c r="W361" i="11"/>
  <c r="V325" i="11"/>
  <c r="V324" i="11"/>
  <c r="AO290" i="11"/>
  <c r="AO291" i="11"/>
  <c r="AJ226" i="11"/>
  <c r="AI226" i="11" s="1"/>
  <c r="AJ227" i="11"/>
  <c r="AF230" i="11"/>
  <c r="AA258" i="11"/>
  <c r="AM287" i="11"/>
  <c r="AF231" i="11"/>
  <c r="AA257" i="11"/>
  <c r="AC260" i="11"/>
  <c r="AO289" i="11"/>
  <c r="AO288" i="11"/>
  <c r="AC259" i="11"/>
  <c r="Y341" i="11"/>
  <c r="Y340" i="11"/>
  <c r="AB267" i="11"/>
  <c r="AB268" i="11"/>
  <c r="AA259" i="11"/>
  <c r="AM289" i="11"/>
  <c r="AA260" i="11"/>
  <c r="AM288" i="11"/>
  <c r="X324" i="11"/>
  <c r="X325" i="11"/>
  <c r="Q8" i="11"/>
  <c r="AB35" i="11"/>
  <c r="AA35" i="11"/>
  <c r="U95" i="11"/>
  <c r="U94" i="11"/>
  <c r="Q7" i="11"/>
  <c r="Q14" i="11"/>
  <c r="W70" i="11"/>
  <c r="O71" i="11"/>
  <c r="O70" i="11"/>
  <c r="BJ22" i="3"/>
  <c r="BJ23" i="3" s="1"/>
  <c r="BJ20" i="3"/>
  <c r="BJ21" i="3" s="1"/>
  <c r="BJ27" i="3"/>
  <c r="Z117" i="2"/>
  <c r="AA117" i="2" s="1"/>
  <c r="G112" i="2"/>
  <c r="F112" i="2"/>
  <c r="E112" i="2"/>
  <c r="G111" i="2"/>
  <c r="F111" i="2"/>
  <c r="E111" i="2"/>
  <c r="G110" i="2"/>
  <c r="F110" i="2"/>
  <c r="E110" i="2"/>
  <c r="G109" i="2"/>
  <c r="F109" i="2"/>
  <c r="E109" i="2"/>
  <c r="G108" i="2"/>
  <c r="F108" i="2"/>
  <c r="E108" i="2"/>
  <c r="G107" i="2"/>
  <c r="F107" i="2"/>
  <c r="E107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V97" i="2"/>
  <c r="U97" i="2"/>
  <c r="T97" i="2"/>
  <c r="S97" i="2"/>
  <c r="R97" i="2"/>
  <c r="Q97" i="2"/>
  <c r="P97" i="2"/>
  <c r="O97" i="2"/>
  <c r="N97" i="2"/>
  <c r="V96" i="2"/>
  <c r="U96" i="2"/>
  <c r="T96" i="2"/>
  <c r="S96" i="2"/>
  <c r="R96" i="2"/>
  <c r="Q96" i="2"/>
  <c r="P96" i="2"/>
  <c r="O96" i="2"/>
  <c r="N96" i="2"/>
  <c r="V95" i="2"/>
  <c r="U95" i="2"/>
  <c r="T95" i="2"/>
  <c r="S95" i="2"/>
  <c r="R95" i="2"/>
  <c r="Q95" i="2"/>
  <c r="P95" i="2"/>
  <c r="O95" i="2"/>
  <c r="N95" i="2"/>
  <c r="V94" i="2"/>
  <c r="U94" i="2"/>
  <c r="T94" i="2"/>
  <c r="S94" i="2"/>
  <c r="R94" i="2"/>
  <c r="Q94" i="2"/>
  <c r="P94" i="2"/>
  <c r="O94" i="2"/>
  <c r="N94" i="2"/>
  <c r="V93" i="2"/>
  <c r="U93" i="2"/>
  <c r="T93" i="2"/>
  <c r="S93" i="2"/>
  <c r="R93" i="2"/>
  <c r="Q93" i="2"/>
  <c r="P93" i="2"/>
  <c r="O93" i="2"/>
  <c r="N93" i="2"/>
  <c r="V92" i="2"/>
  <c r="U92" i="2"/>
  <c r="T92" i="2"/>
  <c r="S92" i="2"/>
  <c r="R92" i="2"/>
  <c r="Q92" i="2"/>
  <c r="P92" i="2"/>
  <c r="O92" i="2"/>
  <c r="N92" i="2"/>
  <c r="V91" i="2"/>
  <c r="U91" i="2"/>
  <c r="T91" i="2"/>
  <c r="S91" i="2"/>
  <c r="R91" i="2"/>
  <c r="Q91" i="2"/>
  <c r="P91" i="2"/>
  <c r="O91" i="2"/>
  <c r="N91" i="2"/>
  <c r="V90" i="2"/>
  <c r="U90" i="2"/>
  <c r="T90" i="2"/>
  <c r="S90" i="2"/>
  <c r="R90" i="2"/>
  <c r="Q90" i="2"/>
  <c r="P90" i="2"/>
  <c r="O90" i="2"/>
  <c r="N90" i="2"/>
  <c r="V89" i="2"/>
  <c r="U89" i="2"/>
  <c r="T89" i="2"/>
  <c r="S89" i="2"/>
  <c r="R89" i="2"/>
  <c r="Q89" i="2"/>
  <c r="P89" i="2"/>
  <c r="O89" i="2"/>
  <c r="N89" i="2"/>
  <c r="V88" i="2"/>
  <c r="O135" i="2" s="1"/>
  <c r="U88" i="2"/>
  <c r="T88" i="2"/>
  <c r="I136" i="2" s="1"/>
  <c r="S88" i="2"/>
  <c r="R88" i="2"/>
  <c r="Q88" i="2"/>
  <c r="P88" i="2"/>
  <c r="O88" i="2"/>
  <c r="N88" i="2"/>
  <c r="V87" i="2"/>
  <c r="U87" i="2"/>
  <c r="T87" i="2"/>
  <c r="S87" i="2"/>
  <c r="R87" i="2"/>
  <c r="Q87" i="2"/>
  <c r="P87" i="2"/>
  <c r="O87" i="2"/>
  <c r="N87" i="2"/>
  <c r="V86" i="2"/>
  <c r="U86" i="2"/>
  <c r="L135" i="2" s="1"/>
  <c r="T86" i="2"/>
  <c r="I135" i="2" s="1"/>
  <c r="S86" i="2"/>
  <c r="R86" i="2"/>
  <c r="Q86" i="2"/>
  <c r="P86" i="2"/>
  <c r="O86" i="2"/>
  <c r="N86" i="2"/>
  <c r="V85" i="2"/>
  <c r="U85" i="2"/>
  <c r="K135" i="2" s="1"/>
  <c r="M135" i="2" s="1"/>
  <c r="T85" i="2"/>
  <c r="H135" i="2" s="1"/>
  <c r="S85" i="2"/>
  <c r="R85" i="2"/>
  <c r="Q85" i="2"/>
  <c r="P85" i="2"/>
  <c r="O85" i="2"/>
  <c r="N85" i="2"/>
  <c r="V84" i="2"/>
  <c r="U84" i="2"/>
  <c r="T84" i="2"/>
  <c r="S84" i="2"/>
  <c r="R84" i="2"/>
  <c r="Q84" i="2"/>
  <c r="P84" i="2"/>
  <c r="O84" i="2"/>
  <c r="N84" i="2"/>
  <c r="V83" i="2"/>
  <c r="U83" i="2"/>
  <c r="T83" i="2"/>
  <c r="S83" i="2"/>
  <c r="R83" i="2"/>
  <c r="Q83" i="2"/>
  <c r="P83" i="2"/>
  <c r="O83" i="2"/>
  <c r="N83" i="2"/>
  <c r="V82" i="2"/>
  <c r="U82" i="2"/>
  <c r="T82" i="2"/>
  <c r="S82" i="2"/>
  <c r="R82" i="2"/>
  <c r="Q82" i="2"/>
  <c r="P82" i="2"/>
  <c r="O82" i="2"/>
  <c r="N82" i="2"/>
  <c r="V81" i="2"/>
  <c r="U81" i="2"/>
  <c r="T81" i="2"/>
  <c r="S81" i="2"/>
  <c r="R81" i="2"/>
  <c r="Q81" i="2"/>
  <c r="P81" i="2"/>
  <c r="O81" i="2"/>
  <c r="N81" i="2"/>
  <c r="V77" i="2"/>
  <c r="U77" i="2"/>
  <c r="T77" i="2"/>
  <c r="S77" i="2"/>
  <c r="R77" i="2"/>
  <c r="Q77" i="2"/>
  <c r="P77" i="2"/>
  <c r="O77" i="2"/>
  <c r="N77" i="2"/>
  <c r="V76" i="2"/>
  <c r="U76" i="2"/>
  <c r="T76" i="2"/>
  <c r="S76" i="2"/>
  <c r="R76" i="2"/>
  <c r="Q76" i="2"/>
  <c r="P76" i="2"/>
  <c r="O76" i="2"/>
  <c r="N76" i="2"/>
  <c r="V75" i="2"/>
  <c r="U75" i="2"/>
  <c r="T75" i="2"/>
  <c r="S75" i="2"/>
  <c r="R75" i="2"/>
  <c r="Q75" i="2"/>
  <c r="P75" i="2"/>
  <c r="O75" i="2"/>
  <c r="N75" i="2"/>
  <c r="V74" i="2"/>
  <c r="U74" i="2"/>
  <c r="T74" i="2"/>
  <c r="S74" i="2"/>
  <c r="R74" i="2"/>
  <c r="Q74" i="2"/>
  <c r="P74" i="2"/>
  <c r="O74" i="2"/>
  <c r="N74" i="2"/>
  <c r="V73" i="2"/>
  <c r="U73" i="2"/>
  <c r="L130" i="2" s="1"/>
  <c r="T73" i="2"/>
  <c r="I130" i="2" s="1"/>
  <c r="S73" i="2"/>
  <c r="R73" i="2"/>
  <c r="Q73" i="2"/>
  <c r="P73" i="2"/>
  <c r="O73" i="2"/>
  <c r="N73" i="2"/>
  <c r="V72" i="2"/>
  <c r="O130" i="2" s="1"/>
  <c r="U72" i="2"/>
  <c r="K130" i="2" s="1"/>
  <c r="T72" i="2"/>
  <c r="H130" i="2" s="1"/>
  <c r="S72" i="2"/>
  <c r="R72" i="2"/>
  <c r="Q72" i="2"/>
  <c r="P72" i="2"/>
  <c r="O72" i="2"/>
  <c r="N72" i="2"/>
  <c r="V71" i="2"/>
  <c r="O129" i="2" s="1"/>
  <c r="U71" i="2"/>
  <c r="T71" i="2"/>
  <c r="I129" i="2" s="1"/>
  <c r="S71" i="2"/>
  <c r="R71" i="2"/>
  <c r="Q71" i="2"/>
  <c r="P71" i="2"/>
  <c r="O71" i="2"/>
  <c r="N71" i="2"/>
  <c r="V70" i="2"/>
  <c r="N129" i="2" s="1"/>
  <c r="U70" i="2"/>
  <c r="L129" i="2" s="1"/>
  <c r="T70" i="2"/>
  <c r="H129" i="2" s="1"/>
  <c r="J129" i="2" s="1"/>
  <c r="S70" i="2"/>
  <c r="R70" i="2"/>
  <c r="Q70" i="2"/>
  <c r="P70" i="2"/>
  <c r="O70" i="2"/>
  <c r="N70" i="2"/>
  <c r="V69" i="2"/>
  <c r="N130" i="2" s="1"/>
  <c r="U69" i="2"/>
  <c r="T69" i="2"/>
  <c r="S69" i="2"/>
  <c r="R69" i="2"/>
  <c r="Q69" i="2"/>
  <c r="P69" i="2"/>
  <c r="O69" i="2"/>
  <c r="N69" i="2"/>
  <c r="V68" i="2"/>
  <c r="U68" i="2"/>
  <c r="T68" i="2"/>
  <c r="S68" i="2"/>
  <c r="R68" i="2"/>
  <c r="Q68" i="2"/>
  <c r="P68" i="2"/>
  <c r="O68" i="2"/>
  <c r="N68" i="2"/>
  <c r="V67" i="2"/>
  <c r="U67" i="2"/>
  <c r="T67" i="2"/>
  <c r="S67" i="2"/>
  <c r="R67" i="2"/>
  <c r="Q67" i="2"/>
  <c r="P67" i="2"/>
  <c r="O67" i="2"/>
  <c r="N67" i="2"/>
  <c r="V66" i="2"/>
  <c r="U66" i="2"/>
  <c r="T66" i="2"/>
  <c r="S66" i="2"/>
  <c r="R66" i="2"/>
  <c r="Q66" i="2"/>
  <c r="P66" i="2"/>
  <c r="O66" i="2"/>
  <c r="N66" i="2"/>
  <c r="M130" i="2" l="1"/>
  <c r="P129" i="2"/>
  <c r="J130" i="2"/>
  <c r="N45" i="10"/>
  <c r="M45" i="10"/>
  <c r="K45" i="10"/>
  <c r="M42" i="10"/>
  <c r="N42" i="10"/>
  <c r="K42" i="10"/>
  <c r="J135" i="2"/>
  <c r="Q136" i="4"/>
  <c r="R136" i="4" s="1"/>
  <c r="T136" i="4" s="1"/>
  <c r="K129" i="2"/>
  <c r="M129" i="2" s="1"/>
  <c r="N33" i="10"/>
  <c r="M33" i="10"/>
  <c r="K33" i="10"/>
  <c r="I53" i="10"/>
  <c r="N43" i="10"/>
  <c r="M43" i="10"/>
  <c r="K43" i="10"/>
  <c r="H54" i="10"/>
  <c r="U40" i="9"/>
  <c r="V40" i="9" s="1"/>
  <c r="X40" i="9" s="1"/>
  <c r="H154" i="2"/>
  <c r="J154" i="2" s="1"/>
  <c r="N135" i="2"/>
  <c r="P135" i="2" s="1"/>
  <c r="H136" i="2"/>
  <c r="J136" i="2" s="1"/>
  <c r="I154" i="2"/>
  <c r="V143" i="11"/>
  <c r="U143" i="11" s="1"/>
  <c r="V142" i="11" s="1"/>
  <c r="U142" i="11" s="1"/>
  <c r="I37" i="10"/>
  <c r="K136" i="2"/>
  <c r="I36" i="10"/>
  <c r="AQ163" i="11"/>
  <c r="AQ162" i="11"/>
  <c r="AQ164" i="11"/>
  <c r="AQ165" i="11"/>
  <c r="AQ166" i="11"/>
  <c r="AR162" i="11"/>
  <c r="AR164" i="11"/>
  <c r="AR165" i="11"/>
  <c r="AR161" i="11"/>
  <c r="AQ161" i="11" s="1"/>
  <c r="AR163" i="11"/>
  <c r="AR166" i="11"/>
  <c r="N136" i="2"/>
  <c r="P136" i="2" s="1"/>
  <c r="L136" i="2"/>
  <c r="I141" i="2"/>
  <c r="J141" i="2" s="1"/>
  <c r="P130" i="2"/>
  <c r="AB57" i="2"/>
  <c r="AA57" i="2"/>
  <c r="Z57" i="2"/>
  <c r="AO27" i="2" s="1"/>
  <c r="Y57" i="2"/>
  <c r="X57" i="2"/>
  <c r="AO25" i="2" s="1"/>
  <c r="W57" i="2"/>
  <c r="V57" i="2"/>
  <c r="U57" i="2"/>
  <c r="T57" i="2"/>
  <c r="S57" i="2"/>
  <c r="R57" i="2"/>
  <c r="Q57" i="2"/>
  <c r="AB56" i="2"/>
  <c r="AA56" i="2"/>
  <c r="Z56" i="2"/>
  <c r="Y56" i="2"/>
  <c r="X56" i="2"/>
  <c r="W56" i="2"/>
  <c r="V56" i="2"/>
  <c r="U56" i="2"/>
  <c r="T56" i="2"/>
  <c r="S56" i="2"/>
  <c r="R56" i="2"/>
  <c r="Q56" i="2"/>
  <c r="AB55" i="2"/>
  <c r="AA55" i="2"/>
  <c r="Z55" i="2"/>
  <c r="Y55" i="2"/>
  <c r="X55" i="2"/>
  <c r="W55" i="2"/>
  <c r="V55" i="2"/>
  <c r="U55" i="2"/>
  <c r="T55" i="2"/>
  <c r="S55" i="2"/>
  <c r="R55" i="2"/>
  <c r="Q55" i="2"/>
  <c r="AB54" i="2"/>
  <c r="AA54" i="2"/>
  <c r="Z54" i="2"/>
  <c r="Y54" i="2"/>
  <c r="X54" i="2"/>
  <c r="W54" i="2"/>
  <c r="V54" i="2"/>
  <c r="U54" i="2"/>
  <c r="T54" i="2"/>
  <c r="S54" i="2"/>
  <c r="R54" i="2"/>
  <c r="Q54" i="2"/>
  <c r="AB53" i="2"/>
  <c r="AA53" i="2"/>
  <c r="Z53" i="2"/>
  <c r="Y53" i="2"/>
  <c r="X53" i="2"/>
  <c r="W53" i="2"/>
  <c r="V53" i="2"/>
  <c r="U53" i="2"/>
  <c r="T53" i="2"/>
  <c r="S53" i="2"/>
  <c r="R53" i="2"/>
  <c r="Q53" i="2"/>
  <c r="AB52" i="2"/>
  <c r="AA52" i="2"/>
  <c r="Z52" i="2"/>
  <c r="Y52" i="2"/>
  <c r="X52" i="2"/>
  <c r="W52" i="2"/>
  <c r="V52" i="2"/>
  <c r="U52" i="2"/>
  <c r="T52" i="2"/>
  <c r="S52" i="2"/>
  <c r="R52" i="2"/>
  <c r="Q52" i="2"/>
  <c r="AB51" i="2"/>
  <c r="AA51" i="2"/>
  <c r="AI28" i="2" s="1"/>
  <c r="Z51" i="2"/>
  <c r="Y51" i="2"/>
  <c r="X51" i="2"/>
  <c r="AI25" i="2" s="1"/>
  <c r="W51" i="2"/>
  <c r="V51" i="2"/>
  <c r="U51" i="2"/>
  <c r="T51" i="2"/>
  <c r="S51" i="2"/>
  <c r="R51" i="2"/>
  <c r="Q51" i="2"/>
  <c r="AB50" i="2"/>
  <c r="AA50" i="2"/>
  <c r="Z50" i="2"/>
  <c r="Y50" i="2"/>
  <c r="X50" i="2"/>
  <c r="W50" i="2"/>
  <c r="V50" i="2"/>
  <c r="U50" i="2"/>
  <c r="T50" i="2"/>
  <c r="S50" i="2"/>
  <c r="R50" i="2"/>
  <c r="Q50" i="2"/>
  <c r="AB49" i="2"/>
  <c r="AA49" i="2"/>
  <c r="Z49" i="2"/>
  <c r="Y49" i="2"/>
  <c r="X49" i="2"/>
  <c r="W49" i="2"/>
  <c r="V49" i="2"/>
  <c r="U49" i="2"/>
  <c r="T49" i="2"/>
  <c r="S49" i="2"/>
  <c r="R49" i="2"/>
  <c r="Q49" i="2"/>
  <c r="AB48" i="2"/>
  <c r="AA48" i="2"/>
  <c r="Z48" i="2"/>
  <c r="Y48" i="2"/>
  <c r="X48" i="2"/>
  <c r="W48" i="2"/>
  <c r="V48" i="2"/>
  <c r="U48" i="2"/>
  <c r="T48" i="2"/>
  <c r="S48" i="2"/>
  <c r="R48" i="2"/>
  <c r="Q48" i="2"/>
  <c r="AB47" i="2"/>
  <c r="AA47" i="2"/>
  <c r="Z47" i="2"/>
  <c r="Y47" i="2"/>
  <c r="X47" i="2"/>
  <c r="W47" i="2"/>
  <c r="V47" i="2"/>
  <c r="U47" i="2"/>
  <c r="T47" i="2"/>
  <c r="S47" i="2"/>
  <c r="R47" i="2"/>
  <c r="Q47" i="2"/>
  <c r="AB46" i="2"/>
  <c r="AA46" i="2"/>
  <c r="Z46" i="2"/>
  <c r="Y46" i="2"/>
  <c r="X46" i="2"/>
  <c r="W46" i="2"/>
  <c r="V46" i="2"/>
  <c r="U46" i="2"/>
  <c r="T46" i="2"/>
  <c r="S46" i="2"/>
  <c r="R46" i="2"/>
  <c r="Q46" i="2"/>
  <c r="AB45" i="2"/>
  <c r="Y45" i="2"/>
  <c r="X45" i="2"/>
  <c r="D61" i="2" s="1"/>
  <c r="W45" i="2"/>
  <c r="V45" i="2"/>
  <c r="U45" i="2"/>
  <c r="T45" i="2"/>
  <c r="S45" i="2"/>
  <c r="R45" i="2"/>
  <c r="Q45" i="2"/>
  <c r="AB44" i="2"/>
  <c r="Y44" i="2"/>
  <c r="X44" i="2"/>
  <c r="W44" i="2"/>
  <c r="V44" i="2"/>
  <c r="U44" i="2"/>
  <c r="T44" i="2"/>
  <c r="S44" i="2"/>
  <c r="R44" i="2"/>
  <c r="Q44" i="2"/>
  <c r="AB43" i="2"/>
  <c r="Y43" i="2"/>
  <c r="X43" i="2"/>
  <c r="W43" i="2"/>
  <c r="V43" i="2"/>
  <c r="U43" i="2"/>
  <c r="T43" i="2"/>
  <c r="S43" i="2"/>
  <c r="R43" i="2"/>
  <c r="Q43" i="2"/>
  <c r="AB42" i="2"/>
  <c r="Y42" i="2"/>
  <c r="X42" i="2"/>
  <c r="W42" i="2"/>
  <c r="V42" i="2"/>
  <c r="U42" i="2"/>
  <c r="T42" i="2"/>
  <c r="S42" i="2"/>
  <c r="R42" i="2"/>
  <c r="Q42" i="2"/>
  <c r="AB41" i="2"/>
  <c r="Y41" i="2"/>
  <c r="X41" i="2"/>
  <c r="W41" i="2"/>
  <c r="V41" i="2"/>
  <c r="U41" i="2"/>
  <c r="T41" i="2"/>
  <c r="S41" i="2"/>
  <c r="R41" i="2"/>
  <c r="Q41" i="2"/>
  <c r="AB40" i="2"/>
  <c r="Y40" i="2"/>
  <c r="X40" i="2"/>
  <c r="W40" i="2"/>
  <c r="V40" i="2"/>
  <c r="U40" i="2"/>
  <c r="T40" i="2"/>
  <c r="S40" i="2"/>
  <c r="R40" i="2"/>
  <c r="Q40" i="2"/>
  <c r="AB39" i="2"/>
  <c r="Y39" i="2"/>
  <c r="X39" i="2"/>
  <c r="W39" i="2"/>
  <c r="V39" i="2"/>
  <c r="U39" i="2"/>
  <c r="T39" i="2"/>
  <c r="S39" i="2"/>
  <c r="R39" i="2"/>
  <c r="Q39" i="2"/>
  <c r="AB38" i="2"/>
  <c r="Y38" i="2"/>
  <c r="X38" i="2"/>
  <c r="W38" i="2"/>
  <c r="V38" i="2"/>
  <c r="U38" i="2"/>
  <c r="T38" i="2"/>
  <c r="S38" i="2"/>
  <c r="R38" i="2"/>
  <c r="Q38" i="2"/>
  <c r="AB37" i="2"/>
  <c r="Y37" i="2"/>
  <c r="X37" i="2"/>
  <c r="W37" i="2"/>
  <c r="V37" i="2"/>
  <c r="U37" i="2"/>
  <c r="T37" i="2"/>
  <c r="S37" i="2"/>
  <c r="R37" i="2"/>
  <c r="Q37" i="2"/>
  <c r="AB36" i="2"/>
  <c r="Y36" i="2"/>
  <c r="X36" i="2"/>
  <c r="W36" i="2"/>
  <c r="V36" i="2"/>
  <c r="U36" i="2"/>
  <c r="T36" i="2"/>
  <c r="S36" i="2"/>
  <c r="R36" i="2"/>
  <c r="Q36" i="2"/>
  <c r="AB35" i="2"/>
  <c r="Y35" i="2"/>
  <c r="X35" i="2"/>
  <c r="W35" i="2"/>
  <c r="V35" i="2"/>
  <c r="U35" i="2"/>
  <c r="T35" i="2"/>
  <c r="S35" i="2"/>
  <c r="R35" i="2"/>
  <c r="Q35" i="2"/>
  <c r="AB34" i="2"/>
  <c r="Y34" i="2"/>
  <c r="X34" i="2"/>
  <c r="W34" i="2"/>
  <c r="V34" i="2"/>
  <c r="U34" i="2"/>
  <c r="T34" i="2"/>
  <c r="S34" i="2"/>
  <c r="R34" i="2"/>
  <c r="Q34" i="2"/>
  <c r="AB33" i="2"/>
  <c r="Y33" i="2"/>
  <c r="X33" i="2"/>
  <c r="W33" i="2"/>
  <c r="V33" i="2"/>
  <c r="U33" i="2"/>
  <c r="T33" i="2"/>
  <c r="S33" i="2"/>
  <c r="R33" i="2"/>
  <c r="Q33" i="2"/>
  <c r="AB32" i="2"/>
  <c r="Y32" i="2"/>
  <c r="X32" i="2"/>
  <c r="W32" i="2"/>
  <c r="V32" i="2"/>
  <c r="U32" i="2"/>
  <c r="T32" i="2"/>
  <c r="S32" i="2"/>
  <c r="R32" i="2"/>
  <c r="Q32" i="2"/>
  <c r="AB31" i="2"/>
  <c r="Y31" i="2"/>
  <c r="X31" i="2"/>
  <c r="W31" i="2"/>
  <c r="V31" i="2"/>
  <c r="U31" i="2"/>
  <c r="T31" i="2"/>
  <c r="S31" i="2"/>
  <c r="R31" i="2"/>
  <c r="Q31" i="2"/>
  <c r="AB30" i="2"/>
  <c r="Y30" i="2"/>
  <c r="X30" i="2"/>
  <c r="W30" i="2"/>
  <c r="V30" i="2"/>
  <c r="U30" i="2"/>
  <c r="T30" i="2"/>
  <c r="S30" i="2"/>
  <c r="R30" i="2"/>
  <c r="Q30" i="2"/>
  <c r="BJ29" i="2"/>
  <c r="AL29" i="2"/>
  <c r="AB29" i="2"/>
  <c r="Y29" i="2"/>
  <c r="X29" i="2"/>
  <c r="W29" i="2"/>
  <c r="V29" i="2"/>
  <c r="U29" i="2"/>
  <c r="T29" i="2"/>
  <c r="S29" i="2"/>
  <c r="R29" i="2"/>
  <c r="Q29" i="2"/>
  <c r="AB28" i="2"/>
  <c r="Y28" i="2"/>
  <c r="X28" i="2"/>
  <c r="W28" i="2"/>
  <c r="V28" i="2"/>
  <c r="U28" i="2"/>
  <c r="T28" i="2"/>
  <c r="S28" i="2"/>
  <c r="R28" i="2"/>
  <c r="Q28" i="2"/>
  <c r="AX27" i="2"/>
  <c r="AI27" i="2"/>
  <c r="AB27" i="2"/>
  <c r="AI20" i="2" s="1"/>
  <c r="Y27" i="2"/>
  <c r="X27" i="2"/>
  <c r="W27" i="2"/>
  <c r="V27" i="2"/>
  <c r="U27" i="2"/>
  <c r="T27" i="2"/>
  <c r="S27" i="2"/>
  <c r="R27" i="2"/>
  <c r="Q27" i="2"/>
  <c r="BJ26" i="2"/>
  <c r="AO26" i="2"/>
  <c r="AI26" i="2"/>
  <c r="AK26" i="2" s="1"/>
  <c r="AB26" i="2"/>
  <c r="Y26" i="2"/>
  <c r="X26" i="2"/>
  <c r="W26" i="2"/>
  <c r="V26" i="2"/>
  <c r="U26" i="2"/>
  <c r="T26" i="2"/>
  <c r="S26" i="2"/>
  <c r="R26" i="2"/>
  <c r="Q26" i="2"/>
  <c r="BJ25" i="2"/>
  <c r="AB25" i="2"/>
  <c r="Y25" i="2"/>
  <c r="X25" i="2"/>
  <c r="W25" i="2"/>
  <c r="V25" i="2"/>
  <c r="U25" i="2"/>
  <c r="T25" i="2"/>
  <c r="S25" i="2"/>
  <c r="R25" i="2"/>
  <c r="Q25" i="2"/>
  <c r="AO24" i="2"/>
  <c r="AI24" i="2"/>
  <c r="AB24" i="2"/>
  <c r="Y24" i="2"/>
  <c r="X24" i="2"/>
  <c r="W24" i="2"/>
  <c r="V24" i="2"/>
  <c r="U24" i="2"/>
  <c r="T24" i="2"/>
  <c r="S24" i="2"/>
  <c r="R24" i="2"/>
  <c r="Q24" i="2"/>
  <c r="AO23" i="2"/>
  <c r="AB23" i="2"/>
  <c r="Y23" i="2"/>
  <c r="X23" i="2"/>
  <c r="W23" i="2"/>
  <c r="V23" i="2"/>
  <c r="U23" i="2"/>
  <c r="T23" i="2"/>
  <c r="S23" i="2"/>
  <c r="R23" i="2"/>
  <c r="Q23" i="2"/>
  <c r="AO22" i="2"/>
  <c r="AK22" i="2"/>
  <c r="AI22" i="2"/>
  <c r="AB22" i="2"/>
  <c r="Y22" i="2"/>
  <c r="X22" i="2"/>
  <c r="W22" i="2"/>
  <c r="V22" i="2"/>
  <c r="U22" i="2"/>
  <c r="T22" i="2"/>
  <c r="S22" i="2"/>
  <c r="R22" i="2"/>
  <c r="Q22" i="2"/>
  <c r="AK21" i="2"/>
  <c r="AI21" i="2"/>
  <c r="AB21" i="2"/>
  <c r="Y21" i="2"/>
  <c r="X21" i="2"/>
  <c r="W21" i="2"/>
  <c r="V21" i="2"/>
  <c r="U21" i="2"/>
  <c r="T21" i="2"/>
  <c r="S21" i="2"/>
  <c r="R21" i="2"/>
  <c r="Q21" i="2"/>
  <c r="AB20" i="2"/>
  <c r="Y20" i="2"/>
  <c r="X20" i="2"/>
  <c r="W20" i="2"/>
  <c r="V20" i="2"/>
  <c r="U20" i="2"/>
  <c r="T20" i="2"/>
  <c r="S20" i="2"/>
  <c r="R20" i="2"/>
  <c r="Q20" i="2"/>
  <c r="BJ19" i="2"/>
  <c r="AB19" i="2"/>
  <c r="AA19" i="2"/>
  <c r="Z19" i="2"/>
  <c r="Y19" i="2"/>
  <c r="X19" i="2"/>
  <c r="W19" i="2"/>
  <c r="V19" i="2"/>
  <c r="U19" i="2"/>
  <c r="T19" i="2"/>
  <c r="S19" i="2"/>
  <c r="R19" i="2"/>
  <c r="Q19" i="2"/>
  <c r="BJ18" i="2"/>
  <c r="AS18" i="2"/>
  <c r="AO18" i="2"/>
  <c r="AQ23" i="2" s="1"/>
  <c r="AI18" i="2"/>
  <c r="AB18" i="2"/>
  <c r="AA18" i="2"/>
  <c r="Z18" i="2"/>
  <c r="Y18" i="2"/>
  <c r="X18" i="2"/>
  <c r="D60" i="2" s="1"/>
  <c r="D62" i="2" s="1"/>
  <c r="W18" i="2"/>
  <c r="V18" i="2"/>
  <c r="U18" i="2"/>
  <c r="T18" i="2"/>
  <c r="S18" i="2"/>
  <c r="R18" i="2"/>
  <c r="Q18" i="2"/>
  <c r="AI17" i="2"/>
  <c r="AB17" i="2"/>
  <c r="AA17" i="2"/>
  <c r="Z17" i="2"/>
  <c r="Y17" i="2"/>
  <c r="X17" i="2"/>
  <c r="W17" i="2"/>
  <c r="V17" i="2"/>
  <c r="U17" i="2"/>
  <c r="T17" i="2"/>
  <c r="S17" i="2"/>
  <c r="R17" i="2"/>
  <c r="Q17" i="2"/>
  <c r="AI16" i="2"/>
  <c r="AB16" i="2"/>
  <c r="AA16" i="2"/>
  <c r="Z16" i="2"/>
  <c r="Y16" i="2"/>
  <c r="X16" i="2"/>
  <c r="W16" i="2"/>
  <c r="V16" i="2"/>
  <c r="U16" i="2"/>
  <c r="T16" i="2"/>
  <c r="S16" i="2"/>
  <c r="R16" i="2"/>
  <c r="Q16" i="2"/>
  <c r="AI15" i="2"/>
  <c r="AB15" i="2"/>
  <c r="AA15" i="2"/>
  <c r="Z15" i="2"/>
  <c r="Y15" i="2"/>
  <c r="X15" i="2"/>
  <c r="W15" i="2"/>
  <c r="V15" i="2"/>
  <c r="U15" i="2"/>
  <c r="T15" i="2"/>
  <c r="S15" i="2"/>
  <c r="R15" i="2"/>
  <c r="Q15" i="2"/>
  <c r="AI14" i="2"/>
  <c r="AH14" i="2"/>
  <c r="AJ14" i="2" s="1"/>
  <c r="AB14" i="2"/>
  <c r="AA14" i="2"/>
  <c r="Z14" i="2"/>
  <c r="Y14" i="2"/>
  <c r="X14" i="2"/>
  <c r="W14" i="2"/>
  <c r="V14" i="2"/>
  <c r="U14" i="2"/>
  <c r="T14" i="2"/>
  <c r="S14" i="2"/>
  <c r="R14" i="2"/>
  <c r="Q14" i="2"/>
  <c r="BE13" i="2"/>
  <c r="AI13" i="2"/>
  <c r="AH13" i="2"/>
  <c r="AJ13" i="2" s="1"/>
  <c r="AB13" i="2"/>
  <c r="AA13" i="2"/>
  <c r="Z13" i="2"/>
  <c r="Y13" i="2"/>
  <c r="X13" i="2"/>
  <c r="W13" i="2"/>
  <c r="V13" i="2"/>
  <c r="U13" i="2"/>
  <c r="T13" i="2"/>
  <c r="S13" i="2"/>
  <c r="R13" i="2"/>
  <c r="Q13" i="2"/>
  <c r="BA12" i="2" s="1"/>
  <c r="AI12" i="2"/>
  <c r="AH12" i="2"/>
  <c r="AJ12" i="2" s="1"/>
  <c r="AB12" i="2"/>
  <c r="AA12" i="2"/>
  <c r="Z12" i="2"/>
  <c r="Y12" i="2"/>
  <c r="X12" i="2"/>
  <c r="W12" i="2"/>
  <c r="V12" i="2"/>
  <c r="U12" i="2"/>
  <c r="T12" i="2"/>
  <c r="S12" i="2"/>
  <c r="R12" i="2"/>
  <c r="Q12" i="2"/>
  <c r="BN11" i="2"/>
  <c r="BJ11" i="2"/>
  <c r="AI11" i="2"/>
  <c r="AH11" i="2"/>
  <c r="AJ11" i="2" s="1"/>
  <c r="AB11" i="2"/>
  <c r="AA11" i="2"/>
  <c r="Z11" i="2"/>
  <c r="Y11" i="2"/>
  <c r="X11" i="2"/>
  <c r="W11" i="2"/>
  <c r="V11" i="2"/>
  <c r="U11" i="2"/>
  <c r="T11" i="2"/>
  <c r="S11" i="2"/>
  <c r="R11" i="2"/>
  <c r="Q11" i="2"/>
  <c r="AH10" i="2"/>
  <c r="AB10" i="2"/>
  <c r="AA10" i="2"/>
  <c r="Z10" i="2"/>
  <c r="Y10" i="2"/>
  <c r="X10" i="2"/>
  <c r="W10" i="2"/>
  <c r="V10" i="2"/>
  <c r="U10" i="2"/>
  <c r="T10" i="2"/>
  <c r="S10" i="2"/>
  <c r="R10" i="2"/>
  <c r="AK28" i="2" l="1"/>
  <c r="AQ27" i="2"/>
  <c r="AQ28" i="2"/>
  <c r="AP28" i="2" s="1"/>
  <c r="N124" i="2"/>
  <c r="P124" i="2" s="1"/>
  <c r="O124" i="2"/>
  <c r="AQ24" i="2"/>
  <c r="M136" i="2"/>
  <c r="BB20" i="2"/>
  <c r="I123" i="2"/>
  <c r="AK27" i="2"/>
  <c r="AH28" i="2"/>
  <c r="AJ28" i="2" s="1"/>
  <c r="AL13" i="2"/>
  <c r="L123" i="2"/>
  <c r="AK24" i="2"/>
  <c r="AQ26" i="2"/>
  <c r="AN27" i="2"/>
  <c r="AL11" i="2"/>
  <c r="AL12" i="2"/>
  <c r="AQ25" i="2"/>
  <c r="BJ20" i="2"/>
  <c r="BJ21" i="2" s="1"/>
  <c r="H124" i="2"/>
  <c r="J124" i="2" s="1"/>
  <c r="I124" i="2"/>
  <c r="O123" i="2"/>
  <c r="AQ22" i="2"/>
  <c r="L124" i="2"/>
  <c r="AK25" i="2"/>
  <c r="BJ22" i="2"/>
  <c r="BJ23" i="2" s="1"/>
  <c r="BJ27" i="2"/>
  <c r="Q10" i="2"/>
  <c r="AI9" i="2"/>
  <c r="AH9" i="2"/>
  <c r="AB9" i="2"/>
  <c r="AA9" i="2"/>
  <c r="Z9" i="2"/>
  <c r="Y9" i="2"/>
  <c r="X9" i="2"/>
  <c r="W9" i="2"/>
  <c r="V9" i="2"/>
  <c r="U9" i="2"/>
  <c r="T9" i="2"/>
  <c r="S9" i="2"/>
  <c r="R9" i="2"/>
  <c r="Q9" i="2"/>
  <c r="AH8" i="2"/>
  <c r="AB8" i="2"/>
  <c r="AA8" i="2"/>
  <c r="Z8" i="2"/>
  <c r="Y8" i="2"/>
  <c r="X8" i="2"/>
  <c r="AH25" i="2" s="1"/>
  <c r="AJ25" i="2" s="1"/>
  <c r="W8" i="2"/>
  <c r="V8" i="2"/>
  <c r="U8" i="2"/>
  <c r="T8" i="2"/>
  <c r="S8" i="2"/>
  <c r="R8" i="2"/>
  <c r="Q8" i="2"/>
  <c r="AH7" i="2"/>
  <c r="AB7" i="2"/>
  <c r="AA7" i="2"/>
  <c r="Z7" i="2"/>
  <c r="Y7" i="2"/>
  <c r="X7" i="2"/>
  <c r="W7" i="2"/>
  <c r="V7" i="2"/>
  <c r="U7" i="2"/>
  <c r="T7" i="2"/>
  <c r="S7" i="2"/>
  <c r="R7" i="2"/>
  <c r="Q7" i="2"/>
  <c r="AH6" i="2"/>
  <c r="AB6" i="2"/>
  <c r="X6" i="2"/>
  <c r="K124" i="2" s="1"/>
  <c r="M124" i="2" s="1"/>
  <c r="W6" i="2"/>
  <c r="V6" i="2"/>
  <c r="U6" i="2"/>
  <c r="T6" i="2"/>
  <c r="S6" i="2"/>
  <c r="R6" i="2"/>
  <c r="Q6" i="2"/>
  <c r="AH5" i="2"/>
  <c r="AB5" i="2"/>
  <c r="AA5" i="2"/>
  <c r="Z5" i="2"/>
  <c r="AH27" i="2" s="1"/>
  <c r="AJ27" i="2" s="1"/>
  <c r="Y5" i="2"/>
  <c r="X5" i="2"/>
  <c r="W5" i="2"/>
  <c r="V5" i="2"/>
  <c r="U5" i="2"/>
  <c r="T5" i="2"/>
  <c r="S5" i="2"/>
  <c r="R5" i="2"/>
  <c r="Q5" i="2"/>
  <c r="AL27" i="2" l="1"/>
  <c r="AP27" i="2"/>
  <c r="AP26" i="2"/>
  <c r="AH26" i="2"/>
  <c r="AJ26" i="2" s="1"/>
  <c r="AN26" i="2"/>
  <c r="AL28" i="2"/>
  <c r="BA20" i="2"/>
  <c r="AN25" i="2"/>
  <c r="BC20" i="2"/>
  <c r="AH4" i="2"/>
  <c r="AB4" i="2"/>
  <c r="AA4" i="2"/>
  <c r="Z4" i="2"/>
  <c r="Y4" i="2"/>
  <c r="X4" i="2"/>
  <c r="W4" i="2"/>
  <c r="V4" i="2"/>
  <c r="U4" i="2"/>
  <c r="T4" i="2"/>
  <c r="S4" i="2"/>
  <c r="R4" i="2"/>
  <c r="Q4" i="2"/>
  <c r="AI3" i="2"/>
  <c r="AH3" i="2"/>
  <c r="AB3" i="2"/>
  <c r="X3" i="2"/>
  <c r="W3" i="2"/>
  <c r="V3" i="2"/>
  <c r="U3" i="2"/>
  <c r="T3" i="2"/>
  <c r="S3" i="2"/>
  <c r="R3" i="2"/>
  <c r="Q3" i="2"/>
  <c r="N511" i="1"/>
  <c r="K511" i="1"/>
  <c r="J511" i="1"/>
  <c r="I511" i="1"/>
  <c r="N510" i="1"/>
  <c r="K510" i="1"/>
  <c r="J510" i="1"/>
  <c r="I510" i="1"/>
  <c r="N509" i="1"/>
  <c r="K509" i="1"/>
  <c r="J509" i="1"/>
  <c r="I509" i="1"/>
  <c r="N508" i="1"/>
  <c r="K508" i="1"/>
  <c r="J508" i="1"/>
  <c r="I508" i="1"/>
  <c r="N507" i="1"/>
  <c r="K507" i="1"/>
  <c r="J507" i="1"/>
  <c r="I507" i="1"/>
  <c r="N506" i="1"/>
  <c r="K506" i="1"/>
  <c r="J506" i="1"/>
  <c r="I506" i="1"/>
  <c r="N505" i="1"/>
  <c r="K505" i="1"/>
  <c r="J505" i="1"/>
  <c r="I505" i="1"/>
  <c r="N504" i="1"/>
  <c r="K504" i="1"/>
  <c r="J504" i="1"/>
  <c r="I504" i="1"/>
  <c r="N503" i="1"/>
  <c r="K503" i="1"/>
  <c r="J503" i="1"/>
  <c r="I503" i="1"/>
  <c r="N502" i="1"/>
  <c r="K502" i="1"/>
  <c r="J502" i="1"/>
  <c r="I502" i="1"/>
  <c r="N501" i="1"/>
  <c r="K501" i="1"/>
  <c r="J501" i="1"/>
  <c r="I501" i="1"/>
  <c r="N500" i="1"/>
  <c r="K500" i="1"/>
  <c r="J500" i="1"/>
  <c r="I500" i="1"/>
  <c r="N499" i="1"/>
  <c r="K499" i="1"/>
  <c r="J499" i="1"/>
  <c r="I499" i="1"/>
  <c r="N498" i="1"/>
  <c r="K498" i="1"/>
  <c r="J498" i="1"/>
  <c r="I498" i="1"/>
  <c r="N497" i="1"/>
  <c r="K497" i="1"/>
  <c r="J497" i="1"/>
  <c r="I497" i="1"/>
  <c r="N496" i="1"/>
  <c r="K496" i="1"/>
  <c r="J496" i="1"/>
  <c r="I496" i="1"/>
  <c r="N491" i="1"/>
  <c r="K491" i="1"/>
  <c r="J491" i="1"/>
  <c r="I491" i="1"/>
  <c r="N493" i="1"/>
  <c r="K493" i="1"/>
  <c r="J493" i="1"/>
  <c r="I493" i="1"/>
  <c r="N494" i="1"/>
  <c r="K494" i="1"/>
  <c r="J494" i="1"/>
  <c r="I494" i="1"/>
  <c r="N495" i="1"/>
  <c r="K495" i="1"/>
  <c r="J495" i="1"/>
  <c r="I495" i="1"/>
  <c r="N485" i="1"/>
  <c r="I485" i="1"/>
  <c r="N486" i="1"/>
  <c r="K486" i="1"/>
  <c r="J486" i="1"/>
  <c r="I486" i="1"/>
  <c r="N487" i="1"/>
  <c r="K487" i="1"/>
  <c r="J487" i="1"/>
  <c r="I487" i="1"/>
  <c r="N488" i="1"/>
  <c r="K488" i="1"/>
  <c r="J488" i="1"/>
  <c r="I488" i="1"/>
  <c r="N478" i="1"/>
  <c r="K478" i="1"/>
  <c r="J478" i="1"/>
  <c r="I478" i="1"/>
  <c r="N479" i="1"/>
  <c r="K479" i="1"/>
  <c r="J479" i="1"/>
  <c r="I479" i="1"/>
  <c r="N480" i="1"/>
  <c r="K480" i="1"/>
  <c r="J480" i="1"/>
  <c r="I480" i="1"/>
  <c r="N481" i="1"/>
  <c r="K481" i="1"/>
  <c r="J481" i="1"/>
  <c r="I481" i="1"/>
  <c r="N474" i="1"/>
  <c r="K474" i="1"/>
  <c r="J474" i="1"/>
  <c r="I474" i="1"/>
  <c r="N473" i="1"/>
  <c r="K473" i="1"/>
  <c r="J473" i="1"/>
  <c r="I473" i="1"/>
  <c r="C425" i="1"/>
  <c r="N472" i="1"/>
  <c r="K472" i="1"/>
  <c r="J472" i="1"/>
  <c r="I472" i="1"/>
  <c r="C424" i="1"/>
  <c r="N471" i="1"/>
  <c r="K471" i="1"/>
  <c r="J471" i="1"/>
  <c r="I471" i="1"/>
  <c r="C423" i="1"/>
  <c r="K467" i="1"/>
  <c r="J467" i="1"/>
  <c r="I467" i="1"/>
  <c r="C422" i="1"/>
  <c r="K466" i="1"/>
  <c r="J466" i="1"/>
  <c r="I466" i="1"/>
  <c r="N465" i="1"/>
  <c r="K465" i="1"/>
  <c r="J465" i="1"/>
  <c r="I465" i="1"/>
  <c r="N460" i="1"/>
  <c r="K460" i="1"/>
  <c r="J460" i="1"/>
  <c r="I460" i="1"/>
  <c r="N459" i="1"/>
  <c r="K459" i="1"/>
  <c r="J459" i="1"/>
  <c r="I459" i="1"/>
  <c r="N458" i="1"/>
  <c r="K458" i="1"/>
  <c r="J458" i="1"/>
  <c r="I458" i="1"/>
  <c r="N457" i="1"/>
  <c r="K457" i="1"/>
  <c r="J457" i="1"/>
  <c r="I457" i="1"/>
  <c r="N450" i="1"/>
  <c r="K450" i="1"/>
  <c r="J450" i="1"/>
  <c r="I450" i="1"/>
  <c r="N449" i="1"/>
  <c r="K449" i="1"/>
  <c r="J449" i="1"/>
  <c r="I449" i="1"/>
  <c r="N448" i="1"/>
  <c r="K448" i="1"/>
  <c r="J448" i="1"/>
  <c r="I448" i="1"/>
  <c r="N447" i="1"/>
  <c r="K447" i="1"/>
  <c r="J447" i="1"/>
  <c r="I447" i="1"/>
  <c r="N444" i="1"/>
  <c r="K444" i="1"/>
  <c r="J444" i="1"/>
  <c r="I444" i="1"/>
  <c r="N443" i="1"/>
  <c r="K443" i="1"/>
  <c r="J443" i="1"/>
  <c r="I443" i="1"/>
  <c r="N441" i="1"/>
  <c r="K441" i="1"/>
  <c r="J441" i="1"/>
  <c r="I441" i="1"/>
  <c r="D270" i="1"/>
  <c r="D268" i="1"/>
  <c r="T431" i="1"/>
  <c r="Q431" i="1"/>
  <c r="N431" i="1"/>
  <c r="J431" i="1"/>
  <c r="T430" i="1"/>
  <c r="Q430" i="1"/>
  <c r="N430" i="1"/>
  <c r="J430" i="1"/>
  <c r="T429" i="1"/>
  <c r="Q429" i="1"/>
  <c r="N429" i="1"/>
  <c r="J429" i="1"/>
  <c r="T428" i="1"/>
  <c r="Q428" i="1"/>
  <c r="N428" i="1"/>
  <c r="T427" i="1"/>
  <c r="Q427" i="1"/>
  <c r="N427" i="1"/>
  <c r="T426" i="1"/>
  <c r="Q426" i="1"/>
  <c r="N426" i="1"/>
  <c r="J426" i="1"/>
  <c r="T425" i="1"/>
  <c r="Q425" i="1"/>
  <c r="N425" i="1"/>
  <c r="J425" i="1"/>
  <c r="T424" i="1"/>
  <c r="Q424" i="1"/>
  <c r="N424" i="1"/>
  <c r="T423" i="1"/>
  <c r="X423" i="1" s="1"/>
  <c r="N423" i="1"/>
  <c r="J423" i="1"/>
  <c r="T422" i="1"/>
  <c r="X422" i="1" s="1"/>
  <c r="N422" i="1"/>
  <c r="J422" i="1"/>
  <c r="T421" i="1"/>
  <c r="X421" i="1" s="1"/>
  <c r="N421" i="1"/>
  <c r="J421" i="1"/>
  <c r="T420" i="1"/>
  <c r="W420" i="1" s="1"/>
  <c r="N420" i="1"/>
  <c r="J420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T319" i="1"/>
  <c r="I319" i="1"/>
  <c r="T318" i="1"/>
  <c r="I318" i="1"/>
  <c r="T317" i="1"/>
  <c r="I317" i="1"/>
  <c r="T316" i="1"/>
  <c r="I316" i="1"/>
  <c r="T315" i="1"/>
  <c r="I315" i="1"/>
  <c r="T314" i="1"/>
  <c r="I314" i="1"/>
  <c r="T313" i="1"/>
  <c r="I313" i="1"/>
  <c r="T312" i="1"/>
  <c r="I312" i="1"/>
  <c r="I306" i="1"/>
  <c r="I305" i="1"/>
  <c r="I304" i="1"/>
  <c r="P303" i="1"/>
  <c r="I303" i="1"/>
  <c r="P302" i="1"/>
  <c r="I302" i="1"/>
  <c r="P301" i="1"/>
  <c r="I301" i="1"/>
  <c r="P300" i="1"/>
  <c r="X292" i="1" s="1"/>
  <c r="I300" i="1"/>
  <c r="P299" i="1"/>
  <c r="I299" i="1"/>
  <c r="P298" i="1"/>
  <c r="I298" i="1"/>
  <c r="P297" i="1"/>
  <c r="I297" i="1"/>
  <c r="P296" i="1"/>
  <c r="X291" i="1" s="1"/>
  <c r="I296" i="1"/>
  <c r="P295" i="1"/>
  <c r="I295" i="1"/>
  <c r="P294" i="1"/>
  <c r="I294" i="1"/>
  <c r="P293" i="1"/>
  <c r="I293" i="1"/>
  <c r="P292" i="1"/>
  <c r="X290" i="1" s="1"/>
  <c r="I292" i="1"/>
  <c r="I291" i="1"/>
  <c r="I290" i="1"/>
  <c r="I289" i="1"/>
  <c r="I288" i="1"/>
  <c r="P287" i="1"/>
  <c r="I287" i="1"/>
  <c r="P286" i="1"/>
  <c r="I286" i="1"/>
  <c r="P285" i="1"/>
  <c r="I285" i="1"/>
  <c r="P284" i="1"/>
  <c r="X288" i="1" s="1"/>
  <c r="I284" i="1"/>
  <c r="P283" i="1"/>
  <c r="I283" i="1"/>
  <c r="P281" i="1"/>
  <c r="I281" i="1"/>
  <c r="P280" i="1"/>
  <c r="X287" i="1" s="1"/>
  <c r="I280" i="1"/>
  <c r="P279" i="1"/>
  <c r="I279" i="1"/>
  <c r="P277" i="1"/>
  <c r="I277" i="1"/>
  <c r="P276" i="1"/>
  <c r="X286" i="1" s="1"/>
  <c r="I276" i="1"/>
  <c r="P275" i="1"/>
  <c r="I275" i="1"/>
  <c r="P274" i="1"/>
  <c r="I274" i="1"/>
  <c r="P273" i="1"/>
  <c r="I273" i="1"/>
  <c r="P272" i="1"/>
  <c r="X285" i="1" s="1"/>
  <c r="I272" i="1"/>
  <c r="P271" i="1"/>
  <c r="I271" i="1"/>
  <c r="P270" i="1"/>
  <c r="I270" i="1"/>
  <c r="P269" i="1"/>
  <c r="I269" i="1"/>
  <c r="P268" i="1"/>
  <c r="X284" i="1" s="1"/>
  <c r="I268" i="1"/>
  <c r="P267" i="1"/>
  <c r="I267" i="1"/>
  <c r="P266" i="1"/>
  <c r="I266" i="1"/>
  <c r="P265" i="1"/>
  <c r="I265" i="1"/>
  <c r="P264" i="1"/>
  <c r="X283" i="1" s="1"/>
  <c r="I264" i="1"/>
  <c r="P263" i="1"/>
  <c r="I263" i="1"/>
  <c r="P262" i="1"/>
  <c r="I262" i="1"/>
  <c r="P261" i="1"/>
  <c r="X282" i="1" s="1"/>
  <c r="I261" i="1"/>
  <c r="AV254" i="1"/>
  <c r="AU254" i="1"/>
  <c r="AT254" i="1"/>
  <c r="AS254" i="1"/>
  <c r="AR254" i="1"/>
  <c r="AQ254" i="1"/>
  <c r="AV253" i="1"/>
  <c r="AU253" i="1"/>
  <c r="AT253" i="1"/>
  <c r="AS253" i="1"/>
  <c r="AR253" i="1"/>
  <c r="AQ253" i="1"/>
  <c r="R256" i="1"/>
  <c r="I256" i="1"/>
  <c r="AV252" i="1"/>
  <c r="AU252" i="1"/>
  <c r="AT252" i="1"/>
  <c r="AS252" i="1"/>
  <c r="AR252" i="1"/>
  <c r="AQ252" i="1"/>
  <c r="R255" i="1"/>
  <c r="I255" i="1"/>
  <c r="AV251" i="1"/>
  <c r="AU251" i="1"/>
  <c r="AT251" i="1"/>
  <c r="AS251" i="1"/>
  <c r="AR251" i="1"/>
  <c r="AQ251" i="1"/>
  <c r="R254" i="1"/>
  <c r="I254" i="1"/>
  <c r="AV250" i="1"/>
  <c r="AU250" i="1"/>
  <c r="AT250" i="1"/>
  <c r="AS250" i="1"/>
  <c r="AR250" i="1"/>
  <c r="AQ250" i="1"/>
  <c r="R253" i="1"/>
  <c r="I253" i="1"/>
  <c r="AV249" i="1"/>
  <c r="AU249" i="1"/>
  <c r="AT249" i="1"/>
  <c r="AS249" i="1"/>
  <c r="AR249" i="1"/>
  <c r="AQ249" i="1"/>
  <c r="R252" i="1"/>
  <c r="I252" i="1"/>
  <c r="AV248" i="1"/>
  <c r="AU248" i="1"/>
  <c r="AT248" i="1"/>
  <c r="AS248" i="1"/>
  <c r="AR248" i="1"/>
  <c r="AQ248" i="1"/>
  <c r="R251" i="1"/>
  <c r="I251" i="1"/>
  <c r="AV247" i="1"/>
  <c r="AU247" i="1"/>
  <c r="AT247" i="1"/>
  <c r="AS247" i="1"/>
  <c r="AR247" i="1"/>
  <c r="AQ247" i="1"/>
  <c r="R250" i="1"/>
  <c r="I250" i="1"/>
  <c r="AV246" i="1"/>
  <c r="AU246" i="1"/>
  <c r="AT246" i="1"/>
  <c r="AS246" i="1"/>
  <c r="AR246" i="1"/>
  <c r="AQ246" i="1"/>
  <c r="R249" i="1"/>
  <c r="I249" i="1"/>
  <c r="AV245" i="1"/>
  <c r="AU245" i="1"/>
  <c r="AT245" i="1"/>
  <c r="AS245" i="1"/>
  <c r="AR245" i="1"/>
  <c r="AQ245" i="1"/>
  <c r="R248" i="1"/>
  <c r="I248" i="1"/>
  <c r="AV244" i="1"/>
  <c r="AU244" i="1"/>
  <c r="AT244" i="1"/>
  <c r="AS244" i="1"/>
  <c r="AR244" i="1"/>
  <c r="AQ244" i="1"/>
  <c r="R247" i="1"/>
  <c r="I247" i="1"/>
  <c r="AV243" i="1"/>
  <c r="AU243" i="1"/>
  <c r="AT243" i="1"/>
  <c r="AS243" i="1"/>
  <c r="AR243" i="1"/>
  <c r="AQ243" i="1"/>
  <c r="R246" i="1"/>
  <c r="I246" i="1"/>
  <c r="AV242" i="1"/>
  <c r="AU242" i="1"/>
  <c r="AT242" i="1"/>
  <c r="AS242" i="1"/>
  <c r="AR242" i="1"/>
  <c r="AQ242" i="1"/>
  <c r="R245" i="1"/>
  <c r="I245" i="1"/>
  <c r="AV241" i="1"/>
  <c r="AU241" i="1"/>
  <c r="AT241" i="1"/>
  <c r="AS241" i="1"/>
  <c r="AR241" i="1"/>
  <c r="AQ241" i="1"/>
  <c r="R244" i="1"/>
  <c r="I244" i="1"/>
  <c r="AV240" i="1"/>
  <c r="AU240" i="1"/>
  <c r="AT240" i="1"/>
  <c r="AS240" i="1"/>
  <c r="AR240" i="1"/>
  <c r="AQ240" i="1"/>
  <c r="R243" i="1"/>
  <c r="I243" i="1"/>
  <c r="AV239" i="1"/>
  <c r="AU239" i="1"/>
  <c r="AT239" i="1"/>
  <c r="AS239" i="1"/>
  <c r="AR239" i="1"/>
  <c r="AQ239" i="1"/>
  <c r="R242" i="1"/>
  <c r="I242" i="1"/>
  <c r="AV238" i="1"/>
  <c r="AU238" i="1"/>
  <c r="AT238" i="1"/>
  <c r="AS238" i="1"/>
  <c r="AR238" i="1"/>
  <c r="AQ238" i="1"/>
  <c r="R241" i="1"/>
  <c r="I241" i="1"/>
  <c r="AV237" i="1"/>
  <c r="AU237" i="1"/>
  <c r="AT237" i="1"/>
  <c r="AS237" i="1"/>
  <c r="AR237" i="1"/>
  <c r="AQ237" i="1"/>
  <c r="R240" i="1"/>
  <c r="I240" i="1"/>
  <c r="AV236" i="1"/>
  <c r="AU236" i="1"/>
  <c r="AT236" i="1"/>
  <c r="AS236" i="1"/>
  <c r="AR236" i="1"/>
  <c r="AQ236" i="1"/>
  <c r="R239" i="1"/>
  <c r="I239" i="1"/>
  <c r="AV235" i="1"/>
  <c r="AU235" i="1"/>
  <c r="AT235" i="1"/>
  <c r="AS235" i="1"/>
  <c r="AR235" i="1"/>
  <c r="AQ235" i="1"/>
  <c r="R238" i="1"/>
  <c r="I238" i="1"/>
  <c r="AV234" i="1"/>
  <c r="AU234" i="1"/>
  <c r="AT234" i="1"/>
  <c r="AS234" i="1"/>
  <c r="AR234" i="1"/>
  <c r="AQ234" i="1"/>
  <c r="R237" i="1"/>
  <c r="I237" i="1"/>
  <c r="AV233" i="1"/>
  <c r="AU233" i="1"/>
  <c r="AT233" i="1"/>
  <c r="AS233" i="1"/>
  <c r="AR233" i="1"/>
  <c r="AQ233" i="1"/>
  <c r="R236" i="1"/>
  <c r="I236" i="1"/>
  <c r="AV232" i="1"/>
  <c r="AU232" i="1"/>
  <c r="AT232" i="1"/>
  <c r="AS232" i="1"/>
  <c r="AR232" i="1"/>
  <c r="AQ232" i="1"/>
  <c r="R235" i="1"/>
  <c r="I235" i="1"/>
  <c r="R234" i="1"/>
  <c r="I234" i="1"/>
  <c r="R233" i="1"/>
  <c r="I233" i="1"/>
  <c r="R232" i="1"/>
  <c r="I232" i="1"/>
  <c r="R231" i="1"/>
  <c r="I231" i="1"/>
  <c r="R230" i="1"/>
  <c r="I230" i="1"/>
  <c r="R229" i="1"/>
  <c r="I229" i="1"/>
  <c r="R228" i="1"/>
  <c r="I228" i="1"/>
  <c r="R227" i="1"/>
  <c r="I227" i="1"/>
  <c r="R226" i="1"/>
  <c r="I226" i="1"/>
  <c r="R225" i="1"/>
  <c r="I225" i="1"/>
  <c r="R224" i="1"/>
  <c r="I224" i="1"/>
  <c r="R223" i="1"/>
  <c r="I223" i="1"/>
  <c r="R222" i="1"/>
  <c r="I222" i="1"/>
  <c r="I221" i="1"/>
  <c r="V215" i="1"/>
  <c r="T215" i="1"/>
  <c r="I215" i="1"/>
  <c r="V214" i="1"/>
  <c r="T214" i="1"/>
  <c r="I214" i="1"/>
  <c r="V213" i="1"/>
  <c r="T213" i="1"/>
  <c r="I213" i="1"/>
  <c r="V212" i="1"/>
  <c r="T212" i="1"/>
  <c r="I212" i="1"/>
  <c r="V211" i="1"/>
  <c r="T211" i="1"/>
  <c r="I211" i="1"/>
  <c r="V210" i="1"/>
  <c r="T210" i="1"/>
  <c r="I210" i="1"/>
  <c r="V209" i="1"/>
  <c r="T209" i="1"/>
  <c r="I209" i="1"/>
  <c r="V208" i="1"/>
  <c r="T208" i="1"/>
  <c r="I208" i="1"/>
  <c r="V207" i="1"/>
  <c r="T207" i="1"/>
  <c r="I207" i="1"/>
  <c r="V206" i="1"/>
  <c r="T206" i="1"/>
  <c r="I206" i="1"/>
  <c r="V205" i="1"/>
  <c r="T205" i="1"/>
  <c r="I205" i="1"/>
  <c r="T204" i="1"/>
  <c r="I204" i="1"/>
  <c r="V203" i="1"/>
  <c r="T203" i="1"/>
  <c r="I203" i="1"/>
  <c r="V202" i="1"/>
  <c r="T202" i="1"/>
  <c r="I202" i="1"/>
  <c r="V201" i="1"/>
  <c r="T201" i="1"/>
  <c r="I201" i="1"/>
  <c r="V200" i="1"/>
  <c r="T200" i="1"/>
  <c r="I200" i="1"/>
  <c r="V199" i="1"/>
  <c r="T199" i="1"/>
  <c r="I199" i="1"/>
  <c r="V198" i="1"/>
  <c r="T198" i="1"/>
  <c r="I198" i="1"/>
  <c r="AV197" i="1"/>
  <c r="AU197" i="1"/>
  <c r="AT197" i="1"/>
  <c r="AS197" i="1"/>
  <c r="AR197" i="1"/>
  <c r="AQ197" i="1"/>
  <c r="V197" i="1"/>
  <c r="T197" i="1"/>
  <c r="I197" i="1"/>
  <c r="AV196" i="1"/>
  <c r="AU196" i="1"/>
  <c r="AT196" i="1"/>
  <c r="AS196" i="1"/>
  <c r="AR196" i="1"/>
  <c r="AQ196" i="1"/>
  <c r="V196" i="1"/>
  <c r="T196" i="1"/>
  <c r="I196" i="1"/>
  <c r="AV195" i="1"/>
  <c r="AU195" i="1"/>
  <c r="AT195" i="1"/>
  <c r="AS195" i="1"/>
  <c r="AR195" i="1"/>
  <c r="AQ195" i="1"/>
  <c r="V195" i="1"/>
  <c r="T195" i="1"/>
  <c r="I195" i="1"/>
  <c r="AV194" i="1"/>
  <c r="AU194" i="1"/>
  <c r="AT194" i="1"/>
  <c r="AS194" i="1"/>
  <c r="AR194" i="1"/>
  <c r="AQ194" i="1"/>
  <c r="V194" i="1"/>
  <c r="T194" i="1"/>
  <c r="I194" i="1"/>
  <c r="AV193" i="1"/>
  <c r="AU193" i="1"/>
  <c r="AT193" i="1"/>
  <c r="AS193" i="1"/>
  <c r="AR193" i="1"/>
  <c r="AQ193" i="1"/>
  <c r="V193" i="1"/>
  <c r="T193" i="1"/>
  <c r="I193" i="1"/>
  <c r="AV192" i="1"/>
  <c r="AU192" i="1"/>
  <c r="AT192" i="1"/>
  <c r="AS192" i="1"/>
  <c r="AR192" i="1"/>
  <c r="AQ192" i="1"/>
  <c r="T192" i="1"/>
  <c r="I192" i="1"/>
  <c r="AV191" i="1"/>
  <c r="AU191" i="1"/>
  <c r="AT191" i="1"/>
  <c r="AS191" i="1"/>
  <c r="AR191" i="1"/>
  <c r="AQ191" i="1"/>
  <c r="AV190" i="1"/>
  <c r="AU190" i="1"/>
  <c r="AT190" i="1"/>
  <c r="AS190" i="1"/>
  <c r="AR190" i="1"/>
  <c r="AQ190" i="1"/>
  <c r="AV189" i="1"/>
  <c r="AU189" i="1"/>
  <c r="AT189" i="1"/>
  <c r="AS189" i="1"/>
  <c r="AR189" i="1"/>
  <c r="AQ189" i="1"/>
  <c r="AV188" i="1"/>
  <c r="AU188" i="1"/>
  <c r="AT188" i="1"/>
  <c r="AS188" i="1"/>
  <c r="AR188" i="1"/>
  <c r="AQ188" i="1"/>
  <c r="AV187" i="1"/>
  <c r="AU187" i="1"/>
  <c r="AT187" i="1"/>
  <c r="AS187" i="1"/>
  <c r="AR187" i="1"/>
  <c r="AQ187" i="1"/>
  <c r="AV186" i="1"/>
  <c r="AU186" i="1"/>
  <c r="AT186" i="1"/>
  <c r="AS186" i="1"/>
  <c r="AR186" i="1"/>
  <c r="AQ186" i="1"/>
  <c r="AV185" i="1"/>
  <c r="AU185" i="1"/>
  <c r="AT185" i="1"/>
  <c r="AS185" i="1"/>
  <c r="AR185" i="1"/>
  <c r="AQ185" i="1"/>
  <c r="AV184" i="1"/>
  <c r="AU184" i="1"/>
  <c r="AT184" i="1"/>
  <c r="AS184" i="1"/>
  <c r="AR184" i="1"/>
  <c r="AQ184" i="1"/>
  <c r="AV183" i="1"/>
  <c r="AU183" i="1"/>
  <c r="AT183" i="1"/>
  <c r="AS183" i="1"/>
  <c r="AR183" i="1"/>
  <c r="AQ183" i="1"/>
  <c r="AV182" i="1"/>
  <c r="AU182" i="1"/>
  <c r="AT182" i="1"/>
  <c r="AS182" i="1"/>
  <c r="AR182" i="1"/>
  <c r="AQ182" i="1"/>
  <c r="AV181" i="1"/>
  <c r="AU181" i="1"/>
  <c r="AT181" i="1"/>
  <c r="AS181" i="1"/>
  <c r="AR181" i="1"/>
  <c r="AQ181" i="1"/>
  <c r="AV180" i="1"/>
  <c r="AU180" i="1"/>
  <c r="AT180" i="1"/>
  <c r="AS180" i="1"/>
  <c r="AR180" i="1"/>
  <c r="AQ180" i="1"/>
  <c r="AV179" i="1"/>
  <c r="AU179" i="1"/>
  <c r="AT179" i="1"/>
  <c r="AS179" i="1"/>
  <c r="AR179" i="1"/>
  <c r="AQ179" i="1"/>
  <c r="AV178" i="1"/>
  <c r="AU178" i="1"/>
  <c r="AT178" i="1"/>
  <c r="AS178" i="1"/>
  <c r="AR178" i="1"/>
  <c r="AQ178" i="1"/>
  <c r="AV174" i="1"/>
  <c r="AT174" i="1"/>
  <c r="AQ174" i="1"/>
  <c r="AU174" i="1" s="1"/>
  <c r="AV173" i="1"/>
  <c r="AT173" i="1"/>
  <c r="AQ173" i="1"/>
  <c r="AY173" i="1" s="1"/>
  <c r="AV172" i="1"/>
  <c r="AT172" i="1"/>
  <c r="AQ172" i="1"/>
  <c r="AY172" i="1" s="1"/>
  <c r="AV171" i="1"/>
  <c r="AQ171" i="1"/>
  <c r="AV170" i="1"/>
  <c r="AT170" i="1"/>
  <c r="AQ170" i="1"/>
  <c r="AY170" i="1" s="1"/>
  <c r="AV169" i="1"/>
  <c r="AT169" i="1"/>
  <c r="AQ169" i="1"/>
  <c r="AU169" i="1" s="1"/>
  <c r="AI165" i="1"/>
  <c r="AH165" i="1"/>
  <c r="AI164" i="1"/>
  <c r="AH164" i="1"/>
  <c r="AI163" i="1"/>
  <c r="AH163" i="1"/>
  <c r="AI162" i="1"/>
  <c r="AH162" i="1"/>
  <c r="AI161" i="1"/>
  <c r="AH161" i="1"/>
  <c r="AI160" i="1"/>
  <c r="AH160" i="1"/>
  <c r="AI159" i="1"/>
  <c r="AH159" i="1"/>
  <c r="AI158" i="1"/>
  <c r="AH158" i="1"/>
  <c r="AI157" i="1"/>
  <c r="AH157" i="1"/>
  <c r="AI156" i="1"/>
  <c r="AH156" i="1"/>
  <c r="AI155" i="1"/>
  <c r="AH155" i="1"/>
  <c r="V155" i="1"/>
  <c r="T155" i="1"/>
  <c r="N155" i="1"/>
  <c r="AI154" i="1"/>
  <c r="AH154" i="1"/>
  <c r="V154" i="1"/>
  <c r="X92" i="1" s="1"/>
  <c r="T154" i="1"/>
  <c r="N154" i="1"/>
  <c r="AI153" i="1"/>
  <c r="AH153" i="1"/>
  <c r="V153" i="1"/>
  <c r="X91" i="1" s="1"/>
  <c r="T153" i="1"/>
  <c r="N153" i="1"/>
  <c r="AI152" i="1"/>
  <c r="AH152" i="1"/>
  <c r="V152" i="1"/>
  <c r="X90" i="1" s="1"/>
  <c r="T152" i="1"/>
  <c r="N152" i="1"/>
  <c r="AI151" i="1"/>
  <c r="AH151" i="1"/>
  <c r="V151" i="1"/>
  <c r="X89" i="1" s="1"/>
  <c r="T151" i="1"/>
  <c r="N151" i="1"/>
  <c r="AI150" i="1"/>
  <c r="AH150" i="1"/>
  <c r="V150" i="1"/>
  <c r="V88" i="1" s="1"/>
  <c r="Y88" i="1" s="1"/>
  <c r="T150" i="1"/>
  <c r="I150" i="1"/>
  <c r="G88" i="1" s="1"/>
  <c r="AI149" i="1"/>
  <c r="AH149" i="1"/>
  <c r="V149" i="1"/>
  <c r="V87" i="1" s="1"/>
  <c r="Y87" i="1" s="1"/>
  <c r="T149" i="1"/>
  <c r="I149" i="1"/>
  <c r="G87" i="1" s="1"/>
  <c r="AI148" i="1"/>
  <c r="AH148" i="1"/>
  <c r="V148" i="1"/>
  <c r="V86" i="1" s="1"/>
  <c r="Y86" i="1" s="1"/>
  <c r="T148" i="1"/>
  <c r="I148" i="1"/>
  <c r="G86" i="1" s="1"/>
  <c r="AI147" i="1"/>
  <c r="AH147" i="1"/>
  <c r="V147" i="1"/>
  <c r="V85" i="1" s="1"/>
  <c r="Y85" i="1" s="1"/>
  <c r="T147" i="1"/>
  <c r="I147" i="1"/>
  <c r="G85" i="1" s="1"/>
  <c r="AI146" i="1"/>
  <c r="AH146" i="1"/>
  <c r="V146" i="1"/>
  <c r="W92" i="1" s="1"/>
  <c r="I146" i="1"/>
  <c r="G92" i="1" s="1"/>
  <c r="AI145" i="1"/>
  <c r="AH145" i="1"/>
  <c r="V145" i="1"/>
  <c r="W91" i="1" s="1"/>
  <c r="I145" i="1"/>
  <c r="G91" i="1" s="1"/>
  <c r="AI144" i="1"/>
  <c r="AH144" i="1"/>
  <c r="V144" i="1"/>
  <c r="W90" i="1" s="1"/>
  <c r="I144" i="1"/>
  <c r="G90" i="1" s="1"/>
  <c r="AI143" i="1"/>
  <c r="AH143" i="1"/>
  <c r="V143" i="1"/>
  <c r="W89" i="1" s="1"/>
  <c r="I143" i="1"/>
  <c r="N143" i="1" s="1"/>
  <c r="AI142" i="1"/>
  <c r="AH142" i="1"/>
  <c r="V142" i="1"/>
  <c r="T142" i="1"/>
  <c r="I142" i="1"/>
  <c r="AI141" i="1"/>
  <c r="AH141" i="1"/>
  <c r="V141" i="1"/>
  <c r="T141" i="1"/>
  <c r="I141" i="1"/>
  <c r="AI140" i="1"/>
  <c r="AH140" i="1"/>
  <c r="V140" i="1"/>
  <c r="T140" i="1"/>
  <c r="I140" i="1"/>
  <c r="AI139" i="1"/>
  <c r="AH139" i="1"/>
  <c r="V139" i="1"/>
  <c r="T139" i="1"/>
  <c r="I139" i="1"/>
  <c r="AI138" i="1"/>
  <c r="AH138" i="1"/>
  <c r="V138" i="1"/>
  <c r="T84" i="1" s="1"/>
  <c r="T138" i="1"/>
  <c r="I138" i="1"/>
  <c r="AI137" i="1"/>
  <c r="AH137" i="1"/>
  <c r="V137" i="1"/>
  <c r="T137" i="1"/>
  <c r="I137" i="1"/>
  <c r="AI136" i="1"/>
  <c r="AH136" i="1"/>
  <c r="V136" i="1"/>
  <c r="T136" i="1"/>
  <c r="I136" i="1"/>
  <c r="AI135" i="1"/>
  <c r="AH135" i="1"/>
  <c r="V135" i="1"/>
  <c r="T135" i="1"/>
  <c r="I135" i="1"/>
  <c r="AI134" i="1"/>
  <c r="AH134" i="1"/>
  <c r="V134" i="1"/>
  <c r="T134" i="1"/>
  <c r="I134" i="1"/>
  <c r="AI133" i="1"/>
  <c r="AH133" i="1"/>
  <c r="V133" i="1"/>
  <c r="S82" i="1" s="1"/>
  <c r="D76" i="1" s="1"/>
  <c r="T133" i="1"/>
  <c r="I133" i="1"/>
  <c r="AI132" i="1"/>
  <c r="AH132" i="1"/>
  <c r="V132" i="1"/>
  <c r="T132" i="1"/>
  <c r="I132" i="1"/>
  <c r="AI131" i="1"/>
  <c r="AH131" i="1"/>
  <c r="V131" i="1"/>
  <c r="T131" i="1"/>
  <c r="I131" i="1"/>
  <c r="AI130" i="1"/>
  <c r="AH130" i="1"/>
  <c r="V130" i="1"/>
  <c r="R79" i="1" s="1"/>
  <c r="D72" i="1" s="1"/>
  <c r="T130" i="1"/>
  <c r="I130" i="1"/>
  <c r="AI129" i="1"/>
  <c r="AH129" i="1"/>
  <c r="V129" i="1"/>
  <c r="T129" i="1"/>
  <c r="I129" i="1"/>
  <c r="AI128" i="1"/>
  <c r="AH128" i="1"/>
  <c r="V128" i="1"/>
  <c r="T128" i="1"/>
  <c r="I128" i="1"/>
  <c r="AI127" i="1"/>
  <c r="AH127" i="1"/>
  <c r="V127" i="1"/>
  <c r="T127" i="1"/>
  <c r="I127" i="1"/>
  <c r="AI126" i="1"/>
  <c r="AH126" i="1"/>
  <c r="V126" i="1"/>
  <c r="T126" i="1"/>
  <c r="I126" i="1"/>
  <c r="AI125" i="1"/>
  <c r="AH125" i="1"/>
  <c r="V125" i="1"/>
  <c r="T125" i="1"/>
  <c r="I125" i="1"/>
  <c r="AI124" i="1"/>
  <c r="AH124" i="1"/>
  <c r="V124" i="1"/>
  <c r="T124" i="1"/>
  <c r="I124" i="1"/>
  <c r="AI123" i="1"/>
  <c r="AH123" i="1"/>
  <c r="V123" i="1"/>
  <c r="T123" i="1"/>
  <c r="I123" i="1"/>
  <c r="AI122" i="1"/>
  <c r="AH122" i="1"/>
  <c r="V122" i="1"/>
  <c r="P76" i="1" s="1"/>
  <c r="T122" i="1"/>
  <c r="I122" i="1"/>
  <c r="AI121" i="1"/>
  <c r="AH121" i="1"/>
  <c r="V121" i="1"/>
  <c r="T121" i="1"/>
  <c r="I121" i="1"/>
  <c r="AI120" i="1"/>
  <c r="AH120" i="1"/>
  <c r="V120" i="1"/>
  <c r="T120" i="1"/>
  <c r="I120" i="1"/>
  <c r="AI119" i="1"/>
  <c r="AH119" i="1"/>
  <c r="V119" i="1"/>
  <c r="T119" i="1"/>
  <c r="I119" i="1"/>
  <c r="AI118" i="1"/>
  <c r="AH118" i="1"/>
  <c r="V118" i="1"/>
  <c r="T118" i="1"/>
  <c r="I118" i="1"/>
  <c r="AI117" i="1"/>
  <c r="AH117" i="1"/>
  <c r="V117" i="1"/>
  <c r="T117" i="1"/>
  <c r="I117" i="1"/>
  <c r="G84" i="1" s="1"/>
  <c r="AI116" i="1"/>
  <c r="AH116" i="1"/>
  <c r="V116" i="1"/>
  <c r="T116" i="1"/>
  <c r="I116" i="1"/>
  <c r="G83" i="1" s="1"/>
  <c r="AI115" i="1"/>
  <c r="AH115" i="1"/>
  <c r="V115" i="1"/>
  <c r="T115" i="1"/>
  <c r="I115" i="1"/>
  <c r="G82" i="1" s="1"/>
  <c r="AI114" i="1"/>
  <c r="AH114" i="1"/>
  <c r="V114" i="1"/>
  <c r="K73" i="1" s="1"/>
  <c r="D59" i="1" s="1"/>
  <c r="T114" i="1"/>
  <c r="I114" i="1"/>
  <c r="G81" i="1" s="1"/>
  <c r="BA113" i="1"/>
  <c r="AZ113" i="1"/>
  <c r="AY113" i="1"/>
  <c r="AI113" i="1"/>
  <c r="AH113" i="1"/>
  <c r="V113" i="1"/>
  <c r="T113" i="1"/>
  <c r="I113" i="1"/>
  <c r="G80" i="1" s="1"/>
  <c r="BA112" i="1"/>
  <c r="AZ112" i="1"/>
  <c r="AY112" i="1"/>
  <c r="AI112" i="1"/>
  <c r="AH112" i="1"/>
  <c r="V112" i="1"/>
  <c r="K71" i="1" s="1"/>
  <c r="D45" i="1" s="1"/>
  <c r="T112" i="1"/>
  <c r="I112" i="1"/>
  <c r="G79" i="1" s="1"/>
  <c r="BA111" i="1"/>
  <c r="AZ111" i="1"/>
  <c r="AY111" i="1"/>
  <c r="AI111" i="1"/>
  <c r="AH111" i="1"/>
  <c r="V111" i="1"/>
  <c r="J74" i="1" s="1"/>
  <c r="D62" i="1" s="1"/>
  <c r="T111" i="1"/>
  <c r="I111" i="1"/>
  <c r="G78" i="1" s="1"/>
  <c r="BA110" i="1"/>
  <c r="AZ110" i="1"/>
  <c r="AY110" i="1"/>
  <c r="AI110" i="1"/>
  <c r="AH110" i="1"/>
  <c r="V110" i="1"/>
  <c r="T110" i="1"/>
  <c r="I110" i="1"/>
  <c r="G77" i="1" s="1"/>
  <c r="BA109" i="1"/>
  <c r="AZ109" i="1"/>
  <c r="AY109" i="1"/>
  <c r="AI109" i="1"/>
  <c r="AH109" i="1"/>
  <c r="V109" i="1"/>
  <c r="T109" i="1"/>
  <c r="I109" i="1"/>
  <c r="G76" i="1" s="1"/>
  <c r="BA108" i="1"/>
  <c r="AZ108" i="1"/>
  <c r="AY108" i="1"/>
  <c r="AI108" i="1"/>
  <c r="AH108" i="1"/>
  <c r="V108" i="1"/>
  <c r="J71" i="1" s="1"/>
  <c r="D44" i="1" s="1"/>
  <c r="T108" i="1"/>
  <c r="I108" i="1"/>
  <c r="G75" i="1" s="1"/>
  <c r="BA107" i="1"/>
  <c r="AZ107" i="1"/>
  <c r="AY107" i="1"/>
  <c r="AI107" i="1"/>
  <c r="AH107" i="1"/>
  <c r="V107" i="1"/>
  <c r="T107" i="1"/>
  <c r="I107" i="1"/>
  <c r="BA106" i="1"/>
  <c r="AZ106" i="1"/>
  <c r="AY106" i="1"/>
  <c r="AI106" i="1"/>
  <c r="AH106" i="1"/>
  <c r="V106" i="1"/>
  <c r="T106" i="1"/>
  <c r="I106" i="1"/>
  <c r="BA105" i="1"/>
  <c r="AZ105" i="1"/>
  <c r="AY105" i="1"/>
  <c r="AI105" i="1"/>
  <c r="AH105" i="1"/>
  <c r="T105" i="1"/>
  <c r="I105" i="1"/>
  <c r="BA104" i="1"/>
  <c r="AZ104" i="1"/>
  <c r="AY104" i="1"/>
  <c r="AI104" i="1"/>
  <c r="AH104" i="1"/>
  <c r="I71" i="1"/>
  <c r="D43" i="1" s="1"/>
  <c r="T104" i="1"/>
  <c r="I104" i="1"/>
  <c r="G71" i="1" s="1"/>
  <c r="BA103" i="1"/>
  <c r="AZ103" i="1"/>
  <c r="AY103" i="1"/>
  <c r="AI103" i="1"/>
  <c r="AH103" i="1"/>
  <c r="BA102" i="1"/>
  <c r="AZ102" i="1"/>
  <c r="AY102" i="1"/>
  <c r="AI102" i="1"/>
  <c r="AH102" i="1"/>
  <c r="BA101" i="1"/>
  <c r="AZ101" i="1"/>
  <c r="AY101" i="1"/>
  <c r="AI101" i="1"/>
  <c r="AH101" i="1"/>
  <c r="BA100" i="1"/>
  <c r="AZ100" i="1"/>
  <c r="AY100" i="1"/>
  <c r="AI100" i="1"/>
  <c r="AH100" i="1"/>
  <c r="BA99" i="1"/>
  <c r="AZ99" i="1"/>
  <c r="AY99" i="1"/>
  <c r="AI99" i="1"/>
  <c r="AH99" i="1"/>
  <c r="BA98" i="1"/>
  <c r="AZ98" i="1"/>
  <c r="AY98" i="1"/>
  <c r="AI98" i="1"/>
  <c r="AH98" i="1"/>
  <c r="BA97" i="1"/>
  <c r="AZ97" i="1"/>
  <c r="AY97" i="1"/>
  <c r="AI97" i="1"/>
  <c r="AH97" i="1"/>
  <c r="BA96" i="1"/>
  <c r="AZ96" i="1"/>
  <c r="AY96" i="1"/>
  <c r="AI96" i="1"/>
  <c r="AH96" i="1"/>
  <c r="BA95" i="1"/>
  <c r="AZ95" i="1"/>
  <c r="AY95" i="1"/>
  <c r="AI95" i="1"/>
  <c r="AH95" i="1"/>
  <c r="BA94" i="1"/>
  <c r="AZ94" i="1"/>
  <c r="AY94" i="1"/>
  <c r="AI94" i="1"/>
  <c r="AH94" i="1"/>
  <c r="BA93" i="1"/>
  <c r="AZ93" i="1"/>
  <c r="AY93" i="1"/>
  <c r="AI93" i="1"/>
  <c r="AH93" i="1"/>
  <c r="BA92" i="1"/>
  <c r="AZ92" i="1"/>
  <c r="AY92" i="1"/>
  <c r="AI92" i="1"/>
  <c r="AH92" i="1"/>
  <c r="H92" i="1"/>
  <c r="BA91" i="1"/>
  <c r="AZ91" i="1"/>
  <c r="AY91" i="1"/>
  <c r="AI91" i="1"/>
  <c r="AH91" i="1"/>
  <c r="H91" i="1"/>
  <c r="BA90" i="1"/>
  <c r="AZ90" i="1"/>
  <c r="AY90" i="1"/>
  <c r="AI90" i="1"/>
  <c r="AH90" i="1"/>
  <c r="H90" i="1"/>
  <c r="BA89" i="1"/>
  <c r="AZ89" i="1"/>
  <c r="AY89" i="1"/>
  <c r="AI89" i="1"/>
  <c r="AH89" i="1"/>
  <c r="H89" i="1"/>
  <c r="G89" i="1"/>
  <c r="BA88" i="1"/>
  <c r="AZ88" i="1"/>
  <c r="AY88" i="1"/>
  <c r="AI88" i="1"/>
  <c r="AH88" i="1"/>
  <c r="H88" i="1"/>
  <c r="BA87" i="1"/>
  <c r="AZ87" i="1"/>
  <c r="AY87" i="1"/>
  <c r="AI87" i="1"/>
  <c r="AH87" i="1"/>
  <c r="H87" i="1"/>
  <c r="BA86" i="1"/>
  <c r="AZ86" i="1"/>
  <c r="AY86" i="1"/>
  <c r="AI86" i="1"/>
  <c r="AH86" i="1"/>
  <c r="H86" i="1"/>
  <c r="BA85" i="1"/>
  <c r="AZ85" i="1"/>
  <c r="AY85" i="1"/>
  <c r="AI85" i="1"/>
  <c r="AH85" i="1"/>
  <c r="H85" i="1"/>
  <c r="BA84" i="1"/>
  <c r="AZ84" i="1"/>
  <c r="AY84" i="1"/>
  <c r="AI84" i="1"/>
  <c r="AH84" i="1"/>
  <c r="H84" i="1"/>
  <c r="BA83" i="1"/>
  <c r="AZ83" i="1"/>
  <c r="AY83" i="1"/>
  <c r="AI83" i="1"/>
  <c r="AH83" i="1"/>
  <c r="H83" i="1"/>
  <c r="BA82" i="1"/>
  <c r="AZ82" i="1"/>
  <c r="AY82" i="1"/>
  <c r="AI82" i="1"/>
  <c r="AH82" i="1"/>
  <c r="H82" i="1"/>
  <c r="BA81" i="1"/>
  <c r="AZ81" i="1"/>
  <c r="AY81" i="1"/>
  <c r="AI81" i="1"/>
  <c r="AH81" i="1"/>
  <c r="H81" i="1"/>
  <c r="BA80" i="1"/>
  <c r="AZ80" i="1"/>
  <c r="AY80" i="1"/>
  <c r="AI80" i="1"/>
  <c r="AH80" i="1"/>
  <c r="H80" i="1"/>
  <c r="BA79" i="1"/>
  <c r="AZ79" i="1"/>
  <c r="AY79" i="1"/>
  <c r="AI79" i="1"/>
  <c r="AH79" i="1"/>
  <c r="H79" i="1"/>
  <c r="BA78" i="1"/>
  <c r="AZ78" i="1"/>
  <c r="AY78" i="1"/>
  <c r="AI78" i="1"/>
  <c r="AH78" i="1"/>
  <c r="H78" i="1"/>
  <c r="BA77" i="1"/>
  <c r="AZ77" i="1"/>
  <c r="AY77" i="1"/>
  <c r="AI77" i="1"/>
  <c r="AH77" i="1"/>
  <c r="H77" i="1"/>
  <c r="BA76" i="1"/>
  <c r="AZ76" i="1"/>
  <c r="AY76" i="1"/>
  <c r="AI76" i="1"/>
  <c r="AH76" i="1"/>
  <c r="H76" i="1"/>
  <c r="BA75" i="1"/>
  <c r="AZ75" i="1"/>
  <c r="AY75" i="1"/>
  <c r="AI75" i="1"/>
  <c r="AH75" i="1"/>
  <c r="H75" i="1"/>
  <c r="BA74" i="1"/>
  <c r="AZ74" i="1"/>
  <c r="AY74" i="1"/>
  <c r="AL288" i="1" l="1"/>
  <c r="AN288" i="1" s="1"/>
  <c r="AK288" i="1"/>
  <c r="AM288" i="1" s="1"/>
  <c r="AL287" i="1"/>
  <c r="AN287" i="1" s="1"/>
  <c r="AK287" i="1"/>
  <c r="AM287" i="1" s="1"/>
  <c r="AK283" i="1"/>
  <c r="AM283" i="1" s="1"/>
  <c r="AL283" i="1"/>
  <c r="AN283" i="1" s="1"/>
  <c r="AK284" i="1"/>
  <c r="AM284" i="1" s="1"/>
  <c r="AL284" i="1"/>
  <c r="AN284" i="1" s="1"/>
  <c r="AL285" i="1"/>
  <c r="AN285" i="1" s="1"/>
  <c r="AK285" i="1"/>
  <c r="AM285" i="1" s="1"/>
  <c r="AL286" i="1"/>
  <c r="AN286" i="1" s="1"/>
  <c r="AK286" i="1"/>
  <c r="AM286" i="1" s="1"/>
  <c r="AK290" i="1"/>
  <c r="AM290" i="1" s="1"/>
  <c r="AL290" i="1"/>
  <c r="AN290" i="1" s="1"/>
  <c r="AK291" i="1"/>
  <c r="AM291" i="1" s="1"/>
  <c r="AL291" i="1"/>
  <c r="AN291" i="1" s="1"/>
  <c r="AK292" i="1"/>
  <c r="AM292" i="1" s="1"/>
  <c r="AL292" i="1"/>
  <c r="AN292" i="1" s="1"/>
  <c r="AK282" i="1"/>
  <c r="AM282" i="1" s="1"/>
  <c r="AL282" i="1"/>
  <c r="AN282" i="1" s="1"/>
  <c r="Y76" i="1"/>
  <c r="D66" i="1"/>
  <c r="Y84" i="1"/>
  <c r="D81" i="1"/>
  <c r="N201" i="1"/>
  <c r="W201" i="1" s="1"/>
  <c r="X201" i="1" s="1"/>
  <c r="N116" i="1"/>
  <c r="W116" i="1" s="1"/>
  <c r="X116" i="1" s="1"/>
  <c r="AU170" i="1"/>
  <c r="N319" i="1"/>
  <c r="W319" i="1" s="1"/>
  <c r="W151" i="1"/>
  <c r="X151" i="1" s="1"/>
  <c r="AU173" i="1"/>
  <c r="N208" i="1"/>
  <c r="W208" i="1" s="1"/>
  <c r="X208" i="1" s="1"/>
  <c r="AY169" i="1"/>
  <c r="N118" i="1"/>
  <c r="W118" i="1" s="1"/>
  <c r="X118" i="1" s="1"/>
  <c r="N126" i="1"/>
  <c r="W126" i="1" s="1"/>
  <c r="X126" i="1" s="1"/>
  <c r="N200" i="1"/>
  <c r="W200" i="1" s="1"/>
  <c r="X200" i="1" s="1"/>
  <c r="X424" i="1"/>
  <c r="X428" i="1"/>
  <c r="X430" i="1"/>
  <c r="W421" i="1"/>
  <c r="N193" i="1"/>
  <c r="W193" i="1" s="1"/>
  <c r="X193" i="1" s="1"/>
  <c r="N318" i="1"/>
  <c r="W424" i="1"/>
  <c r="X426" i="1"/>
  <c r="W430" i="1"/>
  <c r="N104" i="1"/>
  <c r="N106" i="1"/>
  <c r="W106" i="1" s="1"/>
  <c r="X106" i="1" s="1"/>
  <c r="N107" i="1"/>
  <c r="W107" i="1" s="1"/>
  <c r="X107" i="1" s="1"/>
  <c r="N108" i="1"/>
  <c r="W108" i="1" s="1"/>
  <c r="X108" i="1" s="1"/>
  <c r="N109" i="1"/>
  <c r="W109" i="1" s="1"/>
  <c r="X109" i="1" s="1"/>
  <c r="N113" i="1"/>
  <c r="W113" i="1" s="1"/>
  <c r="X113" i="1" s="1"/>
  <c r="N125" i="1"/>
  <c r="W125" i="1" s="1"/>
  <c r="X125" i="1" s="1"/>
  <c r="N141" i="1"/>
  <c r="W141" i="1" s="1"/>
  <c r="X141" i="1" s="1"/>
  <c r="N148" i="1"/>
  <c r="W148" i="1" s="1"/>
  <c r="X148" i="1" s="1"/>
  <c r="V420" i="1"/>
  <c r="X420" i="1"/>
  <c r="X427" i="1"/>
  <c r="V429" i="1"/>
  <c r="X429" i="1"/>
  <c r="W153" i="1"/>
  <c r="X153" i="1" s="1"/>
  <c r="X425" i="1"/>
  <c r="W427" i="1"/>
  <c r="V431" i="1"/>
  <c r="X431" i="1"/>
  <c r="V426" i="1"/>
  <c r="V422" i="1"/>
  <c r="D271" i="1"/>
  <c r="D275" i="1"/>
  <c r="N150" i="1"/>
  <c r="AW171" i="1"/>
  <c r="AX171" i="1"/>
  <c r="N196" i="1"/>
  <c r="W196" i="1" s="1"/>
  <c r="X196" i="1" s="1"/>
  <c r="N206" i="1"/>
  <c r="W206" i="1" s="1"/>
  <c r="X206" i="1" s="1"/>
  <c r="N315" i="1"/>
  <c r="W315" i="1" s="1"/>
  <c r="N316" i="1"/>
  <c r="W422" i="1"/>
  <c r="N142" i="1"/>
  <c r="AW172" i="1"/>
  <c r="AX172" i="1"/>
  <c r="N204" i="1"/>
  <c r="W204" i="1" s="1"/>
  <c r="X204" i="1" s="1"/>
  <c r="W426" i="1"/>
  <c r="W431" i="1"/>
  <c r="C429" i="1"/>
  <c r="W155" i="1"/>
  <c r="X155" i="1" s="1"/>
  <c r="AX170" i="1"/>
  <c r="AW170" i="1"/>
  <c r="AW174" i="1"/>
  <c r="AX174" i="1"/>
  <c r="N202" i="1"/>
  <c r="W202" i="1" s="1"/>
  <c r="X202" i="1" s="1"/>
  <c r="V421" i="1"/>
  <c r="V423" i="1"/>
  <c r="V430" i="1"/>
  <c r="W425" i="1"/>
  <c r="V425" i="1"/>
  <c r="AX169" i="1"/>
  <c r="AW169" i="1"/>
  <c r="N114" i="1"/>
  <c r="W114" i="1" s="1"/>
  <c r="X114" i="1" s="1"/>
  <c r="N117" i="1"/>
  <c r="W117" i="1" s="1"/>
  <c r="X117" i="1" s="1"/>
  <c r="N123" i="1"/>
  <c r="W123" i="1" s="1"/>
  <c r="X123" i="1" s="1"/>
  <c r="N132" i="1"/>
  <c r="W132" i="1" s="1"/>
  <c r="X132" i="1" s="1"/>
  <c r="N135" i="1"/>
  <c r="W135" i="1" s="1"/>
  <c r="X135" i="1" s="1"/>
  <c r="AW173" i="1"/>
  <c r="AX173" i="1"/>
  <c r="N210" i="1"/>
  <c r="W210" i="1" s="1"/>
  <c r="X210" i="1" s="1"/>
  <c r="V424" i="1"/>
  <c r="V427" i="1"/>
  <c r="Y92" i="1"/>
  <c r="Z92" i="1" s="1"/>
  <c r="Y91" i="1"/>
  <c r="Z91" i="1" s="1"/>
  <c r="Y90" i="1"/>
  <c r="Z90" i="1" s="1"/>
  <c r="AB90" i="1" s="1"/>
  <c r="Y89" i="1"/>
  <c r="Z89" i="1" s="1"/>
  <c r="AB89" i="1" s="1"/>
  <c r="AY174" i="1"/>
  <c r="N209" i="1"/>
  <c r="W209" i="1" s="1"/>
  <c r="X209" i="1" s="1"/>
  <c r="N110" i="1"/>
  <c r="W110" i="1" s="1"/>
  <c r="X110" i="1" s="1"/>
  <c r="N120" i="1"/>
  <c r="W120" i="1" s="1"/>
  <c r="X120" i="1" s="1"/>
  <c r="AU171" i="1"/>
  <c r="AY171" i="1"/>
  <c r="N207" i="1"/>
  <c r="W207" i="1" s="1"/>
  <c r="X207" i="1" s="1"/>
  <c r="W429" i="1"/>
  <c r="N312" i="1"/>
  <c r="W312" i="1" s="1"/>
  <c r="N215" i="1"/>
  <c r="W215" i="1" s="1"/>
  <c r="X215" i="1" s="1"/>
  <c r="N129" i="1"/>
  <c r="W129" i="1" s="1"/>
  <c r="X129" i="1" s="1"/>
  <c r="N145" i="1"/>
  <c r="N199" i="1"/>
  <c r="W199" i="1" s="1"/>
  <c r="X199" i="1" s="1"/>
  <c r="W423" i="1"/>
  <c r="N139" i="1"/>
  <c r="W139" i="1" s="1"/>
  <c r="X139" i="1" s="1"/>
  <c r="AU172" i="1"/>
  <c r="N213" i="1"/>
  <c r="W213" i="1" s="1"/>
  <c r="X213" i="1" s="1"/>
  <c r="W428" i="1"/>
  <c r="V428" i="1"/>
  <c r="AH21" i="2"/>
  <c r="AJ21" i="2" s="1"/>
  <c r="AN21" i="2"/>
  <c r="AL21" i="2" s="1"/>
  <c r="BA19" i="2"/>
  <c r="N205" i="1"/>
  <c r="W205" i="1" s="1"/>
  <c r="X205" i="1" s="1"/>
  <c r="AH20" i="2"/>
  <c r="AJ20" i="2" s="1"/>
  <c r="N123" i="2"/>
  <c r="P123" i="2" s="1"/>
  <c r="N128" i="1"/>
  <c r="W128" i="1" s="1"/>
  <c r="X128" i="1" s="1"/>
  <c r="AN22" i="2"/>
  <c r="AH22" i="2"/>
  <c r="AJ22" i="2" s="1"/>
  <c r="N105" i="1"/>
  <c r="W105" i="1" s="1"/>
  <c r="X105" i="1" s="1"/>
  <c r="N195" i="1"/>
  <c r="W195" i="1" s="1"/>
  <c r="X195" i="1" s="1"/>
  <c r="N115" i="1"/>
  <c r="W115" i="1" s="1"/>
  <c r="X115" i="1" s="1"/>
  <c r="N121" i="1"/>
  <c r="W121" i="1" s="1"/>
  <c r="X121" i="1" s="1"/>
  <c r="N138" i="1"/>
  <c r="W138" i="1" s="1"/>
  <c r="X138" i="1" s="1"/>
  <c r="N211" i="1"/>
  <c r="W211" i="1" s="1"/>
  <c r="X211" i="1" s="1"/>
  <c r="N111" i="1"/>
  <c r="W111" i="1" s="1"/>
  <c r="X111" i="1" s="1"/>
  <c r="N122" i="1"/>
  <c r="W122" i="1" s="1"/>
  <c r="X122" i="1" s="1"/>
  <c r="N130" i="1"/>
  <c r="W130" i="1" s="1"/>
  <c r="X130" i="1" s="1"/>
  <c r="N131" i="1"/>
  <c r="W131" i="1" s="1"/>
  <c r="X131" i="1" s="1"/>
  <c r="N140" i="1"/>
  <c r="W140" i="1" s="1"/>
  <c r="X140" i="1" s="1"/>
  <c r="N146" i="1"/>
  <c r="N194" i="1"/>
  <c r="W194" i="1" s="1"/>
  <c r="X194" i="1" s="1"/>
  <c r="N198" i="1"/>
  <c r="W198" i="1" s="1"/>
  <c r="X198" i="1" s="1"/>
  <c r="N203" i="1"/>
  <c r="W203" i="1" s="1"/>
  <c r="X203" i="1" s="1"/>
  <c r="N317" i="1"/>
  <c r="W317" i="1" s="1"/>
  <c r="BA14" i="2"/>
  <c r="AL14" i="2" s="1"/>
  <c r="BA7" i="2"/>
  <c r="AL26" i="2"/>
  <c r="N112" i="1"/>
  <c r="W112" i="1" s="1"/>
  <c r="X112" i="1" s="1"/>
  <c r="N119" i="1"/>
  <c r="W119" i="1" s="1"/>
  <c r="X119" i="1" s="1"/>
  <c r="N127" i="1"/>
  <c r="W127" i="1" s="1"/>
  <c r="X127" i="1" s="1"/>
  <c r="N137" i="1"/>
  <c r="W137" i="1" s="1"/>
  <c r="X137" i="1" s="1"/>
  <c r="N144" i="1"/>
  <c r="W144" i="1" s="1"/>
  <c r="X144" i="1" s="1"/>
  <c r="N149" i="1"/>
  <c r="N192" i="1"/>
  <c r="W192" i="1" s="1"/>
  <c r="X192" i="1" s="1"/>
  <c r="N313" i="1"/>
  <c r="W313" i="1" s="1"/>
  <c r="AH23" i="2"/>
  <c r="AN23" i="2"/>
  <c r="N136" i="1"/>
  <c r="W136" i="1" s="1"/>
  <c r="X136" i="1" s="1"/>
  <c r="N314" i="1"/>
  <c r="W314" i="1" s="1"/>
  <c r="AH15" i="2"/>
  <c r="AJ15" i="2" s="1"/>
  <c r="AL15" i="2" s="1"/>
  <c r="AH16" i="2"/>
  <c r="AJ16" i="2" s="1"/>
  <c r="AL16" i="2" s="1"/>
  <c r="AN24" i="2"/>
  <c r="AH24" i="2"/>
  <c r="AJ24" i="2" s="1"/>
  <c r="AH19" i="2"/>
  <c r="H123" i="2"/>
  <c r="J123" i="2" s="1"/>
  <c r="AL25" i="2"/>
  <c r="AP25" i="2"/>
  <c r="N124" i="1"/>
  <c r="W124" i="1" s="1"/>
  <c r="X124" i="1" s="1"/>
  <c r="N133" i="1"/>
  <c r="W133" i="1" s="1"/>
  <c r="X133" i="1" s="1"/>
  <c r="N134" i="1"/>
  <c r="W134" i="1" s="1"/>
  <c r="X134" i="1" s="1"/>
  <c r="N147" i="1"/>
  <c r="N197" i="1"/>
  <c r="W197" i="1" s="1"/>
  <c r="X197" i="1" s="1"/>
  <c r="N212" i="1"/>
  <c r="W212" i="1" s="1"/>
  <c r="X212" i="1" s="1"/>
  <c r="N214" i="1"/>
  <c r="W214" i="1" s="1"/>
  <c r="X214" i="1" s="1"/>
  <c r="AN18" i="2"/>
  <c r="AP18" i="2" s="1"/>
  <c r="BA18" i="2"/>
  <c r="AH17" i="2"/>
  <c r="AH18" i="2"/>
  <c r="AJ18" i="2" s="1"/>
  <c r="AL18" i="2" s="1"/>
  <c r="AR18" i="2"/>
  <c r="AT18" i="2" s="1"/>
  <c r="K123" i="2"/>
  <c r="M123" i="2" s="1"/>
  <c r="AL20" i="2"/>
  <c r="Q74" i="1"/>
  <c r="D64" i="1" s="1"/>
  <c r="I74" i="1"/>
  <c r="D61" i="1" s="1"/>
  <c r="G74" i="1"/>
  <c r="BA73" i="1"/>
  <c r="AZ73" i="1"/>
  <c r="AY73" i="1"/>
  <c r="G73" i="1"/>
  <c r="BA72" i="1"/>
  <c r="AZ72" i="1"/>
  <c r="AY72" i="1"/>
  <c r="M72" i="1"/>
  <c r="G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L72" i="1" l="1"/>
  <c r="D52" i="1"/>
  <c r="X313" i="1"/>
  <c r="X314" i="1"/>
  <c r="X315" i="1"/>
  <c r="X317" i="1"/>
  <c r="X312" i="1"/>
  <c r="W318" i="1"/>
  <c r="X318" i="1" s="1"/>
  <c r="X319" i="1"/>
  <c r="Y74" i="1"/>
  <c r="W316" i="1"/>
  <c r="X316" i="1" s="1"/>
  <c r="AP23" i="2"/>
  <c r="AL24" i="2"/>
  <c r="AP24" i="2"/>
  <c r="AL22" i="2"/>
  <c r="AP22" i="2"/>
  <c r="AA68" i="1"/>
  <c r="BA67" i="1"/>
  <c r="AZ67" i="1"/>
  <c r="AY67" i="1"/>
  <c r="AA67" i="1"/>
  <c r="BA66" i="1"/>
  <c r="AZ66" i="1"/>
  <c r="AY66" i="1"/>
  <c r="BA65" i="1"/>
  <c r="AZ65" i="1"/>
  <c r="AY65" i="1"/>
  <c r="AA65" i="1"/>
  <c r="BA64" i="1"/>
  <c r="AZ64" i="1"/>
  <c r="AY64" i="1"/>
  <c r="AA64" i="1"/>
  <c r="BA63" i="1"/>
  <c r="AZ63" i="1"/>
  <c r="AY63" i="1"/>
  <c r="AA63" i="1"/>
  <c r="BA62" i="1"/>
  <c r="AZ62" i="1"/>
  <c r="AY62" i="1"/>
  <c r="AC62" i="1"/>
  <c r="AE62" i="1" s="1"/>
  <c r="AA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H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T42" i="1"/>
  <c r="BA41" i="1"/>
  <c r="AZ41" i="1"/>
  <c r="AY41" i="1"/>
  <c r="BA40" i="1"/>
  <c r="AZ40" i="1"/>
  <c r="AY40" i="1"/>
  <c r="N40" i="1"/>
  <c r="BA39" i="1"/>
  <c r="AZ39" i="1"/>
  <c r="AY39" i="1"/>
  <c r="BA38" i="1"/>
  <c r="AZ38" i="1"/>
  <c r="AY38" i="1"/>
  <c r="M38" i="1"/>
  <c r="D222" i="1"/>
  <c r="BA37" i="1"/>
  <c r="AZ37" i="1"/>
  <c r="AY37" i="1"/>
  <c r="BA36" i="1"/>
  <c r="AZ36" i="1"/>
  <c r="AY36" i="1"/>
  <c r="BA35" i="1"/>
  <c r="AZ35" i="1"/>
  <c r="AY35" i="1"/>
  <c r="D219" i="1"/>
  <c r="D221" i="1" s="1"/>
  <c r="BA34" i="1"/>
  <c r="AZ34" i="1"/>
  <c r="AY34" i="1"/>
  <c r="BA33" i="1"/>
  <c r="AZ33" i="1"/>
  <c r="AY33" i="1"/>
  <c r="T33" i="1"/>
  <c r="I33" i="1"/>
  <c r="BA32" i="1"/>
  <c r="AZ32" i="1"/>
  <c r="AY32" i="1"/>
  <c r="T32" i="1"/>
  <c r="Y32" i="1" s="1"/>
  <c r="I32" i="1"/>
  <c r="BA31" i="1"/>
  <c r="AZ31" i="1"/>
  <c r="AY31" i="1"/>
  <c r="T31" i="1"/>
  <c r="Y31" i="1" s="1"/>
  <c r="I31" i="1"/>
  <c r="BA30" i="1"/>
  <c r="AZ30" i="1"/>
  <c r="AY30" i="1"/>
  <c r="T30" i="1"/>
  <c r="I30" i="1"/>
  <c r="BA29" i="1"/>
  <c r="AZ29" i="1"/>
  <c r="AY29" i="1"/>
  <c r="T29" i="1"/>
  <c r="I29" i="1"/>
  <c r="BA28" i="1"/>
  <c r="AZ28" i="1"/>
  <c r="AY28" i="1"/>
  <c r="J72" i="1" l="1"/>
  <c r="D51" i="1"/>
  <c r="D224" i="1"/>
  <c r="N33" i="1"/>
  <c r="W33" i="1" s="1"/>
  <c r="Y33" i="1"/>
  <c r="AD62" i="1"/>
  <c r="N30" i="1"/>
  <c r="W30" i="1" s="1"/>
  <c r="Y30" i="1"/>
  <c r="N29" i="1"/>
  <c r="W29" i="1" s="1"/>
  <c r="N31" i="1"/>
  <c r="W31" i="1" s="1"/>
  <c r="N32" i="1"/>
  <c r="Y29" i="1"/>
  <c r="I72" i="1" l="1"/>
  <c r="D48" i="1" s="1"/>
  <c r="D49" i="1"/>
  <c r="X33" i="1"/>
  <c r="X29" i="1"/>
  <c r="X30" i="1"/>
  <c r="X31" i="1"/>
  <c r="X32" i="1"/>
  <c r="W32" i="1"/>
  <c r="AM28" i="1"/>
  <c r="T28" i="1"/>
  <c r="Y28" i="1" s="1"/>
  <c r="I28" i="1"/>
  <c r="BA27" i="1"/>
  <c r="AZ27" i="1"/>
  <c r="AY27" i="1"/>
  <c r="AM27" i="1"/>
  <c r="T27" i="1"/>
  <c r="I27" i="1"/>
  <c r="BA26" i="1"/>
  <c r="AZ26" i="1"/>
  <c r="AY26" i="1"/>
  <c r="N27" i="1" l="1"/>
  <c r="X27" i="1" s="1"/>
  <c r="Y27" i="1"/>
  <c r="N28" i="1"/>
  <c r="AM26" i="1"/>
  <c r="T26" i="1"/>
  <c r="I26" i="1"/>
  <c r="BA25" i="1"/>
  <c r="AZ25" i="1"/>
  <c r="AY25" i="1"/>
  <c r="W27" i="1" l="1"/>
  <c r="N26" i="1"/>
  <c r="W26" i="1" s="1"/>
  <c r="X28" i="1"/>
  <c r="W28" i="1"/>
  <c r="Y26" i="1"/>
  <c r="AM25" i="1"/>
  <c r="T25" i="1"/>
  <c r="I25" i="1"/>
  <c r="BA24" i="1"/>
  <c r="AZ24" i="1"/>
  <c r="AY24" i="1"/>
  <c r="AM24" i="1"/>
  <c r="T24" i="1"/>
  <c r="Y24" i="1" s="1"/>
  <c r="I24" i="1"/>
  <c r="BA23" i="1"/>
  <c r="AZ23" i="1"/>
  <c r="AY23" i="1"/>
  <c r="AM23" i="1"/>
  <c r="T23" i="1"/>
  <c r="I23" i="1"/>
  <c r="BA22" i="1"/>
  <c r="AZ22" i="1"/>
  <c r="AY22" i="1"/>
  <c r="AM22" i="1"/>
  <c r="T22" i="1"/>
  <c r="Y22" i="1" s="1"/>
  <c r="I22" i="1"/>
  <c r="BA21" i="1"/>
  <c r="AZ21" i="1"/>
  <c r="AY21" i="1"/>
  <c r="T21" i="1"/>
  <c r="I21" i="1"/>
  <c r="BA20" i="1"/>
  <c r="AZ20" i="1"/>
  <c r="AY20" i="1"/>
  <c r="T20" i="1"/>
  <c r="Y20" i="1" s="1"/>
  <c r="I20" i="1"/>
  <c r="BA19" i="1"/>
  <c r="AZ19" i="1"/>
  <c r="AY19" i="1"/>
  <c r="T19" i="1"/>
  <c r="I19" i="1"/>
  <c r="BA18" i="1"/>
  <c r="AZ18" i="1"/>
  <c r="AY18" i="1"/>
  <c r="T18" i="1"/>
  <c r="Y18" i="1" s="1"/>
  <c r="I18" i="1"/>
  <c r="BA17" i="1"/>
  <c r="AZ17" i="1"/>
  <c r="AY17" i="1"/>
  <c r="T17" i="1"/>
  <c r="I17" i="1"/>
  <c r="BA16" i="1"/>
  <c r="AZ16" i="1"/>
  <c r="AY16" i="1"/>
  <c r="T16" i="1"/>
  <c r="I16" i="1"/>
  <c r="BA15" i="1"/>
  <c r="AZ15" i="1"/>
  <c r="AY15" i="1"/>
  <c r="T15" i="1"/>
  <c r="Y15" i="1" s="1"/>
  <c r="I15" i="1"/>
  <c r="BA14" i="1"/>
  <c r="AZ14" i="1"/>
  <c r="AY14" i="1"/>
  <c r="X26" i="1" l="1"/>
  <c r="N25" i="1"/>
  <c r="X25" i="1" s="1"/>
  <c r="Y25" i="1"/>
  <c r="Y19" i="1"/>
  <c r="N18" i="1"/>
  <c r="X18" i="1" s="1"/>
  <c r="Y21" i="1"/>
  <c r="N24" i="1"/>
  <c r="N16" i="1"/>
  <c r="X16" i="1" s="1"/>
  <c r="N17" i="1"/>
  <c r="X17" i="1" s="1"/>
  <c r="N23" i="1"/>
  <c r="W23" i="1" s="1"/>
  <c r="Y16" i="1"/>
  <c r="N19" i="1"/>
  <c r="X19" i="1" s="1"/>
  <c r="N20" i="1"/>
  <c r="X20" i="1" s="1"/>
  <c r="N15" i="1"/>
  <c r="X15" i="1" s="1"/>
  <c r="N21" i="1"/>
  <c r="N22" i="1"/>
  <c r="Y17" i="1"/>
  <c r="Y23" i="1"/>
  <c r="T14" i="1"/>
  <c r="I14" i="1"/>
  <c r="BA13" i="1"/>
  <c r="AZ13" i="1"/>
  <c r="T13" i="1"/>
  <c r="I13" i="1"/>
  <c r="T12" i="1"/>
  <c r="I12" i="1"/>
  <c r="T11" i="1"/>
  <c r="Y11" i="1" s="1"/>
  <c r="I11" i="1"/>
  <c r="AP10" i="1"/>
  <c r="AO10" i="1"/>
  <c r="AN10" i="1"/>
  <c r="T10" i="1"/>
  <c r="Y10" i="1" s="1"/>
  <c r="I10" i="1"/>
  <c r="T9" i="1"/>
  <c r="I9" i="1"/>
  <c r="T8" i="1"/>
  <c r="I8" i="1"/>
  <c r="T7" i="1"/>
  <c r="I7" i="1"/>
  <c r="T6" i="1"/>
  <c r="Y6" i="1" s="1"/>
  <c r="I6" i="1"/>
  <c r="T5" i="1"/>
  <c r="I5" i="1"/>
  <c r="T4" i="1"/>
  <c r="I4" i="1"/>
  <c r="T3" i="1"/>
  <c r="I3" i="1"/>
  <c r="I50" i="10"/>
  <c r="J50" i="10"/>
  <c r="M50" i="10" s="1"/>
  <c r="I54" i="10"/>
  <c r="J54" i="10" s="1"/>
  <c r="I51" i="10"/>
  <c r="J51" i="10" s="1"/>
  <c r="M51" i="10" s="1"/>
  <c r="I52" i="10"/>
  <c r="J52" i="10" s="1"/>
  <c r="J53" i="10"/>
  <c r="K53" i="10" s="1"/>
  <c r="Y124" i="10"/>
  <c r="Z124" i="10" s="1"/>
  <c r="W20" i="1" l="1"/>
  <c r="W25" i="1"/>
  <c r="W18" i="1"/>
  <c r="W19" i="1"/>
  <c r="W16" i="1"/>
  <c r="N12" i="1"/>
  <c r="X12" i="1" s="1"/>
  <c r="N8" i="1"/>
  <c r="W8" i="1" s="1"/>
  <c r="N9" i="1"/>
  <c r="X9" i="1" s="1"/>
  <c r="Y9" i="1"/>
  <c r="N5" i="1"/>
  <c r="X24" i="1"/>
  <c r="W24" i="1"/>
  <c r="N4" i="1"/>
  <c r="X4" i="1" s="1"/>
  <c r="N14" i="1"/>
  <c r="X14" i="1" s="1"/>
  <c r="W17" i="1"/>
  <c r="Y12" i="1"/>
  <c r="N3" i="1"/>
  <c r="W3" i="1" s="1"/>
  <c r="Y3" i="1"/>
  <c r="X23" i="1"/>
  <c r="X22" i="1"/>
  <c r="W22" i="1"/>
  <c r="N13" i="1"/>
  <c r="W13" i="1" s="1"/>
  <c r="W21" i="1"/>
  <c r="X21" i="1"/>
  <c r="Y5" i="1"/>
  <c r="N7" i="1"/>
  <c r="W7" i="1" s="1"/>
  <c r="Y14" i="1"/>
  <c r="N6" i="1"/>
  <c r="Y8" i="1"/>
  <c r="N10" i="1"/>
  <c r="X10" i="1" s="1"/>
  <c r="Y4" i="1"/>
  <c r="N11" i="1"/>
  <c r="Y13" i="1"/>
  <c r="W15" i="1"/>
  <c r="Y7" i="1"/>
  <c r="M52" i="10"/>
  <c r="N52" i="10"/>
  <c r="K52" i="10"/>
  <c r="K54" i="10"/>
  <c r="M54" i="10"/>
  <c r="N54" i="10"/>
  <c r="AC124" i="10"/>
  <c r="AD124" i="10"/>
  <c r="AA124" i="10"/>
  <c r="N51" i="10"/>
  <c r="K50" i="10"/>
  <c r="M53" i="10"/>
  <c r="N53" i="10"/>
  <c r="K51" i="10"/>
  <c r="N50" i="10"/>
  <c r="X8" i="1" l="1"/>
  <c r="W12" i="1"/>
  <c r="W4" i="1"/>
  <c r="W9" i="1"/>
  <c r="X3" i="1"/>
  <c r="W10" i="1"/>
  <c r="W14" i="1"/>
  <c r="X7" i="1"/>
  <c r="X5" i="1"/>
  <c r="W5" i="1"/>
  <c r="X11" i="1"/>
  <c r="W11" i="1"/>
  <c r="W6" i="1"/>
  <c r="X6" i="1"/>
  <c r="X13" i="1"/>
  <c r="AN13" i="1" l="1"/>
  <c r="AO13" i="1"/>
  <c r="AP13" i="1"/>
  <c r="AN14" i="1"/>
  <c r="AO14" i="1"/>
  <c r="AP14" i="1"/>
  <c r="AN15" i="1"/>
  <c r="AO15" i="1"/>
  <c r="AP15" i="1"/>
  <c r="AO11" i="1"/>
  <c r="AP11" i="1"/>
  <c r="AN12" i="1"/>
  <c r="AO12" i="1"/>
  <c r="AP12" i="1"/>
  <c r="AN25" i="1"/>
  <c r="AO25" i="1"/>
  <c r="AN23" i="1"/>
  <c r="AO23" i="1"/>
  <c r="AN24" i="1"/>
  <c r="AO24" i="1"/>
  <c r="AN22" i="1"/>
  <c r="AO22" i="1"/>
  <c r="AP27" i="1"/>
  <c r="AQ27" i="1" s="1"/>
  <c r="AP26" i="1"/>
  <c r="AQ26" i="1" s="1"/>
  <c r="Z74" i="1"/>
  <c r="AI19" i="2"/>
  <c r="AJ19" i="2"/>
  <c r="AL19" i="2"/>
  <c r="T82" i="1"/>
  <c r="D77" i="1" s="1"/>
  <c r="U82" i="1"/>
  <c r="D78" i="1" s="1"/>
  <c r="N72" i="1"/>
  <c r="D53" i="1" s="1"/>
  <c r="O72" i="1"/>
  <c r="D54" i="1" s="1"/>
  <c r="P72" i="1"/>
  <c r="D55" i="1" s="1"/>
  <c r="Q72" i="1"/>
  <c r="D56" i="1" s="1"/>
  <c r="I73" i="1"/>
  <c r="D57" i="1" s="1"/>
  <c r="J73" i="1"/>
  <c r="D58" i="1" s="1"/>
  <c r="Q73" i="1"/>
  <c r="D60" i="1" s="1"/>
  <c r="R77" i="1"/>
  <c r="D67" i="1" s="1"/>
  <c r="S77" i="1"/>
  <c r="D68" i="1" s="1"/>
  <c r="T77" i="1"/>
  <c r="D69" i="1" s="1"/>
  <c r="U77" i="1"/>
  <c r="D70" i="1" s="1"/>
  <c r="AI7" i="2"/>
  <c r="AJ7" i="2"/>
  <c r="AL7" i="2"/>
  <c r="AA66" i="1"/>
  <c r="S81" i="1"/>
  <c r="D74" i="1" s="1"/>
  <c r="U81" i="1"/>
  <c r="D75" i="1" s="1"/>
  <c r="AI6" i="2"/>
  <c r="AJ6" i="2"/>
  <c r="AL6" i="2"/>
  <c r="AI23" i="2"/>
  <c r="AJ23" i="2"/>
  <c r="AL23" i="2"/>
  <c r="AP28" i="1"/>
  <c r="AQ28" i="1" s="1"/>
  <c r="W154" i="1"/>
  <c r="X154" i="1" s="1"/>
  <c r="AI4" i="2"/>
  <c r="AJ4" i="2"/>
  <c r="AL4" i="2"/>
  <c r="W152" i="1"/>
  <c r="X152" i="1" s="1"/>
  <c r="W149" i="1"/>
  <c r="X149" i="1" s="1"/>
  <c r="W147" i="1"/>
  <c r="X147" i="1" s="1"/>
  <c r="W104" i="1"/>
  <c r="X104" i="1" s="1"/>
  <c r="W146" i="1"/>
  <c r="X146" i="1" s="1"/>
  <c r="W142" i="1"/>
  <c r="X142" i="1" s="1"/>
  <c r="W145" i="1"/>
  <c r="X145" i="1" s="1"/>
  <c r="AJ3" i="2"/>
  <c r="AL3" i="2"/>
  <c r="W150" i="1"/>
  <c r="X150" i="1" s="1"/>
  <c r="Q71" i="1"/>
  <c r="P71" i="1"/>
  <c r="D46" i="1" s="1"/>
  <c r="W143" i="1"/>
  <c r="X143" i="1" s="1"/>
  <c r="S83" i="1"/>
  <c r="D79" i="1" s="1"/>
  <c r="U83" i="1"/>
  <c r="D80" i="1" s="1"/>
  <c r="AI8" i="2"/>
  <c r="AJ8" i="2"/>
  <c r="AL8" i="2"/>
  <c r="R78" i="1"/>
  <c r="R80" i="1"/>
  <c r="P75" i="1"/>
  <c r="Y79" i="1"/>
  <c r="AJ9" i="2"/>
  <c r="AL9" i="2"/>
  <c r="AI5" i="2"/>
  <c r="AJ5" i="2"/>
  <c r="AL5" i="2"/>
  <c r="AI10" i="2"/>
  <c r="AJ10" i="2"/>
  <c r="AL10" i="2"/>
  <c r="BB18" i="2"/>
  <c r="BC18" i="2"/>
  <c r="AO21" i="2"/>
  <c r="AQ21" i="2"/>
  <c r="AP21" i="2"/>
  <c r="BB19" i="2"/>
  <c r="BC19" i="2"/>
  <c r="AJ17" i="2"/>
  <c r="AL17" i="2"/>
  <c r="Q135" i="4"/>
  <c r="R135" i="4"/>
  <c r="T135" i="4"/>
  <c r="G59" i="10"/>
  <c r="G60" i="10"/>
  <c r="H59" i="10"/>
  <c r="AK23" i="2"/>
  <c r="Q147" i="4"/>
  <c r="R147" i="4"/>
  <c r="T147" i="4"/>
  <c r="U38" i="9"/>
  <c r="V38" i="9"/>
  <c r="X38" i="9"/>
  <c r="Q134" i="4"/>
  <c r="R134" i="4"/>
  <c r="T134" i="4"/>
  <c r="Q146" i="4"/>
  <c r="R146" i="4"/>
  <c r="Q87" i="7"/>
  <c r="T87" i="7"/>
  <c r="Q144" i="4"/>
  <c r="R144" i="4"/>
  <c r="Q145" i="4"/>
  <c r="R145" i="4"/>
  <c r="Q67" i="7"/>
  <c r="T67" i="7"/>
  <c r="Q71" i="7"/>
  <c r="T71" i="7"/>
  <c r="Q148" i="4"/>
  <c r="R148" i="4"/>
  <c r="H46" i="10"/>
  <c r="I46" i="10"/>
  <c r="J46" i="10"/>
  <c r="Q139" i="4"/>
  <c r="R139" i="4"/>
  <c r="Q133" i="4"/>
  <c r="R133" i="4"/>
  <c r="T133" i="4"/>
  <c r="Q59" i="7"/>
  <c r="T59" i="7"/>
  <c r="T148" i="4"/>
  <c r="T139" i="4"/>
  <c r="T146" i="4"/>
  <c r="I44" i="10"/>
  <c r="J44" i="10"/>
  <c r="T144" i="4"/>
  <c r="Q83" i="7"/>
  <c r="T83" i="7"/>
  <c r="T145" i="4"/>
  <c r="Q108" i="7"/>
  <c r="S108" i="7"/>
  <c r="Q110" i="7"/>
  <c r="S110" i="7"/>
  <c r="Q112" i="7"/>
  <c r="S112" i="7"/>
  <c r="Q114" i="7"/>
  <c r="S114" i="7"/>
  <c r="Q116" i="7"/>
  <c r="S116" i="7"/>
  <c r="Q118" i="7"/>
  <c r="S118" i="7"/>
  <c r="Q120" i="7"/>
  <c r="S120" i="7"/>
  <c r="Q122" i="7"/>
  <c r="S122" i="7"/>
  <c r="Q124" i="7"/>
  <c r="S124" i="7"/>
  <c r="Q126" i="7"/>
  <c r="S126" i="7"/>
  <c r="Q128" i="7"/>
  <c r="S128" i="7"/>
  <c r="Q130" i="7"/>
  <c r="S130" i="7"/>
  <c r="Q132" i="7"/>
  <c r="S132" i="7"/>
  <c r="Q134" i="7"/>
  <c r="S134" i="7"/>
  <c r="Q136" i="7"/>
  <c r="S136" i="7"/>
  <c r="Q107" i="7"/>
  <c r="S107" i="7"/>
  <c r="Q109" i="7"/>
  <c r="S109" i="7"/>
  <c r="Q111" i="7"/>
  <c r="S111" i="7"/>
  <c r="Q113" i="7"/>
  <c r="S113" i="7"/>
  <c r="Q115" i="7"/>
  <c r="S115" i="7"/>
  <c r="Q117" i="7"/>
  <c r="S117" i="7"/>
  <c r="Q119" i="7"/>
  <c r="S119" i="7"/>
  <c r="Q121" i="7"/>
  <c r="S121" i="7"/>
  <c r="Q123" i="7"/>
  <c r="S123" i="7"/>
  <c r="Q125" i="7"/>
  <c r="S125" i="7"/>
  <c r="Q127" i="7"/>
  <c r="S127" i="7"/>
  <c r="Q129" i="7"/>
  <c r="S129" i="7"/>
  <c r="Q131" i="7"/>
  <c r="S131" i="7"/>
  <c r="Q133" i="7"/>
  <c r="S133" i="7"/>
  <c r="Q135" i="7"/>
  <c r="S135" i="7"/>
  <c r="Q137" i="7"/>
  <c r="S137" i="7"/>
  <c r="J34" i="10"/>
  <c r="K34" i="10"/>
  <c r="M34" i="10"/>
  <c r="N34" i="10"/>
  <c r="J36" i="10"/>
  <c r="K36" i="10"/>
  <c r="M36" i="10"/>
  <c r="N36" i="10"/>
  <c r="M44" i="10"/>
  <c r="N44" i="10"/>
  <c r="K44" i="10"/>
  <c r="Y120" i="10"/>
  <c r="Z120" i="10"/>
  <c r="AC120" i="10"/>
  <c r="AD120" i="10"/>
  <c r="AA120" i="10"/>
  <c r="I35" i="10"/>
  <c r="J35" i="10"/>
  <c r="K35" i="10"/>
  <c r="M35" i="10"/>
  <c r="N35" i="10"/>
  <c r="Z123" i="10"/>
  <c r="AC123" i="10"/>
  <c r="AD123" i="10"/>
  <c r="AA123" i="10"/>
  <c r="J37" i="10"/>
  <c r="K37" i="10"/>
  <c r="M37" i="10"/>
  <c r="N37" i="10"/>
  <c r="N46" i="10"/>
  <c r="K46" i="10"/>
  <c r="M46" i="10"/>
  <c r="Z121" i="10"/>
  <c r="AD121" i="10"/>
  <c r="AA121" i="10"/>
  <c r="AC121" i="10"/>
  <c r="Z122" i="10"/>
  <c r="AA122" i="10"/>
  <c r="AC122" i="10"/>
  <c r="AD122" i="10"/>
  <c r="AQ11" i="1" l="1"/>
  <c r="AR11" i="1" s="1"/>
  <c r="Y75" i="1"/>
  <c r="D65" i="1"/>
  <c r="Y80" i="1"/>
  <c r="D73" i="1"/>
  <c r="Y78" i="1"/>
  <c r="D71" i="1"/>
  <c r="AQ24" i="1"/>
  <c r="AR24" i="1" s="1"/>
  <c r="AS24" i="1" s="1"/>
  <c r="AQ23" i="1"/>
  <c r="AR23" i="1" s="1"/>
  <c r="AT23" i="1" s="1"/>
  <c r="Y71" i="1"/>
  <c r="Z71" i="1" s="1"/>
  <c r="AB71" i="1" s="1"/>
  <c r="D47" i="1"/>
  <c r="Y82" i="1"/>
  <c r="Z82" i="1" s="1"/>
  <c r="AA82" i="1" s="1"/>
  <c r="AB68" i="1" s="1"/>
  <c r="AQ22" i="1"/>
  <c r="AR22" i="1" s="1"/>
  <c r="Y72" i="1"/>
  <c r="Z72" i="1" s="1"/>
  <c r="AA72" i="1" s="1"/>
  <c r="Y81" i="1"/>
  <c r="Z81" i="1" s="1"/>
  <c r="AA81" i="1" s="1"/>
  <c r="AB67" i="1" s="1"/>
  <c r="AQ15" i="1"/>
  <c r="AR15" i="1" s="1"/>
  <c r="Y77" i="1"/>
  <c r="Z77" i="1" s="1"/>
  <c r="AB77" i="1" s="1"/>
  <c r="Y73" i="1"/>
  <c r="Z73" i="1" s="1"/>
  <c r="AB73" i="1" s="1"/>
  <c r="Y83" i="1"/>
  <c r="Z83" i="1" s="1"/>
  <c r="AB83" i="1" s="1"/>
  <c r="AQ12" i="1"/>
  <c r="AR12" i="1" s="1"/>
  <c r="AS12" i="1" s="1"/>
  <c r="AQ14" i="1"/>
  <c r="AR14" i="1" s="1"/>
  <c r="AS14" i="1" s="1"/>
  <c r="AQ25" i="1"/>
  <c r="AR25" i="1" s="1"/>
  <c r="AQ13" i="1"/>
  <c r="AR13" i="1" s="1"/>
  <c r="AA76" i="1"/>
  <c r="AA75" i="1"/>
  <c r="AA79" i="1"/>
  <c r="AB65" i="1" s="1"/>
  <c r="AB74" i="1"/>
  <c r="AA74" i="1"/>
  <c r="AS23" i="1" l="1"/>
  <c r="AA73" i="1"/>
  <c r="AB82" i="1"/>
  <c r="AC68" i="1" s="1"/>
  <c r="AD68" i="1" s="1"/>
  <c r="AT24" i="1"/>
  <c r="AT14" i="1"/>
  <c r="AB72" i="1"/>
  <c r="AB78" i="1"/>
  <c r="AC64" i="1" s="1"/>
  <c r="AB75" i="1"/>
  <c r="AB88" i="1"/>
  <c r="AB86" i="1"/>
  <c r="AB76" i="1"/>
  <c r="AB84" i="1"/>
  <c r="AB85" i="1"/>
  <c r="AB79" i="1"/>
  <c r="AC65" i="1" s="1"/>
  <c r="AE65" i="1" s="1"/>
  <c r="AB87" i="1"/>
  <c r="AB80" i="1"/>
  <c r="AC66" i="1" s="1"/>
  <c r="AB81" i="1"/>
  <c r="AC67" i="1" s="1"/>
  <c r="AT12" i="1"/>
  <c r="AA71" i="1"/>
  <c r="AA83" i="1"/>
  <c r="AA77" i="1"/>
  <c r="AB63" i="1" s="1"/>
  <c r="AC63" i="1"/>
  <c r="AT22" i="1"/>
  <c r="AS22" i="1"/>
  <c r="AB62" i="1"/>
  <c r="AT25" i="1"/>
  <c r="AR26" i="1"/>
  <c r="AT26" i="1" s="1"/>
  <c r="AS25" i="1"/>
  <c r="AT15" i="1"/>
  <c r="AS15" i="1"/>
  <c r="AR16" i="1"/>
  <c r="AS16" i="1" s="1"/>
  <c r="AS13" i="1"/>
  <c r="AT13" i="1"/>
  <c r="AS11" i="1"/>
  <c r="AT11" i="1"/>
  <c r="AA85" i="1"/>
  <c r="AA78" i="1"/>
  <c r="AB64" i="1" s="1"/>
  <c r="AA80" i="1"/>
  <c r="AB66" i="1" s="1"/>
  <c r="AA86" i="1"/>
  <c r="AA90" i="1"/>
  <c r="AB91" i="1"/>
  <c r="AA91" i="1"/>
  <c r="AC82" i="1"/>
  <c r="AC80" i="1"/>
  <c r="AC81" i="1"/>
  <c r="AC71" i="1"/>
  <c r="AC84" i="1"/>
  <c r="AC72" i="1"/>
  <c r="AC78" i="1"/>
  <c r="AC83" i="1"/>
  <c r="AC77" i="1"/>
  <c r="AC76" i="1"/>
  <c r="AC75" i="1"/>
  <c r="AC74" i="1"/>
  <c r="AC79" i="1"/>
  <c r="AC73" i="1"/>
  <c r="AB92" i="1"/>
  <c r="AA92" i="1"/>
  <c r="AA89" i="1"/>
  <c r="AA84" i="1"/>
  <c r="AA87" i="1"/>
  <c r="AA88" i="1"/>
  <c r="AE68" i="1" l="1"/>
  <c r="AD65" i="1"/>
  <c r="AD67" i="1"/>
  <c r="AE67" i="1"/>
  <c r="AS26" i="1"/>
  <c r="AR27" i="1"/>
  <c r="AS27" i="1" s="1"/>
  <c r="AE63" i="1"/>
  <c r="AD63" i="1"/>
  <c r="AE64" i="1"/>
  <c r="AD64" i="1"/>
  <c r="AD66" i="1"/>
  <c r="AE66" i="1"/>
  <c r="AR28" i="1" l="1"/>
  <c r="AS28" i="1" s="1"/>
  <c r="AT27" i="1"/>
  <c r="AT28" i="1" l="1"/>
</calcChain>
</file>

<file path=xl/connections.xml><?xml version="1.0" encoding="utf-8"?>
<connections xmlns="http://schemas.openxmlformats.org/spreadsheetml/2006/main">
  <connection id="1" name="data" type="6" refreshedVersion="3" background="1">
    <textPr codePage="850" sourceFile="C:\Users\mads\Desktop\data.txt" delimited="0">
      <textFields count="3">
        <textField/>
        <textField position="1"/>
        <textField position="23"/>
      </textFields>
    </textPr>
  </connection>
  <connection id="2" name="S" type="6" refreshedVersion="3" background="1" saveData="1">
    <textPr codePage="850" sourceFile="C:\Users\mads\Desktop\Chemzyme project\computationel\cat\Bols\new project\B3LYP\HO2\B3LYP\H2O2_2H2O_DECOMPOSITION\Reaction with M\UM05_6311+GDP\scan\S.txt" delimited="0">
      <textFields count="3">
        <textField/>
        <textField position="1"/>
        <textField position="23"/>
      </textFields>
    </textPr>
  </connection>
  <connection id="3" name="S1" type="6" refreshedVersion="3" background="1">
    <textPr codePage="850" sourceFile="C:\Users\mads\Desktop\Chemzyme project\computationel\cat\Bols\new project\B3LYP\HO2\B3LYP\H2O2_2H2O_DECOMPOSITION\Reaction with M\UM05_6311+GDP\scan\S.txt" delimited="0">
      <textFields count="3">
        <textField/>
        <textField position="1"/>
        <textField position="23"/>
      </textFields>
    </textPr>
  </connection>
  <connection id="4" name="S2" type="6" refreshedVersion="3" background="1" saveData="1">
    <textPr codePage="850" sourceFile="C:\Users\mads\Desktop\Chemzyme project\computationel\cat\Bols\new project\B3LYP\HO2\B3LYP\H2O2_2H2O_DECOMPOSITION\Reaction with M\M05_631+GDP\scan\S.txt" delimited="0">
      <textFields count="3">
        <textField/>
        <textField position="1"/>
        <textField position="23"/>
      </textFields>
    </textPr>
  </connection>
  <connection id="5" name="S3" type="6" refreshedVersion="3" background="1" saveData="1">
    <textPr codePage="850" sourceFile="C:\Users\mads\Desktop\Chemzyme project\computationel\cat\Bols\new project\B3LYP\HO2\B3LYP\H2O2_2H2O_DECOMPOSITION\Reaction with M\M05_631+GDP\scan\S.txt" delimited="0">
      <textFields count="3">
        <textField/>
        <textField position="1"/>
        <textField position="23"/>
      </textFields>
    </textPr>
  </connection>
  <connection id="6" name="S4" type="6" refreshedVersion="3" background="1">
    <textPr codePage="850" sourceFile="C:\Users\mads\Desktop\Chemzyme project\computationel\cat\Bols\new project\B3LYP\HO2\B3LYP\H2O2_2H2O_DECOMPOSITION\Reaction with M\M05_631+GDP\scan\S.txt" delimited="0">
      <textFields count="3">
        <textField/>
        <textField position="1"/>
        <textField position="23"/>
      </textFields>
    </textPr>
  </connection>
  <connection id="7" name="S5" type="6" refreshedVersion="3" background="1" saveData="1">
    <textPr codePage="850" sourceFile="C:\Users\mads\Desktop\Chemzyme project\computationel\cat\Bols\new project\B3LYP\HO2\B3LYP\H2O2_2H2O_DECOMPOSITION\Reaction with M\M05_MG3S\scan\S.txt" delimited="0">
      <textFields count="3">
        <textField/>
        <textField position="1"/>
        <textField position="23"/>
      </textFields>
    </textPr>
  </connection>
  <connection id="8" name="S6" type="6" refreshedVersion="3" background="1" saveData="1">
    <textPr codePage="850" sourceFile="C:\Users\mads\Desktop\Chemzyme project\computationel\cat\Bols\new project\B3LYP\HO2\B3LYP\H2O2_2H2O_DECOMPOSITION\Reaction with M\B3LYP_MG3S\scan\S.txt" delimited="0">
      <textFields count="3">
        <textField/>
        <textField position="1"/>
        <textField position="23"/>
      </textFields>
    </textPr>
  </connection>
  <connection id="9" name="S7" type="6" refreshedVersion="3" background="1" saveData="1">
    <textPr codePage="850" sourceFile="C:\Users\mads\Desktop\Chemzyme project\computationel\cat\Bols\new project\B3LYP\HO2\B3LYP\H2O2_2H2O_DECOMPOSITION\Reaction with M\B3LYP CBSB7\scan\S.txt" delimited="0">
      <textFields count="3">
        <textField/>
        <textField position="1"/>
        <textField position="23"/>
      </textFields>
    </textPr>
  </connection>
  <connection id="10" name="T" type="6" refreshedVersion="3" background="1" saveData="1">
    <textPr codePage="850" sourceFile="C:\Users\mads\Desktop\Chemzyme project\computationel\cat\Bols\new project\B3LYP\HO2\B3LYP\H2O2_2H2O_DECOMPOSITION\Reaction with M\UM05_6311+GDP\scan\T.txt" delimited="0">
      <textFields count="3">
        <textField/>
        <textField position="1"/>
        <textField position="23"/>
      </textFields>
    </textPr>
  </connection>
  <connection id="11" name="T1" type="6" refreshedVersion="3" background="1" saveData="1">
    <textPr codePage="850" sourceFile="C:\Users\mads\Desktop\Chemzyme project\computationel\cat\Bols\new project\B3LYP\HO2\B3LYP\H2O2_2H2O_DECOMPOSITION\Reaction with M\UM05_6311+GDP\scan\T.txt" delimited="0">
      <textFields count="3">
        <textField/>
        <textField position="1"/>
        <textField position="23"/>
      </textFields>
    </textPr>
  </connection>
  <connection id="12" name="T2" type="6" refreshedVersion="3" background="1" saveData="1">
    <textPr codePage="850" sourceFile="C:\Users\mads\Desktop\Chemzyme project\computationel\cat\Bols\new project\B3LYP\HO2\B3LYP\H2O2_2H2O_DECOMPOSITION\Reaction with M\UM05_6311+GDP\scan\T.txt" delimited="0">
      <textFields count="3">
        <textField/>
        <textField position="1"/>
        <textField position="23"/>
      </textFields>
    </textPr>
  </connection>
  <connection id="13" name="T3" type="6" refreshedVersion="3" background="1" saveData="1">
    <textPr codePage="850" sourceFile="C:\Users\mads\Desktop\Chemzyme project\computationel\cat\Bols\new project\B3LYP\HO2\B3LYP\H2O2_2H2O_DECOMPOSITION\Reaction with M\M05_631+GDP\scan\T.txt" delimited="0">
      <textFields count="3">
        <textField/>
        <textField position="1"/>
        <textField position="23"/>
      </textFields>
    </textPr>
  </connection>
  <connection id="14" name="T4" type="6" refreshedVersion="3" background="1" saveData="1">
    <textPr codePage="850" sourceFile="C:\Users\mads\Desktop\Chemzyme project\computationel\cat\Bols\new project\B3LYP\HO2\B3LYP\H2O2_2H2O_DECOMPOSITION\Reaction with M\M05_MG3S\scan\T.txt" delimited="0">
      <textFields count="3">
        <textField/>
        <textField position="1"/>
        <textField position="23"/>
      </textFields>
    </textPr>
  </connection>
  <connection id="15" name="T5" type="6" refreshedVersion="3" background="1" saveData="1">
    <textPr codePage="850" sourceFile="C:\Users\mads\Desktop\Chemzyme project\computationel\cat\Bols\new project\B3LYP\HO2\B3LYP\H2O2_2H2O_DECOMPOSITION\Reaction with M\B3LYP_MG3S\scan\T.txt" delimited="0">
      <textFields count="3">
        <textField/>
        <textField position="1"/>
        <textField position="23"/>
      </textFields>
    </textPr>
  </connection>
  <connection id="16" name="T6" type="6" refreshedVersion="3" background="1" saveData="1">
    <textPr codePage="850" sourceFile="C:\Users\mads\Desktop\Chemzyme project\computationel\cat\Bols\new project\B3LYP\HO2\B3LYP\H2O2_2H2O_DECOMPOSITION\Reaction with M\B3LYP CBSB7\scan\T.txt" delimited="0">
      <textFields count="3">
        <textField/>
        <textField position="1"/>
        <textField position="23"/>
      </textFields>
    </textPr>
  </connection>
</connections>
</file>

<file path=xl/sharedStrings.xml><?xml version="1.0" encoding="utf-8"?>
<sst xmlns="http://schemas.openxmlformats.org/spreadsheetml/2006/main" count="3870" uniqueCount="1140">
  <si>
    <t>[BnOH] mM</t>
  </si>
  <si>
    <t>[H2O2] mM</t>
  </si>
  <si>
    <t>pH</t>
  </si>
  <si>
    <t>BnOH_uncat_001</t>
  </si>
  <si>
    <t>data file</t>
  </si>
  <si>
    <t>BnOH_uncat_002</t>
  </si>
  <si>
    <t>BnOH_uncat_003</t>
  </si>
  <si>
    <t>data69</t>
  </si>
  <si>
    <t>data70</t>
  </si>
  <si>
    <t>data67</t>
  </si>
  <si>
    <t>data65</t>
  </si>
  <si>
    <t>r [Abs/s]</t>
  </si>
  <si>
    <t xml:space="preserve">e [Abs/mM] </t>
  </si>
  <si>
    <t>r [mM/s]</t>
  </si>
  <si>
    <t>mean</t>
  </si>
  <si>
    <t>s</t>
  </si>
  <si>
    <t>a</t>
  </si>
  <si>
    <t>b</t>
  </si>
  <si>
    <t>a/b [Abs/s]</t>
  </si>
  <si>
    <t>MeOBnOH</t>
  </si>
  <si>
    <t>data23</t>
  </si>
  <si>
    <t>[MeOBnOH] mM</t>
  </si>
  <si>
    <t>data24</t>
  </si>
  <si>
    <t>data25</t>
  </si>
  <si>
    <t>data26</t>
  </si>
  <si>
    <t>data27</t>
  </si>
  <si>
    <t>data28</t>
  </si>
  <si>
    <t>data29</t>
  </si>
  <si>
    <t>data30</t>
  </si>
  <si>
    <t>data39</t>
  </si>
  <si>
    <t>data38</t>
  </si>
  <si>
    <t>data40</t>
  </si>
  <si>
    <t xml:space="preserve">data file </t>
  </si>
  <si>
    <t>data32</t>
  </si>
  <si>
    <t>[Enz] mM</t>
  </si>
  <si>
    <t>temp. C</t>
  </si>
  <si>
    <t>data19</t>
  </si>
  <si>
    <t>data18</t>
  </si>
  <si>
    <t>data17</t>
  </si>
  <si>
    <t>data16</t>
  </si>
  <si>
    <t>data15</t>
  </si>
  <si>
    <t>data14</t>
  </si>
  <si>
    <t>Vmax</t>
  </si>
  <si>
    <t>Km</t>
  </si>
  <si>
    <t>Vmax/Km</t>
  </si>
  <si>
    <t>[Enz] M</t>
  </si>
  <si>
    <t>T</t>
  </si>
  <si>
    <t>1/T</t>
  </si>
  <si>
    <t>ln(Vmax)</t>
  </si>
  <si>
    <t>data34</t>
  </si>
  <si>
    <t>data41</t>
  </si>
  <si>
    <t>data42</t>
  </si>
  <si>
    <t>data46</t>
  </si>
  <si>
    <t>data47</t>
  </si>
  <si>
    <t>data48</t>
  </si>
  <si>
    <t>data49</t>
  </si>
  <si>
    <t>data43</t>
  </si>
  <si>
    <t>data45</t>
  </si>
  <si>
    <t>data44</t>
  </si>
  <si>
    <t>data2</t>
  </si>
  <si>
    <t>data4</t>
  </si>
  <si>
    <t>data7</t>
  </si>
  <si>
    <t>data8</t>
  </si>
  <si>
    <t>data9</t>
  </si>
  <si>
    <t>data11</t>
  </si>
  <si>
    <t>data10</t>
  </si>
  <si>
    <t>data22</t>
  </si>
  <si>
    <t>data20</t>
  </si>
  <si>
    <t>data21</t>
  </si>
  <si>
    <t>data12</t>
  </si>
  <si>
    <t>sub</t>
  </si>
  <si>
    <t>r/([Enz]) [1/s*M]</t>
  </si>
  <si>
    <t>ln(Km/T)</t>
  </si>
  <si>
    <t>BnOH</t>
  </si>
  <si>
    <t>4-Methoxybenzyl alcohol</t>
  </si>
  <si>
    <t>MM fit</t>
  </si>
  <si>
    <t>bad</t>
  </si>
  <si>
    <t>data31</t>
  </si>
  <si>
    <t xml:space="preserve"> </t>
  </si>
  <si>
    <t>I M</t>
  </si>
  <si>
    <t>Buf</t>
  </si>
  <si>
    <t>Phos</t>
  </si>
  <si>
    <t>[Buf] M</t>
  </si>
  <si>
    <t>Boric</t>
  </si>
  <si>
    <t>Boric acid  pKa</t>
  </si>
  <si>
    <t>NaH2PO4 pKa</t>
  </si>
  <si>
    <t>Lin. Fit</t>
  </si>
  <si>
    <t>Nonlin. Fit</t>
  </si>
  <si>
    <t>[Na]2 M</t>
  </si>
  <si>
    <t>[Na]0 M</t>
  </si>
  <si>
    <t>Vmax (1/s)</t>
  </si>
  <si>
    <t>Km M</t>
  </si>
  <si>
    <t>T [C]</t>
  </si>
  <si>
    <t>Temp K</t>
  </si>
  <si>
    <t>activity of z=-1</t>
  </si>
  <si>
    <t>r/([H2O2]*a) [1/s]</t>
  </si>
  <si>
    <t>sum</t>
  </si>
  <si>
    <t>sub ph 7</t>
  </si>
  <si>
    <t>95 conf</t>
  </si>
  <si>
    <t>r/a [mM/s]</t>
  </si>
  <si>
    <t>95% conf.</t>
  </si>
  <si>
    <t>Lin. fit</t>
  </si>
  <si>
    <t>r/([Enz]*[H2O2]*a) [1/s*M]</t>
  </si>
  <si>
    <t>r/([Enz]*a) [1/s]</t>
  </si>
  <si>
    <t>288.15 K</t>
  </si>
  <si>
    <t>293.15 K</t>
  </si>
  <si>
    <t>298.15 K</t>
  </si>
  <si>
    <t>303.15 K</t>
  </si>
  <si>
    <t>308.15 K</t>
  </si>
  <si>
    <t>313.15 K</t>
  </si>
  <si>
    <t>r/(a*[Enz]) [1/s]</t>
  </si>
  <si>
    <t>Mean</t>
  </si>
  <si>
    <t>kcat</t>
  </si>
  <si>
    <t>data127</t>
  </si>
  <si>
    <t>data129</t>
  </si>
  <si>
    <t>pyrophosphate</t>
  </si>
  <si>
    <t>data59</t>
  </si>
  <si>
    <t>data60</t>
  </si>
  <si>
    <t>data66</t>
  </si>
  <si>
    <t>data61</t>
  </si>
  <si>
    <t>data62</t>
  </si>
  <si>
    <t>data55</t>
  </si>
  <si>
    <t>data68</t>
  </si>
  <si>
    <t>data52</t>
  </si>
  <si>
    <t>(0.06856, 0.2427)</t>
  </si>
  <si>
    <t>(8.694e-005, 0.0001081)</t>
  </si>
  <si>
    <t>data71</t>
  </si>
  <si>
    <t>data73</t>
  </si>
  <si>
    <t>data74</t>
  </si>
  <si>
    <t>data82</t>
  </si>
  <si>
    <t>data83</t>
  </si>
  <si>
    <t>data51</t>
  </si>
  <si>
    <t>data50</t>
  </si>
  <si>
    <t>r/([Na]*[Enz]) [1/s*M]</t>
  </si>
  <si>
    <t>Hartree (J/particle)</t>
  </si>
  <si>
    <t>Na (1/mol)</t>
  </si>
  <si>
    <t>joul/cal</t>
  </si>
  <si>
    <t>Skodje-Thruhlar approx. for exoergic reactions</t>
  </si>
  <si>
    <t>v [1/cm]</t>
  </si>
  <si>
    <t>∆(V#+zpve) [kJ/mol]</t>
  </si>
  <si>
    <t>T [K]</t>
  </si>
  <si>
    <t>h [J*s]</t>
  </si>
  <si>
    <t>kb [J/K]</t>
  </si>
  <si>
    <t>Pi</t>
  </si>
  <si>
    <t>R [J/mol*K]</t>
  </si>
  <si>
    <t>Na [1/mol]</t>
  </si>
  <si>
    <t>k(T) a&gt;b</t>
  </si>
  <si>
    <t>k(T) a&lt;b</t>
  </si>
  <si>
    <t>k(T)</t>
  </si>
  <si>
    <t>M05/B2</t>
  </si>
  <si>
    <t>M05/B3</t>
  </si>
  <si>
    <t>M05/B1 BONDI</t>
  </si>
  <si>
    <t>h(bar) [J*s]</t>
  </si>
  <si>
    <t>c [cm/s]</t>
  </si>
  <si>
    <t>a=(2*pi/h*v*c) [1/J]</t>
  </si>
  <si>
    <t>b=(1/(kb*T)) [1/J]</t>
  </si>
  <si>
    <t>RTln(k(T)) a&gt;b [kCal/mol]</t>
  </si>
  <si>
    <t>RTln(k(T)) a&lt;b  [kCal/mol]</t>
  </si>
  <si>
    <t>Wigner approx. Condition: h*v&lt;&lt;kb*T</t>
  </si>
  <si>
    <t>(kb*T)/(h*v*c)</t>
  </si>
  <si>
    <r>
      <t xml:space="preserve"> (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)</t>
    </r>
  </si>
  <si>
    <r>
      <t>RTln(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) kCal/mol</t>
    </r>
  </si>
  <si>
    <t>H2O2</t>
  </si>
  <si>
    <t>HO2Na</t>
  </si>
  <si>
    <t>TS1(NA)_BnOH_RC</t>
  </si>
  <si>
    <t>TS1(NA)_BnOH_TS</t>
  </si>
  <si>
    <t>TS1(NA)_MeOBnOH_RC</t>
  </si>
  <si>
    <t>TS1(NA)_MeOBnOH_TS</t>
  </si>
  <si>
    <t>TS-RC</t>
  </si>
  <si>
    <t>M05</t>
  </si>
  <si>
    <t>B3+UAKS</t>
  </si>
  <si>
    <t>B3+Bondi</t>
  </si>
  <si>
    <t>B3+Pauling</t>
  </si>
  <si>
    <t>RC-(A+B) [M]</t>
  </si>
  <si>
    <t>M052X/B1</t>
  </si>
  <si>
    <t>M052X/B2</t>
  </si>
  <si>
    <t>M052X/B1 UAKS</t>
  </si>
  <si>
    <t>M052X/B1 BONDI</t>
  </si>
  <si>
    <t>M052X/B1 PAULING</t>
  </si>
  <si>
    <r>
      <rPr>
        <b/>
        <sz val="11"/>
        <color theme="1"/>
        <rFont val="Calibri"/>
        <family val="2"/>
        <scheme val="minor"/>
      </rPr>
      <t xml:space="preserve">M052X/B1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</si>
  <si>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>M052X/B1</t>
    </r>
    <r>
      <rPr>
        <sz val="11"/>
        <color theme="1"/>
        <rFont val="Calibri"/>
        <family val="2"/>
        <scheme val="minor"/>
      </rPr>
      <t xml:space="preserve"> ZPVE(corr) </t>
    </r>
  </si>
  <si>
    <r>
      <rPr>
        <b/>
        <sz val="11"/>
        <color theme="1"/>
        <rFont val="Calibri"/>
        <family val="2"/>
        <scheme val="minor"/>
      </rPr>
      <t xml:space="preserve">M052X/B1 </t>
    </r>
    <r>
      <rPr>
        <sz val="11"/>
        <color theme="1"/>
        <rFont val="Calibri"/>
        <family val="2"/>
        <scheme val="minor"/>
      </rPr>
      <t xml:space="preserve">H(corr) </t>
    </r>
  </si>
  <si>
    <r>
      <rPr>
        <b/>
        <sz val="11"/>
        <color theme="1"/>
        <rFont val="Calibri"/>
        <family val="2"/>
        <scheme val="minor"/>
      </rPr>
      <t>M052X/B1</t>
    </r>
    <r>
      <rPr>
        <sz val="11"/>
        <color theme="1"/>
        <rFont val="Calibri"/>
        <family val="2"/>
        <scheme val="minor"/>
      </rPr>
      <t xml:space="preserve"> G(corr) </t>
    </r>
  </si>
  <si>
    <r>
      <rPr>
        <b/>
        <sz val="11"/>
        <color theme="1"/>
        <rFont val="Calibri"/>
        <family val="2"/>
        <scheme val="minor"/>
      </rPr>
      <t>M052X/B1</t>
    </r>
    <r>
      <rPr>
        <sz val="11"/>
        <color theme="1"/>
        <rFont val="Calibri"/>
        <family val="2"/>
        <scheme val="minor"/>
      </rPr>
      <t xml:space="preserve"> -TS(corr) </t>
    </r>
  </si>
  <si>
    <r>
      <rPr>
        <b/>
        <sz val="11"/>
        <color theme="1"/>
        <rFont val="Calibri"/>
        <family val="2"/>
        <scheme val="minor"/>
      </rPr>
      <t xml:space="preserve">M052X/B1 </t>
    </r>
    <r>
      <rPr>
        <sz val="11"/>
        <color theme="1"/>
        <rFont val="Calibri"/>
        <family val="2"/>
        <scheme val="minor"/>
      </rPr>
      <t xml:space="preserve">Ee+ZPVE (kCal/mol) </t>
    </r>
  </si>
  <si>
    <r>
      <rPr>
        <b/>
        <sz val="11"/>
        <color theme="1"/>
        <rFont val="Calibri"/>
        <family val="2"/>
        <scheme val="minor"/>
      </rPr>
      <t>M052X/B2</t>
    </r>
    <r>
      <rPr>
        <sz val="11"/>
        <color theme="1"/>
        <rFont val="Calibri"/>
        <family val="2"/>
        <scheme val="minor"/>
      </rPr>
      <t>Ee+ZPVE (kCal/mol)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</si>
  <si>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 xml:space="preserve">Ee+ZPVE (kCal/mol)   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</si>
  <si>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 xml:space="preserve">H (kCal/mol)   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</si>
  <si>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 xml:space="preserve">G (kCal/mol) 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</si>
  <si>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>G+UAKS (kCal/mol)</t>
    </r>
  </si>
  <si>
    <r>
      <t xml:space="preserve">M052X/B3 </t>
    </r>
    <r>
      <rPr>
        <sz val="11"/>
        <color theme="1"/>
        <rFont val="Calibri"/>
        <family val="2"/>
        <scheme val="minor"/>
      </rPr>
      <t>G+Bondi (kCal/mol)</t>
    </r>
  </si>
  <si>
    <r>
      <t>M052X/B3</t>
    </r>
    <r>
      <rPr>
        <sz val="11"/>
        <color theme="1"/>
        <rFont val="Calibri"/>
        <family val="2"/>
        <scheme val="minor"/>
      </rPr>
      <t xml:space="preserve"> G+Pauling (kCal/mol)</t>
    </r>
  </si>
  <si>
    <t>M052X</t>
  </si>
  <si>
    <t>B3LYP/B1</t>
  </si>
  <si>
    <t>B3LYP/B2</t>
  </si>
  <si>
    <t>B3LYP/B3</t>
  </si>
  <si>
    <t>B3LYP/B1 UAKS</t>
  </si>
  <si>
    <t>B3LYP/B1 BONDI</t>
  </si>
  <si>
    <t>B3LYP/B1 PAULING</t>
  </si>
  <si>
    <r>
      <rPr>
        <b/>
        <sz val="11"/>
        <color theme="1"/>
        <rFont val="Calibri"/>
        <family val="2"/>
        <scheme val="minor"/>
      </rPr>
      <t xml:space="preserve">B3LYP/B1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</si>
  <si>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>B3LYP/B1</t>
    </r>
    <r>
      <rPr>
        <sz val="11"/>
        <color theme="1"/>
        <rFont val="Calibri"/>
        <family val="2"/>
        <scheme val="minor"/>
      </rPr>
      <t xml:space="preserve"> ZPVE(corr) </t>
    </r>
  </si>
  <si>
    <r>
      <rPr>
        <b/>
        <sz val="11"/>
        <color theme="1"/>
        <rFont val="Calibri"/>
        <family val="2"/>
        <scheme val="minor"/>
      </rPr>
      <t xml:space="preserve">B3LYP/B1 </t>
    </r>
    <r>
      <rPr>
        <sz val="11"/>
        <color theme="1"/>
        <rFont val="Calibri"/>
        <family val="2"/>
        <scheme val="minor"/>
      </rPr>
      <t xml:space="preserve">H(corr) </t>
    </r>
  </si>
  <si>
    <r>
      <rPr>
        <b/>
        <sz val="11"/>
        <color theme="1"/>
        <rFont val="Calibri"/>
        <family val="2"/>
        <scheme val="minor"/>
      </rPr>
      <t>B3LYP/B1</t>
    </r>
    <r>
      <rPr>
        <sz val="11"/>
        <color theme="1"/>
        <rFont val="Calibri"/>
        <family val="2"/>
        <scheme val="minor"/>
      </rPr>
      <t xml:space="preserve"> G(corr) </t>
    </r>
  </si>
  <si>
    <r>
      <rPr>
        <b/>
        <sz val="11"/>
        <color theme="1"/>
        <rFont val="Calibri"/>
        <family val="2"/>
        <scheme val="minor"/>
      </rPr>
      <t>B3LYP/B1</t>
    </r>
    <r>
      <rPr>
        <sz val="11"/>
        <color theme="1"/>
        <rFont val="Calibri"/>
        <family val="2"/>
        <scheme val="minor"/>
      </rPr>
      <t xml:space="preserve"> -TS(corr) </t>
    </r>
  </si>
  <si>
    <r>
      <rPr>
        <b/>
        <sz val="11"/>
        <color theme="1"/>
        <rFont val="Calibri"/>
        <family val="2"/>
        <scheme val="minor"/>
      </rPr>
      <t xml:space="preserve">B3LYP/B1 </t>
    </r>
    <r>
      <rPr>
        <sz val="11"/>
        <color theme="1"/>
        <rFont val="Calibri"/>
        <family val="2"/>
        <scheme val="minor"/>
      </rPr>
      <t xml:space="preserve">Ee+ZPVE (kCal/mol) </t>
    </r>
  </si>
  <si>
    <r>
      <rPr>
        <b/>
        <sz val="11"/>
        <color theme="1"/>
        <rFont val="Calibri"/>
        <family val="2"/>
        <scheme val="minor"/>
      </rPr>
      <t>B3LYP/B2</t>
    </r>
    <r>
      <rPr>
        <sz val="11"/>
        <color theme="1"/>
        <rFont val="Calibri"/>
        <family val="2"/>
        <scheme val="minor"/>
      </rPr>
      <t>Ee+ZPVE (kCal/mol)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</si>
  <si>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 xml:space="preserve">Ee+ZPVE (kCal/mol)   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</si>
  <si>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 xml:space="preserve">H (kCal/mol)   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</si>
  <si>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 xml:space="preserve">G (kCal/mol) 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</si>
  <si>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>G+UAKS (kCal/mol)</t>
    </r>
  </si>
  <si>
    <r>
      <t xml:space="preserve">B3LYP/B3 </t>
    </r>
    <r>
      <rPr>
        <sz val="11"/>
        <color theme="1"/>
        <rFont val="Calibri"/>
        <family val="2"/>
        <scheme val="minor"/>
      </rPr>
      <t>G+Bondi (kCal/mol)</t>
    </r>
  </si>
  <si>
    <r>
      <t>B3LYP/B3</t>
    </r>
    <r>
      <rPr>
        <sz val="11"/>
        <color theme="1"/>
        <rFont val="Calibri"/>
        <family val="2"/>
        <scheme val="minor"/>
      </rPr>
      <t xml:space="preserve"> G+Pauling (kCal/mol)</t>
    </r>
  </si>
  <si>
    <t>B3LYP</t>
  </si>
  <si>
    <t>CBS-BB3</t>
  </si>
  <si>
    <t>CBS-BB3 H  (kCal/mol)</t>
  </si>
  <si>
    <t>CBS-BB3 G  (kCal/mol)</t>
  </si>
  <si>
    <t>CBS-BB3 ZPVE  (kCal/mol)</t>
  </si>
  <si>
    <t>TS1(NA)_MeOH_RC</t>
  </si>
  <si>
    <t>TS1(NA)_MeOH_TS</t>
  </si>
  <si>
    <t>MeOH</t>
  </si>
  <si>
    <t xml:space="preserve">CBS-BB3 ZPVE </t>
  </si>
  <si>
    <t xml:space="preserve">CBS-BB3 H  </t>
  </si>
  <si>
    <t xml:space="preserve">CBS-BB3 G  </t>
  </si>
  <si>
    <t>B3 G</t>
  </si>
  <si>
    <t>CBS-QB3</t>
  </si>
  <si>
    <t>BS_U_TS1</t>
  </si>
  <si>
    <t>M05/B3 S^2</t>
  </si>
  <si>
    <t>M052X/B3 S^2</t>
  </si>
  <si>
    <t>B3LYP/B3 S^2</t>
  </si>
  <si>
    <t>BS_U_TS1 (T single point)</t>
  </si>
  <si>
    <t>structure</t>
  </si>
  <si>
    <t>S**2</t>
  </si>
  <si>
    <t>x</t>
  </si>
  <si>
    <t>BS-UDFT corrected</t>
  </si>
  <si>
    <t>BS-UDFT singlet</t>
  </si>
  <si>
    <t>UDFT triplet</t>
  </si>
  <si>
    <t>DIF kCal/mol</t>
  </si>
  <si>
    <t>exat singlet</t>
  </si>
  <si>
    <t>splitting [kCal/mol]</t>
  </si>
  <si>
    <t>kCal/mol</t>
  </si>
  <si>
    <t>RTln(k(T))  [kCal/mol]</t>
  </si>
  <si>
    <t>TS1_RC</t>
  </si>
  <si>
    <t>BS_U_TS1 (T SP)</t>
  </si>
  <si>
    <t xml:space="preserve">high </t>
  </si>
  <si>
    <t>medium</t>
  </si>
  <si>
    <t>low</t>
  </si>
  <si>
    <t>RC-(BnOH+H2O2)</t>
  </si>
  <si>
    <t>w</t>
  </si>
  <si>
    <t>kc</t>
  </si>
  <si>
    <t>ku</t>
  </si>
  <si>
    <t>fit 1</t>
  </si>
  <si>
    <t>fit 2</t>
  </si>
  <si>
    <t>fit 3</t>
  </si>
  <si>
    <t>exp</t>
  </si>
  <si>
    <t>B3//B2</t>
  </si>
  <si>
    <t>r/([Enz]) [1/s]</t>
  </si>
  <si>
    <t>Ad. R^2</t>
  </si>
  <si>
    <t>min</t>
  </si>
  <si>
    <t>max</t>
  </si>
  <si>
    <t>AP-U/RM05</t>
  </si>
  <si>
    <t>pka1</t>
  </si>
  <si>
    <t>pka2</t>
  </si>
  <si>
    <t>[P-]</t>
  </si>
  <si>
    <t>[p2-]</t>
  </si>
  <si>
    <t>[P3-]</t>
  </si>
  <si>
    <t>I for phosphat + H2O2</t>
  </si>
  <si>
    <t>pKa H2O2</t>
  </si>
  <si>
    <t>F(P) [M]</t>
  </si>
  <si>
    <t>F(H2O2) [M]</t>
  </si>
  <si>
    <t>[HO2-]</t>
  </si>
  <si>
    <t>I [M]</t>
  </si>
  <si>
    <t>z1</t>
  </si>
  <si>
    <t>z2</t>
  </si>
  <si>
    <t>z3</t>
  </si>
  <si>
    <t>I for Borat + H2O2</t>
  </si>
  <si>
    <t>[B-]</t>
  </si>
  <si>
    <t>F(B) [M]</t>
  </si>
  <si>
    <t>weight</t>
  </si>
  <si>
    <t>BS-U/RM05</t>
  </si>
  <si>
    <t>M052X/B4</t>
  </si>
  <si>
    <t>B1=631G(d) B2=631+G(d) B3=631+G(d,p) B4=6311+G(2d,p) B5=6311+G(2df,2p)</t>
  </si>
  <si>
    <t>M05/B5</t>
  </si>
  <si>
    <t>M05/B4</t>
  </si>
  <si>
    <t>M05/B5 S^2</t>
  </si>
  <si>
    <t>M05/B2 UAKS</t>
  </si>
  <si>
    <t>M05/B2 BONDI</t>
  </si>
  <si>
    <t>M05/B2 PAULING</t>
  </si>
  <si>
    <t>M05/B4 S^2</t>
  </si>
  <si>
    <t>B5//B2</t>
  </si>
  <si>
    <t>B5//B2 + UAKS/B2</t>
  </si>
  <si>
    <t>B5//B2 + Bondi/B2</t>
  </si>
  <si>
    <t>B5//B2 + Paulin/gB2</t>
  </si>
  <si>
    <t>ONIOM/B1 BS_U_TS1</t>
  </si>
  <si>
    <t>ONIOM/B1 TS1_RC</t>
  </si>
  <si>
    <t>ONIOM/B2 BS_U_TS1</t>
  </si>
  <si>
    <t>ONIOM/B2 BS_U_TS1 (T SP)</t>
  </si>
  <si>
    <t>ONIOM/B2 TS1_RC</t>
  </si>
  <si>
    <t>AP-U/RM052X</t>
  </si>
  <si>
    <t>BS-U/RM052X</t>
  </si>
  <si>
    <t>AP-U/RB3LYP</t>
  </si>
  <si>
    <t>BS-U/RB3LYP</t>
  </si>
  <si>
    <t>B3//B2 + Bondi/B2</t>
  </si>
  <si>
    <t>B3//B2 + UAKS/B2</t>
  </si>
  <si>
    <t>B3//B2 + Pauling/B2</t>
  </si>
  <si>
    <t>B5//B2 + Pauling/B2</t>
  </si>
  <si>
    <t>B5//ONIOM/B2 + Bond1/B1</t>
  </si>
  <si>
    <t>B4//ONIOM/B1 + Bondi/B1</t>
  </si>
  <si>
    <t>B3//ONIOM/B1 + Bondi/B1</t>
  </si>
  <si>
    <t>ONIOM/B1. BS_U_TS1 (T SP)</t>
  </si>
  <si>
    <t>B5//ONIOM/B1 + Bond/iB2</t>
  </si>
  <si>
    <t>B5//ONIOM/B1 + Bond1/B1</t>
  </si>
  <si>
    <t>B5//ONIOM/B2 + Bondi/B2</t>
  </si>
  <si>
    <r>
      <rPr>
        <b/>
        <sz val="11"/>
        <color theme="1"/>
        <rFont val="Calibri"/>
        <family val="2"/>
        <scheme val="minor"/>
      </rPr>
      <t xml:space="preserve">M05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</si>
  <si>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>M05</t>
    </r>
    <r>
      <rPr>
        <sz val="11"/>
        <color theme="1"/>
        <rFont val="Calibri"/>
        <family val="2"/>
        <scheme val="minor"/>
      </rPr>
      <t xml:space="preserve"> ZPVE(corr) </t>
    </r>
  </si>
  <si>
    <r>
      <rPr>
        <b/>
        <sz val="11"/>
        <color theme="1"/>
        <rFont val="Calibri"/>
        <family val="2"/>
        <scheme val="minor"/>
      </rPr>
      <t xml:space="preserve">M05 </t>
    </r>
    <r>
      <rPr>
        <sz val="11"/>
        <color theme="1"/>
        <rFont val="Calibri"/>
        <family val="2"/>
        <scheme val="minor"/>
      </rPr>
      <t xml:space="preserve">H(corr) </t>
    </r>
  </si>
  <si>
    <r>
      <rPr>
        <b/>
        <sz val="11"/>
        <color theme="1"/>
        <rFont val="Calibri"/>
        <family val="2"/>
        <scheme val="minor"/>
      </rPr>
      <t>M05</t>
    </r>
    <r>
      <rPr>
        <sz val="11"/>
        <color theme="1"/>
        <rFont val="Calibri"/>
        <family val="2"/>
        <scheme val="minor"/>
      </rPr>
      <t xml:space="preserve"> G(corr) </t>
    </r>
  </si>
  <si>
    <t>B4//ONIOM/B2 + Bondi/B1</t>
  </si>
  <si>
    <t>B3//ONIOM/B2 + Bondi/B1</t>
  </si>
  <si>
    <t>ONIOM/B2 BnOH</t>
  </si>
  <si>
    <t>ONIOM/B1 BnOH</t>
  </si>
  <si>
    <r>
      <rPr>
        <b/>
        <sz val="11"/>
        <color theme="1"/>
        <rFont val="Calibri"/>
        <family val="2"/>
        <scheme val="minor"/>
      </rPr>
      <t>M05</t>
    </r>
    <r>
      <rPr>
        <sz val="11"/>
        <color theme="1"/>
        <rFont val="Calibri"/>
        <family val="2"/>
        <scheme val="minor"/>
      </rPr>
      <t xml:space="preserve"> -TS(corr) </t>
    </r>
  </si>
  <si>
    <r>
      <rPr>
        <b/>
        <sz val="11"/>
        <color theme="1"/>
        <rFont val="Calibri"/>
        <family val="2"/>
        <scheme val="minor"/>
      </rPr>
      <t xml:space="preserve">M05/B3 </t>
    </r>
    <r>
      <rPr>
        <sz val="11"/>
        <color theme="1"/>
        <rFont val="Calibri"/>
        <family val="2"/>
        <scheme val="minor"/>
      </rPr>
      <t>Ee+ZPVE (kCal/mol)</t>
    </r>
  </si>
  <si>
    <r>
      <rPr>
        <b/>
        <sz val="11"/>
        <color theme="1"/>
        <rFont val="Calibri"/>
        <family val="2"/>
        <scheme val="minor"/>
      </rPr>
      <t xml:space="preserve">M05/B2 </t>
    </r>
    <r>
      <rPr>
        <sz val="11"/>
        <color theme="1"/>
        <rFont val="Calibri"/>
        <family val="2"/>
        <scheme val="minor"/>
      </rPr>
      <t xml:space="preserve">Ee+ZPVE (kCal/mol)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</si>
  <si>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 xml:space="preserve">Ee+ZPVE (kCal/mol)  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</si>
  <si>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 xml:space="preserve">H (kCal/mol)  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</si>
  <si>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 xml:space="preserve">G (kCal/mol)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</si>
  <si>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>G+UAKS/B2 (kCal/mol)</t>
    </r>
  </si>
  <si>
    <r>
      <t xml:space="preserve">M05/B5 </t>
    </r>
    <r>
      <rPr>
        <sz val="11"/>
        <color theme="1"/>
        <rFont val="Calibri"/>
        <family val="2"/>
        <scheme val="minor"/>
      </rPr>
      <t>G+Bondi/B2 (kCal/mol)</t>
    </r>
  </si>
  <si>
    <r>
      <t>M05/B5</t>
    </r>
    <r>
      <rPr>
        <sz val="11"/>
        <color theme="1"/>
        <rFont val="Calibri"/>
        <family val="2"/>
        <scheme val="minor"/>
      </rPr>
      <t xml:space="preserve"> G+Pauling/B2 (kCal/mol)</t>
    </r>
  </si>
  <si>
    <r>
      <t xml:space="preserve">M05/B5 </t>
    </r>
    <r>
      <rPr>
        <sz val="11"/>
        <color theme="1"/>
        <rFont val="Calibri"/>
        <family val="2"/>
        <scheme val="minor"/>
      </rPr>
      <t>G+Bondi/B1 (kCal/mol)</t>
    </r>
  </si>
  <si>
    <r>
      <t xml:space="preserve">M05/B4 </t>
    </r>
    <r>
      <rPr>
        <sz val="11"/>
        <color theme="1"/>
        <rFont val="Calibri"/>
        <family val="2"/>
        <scheme val="minor"/>
      </rPr>
      <t>G+Bondi/B1 (kCal/mol)</t>
    </r>
  </si>
  <si>
    <r>
      <t xml:space="preserve">M05/B3 </t>
    </r>
    <r>
      <rPr>
        <sz val="11"/>
        <color theme="1"/>
        <rFont val="Calibri"/>
        <family val="2"/>
        <scheme val="minor"/>
      </rPr>
      <t>G+Bondi/B1 (kCal/mol)</t>
    </r>
  </si>
  <si>
    <t>HO2(-)</t>
  </si>
  <si>
    <t>ONIOM/B2 TS1(-)</t>
  </si>
  <si>
    <t>ONIOM/B2 TS1(-)_T</t>
  </si>
  <si>
    <t>ONIOM/B2 TS1(-)_RC</t>
  </si>
  <si>
    <t>DGb_TS1</t>
  </si>
  <si>
    <t>DGa_TS1</t>
  </si>
  <si>
    <t>(DGb+Dga)_TS1</t>
  </si>
  <si>
    <t>DGb_TS1(-)</t>
  </si>
  <si>
    <t>DGa_TS1(-)</t>
  </si>
  <si>
    <t>(DGb+Dga)_TS1(-)</t>
  </si>
  <si>
    <t>BS_U_TS1(-)</t>
  </si>
  <si>
    <t>BS_U_TS1(-)_(T)</t>
  </si>
  <si>
    <t>TS1(-1)_RC</t>
  </si>
  <si>
    <t>AD(DGa)</t>
  </si>
  <si>
    <t>AD(exp)</t>
  </si>
  <si>
    <t>DGb_TS1(Na)</t>
  </si>
  <si>
    <t>DGa_TS1(NA)</t>
  </si>
  <si>
    <t>(DGb+Dga)_TS1(Na)</t>
  </si>
  <si>
    <t>ONIOM/B1 TS1(-)</t>
  </si>
  <si>
    <t>ONIOM/B1 TS1(-)_T</t>
  </si>
  <si>
    <t>ONIOM/B1 TS1(-)_RC</t>
  </si>
  <si>
    <t>H2O2*2H2O</t>
  </si>
  <si>
    <t>H2O2*2H2O_TS</t>
  </si>
  <si>
    <t>Wateroxide*2H2O_A</t>
  </si>
  <si>
    <t>OOH2_TS_RC</t>
  </si>
  <si>
    <t>OOH2_TS</t>
  </si>
  <si>
    <t>H2O2*4H2O</t>
  </si>
  <si>
    <t>Wateroxide*4H2O_TS</t>
  </si>
  <si>
    <t>Wateroxide*4H2O</t>
  </si>
  <si>
    <t>I for pyrophosphat + H2O2</t>
  </si>
  <si>
    <t>[2P4-]</t>
  </si>
  <si>
    <t>[2p3-]</t>
  </si>
  <si>
    <t>[2P2-]</t>
  </si>
  <si>
    <t>F(2P) [M]</t>
  </si>
  <si>
    <t>P1 + P2</t>
  </si>
  <si>
    <t>[P1] M</t>
  </si>
  <si>
    <t>[P2] M</t>
  </si>
  <si>
    <t>data137</t>
  </si>
  <si>
    <t>data148</t>
  </si>
  <si>
    <t>data138</t>
  </si>
  <si>
    <t>data139</t>
  </si>
  <si>
    <t>data140</t>
  </si>
  <si>
    <t>data147</t>
  </si>
  <si>
    <t>data141</t>
  </si>
  <si>
    <t>data142</t>
  </si>
  <si>
    <t>data143</t>
  </si>
  <si>
    <t>data146</t>
  </si>
  <si>
    <t>data145</t>
  </si>
  <si>
    <t>data144</t>
  </si>
  <si>
    <t>OOH2_TS_H2O</t>
  </si>
  <si>
    <t>OOH2_TS_H2O_RC</t>
  </si>
  <si>
    <t>BS_U_OOH2_TS</t>
  </si>
  <si>
    <t>U_OOH2_TS_T</t>
  </si>
  <si>
    <t>H2O2*5H2O</t>
  </si>
  <si>
    <t>Wateroxide*5H2O</t>
  </si>
  <si>
    <t>OOH2_NA_TS</t>
  </si>
  <si>
    <t>OOH2_NA_TS_RC</t>
  </si>
  <si>
    <t>NA(+)H2O2</t>
  </si>
  <si>
    <t>NA(+)OOH2</t>
  </si>
  <si>
    <t>H2O2_NA_TS_RC</t>
  </si>
  <si>
    <t>H2O2_NA_TS</t>
  </si>
  <si>
    <t>H2O2_NA_TS_T</t>
  </si>
  <si>
    <t>OOH2</t>
  </si>
  <si>
    <t>TS_O2_T</t>
  </si>
  <si>
    <t>TS_O2_RC_T</t>
  </si>
  <si>
    <t>M05/B1</t>
  </si>
  <si>
    <t xml:space="preserve">B1=631G(d) B2=6311+G(2d,p) </t>
  </si>
  <si>
    <t>M05/B2 S^2</t>
  </si>
  <si>
    <r>
      <rPr>
        <b/>
        <sz val="11"/>
        <color theme="1"/>
        <rFont val="Calibri"/>
        <family val="2"/>
        <scheme val="minor"/>
      </rPr>
      <t xml:space="preserve">M05/B2 </t>
    </r>
    <r>
      <rPr>
        <sz val="11"/>
        <color theme="1"/>
        <rFont val="Calibri"/>
        <family val="2"/>
        <scheme val="minor"/>
      </rPr>
      <t xml:space="preserve">G (kCal/mol) </t>
    </r>
  </si>
  <si>
    <r>
      <t xml:space="preserve">M05/B2 </t>
    </r>
    <r>
      <rPr>
        <sz val="11"/>
        <color theme="1"/>
        <rFont val="Calibri"/>
        <family val="2"/>
        <scheme val="minor"/>
      </rPr>
      <t>G+Bondi/B1 (kCal/mol)</t>
    </r>
  </si>
  <si>
    <t>E2_TS1_S</t>
  </si>
  <si>
    <t>E2_TS1_T</t>
  </si>
  <si>
    <r>
      <rPr>
        <b/>
        <sz val="11"/>
        <color theme="1"/>
        <rFont val="Calibri"/>
        <family val="2"/>
        <scheme val="minor"/>
      </rPr>
      <t xml:space="preserve">M05/B2 </t>
    </r>
    <r>
      <rPr>
        <sz val="11"/>
        <color theme="1"/>
        <rFont val="Calibri"/>
        <family val="2"/>
        <scheme val="minor"/>
      </rPr>
      <t xml:space="preserve">H+Bondi (kCal/mol)   </t>
    </r>
  </si>
  <si>
    <t>E2_TS1_RC_B</t>
  </si>
  <si>
    <t>E2_TS1_RC_A</t>
  </si>
  <si>
    <t>NA2O2_TS_RC</t>
  </si>
  <si>
    <t>NA2O2_TS</t>
  </si>
  <si>
    <r>
      <t>R*ln(kcat*h/Km*T*k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</t>
    </r>
  </si>
  <si>
    <t>R*ln(kcat*h/T*kB)</t>
  </si>
  <si>
    <t>s/2</t>
  </si>
  <si>
    <t>pH = 7.0</t>
  </si>
  <si>
    <t>pH = 8.0</t>
  </si>
  <si>
    <t>range: 0-&gt;620 s</t>
  </si>
  <si>
    <t>0.05 M</t>
  </si>
  <si>
    <t>85 mM</t>
  </si>
  <si>
    <t>50 mM</t>
  </si>
  <si>
    <t>200 s</t>
  </si>
  <si>
    <t>fit range</t>
  </si>
  <si>
    <t>400 s</t>
  </si>
  <si>
    <t>1/s</t>
  </si>
  <si>
    <t>fit range [s]</t>
  </si>
  <si>
    <t>1000 smooth</t>
  </si>
  <si>
    <t>200 smooth</t>
  </si>
  <si>
    <t>sub ph 8</t>
  </si>
  <si>
    <t>Benzyl alcohol phosphoric</t>
  </si>
  <si>
    <t>SS_smooth</t>
  </si>
  <si>
    <t>bad curv</t>
  </si>
  <si>
    <t>5*s/2</t>
  </si>
  <si>
    <t>s/2 large</t>
  </si>
  <si>
    <t xml:space="preserve"> f(x) = </t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</si>
  <si>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E(elec) (He/particle)</t>
    </r>
  </si>
  <si>
    <t>&lt;S^2&gt; B3(LS)</t>
  </si>
  <si>
    <r>
      <rPr>
        <b/>
        <sz val="11"/>
        <color theme="1"/>
        <rFont val="Calibri"/>
        <family val="2"/>
        <scheme val="minor"/>
      </rPr>
      <t xml:space="preserve">B1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</si>
  <si>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t>Rotational symmetry number</t>
  </si>
  <si>
    <r>
      <rPr>
        <b/>
        <sz val="11"/>
        <color theme="1"/>
        <rFont val="Calibri"/>
        <family val="2"/>
        <scheme val="minor"/>
      </rPr>
      <t xml:space="preserve">B1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</si>
  <si>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</si>
  <si>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B1 </t>
    </r>
    <r>
      <rPr>
        <sz val="11"/>
        <color theme="1"/>
        <rFont val="Calibri"/>
        <family val="2"/>
        <scheme val="minor"/>
      </rPr>
      <t xml:space="preserve"> G(corr) (He/particle)</t>
    </r>
  </si>
  <si>
    <t>H2O</t>
  </si>
  <si>
    <t>RTln(k(T))  [kJ/mol]</t>
  </si>
  <si>
    <r>
      <rPr>
        <b/>
        <sz val="11"/>
        <color theme="1"/>
        <rFont val="Calibri"/>
        <family val="2"/>
      </rPr>
      <t>∆Gsolv AQ(LS)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</si>
  <si>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</rPr>
      <t>∆Gsolv AQ(HS)</t>
    </r>
    <r>
      <rPr>
        <sz val="11"/>
        <color theme="1"/>
        <rFont val="Calibri"/>
        <family val="2"/>
        <scheme val="minor"/>
      </rPr>
      <t xml:space="preserve"> (kCal/mol) </t>
    </r>
  </si>
  <si>
    <t>∆Gsolv AQ(LS) &lt;S^2&gt;</t>
  </si>
  <si>
    <t>DFT=R(U)B3LYP, scrf=B1/CPCM(bondi)//B3LYP/B1, B1=6-31G(d). B2=6-31+(d). B3=631+G(d,p). B4=6311+G(2d,p). B5=6311+G(2df,2p). B6=6311++G(3df,3p) T=298.15</t>
  </si>
  <si>
    <r>
      <rPr>
        <b/>
        <sz val="11"/>
        <color theme="1"/>
        <rFont val="Calibri"/>
        <family val="2"/>
        <scheme val="minor"/>
      </rPr>
      <t>B3(LS)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</si>
  <si>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B3(HS)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</si>
  <si>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B4(LS)</t>
    </r>
    <r>
      <rPr>
        <sz val="11"/>
        <color theme="1"/>
        <rFont val="Calibri"/>
        <family val="2"/>
        <scheme val="minor"/>
      </rPr>
      <t xml:space="preserve">  E(elec) (He/particle)</t>
    </r>
  </si>
  <si>
    <r>
      <rPr>
        <b/>
        <sz val="11"/>
        <color theme="1"/>
        <rFont val="Calibri"/>
        <family val="2"/>
        <scheme val="minor"/>
      </rPr>
      <t>B4(HS)</t>
    </r>
    <r>
      <rPr>
        <sz val="11"/>
        <color theme="1"/>
        <rFont val="Calibri"/>
        <family val="2"/>
        <scheme val="minor"/>
      </rPr>
      <t xml:space="preserve">  E(elec) (He/particle)</t>
    </r>
  </si>
  <si>
    <t>&lt;S^2&gt; B4(LS)</t>
  </si>
  <si>
    <r>
      <rPr>
        <b/>
        <sz val="11"/>
        <color theme="1"/>
        <rFont val="Calibri"/>
        <family val="2"/>
        <scheme val="minor"/>
      </rPr>
      <t>B5(LS)</t>
    </r>
    <r>
      <rPr>
        <sz val="11"/>
        <color theme="1"/>
        <rFont val="Calibri"/>
        <family val="2"/>
        <scheme val="minor"/>
      </rPr>
      <t xml:space="preserve">  E(elec) (He/particle)</t>
    </r>
  </si>
  <si>
    <r>
      <rPr>
        <b/>
        <sz val="11"/>
        <color theme="1"/>
        <rFont val="Calibri"/>
        <family val="2"/>
        <scheme val="minor"/>
      </rPr>
      <t>B5(HS)</t>
    </r>
    <r>
      <rPr>
        <sz val="11"/>
        <color theme="1"/>
        <rFont val="Calibri"/>
        <family val="2"/>
        <scheme val="minor"/>
      </rPr>
      <t xml:space="preserve">  E(elec) (He/particle)</t>
    </r>
  </si>
  <si>
    <t>&lt;S^2&gt; B5(LS)</t>
  </si>
  <si>
    <r>
      <rPr>
        <b/>
        <sz val="11"/>
        <color theme="1"/>
        <rFont val="Calibri"/>
        <family val="2"/>
        <scheme val="minor"/>
      </rPr>
      <t>B6(LS)</t>
    </r>
    <r>
      <rPr>
        <sz val="11"/>
        <color theme="1"/>
        <rFont val="Calibri"/>
        <family val="2"/>
        <scheme val="minor"/>
      </rPr>
      <t xml:space="preserve">  E(elec) (He/particle)</t>
    </r>
  </si>
  <si>
    <r>
      <rPr>
        <b/>
        <sz val="11"/>
        <color theme="1"/>
        <rFont val="Calibri"/>
        <family val="2"/>
        <scheme val="minor"/>
      </rPr>
      <t>B6(HS)</t>
    </r>
    <r>
      <rPr>
        <sz val="11"/>
        <color theme="1"/>
        <rFont val="Calibri"/>
        <family val="2"/>
        <scheme val="minor"/>
      </rPr>
      <t xml:space="preserve">  E(elec) (He/particle)</t>
    </r>
  </si>
  <si>
    <t>&lt;S^2&gt; B6(LS)</t>
  </si>
  <si>
    <t>AP-H(B3/B1) (kCal/mol)</t>
  </si>
  <si>
    <t>BS-H(B3/B1) (kCal/mol)</t>
  </si>
  <si>
    <t>BS-H(B4/B1) (kCal/mol)</t>
  </si>
  <si>
    <t>AP-H(B4/B1) (kCal/mol)</t>
  </si>
  <si>
    <t>BS-H(B5/B1) (kCal/mol)</t>
  </si>
  <si>
    <t>AP-H(B5/B1) (kCal/mol)</t>
  </si>
  <si>
    <t>BS-H(B6/B1) (kCal/mol)</t>
  </si>
  <si>
    <t>AP-H(B6/B1) (kCal/mol)</t>
  </si>
  <si>
    <t>solv BS-H(B1/B1) (kCal/mol)</t>
  </si>
  <si>
    <t>solv AP-H(B1/B1) (kCal/mol)</t>
  </si>
  <si>
    <t>H2O2_TS</t>
  </si>
  <si>
    <t>HO2(-)*H2O2_TS</t>
  </si>
  <si>
    <t>HO2(-)*H2O2_PC</t>
  </si>
  <si>
    <t>HO2(-)*H2O2_RC</t>
  </si>
  <si>
    <t>NaHO2_RC</t>
  </si>
  <si>
    <t>NaHO2_TS</t>
  </si>
  <si>
    <t>NaHO2_PC</t>
  </si>
  <si>
    <t>HO2(-)*2H2O_TS</t>
  </si>
  <si>
    <t>HO2(-)*2H2O_RC</t>
  </si>
  <si>
    <t>HO2(-)*2H2O_PC</t>
  </si>
  <si>
    <t>AP-solv</t>
  </si>
  <si>
    <t>H2O2*2H2O_RC</t>
  </si>
  <si>
    <t>H2O2*H2O2_TS</t>
  </si>
  <si>
    <t>H2O2*H2O2_RC</t>
  </si>
  <si>
    <t>H2O2*H2O2_PC</t>
  </si>
  <si>
    <t>Structure/B1</t>
  </si>
  <si>
    <t>Structure/B2</t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</si>
  <si>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</si>
  <si>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</si>
  <si>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</si>
  <si>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</si>
  <si>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</rPr>
      <t>∆Gsolv AQ(LS)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</si>
  <si>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</rPr>
      <t>B1 ∆Gsolv AQ(HS)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</si>
  <si>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</si>
  <si>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t>B1 ∆Gsolv AQ(LS) &lt;S^2&gt;</t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</si>
  <si>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</rPr>
      <t>∆Gsolv AQ(LS)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</si>
  <si>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</rPr>
      <t>B2 ∆Gsolv AQ(HS)</t>
    </r>
    <r>
      <rPr>
        <sz val="11"/>
        <color theme="1"/>
        <rFont val="Calibri"/>
        <family val="2"/>
        <scheme val="minor"/>
      </rPr>
      <t xml:space="preserve"> (kCal/mol) </t>
    </r>
  </si>
  <si>
    <t>B2 ∆Gsolv AQ(LS) &lt;S^2&gt;</t>
  </si>
  <si>
    <t>solv BS-H(B2/B2) (kCal/mol)</t>
  </si>
  <si>
    <t>solv AP-H(B2/B2) (kCal/mol)</t>
  </si>
  <si>
    <t>O2(2-)*2H2O_TS</t>
  </si>
  <si>
    <t>O2(2-)*2H2O_RC</t>
  </si>
  <si>
    <t>HO2(-)_TS</t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</si>
  <si>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TS(corr) (kCal/mol)</t>
    </r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</si>
  <si>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TS(corr) (kCal/mol)</t>
    </r>
  </si>
  <si>
    <t>b3lyp</t>
  </si>
  <si>
    <t>m05</t>
  </si>
  <si>
    <t>HO2(-)*H2O_RC</t>
  </si>
  <si>
    <t>HO2(-)*H2O_TS</t>
  </si>
  <si>
    <t>H2O2*H2O_RC</t>
  </si>
  <si>
    <t>H2O2*H2O_TS</t>
  </si>
  <si>
    <t>DFT=R(U)M05, scrf=B1/CPCM(bondi)//M05/B1, B1=6-31G(d). B2=6-31+(d). B3=631+G(d,p). B4=6311+G(2d,p). B5=6311+G(2df,2p). B6=6311++G(3df,3p) T=298.15</t>
  </si>
  <si>
    <t>m052x</t>
  </si>
  <si>
    <t>DFT=R(U)B3LYP, scrf=B1/CPCM(bondi)//B3LYP/B1, B1=6-31G(d). B2=6-31+(d). B3=631+G(d,p). B4=6311+G(2d,p). B5=6311+G(2df,2p). B6=6311++G(3df,3pd) T=298.15</t>
  </si>
  <si>
    <t xml:space="preserve">                                          </t>
  </si>
  <si>
    <t>Structure/B3</t>
  </si>
  <si>
    <r>
      <rPr>
        <b/>
        <sz val="11"/>
        <color theme="1"/>
        <rFont val="Calibri"/>
        <family val="2"/>
        <scheme val="minor"/>
      </rPr>
      <t xml:space="preserve">B3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</si>
  <si>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 xml:space="preserve">B3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</si>
  <si>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</si>
  <si>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B3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</si>
  <si>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 TS(corr) (kCal/mol)</t>
    </r>
  </si>
  <si>
    <t>H2O2*H2O2_TS 300K 1M</t>
  </si>
  <si>
    <t>H2O2*H2O2_TS 350K 1M</t>
  </si>
  <si>
    <t>H2O2*H2O2_TS 400K 1M</t>
  </si>
  <si>
    <t>H2O2*H2O2_TS 450K 1M</t>
  </si>
  <si>
    <t>H2O2*H2O2_TS 500K 1M</t>
  </si>
  <si>
    <t>H2O2*H2O2_TS 550K 1M</t>
  </si>
  <si>
    <t>H2O2*H2O2_TS 600K 1M</t>
  </si>
  <si>
    <t>H2O2*H2O2_TS 298K 1 Atm</t>
  </si>
  <si>
    <t>rate M^-1 s^-1</t>
  </si>
  <si>
    <t>K</t>
  </si>
  <si>
    <t>DG kCal/mol</t>
  </si>
  <si>
    <t>ln(rate)</t>
  </si>
  <si>
    <t>1/K</t>
  </si>
  <si>
    <t>DH kCal/mol</t>
  </si>
  <si>
    <t>T*DS kCal/mol</t>
  </si>
  <si>
    <t>H2O2_TS 298K 1 Atm</t>
  </si>
  <si>
    <t>H2O2_TS 300K 1M</t>
  </si>
  <si>
    <t>H2O2_TS 350K 1M</t>
  </si>
  <si>
    <t>H2O2_TS 400K 1M</t>
  </si>
  <si>
    <t>H2O2_TS 450K 1M</t>
  </si>
  <si>
    <t>H2O2_TS 500K 1M</t>
  </si>
  <si>
    <t>H2O2_TS 550K 1M</t>
  </si>
  <si>
    <t>H2O2_TS 600K 1M</t>
  </si>
  <si>
    <t>H2O2 704.65 K 1 M</t>
  </si>
  <si>
    <t>H2O2 712.75 K 1 M</t>
  </si>
  <si>
    <t>H2O2 721.55 K 1 M</t>
  </si>
  <si>
    <t>H2O2 731.75 K 1 M</t>
  </si>
  <si>
    <t>H2O2 741.65 K 1 M</t>
  </si>
  <si>
    <t>H2O2*He_TS 704.65 K 1 M</t>
  </si>
  <si>
    <t>H2O2*He_TS 712.75 K 1 M</t>
  </si>
  <si>
    <t>H2O2*He_TS 721.55 K 1 M</t>
  </si>
  <si>
    <t>H2O2*He_TS 731.75 K 1 M</t>
  </si>
  <si>
    <t>H2O2*He_TS 741.65 K 1 M</t>
  </si>
  <si>
    <t>He 704.65 K 1 M</t>
  </si>
  <si>
    <t>He 712.75 K 1 M</t>
  </si>
  <si>
    <t>He 721.55 K 1 M</t>
  </si>
  <si>
    <t>He 731.75 K 1 M</t>
  </si>
  <si>
    <t>He 741.65 K 1 M</t>
  </si>
  <si>
    <t>M05_H2O2_TS 298K 1 Atm</t>
  </si>
  <si>
    <t>#</t>
  </si>
  <si>
    <t>Scan of Total Energy</t>
  </si>
  <si>
    <t>X-Axis:  Scan Coordin</t>
  </si>
  <si>
    <t>ate</t>
  </si>
  <si>
    <t>Y-Axis:  Total Energy</t>
  </si>
  <si>
    <t>(Hartree)</t>
  </si>
  <si>
    <t>X</t>
  </si>
  <si>
    <t>Y</t>
  </si>
  <si>
    <t>TS</t>
  </si>
  <si>
    <t>R0</t>
  </si>
  <si>
    <t>PC</t>
  </si>
  <si>
    <t>Singlet surface M05</t>
  </si>
  <si>
    <t>Triplet surface M05</t>
  </si>
  <si>
    <t>TS singlet</t>
  </si>
  <si>
    <t>TS triplet</t>
  </si>
  <si>
    <t>R0 triplet</t>
  </si>
  <si>
    <t>B3LYP/MG3S Triplet surface</t>
  </si>
  <si>
    <t>B3LYP/MG3S Singlet surface</t>
  </si>
  <si>
    <t>Avoided crossing</t>
  </si>
  <si>
    <t>631+GDP</t>
  </si>
  <si>
    <t>631+GD</t>
  </si>
  <si>
    <t xml:space="preserve">B3LYP </t>
  </si>
  <si>
    <t>cbsqb3</t>
  </si>
  <si>
    <t>MG3S</t>
  </si>
  <si>
    <t>B3LYP He</t>
  </si>
  <si>
    <t>geom2</t>
  </si>
  <si>
    <t>Structure/MG3S</t>
  </si>
  <si>
    <r>
      <rPr>
        <b/>
        <sz val="11"/>
        <color theme="1"/>
        <rFont val="Calibri"/>
        <family val="2"/>
        <scheme val="minor"/>
      </rPr>
      <t>MG3S(LS)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</si>
  <si>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MG3S(HS)</t>
    </r>
    <r>
      <rPr>
        <sz val="11"/>
        <color theme="1"/>
        <rFont val="Calibri"/>
        <family val="2"/>
        <scheme val="minor"/>
      </rPr>
      <t xml:space="preserve"> E(elec) (He/particle)</t>
    </r>
  </si>
  <si>
    <t>&lt;S^2&gt; MG3S(LS)</t>
  </si>
  <si>
    <r>
      <rPr>
        <b/>
        <sz val="11"/>
        <color theme="1"/>
        <rFont val="Calibri"/>
        <family val="2"/>
        <scheme val="minor"/>
      </rPr>
      <t xml:space="preserve">MG3S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</si>
  <si>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 xml:space="preserve">MG3S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</si>
  <si>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MG3S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</si>
  <si>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MG3S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</si>
  <si>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MG3S</t>
    </r>
    <r>
      <rPr>
        <sz val="11"/>
        <color theme="1"/>
        <rFont val="Calibri"/>
        <family val="2"/>
        <scheme val="minor"/>
      </rPr>
      <t xml:space="preserve"> TS(corr) (kCal/mol)</t>
    </r>
  </si>
  <si>
    <t>TS(S)_HE</t>
  </si>
  <si>
    <t>(HO*HO)(T)_HE</t>
  </si>
  <si>
    <t>(HO*HO)(S)_HE</t>
  </si>
  <si>
    <t>BS-G(B6/B1) (kCal/mol)</t>
  </si>
  <si>
    <t>H2O2 T1</t>
  </si>
  <si>
    <t>H2O2 T2</t>
  </si>
  <si>
    <t>H2O2 T3</t>
  </si>
  <si>
    <t>H2O2 T4</t>
  </si>
  <si>
    <t>H2O2 T5</t>
  </si>
  <si>
    <t>DFT=R(U)B3LYP, scrf=B1/CPCM(bondi)//B3LYP/B1, B1=6-31G(d). B2=6-31+(d). B3=631+G(d,p). B4=6311+G(2d,p). B5=6311+G(2df,2p). B6=6311++G(3df,3p), 1 M standard state, T1=704.65K,T2=712.75K,T3=721.55K,T4=731.55K,T5=741.65K</t>
  </si>
  <si>
    <t>HE T1</t>
  </si>
  <si>
    <t>HE T2</t>
  </si>
  <si>
    <t>HE T3</t>
  </si>
  <si>
    <t>HE T4</t>
  </si>
  <si>
    <t>HE T5</t>
  </si>
  <si>
    <t>TS(T)_HE T1</t>
  </si>
  <si>
    <t>TS(T)_HE T2</t>
  </si>
  <si>
    <t>TS(T)_HE T3</t>
  </si>
  <si>
    <t>TS(T)_HE T4</t>
  </si>
  <si>
    <t>TS(T)_HE T5</t>
  </si>
  <si>
    <t>T K</t>
  </si>
  <si>
    <t>exp.</t>
  </si>
  <si>
    <t>1/Ms</t>
  </si>
  <si>
    <t>ln(xep)</t>
  </si>
  <si>
    <t>1/T 1/K</t>
  </si>
  <si>
    <t>DG</t>
  </si>
  <si>
    <t>DG/RT</t>
  </si>
  <si>
    <t>RT kCal/mol</t>
  </si>
  <si>
    <t>ln(calc)</t>
  </si>
  <si>
    <t>H2O2_TS(T) T3</t>
  </si>
  <si>
    <t>H2O2_TS(T) T4</t>
  </si>
  <si>
    <t>H2O2_TS(T) T5</t>
  </si>
  <si>
    <t>H2O2_TS(T) T1</t>
  </si>
  <si>
    <t>H2O2_TS(T) T2</t>
  </si>
  <si>
    <t xml:space="preserve">Ln(r/T) </t>
  </si>
  <si>
    <t>Structure/CBS-QB3</t>
  </si>
  <si>
    <r>
      <rPr>
        <b/>
        <sz val="11"/>
        <color theme="1"/>
        <rFont val="Calibri"/>
        <family val="2"/>
        <scheme val="minor"/>
      </rPr>
      <t>E+ZPE</t>
    </r>
    <r>
      <rPr>
        <sz val="11"/>
        <color theme="1"/>
        <rFont val="Calibri"/>
        <family val="2"/>
        <scheme val="minor"/>
      </rPr>
      <t xml:space="preserve"> (He/particle)</t>
    </r>
  </si>
  <si>
    <r>
      <rPr>
        <b/>
        <sz val="11"/>
        <color theme="1"/>
        <rFont val="Calibri"/>
        <family val="2"/>
        <scheme val="minor"/>
      </rPr>
      <t>E+H</t>
    </r>
    <r>
      <rPr>
        <sz val="11"/>
        <color theme="1"/>
        <rFont val="Calibri"/>
        <family val="2"/>
        <scheme val="minor"/>
      </rPr>
      <t xml:space="preserve"> (He/particle)</t>
    </r>
  </si>
  <si>
    <r>
      <rPr>
        <b/>
        <sz val="11"/>
        <color theme="1"/>
        <rFont val="Calibri"/>
        <family val="2"/>
        <scheme val="minor"/>
      </rPr>
      <t>E+G</t>
    </r>
    <r>
      <rPr>
        <sz val="11"/>
        <color theme="1"/>
        <rFont val="Calibri"/>
        <family val="2"/>
        <scheme val="minor"/>
      </rPr>
      <t xml:space="preserve"> (He/particle)</t>
    </r>
  </si>
  <si>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(He/particle)</t>
    </r>
  </si>
  <si>
    <t>E+H (kCal/mol)</t>
  </si>
  <si>
    <t>E+G (kCal/mol)</t>
  </si>
  <si>
    <t>1/(T*T) 1/K*K</t>
  </si>
  <si>
    <t>exp. k0</t>
  </si>
  <si>
    <t>k0*h/kb*T</t>
  </si>
  <si>
    <t>BCSB7</t>
  </si>
  <si>
    <t>Structure/6-31G(d)</t>
  </si>
  <si>
    <r>
      <rPr>
        <b/>
        <sz val="11"/>
        <color theme="1"/>
        <rFont val="Calibri"/>
        <family val="2"/>
        <scheme val="minor"/>
      </rPr>
      <t>6-31G(d)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</si>
  <si>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6-31G(d)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</si>
  <si>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6-31G(d)</t>
    </r>
    <r>
      <rPr>
        <sz val="11"/>
        <color theme="1"/>
        <rFont val="Calibri"/>
        <family val="2"/>
        <scheme val="minor"/>
      </rPr>
      <t xml:space="preserve"> TS(corr) (kCal/mol)</t>
    </r>
  </si>
  <si>
    <r>
      <rPr>
        <b/>
        <sz val="11"/>
        <color theme="1"/>
        <rFont val="Calibri"/>
        <family val="2"/>
        <scheme val="minor"/>
      </rPr>
      <t xml:space="preserve">6-31G(d) </t>
    </r>
    <r>
      <rPr>
        <sz val="11"/>
        <color theme="1"/>
        <rFont val="Calibri"/>
        <family val="2"/>
        <scheme val="minor"/>
      </rPr>
      <t>ZPVE(corr) (H/particle)</t>
    </r>
  </si>
  <si>
    <t>Structure/M05/MG3S</t>
  </si>
  <si>
    <t>E+ZPE(B6/B1) (kCal/mol)</t>
  </si>
  <si>
    <t>r0</t>
  </si>
  <si>
    <t>singlet CBSB7</t>
  </si>
  <si>
    <t>Triplet CBSB7</t>
  </si>
  <si>
    <t>ts</t>
  </si>
  <si>
    <t xml:space="preserve"> BS-E+ZPE (kCal/mol)</t>
  </si>
  <si>
    <t>BS-G (kCal/mol)</t>
  </si>
  <si>
    <t>AP-G (kCal/mol)</t>
  </si>
  <si>
    <t>BS-H (kCal/mol)</t>
  </si>
  <si>
    <t>AP-E+ZPE (kCal/mol)</t>
  </si>
  <si>
    <t>AP-H (kCal/mol)</t>
  </si>
  <si>
    <t>h [kCal*s]</t>
  </si>
  <si>
    <t>R [kCal/mol*K]</t>
  </si>
  <si>
    <t>Hartree (kCal/particle)</t>
  </si>
  <si>
    <t>He</t>
  </si>
  <si>
    <t>H2O2_HE_TS</t>
  </si>
  <si>
    <t>kb [kCal/K]</t>
  </si>
  <si>
    <t xml:space="preserve">a = </t>
  </si>
  <si>
    <t xml:space="preserve"> b =</t>
  </si>
  <si>
    <t>a*exp(b*x)</t>
  </si>
  <si>
    <t>SD</t>
  </si>
  <si>
    <t>Ln(k0*h/kb*T)</t>
  </si>
  <si>
    <t>ln(k0)</t>
  </si>
  <si>
    <t>B3LYP Pressure  1 mol/L scale=0.9853</t>
  </si>
  <si>
    <r>
      <rPr>
        <b/>
        <sz val="11"/>
        <color theme="1"/>
        <rFont val="Calibri"/>
        <family val="2"/>
        <scheme val="minor"/>
      </rPr>
      <t>B2(LS)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</si>
  <si>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B2(HS)</t>
    </r>
    <r>
      <rPr>
        <sz val="11"/>
        <color theme="1"/>
        <rFont val="Calibri"/>
        <family val="2"/>
        <scheme val="minor"/>
      </rPr>
      <t xml:space="preserve"> E(elec) (He/particle)</t>
    </r>
  </si>
  <si>
    <t>&lt;S^2&gt; B2(LS)</t>
  </si>
  <si>
    <t>H2O2_HE_PC</t>
  </si>
  <si>
    <t>H2O2_HE_RC</t>
  </si>
  <si>
    <t>HO</t>
  </si>
  <si>
    <t>Ln(k0/T)</t>
  </si>
  <si>
    <t xml:space="preserve">k0He exp. </t>
  </si>
  <si>
    <t xml:space="preserve">k0H2O2 exp. </t>
  </si>
  <si>
    <t>H2O2_H2O2_TS</t>
  </si>
  <si>
    <t>TS1</t>
  </si>
  <si>
    <t>Exp. Standard  error</t>
  </si>
  <si>
    <t>HO*He</t>
  </si>
  <si>
    <t>2*HO+He</t>
  </si>
  <si>
    <t>(HO*HO)_B</t>
  </si>
  <si>
    <t>(HO*HO)_A</t>
  </si>
  <si>
    <t>HO*HO+He A</t>
  </si>
  <si>
    <t>AP</t>
  </si>
  <si>
    <t>BS</t>
  </si>
  <si>
    <t>TS2</t>
  </si>
  <si>
    <t>(HO*HO)_A_T</t>
  </si>
  <si>
    <t>H2O2_HE_TS2_(T)</t>
  </si>
  <si>
    <t>H2O2_(T)</t>
  </si>
  <si>
    <t>H2O2_HE_TS1_(T)</t>
  </si>
  <si>
    <t>O(T)*H2O</t>
  </si>
  <si>
    <t>TE2</t>
  </si>
  <si>
    <t>triplet 1</t>
  </si>
  <si>
    <t>triplet 2</t>
  </si>
  <si>
    <t>H2O2+He</t>
  </si>
  <si>
    <t>(T)H2O2+He</t>
  </si>
  <si>
    <t>O2(T)</t>
  </si>
  <si>
    <t>O2(S)</t>
  </si>
  <si>
    <t>R1</t>
  </si>
  <si>
    <t>H2O2_TS1</t>
  </si>
  <si>
    <t>H2O2_TS2</t>
  </si>
  <si>
    <t>2*HO</t>
  </si>
  <si>
    <t>0.5*(3)O2+H2O</t>
  </si>
  <si>
    <t>(1)(HO*HO)</t>
  </si>
  <si>
    <t>R2</t>
  </si>
  <si>
    <t>(1)O**H2O)</t>
  </si>
  <si>
    <t>0.5*(1)O2+H2O</t>
  </si>
  <si>
    <t>(1)O*H2O</t>
  </si>
  <si>
    <t>H2O2_TS3</t>
  </si>
  <si>
    <t>R3</t>
  </si>
  <si>
    <t>TS3</t>
  </si>
  <si>
    <t>H2O2_TS4</t>
  </si>
  <si>
    <t>H2O2_TS5(T)</t>
  </si>
  <si>
    <t>(3)H2O2</t>
  </si>
  <si>
    <t>TS5</t>
  </si>
  <si>
    <t>R4</t>
  </si>
  <si>
    <t>(3)(HO*HO)</t>
  </si>
  <si>
    <t>H2O2_TS6(T)</t>
  </si>
  <si>
    <t>R5</t>
  </si>
  <si>
    <t>TS6</t>
  </si>
  <si>
    <t>(3)O**H2O)</t>
  </si>
  <si>
    <t>(3)O*H2O</t>
  </si>
  <si>
    <t>high</t>
  </si>
  <si>
    <t>O(S)</t>
  </si>
  <si>
    <t>O(T)</t>
  </si>
  <si>
    <t>(1)O+H2O</t>
  </si>
  <si>
    <t>(3)O+H2O</t>
  </si>
  <si>
    <t>B3LYP Pressure  1 mol/L scale=0.9806 B1=6-31G(d) B2=MG3S T=298.15K</t>
  </si>
  <si>
    <t>B3LYP Pressure  1 mol/L scale=0.9806 B1=6-31G(d) B2=6-311+G(2d,p) T=298.15K</t>
  </si>
  <si>
    <t>B3LYP Pressure  1 mol/L scale=0.9806 B1=6-31G(d) B2=6-31+G(d,p) T=298.15K</t>
  </si>
  <si>
    <t>Experimental standard error</t>
  </si>
  <si>
    <t>Experimental activation energy</t>
  </si>
  <si>
    <t>H2O2_2H2O_TS</t>
  </si>
  <si>
    <t>H2O2_2H2O_TS_RC</t>
  </si>
  <si>
    <t>HO2(-)_2H2O_TS</t>
  </si>
  <si>
    <t>HO2(-)_2H2O_TS_RC</t>
  </si>
  <si>
    <t>Ar</t>
  </si>
  <si>
    <t>H2O2_Ar_TS</t>
  </si>
  <si>
    <t>H2O2_AR_TS</t>
  </si>
  <si>
    <t>HO*HO_A</t>
  </si>
  <si>
    <t>AP-B3LYP/MG3S//B3LYP/MG3S singlet surface</t>
  </si>
  <si>
    <t>B3LYP/MG3S//B3LYP/MG3S triplet surface</t>
  </si>
  <si>
    <t>2HO</t>
  </si>
  <si>
    <t>AP-B3LYP/6311++G(3df,3pd)//B3LYP/6-31G(d)</t>
  </si>
  <si>
    <t>Triplet</t>
  </si>
  <si>
    <t>H2O2_TS1(S)</t>
  </si>
  <si>
    <t>H2O2_TS1(T)</t>
  </si>
  <si>
    <t>B3LYP/6311++G(3df,3pd)//B3LYP/6-31G(d) Triplet surface</t>
  </si>
  <si>
    <t>H2O2_TS1(T)_RC</t>
  </si>
  <si>
    <t>H2O2_TS1(T)_PC</t>
  </si>
  <si>
    <t>H2O2_TS1(S)_PC</t>
  </si>
  <si>
    <t>TS1(S)</t>
  </si>
  <si>
    <t>TS1(T)</t>
  </si>
  <si>
    <t>TS1(T)_PC</t>
  </si>
  <si>
    <t>O(T)+H2O</t>
  </si>
  <si>
    <t>H2O2_TS1(S)_PC_T</t>
  </si>
  <si>
    <t>HO*HO(S)</t>
  </si>
  <si>
    <t>HO*HO(T)</t>
  </si>
  <si>
    <t>HO*HO(S-&gt;T)</t>
  </si>
  <si>
    <t>TS2(T)</t>
  </si>
  <si>
    <t>H2O2_TS2(T)</t>
  </si>
  <si>
    <t>H2O2_TS2(T)_RC</t>
  </si>
  <si>
    <t>H2O2_TS2(T)_PC</t>
  </si>
  <si>
    <t>TS2(T)_PC</t>
  </si>
  <si>
    <t>H2O2_Ar_TS1(S)</t>
  </si>
  <si>
    <t>AP-B3LYP/6-31+G(d,p)//UB3LYP/6-31G(d) Singlet surface</t>
  </si>
  <si>
    <t>AP-B3LYP/6-311+G(2d,p)//UB3LYP/6-31G(d) Singlet surface</t>
  </si>
  <si>
    <t>AP-B3LYP/6-311+G(2df,2p)//UB3LYP/6-31G(d) Singlet surface</t>
  </si>
  <si>
    <t>AP-B3LYP/6-311+G(2df,2p)//UB3LYP/6-311+G(2df,2p) Singlet surface</t>
  </si>
  <si>
    <t>AP-B3LYP/6311++G(3df,3pd)//UB3LYP/6-31G(d) Singlet surface</t>
  </si>
  <si>
    <t>UB3LYP/6-311++G(3df,3pd)//UB3LYP/6-31G(d) Singlet surface</t>
  </si>
  <si>
    <t>AP-B3LYP/6-311++G(3df,3pd)//UB3LYP/6-31G(d) Singlet surface</t>
  </si>
  <si>
    <t>UB3LYP/6-311++G(3df,3pd)//UB3LYP/6-31G(d) Triplet surface</t>
  </si>
  <si>
    <r>
      <t xml:space="preserve">SCRF(LS) </t>
    </r>
    <r>
      <rPr>
        <sz val="11"/>
        <color theme="1"/>
        <rFont val="Calibri"/>
        <family val="2"/>
        <scheme val="minor"/>
      </rPr>
      <t>(kCal/mol)</t>
    </r>
  </si>
  <si>
    <r>
      <t xml:space="preserve">SCRF(HS) </t>
    </r>
    <r>
      <rPr>
        <sz val="11"/>
        <color theme="1"/>
        <rFont val="Calibri"/>
        <family val="2"/>
        <scheme val="minor"/>
      </rPr>
      <t>(kCal/mol)</t>
    </r>
  </si>
  <si>
    <t>SCRF&lt;S^2&gt; B2(LS)</t>
  </si>
  <si>
    <t>AP-SCRF (kCal/mol)</t>
  </si>
  <si>
    <t>B3LYP Pressure  1 mol/L scale=0.9806 B1=6-31G(d) B2=6-311++G(3df,3pd) T=298.15K SCRF/B1</t>
  </si>
  <si>
    <t>BS-SCRF (kCal/mol)</t>
  </si>
  <si>
    <t>H2O2_2H2O_A_RC</t>
  </si>
  <si>
    <t>H2O2_2H2O_A_TS</t>
  </si>
  <si>
    <t>H2O2_2H2O_A_PC</t>
  </si>
  <si>
    <t>H2O2_2H2O_B_RC</t>
  </si>
  <si>
    <t>H2O2_2H2O_B_TS</t>
  </si>
  <si>
    <t>H2O2_2H2O_B_PC</t>
  </si>
  <si>
    <t>H2O2_H2O_HO(-)_TS_RC</t>
  </si>
  <si>
    <t>H2O2_H2O_HO(-)_TS_PC</t>
  </si>
  <si>
    <t>H2O2_H2O_HO(-)_TS</t>
  </si>
  <si>
    <t>H2O2_TS3_PC</t>
  </si>
  <si>
    <t>TS3(T)</t>
  </si>
  <si>
    <t>TS3(T)_PC</t>
  </si>
  <si>
    <t>B3LYP Pressure  1 mol/L scale=0.9877 B2=6311++G(3df,3pd) T=298.15K</t>
  </si>
  <si>
    <t>HO*HO_A(S)</t>
  </si>
  <si>
    <t>HO*HO_A(T)</t>
  </si>
  <si>
    <t>UB3LYP/6-311++G(3df,3pd)</t>
  </si>
  <si>
    <t>H2O2_TS3(T)</t>
  </si>
  <si>
    <t>H2O2_TS3(T)_PC</t>
  </si>
  <si>
    <t>Exp. Activation energy: Hong et al. (2010)</t>
  </si>
  <si>
    <t>Exp. Activation energy: Kappel et al. (2002)</t>
  </si>
  <si>
    <t xml:space="preserve"> BS-E (kCal/mol)</t>
  </si>
  <si>
    <t>AP-E (kCal/mol)</t>
  </si>
  <si>
    <t>BS+ZPVE</t>
  </si>
  <si>
    <t>AP+ZPVE</t>
  </si>
  <si>
    <t>Sellevåg</t>
  </si>
  <si>
    <t>CAS+ZPVE</t>
  </si>
  <si>
    <t>aTZ+ZPVE</t>
  </si>
  <si>
    <t>EBQ+ZPVE</t>
  </si>
  <si>
    <t>CAS E</t>
  </si>
  <si>
    <t>M05 Pressure  1 mol/L scale=0.9877 B2=6311++G(3df,3pd) T=298.15K</t>
  </si>
  <si>
    <t>M052X Pressure  1 mol/L scale=0.9877 B2=6311++G(3df,3pd) T=298.15K</t>
  </si>
  <si>
    <t>MPW1K Pressure  1 mol/L scale=0.9877 B2=6311++G(3df,3pd) T=298.15K</t>
  </si>
  <si>
    <t>BS-M05</t>
  </si>
  <si>
    <t>BS-M=52X</t>
  </si>
  <si>
    <t>BS-MPW1K</t>
  </si>
  <si>
    <t>Ee</t>
  </si>
  <si>
    <t xml:space="preserve">Ee at UM05/6-311++G(3df,3pd)  </t>
  </si>
  <si>
    <t xml:space="preserve">Ee at UM052X/6-311++G(3df,3pd)  </t>
  </si>
  <si>
    <t>Ee+ZPVE</t>
  </si>
  <si>
    <t>Yingbin</t>
  </si>
  <si>
    <t>AP-M052X</t>
  </si>
  <si>
    <t>BS-M052X</t>
  </si>
  <si>
    <t>AP-M05</t>
  </si>
  <si>
    <t>Ee + ZPVE at (AP/U)B3LYP/6-311++G(3df,3pd)</t>
  </si>
  <si>
    <t>Ee at (AP/U)B3LYP/6-311++G(3df,3pd)</t>
  </si>
  <si>
    <t xml:space="preserve">Ee at (AP/U)MPW1K/6-311++G(3df,3pd)  </t>
  </si>
  <si>
    <t xml:space="preserve">Ee + ZPVE at (AP/U)MPW1K/6-311++G(3df,3pd)  </t>
  </si>
  <si>
    <t>Ee + at CCSD(T)/EB5Q//MP2/aug-cc-pVTZ: Sellevåg et al. (2009)</t>
  </si>
  <si>
    <t>Ee  at CCSD(T)/aug-cc-pVTZ//MP2/aug-cc-pVTZ: Sellevåg et al. (2009)</t>
  </si>
  <si>
    <t xml:space="preserve">Ee at AP-M05/6-311++G(3df,3pd)  </t>
  </si>
  <si>
    <t xml:space="preserve">Ee at AP-M052X/6-311++G(3df,3pd)  </t>
  </si>
  <si>
    <t>Experimental electronic bond dissociation energy (De): Luo et al. (1992)</t>
  </si>
  <si>
    <t>H2O+O(S)</t>
  </si>
  <si>
    <t>TS3(S)</t>
  </si>
  <si>
    <t>TS3(S)_PC</t>
  </si>
  <si>
    <t>H2O2_TS3(S)</t>
  </si>
  <si>
    <t>H2O2_TS3(S)_PC</t>
  </si>
  <si>
    <t>H2O2(T)</t>
  </si>
  <si>
    <t>HO*HO_A(S)(T)</t>
  </si>
  <si>
    <t>H2O2_TS1(S)(T)</t>
  </si>
  <si>
    <t>HO*HO(S)(T)</t>
  </si>
  <si>
    <t>TS1(S)(T)</t>
  </si>
  <si>
    <t>HO*HO_A(T)(S)</t>
  </si>
  <si>
    <t>HO*HO(T)(S)</t>
  </si>
  <si>
    <t xml:space="preserve">Singlet surface, Ee at  B3LYP/6-311++G(3df,3pd)  </t>
  </si>
  <si>
    <t>H2O2_TS3(T)(S)</t>
  </si>
  <si>
    <t>TS3(T)(S)</t>
  </si>
  <si>
    <t>H2O2_TS3(T)(S)_PC</t>
  </si>
  <si>
    <t>TS3_PC(T)(S)</t>
  </si>
  <si>
    <t>O(S)+H2O</t>
  </si>
  <si>
    <t>70mEV(J)=</t>
  </si>
  <si>
    <t>Ee at CASPT2/aug-cc-pVTZ: Sellevåg et al. (2009)X~</t>
  </si>
  <si>
    <t>X~ surface, Ee  at CASPT2/aug-cc-pVTZ Sellevåg et al. (2009)</t>
  </si>
  <si>
    <t xml:space="preserve"> surface, Ee at  B3LYP/6-311++G(3df,3pd)  </t>
  </si>
  <si>
    <t>ADZ</t>
  </si>
  <si>
    <t>HF</t>
  </si>
  <si>
    <t>BS_HF</t>
  </si>
  <si>
    <t>cas(10,6)</t>
  </si>
  <si>
    <t>DIF</t>
  </si>
  <si>
    <t>ATZ</t>
  </si>
  <si>
    <t>adz</t>
  </si>
  <si>
    <t>UHF</t>
  </si>
  <si>
    <t>A</t>
  </si>
  <si>
    <t>B</t>
  </si>
  <si>
    <t>C</t>
  </si>
  <si>
    <t>M052x Pressure  1 mol/Lscale=0.962   B2=MG3S,3pd T=298.15K</t>
  </si>
  <si>
    <t>TS1(S)_PC</t>
  </si>
  <si>
    <t>TS1(T)(S)_PC</t>
  </si>
  <si>
    <t>Ee AP</t>
  </si>
  <si>
    <t>Singlet</t>
  </si>
  <si>
    <t>TS1(T)_RC</t>
  </si>
  <si>
    <t>H2O2_TS2(T)_PC_A</t>
  </si>
  <si>
    <t>H2O2_TS2(T)_PC_B</t>
  </si>
  <si>
    <t>H2O2_TS1(T)(S)_PC</t>
  </si>
  <si>
    <t>m</t>
  </si>
  <si>
    <t>casscf(6x4)/aug-cc-pvdz geom=M052X/MG3S</t>
  </si>
  <si>
    <r>
      <rPr>
        <b/>
        <sz val="11"/>
        <color theme="1"/>
        <rFont val="Calibri"/>
        <family val="2"/>
        <scheme val="minor"/>
      </rPr>
      <t xml:space="preserve">CAS </t>
    </r>
    <r>
      <rPr>
        <sz val="11"/>
        <color theme="1"/>
        <rFont val="Calibri"/>
        <family val="2"/>
        <scheme val="minor"/>
      </rPr>
      <t>E(elec) (He/particle)</t>
    </r>
  </si>
  <si>
    <r>
      <rPr>
        <b/>
        <sz val="11"/>
        <color theme="1"/>
        <rFont val="Calibri"/>
        <family val="2"/>
        <scheme val="minor"/>
      </rPr>
      <t xml:space="preserve">M052X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</si>
  <si>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M052X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</si>
  <si>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M052X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</si>
  <si>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M052X</t>
    </r>
    <r>
      <rPr>
        <sz val="11"/>
        <color theme="1"/>
        <rFont val="Calibri"/>
        <family val="2"/>
        <scheme val="minor"/>
      </rPr>
      <t xml:space="preserve"> TS(corr) (kCal/mol)</t>
    </r>
  </si>
  <si>
    <t>CASSCF(6,4)/adz MP2</t>
  </si>
  <si>
    <t>Enz</t>
  </si>
  <si>
    <t>Enz(OH)(OH)</t>
  </si>
  <si>
    <t>Enz(OOH)(OH)</t>
  </si>
  <si>
    <t>Enz((OOH)(OOH)</t>
  </si>
  <si>
    <t>[He]</t>
  </si>
  <si>
    <t>Ee,DFT1</t>
  </si>
  <si>
    <t>Ee,DFT2</t>
  </si>
  <si>
    <t>Ee,DFT3</t>
  </si>
  <si>
    <t>Ee,DFT4</t>
  </si>
  <si>
    <t>DFT1=ONIOM(B3LYP/6-31G(d):PM6)</t>
  </si>
  <si>
    <t>DFT2=ONIOM(B3LYP/6-311+G(2d,p):PM6)+Scrf=smd</t>
  </si>
  <si>
    <t>DFT3=ONIOM(M06/6-311+G(2d,p):PM6)+Scrf=smd</t>
  </si>
  <si>
    <t>DFT4=ONIOM(M062X/6-311+G(2d,p):PM6)+Scrf=smd</t>
  </si>
  <si>
    <t>v(i)</t>
  </si>
  <si>
    <t>1/cm</t>
  </si>
  <si>
    <t>H(coor)</t>
  </si>
  <si>
    <t>ZPVE(coor)</t>
  </si>
  <si>
    <t>G(coor)</t>
  </si>
  <si>
    <t>Geom+Thermo(298K)=DFT1</t>
  </si>
  <si>
    <t>TS(coor)</t>
  </si>
  <si>
    <t>[kCal/mol]</t>
  </si>
  <si>
    <t>H,DFT1</t>
  </si>
  <si>
    <t>H,DFT2</t>
  </si>
  <si>
    <t>H,DFT3</t>
  </si>
  <si>
    <t>H,DFT4</t>
  </si>
  <si>
    <t>ONIOM=ONIOMM-3</t>
  </si>
  <si>
    <t>H.DFT2</t>
  </si>
  <si>
    <t>Enz(OH)(OH)&lt;-(Enz+H2O)</t>
  </si>
  <si>
    <t>Enz(OOH)(OH)&lt;-(Enz+H2O2)</t>
  </si>
  <si>
    <t>(Enz(OOH)(OOH)+H2O)&lt;-(Enz+2H2O2)</t>
  </si>
  <si>
    <t>(Enz(OO)+H2O)&lt;-(Enz+H2O2)</t>
  </si>
  <si>
    <t>H.DFT3</t>
  </si>
  <si>
    <t>H.DFT4</t>
  </si>
  <si>
    <t>Enz(OO)_C</t>
  </si>
  <si>
    <t>zerro explicit water solvent:</t>
  </si>
  <si>
    <t>Enz*H2O</t>
  </si>
  <si>
    <t>Enz(OH)(OH)*H2O</t>
  </si>
  <si>
    <t>Enz(OOH)(OH)*H2O</t>
  </si>
  <si>
    <t>Enz(OO)_C*H2O</t>
  </si>
  <si>
    <t>Enz((OOH)(OOH)*H2O</t>
  </si>
  <si>
    <t>1 explicit water solvent:</t>
  </si>
  <si>
    <t>G,DFT1</t>
  </si>
  <si>
    <t>G,DFT2</t>
  </si>
  <si>
    <t>G,DFT3</t>
  </si>
  <si>
    <t>G,DFT4</t>
  </si>
  <si>
    <t>Ee,DFT2(LS)</t>
  </si>
  <si>
    <t>Ee,DFT2(HS)</t>
  </si>
  <si>
    <t>Ee,DFT3(LS)</t>
  </si>
  <si>
    <t>Ee,DFT3(HS)</t>
  </si>
  <si>
    <t>&lt;S^2&gt; DFT2(LS)</t>
  </si>
  <si>
    <t>&lt;S^2&gt; DFT3(LS)</t>
  </si>
  <si>
    <t>Ee,DFT4(LS)</t>
  </si>
  <si>
    <t>Ee,DFT4(HS)</t>
  </si>
  <si>
    <t>&lt;S^2&gt; DFT4(LS)</t>
  </si>
  <si>
    <t>H,DFT2(LS)</t>
  </si>
  <si>
    <t>H,DFT1(LS)</t>
  </si>
  <si>
    <t>H,DFT2(HS)</t>
  </si>
  <si>
    <t>H,DFT3(LS)</t>
  </si>
  <si>
    <t>H,DFT3(HS)</t>
  </si>
  <si>
    <t>H,DFT4(LS)</t>
  </si>
  <si>
    <t>H,DFT4(HS)</t>
  </si>
  <si>
    <t>TS2(OOH)(OH)_RC</t>
  </si>
  <si>
    <t>TS2(OOH)(OOH)</t>
  </si>
  <si>
    <t>iv (1/cm)</t>
  </si>
  <si>
    <t>TS2(OOH)(OO(-))_RC</t>
  </si>
  <si>
    <t>TS2(OOH)(OO(-))</t>
  </si>
  <si>
    <t>TS2(OOH)(OH)</t>
  </si>
  <si>
    <t>E+HO2(-)-&gt;E(-)+H2O2</t>
  </si>
  <si>
    <t>Gr</t>
  </si>
  <si>
    <t>HO2(-)*2H2O</t>
  </si>
  <si>
    <t>Enz((OOH)(OO(-))_C</t>
  </si>
  <si>
    <t>TS2(OOH)(OOH)_B_RC</t>
  </si>
  <si>
    <t>(-)</t>
  </si>
  <si>
    <t>neutral</t>
  </si>
  <si>
    <t>M06</t>
  </si>
  <si>
    <t>SUM</t>
  </si>
  <si>
    <t>OME</t>
  </si>
  <si>
    <t>H</t>
  </si>
  <si>
    <t>mean [M/s]</t>
  </si>
  <si>
    <t>DFT1=B3LYP/6-31G(d)</t>
  </si>
  <si>
    <t>DFT2=B3LYP/6-311+G(2d,p)+Scrf=smd</t>
  </si>
  <si>
    <t>DFT3=M06/6-311+G(2d,p)+Scrf=smd</t>
  </si>
  <si>
    <t>DFT4=M062X/6-311+G(2d,p)+Scrf=smd</t>
  </si>
  <si>
    <t>MeO-BnOH</t>
  </si>
  <si>
    <t>2*BnOH</t>
  </si>
  <si>
    <t>2*BnOH*H2O2_RC</t>
  </si>
  <si>
    <t>2*BnOH*H2O2_TS</t>
  </si>
  <si>
    <t>BnOH*H2O2_RC</t>
  </si>
  <si>
    <t>BnOH*H2O2_TS</t>
  </si>
  <si>
    <t>G,DFT1(LS)</t>
  </si>
  <si>
    <t>G,DFT2(LS)</t>
  </si>
  <si>
    <t>G,DFT2(HS)</t>
  </si>
  <si>
    <t>G,DFT3(LS)</t>
  </si>
  <si>
    <t>G,DFT3(HS)</t>
  </si>
  <si>
    <t>G,DFT4(LS)</t>
  </si>
  <si>
    <t>G,DFT4(HS)</t>
  </si>
  <si>
    <t>Kd1</t>
  </si>
  <si>
    <t>DFT2</t>
  </si>
  <si>
    <t>DFT3</t>
  </si>
  <si>
    <t>DFT4</t>
  </si>
  <si>
    <t>G(1 mM)</t>
  </si>
  <si>
    <t>G(1 atm)</t>
  </si>
  <si>
    <t>BS_k1</t>
  </si>
  <si>
    <t>SUM_k1</t>
  </si>
  <si>
    <t>2*BnOH*H2O2</t>
  </si>
  <si>
    <t>BnOH*H2O2</t>
  </si>
  <si>
    <t>Sum_k1_tunnel</t>
  </si>
  <si>
    <t>BnOH*HO2(-)_RC</t>
  </si>
  <si>
    <t>BnOH*HO2(-)_TS</t>
  </si>
  <si>
    <t>BnOH*HO2(-)</t>
  </si>
  <si>
    <t>k1</t>
  </si>
  <si>
    <t>BnOH*HO2Na_RC</t>
  </si>
  <si>
    <t>BnOH*HO2Na_TS</t>
  </si>
  <si>
    <t xml:space="preserve"> 0.145829 (</t>
  </si>
  <si>
    <t>BnOH*HO2Na</t>
  </si>
  <si>
    <t>BnOH*HO2(-)_TS2</t>
  </si>
  <si>
    <t>Na(+)</t>
  </si>
  <si>
    <t>TS2(OOH)(OO(-))_RC_MeO</t>
  </si>
  <si>
    <t>TS2(OOH)(OO(-))_MeO</t>
  </si>
  <si>
    <t>TS2(OOH)(OO(-))_RC_Bromo</t>
  </si>
  <si>
    <t>TS2(OOH)(OO(-))_Bromo</t>
  </si>
  <si>
    <t>BrBnOH</t>
  </si>
  <si>
    <t>TS2(OOH)(OOH)_RC_MeO</t>
  </si>
  <si>
    <t>TS2(OOH)(OOH)_MeO</t>
  </si>
  <si>
    <t>Vmax (mM/s)</t>
  </si>
  <si>
    <t xml:space="preserve"> f(x) = k1*x/(Kd1+x+x*x/Kd2)</t>
  </si>
  <si>
    <t xml:space="preserve">  k1 = </t>
  </si>
  <si>
    <t xml:space="preserve">  Kd1 =     </t>
  </si>
  <si>
    <t>Kd2 =</t>
  </si>
  <si>
    <t>313 K</t>
  </si>
  <si>
    <t>308 K</t>
  </si>
  <si>
    <t>298 K</t>
  </si>
  <si>
    <r>
      <t>R*ln(kcat*h/Kd*T*k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</t>
    </r>
  </si>
  <si>
    <t>AlO4H3</t>
  </si>
  <si>
    <t>AlO4H3*H2O</t>
  </si>
  <si>
    <t>AlO4H3*2(MeOBnOH)</t>
  </si>
  <si>
    <t>AlO4H3*MeOBnOH_TS</t>
  </si>
  <si>
    <t>AlO4H3*MeOBnOH_PC</t>
  </si>
  <si>
    <t>AlO4H3*2(MeOBnOH)_PC</t>
  </si>
  <si>
    <t>AlO4H3*2(MeOBnOH)_TS_1</t>
  </si>
  <si>
    <t>AlO4H3*2(MeOBnOH)_TS_2</t>
  </si>
  <si>
    <t>AlO4H3*MeOBnOH_1</t>
  </si>
  <si>
    <t>AlO4H3*MeOBnOH_2</t>
  </si>
  <si>
    <t>Dimer</t>
  </si>
  <si>
    <t>Trimer(no solvent)</t>
  </si>
  <si>
    <t>Kd3</t>
  </si>
  <si>
    <t>0*H2O</t>
  </si>
  <si>
    <t>1*H2O</t>
  </si>
  <si>
    <t>Kd2</t>
  </si>
  <si>
    <t>[Na(+)]</t>
  </si>
  <si>
    <t>kcat/Km</t>
  </si>
  <si>
    <t>pka3</t>
  </si>
  <si>
    <t>Data</t>
  </si>
  <si>
    <t>(5.306e-005, 7.128e-005)</t>
  </si>
  <si>
    <t>(2.076, 4.167)</t>
  </si>
  <si>
    <t>Adjusted R-square: 0.9966</t>
  </si>
  <si>
    <t>(7.657e-005, 0.0002155)</t>
  </si>
  <si>
    <t xml:space="preserve"> Adjusted R-square: 0.9851</t>
  </si>
  <si>
    <t>(6.185e-005, 0.0002948)</t>
  </si>
  <si>
    <t>(-0.5367, 14.26)</t>
  </si>
  <si>
    <t xml:space="preserve"> Adjusted R-square: 0.9852</t>
  </si>
  <si>
    <t>(0.0001074, 0.0002486)</t>
  </si>
  <si>
    <t>(2.719, 12.21)</t>
  </si>
  <si>
    <t>Adjusted R-square: 0.9955</t>
  </si>
  <si>
    <t>3000 s</t>
  </si>
  <si>
    <t>3000s</t>
  </si>
  <si>
    <t>496s</t>
  </si>
  <si>
    <t>data130</t>
  </si>
  <si>
    <t>data131</t>
  </si>
  <si>
    <t>data13</t>
  </si>
  <si>
    <t>pH (pyrophosphat)</t>
  </si>
  <si>
    <t>P1 + P3</t>
  </si>
  <si>
    <t>M062X</t>
  </si>
  <si>
    <t>2*H2O2</t>
  </si>
  <si>
    <t>MeO</t>
  </si>
  <si>
    <t>Temp.</t>
  </si>
  <si>
    <t>fit with smoothe data. Linar fit at first steady state</t>
  </si>
  <si>
    <t>function = a*[S]/(b+[S])</t>
  </si>
  <si>
    <t>data</t>
  </si>
  <si>
    <t>a/b</t>
  </si>
  <si>
    <t>[E] mM</t>
  </si>
  <si>
    <t>log10(a/[E])</t>
  </si>
  <si>
    <t>log10(a/b[E])</t>
  </si>
  <si>
    <t>data3</t>
  </si>
  <si>
    <t>data5</t>
  </si>
  <si>
    <t>78 mM Boric acid buffer</t>
  </si>
  <si>
    <t>65 mM Phosphate buffer</t>
  </si>
  <si>
    <t>a/[E]</t>
  </si>
  <si>
    <t>V</t>
  </si>
  <si>
    <t>pKa</t>
  </si>
  <si>
    <t>Adjusted R^2</t>
  </si>
  <si>
    <t>a/b[E]</t>
  </si>
  <si>
    <t xml:space="preserve">95% conf </t>
  </si>
  <si>
    <t>a(max)</t>
  </si>
  <si>
    <t>a(min)</t>
  </si>
  <si>
    <t>b(min)</t>
  </si>
  <si>
    <t>b(max)</t>
  </si>
  <si>
    <t>f(pH) = log10(V/(1+10^(pKa-pH)))</t>
  </si>
  <si>
    <t>(0.0006623, 0.001808)</t>
  </si>
  <si>
    <t>(8.139, 8.581)</t>
  </si>
  <si>
    <t>f(pH) = log10(V/(1+10^(pKa-pH))), weights = 1/a(max-min)</t>
  </si>
  <si>
    <t>SE</t>
  </si>
  <si>
    <t>SE %</t>
  </si>
  <si>
    <t>(7.189, 8.381)</t>
  </si>
  <si>
    <t>(9.096e-005, 0.000294)</t>
  </si>
  <si>
    <t>SE/2</t>
  </si>
  <si>
    <t>fit of log(V/1+10^(pKa-pH))</t>
  </si>
  <si>
    <t xml:space="preserve"> [1/s]</t>
  </si>
  <si>
    <t>400-1000</t>
  </si>
  <si>
    <t>450-1400</t>
  </si>
  <si>
    <t>800-1800</t>
  </si>
  <si>
    <t>1000-2000</t>
  </si>
  <si>
    <t>0-2000</t>
  </si>
  <si>
    <t>0-1200</t>
  </si>
  <si>
    <t>1000-2700</t>
  </si>
  <si>
    <t>0-3500</t>
  </si>
  <si>
    <t>data149</t>
  </si>
  <si>
    <t>P1 + P4</t>
  </si>
  <si>
    <t>P1 + P5</t>
  </si>
  <si>
    <t>P1 + P1</t>
  </si>
  <si>
    <t>P1 + P0</t>
  </si>
  <si>
    <t>fit with smoothe data. Linar fit at first steady state, b=burst phase, a=autocatalytic, c=caotic</t>
  </si>
  <si>
    <t>500-2000</t>
  </si>
  <si>
    <t>2200-4800</t>
  </si>
  <si>
    <t>2200-4800,b</t>
  </si>
  <si>
    <t>Fit</t>
  </si>
  <si>
    <t>1,2,3,4</t>
  </si>
  <si>
    <t>1,2,3</t>
  </si>
  <si>
    <t>1700-3300</t>
  </si>
  <si>
    <t>1700-3300,b</t>
  </si>
  <si>
    <t>300-1100,a,c</t>
  </si>
  <si>
    <t>1100-3000</t>
  </si>
  <si>
    <t>1300-5200,b</t>
  </si>
  <si>
    <t>0-1500</t>
  </si>
  <si>
    <t>400-1400,a</t>
  </si>
  <si>
    <t>500-1500,a</t>
  </si>
  <si>
    <t>11000-17000,b</t>
  </si>
  <si>
    <t>2000-4500.b</t>
  </si>
  <si>
    <t>1600-3700,b</t>
  </si>
  <si>
    <t>1300-3700,b</t>
  </si>
  <si>
    <t>0-240,a</t>
  </si>
  <si>
    <t>60-540,b</t>
  </si>
  <si>
    <t>600-3000</t>
  </si>
  <si>
    <t>240-2800</t>
  </si>
  <si>
    <t>500-1000,a</t>
  </si>
  <si>
    <t>120-420,a</t>
  </si>
  <si>
    <t>420-5200</t>
  </si>
  <si>
    <t>0-3060</t>
  </si>
  <si>
    <t>420-1020,a</t>
  </si>
  <si>
    <t>360-1020,a</t>
  </si>
  <si>
    <t xml:space="preserve"> (7.492, 8.374)</t>
  </si>
  <si>
    <t>(0.0002022, 0.0004902)</t>
  </si>
  <si>
    <t>(7.492, 8.374)</t>
  </si>
  <si>
    <t>(1.164e-005, 3.897e-005)</t>
  </si>
  <si>
    <t>(7.768, 8.716)</t>
  </si>
  <si>
    <t>H202</t>
  </si>
  <si>
    <t>H20</t>
  </si>
  <si>
    <t xml:space="preserve">fit of log(V/1+10^(pKa-pH))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</si>
</sst>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0.000E+00"/>
    <numFmt numFmtId="165" formatCode="0.0"/>
    <numFmt numFmtId="166" formatCode="0.0E+00"/>
    <numFmt numFmtId="167" formatCode="0.000"/>
    <numFmt numFmtId="168" formatCode="0.0000"/>
    <numFmt numFmtId="169" formatCode="0.0000E+00"/>
    <numFmt numFmtId="170" formatCode="0.0000000000000"/>
    <numFmt numFmtId="171" formatCode="0.000000E+00"/>
    <numFmt numFmtId="172" formatCode="0.00000"/>
    <numFmt numFmtId="173" formatCode="&quot;$&quot;#,##0.0"/>
    <numFmt numFmtId="174" formatCode="0.000000000000"/>
    <numFmt numFmtId="175" formatCode="#,##0.000"/>
    <numFmt numFmtId="176" formatCode="#,##0.0"/>
  </numFmts>
  <fonts count="2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3" applyNumberFormat="0" applyAlignment="0" applyProtection="0"/>
    <xf numFmtId="0" fontId="5" fillId="6" borderId="3" applyNumberFormat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</cellStyleXfs>
  <cellXfs count="259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Border="1"/>
    <xf numFmtId="0" fontId="0" fillId="0" borderId="0" xfId="0" applyFill="1" applyBorder="1"/>
    <xf numFmtId="2" fontId="0" fillId="0" borderId="0" xfId="0" applyNumberFormat="1" applyBorder="1"/>
    <xf numFmtId="166" fontId="0" fillId="0" borderId="0" xfId="0" applyNumberFormat="1"/>
    <xf numFmtId="2" fontId="0" fillId="0" borderId="0" xfId="0" quotePrefix="1" applyNumberFormat="1"/>
    <xf numFmtId="167" fontId="0" fillId="0" borderId="0" xfId="0" applyNumberFormat="1"/>
    <xf numFmtId="0" fontId="4" fillId="5" borderId="3" xfId="4"/>
    <xf numFmtId="0" fontId="7" fillId="0" borderId="0" xfId="0" applyFont="1"/>
    <xf numFmtId="168" fontId="5" fillId="6" borderId="3" xfId="5" applyNumberFormat="1"/>
    <xf numFmtId="168" fontId="4" fillId="5" borderId="3" xfId="4" applyNumberFormat="1"/>
    <xf numFmtId="169" fontId="0" fillId="0" borderId="0" xfId="0" applyNumberFormat="1"/>
    <xf numFmtId="11" fontId="5" fillId="6" borderId="3" xfId="5" applyNumberFormat="1"/>
    <xf numFmtId="164" fontId="5" fillId="6" borderId="3" xfId="5" applyNumberFormat="1"/>
    <xf numFmtId="11" fontId="4" fillId="5" borderId="3" xfId="4" applyNumberFormat="1"/>
    <xf numFmtId="0" fontId="0" fillId="0" borderId="4" xfId="0" applyBorder="1"/>
    <xf numFmtId="0" fontId="0" fillId="0" borderId="6" xfId="0" applyBorder="1"/>
    <xf numFmtId="2" fontId="0" fillId="0" borderId="7" xfId="0" applyNumberFormat="1" applyBorder="1"/>
    <xf numFmtId="0" fontId="0" fillId="0" borderId="8" xfId="0" applyBorder="1"/>
    <xf numFmtId="0" fontId="0" fillId="0" borderId="5" xfId="0" applyBorder="1"/>
    <xf numFmtId="11" fontId="0" fillId="0" borderId="6" xfId="0" applyNumberFormat="1" applyBorder="1"/>
    <xf numFmtId="0" fontId="0" fillId="0" borderId="9" xfId="0" applyBorder="1"/>
    <xf numFmtId="11" fontId="0" fillId="0" borderId="9" xfId="0" applyNumberFormat="1" applyBorder="1"/>
    <xf numFmtId="0" fontId="0" fillId="0" borderId="7" xfId="0" applyBorder="1"/>
    <xf numFmtId="0" fontId="7" fillId="0" borderId="1" xfId="0" applyFont="1" applyBorder="1"/>
    <xf numFmtId="0" fontId="8" fillId="5" borderId="10" xfId="4" applyFont="1" applyBorder="1"/>
    <xf numFmtId="165" fontId="4" fillId="5" borderId="3" xfId="4" applyNumberFormat="1"/>
    <xf numFmtId="11" fontId="0" fillId="0" borderId="0" xfId="0" applyNumberFormat="1" applyBorder="1"/>
    <xf numFmtId="164" fontId="4" fillId="5" borderId="3" xfId="4" applyNumberFormat="1"/>
    <xf numFmtId="2" fontId="4" fillId="5" borderId="3" xfId="4" applyNumberFormat="1"/>
    <xf numFmtId="166" fontId="4" fillId="5" borderId="3" xfId="4" applyNumberFormat="1"/>
    <xf numFmtId="167" fontId="4" fillId="5" borderId="3" xfId="4" applyNumberFormat="1"/>
    <xf numFmtId="166" fontId="5" fillId="6" borderId="3" xfId="5" applyNumberFormat="1"/>
    <xf numFmtId="0" fontId="4" fillId="5" borderId="11" xfId="4" applyBorder="1"/>
    <xf numFmtId="11" fontId="4" fillId="5" borderId="11" xfId="4" applyNumberFormat="1" applyBorder="1"/>
    <xf numFmtId="2" fontId="4" fillId="5" borderId="11" xfId="4" applyNumberFormat="1" applyBorder="1"/>
    <xf numFmtId="166" fontId="4" fillId="5" borderId="11" xfId="4" applyNumberFormat="1" applyBorder="1"/>
    <xf numFmtId="166" fontId="5" fillId="6" borderId="11" xfId="5" applyNumberFormat="1" applyBorder="1"/>
    <xf numFmtId="11" fontId="5" fillId="6" borderId="11" xfId="5" applyNumberFormat="1" applyBorder="1"/>
    <xf numFmtId="0" fontId="4" fillId="5" borderId="3" xfId="4" applyBorder="1"/>
    <xf numFmtId="11" fontId="4" fillId="5" borderId="3" xfId="4" applyNumberFormat="1" applyBorder="1"/>
    <xf numFmtId="2" fontId="4" fillId="5" borderId="3" xfId="4" applyNumberFormat="1" applyBorder="1"/>
    <xf numFmtId="166" fontId="4" fillId="5" borderId="3" xfId="4" applyNumberFormat="1" applyBorder="1"/>
    <xf numFmtId="166" fontId="5" fillId="6" borderId="3" xfId="5" applyNumberFormat="1" applyBorder="1"/>
    <xf numFmtId="0" fontId="7" fillId="0" borderId="4" xfId="0" applyFont="1" applyBorder="1"/>
    <xf numFmtId="0" fontId="8" fillId="5" borderId="13" xfId="4" applyFont="1" applyBorder="1"/>
    <xf numFmtId="164" fontId="4" fillId="5" borderId="11" xfId="4" applyNumberFormat="1" applyBorder="1"/>
    <xf numFmtId="0" fontId="7" fillId="0" borderId="12" xfId="0" applyFont="1" applyBorder="1"/>
    <xf numFmtId="0" fontId="4" fillId="5" borderId="14" xfId="4" applyBorder="1"/>
    <xf numFmtId="11" fontId="4" fillId="5" borderId="14" xfId="4" applyNumberFormat="1" applyBorder="1"/>
    <xf numFmtId="2" fontId="4" fillId="5" borderId="14" xfId="4" applyNumberFormat="1" applyBorder="1"/>
    <xf numFmtId="166" fontId="4" fillId="5" borderId="14" xfId="4" applyNumberFormat="1" applyBorder="1"/>
    <xf numFmtId="166" fontId="5" fillId="6" borderId="14" xfId="5" applyNumberFormat="1" applyBorder="1"/>
    <xf numFmtId="11" fontId="5" fillId="6" borderId="14" xfId="5" applyNumberFormat="1" applyBorder="1"/>
    <xf numFmtId="167" fontId="4" fillId="5" borderId="11" xfId="4" applyNumberFormat="1" applyBorder="1"/>
    <xf numFmtId="165" fontId="4" fillId="5" borderId="11" xfId="4" applyNumberFormat="1" applyBorder="1"/>
    <xf numFmtId="165" fontId="4" fillId="5" borderId="14" xfId="4" applyNumberFormat="1" applyBorder="1"/>
    <xf numFmtId="164" fontId="4" fillId="5" borderId="14" xfId="4" applyNumberFormat="1" applyBorder="1"/>
    <xf numFmtId="167" fontId="4" fillId="5" borderId="14" xfId="4" applyNumberFormat="1" applyBorder="1"/>
    <xf numFmtId="0" fontId="7" fillId="0" borderId="15" xfId="0" applyFont="1" applyBorder="1"/>
    <xf numFmtId="0" fontId="4" fillId="5" borderId="14" xfId="4" applyFont="1" applyBorder="1"/>
    <xf numFmtId="11" fontId="4" fillId="5" borderId="14" xfId="4" applyNumberFormat="1" applyFont="1" applyBorder="1"/>
    <xf numFmtId="11" fontId="0" fillId="0" borderId="9" xfId="0" applyNumberFormat="1" applyFont="1" applyBorder="1"/>
    <xf numFmtId="11" fontId="6" fillId="6" borderId="14" xfId="5" applyNumberFormat="1" applyFont="1" applyBorder="1"/>
    <xf numFmtId="0" fontId="5" fillId="6" borderId="3" xfId="5" applyNumberFormat="1"/>
    <xf numFmtId="0" fontId="0" fillId="0" borderId="16" xfId="0" applyBorder="1"/>
    <xf numFmtId="0" fontId="0" fillId="0" borderId="17" xfId="0" applyBorder="1"/>
    <xf numFmtId="165" fontId="7" fillId="0" borderId="15" xfId="0" applyNumberFormat="1" applyFont="1" applyBorder="1"/>
    <xf numFmtId="165" fontId="0" fillId="0" borderId="0" xfId="0" applyNumberFormat="1" applyBorder="1"/>
    <xf numFmtId="11" fontId="0" fillId="0" borderId="17" xfId="0" applyNumberFormat="1" applyBorder="1"/>
    <xf numFmtId="2" fontId="0" fillId="0" borderId="9" xfId="0" applyNumberFormat="1" applyBorder="1"/>
    <xf numFmtId="164" fontId="5" fillId="6" borderId="11" xfId="5" applyNumberFormat="1" applyBorder="1"/>
    <xf numFmtId="164" fontId="5" fillId="6" borderId="14" xfId="5" applyNumberFormat="1" applyBorder="1"/>
    <xf numFmtId="2" fontId="0" fillId="0" borderId="17" xfId="0" applyNumberFormat="1" applyBorder="1"/>
    <xf numFmtId="165" fontId="5" fillId="6" borderId="3" xfId="5" applyNumberFormat="1"/>
    <xf numFmtId="1" fontId="5" fillId="6" borderId="3" xfId="5" applyNumberFormat="1"/>
    <xf numFmtId="166" fontId="8" fillId="5" borderId="19" xfId="4" applyNumberFormat="1" applyFont="1" applyBorder="1"/>
    <xf numFmtId="166" fontId="8" fillId="5" borderId="20" xfId="4" applyNumberFormat="1" applyFont="1" applyBorder="1"/>
    <xf numFmtId="166" fontId="8" fillId="5" borderId="21" xfId="4" applyNumberFormat="1" applyFont="1" applyBorder="1"/>
    <xf numFmtId="0" fontId="8" fillId="5" borderId="22" xfId="4" applyFont="1" applyBorder="1"/>
    <xf numFmtId="0" fontId="0" fillId="0" borderId="23" xfId="0" applyBorder="1"/>
    <xf numFmtId="0" fontId="0" fillId="0" borderId="25" xfId="0" applyBorder="1"/>
    <xf numFmtId="2" fontId="4" fillId="5" borderId="26" xfId="4" applyNumberFormat="1" applyBorder="1"/>
    <xf numFmtId="0" fontId="0" fillId="0" borderId="27" xfId="0" applyBorder="1"/>
    <xf numFmtId="0" fontId="10" fillId="0" borderId="25" xfId="0" applyFont="1" applyBorder="1"/>
    <xf numFmtId="0" fontId="0" fillId="0" borderId="25" xfId="0" applyFill="1" applyBorder="1"/>
    <xf numFmtId="11" fontId="5" fillId="6" borderId="24" xfId="5" applyNumberFormat="1" applyBorder="1"/>
    <xf numFmtId="11" fontId="5" fillId="6" borderId="28" xfId="5" applyNumberFormat="1" applyBorder="1"/>
    <xf numFmtId="169" fontId="5" fillId="6" borderId="23" xfId="5" applyNumberFormat="1" applyBorder="1"/>
    <xf numFmtId="0" fontId="8" fillId="5" borderId="1" xfId="4" applyFont="1" applyBorder="1"/>
    <xf numFmtId="0" fontId="4" fillId="5" borderId="2" xfId="4" applyBorder="1"/>
    <xf numFmtId="0" fontId="0" fillId="0" borderId="16" xfId="0" applyFill="1" applyBorder="1"/>
    <xf numFmtId="2" fontId="5" fillId="6" borderId="31" xfId="5" applyNumberFormat="1" applyBorder="1"/>
    <xf numFmtId="1" fontId="0" fillId="0" borderId="0" xfId="0" applyNumberFormat="1" applyBorder="1"/>
    <xf numFmtId="1" fontId="0" fillId="0" borderId="17" xfId="0" applyNumberFormat="1" applyBorder="1"/>
    <xf numFmtId="0" fontId="0" fillId="0" borderId="6" xfId="0" applyBorder="1" applyAlignment="1">
      <alignment wrapText="1"/>
    </xf>
    <xf numFmtId="0" fontId="0" fillId="0" borderId="0" xfId="0" applyBorder="1" applyAlignment="1">
      <alignment wrapText="1"/>
    </xf>
    <xf numFmtId="165" fontId="0" fillId="0" borderId="7" xfId="0" applyNumberFormat="1" applyBorder="1"/>
    <xf numFmtId="0" fontId="7" fillId="0" borderId="0" xfId="0" applyFont="1" applyBorder="1" applyAlignment="1">
      <alignment wrapText="1"/>
    </xf>
    <xf numFmtId="1" fontId="4" fillId="5" borderId="24" xfId="4" applyNumberFormat="1" applyBorder="1"/>
    <xf numFmtId="0" fontId="4" fillId="5" borderId="32" xfId="4" applyBorder="1"/>
    <xf numFmtId="169" fontId="2" fillId="3" borderId="0" xfId="2" applyNumberFormat="1" applyBorder="1"/>
    <xf numFmtId="169" fontId="2" fillId="3" borderId="33" xfId="2" applyNumberFormat="1" applyBorder="1"/>
    <xf numFmtId="169" fontId="2" fillId="3" borderId="26" xfId="2" applyNumberFormat="1" applyBorder="1"/>
    <xf numFmtId="169" fontId="2" fillId="3" borderId="17" xfId="2" applyNumberFormat="1" applyBorder="1"/>
    <xf numFmtId="169" fontId="2" fillId="3" borderId="28" xfId="2" applyNumberFormat="1" applyBorder="1"/>
    <xf numFmtId="165" fontId="5" fillId="6" borderId="29" xfId="5" applyNumberFormat="1" applyBorder="1"/>
    <xf numFmtId="165" fontId="5" fillId="6" borderId="30" xfId="5" applyNumberFormat="1" applyBorder="1"/>
    <xf numFmtId="165" fontId="5" fillId="6" borderId="31" xfId="5" applyNumberFormat="1" applyBorder="1"/>
    <xf numFmtId="0" fontId="0" fillId="0" borderId="4" xfId="0" applyBorder="1" applyAlignment="1">
      <alignment wrapText="1"/>
    </xf>
    <xf numFmtId="0" fontId="0" fillId="0" borderId="18" xfId="0" applyBorder="1"/>
    <xf numFmtId="0" fontId="12" fillId="3" borderId="18" xfId="2" applyFont="1" applyBorder="1"/>
    <xf numFmtId="0" fontId="13" fillId="2" borderId="18" xfId="1" applyFont="1" applyBorder="1"/>
    <xf numFmtId="0" fontId="14" fillId="4" borderId="18" xfId="3" applyFont="1" applyBorder="1"/>
    <xf numFmtId="165" fontId="2" fillId="3" borderId="18" xfId="2" applyNumberFormat="1" applyBorder="1"/>
    <xf numFmtId="165" fontId="1" fillId="2" borderId="18" xfId="1" applyNumberFormat="1" applyBorder="1"/>
    <xf numFmtId="165" fontId="3" fillId="4" borderId="18" xfId="3" applyNumberFormat="1" applyBorder="1"/>
    <xf numFmtId="166" fontId="0" fillId="0" borderId="0" xfId="0" applyNumberFormat="1" applyBorder="1"/>
    <xf numFmtId="168" fontId="0" fillId="0" borderId="0" xfId="0" applyNumberFormat="1" applyBorder="1"/>
    <xf numFmtId="168" fontId="0" fillId="0" borderId="9" xfId="0" applyNumberFormat="1" applyBorder="1"/>
    <xf numFmtId="1" fontId="0" fillId="0" borderId="0" xfId="0" applyNumberFormat="1"/>
    <xf numFmtId="170" fontId="0" fillId="0" borderId="0" xfId="0" applyNumberFormat="1"/>
    <xf numFmtId="0" fontId="0" fillId="0" borderId="34" xfId="0" applyBorder="1"/>
    <xf numFmtId="165" fontId="0" fillId="0" borderId="34" xfId="0" applyNumberFormat="1" applyBorder="1"/>
    <xf numFmtId="0" fontId="0" fillId="0" borderId="16" xfId="0" applyFont="1" applyFill="1" applyBorder="1"/>
    <xf numFmtId="0" fontId="0" fillId="0" borderId="6" xfId="0" applyFont="1" applyFill="1" applyBorder="1"/>
    <xf numFmtId="0" fontId="0" fillId="0" borderId="6" xfId="0" applyFill="1" applyBorder="1"/>
    <xf numFmtId="2" fontId="7" fillId="0" borderId="15" xfId="0" applyNumberFormat="1" applyFont="1" applyBorder="1"/>
    <xf numFmtId="2" fontId="4" fillId="5" borderId="14" xfId="4" applyNumberFormat="1" applyFont="1" applyBorder="1"/>
    <xf numFmtId="0" fontId="4" fillId="5" borderId="35" xfId="4" applyBorder="1"/>
    <xf numFmtId="0" fontId="4" fillId="5" borderId="20" xfId="4" applyBorder="1"/>
    <xf numFmtId="0" fontId="5" fillId="6" borderId="35" xfId="5" applyBorder="1"/>
    <xf numFmtId="167" fontId="5" fillId="6" borderId="20" xfId="5" applyNumberFormat="1" applyBorder="1"/>
    <xf numFmtId="0" fontId="5" fillId="6" borderId="36" xfId="5" applyBorder="1"/>
    <xf numFmtId="167" fontId="5" fillId="6" borderId="21" xfId="5" applyNumberFormat="1" applyBorder="1"/>
    <xf numFmtId="168" fontId="0" fillId="0" borderId="0" xfId="0" applyNumberFormat="1"/>
    <xf numFmtId="167" fontId="0" fillId="0" borderId="0" xfId="0" applyNumberFormat="1" applyFont="1" applyBorder="1"/>
    <xf numFmtId="0" fontId="2" fillId="3" borderId="0" xfId="2"/>
    <xf numFmtId="165" fontId="2" fillId="3" borderId="0" xfId="2" applyNumberFormat="1"/>
    <xf numFmtId="0" fontId="1" fillId="2" borderId="0" xfId="1"/>
    <xf numFmtId="165" fontId="1" fillId="2" borderId="0" xfId="1" applyNumberFormat="1"/>
    <xf numFmtId="165" fontId="3" fillId="4" borderId="0" xfId="3" applyNumberFormat="1"/>
    <xf numFmtId="2" fontId="5" fillId="6" borderId="3" xfId="5" applyNumberFormat="1"/>
    <xf numFmtId="0" fontId="3" fillId="4" borderId="0" xfId="3" applyBorder="1"/>
    <xf numFmtId="165" fontId="3" fillId="4" borderId="0" xfId="3" applyNumberFormat="1" applyBorder="1"/>
    <xf numFmtId="0" fontId="1" fillId="2" borderId="0" xfId="1" applyBorder="1"/>
    <xf numFmtId="165" fontId="1" fillId="2" borderId="0" xfId="1" applyNumberFormat="1" applyBorder="1"/>
    <xf numFmtId="0" fontId="3" fillId="4" borderId="34" xfId="3" applyBorder="1"/>
    <xf numFmtId="165" fontId="3" fillId="4" borderId="34" xfId="3" applyNumberFormat="1" applyBorder="1"/>
    <xf numFmtId="0" fontId="1" fillId="2" borderId="34" xfId="1" applyBorder="1"/>
    <xf numFmtId="165" fontId="1" fillId="2" borderId="34" xfId="1" applyNumberFormat="1" applyBorder="1"/>
    <xf numFmtId="0" fontId="2" fillId="3" borderId="37" xfId="2" applyBorder="1"/>
    <xf numFmtId="165" fontId="2" fillId="3" borderId="37" xfId="2" applyNumberFormat="1" applyBorder="1"/>
    <xf numFmtId="0" fontId="2" fillId="3" borderId="38" xfId="2" applyBorder="1"/>
    <xf numFmtId="165" fontId="2" fillId="3" borderId="38" xfId="2" applyNumberFormat="1" applyBorder="1"/>
    <xf numFmtId="0" fontId="3" fillId="4" borderId="0" xfId="3"/>
    <xf numFmtId="0" fontId="1" fillId="2" borderId="38" xfId="1" applyBorder="1"/>
    <xf numFmtId="165" fontId="1" fillId="2" borderId="38" xfId="1" applyNumberFormat="1" applyBorder="1"/>
    <xf numFmtId="0" fontId="2" fillId="3" borderId="34" xfId="2" applyBorder="1"/>
    <xf numFmtId="165" fontId="2" fillId="3" borderId="34" xfId="2" applyNumberFormat="1" applyBorder="1"/>
    <xf numFmtId="0" fontId="7" fillId="0" borderId="0" xfId="0" applyFont="1" applyAlignment="1">
      <alignment wrapText="1"/>
    </xf>
    <xf numFmtId="0" fontId="4" fillId="5" borderId="3" xfId="4" applyAlignment="1"/>
    <xf numFmtId="0" fontId="4" fillId="5" borderId="11" xfId="4" applyBorder="1" applyAlignment="1"/>
    <xf numFmtId="0" fontId="4" fillId="5" borderId="14" xfId="4" applyBorder="1" applyAlignment="1"/>
    <xf numFmtId="165" fontId="4" fillId="5" borderId="3" xfId="4" applyNumberFormat="1" applyBorder="1"/>
    <xf numFmtId="11" fontId="4" fillId="5" borderId="20" xfId="4" applyNumberFormat="1" applyBorder="1"/>
    <xf numFmtId="0" fontId="4" fillId="5" borderId="39" xfId="4" applyBorder="1"/>
    <xf numFmtId="11" fontId="4" fillId="5" borderId="39" xfId="4" applyNumberFormat="1" applyBorder="1"/>
    <xf numFmtId="165" fontId="4" fillId="5" borderId="39" xfId="4" applyNumberFormat="1" applyBorder="1"/>
    <xf numFmtId="2" fontId="4" fillId="5" borderId="39" xfId="4" applyNumberFormat="1" applyBorder="1"/>
    <xf numFmtId="166" fontId="4" fillId="5" borderId="39" xfId="4" applyNumberFormat="1" applyBorder="1"/>
    <xf numFmtId="166" fontId="5" fillId="6" borderId="39" xfId="5" applyNumberFormat="1" applyBorder="1"/>
    <xf numFmtId="0" fontId="0" fillId="0" borderId="0" xfId="0" applyAlignment="1">
      <alignment wrapText="1"/>
    </xf>
    <xf numFmtId="168" fontId="8" fillId="5" borderId="3" xfId="4" applyNumberFormat="1" applyFont="1"/>
    <xf numFmtId="2" fontId="5" fillId="6" borderId="29" xfId="5" applyNumberFormat="1" applyBorder="1"/>
    <xf numFmtId="2" fontId="5" fillId="6" borderId="30" xfId="5" applyNumberFormat="1" applyBorder="1"/>
    <xf numFmtId="168" fontId="4" fillId="5" borderId="3" xfId="4" applyNumberFormat="1" applyFont="1"/>
    <xf numFmtId="0" fontId="18" fillId="0" borderId="0" xfId="0" applyFont="1" applyAlignment="1">
      <alignment wrapText="1"/>
    </xf>
    <xf numFmtId="165" fontId="5" fillId="6" borderId="40" xfId="5" applyNumberFormat="1" applyBorder="1"/>
    <xf numFmtId="165" fontId="17" fillId="7" borderId="3" xfId="6" applyNumberFormat="1" applyBorder="1"/>
    <xf numFmtId="165" fontId="17" fillId="8" borderId="3" xfId="7" applyNumberFormat="1" applyBorder="1"/>
    <xf numFmtId="165" fontId="17" fillId="9" borderId="3" xfId="8" applyNumberFormat="1" applyBorder="1"/>
    <xf numFmtId="165" fontId="17" fillId="10" borderId="3" xfId="9" applyNumberFormat="1" applyBorder="1"/>
    <xf numFmtId="165" fontId="17" fillId="11" borderId="3" xfId="10" applyNumberFormat="1" applyBorder="1"/>
    <xf numFmtId="0" fontId="16" fillId="7" borderId="0" xfId="6" applyFont="1" applyAlignment="1">
      <alignment wrapText="1"/>
    </xf>
    <xf numFmtId="0" fontId="16" fillId="8" borderId="0" xfId="7" applyFont="1" applyAlignment="1">
      <alignment wrapText="1"/>
    </xf>
    <xf numFmtId="0" fontId="16" fillId="9" borderId="0" xfId="8" applyFont="1" applyAlignment="1">
      <alignment wrapText="1"/>
    </xf>
    <xf numFmtId="0" fontId="16" fillId="10" borderId="0" xfId="9" applyFont="1" applyAlignment="1">
      <alignment wrapText="1"/>
    </xf>
    <xf numFmtId="0" fontId="16" fillId="11" borderId="0" xfId="10" applyFont="1" applyAlignment="1">
      <alignment wrapText="1"/>
    </xf>
    <xf numFmtId="171" fontId="0" fillId="0" borderId="0" xfId="0" applyNumberFormat="1"/>
    <xf numFmtId="172" fontId="0" fillId="0" borderId="0" xfId="0" applyNumberFormat="1"/>
    <xf numFmtId="165" fontId="19" fillId="0" borderId="0" xfId="0" applyNumberFormat="1" applyFont="1"/>
    <xf numFmtId="173" fontId="0" fillId="0" borderId="0" xfId="0" applyNumberFormat="1"/>
    <xf numFmtId="2" fontId="0" fillId="0" borderId="0" xfId="0" applyNumberFormat="1" applyFont="1"/>
    <xf numFmtId="0" fontId="17" fillId="10" borderId="0" xfId="9" applyAlignment="1">
      <alignment wrapText="1"/>
    </xf>
    <xf numFmtId="165" fontId="17" fillId="10" borderId="0" xfId="9" applyNumberFormat="1"/>
    <xf numFmtId="11" fontId="5" fillId="6" borderId="23" xfId="5" applyNumberFormat="1" applyBorder="1"/>
    <xf numFmtId="11" fontId="5" fillId="6" borderId="29" xfId="5" applyNumberFormat="1" applyBorder="1"/>
    <xf numFmtId="11" fontId="5" fillId="6" borderId="30" xfId="5" applyNumberFormat="1" applyBorder="1"/>
    <xf numFmtId="174" fontId="0" fillId="0" borderId="0" xfId="0" applyNumberFormat="1"/>
    <xf numFmtId="0" fontId="5" fillId="6" borderId="3" xfId="5"/>
    <xf numFmtId="2" fontId="2" fillId="3" borderId="0" xfId="2" applyNumberFormat="1"/>
    <xf numFmtId="2" fontId="1" fillId="2" borderId="0" xfId="1" applyNumberFormat="1"/>
    <xf numFmtId="0" fontId="0" fillId="0" borderId="0" xfId="0" applyFont="1" applyAlignment="1">
      <alignment wrapText="1"/>
    </xf>
    <xf numFmtId="165" fontId="1" fillId="2" borderId="3" xfId="1" applyNumberFormat="1" applyBorder="1"/>
    <xf numFmtId="165" fontId="2" fillId="3" borderId="3" xfId="2" applyNumberFormat="1" applyBorder="1"/>
    <xf numFmtId="0" fontId="0" fillId="0" borderId="0" xfId="0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5" borderId="3" xfId="4"/>
    <xf numFmtId="168" fontId="4" fillId="5" borderId="3" xfId="4" applyNumberFormat="1"/>
    <xf numFmtId="165" fontId="5" fillId="6" borderId="3" xfId="5" applyNumberFormat="1"/>
    <xf numFmtId="0" fontId="2" fillId="3" borderId="0" xfId="2"/>
    <xf numFmtId="0" fontId="1" fillId="2" borderId="0" xfId="1"/>
    <xf numFmtId="0" fontId="7" fillId="0" borderId="0" xfId="0" applyFont="1" applyAlignment="1">
      <alignment wrapText="1"/>
    </xf>
    <xf numFmtId="168" fontId="8" fillId="5" borderId="3" xfId="4" applyNumberFormat="1" applyFont="1"/>
    <xf numFmtId="165" fontId="5" fillId="6" borderId="40" xfId="5" applyNumberFormat="1" applyBorder="1"/>
    <xf numFmtId="0" fontId="0" fillId="0" borderId="0" xfId="0" applyFont="1" applyAlignment="1">
      <alignment wrapText="1"/>
    </xf>
    <xf numFmtId="165" fontId="1" fillId="2" borderId="3" xfId="1" applyNumberFormat="1" applyBorder="1"/>
    <xf numFmtId="165" fontId="2" fillId="3" borderId="3" xfId="2" applyNumberFormat="1" applyBorder="1"/>
    <xf numFmtId="11" fontId="4" fillId="5" borderId="3" xfId="4" applyNumberFormat="1" applyFont="1"/>
    <xf numFmtId="0" fontId="0" fillId="0" borderId="4" xfId="0" applyFont="1" applyFill="1" applyBorder="1"/>
    <xf numFmtId="2" fontId="0" fillId="0" borderId="8" xfId="0" applyNumberFormat="1" applyBorder="1"/>
    <xf numFmtId="11" fontId="0" fillId="0" borderId="8" xfId="0" applyNumberFormat="1" applyBorder="1"/>
    <xf numFmtId="0" fontId="0" fillId="0" borderId="4" xfId="0" applyFill="1" applyBorder="1"/>
    <xf numFmtId="11" fontId="7" fillId="0" borderId="8" xfId="0" applyNumberFormat="1" applyFont="1" applyBorder="1"/>
    <xf numFmtId="11" fontId="7" fillId="0" borderId="5" xfId="0" applyNumberFormat="1" applyFont="1" applyBorder="1"/>
    <xf numFmtId="11" fontId="5" fillId="6" borderId="20" xfId="5" applyNumberFormat="1" applyBorder="1"/>
    <xf numFmtId="0" fontId="7" fillId="0" borderId="0" xfId="0" applyFont="1" applyFill="1" applyBorder="1"/>
    <xf numFmtId="0" fontId="20" fillId="0" borderId="0" xfId="0" applyFont="1"/>
    <xf numFmtId="166" fontId="0" fillId="0" borderId="0" xfId="0" applyNumberFormat="1" applyFont="1"/>
    <xf numFmtId="166" fontId="0" fillId="0" borderId="0" xfId="0" applyNumberFormat="1" applyFill="1" applyBorder="1"/>
    <xf numFmtId="0" fontId="4" fillId="5" borderId="43" xfId="4" applyBorder="1"/>
    <xf numFmtId="0" fontId="4" fillId="5" borderId="44" xfId="4" applyBorder="1"/>
    <xf numFmtId="167" fontId="4" fillId="5" borderId="42" xfId="4" applyNumberFormat="1" applyBorder="1"/>
    <xf numFmtId="167" fontId="4" fillId="5" borderId="40" xfId="4" applyNumberFormat="1" applyBorder="1"/>
    <xf numFmtId="167" fontId="4" fillId="5" borderId="43" xfId="4" applyNumberFormat="1" applyBorder="1"/>
    <xf numFmtId="167" fontId="4" fillId="5" borderId="41" xfId="4" applyNumberFormat="1" applyBorder="1"/>
    <xf numFmtId="2" fontId="4" fillId="5" borderId="44" xfId="4" applyNumberFormat="1" applyBorder="1"/>
    <xf numFmtId="11" fontId="4" fillId="5" borderId="45" xfId="4" applyNumberFormat="1" applyBorder="1"/>
    <xf numFmtId="11" fontId="4" fillId="5" borderId="41" xfId="4" applyNumberFormat="1" applyBorder="1"/>
    <xf numFmtId="0" fontId="4" fillId="5" borderId="44" xfId="4" applyBorder="1" applyAlignment="1"/>
    <xf numFmtId="167" fontId="4" fillId="5" borderId="44" xfId="4" applyNumberFormat="1" applyBorder="1"/>
    <xf numFmtId="11" fontId="4" fillId="5" borderId="44" xfId="4" applyNumberFormat="1" applyBorder="1"/>
    <xf numFmtId="167" fontId="4" fillId="5" borderId="45" xfId="4" applyNumberFormat="1" applyBorder="1"/>
    <xf numFmtId="2" fontId="4" fillId="5" borderId="45" xfId="4" applyNumberFormat="1" applyBorder="1"/>
    <xf numFmtId="11" fontId="4" fillId="5" borderId="46" xfId="4" applyNumberFormat="1" applyBorder="1"/>
    <xf numFmtId="165" fontId="4" fillId="5" borderId="44" xfId="4" applyNumberFormat="1" applyBorder="1"/>
    <xf numFmtId="0" fontId="4" fillId="5" borderId="45" xfId="4" applyBorder="1"/>
    <xf numFmtId="175" fontId="0" fillId="0" borderId="0" xfId="0" applyNumberFormat="1"/>
    <xf numFmtId="176" fontId="0" fillId="0" borderId="0" xfId="0" applyNumberFormat="1"/>
  </cellXfs>
  <cellStyles count="11">
    <cellStyle name="Accent1" xfId="6" builtinId="29"/>
    <cellStyle name="Accent2" xfId="7" builtinId="33"/>
    <cellStyle name="Accent3" xfId="8" builtinId="37"/>
    <cellStyle name="Accent4" xfId="9" builtinId="41"/>
    <cellStyle name="Accent5" xfId="10" builtinId="45"/>
    <cellStyle name="Bad" xfId="2" builtinId="27"/>
    <cellStyle name="Calculation" xfId="5" builtinId="22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Sheet1!$AP$170</c:f>
              <c:strCache>
                <c:ptCount val="1"/>
                <c:pt idx="0">
                  <c:v>293.15 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Sheet1!$O$196:$O$199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Sheet1!$V$196:$V$199</c:f>
              <c:numCache>
                <c:formatCode>0.00E+00</c:formatCode>
                <c:ptCount val="4"/>
                <c:pt idx="0">
                  <c:v>1.30272560551445E-6</c:v>
                </c:pt>
                <c:pt idx="1">
                  <c:v>1.8757692064464971E-6</c:v>
                </c:pt>
                <c:pt idx="2">
                  <c:v>2.5329694652403814E-6</c:v>
                </c:pt>
                <c:pt idx="3">
                  <c:v>2.7212274224226411E-6</c:v>
                </c:pt>
              </c:numCache>
            </c:numRef>
          </c:yVal>
          <c:smooth val="0"/>
        </c:ser>
        <c:ser>
          <c:idx val="5"/>
          <c:order val="1"/>
          <c:tx>
            <c:strRef>
              <c:f>Sheet1!$AP$171</c:f>
              <c:strCache>
                <c:ptCount val="1"/>
                <c:pt idx="0">
                  <c:v>298.15 K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Sheet1!$O$212:$O$215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Sheet1!$V$212:$V$215</c:f>
              <c:numCache>
                <c:formatCode>0.00E+00</c:formatCode>
                <c:ptCount val="4"/>
                <c:pt idx="0">
                  <c:v>2.61761257777194E-6</c:v>
                </c:pt>
                <c:pt idx="1">
                  <c:v>4.033195666661802E-6</c:v>
                </c:pt>
                <c:pt idx="2">
                  <c:v>4.3391756539166891E-6</c:v>
                </c:pt>
                <c:pt idx="3">
                  <c:v>5.1320967655629004E-6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Sheet1!$AP$172</c:f>
              <c:strCache>
                <c:ptCount val="1"/>
                <c:pt idx="0">
                  <c:v>303.15 K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Sheet1!$O$200:$O$203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Sheet1!$V$200:$V$203</c:f>
              <c:numCache>
                <c:formatCode>0.00E+00</c:formatCode>
                <c:ptCount val="4"/>
                <c:pt idx="0">
                  <c:v>5.2877622598738127E-6</c:v>
                </c:pt>
                <c:pt idx="1">
                  <c:v>7.0535927109632278E-6</c:v>
                </c:pt>
                <c:pt idx="2">
                  <c:v>8.1578448112312655E-6</c:v>
                </c:pt>
                <c:pt idx="3">
                  <c:v>9.1648059775549793E-6</c:v>
                </c:pt>
              </c:numCache>
            </c:numRef>
          </c:yVal>
          <c:smooth val="0"/>
        </c:ser>
        <c:ser>
          <c:idx val="4"/>
          <c:order val="3"/>
          <c:tx>
            <c:strRef>
              <c:f>Sheet1!$AP$173</c:f>
              <c:strCache>
                <c:ptCount val="1"/>
                <c:pt idx="0">
                  <c:v>308.15 K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8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Sheet1!$O$208:$O$211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Sheet1!$V$208:$V$211</c:f>
              <c:numCache>
                <c:formatCode>0.00E+00</c:formatCode>
                <c:ptCount val="4"/>
                <c:pt idx="0">
                  <c:v>1.0050153476448295E-5</c:v>
                </c:pt>
                <c:pt idx="1">
                  <c:v>1.0818751854608427E-5</c:v>
                </c:pt>
                <c:pt idx="2">
                  <c:v>1.3941790834221112E-5</c:v>
                </c:pt>
                <c:pt idx="3">
                  <c:v>1.8859847545106509E-5</c:v>
                </c:pt>
              </c:numCache>
            </c:numRef>
          </c:yVal>
          <c:smooth val="0"/>
        </c:ser>
        <c:ser>
          <c:idx val="3"/>
          <c:order val="4"/>
          <c:tx>
            <c:strRef>
              <c:f>Sheet1!$AP$174</c:f>
              <c:strCache>
                <c:ptCount val="1"/>
                <c:pt idx="0">
                  <c:v>313.15 K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8"/>
            <c:spPr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Sheet1!$O$204:$O$207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Sheet1!$V$204:$V$207</c:f>
              <c:numCache>
                <c:formatCode>0.00E+00</c:formatCode>
                <c:ptCount val="4"/>
                <c:pt idx="0">
                  <c:v>1.628341406159594E-5</c:v>
                </c:pt>
                <c:pt idx="1">
                  <c:v>1.6525874372496185E-5</c:v>
                </c:pt>
                <c:pt idx="2">
                  <c:v>2.0267477806615858E-5</c:v>
                </c:pt>
                <c:pt idx="3">
                  <c:v>2.7216169898552402E-5</c:v>
                </c:pt>
              </c:numCache>
            </c:numRef>
          </c:yVal>
          <c:smooth val="0"/>
        </c:ser>
        <c:ser>
          <c:idx val="0"/>
          <c:order val="5"/>
          <c:tx>
            <c:strRef>
              <c:f>Sheet1!$I$192</c:f>
              <c:strCache>
                <c:ptCount val="1"/>
                <c:pt idx="0">
                  <c:v>288.15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Sheet1!$O$192:$O$195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Sheet1!$V$192:$V$195</c:f>
              <c:numCache>
                <c:formatCode>0.00E+00</c:formatCode>
                <c:ptCount val="4"/>
                <c:pt idx="0">
                  <c:v>7.7201567175282273E-7</c:v>
                </c:pt>
                <c:pt idx="1">
                  <c:v>9.5771822805596432E-7</c:v>
                </c:pt>
                <c:pt idx="2">
                  <c:v>1.189708661894607E-6</c:v>
                </c:pt>
                <c:pt idx="3">
                  <c:v>1.5219894970601687E-6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Sheet1!$AQ$177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</c:numCache>
            </c:numRef>
          </c:xVal>
          <c:yVal>
            <c:numRef>
              <c:f>Sheet1!$AQ$178:$AQ$257</c:f>
              <c:numCache>
                <c:formatCode>0.0E+00</c:formatCode>
                <c:ptCount val="80"/>
                <c:pt idx="0">
                  <c:v>0</c:v>
                </c:pt>
                <c:pt idx="1">
                  <c:v>5.0317634173055869E-8</c:v>
                </c:pt>
                <c:pt idx="2">
                  <c:v>9.8478027867095408E-8</c:v>
                </c:pt>
                <c:pt idx="3">
                  <c:v>1.4461699895068206E-7</c:v>
                </c:pt>
                <c:pt idx="4">
                  <c:v>1.8885919835560125E-7</c:v>
                </c:pt>
                <c:pt idx="5">
                  <c:v>2.313192346424975E-7</c:v>
                </c:pt>
                <c:pt idx="6">
                  <c:v>2.7210266535044425E-7</c:v>
                </c:pt>
                <c:pt idx="7">
                  <c:v>3.1130687318489838E-7</c:v>
                </c:pt>
                <c:pt idx="8">
                  <c:v>3.4902184235517573E-7</c:v>
                </c:pt>
                <c:pt idx="9">
                  <c:v>3.8533084808946878E-7</c:v>
                </c:pt>
                <c:pt idx="10">
                  <c:v>4.2031107044830743E-7</c:v>
                </c:pt>
                <c:pt idx="11">
                  <c:v>4.5403414195867034E-7</c:v>
                </c:pt>
                <c:pt idx="12">
                  <c:v>4.8656663724624891E-7</c:v>
                </c:pt>
                <c:pt idx="13">
                  <c:v>5.1797051170858639E-7</c:v>
                </c:pt>
                <c:pt idx="14">
                  <c:v>5.4830349531116791E-7</c:v>
                </c:pt>
                <c:pt idx="15">
                  <c:v>5.7761944677284166E-7</c:v>
                </c:pt>
                <c:pt idx="16">
                  <c:v>6.0596867271228374E-7</c:v>
                </c:pt>
                <c:pt idx="17">
                  <c:v>6.3339821573398224E-7</c:v>
                </c:pt>
                <c:pt idx="18">
                  <c:v>6.5995211492418205E-7</c:v>
                </c:pt>
                <c:pt idx="19">
                  <c:v>6.856716417910447E-7</c:v>
                </c:pt>
                <c:pt idx="20">
                  <c:v>7.1059551430781141E-7</c:v>
                </c:pt>
                <c:pt idx="21">
                  <c:v>7.3476009139375492E-7</c:v>
                </c:pt>
                <c:pt idx="22">
                  <c:v>7.5819954988747195E-7</c:v>
                </c:pt>
                <c:pt idx="23">
                  <c:v>7.8094604582409473E-7</c:v>
                </c:pt>
                <c:pt idx="24">
                  <c:v>8.0302986161689726E-7</c:v>
                </c:pt>
                <c:pt idx="25">
                  <c:v>8.2447954055994268E-7</c:v>
                </c:pt>
                <c:pt idx="26">
                  <c:v>8.4532200990799739E-7</c:v>
                </c:pt>
                <c:pt idx="27">
                  <c:v>8.6558269364968605E-7</c:v>
                </c:pt>
                <c:pt idx="28">
                  <c:v>8.8528561596696501E-7</c:v>
                </c:pt>
                <c:pt idx="29">
                  <c:v>9.0445349626612352E-7</c:v>
                </c:pt>
                <c:pt idx="30">
                  <c:v>9.2310783657066319E-7</c:v>
                </c:pt>
                <c:pt idx="31">
                  <c:v>9.4126900198281581E-7</c:v>
                </c:pt>
                <c:pt idx="32">
                  <c:v>9.589562948467059E-7</c:v>
                </c:pt>
                <c:pt idx="33">
                  <c:v>9.7618802318094014E-7</c:v>
                </c:pt>
                <c:pt idx="34">
                  <c:v>9.9298156389065493E-7</c:v>
                </c:pt>
                <c:pt idx="35">
                  <c:v>1.009353421217828E-6</c:v>
                </c:pt>
                <c:pt idx="36">
                  <c:v>1.0253192808431495E-6</c:v>
                </c:pt>
                <c:pt idx="37">
                  <c:v>1.0408940600122476E-6</c:v>
                </c:pt>
                <c:pt idx="38">
                  <c:v>1.0560919540229884E-6</c:v>
                </c:pt>
                <c:pt idx="39">
                  <c:v>1.0709264793783622E-6</c:v>
                </c:pt>
                <c:pt idx="40">
                  <c:v>1.0854105138806853E-6</c:v>
                </c:pt>
                <c:pt idx="41">
                  <c:v>1.0995563339171045E-6</c:v>
                </c:pt>
                <c:pt idx="42">
                  <c:v>1.113375649163301E-6</c:v>
                </c:pt>
                <c:pt idx="43">
                  <c:v>1.1268796349115802E-6</c:v>
                </c:pt>
                <c:pt idx="44">
                  <c:v>1.1400789622109419E-6</c:v>
                </c:pt>
                <c:pt idx="45">
                  <c:v>1.1529838259899612E-6</c:v>
                </c:pt>
                <c:pt idx="46">
                  <c:v>1.1656039713182572E-6</c:v>
                </c:pt>
                <c:pt idx="47">
                  <c:v>1.1779487179487182E-6</c:v>
                </c:pt>
                <c:pt idx="48">
                  <c:v>1.1900269832703723E-6</c:v>
                </c:pt>
                <c:pt idx="49">
                  <c:v>1.2018473037907104E-6</c:v>
                </c:pt>
                <c:pt idx="50">
                  <c:v>1.2134178552562071E-6</c:v>
                </c:pt>
                <c:pt idx="51">
                  <c:v>1.2247464715107162E-6</c:v>
                </c:pt>
                <c:pt idx="52">
                  <c:v>1.2358406621831353E-6</c:v>
                </c:pt>
                <c:pt idx="53">
                  <c:v>1.2467076292882744E-6</c:v>
                </c:pt>
                <c:pt idx="54">
                  <c:v>1.2573542828180437E-6</c:v>
                </c:pt>
                <c:pt idx="55">
                  <c:v>1.2677872553938786E-6</c:v>
                </c:pt>
                <c:pt idx="56">
                  <c:v>1.2780129160457031E-6</c:v>
                </c:pt>
                <c:pt idx="57">
                  <c:v>1.2880373831775703E-6</c:v>
                </c:pt>
                <c:pt idx="58">
                  <c:v>1.2978665367754505E-6</c:v>
                </c:pt>
                <c:pt idx="59">
                  <c:v>1.3075060299083456E-6</c:v>
                </c:pt>
                <c:pt idx="60">
                  <c:v>1.3169612995699953E-6</c:v>
                </c:pt>
                <c:pt idx="61">
                  <c:v>1.3262375769048748E-6</c:v>
                </c:pt>
                <c:pt idx="62">
                  <c:v>1.3353398968588845E-6</c:v>
                </c:pt>
                <c:pt idx="63">
                  <c:v>1.3442731072921505E-6</c:v>
                </c:pt>
                <c:pt idx="64">
                  <c:v>1.3530418775885873E-6</c:v>
                </c:pt>
                <c:pt idx="65">
                  <c:v>1.3616507067943459E-6</c:v>
                </c:pt>
                <c:pt idx="66">
                  <c:v>1.3701039313149571E-6</c:v>
                </c:pt>
                <c:pt idx="67">
                  <c:v>1.378405732198836E-6</c:v>
                </c:pt>
                <c:pt idx="68">
                  <c:v>1.3865601420328452E-6</c:v>
                </c:pt>
                <c:pt idx="69">
                  <c:v>1.3945710514738231E-6</c:v>
                </c:pt>
                <c:pt idx="70">
                  <c:v>1.4024422154382905E-6</c:v>
                </c:pt>
                <c:pt idx="71">
                  <c:v>1.4101772589710334E-6</c:v>
                </c:pt>
                <c:pt idx="72">
                  <c:v>1.4177796828118305E-6</c:v>
                </c:pt>
                <c:pt idx="73">
                  <c:v>1.4252528686782829E-6</c:v>
                </c:pt>
                <c:pt idx="74">
                  <c:v>1.4326000842815003E-6</c:v>
                </c:pt>
                <c:pt idx="75">
                  <c:v>1.4398244880902633E-6</c:v>
                </c:pt>
                <c:pt idx="76">
                  <c:v>1.4469291338582678E-6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Sheet1!$AR$177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</c:numCache>
            </c:numRef>
          </c:xVal>
          <c:yVal>
            <c:numRef>
              <c:f>Sheet1!$AR$178:$AR$257</c:f>
              <c:numCache>
                <c:formatCode>0.0E+00</c:formatCode>
                <c:ptCount val="80"/>
                <c:pt idx="0">
                  <c:v>0</c:v>
                </c:pt>
                <c:pt idx="1">
                  <c:v>9.2492370295015273E-8</c:v>
                </c:pt>
                <c:pt idx="2">
                  <c:v>1.81296111665005E-7</c:v>
                </c:pt>
                <c:pt idx="3">
                  <c:v>2.666275659824047E-7</c:v>
                </c:pt>
                <c:pt idx="4">
                  <c:v>3.4868648130393096E-7</c:v>
                </c:pt>
                <c:pt idx="5">
                  <c:v>4.2765757290686734E-7</c:v>
                </c:pt>
                <c:pt idx="6">
                  <c:v>5.037119113573407E-7</c:v>
                </c:pt>
                <c:pt idx="7">
                  <c:v>5.7700815956482316E-7</c:v>
                </c:pt>
                <c:pt idx="8">
                  <c:v>6.4769367764915408E-7</c:v>
                </c:pt>
                <c:pt idx="9">
                  <c:v>7.1590551181102354E-7</c:v>
                </c:pt>
                <c:pt idx="10">
                  <c:v>7.8177128116938952E-7</c:v>
                </c:pt>
                <c:pt idx="11">
                  <c:v>8.4540997464074385E-7</c:v>
                </c:pt>
                <c:pt idx="12">
                  <c:v>9.0693266832917699E-7</c:v>
                </c:pt>
                <c:pt idx="13">
                  <c:v>9.66443172526574E-7</c:v>
                </c:pt>
                <c:pt idx="14">
                  <c:v>1.0240386162510057E-6</c:v>
                </c:pt>
                <c:pt idx="15">
                  <c:v>1.0798099762470308E-6</c:v>
                </c:pt>
                <c:pt idx="16">
                  <c:v>1.133842556508184E-6</c:v>
                </c:pt>
                <c:pt idx="17">
                  <c:v>1.186216423637759E-6</c:v>
                </c:pt>
                <c:pt idx="18">
                  <c:v>1.2370068027210885E-6</c:v>
                </c:pt>
                <c:pt idx="19">
                  <c:v>1.2862844378257632E-6</c:v>
                </c:pt>
                <c:pt idx="20">
                  <c:v>1.3341159207630227E-6</c:v>
                </c:pt>
                <c:pt idx="21">
                  <c:v>1.3805639913232103E-6</c:v>
                </c:pt>
                <c:pt idx="22">
                  <c:v>1.4256878118317892E-6</c:v>
                </c:pt>
                <c:pt idx="23">
                  <c:v>1.4695432185523539E-6</c:v>
                </c:pt>
                <c:pt idx="24">
                  <c:v>1.5121829521829522E-6</c:v>
                </c:pt>
                <c:pt idx="25">
                  <c:v>1.5536568694463431E-6</c:v>
                </c:pt>
                <c:pt idx="26">
                  <c:v>1.5940121375590019E-6</c:v>
                </c:pt>
                <c:pt idx="27">
                  <c:v>1.6332934131736528E-6</c:v>
                </c:pt>
                <c:pt idx="28">
                  <c:v>1.6715430072225868E-6</c:v>
                </c:pt>
                <c:pt idx="29">
                  <c:v>1.708801036941024E-6</c:v>
                </c:pt>
                <c:pt idx="30">
                  <c:v>1.7451055662188099E-6</c:v>
                </c:pt>
                <c:pt idx="31">
                  <c:v>1.7804927353126974E-6</c:v>
                </c:pt>
                <c:pt idx="32">
                  <c:v>1.8149968808484093E-6</c:v>
                </c:pt>
                <c:pt idx="33">
                  <c:v>1.8486506469500922E-6</c:v>
                </c:pt>
                <c:pt idx="34">
                  <c:v>1.8814850882531953E-6</c:v>
                </c:pt>
                <c:pt idx="35">
                  <c:v>1.9135297654840648E-6</c:v>
                </c:pt>
                <c:pt idx="36">
                  <c:v>1.944812834224599E-6</c:v>
                </c:pt>
                <c:pt idx="37">
                  <c:v>1.9753611274221963E-6</c:v>
                </c:pt>
                <c:pt idx="38">
                  <c:v>2.0052002321532209E-6</c:v>
                </c:pt>
                <c:pt idx="39">
                  <c:v>2.0343545611015493E-6</c:v>
                </c:pt>
                <c:pt idx="40">
                  <c:v>2.0628474191718661E-6</c:v>
                </c:pt>
                <c:pt idx="41">
                  <c:v>2.0907010656197419E-6</c:v>
                </c:pt>
                <c:pt idx="42">
                  <c:v>2.117936772046589E-6</c:v>
                </c:pt>
                <c:pt idx="43">
                  <c:v>2.1445748765770705E-6</c:v>
                </c:pt>
                <c:pt idx="44">
                  <c:v>2.1706348345089533E-6</c:v>
                </c:pt>
                <c:pt idx="45">
                  <c:v>2.1961352657004831E-6</c:v>
                </c:pt>
                <c:pt idx="46">
                  <c:v>2.2210939989378652E-6</c:v>
                </c:pt>
                <c:pt idx="47">
                  <c:v>2.2455281135049923E-6</c:v>
                </c:pt>
                <c:pt idx="48">
                  <c:v>2.2694539781591263E-6</c:v>
                </c:pt>
                <c:pt idx="49">
                  <c:v>2.2928872876994343E-6</c:v>
                </c:pt>
                <c:pt idx="50">
                  <c:v>2.3158430973000507E-6</c:v>
                </c:pt>
                <c:pt idx="51">
                  <c:v>2.3383358547655068E-6</c:v>
                </c:pt>
                <c:pt idx="52">
                  <c:v>2.3603794308537194E-6</c:v>
                </c:pt>
                <c:pt idx="53">
                  <c:v>2.3819871478002965E-6</c:v>
                </c:pt>
                <c:pt idx="54">
                  <c:v>2.4031718061674014E-6</c:v>
                </c:pt>
                <c:pt idx="55">
                  <c:v>2.423945710130877E-6</c:v>
                </c:pt>
                <c:pt idx="56">
                  <c:v>2.4443206913106098E-6</c:v>
                </c:pt>
                <c:pt idx="57">
                  <c:v>2.4643081312410844E-6</c:v>
                </c:pt>
                <c:pt idx="58">
                  <c:v>2.483918982571832E-6</c:v>
                </c:pt>
                <c:pt idx="59">
                  <c:v>2.5031637890807284E-6</c:v>
                </c:pt>
                <c:pt idx="60">
                  <c:v>2.5220527045769763E-6</c:v>
                </c:pt>
                <c:pt idx="61">
                  <c:v>2.5405955107650023E-6</c:v>
                </c:pt>
                <c:pt idx="62">
                  <c:v>2.5588016341352701E-6</c:v>
                </c:pt>
                <c:pt idx="63">
                  <c:v>2.5766801619433196E-6</c:v>
                </c:pt>
                <c:pt idx="64">
                  <c:v>2.5942398573339281E-6</c:v>
                </c:pt>
                <c:pt idx="65">
                  <c:v>2.6114891736632788E-6</c:v>
                </c:pt>
                <c:pt idx="66">
                  <c:v>2.6284362680683314E-6</c:v>
                </c:pt>
                <c:pt idx="67">
                  <c:v>2.6450890143291359E-6</c:v>
                </c:pt>
                <c:pt idx="68">
                  <c:v>2.661455015066724E-6</c:v>
                </c:pt>
                <c:pt idx="69">
                  <c:v>2.6775416133162612E-6</c:v>
                </c:pt>
                <c:pt idx="70">
                  <c:v>2.6933559035124839E-6</c:v>
                </c:pt>
                <c:pt idx="71">
                  <c:v>2.7089047419219477E-6</c:v>
                </c:pt>
                <c:pt idx="72">
                  <c:v>2.7241947565543074E-6</c:v>
                </c:pt>
                <c:pt idx="73">
                  <c:v>2.7392323565827489E-6</c:v>
                </c:pt>
                <c:pt idx="74">
                  <c:v>2.7540237413016787E-6</c:v>
                </c:pt>
                <c:pt idx="75">
                  <c:v>2.7685749086479905E-6</c:v>
                </c:pt>
                <c:pt idx="76">
                  <c:v>2.7828916633105117E-6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Sheet1!$AS$177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</c:numCache>
            </c:numRef>
          </c:xVal>
          <c:yVal>
            <c:numRef>
              <c:f>Sheet1!$AS$178:$AS$257</c:f>
              <c:numCache>
                <c:formatCode>0.0E+00</c:formatCode>
                <c:ptCount val="80"/>
                <c:pt idx="0">
                  <c:v>0</c:v>
                </c:pt>
                <c:pt idx="1">
                  <c:v>2.2137546468401486E-7</c:v>
                </c:pt>
                <c:pt idx="2">
                  <c:v>4.2944711538461536E-7</c:v>
                </c:pt>
                <c:pt idx="3">
                  <c:v>6.253792298716452E-7</c:v>
                </c:pt>
                <c:pt idx="4">
                  <c:v>8.1020408163265311E-7</c:v>
                </c:pt>
                <c:pt idx="5">
                  <c:v>9.8484013230429973E-7</c:v>
                </c:pt>
                <c:pt idx="6">
                  <c:v>1.1501072961373388E-6</c:v>
                </c:pt>
                <c:pt idx="7">
                  <c:v>1.3067398119122255E-6</c:v>
                </c:pt>
                <c:pt idx="8">
                  <c:v>1.455397148676171E-6</c:v>
                </c:pt>
                <c:pt idx="9">
                  <c:v>1.5966732869910624E-6</c:v>
                </c:pt>
                <c:pt idx="10">
                  <c:v>1.7311046511627907E-6</c:v>
                </c:pt>
                <c:pt idx="11">
                  <c:v>1.8591769157994326E-6</c:v>
                </c:pt>
                <c:pt idx="12">
                  <c:v>1.9813308687615522E-6</c:v>
                </c:pt>
                <c:pt idx="13">
                  <c:v>2.0979674796747968E-6</c:v>
                </c:pt>
                <c:pt idx="14">
                  <c:v>2.2094522968197876E-6</c:v>
                </c:pt>
                <c:pt idx="15">
                  <c:v>2.3161192739844425E-6</c:v>
                </c:pt>
                <c:pt idx="16">
                  <c:v>2.4182741116751272E-6</c:v>
                </c:pt>
                <c:pt idx="17">
                  <c:v>2.5161971830985914E-6</c:v>
                </c:pt>
                <c:pt idx="18">
                  <c:v>2.610146103896104E-6</c:v>
                </c:pt>
                <c:pt idx="19">
                  <c:v>2.7003579952267302E-6</c:v>
                </c:pt>
                <c:pt idx="20">
                  <c:v>2.7870514820592821E-6</c:v>
                </c:pt>
                <c:pt idx="21">
                  <c:v>2.8704284621270086E-6</c:v>
                </c:pt>
                <c:pt idx="22">
                  <c:v>2.9506756756756756E-6</c:v>
                </c:pt>
                <c:pt idx="23">
                  <c:v>3.0279661016949154E-6</c:v>
                </c:pt>
                <c:pt idx="24">
                  <c:v>3.1024602026049198E-6</c:v>
                </c:pt>
                <c:pt idx="25">
                  <c:v>3.1743070362473344E-6</c:v>
                </c:pt>
                <c:pt idx="26">
                  <c:v>3.2436452513966483E-6</c:v>
                </c:pt>
                <c:pt idx="27">
                  <c:v>3.3106039807824299E-6</c:v>
                </c:pt>
                <c:pt idx="28">
                  <c:v>3.3753036437246959E-6</c:v>
                </c:pt>
                <c:pt idx="29">
                  <c:v>3.4378566688785664E-6</c:v>
                </c:pt>
                <c:pt idx="30">
                  <c:v>3.4983681462140991E-6</c:v>
                </c:pt>
                <c:pt idx="31">
                  <c:v>3.556936416184971E-6</c:v>
                </c:pt>
                <c:pt idx="32">
                  <c:v>3.6136536030341339E-6</c:v>
                </c:pt>
                <c:pt idx="33">
                  <c:v>3.6686060983198504E-6</c:v>
                </c:pt>
                <c:pt idx="34">
                  <c:v>3.7218749999999998E-6</c:v>
                </c:pt>
                <c:pt idx="35">
                  <c:v>3.7735365117682554E-6</c:v>
                </c:pt>
                <c:pt idx="36">
                  <c:v>3.8236623067776455E-6</c:v>
                </c:pt>
                <c:pt idx="37">
                  <c:v>3.8723198594024604E-6</c:v>
                </c:pt>
                <c:pt idx="38">
                  <c:v>3.9195727482678983E-6</c:v>
                </c:pt>
                <c:pt idx="39">
                  <c:v>3.96548093340922E-6</c:v>
                </c:pt>
                <c:pt idx="40">
                  <c:v>4.0101010101010095E-6</c:v>
                </c:pt>
                <c:pt idx="41">
                  <c:v>4.0534864416159374E-6</c:v>
                </c:pt>
                <c:pt idx="42">
                  <c:v>4.0956877729257635E-6</c:v>
                </c:pt>
                <c:pt idx="43">
                  <c:v>4.136752827140549E-6</c:v>
                </c:pt>
                <c:pt idx="44">
                  <c:v>4.1767268862911799E-6</c:v>
                </c:pt>
                <c:pt idx="45">
                  <c:v>4.2156528578919762E-6</c:v>
                </c:pt>
                <c:pt idx="46">
                  <c:v>4.2535714285714283E-6</c:v>
                </c:pt>
                <c:pt idx="47">
                  <c:v>4.2905212059274397E-6</c:v>
                </c:pt>
                <c:pt idx="48">
                  <c:v>4.3265388496468212E-6</c:v>
                </c:pt>
                <c:pt idx="49">
                  <c:v>4.361659192825112E-6</c:v>
                </c:pt>
                <c:pt idx="50">
                  <c:v>4.3959153543307081E-6</c:v>
                </c:pt>
                <c:pt idx="51">
                  <c:v>4.429338842975207E-6</c:v>
                </c:pt>
                <c:pt idx="52">
                  <c:v>4.461959654178675E-6</c:v>
                </c:pt>
                <c:pt idx="53">
                  <c:v>4.4938063597532028E-6</c:v>
                </c:pt>
                <c:pt idx="54">
                  <c:v>4.524906191369606E-6</c:v>
                </c:pt>
                <c:pt idx="55">
                  <c:v>4.5552851182197498E-6</c:v>
                </c:pt>
                <c:pt idx="56">
                  <c:v>4.5849679193400544E-6</c:v>
                </c:pt>
                <c:pt idx="57">
                  <c:v>4.6139782510194845E-6</c:v>
                </c:pt>
                <c:pt idx="58">
                  <c:v>4.642338709677419E-6</c:v>
                </c:pt>
                <c:pt idx="59">
                  <c:v>4.6700708905626938E-6</c:v>
                </c:pt>
                <c:pt idx="60">
                  <c:v>4.6971954425942155E-6</c:v>
                </c:pt>
                <c:pt idx="61">
                  <c:v>4.72373211963589E-6</c:v>
                </c:pt>
                <c:pt idx="62">
                  <c:v>4.7496998284734137E-6</c:v>
                </c:pt>
                <c:pt idx="63">
                  <c:v>4.7751166737378013E-6</c:v>
                </c:pt>
                <c:pt idx="64">
                  <c:v>4.7999999999999998E-6</c:v>
                </c:pt>
                <c:pt idx="65">
                  <c:v>4.8243664312422106E-6</c:v>
                </c:pt>
                <c:pt idx="66">
                  <c:v>4.8482319078947364E-6</c:v>
                </c:pt>
                <c:pt idx="67">
                  <c:v>4.8716117216117218E-6</c:v>
                </c:pt>
                <c:pt idx="68">
                  <c:v>4.8945205479452053E-6</c:v>
                </c:pt>
                <c:pt idx="69">
                  <c:v>4.91697247706422E-6</c:v>
                </c:pt>
                <c:pt idx="70">
                  <c:v>4.9389810426540281E-6</c:v>
                </c:pt>
                <c:pt idx="71">
                  <c:v>4.9605592491200621E-6</c:v>
                </c:pt>
                <c:pt idx="72">
                  <c:v>4.9817195972114642E-6</c:v>
                </c:pt>
                <c:pt idx="73">
                  <c:v>5.00247410817031E-6</c:v>
                </c:pt>
                <c:pt idx="74">
                  <c:v>5.0228343465045592E-6</c:v>
                </c:pt>
                <c:pt idx="75">
                  <c:v>5.0428114414753478E-6</c:v>
                </c:pt>
                <c:pt idx="76">
                  <c:v>5.0624161073825507E-6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Sheet1!$AT$177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</c:numCache>
            </c:numRef>
          </c:xVal>
          <c:yVal>
            <c:numRef>
              <c:f>Sheet1!$AT$178:$AT$258</c:f>
              <c:numCache>
                <c:formatCode>0.0E+00</c:formatCode>
                <c:ptCount val="81"/>
                <c:pt idx="0">
                  <c:v>0</c:v>
                </c:pt>
                <c:pt idx="1">
                  <c:v>4.7012578616352204E-7</c:v>
                </c:pt>
                <c:pt idx="2">
                  <c:v>9.0468986384266264E-7</c:v>
                </c:pt>
                <c:pt idx="3">
                  <c:v>1.3075801749271138E-6</c:v>
                </c:pt>
                <c:pt idx="4">
                  <c:v>1.6821378340365683E-6</c:v>
                </c:pt>
                <c:pt idx="5">
                  <c:v>2.0312500000000002E-6</c:v>
                </c:pt>
                <c:pt idx="6">
                  <c:v>2.3574244415243101E-6</c:v>
                </c:pt>
                <c:pt idx="7">
                  <c:v>2.662849872773537E-6</c:v>
                </c:pt>
                <c:pt idx="8">
                  <c:v>2.9494451294697909E-6</c:v>
                </c:pt>
                <c:pt idx="9">
                  <c:v>3.2188995215311007E-6</c:v>
                </c:pt>
                <c:pt idx="10">
                  <c:v>3.472706155632985E-6</c:v>
                </c:pt>
                <c:pt idx="11">
                  <c:v>3.7121896162528222E-6</c:v>
                </c:pt>
                <c:pt idx="12">
                  <c:v>3.9385290889132821E-6</c:v>
                </c:pt>
                <c:pt idx="13">
                  <c:v>4.1527777777777783E-6</c:v>
                </c:pt>
                <c:pt idx="14">
                  <c:v>4.3558792924037467E-6</c:v>
                </c:pt>
                <c:pt idx="15">
                  <c:v>4.5486815415821505E-6</c:v>
                </c:pt>
                <c:pt idx="16">
                  <c:v>4.7319485657764584E-6</c:v>
                </c:pt>
                <c:pt idx="17">
                  <c:v>4.9063706563706561E-6</c:v>
                </c:pt>
                <c:pt idx="18">
                  <c:v>5.0725730442978324E-6</c:v>
                </c:pt>
                <c:pt idx="19">
                  <c:v>5.2311233885819535E-6</c:v>
                </c:pt>
                <c:pt idx="20">
                  <c:v>5.3825382538253831E-6</c:v>
                </c:pt>
                <c:pt idx="21">
                  <c:v>5.5272887323943656E-6</c:v>
                </c:pt>
                <c:pt idx="22">
                  <c:v>5.6658053402239457E-6</c:v>
                </c:pt>
                <c:pt idx="23">
                  <c:v>5.7984822934232713E-6</c:v>
                </c:pt>
                <c:pt idx="24">
                  <c:v>5.9256812551610254E-6</c:v>
                </c:pt>
                <c:pt idx="25">
                  <c:v>6.0477346278317153E-6</c:v>
                </c:pt>
                <c:pt idx="26">
                  <c:v>6.1649484536082471E-6</c:v>
                </c:pt>
                <c:pt idx="27">
                  <c:v>6.2776049766718505E-6</c:v>
                </c:pt>
                <c:pt idx="28">
                  <c:v>6.3859649122807026E-6</c:v>
                </c:pt>
                <c:pt idx="29">
                  <c:v>6.4902694610778453E-6</c:v>
                </c:pt>
                <c:pt idx="30">
                  <c:v>6.5907421013960324E-6</c:v>
                </c:pt>
                <c:pt idx="31">
                  <c:v>6.6875901875901874E-6</c:v>
                </c:pt>
                <c:pt idx="32">
                  <c:v>6.7810063784549965E-6</c:v>
                </c:pt>
                <c:pt idx="33">
                  <c:v>6.8711699164345407E-6</c:v>
                </c:pt>
                <c:pt idx="34">
                  <c:v>6.9582477754962367E-6</c:v>
                </c:pt>
                <c:pt idx="35">
                  <c:v>7.0423956931359361E-6</c:v>
                </c:pt>
                <c:pt idx="36">
                  <c:v>7.1237590999338185E-6</c:v>
                </c:pt>
                <c:pt idx="37">
                  <c:v>7.2024739583333336E-6</c:v>
                </c:pt>
                <c:pt idx="38">
                  <c:v>7.2786675208199882E-6</c:v>
                </c:pt>
                <c:pt idx="39">
                  <c:v>7.3524590163934433E-6</c:v>
                </c:pt>
                <c:pt idx="40">
                  <c:v>7.4239602731222851E-6</c:v>
                </c:pt>
                <c:pt idx="41">
                  <c:v>7.4932762836185818E-6</c:v>
                </c:pt>
                <c:pt idx="42">
                  <c:v>7.560505719446117E-6</c:v>
                </c:pt>
                <c:pt idx="43">
                  <c:v>7.6257413997627528E-6</c:v>
                </c:pt>
                <c:pt idx="44">
                  <c:v>7.6890707188778502E-6</c:v>
                </c:pt>
                <c:pt idx="45">
                  <c:v>7.7505760368663595E-6</c:v>
                </c:pt>
                <c:pt idx="46">
                  <c:v>7.8103350369108459E-6</c:v>
                </c:pt>
                <c:pt idx="47">
                  <c:v>7.8684210526315796E-6</c:v>
                </c:pt>
                <c:pt idx="48">
                  <c:v>7.9249033683048053E-6</c:v>
                </c:pt>
                <c:pt idx="49">
                  <c:v>7.9798474945533776E-6</c:v>
                </c:pt>
                <c:pt idx="50">
                  <c:v>8.0333154218162286E-6</c:v>
                </c:pt>
                <c:pt idx="51">
                  <c:v>8.085365853658537E-6</c:v>
                </c:pt>
                <c:pt idx="52">
                  <c:v>8.1360544217687083E-6</c:v>
                </c:pt>
                <c:pt idx="53">
                  <c:v>8.1854338842975213E-6</c:v>
                </c:pt>
                <c:pt idx="54">
                  <c:v>8.2335543090260077E-6</c:v>
                </c:pt>
                <c:pt idx="55">
                  <c:v>8.2804632426988937E-6</c:v>
                </c:pt>
                <c:pt idx="56">
                  <c:v>8.326205867727499E-6</c:v>
                </c:pt>
                <c:pt idx="57">
                  <c:v>8.370825147347742E-6</c:v>
                </c:pt>
                <c:pt idx="58">
                  <c:v>8.4143619602134899E-6</c:v>
                </c:pt>
                <c:pt idx="59">
                  <c:v>8.4568552253116014E-6</c:v>
                </c:pt>
                <c:pt idx="60">
                  <c:v>8.4983420180009489E-6</c:v>
                </c:pt>
                <c:pt idx="61">
                  <c:v>8.5388576779026205E-6</c:v>
                </c:pt>
                <c:pt idx="62">
                  <c:v>8.5784359093012494E-6</c:v>
                </c:pt>
                <c:pt idx="63">
                  <c:v>8.6171088746569069E-6</c:v>
                </c:pt>
                <c:pt idx="64">
                  <c:v>8.6549072817729535E-6</c:v>
                </c:pt>
                <c:pt idx="65">
                  <c:v>8.6918604651162805E-6</c:v>
                </c:pt>
                <c:pt idx="66">
                  <c:v>8.727996461742592E-6</c:v>
                </c:pt>
                <c:pt idx="67">
                  <c:v>8.7633420822397209E-6</c:v>
                </c:pt>
                <c:pt idx="68">
                  <c:v>8.7979229770662057E-6</c:v>
                </c:pt>
                <c:pt idx="69">
                  <c:v>8.8317636986301367E-6</c:v>
                </c:pt>
                <c:pt idx="70">
                  <c:v>8.8648877594239736E-6</c:v>
                </c:pt>
                <c:pt idx="71">
                  <c:v>8.8973176865046101E-6</c:v>
                </c:pt>
                <c:pt idx="72">
                  <c:v>8.9290750725839902E-6</c:v>
                </c:pt>
                <c:pt idx="73">
                  <c:v>8.960180623973727E-6</c:v>
                </c:pt>
                <c:pt idx="74">
                  <c:v>8.9906542056074759E-6</c:v>
                </c:pt>
                <c:pt idx="75">
                  <c:v>9.0205148833467433E-6</c:v>
                </c:pt>
                <c:pt idx="76">
                  <c:v>9.0497809637594589E-6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Sheet1!$AU$177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</c:numCache>
            </c:numRef>
          </c:xVal>
          <c:yVal>
            <c:numRef>
              <c:f>Sheet1!$AU$178:$AU$258</c:f>
              <c:numCache>
                <c:formatCode>0.0E+00</c:formatCode>
                <c:ptCount val="81"/>
                <c:pt idx="0">
                  <c:v>0</c:v>
                </c:pt>
                <c:pt idx="1">
                  <c:v>6.0895456550507288E-7</c:v>
                </c:pt>
                <c:pt idx="2">
                  <c:v>1.1916271040138111E-6</c:v>
                </c:pt>
                <c:pt idx="3">
                  <c:v>1.749683143219265E-6</c:v>
                </c:pt>
                <c:pt idx="4">
                  <c:v>2.2846503930492345E-6</c:v>
                </c:pt>
                <c:pt idx="5">
                  <c:v>2.7979327117957033E-6</c:v>
                </c:pt>
                <c:pt idx="6">
                  <c:v>3.2908224076281291E-6</c:v>
                </c:pt>
                <c:pt idx="7">
                  <c:v>3.7645111024542265E-6</c:v>
                </c:pt>
                <c:pt idx="8">
                  <c:v>4.2200993504012234E-6</c:v>
                </c:pt>
                <c:pt idx="9">
                  <c:v>4.6586051743532061E-6</c:v>
                </c:pt>
                <c:pt idx="10">
                  <c:v>5.0809716599190281E-6</c:v>
                </c:pt>
                <c:pt idx="11">
                  <c:v>5.4880737260571017E-6</c:v>
                </c:pt>
                <c:pt idx="12">
                  <c:v>5.8807241746538867E-6</c:v>
                </c:pt>
                <c:pt idx="13">
                  <c:v>6.2596791070805724E-6</c:v>
                </c:pt>
                <c:pt idx="14">
                  <c:v>6.6256427836818653E-6</c:v>
                </c:pt>
                <c:pt idx="15">
                  <c:v>6.9792719919110212E-6</c:v>
                </c:pt>
                <c:pt idx="16">
                  <c:v>7.3211799801126945E-6</c:v>
                </c:pt>
                <c:pt idx="17">
                  <c:v>7.6519400065210303E-6</c:v>
                </c:pt>
                <c:pt idx="18">
                  <c:v>7.9720885466795009E-6</c:v>
                </c:pt>
                <c:pt idx="19">
                  <c:v>8.2821281970318912E-6</c:v>
                </c:pt>
                <c:pt idx="20">
                  <c:v>8.582530307740131E-6</c:v>
                </c:pt>
                <c:pt idx="21">
                  <c:v>8.8737373737373729E-6</c:v>
                </c:pt>
                <c:pt idx="22">
                  <c:v>9.1561652095266809E-6</c:v>
                </c:pt>
                <c:pt idx="23">
                  <c:v>9.430204930204931E-6</c:v>
                </c:pt>
                <c:pt idx="24">
                  <c:v>9.6962247585601419E-6</c:v>
                </c:pt>
                <c:pt idx="25">
                  <c:v>9.9545716758004057E-6</c:v>
                </c:pt>
                <c:pt idx="26">
                  <c:v>1.0205572931475689E-5</c:v>
                </c:pt>
                <c:pt idx="27">
                  <c:v>1.0449537426408747E-5</c:v>
                </c:pt>
                <c:pt idx="28">
                  <c:v>1.0686756980923417E-5</c:v>
                </c:pt>
                <c:pt idx="29">
                  <c:v>1.0917507499318246E-5</c:v>
                </c:pt>
                <c:pt idx="30">
                  <c:v>1.1142050040355126E-5</c:v>
                </c:pt>
                <c:pt idx="31">
                  <c:v>1.1360631802495354E-5</c:v>
                </c:pt>
                <c:pt idx="32">
                  <c:v>1.1573487031700289E-5</c:v>
                </c:pt>
                <c:pt idx="33">
                  <c:v>1.1780837858805276E-5</c:v>
                </c:pt>
                <c:pt idx="34">
                  <c:v>1.1982895072759766E-5</c:v>
                </c:pt>
                <c:pt idx="35">
                  <c:v>1.2179858835391984E-5</c:v>
                </c:pt>
                <c:pt idx="36">
                  <c:v>1.2371919342793129E-5</c:v>
                </c:pt>
                <c:pt idx="37">
                  <c:v>1.2559257437914925E-5</c:v>
                </c:pt>
                <c:pt idx="38">
                  <c:v>1.2742045178528054E-5</c:v>
                </c:pt>
                <c:pt idx="39">
                  <c:v>1.2920446364290859E-5</c:v>
                </c:pt>
                <c:pt idx="40">
                  <c:v>1.309461702632203E-5</c:v>
                </c:pt>
                <c:pt idx="41">
                  <c:v>1.3264705882352943E-5</c:v>
                </c:pt>
                <c:pt idx="42">
                  <c:v>1.3430854760250174E-5</c:v>
                </c:pt>
                <c:pt idx="43">
                  <c:v>1.3593198992443325E-5</c:v>
                </c:pt>
                <c:pt idx="44">
                  <c:v>1.3751867783563507E-5</c:v>
                </c:pt>
                <c:pt idx="45">
                  <c:v>1.3906984553391538E-5</c:v>
                </c:pt>
                <c:pt idx="46">
                  <c:v>1.4058667257029005E-5</c:v>
                </c:pt>
                <c:pt idx="47">
                  <c:v>1.4207028684037662E-5</c:v>
                </c:pt>
                <c:pt idx="48">
                  <c:v>1.4352176738141652E-5</c:v>
                </c:pt>
                <c:pt idx="49">
                  <c:v>1.4494214698950078E-5</c:v>
                </c:pt>
                <c:pt idx="50">
                  <c:v>1.4633241467034133E-5</c:v>
                </c:pt>
                <c:pt idx="51">
                  <c:v>1.4769351793580869E-5</c:v>
                </c:pt>
                <c:pt idx="52">
                  <c:v>1.4902636495744241E-5</c:v>
                </c:pt>
                <c:pt idx="53">
                  <c:v>1.5033182658722007E-5</c:v>
                </c:pt>
                <c:pt idx="54">
                  <c:v>1.5161073825503358E-5</c:v>
                </c:pt>
                <c:pt idx="55">
                  <c:v>1.5286390175156028E-5</c:v>
                </c:pt>
                <c:pt idx="56">
                  <c:v>1.5409208690452463E-5</c:v>
                </c:pt>
                <c:pt idx="57">
                  <c:v>1.5529603315571346E-5</c:v>
                </c:pt>
                <c:pt idx="58">
                  <c:v>1.564764510455345E-5</c:v>
                </c:pt>
                <c:pt idx="59">
                  <c:v>1.5763402361137994E-5</c:v>
                </c:pt>
                <c:pt idx="60">
                  <c:v>1.5876940770557791E-5</c:v>
                </c:pt>
                <c:pt idx="61">
                  <c:v>1.5988323523827608E-5</c:v>
                </c:pt>
                <c:pt idx="62">
                  <c:v>1.6097611435019747E-5</c:v>
                </c:pt>
                <c:pt idx="63">
                  <c:v>1.620486305198435E-5</c:v>
                </c:pt>
                <c:pt idx="64">
                  <c:v>1.6310134760937792E-5</c:v>
                </c:pt>
                <c:pt idx="65">
                  <c:v>1.641348088531187E-5</c:v>
                </c:pt>
                <c:pt idx="66">
                  <c:v>1.6514953779227843E-5</c:v>
                </c:pt>
                <c:pt idx="67">
                  <c:v>1.6614603915933179E-5</c:v>
                </c:pt>
                <c:pt idx="68">
                  <c:v>1.6712479971515043E-5</c:v>
                </c:pt>
                <c:pt idx="69">
                  <c:v>1.6808628904182111E-5</c:v>
                </c:pt>
                <c:pt idx="70">
                  <c:v>1.6903096029386039E-5</c:v>
                </c:pt>
                <c:pt idx="71">
                  <c:v>1.6995925091035201E-5</c:v>
                </c:pt>
                <c:pt idx="72">
                  <c:v>1.7087158329035586E-5</c:v>
                </c:pt>
                <c:pt idx="73">
                  <c:v>1.7176836543378219E-5</c:v>
                </c:pt>
                <c:pt idx="74">
                  <c:v>1.7264999154977185E-5</c:v>
                </c:pt>
                <c:pt idx="75">
                  <c:v>1.7351684263448969E-5</c:v>
                </c:pt>
                <c:pt idx="76">
                  <c:v>1.7436928702010972E-5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Sheet1!$AV$177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</c:numCache>
            </c:numRef>
          </c:xVal>
          <c:yVal>
            <c:numRef>
              <c:f>Sheet1!$AV$178:$AV$258</c:f>
              <c:numCache>
                <c:formatCode>0.0E+00</c:formatCode>
                <c:ptCount val="81"/>
                <c:pt idx="0">
                  <c:v>0</c:v>
                </c:pt>
                <c:pt idx="1">
                  <c:v>1.2330827067669172E-6</c:v>
                </c:pt>
                <c:pt idx="2">
                  <c:v>2.3768115942028985E-6</c:v>
                </c:pt>
                <c:pt idx="3">
                  <c:v>3.4405594405594402E-6</c:v>
                </c:pt>
                <c:pt idx="4">
                  <c:v>4.4324324324324324E-6</c:v>
                </c:pt>
                <c:pt idx="5">
                  <c:v>5.3594771241830063E-6</c:v>
                </c:pt>
                <c:pt idx="6">
                  <c:v>6.2278481012658216E-6</c:v>
                </c:pt>
                <c:pt idx="7">
                  <c:v>7.0429447852760735E-6</c:v>
                </c:pt>
                <c:pt idx="8">
                  <c:v>7.8095238095238092E-6</c:v>
                </c:pt>
                <c:pt idx="9">
                  <c:v>8.5317919075144511E-6</c:v>
                </c:pt>
                <c:pt idx="10">
                  <c:v>9.2134831460674141E-6</c:v>
                </c:pt>
                <c:pt idx="11">
                  <c:v>9.8579234972677599E-6</c:v>
                </c:pt>
                <c:pt idx="12">
                  <c:v>1.0468085106382979E-5</c:v>
                </c:pt>
                <c:pt idx="13">
                  <c:v>1.104663212435233E-5</c:v>
                </c:pt>
                <c:pt idx="14">
                  <c:v>1.1595959595959595E-5</c:v>
                </c:pt>
                <c:pt idx="15">
                  <c:v>1.2118226600985219E-5</c:v>
                </c:pt>
                <c:pt idx="16">
                  <c:v>1.2615384615384614E-5</c:v>
                </c:pt>
                <c:pt idx="17">
                  <c:v>1.3089201877934272E-5</c:v>
                </c:pt>
                <c:pt idx="18">
                  <c:v>1.3541284403669722E-5</c:v>
                </c:pt>
                <c:pt idx="19">
                  <c:v>1.3973094170403585E-5</c:v>
                </c:pt>
                <c:pt idx="20">
                  <c:v>1.4385964912280699E-5</c:v>
                </c:pt>
                <c:pt idx="21">
                  <c:v>1.4781115879828327E-5</c:v>
                </c:pt>
                <c:pt idx="22">
                  <c:v>1.515966386554622E-5</c:v>
                </c:pt>
                <c:pt idx="23">
                  <c:v>1.5522633744855966E-5</c:v>
                </c:pt>
                <c:pt idx="24">
                  <c:v>1.5870967741935482E-5</c:v>
                </c:pt>
                <c:pt idx="25">
                  <c:v>1.620553359683794E-5</c:v>
                </c:pt>
                <c:pt idx="26">
                  <c:v>1.6527131782945734E-5</c:v>
                </c:pt>
                <c:pt idx="27">
                  <c:v>1.6836501901140687E-5</c:v>
                </c:pt>
                <c:pt idx="28">
                  <c:v>1.7134328358208956E-5</c:v>
                </c:pt>
                <c:pt idx="29">
                  <c:v>1.7421245421245417E-5</c:v>
                </c:pt>
                <c:pt idx="30">
                  <c:v>1.7697841726618704E-5</c:v>
                </c:pt>
                <c:pt idx="31">
                  <c:v>1.7964664310954065E-5</c:v>
                </c:pt>
                <c:pt idx="32">
                  <c:v>1.8222222222222221E-5</c:v>
                </c:pt>
                <c:pt idx="33">
                  <c:v>1.8470989761092147E-5</c:v>
                </c:pt>
                <c:pt idx="34">
                  <c:v>1.8711409395973154E-5</c:v>
                </c:pt>
                <c:pt idx="35">
                  <c:v>1.8943894389438943E-5</c:v>
                </c:pt>
                <c:pt idx="36">
                  <c:v>1.9168831168831166E-5</c:v>
                </c:pt>
                <c:pt idx="37">
                  <c:v>1.9386581469648564E-5</c:v>
                </c:pt>
                <c:pt idx="38">
                  <c:v>1.9597484276729556E-5</c:v>
                </c:pt>
                <c:pt idx="39">
                  <c:v>1.9801857585139315E-5</c:v>
                </c:pt>
                <c:pt idx="40">
                  <c:v>1.9999999999999998E-5</c:v>
                </c:pt>
                <c:pt idx="41">
                  <c:v>2.0192192192192187E-5</c:v>
                </c:pt>
                <c:pt idx="42">
                  <c:v>2.0378698224852072E-5</c:v>
                </c:pt>
                <c:pt idx="43">
                  <c:v>2.0559766763848396E-5</c:v>
                </c:pt>
                <c:pt idx="44">
                  <c:v>2.0735632183908044E-5</c:v>
                </c:pt>
                <c:pt idx="45">
                  <c:v>2.0906515580736541E-5</c:v>
                </c:pt>
                <c:pt idx="46">
                  <c:v>2.1072625698324018E-5</c:v>
                </c:pt>
                <c:pt idx="47">
                  <c:v>2.1234159779614327E-5</c:v>
                </c:pt>
                <c:pt idx="48">
                  <c:v>2.1391304347826088E-5</c:v>
                </c:pt>
                <c:pt idx="49">
                  <c:v>2.1544235924932974E-5</c:v>
                </c:pt>
                <c:pt idx="50">
                  <c:v>2.1693121693121689E-5</c:v>
                </c:pt>
                <c:pt idx="51">
                  <c:v>2.1838120104438639E-5</c:v>
                </c:pt>
                <c:pt idx="52">
                  <c:v>2.1979381443298968E-5</c:v>
                </c:pt>
                <c:pt idx="53">
                  <c:v>2.2117048346055978E-5</c:v>
                </c:pt>
                <c:pt idx="54">
                  <c:v>2.2251256281407033E-5</c:v>
                </c:pt>
                <c:pt idx="55">
                  <c:v>2.2382133995037217E-5</c:v>
                </c:pt>
                <c:pt idx="56">
                  <c:v>2.2509803921568625E-5</c:v>
                </c:pt>
                <c:pt idx="57">
                  <c:v>2.2634382566585955E-5</c:v>
                </c:pt>
                <c:pt idx="58">
                  <c:v>2.2755980861244018E-5</c:v>
                </c:pt>
                <c:pt idx="59">
                  <c:v>2.2874704491725767E-5</c:v>
                </c:pt>
                <c:pt idx="60">
                  <c:v>2.2990654205607474E-5</c:v>
                </c:pt>
                <c:pt idx="61">
                  <c:v>2.3103926096997685E-5</c:v>
                </c:pt>
                <c:pt idx="62">
                  <c:v>2.3214611872146119E-5</c:v>
                </c:pt>
                <c:pt idx="63">
                  <c:v>2.3322799097065463E-5</c:v>
                </c:pt>
                <c:pt idx="64">
                  <c:v>2.3428571428571426E-5</c:v>
                </c:pt>
                <c:pt idx="65">
                  <c:v>2.3532008830022072E-5</c:v>
                </c:pt>
                <c:pt idx="66">
                  <c:v>2.3633187772925761E-5</c:v>
                </c:pt>
                <c:pt idx="67">
                  <c:v>2.3732181425485962E-5</c:v>
                </c:pt>
                <c:pt idx="68">
                  <c:v>2.3829059829059829E-5</c:v>
                </c:pt>
                <c:pt idx="69">
                  <c:v>2.3923890063424945E-5</c:v>
                </c:pt>
                <c:pt idx="70">
                  <c:v>2.4016736401673637E-5</c:v>
                </c:pt>
                <c:pt idx="71">
                  <c:v>2.410766045548654E-5</c:v>
                </c:pt>
                <c:pt idx="72">
                  <c:v>2.419672131147541E-5</c:v>
                </c:pt>
                <c:pt idx="73">
                  <c:v>2.4283975659229207E-5</c:v>
                </c:pt>
                <c:pt idx="74">
                  <c:v>2.4369477911646584E-5</c:v>
                </c:pt>
                <c:pt idx="75">
                  <c:v>2.4453280318091447E-5</c:v>
                </c:pt>
                <c:pt idx="76">
                  <c:v>2.4535433070866137E-5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68128"/>
        <c:axId val="78378496"/>
      </c:scatterChart>
      <c:valAx>
        <c:axId val="78368128"/>
        <c:scaling>
          <c:orientation val="minMax"/>
          <c:max val="8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a-DK" sz="1400" b="0"/>
                  <a:t>4-Methoxybenzyl alcohol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78378496"/>
        <c:crosses val="autoZero"/>
        <c:crossBetween val="midCat"/>
      </c:valAx>
      <c:valAx>
        <c:axId val="78378496"/>
        <c:scaling>
          <c:orientation val="minMax"/>
          <c:max val="3.0000000000000143E-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 algn="ctr">
                  <a:defRPr sz="1400" b="0"/>
                </a:pPr>
                <a:r>
                  <a:rPr lang="da-DK" sz="1400" b="0" i="0" baseline="0"/>
                  <a:t>Initial  </a:t>
                </a:r>
                <a:r>
                  <a:rPr lang="da-DK" sz="1400" b="0" i="0" baseline="0">
                    <a:latin typeface="Symbol" pitchFamily="18" charset="2"/>
                  </a:rPr>
                  <a:t>D</a:t>
                </a:r>
                <a:r>
                  <a:rPr lang="da-DK" sz="1400" b="0" i="0" baseline="0"/>
                  <a:t>A</a:t>
                </a:r>
                <a:r>
                  <a:rPr lang="da-DK" sz="1400" b="0" i="0" baseline="-25000"/>
                  <a:t>300nm</a:t>
                </a:r>
                <a:r>
                  <a:rPr lang="da-DK" sz="1400" b="0" i="0" baseline="0"/>
                  <a:t>/</a:t>
                </a:r>
                <a:r>
                  <a:rPr lang="da-DK" sz="1400" b="0" i="0" baseline="0">
                    <a:latin typeface="Symbol" pitchFamily="18" charset="2"/>
                  </a:rPr>
                  <a:t>e</a:t>
                </a:r>
                <a:r>
                  <a:rPr lang="da-DK" sz="1400" b="0" i="0" baseline="0"/>
                  <a:t>[E]</a:t>
                </a:r>
                <a:r>
                  <a:rPr lang="da-DK" sz="1400" b="0" i="0" baseline="-25000"/>
                  <a:t>t</a:t>
                </a:r>
                <a:r>
                  <a:rPr lang="da-DK" sz="1400" b="0" i="0" baseline="0"/>
                  <a:t> [1/s]</a:t>
                </a:r>
              </a:p>
            </c:rich>
          </c:tx>
          <c:layout/>
          <c:overlay val="0"/>
        </c:title>
        <c:numFmt formatCode="0.0E+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78368128"/>
        <c:crosses val="autoZero"/>
        <c:crossBetween val="midCat"/>
        <c:majorUnit val="1.0000000000000053E-5"/>
      </c:valAx>
      <c:spPr>
        <a:noFill/>
        <a:ln w="25400">
          <a:noFill/>
        </a:ln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21628052870317305"/>
          <c:y val="2.9396113080365452E-2"/>
          <c:w val="0.47491557619819086"/>
          <c:h val="0.24050678449538157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66245712024707"/>
          <c:y val="3.0259093189173636E-2"/>
          <c:w val="0.79119600694444447"/>
          <c:h val="0.8058961111111111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Sheet1!$AT$5</c:f>
              <c:strCache>
                <c:ptCount val="1"/>
                <c:pt idx="0">
                  <c:v>pH = 7.0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Sheet1!$AR$15</c:f>
                <c:numCache>
                  <c:formatCode>General</c:formatCode>
                  <c:ptCount val="1"/>
                  <c:pt idx="0">
                    <c:v>5.1684579377970967E-7</c:v>
                  </c:pt>
                </c:numCache>
              </c:numRef>
            </c:plus>
            <c:minus>
              <c:numRef>
                <c:f>Sheet1!$AR$11:$AR$15</c:f>
                <c:numCache>
                  <c:formatCode>General</c:formatCode>
                  <c:ptCount val="5"/>
                  <c:pt idx="0">
                    <c:v>2.7409388793746452E-7</c:v>
                  </c:pt>
                  <c:pt idx="1">
                    <c:v>4.465645283031521E-7</c:v>
                  </c:pt>
                  <c:pt idx="2">
                    <c:v>5.0020634911810492E-7</c:v>
                  </c:pt>
                  <c:pt idx="3">
                    <c:v>3.144485212535789E-7</c:v>
                  </c:pt>
                  <c:pt idx="4">
                    <c:v>5.1684579377970967E-7</c:v>
                  </c:pt>
                </c:numCache>
              </c:numRef>
            </c:minus>
          </c:errBars>
          <c:xVal>
            <c:numRef>
              <c:f>Sheet1!$AM$11:$AM$15</c:f>
              <c:numCache>
                <c:formatCode>0.00E+00</c:formatCode>
                <c:ptCount val="5"/>
                <c:pt idx="0">
                  <c:v>9.9000000000000005E-2</c:v>
                </c:pt>
                <c:pt idx="1">
                  <c:v>0.49</c:v>
                </c:pt>
                <c:pt idx="2">
                  <c:v>0.99</c:v>
                </c:pt>
                <c:pt idx="3">
                  <c:v>2.46</c:v>
                </c:pt>
                <c:pt idx="4">
                  <c:v>9.85</c:v>
                </c:pt>
              </c:numCache>
            </c:numRef>
          </c:xVal>
          <c:yVal>
            <c:numRef>
              <c:f>Sheet1!$AQ$11:$AQ$15</c:f>
              <c:numCache>
                <c:formatCode>0.00E+00</c:formatCode>
                <c:ptCount val="5"/>
                <c:pt idx="0">
                  <c:v>1.1197831978319784E-6</c:v>
                </c:pt>
                <c:pt idx="1">
                  <c:v>3.534688346883469E-6</c:v>
                </c:pt>
                <c:pt idx="2">
                  <c:v>5.2495934959349595E-6</c:v>
                </c:pt>
                <c:pt idx="3">
                  <c:v>6.1149051490514907E-6</c:v>
                </c:pt>
                <c:pt idx="4">
                  <c:v>8.1433604336043374E-6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Sheet1!$AX$13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Sheet1!$AX$13:$AX$15</c:f>
              <c:numCache>
                <c:formatCode>General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Sheet1!$AX$5</c:f>
              <c:strCache>
                <c:ptCount val="1"/>
                <c:pt idx="0">
                  <c:v>pH = 8.0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Sheet1!$O$22:$O$25</c:f>
              <c:numCache>
                <c:formatCode>0.00</c:formatCode>
                <c:ptCount val="4"/>
                <c:pt idx="0">
                  <c:v>0.21</c:v>
                </c:pt>
                <c:pt idx="1">
                  <c:v>0.42</c:v>
                </c:pt>
                <c:pt idx="2">
                  <c:v>1.05</c:v>
                </c:pt>
                <c:pt idx="3">
                  <c:v>2.11</c:v>
                </c:pt>
              </c:numCache>
            </c:numRef>
          </c:xVal>
          <c:yVal>
            <c:numRef>
              <c:f>Sheet1!$V$22:$V$25</c:f>
              <c:numCache>
                <c:formatCode>0.00E+00</c:formatCode>
                <c:ptCount val="4"/>
                <c:pt idx="0">
                  <c:v>9.9756097560975613E-6</c:v>
                </c:pt>
                <c:pt idx="1">
                  <c:v>1.9333333333333333E-5</c:v>
                </c:pt>
                <c:pt idx="2">
                  <c:v>2.3105691056910568E-5</c:v>
                </c:pt>
                <c:pt idx="3">
                  <c:v>2.0756097560975611E-5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08544"/>
        <c:axId val="85310848"/>
      </c:scatterChart>
      <c:valAx>
        <c:axId val="85308544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da-DK" sz="1400" b="0" baseline="0"/>
                  <a:t>BA  [</a:t>
                </a:r>
                <a:r>
                  <a:rPr lang="da-DK" sz="1400" b="0" i="0" u="none" strike="noStrike" baseline="0"/>
                  <a:t>mM</a:t>
                </a:r>
                <a:r>
                  <a:rPr lang="da-DK" sz="1400" b="0" baseline="0"/>
                  <a:t>]</a:t>
                </a:r>
                <a:r>
                  <a:rPr lang="da-DK" sz="1400" b="0" baseline="-25000"/>
                  <a:t>  </a:t>
                </a:r>
                <a:endParaRPr lang="da-DK" sz="1400" b="0"/>
              </a:p>
            </c:rich>
          </c:tx>
          <c:layout>
            <c:manualLayout>
              <c:xMode val="edge"/>
              <c:yMode val="edge"/>
              <c:x val="0.48539250000000084"/>
              <c:y val="0.9291269444444443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85310848"/>
        <c:crosses val="autoZero"/>
        <c:crossBetween val="midCat"/>
        <c:majorUnit val="1"/>
        <c:minorUnit val="4.1370000000000009E-3"/>
      </c:valAx>
      <c:valAx>
        <c:axId val="85310848"/>
        <c:scaling>
          <c:orientation val="minMax"/>
          <c:max val="2.5000000000000008E-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 algn="ctr">
                  <a:defRPr sz="1400"/>
                </a:pPr>
                <a:r>
                  <a:rPr lang="da-DK" sz="1400" b="0">
                    <a:latin typeface="Symbol" pitchFamily="18" charset="2"/>
                  </a:rPr>
                  <a:t> </a:t>
                </a:r>
                <a:r>
                  <a:rPr lang="da-DK" sz="1400" b="0" baseline="0">
                    <a:latin typeface="Symbol" pitchFamily="18" charset="2"/>
                  </a:rPr>
                  <a:t>D</a:t>
                </a:r>
                <a:r>
                  <a:rPr lang="da-DK" sz="1400" b="0" baseline="0"/>
                  <a:t>Abs/</a:t>
                </a:r>
                <a:r>
                  <a:rPr lang="da-DK" sz="1400" b="0" baseline="0">
                    <a:latin typeface="Symbol" pitchFamily="18" charset="2"/>
                  </a:rPr>
                  <a:t>e </a:t>
                </a:r>
                <a:r>
                  <a:rPr lang="da-DK" sz="1400" b="0" i="0" u="none" strike="noStrike" baseline="0"/>
                  <a:t>[mM/s]</a:t>
                </a:r>
                <a:endParaRPr lang="da-DK" sz="1400" b="0" baseline="30000">
                  <a:latin typeface="Calibri" pitchFamily="34" charset="0"/>
                </a:endParaRPr>
              </a:p>
            </c:rich>
          </c:tx>
          <c:layout>
            <c:manualLayout>
              <c:xMode val="edge"/>
              <c:yMode val="edge"/>
              <c:x val="1.887222222222225E-3"/>
              <c:y val="0.25540750000000001"/>
            </c:manualLayout>
          </c:layout>
          <c:overlay val="0"/>
        </c:title>
        <c:numFmt formatCode="0.0E+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853085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597916666666681"/>
          <c:y val="3.6424176784493653E-2"/>
          <c:w val="0.69782472222222225"/>
          <c:h val="0.80564883490245465"/>
        </c:manualLayout>
      </c:layout>
      <c:scatterChart>
        <c:scatterStyle val="lineMarker"/>
        <c:varyColors val="0"/>
        <c:ser>
          <c:idx val="2"/>
          <c:order val="0"/>
          <c:tx>
            <c:strRef>
              <c:f>Sheet1!$AA$61</c:f>
              <c:strCache>
                <c:ptCount val="1"/>
                <c:pt idx="0">
                  <c:v>4-Methoxybenzyl alcohol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Sheet1!$AD$62:$AD$68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281942.62010708795</c:v>
                  </c:pt>
                  <c:pt idx="2">
                    <c:v>281942.62010708795</c:v>
                  </c:pt>
                  <c:pt idx="3">
                    <c:v>281942.62010708795</c:v>
                  </c:pt>
                  <c:pt idx="4">
                    <c:v>281942.62010708795</c:v>
                  </c:pt>
                  <c:pt idx="5">
                    <c:v>769438.44831426372</c:v>
                  </c:pt>
                  <c:pt idx="6">
                    <c:v>290714.69604082161</c:v>
                  </c:pt>
                </c:numCache>
              </c:numRef>
            </c:plus>
            <c:minus>
              <c:numRef>
                <c:f>Sheet1!$AD$62:$AD$68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281942.62010708795</c:v>
                  </c:pt>
                  <c:pt idx="2">
                    <c:v>281942.62010708795</c:v>
                  </c:pt>
                  <c:pt idx="3">
                    <c:v>281942.62010708795</c:v>
                  </c:pt>
                  <c:pt idx="4">
                    <c:v>281942.62010708795</c:v>
                  </c:pt>
                  <c:pt idx="5">
                    <c:v>769438.44831426372</c:v>
                  </c:pt>
                  <c:pt idx="6">
                    <c:v>290714.69604082161</c:v>
                  </c:pt>
                </c:numCache>
              </c:numRef>
            </c:minus>
          </c:errBars>
          <c:xVal>
            <c:numRef>
              <c:f>Sheet1!$AA$62:$AA$68</c:f>
              <c:numCache>
                <c:formatCode>0.00</c:formatCode>
                <c:ptCount val="7"/>
                <c:pt idx="0">
                  <c:v>4.126666666666666</c:v>
                </c:pt>
                <c:pt idx="1">
                  <c:v>8.25</c:v>
                </c:pt>
                <c:pt idx="2">
                  <c:v>1.03</c:v>
                </c:pt>
                <c:pt idx="3">
                  <c:v>0</c:v>
                </c:pt>
                <c:pt idx="4">
                  <c:v>3.09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Sheet1!$AB$62:$AB$68</c:f>
              <c:numCache>
                <c:formatCode>0.000E+00</c:formatCode>
                <c:ptCount val="7"/>
                <c:pt idx="0" formatCode="General">
                  <c:v>0</c:v>
                </c:pt>
                <c:pt idx="1">
                  <c:v>8.8670524486523027E-7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3.2491227927031254E-7</c:v>
                </c:pt>
                <c:pt idx="6">
                  <c:v>8.5994964618126993E-7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Sheet1!$AH$74</c:f>
              <c:strCache>
                <c:ptCount val="1"/>
                <c:pt idx="0">
                  <c:v>MM fit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Sheet1!$AG$75:$AG$165</c:f>
              <c:numCache>
                <c:formatCode>0.0</c:formatCode>
                <c:ptCount val="91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 formatCode="General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 formatCode="General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 formatCode="General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 formatCode="General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 formatCode="General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 formatCode="General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 formatCode="General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 formatCode="General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 formatCode="General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 formatCode="General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 formatCode="General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 formatCode="General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 formatCode="General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 formatCode="General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 formatCode="General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 formatCode="General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 formatCode="General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 formatCode="General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 formatCode="General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 formatCode="General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 formatCode="General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 formatCode="General">
                  <c:v>8.8000000000000007</c:v>
                </c:pt>
                <c:pt idx="89">
                  <c:v>8.9</c:v>
                </c:pt>
                <c:pt idx="90">
                  <c:v>9</c:v>
                </c:pt>
              </c:numCache>
            </c:numRef>
          </c:xVal>
          <c:yVal>
            <c:numRef>
              <c:f>Sheet1!$AH$75:$AH$165</c:f>
              <c:numCache>
                <c:formatCode>General</c:formatCode>
                <c:ptCount val="91"/>
                <c:pt idx="0">
                  <c:v>0</c:v>
                </c:pt>
                <c:pt idx="1">
                  <c:v>3.8165101721439755E-5</c:v>
                </c:pt>
                <c:pt idx="2">
                  <c:v>5.4865016872890886E-5</c:v>
                </c:pt>
                <c:pt idx="3">
                  <c:v>6.4233977172958726E-5</c:v>
                </c:pt>
                <c:pt idx="4">
                  <c:v>7.0230381569474446E-5</c:v>
                </c:pt>
                <c:pt idx="5">
                  <c:v>7.4397498474679691E-5</c:v>
                </c:pt>
                <c:pt idx="6">
                  <c:v>7.7461619904711489E-5</c:v>
                </c:pt>
                <c:pt idx="7">
                  <c:v>7.9809490416082291E-5</c:v>
                </c:pt>
                <c:pt idx="8">
                  <c:v>8.1665969024696529E-5</c:v>
                </c:pt>
                <c:pt idx="9">
                  <c:v>8.317070860174307E-5</c:v>
                </c:pt>
                <c:pt idx="10">
                  <c:v>8.4415022499134646E-5</c:v>
                </c:pt>
                <c:pt idx="11">
                  <c:v>8.5461134119146223E-5</c:v>
                </c:pt>
                <c:pt idx="12">
                  <c:v>8.6352906462083213E-5</c:v>
                </c:pt>
                <c:pt idx="13">
                  <c:v>8.7122148942017042E-5</c:v>
                </c:pt>
                <c:pt idx="14">
                  <c:v>8.779249164309592E-5</c:v>
                </c:pt>
                <c:pt idx="15">
                  <c:v>8.8381855520657158E-5</c:v>
                </c:pt>
                <c:pt idx="16">
                  <c:v>8.8904078377762588E-5</c:v>
                </c:pt>
                <c:pt idx="17">
                  <c:v>8.9370015089458945E-5</c:v>
                </c:pt>
                <c:pt idx="18">
                  <c:v>8.9788300265903045E-5</c:v>
                </c:pt>
                <c:pt idx="19">
                  <c:v>9.0165888305117711E-5</c:v>
                </c:pt>
                <c:pt idx="20">
                  <c:v>9.0508443124884017E-5</c:v>
                </c:pt>
                <c:pt idx="21">
                  <c:v>9.0820624224153217E-5</c:v>
                </c:pt>
                <c:pt idx="22">
                  <c:v>9.1106299881134307E-5</c:v>
                </c:pt>
                <c:pt idx="23">
                  <c:v>9.1368708258674037E-5</c:v>
                </c:pt>
                <c:pt idx="24">
                  <c:v>9.1610580685553284E-5</c:v>
                </c:pt>
                <c:pt idx="25">
                  <c:v>9.183423708389817E-5</c:v>
                </c:pt>
                <c:pt idx="26">
                  <c:v>9.2041660618377122E-5</c:v>
                </c:pt>
                <c:pt idx="27">
                  <c:v>9.2234556660596726E-5</c:v>
                </c:pt>
                <c:pt idx="28">
                  <c:v>9.241439978346191E-5</c:v>
                </c:pt>
                <c:pt idx="29">
                  <c:v>9.2582471527686853E-5</c:v>
                </c:pt>
                <c:pt idx="30">
                  <c:v>9.2739890987450873E-5</c:v>
                </c:pt>
                <c:pt idx="31">
                  <c:v>9.2887639759184167E-5</c:v>
                </c:pt>
                <c:pt idx="32">
                  <c:v>9.3026582429371794E-5</c:v>
                </c:pt>
                <c:pt idx="33">
                  <c:v>9.3157483505035301E-5</c:v>
                </c:pt>
                <c:pt idx="34">
                  <c:v>9.3281021487231404E-5</c:v>
                </c:pt>
                <c:pt idx="35">
                  <c:v>9.3397800634642745E-5</c:v>
                </c:pt>
                <c:pt idx="36">
                  <c:v>9.3508360847800601E-5</c:v>
                </c:pt>
                <c:pt idx="37">
                  <c:v>9.3613186015146794E-5</c:v>
                </c:pt>
                <c:pt idx="38">
                  <c:v>9.3712711093133771E-5</c:v>
                </c:pt>
                <c:pt idx="39">
                  <c:v>9.3807328138869705E-5</c:v>
                </c:pt>
                <c:pt idx="40">
                  <c:v>9.3897391471748964E-5</c:v>
                </c:pt>
                <c:pt idx="41">
                  <c:v>9.3983222107340926E-5</c:v>
                </c:pt>
                <c:pt idx="42">
                  <c:v>9.4065111580494086E-5</c:v>
                </c:pt>
                <c:pt idx="43">
                  <c:v>9.414332525361344E-5</c:v>
                </c:pt>
                <c:pt idx="44">
                  <c:v>9.4218105189217672E-5</c:v>
                </c:pt>
                <c:pt idx="45">
                  <c:v>9.4289672652289722E-5</c:v>
                </c:pt>
                <c:pt idx="46">
                  <c:v>9.4358230296913111E-5</c:v>
                </c:pt>
                <c:pt idx="47">
                  <c:v>9.4423964082708631E-5</c:v>
                </c:pt>
                <c:pt idx="48">
                  <c:v>9.4487044959238039E-5</c:v>
                </c:pt>
                <c:pt idx="49">
                  <c:v>9.4547630350502414E-5</c:v>
                </c:pt>
                <c:pt idx="50">
                  <c:v>9.4605865466677023E-5</c:v>
                </c:pt>
                <c:pt idx="51">
                  <c:v>9.4661884466093322E-5</c:v>
                </c:pt>
                <c:pt idx="52">
                  <c:v>9.4715811487041616E-5</c:v>
                </c:pt>
                <c:pt idx="53">
                  <c:v>9.4767761566097236E-5</c:v>
                </c:pt>
                <c:pt idx="54">
                  <c:v>9.4817841457268349E-5</c:v>
                </c:pt>
                <c:pt idx="55">
                  <c:v>9.4866150364240762E-5</c:v>
                </c:pt>
                <c:pt idx="56">
                  <c:v>9.4912780596288849E-5</c:v>
                </c:pt>
                <c:pt idx="57">
                  <c:v>9.4957818156977936E-5</c:v>
                </c:pt>
                <c:pt idx="58">
                  <c:v>9.5001343273557658E-5</c:v>
                </c:pt>
                <c:pt idx="59">
                  <c:v>9.5043430873901843E-5</c:v>
                </c:pt>
                <c:pt idx="60">
                  <c:v>9.5084151016960167E-5</c:v>
                </c:pt>
                <c:pt idx="61">
                  <c:v>9.512356928192339E-5</c:v>
                </c:pt>
                <c:pt idx="62">
                  <c:v>9.5161747120649505E-5</c:v>
                </c:pt>
                <c:pt idx="63">
                  <c:v>9.5198742177334407E-5</c:v>
                </c:pt>
                <c:pt idx="64">
                  <c:v>9.5234608578924888E-5</c:v>
                </c:pt>
                <c:pt idx="65">
                  <c:v>9.5269397199350923E-5</c:v>
                </c:pt>
                <c:pt idx="66">
                  <c:v>9.5303155900290133E-5</c:v>
                </c:pt>
                <c:pt idx="67">
                  <c:v>9.5335929750860619E-5</c:v>
                </c:pt>
                <c:pt idx="68">
                  <c:v>9.5367761228362758E-5</c:v>
                </c:pt>
                <c:pt idx="69">
                  <c:v>9.5398690401950233E-5</c:v>
                </c:pt>
                <c:pt idx="70">
                  <c:v>9.5428755100900002E-5</c:v>
                </c:pt>
                <c:pt idx="71">
                  <c:v>9.545799106896743E-5</c:v>
                </c:pt>
                <c:pt idx="72">
                  <c:v>9.5486432106150408E-5</c:v>
                </c:pt>
                <c:pt idx="73">
                  <c:v>9.5514110199045006E-5</c:v>
                </c:pt>
                <c:pt idx="74">
                  <c:v>9.5541055640849173E-5</c:v>
                </c:pt>
                <c:pt idx="75">
                  <c:v>9.5567297141961442E-5</c:v>
                </c:pt>
                <c:pt idx="76">
                  <c:v>9.5592861932023316E-5</c:v>
                </c:pt>
                <c:pt idx="77">
                  <c:v>9.5617775854167725E-5</c:v>
                </c:pt>
                <c:pt idx="78">
                  <c:v>9.5642063452159492E-5</c:v>
                </c:pt>
                <c:pt idx="79">
                  <c:v>9.5665748051045234E-5</c:v>
                </c:pt>
                <c:pt idx="80">
                  <c:v>9.5688851831870133E-5</c:v>
                </c:pt>
                <c:pt idx="81">
                  <c:v>9.5711395900964199E-5</c:v>
                </c:pt>
                <c:pt idx="82">
                  <c:v>9.5733400354253438E-5</c:v>
                </c:pt>
                <c:pt idx="83">
                  <c:v>9.5754884337007437E-5</c:v>
                </c:pt>
                <c:pt idx="84">
                  <c:v>9.5775866099396897E-5</c:v>
                </c:pt>
                <c:pt idx="85">
                  <c:v>9.5796363048200012E-5</c:v>
                </c:pt>
                <c:pt idx="86">
                  <c:v>9.5816391794965508E-5</c:v>
                </c:pt>
                <c:pt idx="87">
                  <c:v>9.5835968200912421E-5</c:v>
                </c:pt>
                <c:pt idx="88">
                  <c:v>9.5855107418821745E-5</c:v>
                </c:pt>
                <c:pt idx="89">
                  <c:v>9.587382393215248E-5</c:v>
                </c:pt>
                <c:pt idx="90">
                  <c:v>9.5892131591594212E-5</c:v>
                </c:pt>
              </c:numCache>
            </c:numRef>
          </c:yVal>
          <c:smooth val="1"/>
        </c:ser>
        <c:ser>
          <c:idx val="1"/>
          <c:order val="2"/>
          <c:spPr>
            <a:ln w="28575">
              <a:noFill/>
            </a:ln>
          </c:spPr>
          <c:xVal>
            <c:numRef>
              <c:f>Sheet1!$O$147:$O$150</c:f>
              <c:numCache>
                <c:formatCode>0.00</c:formatCode>
                <c:ptCount val="4"/>
                <c:pt idx="0">
                  <c:v>9.5000000000000001E-2</c:v>
                </c:pt>
                <c:pt idx="1">
                  <c:v>0.191</c:v>
                </c:pt>
                <c:pt idx="2">
                  <c:v>0.28599999999999998</c:v>
                </c:pt>
                <c:pt idx="3">
                  <c:v>0.38100000000000001</c:v>
                </c:pt>
              </c:numCache>
            </c:numRef>
          </c:xVal>
          <c:yVal>
            <c:numRef>
              <c:f>Sheet1!$U$147:$U$150</c:f>
              <c:numCache>
                <c:formatCode>0.00E+00</c:formatCode>
                <c:ptCount val="4"/>
                <c:pt idx="0">
                  <c:v>2.4579999999999998E-5</c:v>
                </c:pt>
                <c:pt idx="1">
                  <c:v>3.6869999999999998E-5</c:v>
                </c:pt>
                <c:pt idx="2">
                  <c:v>3.8399999999999998E-5</c:v>
                </c:pt>
                <c:pt idx="3">
                  <c:v>4.4159999999999997E-5</c:v>
                </c:pt>
              </c:numCache>
            </c:numRef>
          </c:yVal>
          <c:smooth val="0"/>
        </c:ser>
        <c:ser>
          <c:idx val="3"/>
          <c:order val="3"/>
          <c:spPr>
            <a:ln w="28575">
              <a:noFill/>
            </a:ln>
          </c:spPr>
          <c:xVal>
            <c:numRef>
              <c:f>Sheet1!$O$143:$O$146</c:f>
              <c:numCache>
                <c:formatCode>0.00</c:formatCode>
                <c:ptCount val="4"/>
                <c:pt idx="0">
                  <c:v>4.8000000000000001E-2</c:v>
                </c:pt>
                <c:pt idx="1">
                  <c:v>9.5000000000000001E-2</c:v>
                </c:pt>
                <c:pt idx="2">
                  <c:v>0.14299999999999999</c:v>
                </c:pt>
                <c:pt idx="3">
                  <c:v>0.191</c:v>
                </c:pt>
              </c:numCache>
            </c:numRef>
          </c:xVal>
          <c:yVal>
            <c:numRef>
              <c:f>Sheet1!$U$143:$U$146</c:f>
              <c:numCache>
                <c:formatCode>0.00E+00</c:formatCode>
                <c:ptCount val="4"/>
                <c:pt idx="0">
                  <c:v>5.7599999999999999E-6</c:v>
                </c:pt>
                <c:pt idx="1">
                  <c:v>7.2960000000000001E-6</c:v>
                </c:pt>
                <c:pt idx="2">
                  <c:v>1.344E-5</c:v>
                </c:pt>
                <c:pt idx="3">
                  <c:v>1.4980000000000001E-5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67424"/>
        <c:axId val="85373696"/>
      </c:scatterChart>
      <c:valAx>
        <c:axId val="85367424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a-DK" sz="1400" b="0" i="1"/>
                  <a:t>p</a:t>
                </a:r>
                <a:r>
                  <a:rPr lang="da-DK" sz="1400" b="0"/>
                  <a:t>MBA</a:t>
                </a:r>
                <a:r>
                  <a:rPr lang="da-DK" sz="1400" b="0" baseline="0"/>
                  <a:t> </a:t>
                </a:r>
                <a:r>
                  <a:rPr lang="da-DK" sz="1400" b="0" i="0" u="none" strike="noStrike" baseline="0"/>
                  <a:t>[mM]</a:t>
                </a:r>
                <a:endParaRPr lang="da-DK" sz="1400" b="0"/>
              </a:p>
            </c:rich>
          </c:tx>
          <c:layout>
            <c:manualLayout>
              <c:xMode val="edge"/>
              <c:yMode val="edge"/>
              <c:x val="0.43968555555555588"/>
              <c:y val="0.9291269247574784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85373696"/>
        <c:crosses val="autoZero"/>
        <c:crossBetween val="midCat"/>
        <c:majorUnit val="1"/>
      </c:valAx>
      <c:valAx>
        <c:axId val="85373696"/>
        <c:scaling>
          <c:orientation val="minMax"/>
          <c:max val="1.1000000000000056E-4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>
                    <a:latin typeface="Symbol" pitchFamily="18" charset="2"/>
                  </a:rPr>
                  <a:t>D</a:t>
                </a:r>
                <a:r>
                  <a:rPr lang="da-DK" sz="1400" b="0"/>
                  <a:t>Abs/</a:t>
                </a:r>
                <a:r>
                  <a:rPr lang="da-DK" sz="1400" b="0">
                    <a:latin typeface="Symbol" pitchFamily="18" charset="2"/>
                  </a:rPr>
                  <a:t>e </a:t>
                </a:r>
                <a:r>
                  <a:rPr lang="da-DK" sz="1400" b="0" i="0" u="none" strike="noStrike" baseline="0"/>
                  <a:t>[mM/s]</a:t>
                </a:r>
                <a:r>
                  <a:rPr lang="da-DK" sz="1400" b="0" baseline="0">
                    <a:latin typeface="+mn-lt"/>
                  </a:rPr>
                  <a:t> </a:t>
                </a:r>
                <a:endParaRPr lang="da-DK" sz="1400" b="0"/>
              </a:p>
            </c:rich>
          </c:tx>
          <c:layout>
            <c:manualLayout>
              <c:xMode val="edge"/>
              <c:yMode val="edge"/>
              <c:x val="0"/>
              <c:y val="0.29709674919354218"/>
            </c:manualLayout>
          </c:layout>
          <c:overlay val="0"/>
        </c:title>
        <c:numFmt formatCode="0.0E+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85367424"/>
        <c:crosses val="autoZero"/>
        <c:crossBetween val="midCat"/>
        <c:majorUnit val="2.0000000000000073E-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Sheet1!$G$212</c:f>
              <c:strCache>
                <c:ptCount val="1"/>
                <c:pt idx="0">
                  <c:v>data14</c:v>
                </c:pt>
              </c:strCache>
            </c:strRef>
          </c:tx>
          <c:xVal>
            <c:numRef>
              <c:f>Sheet1!$O$212:$O$215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Sheet1!$X$212:$X$215</c:f>
              <c:numCache>
                <c:formatCode>0.00E+00</c:formatCode>
                <c:ptCount val="4"/>
                <c:pt idx="0">
                  <c:v>2.9769599698353731E-6</c:v>
                </c:pt>
                <c:pt idx="1">
                  <c:v>4.0495197254469397E-6</c:v>
                </c:pt>
                <c:pt idx="2">
                  <c:v>4.3622799254193377E-6</c:v>
                </c:pt>
                <c:pt idx="3">
                  <c:v>5.2413939614311482E-6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38624"/>
        <c:axId val="92940160"/>
      </c:scatterChart>
      <c:valAx>
        <c:axId val="9293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2940160"/>
        <c:crosses val="autoZero"/>
        <c:crossBetween val="midCat"/>
      </c:valAx>
      <c:valAx>
        <c:axId val="92940160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929386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10456359828556"/>
          <c:y val="0.14494837082810302"/>
          <c:w val="0.73224518518518689"/>
          <c:h val="0.754283477337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Sheet1!$AW$168</c:f>
              <c:strCache>
                <c:ptCount val="1"/>
                <c:pt idx="0">
                  <c:v>R*ln(kcat*h/T*kB)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2.640777777777796E-2"/>
                  <c:y val="-0.22273694444444489"/>
                </c:manualLayout>
              </c:layout>
              <c:numFmt formatCode="#,##0.000" sourceLinked="0"/>
              <c:txPr>
                <a:bodyPr/>
                <a:lstStyle/>
                <a:p>
                  <a:pPr>
                    <a:defRPr sz="1400"/>
                  </a:pPr>
                  <a:endParaRPr lang="da-DK"/>
                </a:p>
              </c:txPr>
            </c:trendlineLbl>
          </c:trendline>
          <c:xVal>
            <c:numRef>
              <c:f>Sheet1!$AU$169:$AU$174</c:f>
              <c:numCache>
                <c:formatCode>0.00E+00</c:formatCode>
                <c:ptCount val="6"/>
                <c:pt idx="0">
                  <c:v>3.4704147145583901E-3</c:v>
                </c:pt>
                <c:pt idx="1">
                  <c:v>3.4112229234180458E-3</c:v>
                </c:pt>
                <c:pt idx="2">
                  <c:v>3.3540164346805303E-3</c:v>
                </c:pt>
                <c:pt idx="3">
                  <c:v>3.298697014679202E-3</c:v>
                </c:pt>
                <c:pt idx="4">
                  <c:v>3.2451728054518907E-3</c:v>
                </c:pt>
                <c:pt idx="5">
                  <c:v>3.1933578157432542E-3</c:v>
                </c:pt>
              </c:numCache>
            </c:numRef>
          </c:xVal>
          <c:yVal>
            <c:numRef>
              <c:f>Sheet1!$AW$169:$AW$174</c:f>
              <c:numCache>
                <c:formatCode>0.0E+00</c:formatCode>
                <c:ptCount val="6"/>
                <c:pt idx="0">
                  <c:v>-8.4312629309505768E-2</c:v>
                </c:pt>
                <c:pt idx="1">
                  <c:v>-8.2989627013299441E-2</c:v>
                </c:pt>
                <c:pt idx="2">
                  <c:v>-8.2123996579340927E-2</c:v>
                </c:pt>
                <c:pt idx="3">
                  <c:v>-8.1133129501623796E-2</c:v>
                </c:pt>
                <c:pt idx="4">
                  <c:v>-7.9502338612342793E-2</c:v>
                </c:pt>
                <c:pt idx="5">
                  <c:v>-7.919187777009043E-2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Sheet1!$AX$168</c:f>
              <c:strCache>
                <c:ptCount val="1"/>
                <c:pt idx="0">
                  <c:v>R*ln(kcat*h/Km*T*kB)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35694407407407513"/>
                  <c:y val="-0.23537472222222222"/>
                </c:manualLayout>
              </c:layout>
              <c:numFmt formatCode="#,##0.000" sourceLinked="0"/>
              <c:txPr>
                <a:bodyPr/>
                <a:lstStyle/>
                <a:p>
                  <a:pPr>
                    <a:defRPr sz="1400"/>
                  </a:pPr>
                  <a:endParaRPr lang="da-DK"/>
                </a:p>
              </c:txPr>
            </c:trendlineLbl>
          </c:trendline>
          <c:xVal>
            <c:numRef>
              <c:f>Sheet1!$AU$169:$AU$174</c:f>
              <c:numCache>
                <c:formatCode>0.00E+00</c:formatCode>
                <c:ptCount val="6"/>
                <c:pt idx="0">
                  <c:v>3.4704147145583901E-3</c:v>
                </c:pt>
                <c:pt idx="1">
                  <c:v>3.4112229234180458E-3</c:v>
                </c:pt>
                <c:pt idx="2">
                  <c:v>3.3540164346805303E-3</c:v>
                </c:pt>
                <c:pt idx="3">
                  <c:v>3.298697014679202E-3</c:v>
                </c:pt>
                <c:pt idx="4">
                  <c:v>3.2451728054518907E-3</c:v>
                </c:pt>
                <c:pt idx="5">
                  <c:v>3.1933578157432542E-3</c:v>
                </c:pt>
              </c:numCache>
            </c:numRef>
          </c:xVal>
          <c:yVal>
            <c:numRef>
              <c:f>Sheet1!$AX$169:$AX$174</c:f>
              <c:numCache>
                <c:formatCode>0.0E+00</c:formatCode>
                <c:ptCount val="6"/>
                <c:pt idx="0">
                  <c:v>-8.7287451910665045E-2</c:v>
                </c:pt>
                <c:pt idx="1">
                  <c:v>-8.6114489749023859E-2</c:v>
                </c:pt>
                <c:pt idx="2">
                  <c:v>-8.4391281961846476E-2</c:v>
                </c:pt>
                <c:pt idx="3">
                  <c:v>-8.2909820933513373E-2</c:v>
                </c:pt>
                <c:pt idx="4">
                  <c:v>-8.2463309497734505E-2</c:v>
                </c:pt>
                <c:pt idx="5">
                  <c:v>-8.1060762601132819E-2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77408"/>
        <c:axId val="92979584"/>
      </c:scatterChart>
      <c:valAx>
        <c:axId val="92977408"/>
        <c:scaling>
          <c:orientation val="minMax"/>
          <c:max val="3.5000000000000096E-3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sz="1400" b="0"/>
                  <a:t>1/T</a:t>
                </a:r>
                <a:r>
                  <a:rPr lang="en-US" sz="1400" b="0" baseline="0"/>
                  <a:t> [1/</a:t>
                </a:r>
                <a:r>
                  <a:rPr lang="en-US" sz="1400" b="0" baseline="30000"/>
                  <a:t>o</a:t>
                </a:r>
                <a:r>
                  <a:rPr lang="en-US" sz="1400" b="0" baseline="0"/>
                  <a:t>K]</a:t>
                </a:r>
                <a:endParaRPr lang="en-US" sz="1400" b="0"/>
              </a:p>
            </c:rich>
          </c:tx>
          <c:layout/>
          <c:overlay val="0"/>
        </c:title>
        <c:numFmt formatCode="0.0E+0" sourceLinked="0"/>
        <c:majorTickMark val="in"/>
        <c:minorTickMark val="in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92979584"/>
        <c:crosses val="autoZero"/>
        <c:crossBetween val="midCat"/>
      </c:valAx>
      <c:valAx>
        <c:axId val="92979584"/>
        <c:scaling>
          <c:orientation val="minMax"/>
          <c:max val="-7.8000000000000014E-2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kCal/mol</a:t>
                </a:r>
                <a:r>
                  <a:rPr lang="da-DK" sz="1400" b="0" baseline="30000"/>
                  <a:t>o</a:t>
                </a:r>
                <a:r>
                  <a:rPr lang="da-DK" sz="1400" b="0"/>
                  <a:t>K</a:t>
                </a:r>
              </a:p>
            </c:rich>
          </c:tx>
          <c:layout/>
          <c:overlay val="0"/>
        </c:title>
        <c:numFmt formatCode="0.0E+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92977408"/>
        <c:crosses val="autoZero"/>
        <c:crossBetween val="midCat"/>
        <c:majorUnit val="2.5000000000000074E-3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042838888888889"/>
          <c:y val="0.6945994444444461"/>
          <c:w val="0.39119759259259257"/>
          <c:h val="0.17171777777777791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22934027777777"/>
          <c:y val="2.305941439524899E-2"/>
          <c:w val="0.81671979166666664"/>
          <c:h val="0.80645361111111113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Sheet1!$AP$56</c:f>
              <c:strCache>
                <c:ptCount val="1"/>
                <c:pt idx="0">
                  <c:v> f(x) = k1*x/(Kd1+x+x*x/Kd2)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Sheet1!$AN$61:$AN$161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Sheet1!$AO$61:$AO$161</c:f>
              <c:numCache>
                <c:formatCode>0.00E+00</c:formatCode>
                <c:ptCount val="101"/>
                <c:pt idx="0">
                  <c:v>0</c:v>
                </c:pt>
                <c:pt idx="1">
                  <c:v>5.4778741033452094E-6</c:v>
                </c:pt>
                <c:pt idx="2">
                  <c:v>8.0702578275363057E-6</c:v>
                </c:pt>
                <c:pt idx="3">
                  <c:v>9.5521811928206209E-6</c:v>
                </c:pt>
                <c:pt idx="4">
                  <c:v>1.0491113059023615E-5</c:v>
                </c:pt>
                <c:pt idx="5">
                  <c:v>1.1124568810562346E-5</c:v>
                </c:pt>
                <c:pt idx="6">
                  <c:v>1.1569476335044737E-5</c:v>
                </c:pt>
                <c:pt idx="7">
                  <c:v>1.1890076131654024E-5</c:v>
                </c:pt>
                <c:pt idx="8">
                  <c:v>1.2124585897907391E-5</c:v>
                </c:pt>
                <c:pt idx="9">
                  <c:v>1.2297160161425363E-5</c:v>
                </c:pt>
                <c:pt idx="10">
                  <c:v>1.2423809600695193E-5</c:v>
                </c:pt>
                <c:pt idx="11">
                  <c:v>1.2515562870864419E-5</c:v>
                </c:pt>
                <c:pt idx="12">
                  <c:v>1.2580261617520775E-5</c:v>
                </c:pt>
                <c:pt idx="13">
                  <c:v>1.2623631674978438E-5</c:v>
                </c:pt>
                <c:pt idx="14">
                  <c:v>1.2649949514839447E-5</c:v>
                </c:pt>
                <c:pt idx="15">
                  <c:v>1.26624717932478E-5</c:v>
                </c:pt>
                <c:pt idx="16">
                  <c:v>1.2663720744646962E-5</c:v>
                </c:pt>
                <c:pt idx="17">
                  <c:v>1.2655678869602147E-5</c:v>
                </c:pt>
                <c:pt idx="18">
                  <c:v>1.2639924855996012E-5</c:v>
                </c:pt>
                <c:pt idx="19">
                  <c:v>1.2617730435518529E-5</c:v>
                </c:pt>
                <c:pt idx="20">
                  <c:v>1.2590130673679434E-5</c:v>
                </c:pt>
                <c:pt idx="21">
                  <c:v>1.2557975821518671E-5</c:v>
                </c:pt>
                <c:pt idx="22">
                  <c:v>1.2521970134153093E-5</c:v>
                </c:pt>
                <c:pt idx="23">
                  <c:v>1.2482701323288633E-5</c:v>
                </c:pt>
                <c:pt idx="24">
                  <c:v>1.244066317723038E-5</c:v>
                </c:pt>
                <c:pt idx="25">
                  <c:v>1.2396273127881265E-5</c:v>
                </c:pt>
                <c:pt idx="26">
                  <c:v>1.2349886033594086E-5</c:v>
                </c:pt>
                <c:pt idx="27">
                  <c:v>1.2301805095245424E-5</c:v>
                </c:pt>
                <c:pt idx="28">
                  <c:v>1.2252290577277166E-5</c:v>
                </c:pt>
                <c:pt idx="29">
                  <c:v>1.2201566831416315E-5</c:v>
                </c:pt>
                <c:pt idx="30">
                  <c:v>1.2149827995880794E-5</c:v>
                </c:pt>
                <c:pt idx="31">
                  <c:v>1.2097242652165367E-5</c:v>
                </c:pt>
                <c:pt idx="32">
                  <c:v>1.2043957654886023E-5</c:v>
                </c:pt>
                <c:pt idx="33">
                  <c:v>1.1990101300734499E-5</c:v>
                </c:pt>
                <c:pt idx="34">
                  <c:v>1.193578596556622E-5</c:v>
                </c:pt>
                <c:pt idx="35">
                  <c:v>1.1881110310653023E-5</c:v>
                </c:pt>
                <c:pt idx="36">
                  <c:v>1.1826161137791068E-5</c:v>
                </c:pt>
                <c:pt idx="37">
                  <c:v>1.1771014956553594E-5</c:v>
                </c:pt>
                <c:pt idx="38">
                  <c:v>1.171573931427886E-5</c:v>
                </c:pt>
                <c:pt idx="39">
                  <c:v>1.1660393929480465E-5</c:v>
                </c:pt>
                <c:pt idx="40">
                  <c:v>1.1605031661592188E-5</c:v>
                </c:pt>
                <c:pt idx="41">
                  <c:v>1.1549699343816727E-5</c:v>
                </c:pt>
                <c:pt idx="42">
                  <c:v>1.1494438500964852E-5</c:v>
                </c:pt>
                <c:pt idx="43">
                  <c:v>1.1439285970267923E-5</c:v>
                </c:pt>
                <c:pt idx="44">
                  <c:v>1.1384274440009119E-5</c:v>
                </c:pt>
                <c:pt idx="45">
                  <c:v>1.1329432918283449E-5</c:v>
                </c:pt>
                <c:pt idx="46">
                  <c:v>1.127478714213809E-5</c:v>
                </c:pt>
                <c:pt idx="47">
                  <c:v>1.1220359935665146E-5</c:v>
                </c:pt>
                <c:pt idx="48">
                  <c:v>1.1166171524242547E-5</c:v>
                </c:pt>
                <c:pt idx="49">
                  <c:v>1.1112239810986051E-5</c:v>
                </c:pt>
                <c:pt idx="50">
                  <c:v>1.1058580620539051E-5</c:v>
                </c:pt>
                <c:pt idx="51">
                  <c:v>1.1005207914550071E-5</c:v>
                </c:pt>
                <c:pt idx="52">
                  <c:v>1.095213398254088E-5</c:v>
                </c:pt>
                <c:pt idx="53">
                  <c:v>1.0899369611327267E-5</c:v>
                </c:pt>
                <c:pt idx="54">
                  <c:v>1.0846924235700833E-5</c:v>
                </c:pt>
                <c:pt idx="55">
                  <c:v>1.079480607269837E-5</c:v>
                </c:pt>
                <c:pt idx="56">
                  <c:v>1.0743022241462888E-5</c:v>
                </c:pt>
                <c:pt idx="57">
                  <c:v>1.0691578870427315E-5</c:v>
                </c:pt>
                <c:pt idx="58">
                  <c:v>1.0640481193319806E-5</c:v>
                </c:pt>
                <c:pt idx="59">
                  <c:v>1.0589733635291995E-5</c:v>
                </c:pt>
                <c:pt idx="60">
                  <c:v>1.0539339890302562E-5</c:v>
                </c:pt>
                <c:pt idx="61">
                  <c:v>1.0489302990743815E-5</c:v>
                </c:pt>
                <c:pt idx="62">
                  <c:v>1.0439625370174714E-5</c:v>
                </c:pt>
                <c:pt idx="63">
                  <c:v>1.0390308919916761E-5</c:v>
                </c:pt>
                <c:pt idx="64">
                  <c:v>1.0341355040176757E-5</c:v>
                </c:pt>
                <c:pt idx="65">
                  <c:v>1.0292764686280616E-5</c:v>
                </c:pt>
                <c:pt idx="66">
                  <c:v>1.0244538410532999E-5</c:v>
                </c:pt>
                <c:pt idx="67">
                  <c:v>1.0196676400157439E-5</c:v>
                </c:pt>
                <c:pt idx="68">
                  <c:v>1.014917851171906E-5</c:v>
                </c:pt>
                <c:pt idx="69">
                  <c:v>1.010204430238635E-5</c:v>
                </c:pt>
                <c:pt idx="70">
                  <c:v>1.0055273058348291E-5</c:v>
                </c:pt>
                <c:pt idx="71">
                  <c:v>1.0008863820668197E-5</c:v>
                </c:pt>
                <c:pt idx="72">
                  <c:v>9.9628154088247735E-6</c:v>
                </c:pt>
                <c:pt idx="73">
                  <c:v>9.9171264421638902E-6</c:v>
                </c:pt>
                <c:pt idx="74">
                  <c:v>9.8717953594606308E-6</c:v>
                </c:pt>
                <c:pt idx="75">
                  <c:v>9.8268204367702813E-6</c:v>
                </c:pt>
                <c:pt idx="76">
                  <c:v>9.7821998037281861E-6</c:v>
                </c:pt>
                <c:pt idx="77">
                  <c:v>9.7379314584420512E-6</c:v>
                </c:pt>
                <c:pt idx="78">
                  <c:v>9.6940132811055658E-6</c:v>
                </c:pt>
                <c:pt idx="79">
                  <c:v>9.6504430464493667E-6</c:v>
                </c:pt>
                <c:pt idx="80">
                  <c:v>9.6072184351337518E-6</c:v>
                </c:pt>
                <c:pt idx="81">
                  <c:v>9.5643370441772969E-6</c:v>
                </c:pt>
                <c:pt idx="82">
                  <c:v>9.5217963965064174E-6</c:v>
                </c:pt>
                <c:pt idx="83">
                  <c:v>9.4795939497026721E-6</c:v>
                </c:pt>
                <c:pt idx="84">
                  <c:v>9.4377271040173213E-6</c:v>
                </c:pt>
                <c:pt idx="85">
                  <c:v>9.3961932097161123E-6</c:v>
                </c:pt>
                <c:pt idx="86">
                  <c:v>9.3549895738113546E-6</c:v>
                </c:pt>
                <c:pt idx="87">
                  <c:v>9.3141134662331058E-6</c:v>
                </c:pt>
                <c:pt idx="88">
                  <c:v>9.2735621254865198E-6</c:v>
                </c:pt>
                <c:pt idx="89">
                  <c:v>9.2333327638381939E-6</c:v>
                </c:pt>
                <c:pt idx="90">
                  <c:v>9.1934225720704105E-6</c:v>
                </c:pt>
                <c:pt idx="91">
                  <c:v>9.1538287238388494E-6</c:v>
                </c:pt>
                <c:pt idx="92">
                  <c:v>9.1145483796660491E-6</c:v>
                </c:pt>
                <c:pt idx="93">
                  <c:v>9.0755786906002274E-6</c:v>
                </c:pt>
                <c:pt idx="94">
                  <c:v>9.0369168015663856E-6</c:v>
                </c:pt>
                <c:pt idx="95">
                  <c:v>8.9985598544343788E-6</c:v>
                </c:pt>
                <c:pt idx="96">
                  <c:v>8.960504990826515E-6</c:v>
                </c:pt>
                <c:pt idx="97">
                  <c:v>8.9227493546853151E-6</c:v>
                </c:pt>
                <c:pt idx="98">
                  <c:v>8.8852900946203857E-6</c:v>
                </c:pt>
                <c:pt idx="99">
                  <c:v>8.8481243660517288E-6</c:v>
                </c:pt>
                <c:pt idx="100">
                  <c:v>8.8112493331654092E-6</c:v>
                </c:pt>
              </c:numCache>
            </c:numRef>
          </c:yVal>
          <c:smooth val="1"/>
        </c:ser>
        <c:ser>
          <c:idx val="4"/>
          <c:order val="1"/>
          <c:tx>
            <c:strRef>
              <c:f>Sheet1!$AQ$60</c:f>
              <c:strCache>
                <c:ptCount val="1"/>
                <c:pt idx="0">
                  <c:v>308 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Sheet1!$H$85:$H$88</c:f>
              <c:numCache>
                <c:formatCode>0.00</c:formatCode>
                <c:ptCount val="4"/>
                <c:pt idx="0">
                  <c:v>9.5000000000000001E-2</c:v>
                </c:pt>
                <c:pt idx="1">
                  <c:v>0.191</c:v>
                </c:pt>
                <c:pt idx="2">
                  <c:v>0.28599999999999998</c:v>
                </c:pt>
                <c:pt idx="3">
                  <c:v>0.38100000000000001</c:v>
                </c:pt>
              </c:numCache>
            </c:numRef>
          </c:xVal>
          <c:yVal>
            <c:numRef>
              <c:f>Sheet1!$Y$85:$Y$88</c:f>
              <c:numCache>
                <c:formatCode>0.00E+00</c:formatCode>
                <c:ptCount val="4"/>
                <c:pt idx="0">
                  <c:v>3.2642762284196544E-6</c:v>
                </c:pt>
                <c:pt idx="1">
                  <c:v>4.8964143426294818E-6</c:v>
                </c:pt>
                <c:pt idx="2">
                  <c:v>5.0996015936254978E-6</c:v>
                </c:pt>
                <c:pt idx="3">
                  <c:v>5.8645418326693225E-6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Sheet1!$AP$60</c:f>
              <c:strCache>
                <c:ptCount val="1"/>
                <c:pt idx="0">
                  <c:v>298 K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Sheet1!$Z$89:$Z$92</c:f>
                <c:numCache>
                  <c:formatCode>General</c:formatCode>
                  <c:ptCount val="4"/>
                  <c:pt idx="0">
                    <c:v>4.3290335475032996E-7</c:v>
                  </c:pt>
                  <c:pt idx="1">
                    <c:v>7.5725220232248596E-7</c:v>
                  </c:pt>
                  <c:pt idx="2">
                    <c:v>3.249122792703128E-7</c:v>
                  </c:pt>
                  <c:pt idx="3">
                    <c:v>5.4089443023034711E-7</c:v>
                  </c:pt>
                </c:numCache>
              </c:numRef>
            </c:plus>
            <c:minus>
              <c:numRef>
                <c:f>Sheet1!$Z$89:$Z$92</c:f>
                <c:numCache>
                  <c:formatCode>General</c:formatCode>
                  <c:ptCount val="4"/>
                  <c:pt idx="0">
                    <c:v>4.3290335475032996E-7</c:v>
                  </c:pt>
                  <c:pt idx="1">
                    <c:v>7.5725220232248596E-7</c:v>
                  </c:pt>
                  <c:pt idx="2">
                    <c:v>3.249122792703128E-7</c:v>
                  </c:pt>
                  <c:pt idx="3">
                    <c:v>5.4089443023034711E-7</c:v>
                  </c:pt>
                </c:numCache>
              </c:numRef>
            </c:minus>
          </c:errBars>
          <c:xVal>
            <c:numRef>
              <c:f>Sheet1!$H$89:$H$92</c:f>
              <c:numCache>
                <c:formatCode>0.00</c:formatCode>
                <c:ptCount val="4"/>
                <c:pt idx="0">
                  <c:v>4.8000000000000001E-2</c:v>
                </c:pt>
                <c:pt idx="1">
                  <c:v>9.5000000000000001E-2</c:v>
                </c:pt>
                <c:pt idx="2">
                  <c:v>0.14299999999999999</c:v>
                </c:pt>
                <c:pt idx="3">
                  <c:v>0.191</c:v>
                </c:pt>
              </c:numCache>
            </c:numRef>
          </c:xVal>
          <c:yVal>
            <c:numRef>
              <c:f>Sheet1!$Y$89:$Y$92</c:f>
              <c:numCache>
                <c:formatCode>0.00E+00</c:formatCode>
                <c:ptCount val="4"/>
                <c:pt idx="0">
                  <c:v>1.0710491367861886E-6</c:v>
                </c:pt>
                <c:pt idx="1">
                  <c:v>1.5043824701195219E-6</c:v>
                </c:pt>
                <c:pt idx="2">
                  <c:v>2.0146082337317398E-6</c:v>
                </c:pt>
                <c:pt idx="3">
                  <c:v>2.3718459495351927E-6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Sheet1!$AP$60</c:f>
              <c:strCache>
                <c:ptCount val="1"/>
                <c:pt idx="0">
                  <c:v>298 K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Sheet1!$AN$61:$AN$161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Sheet1!$AP$61:$AP$161</c:f>
              <c:numCache>
                <c:formatCode>0.00E+00</c:formatCode>
                <c:ptCount val="101"/>
                <c:pt idx="0">
                  <c:v>0</c:v>
                </c:pt>
                <c:pt idx="1">
                  <c:v>1.6419101515154835E-6</c:v>
                </c:pt>
                <c:pt idx="2">
                  <c:v>2.3991180242975658E-6</c:v>
                </c:pt>
                <c:pt idx="3">
                  <c:v>2.8260034177630625E-6</c:v>
                </c:pt>
                <c:pt idx="4">
                  <c:v>3.0939704101261016E-6</c:v>
                </c:pt>
                <c:pt idx="5">
                  <c:v>3.2734473112246637E-6</c:v>
                </c:pt>
                <c:pt idx="6">
                  <c:v>3.3986950541660649E-6</c:v>
                </c:pt>
                <c:pt idx="7">
                  <c:v>3.4883795651708256E-6</c:v>
                </c:pt>
                <c:pt idx="8">
                  <c:v>3.5535363920813853E-6</c:v>
                </c:pt>
                <c:pt idx="9">
                  <c:v>3.6011065788510873E-6</c:v>
                </c:pt>
                <c:pt idx="10">
                  <c:v>3.6356731619936253E-6</c:v>
                </c:pt>
                <c:pt idx="11">
                  <c:v>3.6603830659937979E-6</c:v>
                </c:pt>
                <c:pt idx="12">
                  <c:v>3.6774678902535357E-6</c:v>
                </c:pt>
                <c:pt idx="13">
                  <c:v>3.6885534249128023E-6</c:v>
                </c:pt>
                <c:pt idx="14">
                  <c:v>3.6948515540035658E-6</c:v>
                </c:pt>
                <c:pt idx="15">
                  <c:v>3.697283579506438E-6</c:v>
                </c:pt>
                <c:pt idx="16">
                  <c:v>3.6965619503674159E-6</c:v>
                </c:pt>
                <c:pt idx="17">
                  <c:v>3.6932458920550293E-6</c:v>
                </c:pt>
                <c:pt idx="18">
                  <c:v>3.6877801683409877E-6</c:v>
                </c:pt>
                <c:pt idx="19">
                  <c:v>3.680522654687806E-6</c:v>
                </c:pt>
                <c:pt idx="20">
                  <c:v>3.6717643175223078E-6</c:v>
                </c:pt>
                <c:pt idx="21">
                  <c:v>3.6617439319854468E-6</c:v>
                </c:pt>
                <c:pt idx="22">
                  <c:v>3.65065908636314E-6</c:v>
                </c:pt>
                <c:pt idx="23">
                  <c:v>3.6386745217841397E-6</c:v>
                </c:pt>
                <c:pt idx="24">
                  <c:v>3.625928530503234E-6</c:v>
                </c:pt>
                <c:pt idx="25">
                  <c:v>3.6125379200915385E-6</c:v>
                </c:pt>
                <c:pt idx="26">
                  <c:v>3.5986019048104698E-6</c:v>
                </c:pt>
                <c:pt idx="27">
                  <c:v>3.5842051850553676E-6</c:v>
                </c:pt>
                <c:pt idx="28">
                  <c:v>3.5694204056933819E-6</c:v>
                </c:pt>
                <c:pt idx="29">
                  <c:v>3.5543101345378639E-6</c:v>
                </c:pt>
                <c:pt idx="30">
                  <c:v>3.5389284666562843E-6</c:v>
                </c:pt>
                <c:pt idx="31">
                  <c:v>3.5233223344196711E-6</c:v>
                </c:pt>
                <c:pt idx="32">
                  <c:v>3.5075325842814999E-6</c:v>
                </c:pt>
                <c:pt idx="33">
                  <c:v>3.4915948672484634E-6</c:v>
                </c:pt>
                <c:pt idx="34">
                  <c:v>3.4755403795070395E-6</c:v>
                </c:pt>
                <c:pt idx="35">
                  <c:v>3.4593964817395692E-6</c:v>
                </c:pt>
                <c:pt idx="36">
                  <c:v>3.4431872196220185E-6</c:v>
                </c:pt>
                <c:pt idx="37">
                  <c:v>3.4269337633559367E-6</c:v>
                </c:pt>
                <c:pt idx="38">
                  <c:v>3.4106547804967989E-6</c:v>
                </c:pt>
                <c:pt idx="39">
                  <c:v>3.3943667535429698E-6</c:v>
                </c:pt>
                <c:pt idx="40">
                  <c:v>3.3780842515540549E-6</c:v>
                </c:pt>
                <c:pt idx="41">
                  <c:v>3.3618201633338472E-6</c:v>
                </c:pt>
                <c:pt idx="42">
                  <c:v>3.3455858983357661E-6</c:v>
                </c:pt>
                <c:pt idx="43">
                  <c:v>3.3293915603482167E-6</c:v>
                </c:pt>
                <c:pt idx="44">
                  <c:v>3.3132460981331172E-6</c:v>
                </c:pt>
                <c:pt idx="45">
                  <c:v>3.2971574364768022E-6</c:v>
                </c:pt>
                <c:pt idx="46">
                  <c:v>3.2811325905329079E-6</c:v>
                </c:pt>
                <c:pt idx="47">
                  <c:v>3.2651777658642466E-6</c:v>
                </c:pt>
                <c:pt idx="48">
                  <c:v>3.2492984462034857E-6</c:v>
                </c:pt>
                <c:pt idx="49">
                  <c:v>3.2334994706339017E-6</c:v>
                </c:pt>
                <c:pt idx="50">
                  <c:v>3.2177851016283057E-6</c:v>
                </c:pt>
                <c:pt idx="51">
                  <c:v>3.202159085165964E-6</c:v>
                </c:pt>
                <c:pt idx="52">
                  <c:v>3.1866247039655672E-6</c:v>
                </c:pt>
                <c:pt idx="53">
                  <c:v>3.1711848247204509E-6</c:v>
                </c:pt>
                <c:pt idx="54">
                  <c:v>3.1558419400948952E-6</c:v>
                </c:pt>
                <c:pt idx="55">
                  <c:v>3.1405982061331672E-6</c:v>
                </c:pt>
                <c:pt idx="56">
                  <c:v>3.1254554756425163E-6</c:v>
                </c:pt>
                <c:pt idx="57">
                  <c:v>3.1104153280347241E-6</c:v>
                </c:pt>
                <c:pt idx="58">
                  <c:v>3.0954790960457612E-6</c:v>
                </c:pt>
                <c:pt idx="59">
                  <c:v>3.0806478896976614E-6</c:v>
                </c:pt>
                <c:pt idx="60">
                  <c:v>3.0659226178194247E-6</c:v>
                </c:pt>
                <c:pt idx="61">
                  <c:v>3.0513040074031853E-6</c:v>
                </c:pt>
                <c:pt idx="62">
                  <c:v>3.0367926210370824E-6</c:v>
                </c:pt>
                <c:pt idx="63">
                  <c:v>3.0223888726263041E-6</c:v>
                </c:pt>
                <c:pt idx="64">
                  <c:v>3.0080930415878982E-6</c:v>
                </c:pt>
                <c:pt idx="65">
                  <c:v>2.9939052856825864E-6</c:v>
                </c:pt>
                <c:pt idx="66">
                  <c:v>2.9798256526274182E-6</c:v>
                </c:pt>
                <c:pt idx="67">
                  <c:v>2.9658540906162452E-6</c:v>
                </c:pt>
                <c:pt idx="68">
                  <c:v>2.9519904578603308E-6</c:v>
                </c:pt>
                <c:pt idx="69">
                  <c:v>2.9382345312486055E-6</c:v>
                </c:pt>
                <c:pt idx="70">
                  <c:v>2.9245860142158839E-6</c:v>
                </c:pt>
                <c:pt idx="71">
                  <c:v>2.9110445438975543E-6</c:v>
                </c:pt>
                <c:pt idx="72">
                  <c:v>2.8976096976406626E-6</c:v>
                </c:pt>
                <c:pt idx="73">
                  <c:v>2.884280998933717E-6</c:v>
                </c:pt>
                <c:pt idx="74">
                  <c:v>2.8710579228109142E-6</c:v>
                </c:pt>
                <c:pt idx="75">
                  <c:v>2.8579399007805842E-6</c:v>
                </c:pt>
                <c:pt idx="76">
                  <c:v>2.8449263253224597E-6</c:v>
                </c:pt>
                <c:pt idx="77">
                  <c:v>2.8320165539937953E-6</c:v>
                </c:pt>
                <c:pt idx="78">
                  <c:v>2.8192099131802583E-6</c:v>
                </c:pt>
                <c:pt idx="79">
                  <c:v>2.806505701523911E-6</c:v>
                </c:pt>
                <c:pt idx="80">
                  <c:v>2.793903193057395E-6</c:v>
                </c:pt>
                <c:pt idx="81">
                  <c:v>2.7814016400705216E-6</c:v>
                </c:pt>
                <c:pt idx="82">
                  <c:v>2.7690002757329697E-6</c:v>
                </c:pt>
                <c:pt idx="83">
                  <c:v>2.7566983164944644E-6</c:v>
                </c:pt>
                <c:pt idx="84">
                  <c:v>2.7444949642817999E-6</c:v>
                </c:pt>
                <c:pt idx="85">
                  <c:v>2.7323894085102133E-6</c:v>
                </c:pt>
                <c:pt idx="86">
                  <c:v>2.7203808279250166E-6</c:v>
                </c:pt>
                <c:pt idx="87">
                  <c:v>2.708468392287877E-6</c:v>
                </c:pt>
                <c:pt idx="88">
                  <c:v>2.6966512639208534E-6</c:v>
                </c:pt>
                <c:pt idx="89">
                  <c:v>2.6849285991200877E-6</c:v>
                </c:pt>
                <c:pt idx="90">
                  <c:v>2.6732995494499772E-6</c:v>
                </c:pt>
                <c:pt idx="91">
                  <c:v>2.6617632629277039E-6</c:v>
                </c:pt>
                <c:pt idx="92">
                  <c:v>2.6503188851071082E-6</c:v>
                </c:pt>
                <c:pt idx="93">
                  <c:v>2.6389655600701162E-6</c:v>
                </c:pt>
                <c:pt idx="94">
                  <c:v>2.6277024313332082E-6</c:v>
                </c:pt>
                <c:pt idx="95">
                  <c:v>2.616528642675791E-6</c:v>
                </c:pt>
                <c:pt idx="96">
                  <c:v>2.6054433388967169E-6</c:v>
                </c:pt>
                <c:pt idx="97">
                  <c:v>2.5944456665047024E-6</c:v>
                </c:pt>
                <c:pt idx="98">
                  <c:v>2.5835347743478816E-6</c:v>
                </c:pt>
                <c:pt idx="99">
                  <c:v>2.5727098141873156E-6</c:v>
                </c:pt>
                <c:pt idx="100">
                  <c:v>2.5619699412188715E-6</c:v>
                </c:pt>
              </c:numCache>
            </c:numRef>
          </c:yVal>
          <c:smooth val="1"/>
        </c:ser>
        <c:ser>
          <c:idx val="5"/>
          <c:order val="4"/>
          <c:tx>
            <c:strRef>
              <c:f>Sheet1!$AQ$60</c:f>
              <c:strCache>
                <c:ptCount val="1"/>
                <c:pt idx="0">
                  <c:v>308 K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Sheet1!$AN$61:$AN$161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Sheet1!$AQ$61:$AQ$161</c:f>
              <c:numCache>
                <c:formatCode>General</c:formatCode>
                <c:ptCount val="101"/>
                <c:pt idx="0">
                  <c:v>0</c:v>
                </c:pt>
                <c:pt idx="1">
                  <c:v>3.3733081298015991E-6</c:v>
                </c:pt>
                <c:pt idx="2">
                  <c:v>4.7167214621589222E-6</c:v>
                </c:pt>
                <c:pt idx="3">
                  <c:v>5.4200791697519206E-6</c:v>
                </c:pt>
                <c:pt idx="4">
                  <c:v>5.8405481396434118E-6</c:v>
                </c:pt>
                <c:pt idx="5">
                  <c:v>6.1114782374168228E-6</c:v>
                </c:pt>
                <c:pt idx="6">
                  <c:v>6.2939674300161343E-6</c:v>
                </c:pt>
                <c:pt idx="7">
                  <c:v>6.4199536075824583E-6</c:v>
                </c:pt>
                <c:pt idx="8">
                  <c:v>6.507752742489284E-6</c:v>
                </c:pt>
                <c:pt idx="9">
                  <c:v>6.5686185094721753E-6</c:v>
                </c:pt>
                <c:pt idx="10">
                  <c:v>6.6098444742771458E-6</c:v>
                </c:pt>
                <c:pt idx="11">
                  <c:v>6.6363632204846355E-6</c:v>
                </c:pt>
                <c:pt idx="12">
                  <c:v>6.6516285617794716E-6</c:v>
                </c:pt>
                <c:pt idx="13">
                  <c:v>6.6581297388046871E-6</c:v>
                </c:pt>
                <c:pt idx="14">
                  <c:v>6.65770505955123E-6</c:v>
                </c:pt>
                <c:pt idx="15">
                  <c:v>6.6517406728861146E-6</c:v>
                </c:pt>
                <c:pt idx="16">
                  <c:v>6.6413007299979961E-6</c:v>
                </c:pt>
                <c:pt idx="17">
                  <c:v>6.6272150597533125E-6</c:v>
                </c:pt>
                <c:pt idx="18">
                  <c:v>6.6101397011946282E-6</c:v>
                </c:pt>
                <c:pt idx="19">
                  <c:v>6.5905996145925619E-6</c:v>
                </c:pt>
                <c:pt idx="20">
                  <c:v>6.569019405133069E-6</c:v>
                </c:pt>
                <c:pt idx="21">
                  <c:v>6.5457458081818724E-6</c:v>
                </c:pt>
                <c:pt idx="22">
                  <c:v>6.5210644024696132E-6</c:v>
                </c:pt>
                <c:pt idx="23">
                  <c:v>6.4952122083521018E-6</c:v>
                </c:pt>
                <c:pt idx="24">
                  <c:v>6.468387306017809E-6</c:v>
                </c:pt>
                <c:pt idx="25">
                  <c:v>6.4407562643944302E-6</c:v>
                </c:pt>
                <c:pt idx="26">
                  <c:v>6.4124599404866153E-6</c:v>
                </c:pt>
                <c:pt idx="27">
                  <c:v>6.3836180511103494E-6</c:v>
                </c:pt>
                <c:pt idx="28">
                  <c:v>6.3543328095459799E-6</c:v>
                </c:pt>
                <c:pt idx="29">
                  <c:v>6.3246918426072773E-6</c:v>
                </c:pt>
                <c:pt idx="30">
                  <c:v>6.2947705486881437E-6</c:v>
                </c:pt>
                <c:pt idx="31">
                  <c:v>6.2646340176806428E-6</c:v>
                </c:pt>
                <c:pt idx="32">
                  <c:v>6.2343386046845555E-6</c:v>
                </c:pt>
                <c:pt idx="33">
                  <c:v>6.2039332280391717E-6</c:v>
                </c:pt>
                <c:pt idx="34">
                  <c:v>6.1734604462591939E-6</c:v>
                </c:pt>
                <c:pt idx="35">
                  <c:v>6.142957356453173E-6</c:v>
                </c:pt>
                <c:pt idx="36">
                  <c:v>6.1124563476892354E-6</c:v>
                </c:pt>
                <c:pt idx="37">
                  <c:v>6.0819857357963253E-6</c:v>
                </c:pt>
                <c:pt idx="38">
                  <c:v>6.0515703007070049E-6</c:v>
                </c:pt>
                <c:pt idx="39">
                  <c:v>6.0212317432651938E-6</c:v>
                </c:pt>
                <c:pt idx="40">
                  <c:v>5.9909890751493965E-6</c:v>
                </c:pt>
                <c:pt idx="41">
                  <c:v>5.9608589529840339E-6</c:v>
                </c:pt>
                <c:pt idx="42">
                  <c:v>5.9308559656685805E-6</c:v>
                </c:pt>
                <c:pt idx="43">
                  <c:v>5.9009928823254607E-6</c:v>
                </c:pt>
                <c:pt idx="44">
                  <c:v>5.8712808669620734E-6</c:v>
                </c:pt>
                <c:pt idx="45">
                  <c:v>5.8417296648900888E-6</c:v>
                </c:pt>
                <c:pt idx="46">
                  <c:v>5.8123477650927566E-6</c:v>
                </c:pt>
                <c:pt idx="47">
                  <c:v>5.7831425420373043E-6</c:v>
                </c:pt>
                <c:pt idx="48">
                  <c:v>5.7541203798621788E-6</c:v>
                </c:pt>
                <c:pt idx="49">
                  <c:v>5.7252867814030025E-6</c:v>
                </c:pt>
                <c:pt idx="50">
                  <c:v>5.6966464641368414E-6</c:v>
                </c:pt>
                <c:pt idx="51">
                  <c:v>5.6682034448062132E-6</c:v>
                </c:pt>
                <c:pt idx="52">
                  <c:v>5.6399611142196394E-6</c:v>
                </c:pt>
                <c:pt idx="53">
                  <c:v>5.6119223035049389E-6</c:v>
                </c:pt>
                <c:pt idx="54">
                  <c:v>5.5840893429065109E-6</c:v>
                </c:pt>
                <c:pt idx="55">
                  <c:v>5.5564641140626357E-6</c:v>
                </c:pt>
                <c:pt idx="56">
                  <c:v>5.5290480965678406E-6</c:v>
                </c:pt>
                <c:pt idx="57">
                  <c:v>5.5018424095146941E-6</c:v>
                </c:pt>
                <c:pt idx="58">
                  <c:v>5.4748478486154427E-6</c:v>
                </c:pt>
                <c:pt idx="59">
                  <c:v>5.4480649194239949E-6</c:v>
                </c:pt>
                <c:pt idx="60">
                  <c:v>5.4214938671106297E-6</c:v>
                </c:pt>
                <c:pt idx="61">
                  <c:v>5.3951347031834093E-6</c:v>
                </c:pt>
                <c:pt idx="62">
                  <c:v>5.3689872295003279E-6</c:v>
                </c:pt>
                <c:pt idx="63">
                  <c:v>5.3430510598731488E-6</c:v>
                </c:pt>
                <c:pt idx="64">
                  <c:v>5.3173256395268243E-6</c:v>
                </c:pt>
                <c:pt idx="65">
                  <c:v>5.2918102626463362E-6</c:v>
                </c:pt>
                <c:pt idx="66">
                  <c:v>5.2665040882150616E-6</c:v>
                </c:pt>
                <c:pt idx="67">
                  <c:v>5.2414061543246317E-6</c:v>
                </c:pt>
                <c:pt idx="68">
                  <c:v>5.2165153911153561E-6</c:v>
                </c:pt>
                <c:pt idx="69">
                  <c:v>5.1918306324879504E-6</c:v>
                </c:pt>
                <c:pt idx="70">
                  <c:v>5.1673506267114104E-6</c:v>
                </c:pt>
                <c:pt idx="71">
                  <c:v>5.1430740460378599E-6</c:v>
                </c:pt>
                <c:pt idx="72">
                  <c:v>5.1189994954229972E-6</c:v>
                </c:pt>
                <c:pt idx="73">
                  <c:v>5.0951255204399717E-6</c:v>
                </c:pt>
                <c:pt idx="74">
                  <c:v>5.0714506144650934E-6</c:v>
                </c:pt>
                <c:pt idx="75">
                  <c:v>5.0479732252054016E-6</c:v>
                </c:pt>
                <c:pt idx="76">
                  <c:v>5.0246917606307712E-6</c:v>
                </c:pt>
                <c:pt idx="77">
                  <c:v>5.0016045943667153E-6</c:v>
                </c:pt>
                <c:pt idx="78">
                  <c:v>4.9787100705982693E-6</c:v>
                </c:pt>
                <c:pt idx="79">
                  <c:v>4.9560065085302138E-6</c:v>
                </c:pt>
                <c:pt idx="80">
                  <c:v>4.9334922064443587E-6</c:v>
                </c:pt>
                <c:pt idx="81">
                  <c:v>4.911165445390536E-6</c:v>
                </c:pt>
                <c:pt idx="82">
                  <c:v>4.8890244925443843E-6</c:v>
                </c:pt>
                <c:pt idx="83">
                  <c:v>4.8670676042617334E-6</c:v>
                </c:pt>
                <c:pt idx="84">
                  <c:v>4.8452930288565669E-6</c:v>
                </c:pt>
                <c:pt idx="85">
                  <c:v>4.8236990091269399E-6</c:v>
                </c:pt>
                <c:pt idx="86">
                  <c:v>4.8022837846509374E-6</c:v>
                </c:pt>
                <c:pt idx="87">
                  <c:v>4.7810455938726931E-6</c:v>
                </c:pt>
                <c:pt idx="88">
                  <c:v>4.759982675996614E-6</c:v>
                </c:pt>
                <c:pt idx="89">
                  <c:v>4.739093272706302E-6</c:v>
                </c:pt>
                <c:pt idx="90">
                  <c:v>4.7183756297231654E-6</c:v>
                </c:pt>
                <c:pt idx="91">
                  <c:v>4.6978279982183467E-6</c:v>
                </c:pt>
                <c:pt idx="92">
                  <c:v>4.6774486360903836E-6</c:v>
                </c:pt>
                <c:pt idx="93">
                  <c:v>4.657235809119899E-6</c:v>
                </c:pt>
                <c:pt idx="94">
                  <c:v>4.6371877920116586E-6</c:v>
                </c:pt>
                <c:pt idx="95">
                  <c:v>4.6173028693333837E-6</c:v>
                </c:pt>
                <c:pt idx="96">
                  <c:v>4.5975793363599173E-6</c:v>
                </c:pt>
                <c:pt idx="97">
                  <c:v>4.5780154998306272E-6</c:v>
                </c:pt>
                <c:pt idx="98">
                  <c:v>4.5586096786271885E-6</c:v>
                </c:pt>
                <c:pt idx="99">
                  <c:v>4.5393602043783495E-6</c:v>
                </c:pt>
                <c:pt idx="100">
                  <c:v>4.5202654219976993E-6</c:v>
                </c:pt>
              </c:numCache>
            </c:numRef>
          </c:yVal>
          <c:smooth val="1"/>
        </c:ser>
        <c:ser>
          <c:idx val="6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dPt>
            <c:idx val="7"/>
            <c:marker>
              <c:spPr>
                <a:solidFill>
                  <a:srgbClr val="FF0000"/>
                </a:solidFill>
                <a:ln>
                  <a:noFill/>
                </a:ln>
              </c:spPr>
            </c:marker>
            <c:bubble3D val="0"/>
          </c:dPt>
          <c:xVal>
            <c:numRef>
              <c:f>Sheet1!$C$43:$C$81</c:f>
              <c:numCache>
                <c:formatCode>General</c:formatCode>
                <c:ptCount val="39"/>
                <c:pt idx="0">
                  <c:v>2.06</c:v>
                </c:pt>
                <c:pt idx="1">
                  <c:v>2.06</c:v>
                </c:pt>
                <c:pt idx="2">
                  <c:v>2.06</c:v>
                </c:pt>
                <c:pt idx="3">
                  <c:v>2.06</c:v>
                </c:pt>
                <c:pt idx="4">
                  <c:v>2.06</c:v>
                </c:pt>
                <c:pt idx="5">
                  <c:v>4.13</c:v>
                </c:pt>
                <c:pt idx="6">
                  <c:v>4.13</c:v>
                </c:pt>
                <c:pt idx="7">
                  <c:v>4.13</c:v>
                </c:pt>
                <c:pt idx="8">
                  <c:v>4.13</c:v>
                </c:pt>
                <c:pt idx="9">
                  <c:v>4.13</c:v>
                </c:pt>
                <c:pt idx="10">
                  <c:v>4.13</c:v>
                </c:pt>
                <c:pt idx="11">
                  <c:v>4.13</c:v>
                </c:pt>
                <c:pt idx="12">
                  <c:v>4.13</c:v>
                </c:pt>
                <c:pt idx="13">
                  <c:v>4.13</c:v>
                </c:pt>
                <c:pt idx="14">
                  <c:v>6.19</c:v>
                </c:pt>
                <c:pt idx="15">
                  <c:v>6.19</c:v>
                </c:pt>
                <c:pt idx="16">
                  <c:v>6.19</c:v>
                </c:pt>
                <c:pt idx="17">
                  <c:v>6.19</c:v>
                </c:pt>
                <c:pt idx="18">
                  <c:v>8.25</c:v>
                </c:pt>
                <c:pt idx="19">
                  <c:v>8.25</c:v>
                </c:pt>
                <c:pt idx="20">
                  <c:v>8.25</c:v>
                </c:pt>
                <c:pt idx="21">
                  <c:v>8.25</c:v>
                </c:pt>
                <c:pt idx="22">
                  <c:v>1.03</c:v>
                </c:pt>
                <c:pt idx="23">
                  <c:v>3.09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0.38</c:v>
                </c:pt>
                <c:pt idx="28">
                  <c:v>0.76</c:v>
                </c:pt>
                <c:pt idx="29">
                  <c:v>1.1499999999999999</c:v>
                </c:pt>
                <c:pt idx="30">
                  <c:v>1.53</c:v>
                </c:pt>
                <c:pt idx="31">
                  <c:v>0.1</c:v>
                </c:pt>
                <c:pt idx="32">
                  <c:v>0.1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0.28999999999999998</c:v>
                </c:pt>
                <c:pt idx="37">
                  <c:v>0.28999999999999998</c:v>
                </c:pt>
                <c:pt idx="38">
                  <c:v>0.56999999999999995</c:v>
                </c:pt>
              </c:numCache>
            </c:numRef>
          </c:xVal>
          <c:yVal>
            <c:numRef>
              <c:f>Sheet1!$D$43:$D$81</c:f>
              <c:numCache>
                <c:formatCode>0.00E+00</c:formatCode>
                <c:ptCount val="39"/>
                <c:pt idx="0">
                  <c:v>1.1652058432934926E-5</c:v>
                </c:pt>
                <c:pt idx="1">
                  <c:v>1.2196547144754317E-5</c:v>
                </c:pt>
                <c:pt idx="2">
                  <c:v>1.1654714475431606E-5</c:v>
                </c:pt>
                <c:pt idx="3">
                  <c:v>1.3009296148738381E-5</c:v>
                </c:pt>
                <c:pt idx="4" formatCode="0.0E+00">
                  <c:v>1.3009296148738381E-5</c:v>
                </c:pt>
                <c:pt idx="5">
                  <c:v>1.2106241699867198E-5</c:v>
                </c:pt>
                <c:pt idx="6">
                  <c:v>1.1654714475431606E-5</c:v>
                </c:pt>
                <c:pt idx="7">
                  <c:v>4.0820000000000001E-6</c:v>
                </c:pt>
                <c:pt idx="8">
                  <c:v>1.1250996015936254E-5</c:v>
                </c:pt>
                <c:pt idx="9">
                  <c:v>1.1498007968127489E-5</c:v>
                </c:pt>
                <c:pt idx="10">
                  <c:v>1.1513944223107571E-5</c:v>
                </c:pt>
                <c:pt idx="11">
                  <c:v>1.0594953519256307E-5</c:v>
                </c:pt>
                <c:pt idx="12">
                  <c:v>1.0298804780876494E-5</c:v>
                </c:pt>
                <c:pt idx="13" formatCode="0.0E+00">
                  <c:v>1.3009296148738381E-5</c:v>
                </c:pt>
                <c:pt idx="14">
                  <c:v>1.1003984063745019E-5</c:v>
                </c:pt>
                <c:pt idx="15">
                  <c:v>1.2196547144754317E-5</c:v>
                </c:pt>
                <c:pt idx="16">
                  <c:v>1.0840637450199203E-5</c:v>
                </c:pt>
                <c:pt idx="17" formatCode="0.0E+00">
                  <c:v>1.1654714475431606E-5</c:v>
                </c:pt>
                <c:pt idx="18">
                  <c:v>7.9322709163346604E-6</c:v>
                </c:pt>
                <c:pt idx="19">
                  <c:v>9.7569721115537851E-6</c:v>
                </c:pt>
                <c:pt idx="20">
                  <c:v>8.1629999999999996E-6</c:v>
                </c:pt>
                <c:pt idx="21" formatCode="0.0E+00">
                  <c:v>8.9442231075697211E-6</c:v>
                </c:pt>
                <c:pt idx="22">
                  <c:v>1.1925630810092961E-5</c:v>
                </c:pt>
                <c:pt idx="23">
                  <c:v>1.2196547144754317E-5</c:v>
                </c:pt>
                <c:pt idx="24">
                  <c:v>9.9442231075697216E-6</c:v>
                </c:pt>
                <c:pt idx="25">
                  <c:v>8.1088977423638778E-6</c:v>
                </c:pt>
                <c:pt idx="26">
                  <c:v>1.2393094289508631E-5</c:v>
                </c:pt>
                <c:pt idx="27">
                  <c:v>9.6387782204515271E-6</c:v>
                </c:pt>
                <c:pt idx="28">
                  <c:v>1.2086321381142098E-5</c:v>
                </c:pt>
                <c:pt idx="29">
                  <c:v>1.2545816733067729E-5</c:v>
                </c:pt>
                <c:pt idx="30">
                  <c:v>1.2851261620185921E-5</c:v>
                </c:pt>
                <c:pt idx="31">
                  <c:v>4.7423638778220453E-6</c:v>
                </c:pt>
                <c:pt idx="32">
                  <c:v>5.6613545816733065E-6</c:v>
                </c:pt>
                <c:pt idx="33">
                  <c:v>7.6494023904382468E-6</c:v>
                </c:pt>
                <c:pt idx="34">
                  <c:v>1.1015936254980079E-5</c:v>
                </c:pt>
                <c:pt idx="35">
                  <c:v>8.7211155378486061E-6</c:v>
                </c:pt>
                <c:pt idx="36">
                  <c:v>8.5683930942895088E-6</c:v>
                </c:pt>
                <c:pt idx="37">
                  <c:v>9.4860557768924299E-6</c:v>
                </c:pt>
                <c:pt idx="38">
                  <c:v>1.2851261620185921E-5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50752"/>
        <c:axId val="85452672"/>
      </c:scatterChart>
      <c:valAx>
        <c:axId val="85450752"/>
        <c:scaling>
          <c:orientation val="minMax"/>
          <c:max val="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a-DK" sz="1400" b="0" i="0" baseline="0">
                    <a:effectLst/>
                  </a:rPr>
                  <a:t>4-Methoxybenzyl alcohol  [mM]</a:t>
                </a:r>
                <a:r>
                  <a:rPr lang="da-DK" sz="1400" b="0" i="0" baseline="-25000">
                    <a:effectLst/>
                  </a:rPr>
                  <a:t>  </a:t>
                </a:r>
                <a:endParaRPr lang="da-DK" sz="1400">
                  <a:effectLst/>
                </a:endParaRP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85452672"/>
        <c:crosses val="autoZero"/>
        <c:crossBetween val="midCat"/>
        <c:majorUnit val="1"/>
      </c:valAx>
      <c:valAx>
        <c:axId val="85452672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da-DK" sz="1400" b="0" i="0" baseline="0">
                    <a:effectLst/>
                  </a:rPr>
                  <a:t> </a:t>
                </a:r>
                <a:r>
                  <a:rPr lang="da-DK" sz="1400" b="0" i="0" baseline="0">
                    <a:effectLst/>
                    <a:latin typeface="Symbol" panose="05050102010706020507" pitchFamily="18" charset="2"/>
                  </a:rPr>
                  <a:t>D</a:t>
                </a:r>
                <a:r>
                  <a:rPr lang="da-DK" sz="1400" b="0" i="0" baseline="0">
                    <a:effectLst/>
                  </a:rPr>
                  <a:t>Abs/</a:t>
                </a:r>
                <a:r>
                  <a:rPr lang="da-DK" sz="1400" b="0" i="0" baseline="0">
                    <a:effectLst/>
                    <a:latin typeface="Symbol" panose="05050102010706020507" pitchFamily="18" charset="2"/>
                  </a:rPr>
                  <a:t>e</a:t>
                </a:r>
                <a:r>
                  <a:rPr lang="da-DK" sz="1400" b="0" i="0" baseline="0">
                    <a:effectLst/>
                  </a:rPr>
                  <a:t> [mM/s]</a:t>
                </a:r>
                <a:endParaRPr lang="da-DK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1.1675347222222222E-3"/>
              <c:y val="0.29882194444444443"/>
            </c:manualLayout>
          </c:layout>
          <c:overlay val="0"/>
        </c:title>
        <c:numFmt formatCode="0.0E+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85450752"/>
        <c:crosses val="autoZero"/>
        <c:crossBetween val="midCat"/>
      </c:valAx>
      <c:spPr>
        <a:noFill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57135434027777776"/>
          <c:y val="0.23198684583647136"/>
          <c:w val="0.11709166666666666"/>
          <c:h val="0.28809691835883494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1059027777778"/>
          <c:y val="9.6931388888888886E-2"/>
          <c:w val="0.74351718749999995"/>
          <c:h val="0.816479444444444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Sheet1!$AI$38</c:f>
              <c:strCache>
                <c:ptCount val="1"/>
                <c:pt idx="0">
                  <c:v>R*ln(kcat*h/Kd*T*kB)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4795694444444444"/>
                  <c:y val="-0.1854222222222222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/>
                  </a:pPr>
                  <a:endParaRPr lang="da-DK"/>
                </a:p>
              </c:txPr>
            </c:trendlineLbl>
          </c:trendline>
          <c:xVal>
            <c:numRef>
              <c:f>Sheet1!$AF$39:$AF$41</c:f>
              <c:numCache>
                <c:formatCode>0.00E+00</c:formatCode>
                <c:ptCount val="3"/>
                <c:pt idx="0">
                  <c:v>3.4704147145583901E-3</c:v>
                </c:pt>
                <c:pt idx="1">
                  <c:v>3.2451728054518907E-3</c:v>
                </c:pt>
                <c:pt idx="2">
                  <c:v>3.1933578157432542E-3</c:v>
                </c:pt>
              </c:numCache>
            </c:numRef>
          </c:xVal>
          <c:yVal>
            <c:numRef>
              <c:f>Sheet1!$AI$39:$AI$41</c:f>
              <c:numCache>
                <c:formatCode>0.0E+00</c:formatCode>
                <c:ptCount val="3"/>
                <c:pt idx="0">
                  <c:v>-7.9504721557223448E-2</c:v>
                </c:pt>
                <c:pt idx="1">
                  <c:v>-7.8007459383894251E-2</c:v>
                </c:pt>
                <c:pt idx="2">
                  <c:v>-7.7310163218562697E-2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77312"/>
        <c:axId val="94079232"/>
      </c:scatterChart>
      <c:valAx>
        <c:axId val="94077312"/>
        <c:scaling>
          <c:orientation val="minMax"/>
          <c:min val="3.1000000000000008E-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b="0" i="0" baseline="0">
                    <a:effectLst/>
                  </a:rPr>
                  <a:t>1/T [1/</a:t>
                </a:r>
                <a:r>
                  <a:rPr lang="en-US" sz="1400" b="0" i="0" baseline="30000">
                    <a:effectLst/>
                  </a:rPr>
                  <a:t>o</a:t>
                </a:r>
                <a:r>
                  <a:rPr lang="en-US" sz="1400" b="0" i="0" baseline="0">
                    <a:effectLst/>
                  </a:rPr>
                  <a:t>K]</a:t>
                </a:r>
                <a:endParaRPr lang="da-DK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8539947916666665"/>
              <c:y val="0.92752194444444447"/>
            </c:manualLayout>
          </c:layout>
          <c:overlay val="0"/>
        </c:title>
        <c:numFmt formatCode="0.0E+00" sourceLinked="0"/>
        <c:majorTickMark val="in"/>
        <c:minorTickMark val="in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94079232"/>
        <c:crosses val="autoZero"/>
        <c:crossBetween val="midCat"/>
        <c:majorUnit val="1.0000000000000002E-4"/>
        <c:minorUnit val="1.0000000000000004E-5"/>
      </c:valAx>
      <c:valAx>
        <c:axId val="940792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a-DK" sz="1400" b="0" i="0" u="none" strike="noStrike" baseline="0">
                    <a:effectLst/>
                  </a:rPr>
                  <a:t>kCal/mol</a:t>
                </a:r>
                <a:r>
                  <a:rPr lang="da-DK" sz="1400" b="0" i="0" u="none" strike="noStrike" baseline="30000">
                    <a:effectLst/>
                  </a:rPr>
                  <a:t>o</a:t>
                </a:r>
                <a:r>
                  <a:rPr lang="da-DK" sz="1400" b="0" i="0" u="none" strike="noStrike" baseline="0">
                    <a:effectLst/>
                  </a:rPr>
                  <a:t>K</a:t>
                </a:r>
                <a:endParaRPr lang="da-DK" sz="1400"/>
              </a:p>
            </c:rich>
          </c:tx>
          <c:layout>
            <c:manualLayout>
              <c:xMode val="edge"/>
              <c:yMode val="edge"/>
              <c:x val="2.0064236111111116E-3"/>
              <c:y val="0.38674361111111111"/>
            </c:manualLayout>
          </c:layout>
          <c:overlay val="0"/>
        </c:title>
        <c:numFmt formatCode="0.0E+00" sourceLinked="1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94077312"/>
        <c:crosses val="autoZero"/>
        <c:crossBetween val="midCat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6984201388888889"/>
          <c:y val="0.16780388888888892"/>
          <c:w val="0.32590399305555551"/>
          <c:h val="8.0853055555555553E-2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Sheet1!$K$312</c:f>
              <c:strCache>
                <c:ptCount val="1"/>
                <c:pt idx="0">
                  <c:v>6.9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Sheet1!$P$312:$P$315</c:f>
              <c:numCache>
                <c:formatCode>0.0</c:formatCode>
                <c:ptCount val="4"/>
                <c:pt idx="0">
                  <c:v>195.88200000000001</c:v>
                </c:pt>
                <c:pt idx="1">
                  <c:v>195.88200000000001</c:v>
                </c:pt>
                <c:pt idx="2">
                  <c:v>3.879</c:v>
                </c:pt>
                <c:pt idx="3">
                  <c:v>3.879</c:v>
                </c:pt>
              </c:numCache>
            </c:numRef>
          </c:xVal>
          <c:yVal>
            <c:numRef>
              <c:f>Sheet1!$V$312:$V$315</c:f>
              <c:numCache>
                <c:formatCode>0.00E+00</c:formatCode>
                <c:ptCount val="4"/>
                <c:pt idx="0">
                  <c:v>7.0898048026146897E-9</c:v>
                </c:pt>
                <c:pt idx="1">
                  <c:v>7.284784805963368E-9</c:v>
                </c:pt>
                <c:pt idx="2">
                  <c:v>1.6971557312754064E-9</c:v>
                </c:pt>
                <c:pt idx="3">
                  <c:v>1.9070703731784513E-9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Sheet1!$K$316</c:f>
              <c:strCache>
                <c:ptCount val="1"/>
                <c:pt idx="0">
                  <c:v>8.1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Sheet1!$P$316:$P$319</c:f>
              <c:numCache>
                <c:formatCode>0.0</c:formatCode>
                <c:ptCount val="4"/>
                <c:pt idx="0">
                  <c:v>195.88200000000001</c:v>
                </c:pt>
                <c:pt idx="1">
                  <c:v>195.88200000000001</c:v>
                </c:pt>
                <c:pt idx="2">
                  <c:v>3.879</c:v>
                </c:pt>
                <c:pt idx="3">
                  <c:v>3.879</c:v>
                </c:pt>
              </c:numCache>
            </c:numRef>
          </c:xVal>
          <c:yVal>
            <c:numRef>
              <c:f>Sheet1!$V$316:$V$319</c:f>
              <c:numCache>
                <c:formatCode>0.00E+00</c:formatCode>
                <c:ptCount val="4"/>
                <c:pt idx="0">
                  <c:v>7.4133886379593042E-8</c:v>
                </c:pt>
                <c:pt idx="1">
                  <c:v>7.5544380020838791E-8</c:v>
                </c:pt>
                <c:pt idx="2">
                  <c:v>1.6457454643641194E-9</c:v>
                </c:pt>
                <c:pt idx="3">
                  <c:v>2.2451258902607453E-9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Sheet1!$K$320</c:f>
              <c:strCache>
                <c:ptCount val="1"/>
                <c:pt idx="0">
                  <c:v>8.6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Sheet1!$P$320:$P$323</c:f>
              <c:numCache>
                <c:formatCode>0.0</c:formatCode>
                <c:ptCount val="4"/>
                <c:pt idx="0">
                  <c:v>195.88200000000001</c:v>
                </c:pt>
                <c:pt idx="1">
                  <c:v>195.88200000000001</c:v>
                </c:pt>
                <c:pt idx="2">
                  <c:v>3.879</c:v>
                </c:pt>
                <c:pt idx="3">
                  <c:v>3.879</c:v>
                </c:pt>
              </c:numCache>
            </c:numRef>
          </c:xVal>
          <c:yVal>
            <c:numRef>
              <c:f>Sheet1!$V$320:$V$323</c:f>
              <c:numCache>
                <c:formatCode>0.00E+00</c:formatCode>
                <c:ptCount val="4"/>
                <c:pt idx="0">
                  <c:v>1.4606906208312651E-7</c:v>
                </c:pt>
                <c:pt idx="1">
                  <c:v>3.0242643072592794E-7</c:v>
                </c:pt>
                <c:pt idx="2">
                  <c:v>3.1985632332337115E-9</c:v>
                </c:pt>
                <c:pt idx="3">
                  <c:v>2.3825666404123598E-9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Sheet1!$K$324</c:f>
              <c:strCache>
                <c:ptCount val="1"/>
                <c:pt idx="0">
                  <c:v>9.1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Sheet1!$P$324:$P$327</c:f>
              <c:numCache>
                <c:formatCode>0.0</c:formatCode>
                <c:ptCount val="4"/>
                <c:pt idx="0">
                  <c:v>195.88200000000001</c:v>
                </c:pt>
                <c:pt idx="1">
                  <c:v>195.88200000000001</c:v>
                </c:pt>
                <c:pt idx="2">
                  <c:v>3.879</c:v>
                </c:pt>
                <c:pt idx="3">
                  <c:v>3.879</c:v>
                </c:pt>
              </c:numCache>
            </c:numRef>
          </c:xVal>
          <c:yVal>
            <c:numRef>
              <c:f>Sheet1!$V$324:$V$327</c:f>
              <c:numCache>
                <c:formatCode>0.00E+00</c:formatCode>
                <c:ptCount val="4"/>
                <c:pt idx="0">
                  <c:v>5.019697958551068E-7</c:v>
                </c:pt>
                <c:pt idx="1">
                  <c:v>8.5459320616654538E-7</c:v>
                </c:pt>
                <c:pt idx="2">
                  <c:v>4.4693796404510796E-9</c:v>
                </c:pt>
                <c:pt idx="3">
                  <c:v>4.0724631365947081E-9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57280"/>
        <c:axId val="97458816"/>
      </c:scatterChart>
      <c:valAx>
        <c:axId val="9745728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97458816"/>
        <c:crosses val="autoZero"/>
        <c:crossBetween val="midCat"/>
      </c:valAx>
      <c:valAx>
        <c:axId val="97458816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97457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Sheet1!$T$329:$T$332</c:f>
              <c:numCache>
                <c:formatCode>General</c:formatCode>
                <c:ptCount val="4"/>
                <c:pt idx="0">
                  <c:v>6.9</c:v>
                </c:pt>
                <c:pt idx="1">
                  <c:v>8.1</c:v>
                </c:pt>
                <c:pt idx="2">
                  <c:v>8.6</c:v>
                </c:pt>
                <c:pt idx="3">
                  <c:v>9.1</c:v>
                </c:pt>
              </c:numCache>
            </c:numRef>
          </c:xVal>
          <c:yVal>
            <c:numRef>
              <c:f>Sheet1!$W$329:$W$332</c:f>
              <c:numCache>
                <c:formatCode>0.00E+00</c:formatCode>
                <c:ptCount val="4"/>
                <c:pt idx="0">
                  <c:v>220610.42524005487</c:v>
                </c:pt>
                <c:pt idx="1">
                  <c:v>8318.7432545868814</c:v>
                </c:pt>
                <c:pt idx="2">
                  <c:v>3550.0179275726068</c:v>
                </c:pt>
                <c:pt idx="3">
                  <c:v>1536.3441737180137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70720"/>
        <c:axId val="97492992"/>
      </c:scatterChart>
      <c:valAx>
        <c:axId val="97470720"/>
        <c:scaling>
          <c:orientation val="minMax"/>
          <c:max val="9.5"/>
          <c:min val="6.5"/>
        </c:scaling>
        <c:delete val="0"/>
        <c:axPos val="b"/>
        <c:numFmt formatCode="General" sourceLinked="1"/>
        <c:majorTickMark val="out"/>
        <c:minorTickMark val="none"/>
        <c:tickLblPos val="nextTo"/>
        <c:crossAx val="97492992"/>
        <c:crosses val="autoZero"/>
        <c:crossBetween val="midCat"/>
      </c:valAx>
      <c:valAx>
        <c:axId val="97492992"/>
        <c:scaling>
          <c:orientation val="minMax"/>
        </c:scaling>
        <c:delete val="0"/>
        <c:axPos val="l"/>
        <c:numFmt formatCode="0.00E+00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da-DK"/>
          </a:p>
        </c:txPr>
        <c:crossAx val="97470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Sheet1!$U$295</c:f>
              <c:strCache>
                <c:ptCount val="1"/>
                <c:pt idx="0">
                  <c:v>78 mM Boric acid buffer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Sheet1!$V$273:$V$281</c:f>
              <c:numCache>
                <c:formatCode>0.0</c:formatCode>
                <c:ptCount val="9"/>
                <c:pt idx="0">
                  <c:v>8.4600000000000009</c:v>
                </c:pt>
                <c:pt idx="1">
                  <c:v>8.98</c:v>
                </c:pt>
                <c:pt idx="2">
                  <c:v>9.23</c:v>
                </c:pt>
                <c:pt idx="3">
                  <c:v>9.4</c:v>
                </c:pt>
                <c:pt idx="4">
                  <c:v>9.5</c:v>
                </c:pt>
                <c:pt idx="5">
                  <c:v>9.51</c:v>
                </c:pt>
                <c:pt idx="6">
                  <c:v>9.6999999999999993</c:v>
                </c:pt>
                <c:pt idx="7">
                  <c:v>10.07</c:v>
                </c:pt>
                <c:pt idx="8">
                  <c:v>10.34</c:v>
                </c:pt>
              </c:numCache>
            </c:numRef>
          </c:xVal>
          <c:yVal>
            <c:numRef>
              <c:f>Sheet1!$AM$273:$AM$281</c:f>
              <c:numCache>
                <c:formatCode>General</c:formatCode>
                <c:ptCount val="9"/>
                <c:pt idx="0">
                  <c:v>-3.4007329088562077</c:v>
                </c:pt>
                <c:pt idx="1">
                  <c:v>-2.9620921438257124</c:v>
                </c:pt>
                <c:pt idx="2">
                  <c:v>-2.8747034757988401</c:v>
                </c:pt>
                <c:pt idx="3">
                  <c:v>-2.8719701864145581</c:v>
                </c:pt>
                <c:pt idx="4">
                  <c:v>-3.0931481498899887</c:v>
                </c:pt>
                <c:pt idx="5">
                  <c:v>-2.7629573652617108</c:v>
                </c:pt>
                <c:pt idx="6">
                  <c:v>-2.9205536978062758</c:v>
                </c:pt>
                <c:pt idx="7">
                  <c:v>-2.5436228423821206</c:v>
                </c:pt>
                <c:pt idx="8">
                  <c:v>-2.8792573779853083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Sheet1!$U$294</c:f>
              <c:strCache>
                <c:ptCount val="1"/>
                <c:pt idx="0">
                  <c:v>65 mM Phosphate buffer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Sheet1!$V$285:$V$293</c:f>
              <c:numCache>
                <c:formatCode>0.0</c:formatCode>
                <c:ptCount val="9"/>
                <c:pt idx="0">
                  <c:v>6.5</c:v>
                </c:pt>
                <c:pt idx="1">
                  <c:v>6.71</c:v>
                </c:pt>
                <c:pt idx="2">
                  <c:v>6.71</c:v>
                </c:pt>
                <c:pt idx="3">
                  <c:v>6.71</c:v>
                </c:pt>
                <c:pt idx="4">
                  <c:v>7</c:v>
                </c:pt>
                <c:pt idx="5">
                  <c:v>7.5</c:v>
                </c:pt>
                <c:pt idx="6">
                  <c:v>8.01</c:v>
                </c:pt>
                <c:pt idx="7">
                  <c:v>8.5</c:v>
                </c:pt>
                <c:pt idx="8">
                  <c:v>8.9499999999999993</c:v>
                </c:pt>
              </c:numCache>
            </c:numRef>
          </c:xVal>
          <c:yVal>
            <c:numRef>
              <c:f>Sheet1!$AM$285:$AM$293</c:f>
              <c:numCache>
                <c:formatCode>General</c:formatCode>
                <c:ptCount val="9"/>
                <c:pt idx="0">
                  <c:v>-4.8187957439171818</c:v>
                </c:pt>
                <c:pt idx="1">
                  <c:v>-4.1668519060131555</c:v>
                </c:pt>
                <c:pt idx="2">
                  <c:v>-4.4000008101833448</c:v>
                </c:pt>
                <c:pt idx="3">
                  <c:v>-4.6024812876143804</c:v>
                </c:pt>
                <c:pt idx="4">
                  <c:v>-4.238330953711853</c:v>
                </c:pt>
                <c:pt idx="5">
                  <c:v>-3.8133610848137045</c:v>
                </c:pt>
                <c:pt idx="6">
                  <c:v>-3.3232633707216972</c:v>
                </c:pt>
                <c:pt idx="7">
                  <c:v>-2.9958391425307864</c:v>
                </c:pt>
                <c:pt idx="8">
                  <c:v>-2.9567313098430197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Sheet1!$AQ$265</c:f>
              <c:strCache>
                <c:ptCount val="1"/>
                <c:pt idx="0">
                  <c:v>fit of log(V/1+10^(pKa-pH)) </c:v>
                </c:pt>
              </c:strCache>
            </c:strRef>
          </c:tx>
          <c:spPr>
            <a:ln w="28575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Sheet1!$AP$266:$AP$314</c:f>
              <c:numCache>
                <c:formatCode>General</c:formatCode>
                <c:ptCount val="49"/>
                <c:pt idx="0">
                  <c:v>6</c:v>
                </c:pt>
                <c:pt idx="1">
                  <c:v>6.1</c:v>
                </c:pt>
                <c:pt idx="2">
                  <c:v>6.2</c:v>
                </c:pt>
                <c:pt idx="3">
                  <c:v>6.3</c:v>
                </c:pt>
                <c:pt idx="4">
                  <c:v>6.4</c:v>
                </c:pt>
                <c:pt idx="5">
                  <c:v>6.5</c:v>
                </c:pt>
                <c:pt idx="6">
                  <c:v>6.6</c:v>
                </c:pt>
                <c:pt idx="7">
                  <c:v>6.7</c:v>
                </c:pt>
                <c:pt idx="8">
                  <c:v>6.8</c:v>
                </c:pt>
                <c:pt idx="9">
                  <c:v>6.9</c:v>
                </c:pt>
                <c:pt idx="10">
                  <c:v>7</c:v>
                </c:pt>
                <c:pt idx="11">
                  <c:v>7.1</c:v>
                </c:pt>
                <c:pt idx="12">
                  <c:v>7.2</c:v>
                </c:pt>
                <c:pt idx="13">
                  <c:v>7.3</c:v>
                </c:pt>
                <c:pt idx="14">
                  <c:v>7.4</c:v>
                </c:pt>
                <c:pt idx="15">
                  <c:v>7.5</c:v>
                </c:pt>
                <c:pt idx="16">
                  <c:v>7.6</c:v>
                </c:pt>
                <c:pt idx="17">
                  <c:v>7.7</c:v>
                </c:pt>
                <c:pt idx="18">
                  <c:v>7.8</c:v>
                </c:pt>
                <c:pt idx="19">
                  <c:v>7.9</c:v>
                </c:pt>
                <c:pt idx="20">
                  <c:v>7.9999999999999902</c:v>
                </c:pt>
                <c:pt idx="21">
                  <c:v>8.0999999999999908</c:v>
                </c:pt>
                <c:pt idx="22">
                  <c:v>8.1999999999999904</c:v>
                </c:pt>
                <c:pt idx="23">
                  <c:v>8.2999999999999901</c:v>
                </c:pt>
                <c:pt idx="24">
                  <c:v>8.3999999999999897</c:v>
                </c:pt>
                <c:pt idx="25">
                  <c:v>8.4999999999999893</c:v>
                </c:pt>
                <c:pt idx="26">
                  <c:v>8.5999999999999908</c:v>
                </c:pt>
                <c:pt idx="27">
                  <c:v>8.6999999999999904</c:v>
                </c:pt>
                <c:pt idx="28">
                  <c:v>8.7999999999999901</c:v>
                </c:pt>
                <c:pt idx="29">
                  <c:v>8.8999999999999897</c:v>
                </c:pt>
                <c:pt idx="30">
                  <c:v>8.9999999999999893</c:v>
                </c:pt>
                <c:pt idx="31">
                  <c:v>9.0999999999999908</c:v>
                </c:pt>
                <c:pt idx="32">
                  <c:v>9.1999999999999904</c:v>
                </c:pt>
                <c:pt idx="33">
                  <c:v>9.2999999999999901</c:v>
                </c:pt>
                <c:pt idx="34">
                  <c:v>9.3999999999999897</c:v>
                </c:pt>
                <c:pt idx="35">
                  <c:v>9.4999999999999893</c:v>
                </c:pt>
                <c:pt idx="36">
                  <c:v>9.5999999999999908</c:v>
                </c:pt>
                <c:pt idx="37">
                  <c:v>9.6999999999999904</c:v>
                </c:pt>
                <c:pt idx="38">
                  <c:v>9.7999999999999901</c:v>
                </c:pt>
                <c:pt idx="39">
                  <c:v>9.8999999999999897</c:v>
                </c:pt>
                <c:pt idx="40">
                  <c:v>9.9999999999999893</c:v>
                </c:pt>
                <c:pt idx="41">
                  <c:v>10.1</c:v>
                </c:pt>
                <c:pt idx="42">
                  <c:v>10.199999999999999</c:v>
                </c:pt>
                <c:pt idx="43">
                  <c:v>10.3</c:v>
                </c:pt>
                <c:pt idx="44">
                  <c:v>10.4</c:v>
                </c:pt>
                <c:pt idx="45">
                  <c:v>10.5</c:v>
                </c:pt>
                <c:pt idx="46">
                  <c:v>10.6</c:v>
                </c:pt>
                <c:pt idx="47">
                  <c:v>10.7</c:v>
                </c:pt>
                <c:pt idx="48">
                  <c:v>10.8</c:v>
                </c:pt>
              </c:numCache>
            </c:numRef>
          </c:xVal>
          <c:yVal>
            <c:numRef>
              <c:f>Sheet1!$AQ$266:$AQ$314</c:f>
              <c:numCache>
                <c:formatCode>General</c:formatCode>
                <c:ptCount val="49"/>
                <c:pt idx="0">
                  <c:v>-5.2702246809227216</c:v>
                </c:pt>
                <c:pt idx="1">
                  <c:v>-5.1707131342798371</c:v>
                </c:pt>
                <c:pt idx="2">
                  <c:v>-5.0713272805034961</c:v>
                </c:pt>
                <c:pt idx="3">
                  <c:v>-4.972099211936853</c:v>
                </c:pt>
                <c:pt idx="4">
                  <c:v>-4.8730690691464345</c:v>
                </c:pt>
                <c:pt idx="5">
                  <c:v>-4.7742869754120409</c:v>
                </c:pt>
                <c:pt idx="6">
                  <c:v>-4.6758153880619329</c:v>
                </c:pt>
                <c:pt idx="7">
                  <c:v>-4.5777319286389302</c:v>
                </c:pt>
                <c:pt idx="8">
                  <c:v>-4.4801327460885343</c:v>
                </c:pt>
                <c:pt idx="9">
                  <c:v>-4.3831364461787485</c:v>
                </c:pt>
                <c:pt idx="10">
                  <c:v>-4.2868885786775683</c:v>
                </c:pt>
                <c:pt idx="11">
                  <c:v>-4.1915666015366977</c:v>
                </c:pt>
                <c:pt idx="12">
                  <c:v>-4.0973851267034194</c:v>
                </c:pt>
                <c:pt idx="13">
                  <c:v>-4.0046010835700319</c:v>
                </c:pt>
                <c:pt idx="14">
                  <c:v>-3.913518206535811</c:v>
                </c:pt>
                <c:pt idx="15">
                  <c:v>-3.8244899688903558</c:v>
                </c:pt>
                <c:pt idx="16">
                  <c:v>-3.7379197783785161</c:v>
                </c:pt>
                <c:pt idx="17">
                  <c:v>-3.6542569938282909</c:v>
                </c:pt>
                <c:pt idx="18">
                  <c:v>-3.5739872427070516</c:v>
                </c:pt>
                <c:pt idx="19">
                  <c:v>-3.4976157861888306</c:v>
                </c:pt>
                <c:pt idx="20">
                  <c:v>-3.4256434592388318</c:v>
                </c:pt>
                <c:pt idx="21">
                  <c:v>-3.3585360789697463</c:v>
                </c:pt>
                <c:pt idx="22">
                  <c:v>-3.2966900133625598</c:v>
                </c:pt>
                <c:pt idx="23">
                  <c:v>-3.2403983783623631</c:v>
                </c:pt>
                <c:pt idx="24">
                  <c:v>-3.189823392404608</c:v>
                </c:pt>
                <c:pt idx="25">
                  <c:v>-3.1449801131271702</c:v>
                </c:pt>
                <c:pt idx="26">
                  <c:v>-3.1057348930242896</c:v>
                </c:pt>
                <c:pt idx="27">
                  <c:v>-3.0718188804502349</c:v>
                </c:pt>
                <c:pt idx="28">
                  <c:v>-3.0428537682208989</c:v>
                </c:pt>
                <c:pt idx="29">
                  <c:v>-3.018384820459556</c:v>
                </c:pt>
                <c:pt idx="30">
                  <c:v>-2.9979155846486698</c:v>
                </c:pt>
                <c:pt idx="31">
                  <c:v>-2.9809395276552237</c:v>
                </c:pt>
                <c:pt idx="32">
                  <c:v>-2.966965526731522</c:v>
                </c:pt>
                <c:pt idx="33">
                  <c:v>-2.9555359870624396</c:v>
                </c:pt>
                <c:pt idx="34">
                  <c:v>-2.9462378311197734</c:v>
                </c:pt>
                <c:pt idx="35">
                  <c:v>-2.9387075026206513</c:v>
                </c:pt>
                <c:pt idx="36">
                  <c:v>-2.9326314854380406</c:v>
                </c:pt>
                <c:pt idx="37">
                  <c:v>-2.927743813051257</c:v>
                </c:pt>
                <c:pt idx="38">
                  <c:v>-2.9238218116799013</c:v>
                </c:pt>
                <c:pt idx="39">
                  <c:v>-2.920681016114882</c:v>
                </c:pt>
                <c:pt idx="40">
                  <c:v>-2.9181699048061245</c:v>
                </c:pt>
                <c:pt idx="41">
                  <c:v>-2.9161648591711837</c:v>
                </c:pt>
                <c:pt idx="42">
                  <c:v>-2.9145655715763965</c:v>
                </c:pt>
                <c:pt idx="43">
                  <c:v>-2.9132910018856903</c:v>
                </c:pt>
                <c:pt idx="44">
                  <c:v>-2.9122759027028406</c:v>
                </c:pt>
                <c:pt idx="45">
                  <c:v>-2.9114678864953798</c:v>
                </c:pt>
                <c:pt idx="46">
                  <c:v>-2.9108249833437618</c:v>
                </c:pt>
                <c:pt idx="47">
                  <c:v>-2.9103136281180531</c:v>
                </c:pt>
                <c:pt idx="48">
                  <c:v>-2.9099070147131143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33536"/>
        <c:axId val="98835456"/>
      </c:scatterChart>
      <c:valAx>
        <c:axId val="98833536"/>
        <c:scaling>
          <c:orientation val="minMax"/>
          <c:max val="10.34"/>
          <c:min val="6.5"/>
        </c:scaling>
        <c:delete val="0"/>
        <c:axPos val="b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da-DK" sz="1400" b="1"/>
                  <a:t>pH</a:t>
                </a:r>
              </a:p>
            </c:rich>
          </c:tx>
          <c:layout/>
          <c:overlay val="0"/>
        </c:title>
        <c:numFmt formatCode="0.0" sourceLinked="0"/>
        <c:majorTickMark val="in"/>
        <c:minorTickMark val="none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98835456"/>
        <c:crosses val="autoZero"/>
        <c:crossBetween val="midCat"/>
      </c:valAx>
      <c:valAx>
        <c:axId val="98835456"/>
        <c:scaling>
          <c:orientation val="minMax"/>
          <c:max val="-2"/>
          <c:min val="-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1"/>
                </a:pPr>
                <a:r>
                  <a:rPr lang="da-DK" sz="1400" b="1"/>
                  <a:t>log(k</a:t>
                </a:r>
                <a:r>
                  <a:rPr lang="da-DK" sz="1400" b="1" baseline="-25000"/>
                  <a:t>cat</a:t>
                </a:r>
                <a:r>
                  <a:rPr lang="da-DK" sz="1400" b="1"/>
                  <a:t>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98833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3491296296296295"/>
          <c:y val="0.66610138888888892"/>
          <c:w val="0.5254024074074074"/>
          <c:h val="0.20655805555555556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Sheet1!$U$295</c:f>
              <c:strCache>
                <c:ptCount val="1"/>
                <c:pt idx="0">
                  <c:v>78 mM Boric acid buffer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Sheet1!$V$273:$V$281</c:f>
              <c:numCache>
                <c:formatCode>0.0</c:formatCode>
                <c:ptCount val="9"/>
                <c:pt idx="0">
                  <c:v>8.4600000000000009</c:v>
                </c:pt>
                <c:pt idx="1">
                  <c:v>8.98</c:v>
                </c:pt>
                <c:pt idx="2">
                  <c:v>9.23</c:v>
                </c:pt>
                <c:pt idx="3">
                  <c:v>9.4</c:v>
                </c:pt>
                <c:pt idx="4">
                  <c:v>9.5</c:v>
                </c:pt>
                <c:pt idx="5">
                  <c:v>9.51</c:v>
                </c:pt>
                <c:pt idx="6">
                  <c:v>9.6999999999999993</c:v>
                </c:pt>
                <c:pt idx="7">
                  <c:v>10.07</c:v>
                </c:pt>
                <c:pt idx="8">
                  <c:v>10.34</c:v>
                </c:pt>
              </c:numCache>
            </c:numRef>
          </c:xVal>
          <c:yVal>
            <c:numRef>
              <c:f>Sheet1!$AN$273:$AN$281</c:f>
              <c:numCache>
                <c:formatCode>General</c:formatCode>
                <c:ptCount val="9"/>
                <c:pt idx="0">
                  <c:v>-3.8927945133688069</c:v>
                </c:pt>
                <c:pt idx="1">
                  <c:v>-3.6511344828538843</c:v>
                </c:pt>
                <c:pt idx="2">
                  <c:v>-3.7065092844732312</c:v>
                </c:pt>
                <c:pt idx="3">
                  <c:v>-3.7451744956915989</c:v>
                </c:pt>
                <c:pt idx="4">
                  <c:v>-3.5702694046096508</c:v>
                </c:pt>
                <c:pt idx="5">
                  <c:v>-3.8221419828930818</c:v>
                </c:pt>
                <c:pt idx="6">
                  <c:v>-3.8420841113075181</c:v>
                </c:pt>
                <c:pt idx="7">
                  <c:v>-4.0717679206352271</c:v>
                </c:pt>
                <c:pt idx="8">
                  <c:v>-4.078463857146966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Sheet1!$U$294</c:f>
              <c:strCache>
                <c:ptCount val="1"/>
                <c:pt idx="0">
                  <c:v>65 mM Phosphate buffer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Sheet1!$V$282:$V$293</c:f>
              <c:numCache>
                <c:formatCode>0.0</c:formatCode>
                <c:ptCount val="12"/>
                <c:pt idx="0">
                  <c:v>5.64</c:v>
                </c:pt>
                <c:pt idx="1">
                  <c:v>5.64</c:v>
                </c:pt>
                <c:pt idx="2">
                  <c:v>5.87</c:v>
                </c:pt>
                <c:pt idx="3">
                  <c:v>6.5</c:v>
                </c:pt>
                <c:pt idx="4">
                  <c:v>6.71</c:v>
                </c:pt>
                <c:pt idx="5">
                  <c:v>6.71</c:v>
                </c:pt>
                <c:pt idx="6">
                  <c:v>6.71</c:v>
                </c:pt>
                <c:pt idx="7">
                  <c:v>7</c:v>
                </c:pt>
                <c:pt idx="8">
                  <c:v>7.5</c:v>
                </c:pt>
                <c:pt idx="9">
                  <c:v>8.01</c:v>
                </c:pt>
                <c:pt idx="10">
                  <c:v>8.5</c:v>
                </c:pt>
                <c:pt idx="11">
                  <c:v>8.9499999999999993</c:v>
                </c:pt>
              </c:numCache>
            </c:numRef>
          </c:xVal>
          <c:yVal>
            <c:numRef>
              <c:f>Sheet1!$AN$282:$AN$293</c:f>
              <c:numCache>
                <c:formatCode>General</c:formatCode>
                <c:ptCount val="12"/>
                <c:pt idx="0">
                  <c:v>-5.1197803903463797</c:v>
                </c:pt>
                <c:pt idx="1">
                  <c:v>-5.4463749495943707</c:v>
                </c:pt>
                <c:pt idx="2">
                  <c:v>-5.2397418716597537</c:v>
                </c:pt>
                <c:pt idx="3">
                  <c:v>-4.990814553341739</c:v>
                </c:pt>
                <c:pt idx="4">
                  <c:v>-5.199470666863875</c:v>
                </c:pt>
                <c:pt idx="5">
                  <c:v>-5.2684689092043309</c:v>
                </c:pt>
                <c:pt idx="6">
                  <c:v>-5.0162838043837317</c:v>
                </c:pt>
                <c:pt idx="7">
                  <c:v>-4.7779088370571623</c:v>
                </c:pt>
                <c:pt idx="8">
                  <c:v>-4.2408471939094898</c:v>
                </c:pt>
                <c:pt idx="9">
                  <c:v>-3.5022403180148669</c:v>
                </c:pt>
                <c:pt idx="10">
                  <c:v>-2.6857692465490048</c:v>
                </c:pt>
                <c:pt idx="11">
                  <c:v>-3.0950340080093008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Sheet1!$AV$265</c:f>
              <c:strCache>
                <c:ptCount val="1"/>
                <c:pt idx="0">
                  <c:v>fit of log(V/1+10^(pKa-pH))</c:v>
                </c:pt>
              </c:strCache>
            </c:strRef>
          </c:tx>
          <c:spPr>
            <a:ln w="28575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Sheet1!$AU$266:$AU$314</c:f>
              <c:numCache>
                <c:formatCode>General</c:formatCode>
                <c:ptCount val="49"/>
                <c:pt idx="0">
                  <c:v>6</c:v>
                </c:pt>
                <c:pt idx="1">
                  <c:v>6.1</c:v>
                </c:pt>
                <c:pt idx="2">
                  <c:v>6.2</c:v>
                </c:pt>
                <c:pt idx="3">
                  <c:v>6.3</c:v>
                </c:pt>
                <c:pt idx="4">
                  <c:v>6.4</c:v>
                </c:pt>
                <c:pt idx="5">
                  <c:v>6.5</c:v>
                </c:pt>
                <c:pt idx="6">
                  <c:v>6.6</c:v>
                </c:pt>
                <c:pt idx="7">
                  <c:v>6.7</c:v>
                </c:pt>
                <c:pt idx="8">
                  <c:v>6.8</c:v>
                </c:pt>
                <c:pt idx="9">
                  <c:v>6.9</c:v>
                </c:pt>
                <c:pt idx="10">
                  <c:v>7</c:v>
                </c:pt>
                <c:pt idx="11">
                  <c:v>7.1</c:v>
                </c:pt>
                <c:pt idx="12">
                  <c:v>7.2</c:v>
                </c:pt>
                <c:pt idx="13">
                  <c:v>7.3</c:v>
                </c:pt>
                <c:pt idx="14">
                  <c:v>7.4</c:v>
                </c:pt>
                <c:pt idx="15">
                  <c:v>7.5</c:v>
                </c:pt>
                <c:pt idx="16">
                  <c:v>7.6</c:v>
                </c:pt>
                <c:pt idx="17">
                  <c:v>7.7</c:v>
                </c:pt>
                <c:pt idx="18">
                  <c:v>7.8</c:v>
                </c:pt>
                <c:pt idx="19">
                  <c:v>7.9</c:v>
                </c:pt>
                <c:pt idx="20">
                  <c:v>7.9999999999999902</c:v>
                </c:pt>
                <c:pt idx="21">
                  <c:v>8.0999999999999908</c:v>
                </c:pt>
                <c:pt idx="22">
                  <c:v>8.1999999999999904</c:v>
                </c:pt>
                <c:pt idx="23">
                  <c:v>8.2999999999999901</c:v>
                </c:pt>
                <c:pt idx="24">
                  <c:v>8.3999999999999897</c:v>
                </c:pt>
                <c:pt idx="25">
                  <c:v>8.4999999999999893</c:v>
                </c:pt>
                <c:pt idx="26">
                  <c:v>8.5999999999999908</c:v>
                </c:pt>
                <c:pt idx="27">
                  <c:v>8.6999999999999904</c:v>
                </c:pt>
                <c:pt idx="28">
                  <c:v>8.7999999999999901</c:v>
                </c:pt>
                <c:pt idx="29">
                  <c:v>8.8999999999999897</c:v>
                </c:pt>
                <c:pt idx="30">
                  <c:v>8.9999999999999893</c:v>
                </c:pt>
                <c:pt idx="31">
                  <c:v>9.0999999999999908</c:v>
                </c:pt>
                <c:pt idx="32">
                  <c:v>9.1999999999999904</c:v>
                </c:pt>
                <c:pt idx="33">
                  <c:v>9.2999999999999901</c:v>
                </c:pt>
                <c:pt idx="34">
                  <c:v>9.3999999999999897</c:v>
                </c:pt>
                <c:pt idx="35">
                  <c:v>9.4999999999999893</c:v>
                </c:pt>
                <c:pt idx="36">
                  <c:v>9.5999999999999908</c:v>
                </c:pt>
                <c:pt idx="37">
                  <c:v>9.6999999999999904</c:v>
                </c:pt>
                <c:pt idx="38">
                  <c:v>9.7999999999999901</c:v>
                </c:pt>
                <c:pt idx="39">
                  <c:v>9.8999999999999897</c:v>
                </c:pt>
                <c:pt idx="40">
                  <c:v>9.9999999999999893</c:v>
                </c:pt>
                <c:pt idx="41">
                  <c:v>10.1</c:v>
                </c:pt>
                <c:pt idx="42">
                  <c:v>10.199999999999999</c:v>
                </c:pt>
                <c:pt idx="43">
                  <c:v>10.3</c:v>
                </c:pt>
                <c:pt idx="44">
                  <c:v>10.4</c:v>
                </c:pt>
                <c:pt idx="45">
                  <c:v>10.5</c:v>
                </c:pt>
                <c:pt idx="46">
                  <c:v>10.6</c:v>
                </c:pt>
                <c:pt idx="47">
                  <c:v>10.7</c:v>
                </c:pt>
                <c:pt idx="48">
                  <c:v>10.8</c:v>
                </c:pt>
              </c:numCache>
            </c:numRef>
          </c:xVal>
          <c:yVal>
            <c:numRef>
              <c:f>Sheet1!$AV$266:$AV$314</c:f>
              <c:numCache>
                <c:formatCode>General</c:formatCode>
                <c:ptCount val="49"/>
                <c:pt idx="0">
                  <c:v>-5.5076364425505675</c:v>
                </c:pt>
                <c:pt idx="1">
                  <c:v>-5.4094477236495928</c:v>
                </c:pt>
                <c:pt idx="2">
                  <c:v>-5.3117173023440296</c:v>
                </c:pt>
                <c:pt idx="3">
                  <c:v>-5.2145577706156594</c:v>
                </c:pt>
                <c:pt idx="4">
                  <c:v>-5.1181074931884831</c:v>
                </c:pt>
                <c:pt idx="5">
                  <c:v>-5.0225354654603152</c:v>
                </c:pt>
                <c:pt idx="6">
                  <c:v>-4.9280465154284236</c:v>
                </c:pt>
                <c:pt idx="7">
                  <c:v>-4.8348865333561495</c:v>
                </c:pt>
                <c:pt idx="8">
                  <c:v>-4.7433471987421107</c:v>
                </c:pt>
                <c:pt idx="9">
                  <c:v>-4.6537694018274083</c:v>
                </c:pt>
                <c:pt idx="10">
                  <c:v>-4.5665442506581346</c:v>
                </c:pt>
                <c:pt idx="11">
                  <c:v>-4.482110276359653</c:v>
                </c:pt>
                <c:pt idx="12">
                  <c:v>-4.4009453110320447</c:v>
                </c:pt>
                <c:pt idx="13">
                  <c:v>-4.3235516757683881</c:v>
                </c:pt>
                <c:pt idx="14">
                  <c:v>-4.2504339561739624</c:v>
                </c:pt>
                <c:pt idx="15">
                  <c:v>-4.182069865754813</c:v>
                </c:pt>
                <c:pt idx="16">
                  <c:v>-4.11887641861109</c:v>
                </c:pt>
                <c:pt idx="17">
                  <c:v>-4.0611754733239804</c:v>
                </c:pt>
                <c:pt idx="18">
                  <c:v>-4.0091640188065334</c:v>
                </c:pt>
                <c:pt idx="19">
                  <c:v>-3.9628946536807237</c:v>
                </c:pt>
                <c:pt idx="20">
                  <c:v>-3.9222702031163093</c:v>
                </c:pt>
                <c:pt idx="21">
                  <c:v>-3.8870536077612612</c:v>
                </c:pt>
                <c:pt idx="22">
                  <c:v>-3.8568910157745759</c:v>
                </c:pt>
                <c:pt idx="23">
                  <c:v>-3.831343518017341</c:v>
                </c:pt>
                <c:pt idx="24">
                  <c:v>-3.809921938016144</c:v>
                </c:pt>
                <c:pt idx="25">
                  <c:v>-3.7921195985044549</c:v>
                </c:pt>
                <c:pt idx="26">
                  <c:v>-3.7774395323693057</c:v>
                </c:pt>
                <c:pt idx="27">
                  <c:v>-3.7654144688451616</c:v>
                </c:pt>
                <c:pt idx="28">
                  <c:v>-3.7556195226959455</c:v>
                </c:pt>
                <c:pt idx="29">
                  <c:v>-3.7476785598900721</c:v>
                </c:pt>
                <c:pt idx="30">
                  <c:v>-3.7412656936607274</c:v>
                </c:pt>
                <c:pt idx="31">
                  <c:v>-3.7361034186127284</c:v>
                </c:pt>
                <c:pt idx="32">
                  <c:v>-3.7319586952606247</c:v>
                </c:pt>
                <c:pt idx="33">
                  <c:v>-3.728638001341892</c:v>
                </c:pt>
                <c:pt idx="34">
                  <c:v>-3.7259820657263636</c:v>
                </c:pt>
                <c:pt idx="35">
                  <c:v>-3.7238607446047598</c:v>
                </c:pt>
                <c:pt idx="36">
                  <c:v>-3.7221683039310545</c:v>
                </c:pt>
                <c:pt idx="37">
                  <c:v>-3.7208192344761959</c:v>
                </c:pt>
                <c:pt idx="38">
                  <c:v>-3.7197446360330622</c:v>
                </c:pt>
                <c:pt idx="39">
                  <c:v>-3.7188891532211978</c:v>
                </c:pt>
                <c:pt idx="40">
                  <c:v>-3.7182084161153055</c:v>
                </c:pt>
                <c:pt idx="41">
                  <c:v>-3.7176669259741337</c:v>
                </c:pt>
                <c:pt idx="42">
                  <c:v>-3.7172363234110106</c:v>
                </c:pt>
                <c:pt idx="43">
                  <c:v>-3.7168939791194728</c:v>
                </c:pt>
                <c:pt idx="44">
                  <c:v>-3.7166218529365329</c:v>
                </c:pt>
                <c:pt idx="45">
                  <c:v>-3.7164055738457384</c:v>
                </c:pt>
                <c:pt idx="46">
                  <c:v>-3.7162337004675776</c:v>
                </c:pt>
                <c:pt idx="47">
                  <c:v>-3.7160971281003996</c:v>
                </c:pt>
                <c:pt idx="48">
                  <c:v>-3.7159886141982885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86400"/>
        <c:axId val="98888320"/>
      </c:scatterChart>
      <c:valAx>
        <c:axId val="98886400"/>
        <c:scaling>
          <c:orientation val="minMax"/>
          <c:max val="10.34"/>
          <c:min val="6.5"/>
        </c:scaling>
        <c:delete val="0"/>
        <c:axPos val="b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da-DK" sz="1400" b="1"/>
                  <a:t>pH</a:t>
                </a:r>
              </a:p>
            </c:rich>
          </c:tx>
          <c:layout/>
          <c:overlay val="0"/>
        </c:title>
        <c:numFmt formatCode="0.0" sourceLinked="0"/>
        <c:majorTickMark val="in"/>
        <c:minorTickMark val="none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98888320"/>
        <c:crosses val="autoZero"/>
        <c:crossBetween val="midCat"/>
      </c:valAx>
      <c:valAx>
        <c:axId val="98888320"/>
        <c:scaling>
          <c:orientation val="minMax"/>
          <c:max val="-2"/>
          <c:min val="-5.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1"/>
                </a:pPr>
                <a:r>
                  <a:rPr lang="da-DK" sz="1400" b="1"/>
                  <a:t>log(k</a:t>
                </a:r>
                <a:r>
                  <a:rPr lang="da-DK" sz="1400" b="1" baseline="-25000"/>
                  <a:t>cat</a:t>
                </a:r>
                <a:r>
                  <a:rPr lang="da-DK" sz="1400" b="1"/>
                  <a:t>/K</a:t>
                </a:r>
                <a:r>
                  <a:rPr lang="da-DK" sz="1400" b="1" baseline="-25000"/>
                  <a:t>m</a:t>
                </a:r>
                <a:r>
                  <a:rPr lang="da-DK" sz="1400" b="1"/>
                  <a:t>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98886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2146796296296294"/>
          <c:y val="0.71252083333333338"/>
          <c:w val="0.4411640740740741"/>
          <c:h val="0.18107305555555553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Sheet1!$V$383:$V$392</c:f>
              <c:numCache>
                <c:formatCode>0.0</c:formatCode>
                <c:ptCount val="10"/>
                <c:pt idx="0">
                  <c:v>8.51</c:v>
                </c:pt>
                <c:pt idx="1">
                  <c:v>8.51</c:v>
                </c:pt>
                <c:pt idx="2">
                  <c:v>8.75</c:v>
                </c:pt>
                <c:pt idx="3">
                  <c:v>9</c:v>
                </c:pt>
                <c:pt idx="4">
                  <c:v>8.51</c:v>
                </c:pt>
                <c:pt idx="5">
                  <c:v>8</c:v>
                </c:pt>
                <c:pt idx="6">
                  <c:v>8.01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</c:numCache>
            </c:numRef>
          </c:xVal>
          <c:yVal>
            <c:numRef>
              <c:f>Sheet1!$AM$383:$AM$392</c:f>
              <c:numCache>
                <c:formatCode>0.0</c:formatCode>
                <c:ptCount val="10"/>
                <c:pt idx="0">
                  <c:v>-2.6721273489307631</c:v>
                </c:pt>
                <c:pt idx="1">
                  <c:v>-2.4597179424959119</c:v>
                </c:pt>
                <c:pt idx="2">
                  <c:v>-2.3469599827443419</c:v>
                </c:pt>
                <c:pt idx="3">
                  <c:v>-2.3556029442478486</c:v>
                </c:pt>
                <c:pt idx="4">
                  <c:v>-2.7267039280765597</c:v>
                </c:pt>
                <c:pt idx="5">
                  <c:v>-3.1733989588611702</c:v>
                </c:pt>
                <c:pt idx="6">
                  <c:v>-3.1521766072030735</c:v>
                </c:pt>
                <c:pt idx="7">
                  <c:v>-3.6113061595063649</c:v>
                </c:pt>
                <c:pt idx="8">
                  <c:v>-3.8283812179567285</c:v>
                </c:pt>
                <c:pt idx="9">
                  <c:v>-3.460091497216272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34368"/>
        <c:axId val="98652544"/>
      </c:scatterChart>
      <c:valAx>
        <c:axId val="98634368"/>
        <c:scaling>
          <c:orientation val="minMax"/>
          <c:max val="9"/>
          <c:min val="7.5"/>
        </c:scaling>
        <c:delete val="0"/>
        <c:axPos val="b"/>
        <c:numFmt formatCode="0.0" sourceLinked="1"/>
        <c:majorTickMark val="in"/>
        <c:minorTickMark val="none"/>
        <c:tickLblPos val="high"/>
        <c:crossAx val="98652544"/>
        <c:crosses val="autoZero"/>
        <c:crossBetween val="midCat"/>
      </c:valAx>
      <c:valAx>
        <c:axId val="98652544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98634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BnOH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Sheet1!$L$441</c:f>
              <c:strCache>
                <c:ptCount val="1"/>
                <c:pt idx="0">
                  <c:v>7.5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Sheet1!$O$441:$O$444</c:f>
              <c:numCache>
                <c:formatCode>0.00</c:formatCode>
                <c:ptCount val="4"/>
                <c:pt idx="0">
                  <c:v>0.216</c:v>
                </c:pt>
                <c:pt idx="1">
                  <c:v>0.86499999999999999</c:v>
                </c:pt>
                <c:pt idx="2">
                  <c:v>3.028</c:v>
                </c:pt>
                <c:pt idx="3">
                  <c:v>10.816000000000001</c:v>
                </c:pt>
              </c:numCache>
            </c:numRef>
          </c:xVal>
          <c:yVal>
            <c:numRef>
              <c:f>Sheet1!$S$441:$S$444</c:f>
              <c:numCache>
                <c:formatCode>0.00E+00</c:formatCode>
                <c:ptCount val="4"/>
                <c:pt idx="0">
                  <c:v>1.5942132950741271E-5</c:v>
                </c:pt>
                <c:pt idx="1">
                  <c:v>3.3715925394548064E-5</c:v>
                </c:pt>
                <c:pt idx="2">
                  <c:v>4.1200382592061214E-5</c:v>
                </c:pt>
                <c:pt idx="3">
                  <c:v>7.7809660449545666E-5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Sheet1!$L$447</c:f>
              <c:strCache>
                <c:ptCount val="1"/>
                <c:pt idx="0">
                  <c:v>7.6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Sheet1!$O$447:$O$450</c:f>
              <c:numCache>
                <c:formatCode>0.00</c:formatCode>
                <c:ptCount val="4"/>
                <c:pt idx="0">
                  <c:v>0.216</c:v>
                </c:pt>
                <c:pt idx="1">
                  <c:v>0.86499999999999999</c:v>
                </c:pt>
                <c:pt idx="2">
                  <c:v>3.028</c:v>
                </c:pt>
                <c:pt idx="3">
                  <c:v>10.816000000000001</c:v>
                </c:pt>
              </c:numCache>
            </c:numRef>
          </c:xVal>
          <c:yVal>
            <c:numRef>
              <c:f>Sheet1!$S$447:$S$450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4.6573751451800229E-5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Sheet1!$L$454</c:f>
              <c:strCache>
                <c:ptCount val="1"/>
                <c:pt idx="0">
                  <c:v>8.0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Sheet1!$O$454:$O$457</c:f>
              <c:numCache>
                <c:formatCode>0.00</c:formatCode>
                <c:ptCount val="4"/>
                <c:pt idx="0">
                  <c:v>0.216</c:v>
                </c:pt>
                <c:pt idx="1">
                  <c:v>0.86499999999999999</c:v>
                </c:pt>
                <c:pt idx="2">
                  <c:v>3.028</c:v>
                </c:pt>
                <c:pt idx="3">
                  <c:v>10.816000000000001</c:v>
                </c:pt>
              </c:numCache>
            </c:numRef>
          </c:xVal>
          <c:yVal>
            <c:numRef>
              <c:f>Sheet1!$S$454:$S$457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1.9210220673635306E-4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Sheet1!$L$461</c:f>
              <c:strCache>
                <c:ptCount val="1"/>
                <c:pt idx="0">
                  <c:v>8.2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Sheet1!$O$461:$O$464</c:f>
              <c:numCache>
                <c:formatCode>0.00</c:formatCode>
                <c:ptCount val="4"/>
                <c:pt idx="0">
                  <c:v>0.216</c:v>
                </c:pt>
                <c:pt idx="1">
                  <c:v>0.86499999999999999</c:v>
                </c:pt>
                <c:pt idx="2">
                  <c:v>3.028</c:v>
                </c:pt>
                <c:pt idx="3">
                  <c:v>10.816000000000001</c:v>
                </c:pt>
              </c:numCache>
            </c:numRef>
          </c:xVal>
          <c:yVal>
            <c:numRef>
              <c:f>Sheet1!$S$461:$S$464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1.8787661406025822E-4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Sheet1!$L$468</c:f>
              <c:strCache>
                <c:ptCount val="1"/>
                <c:pt idx="0">
                  <c:v>8.5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Sheet1!$O$468:$O$471</c:f>
              <c:numCache>
                <c:formatCode>0.00</c:formatCode>
                <c:ptCount val="4"/>
                <c:pt idx="0">
                  <c:v>0.216</c:v>
                </c:pt>
                <c:pt idx="1">
                  <c:v>0.86499999999999999</c:v>
                </c:pt>
                <c:pt idx="2">
                  <c:v>3.028</c:v>
                </c:pt>
                <c:pt idx="3">
                  <c:v>10.816000000000001</c:v>
                </c:pt>
              </c:numCache>
            </c:numRef>
          </c:xVal>
          <c:yVal>
            <c:numRef>
              <c:f>Sheet1!$S$468:$S$471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2.7450980392156862E-4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Sheet1!$L$475</c:f>
              <c:strCache>
                <c:ptCount val="1"/>
                <c:pt idx="0">
                  <c:v>8.7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Sheet1!$O$475:$O$478</c:f>
              <c:numCache>
                <c:formatCode>0.00</c:formatCode>
                <c:ptCount val="4"/>
                <c:pt idx="0">
                  <c:v>0.216</c:v>
                </c:pt>
                <c:pt idx="1">
                  <c:v>0.86499999999999999</c:v>
                </c:pt>
                <c:pt idx="2">
                  <c:v>3.028</c:v>
                </c:pt>
                <c:pt idx="3">
                  <c:v>10.816000000000001</c:v>
                </c:pt>
              </c:numCache>
            </c:numRef>
          </c:xVal>
          <c:yVal>
            <c:numRef>
              <c:f>Sheet1!$S$475:$S$478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1.2257065427797133E-4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Sheet1!$L$482</c:f>
              <c:strCache>
                <c:ptCount val="1"/>
                <c:pt idx="0">
                  <c:v>9.0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Sheet1!$O$482:$O$485</c:f>
              <c:numCache>
                <c:formatCode>0.00</c:formatCode>
                <c:ptCount val="4"/>
                <c:pt idx="0">
                  <c:v>0.216</c:v>
                </c:pt>
                <c:pt idx="1">
                  <c:v>0.86499999999999999</c:v>
                </c:pt>
                <c:pt idx="2">
                  <c:v>3.028</c:v>
                </c:pt>
                <c:pt idx="3">
                  <c:v>10.816000000000001</c:v>
                </c:pt>
              </c:numCache>
            </c:numRef>
          </c:xVal>
          <c:yVal>
            <c:numRef>
              <c:f>Sheet1!$S$482:$S$485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2.8172667440960124E-4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97600"/>
        <c:axId val="98699136"/>
      </c:scatterChart>
      <c:valAx>
        <c:axId val="98697600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98699136"/>
        <c:crosses val="autoZero"/>
        <c:crossBetween val="midCat"/>
      </c:valAx>
      <c:valAx>
        <c:axId val="98699136"/>
        <c:scaling>
          <c:orientation val="minMax"/>
        </c:scaling>
        <c:delete val="0"/>
        <c:axPos val="l"/>
        <c:numFmt formatCode="0.00E+00" sourceLinked="1"/>
        <c:majorTickMark val="out"/>
        <c:minorTickMark val="none"/>
        <c:tickLblPos val="nextTo"/>
        <c:crossAx val="9869760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H2O2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Sheet1!$L$441</c:f>
              <c:strCache>
                <c:ptCount val="1"/>
                <c:pt idx="0">
                  <c:v>7.5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Sheet1!$P$444:$P$446</c:f>
              <c:numCache>
                <c:formatCode>0.00</c:formatCode>
                <c:ptCount val="3"/>
                <c:pt idx="0">
                  <c:v>73.424000000000007</c:v>
                </c:pt>
                <c:pt idx="1">
                  <c:v>36.712000000000003</c:v>
                </c:pt>
                <c:pt idx="2">
                  <c:v>3.6709999999999998</c:v>
                </c:pt>
              </c:numCache>
            </c:numRef>
          </c:xVal>
          <c:yVal>
            <c:numRef>
              <c:f>Sheet1!$S$444:$S$446</c:f>
              <c:numCache>
                <c:formatCode>0.00E+00</c:formatCode>
                <c:ptCount val="3"/>
                <c:pt idx="0">
                  <c:v>7.7809660449545666E-5</c:v>
                </c:pt>
                <c:pt idx="1">
                  <c:v>4.9450023912003822E-5</c:v>
                </c:pt>
                <c:pt idx="2">
                  <c:v>2.6040172166427546E-5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Sheet1!$L$447</c:f>
              <c:strCache>
                <c:ptCount val="1"/>
                <c:pt idx="0">
                  <c:v>7.6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Sheet1!$P$450:$P$453</c:f>
              <c:numCache>
                <c:formatCode>0.00</c:formatCode>
                <c:ptCount val="4"/>
                <c:pt idx="0">
                  <c:v>35.244</c:v>
                </c:pt>
                <c:pt idx="1">
                  <c:v>24.963999999999999</c:v>
                </c:pt>
                <c:pt idx="2">
                  <c:v>14.685</c:v>
                </c:pt>
                <c:pt idx="3">
                  <c:v>5.14</c:v>
                </c:pt>
              </c:numCache>
            </c:numRef>
          </c:xVal>
          <c:yVal>
            <c:numRef>
              <c:f>Sheet1!$S$450:$S$453</c:f>
              <c:numCache>
                <c:formatCode>0.00E+00</c:formatCode>
                <c:ptCount val="4"/>
                <c:pt idx="0">
                  <c:v>4.6573751451800229E-5</c:v>
                </c:pt>
                <c:pt idx="1">
                  <c:v>5.1451800232288026E-5</c:v>
                </c:pt>
                <c:pt idx="2">
                  <c:v>2.3464963221060782E-5</c:v>
                </c:pt>
                <c:pt idx="3">
                  <c:v>1.8532713898567555E-5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Sheet1!$L$454</c:f>
              <c:strCache>
                <c:ptCount val="1"/>
                <c:pt idx="0">
                  <c:v>8.0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Sheet1!$P$457:$P$460</c:f>
              <c:numCache>
                <c:formatCode>0.00</c:formatCode>
                <c:ptCount val="4"/>
                <c:pt idx="0">
                  <c:v>35.244</c:v>
                </c:pt>
                <c:pt idx="1">
                  <c:v>24.963999999999999</c:v>
                </c:pt>
                <c:pt idx="2">
                  <c:v>14.685</c:v>
                </c:pt>
                <c:pt idx="3">
                  <c:v>5.14</c:v>
                </c:pt>
              </c:numCache>
            </c:numRef>
          </c:xVal>
          <c:yVal>
            <c:numRef>
              <c:f>Sheet1!$S$457:$S$460</c:f>
              <c:numCache>
                <c:formatCode>0.00E+00</c:formatCode>
                <c:ptCount val="4"/>
                <c:pt idx="0">
                  <c:v>1.9210220673635306E-4</c:v>
                </c:pt>
                <c:pt idx="1">
                  <c:v>1.0522648083623693E-4</c:v>
                </c:pt>
                <c:pt idx="2">
                  <c:v>6.844754161827332E-5</c:v>
                </c:pt>
                <c:pt idx="3">
                  <c:v>2.719318621757646E-5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Sheet1!$L$461</c:f>
              <c:strCache>
                <c:ptCount val="1"/>
                <c:pt idx="0">
                  <c:v>8.2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Sheet1!$P$464:$P$467</c:f>
              <c:numCache>
                <c:formatCode>0.00</c:formatCode>
                <c:ptCount val="4"/>
                <c:pt idx="0">
                  <c:v>73.424000000000007</c:v>
                </c:pt>
                <c:pt idx="1">
                  <c:v>36.712000000000003</c:v>
                </c:pt>
                <c:pt idx="2">
                  <c:v>7.3419999999999996</c:v>
                </c:pt>
                <c:pt idx="3">
                  <c:v>3.6709999999999998</c:v>
                </c:pt>
              </c:numCache>
            </c:numRef>
          </c:xVal>
          <c:yVal>
            <c:numRef>
              <c:f>Sheet1!$S$464:$S$467</c:f>
              <c:numCache>
                <c:formatCode>0.00E+00</c:formatCode>
                <c:ptCount val="4"/>
                <c:pt idx="0">
                  <c:v>1.8787661406025822E-4</c:v>
                </c:pt>
                <c:pt idx="1">
                  <c:v>1.6685796269727402E-4</c:v>
                </c:pt>
                <c:pt idx="2">
                  <c:v>5.071736011477762E-5</c:v>
                </c:pt>
                <c:pt idx="3">
                  <c:v>2.242467718794835E-5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Sheet1!$L$468</c:f>
              <c:strCache>
                <c:ptCount val="1"/>
                <c:pt idx="0">
                  <c:v>8.5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Sheet1!$P$471:$P$474</c:f>
              <c:numCache>
                <c:formatCode>0.00</c:formatCode>
                <c:ptCount val="4"/>
                <c:pt idx="0">
                  <c:v>73.424000000000007</c:v>
                </c:pt>
                <c:pt idx="1">
                  <c:v>36.712000000000003</c:v>
                </c:pt>
                <c:pt idx="2">
                  <c:v>7.3419999999999996</c:v>
                </c:pt>
                <c:pt idx="3">
                  <c:v>3.6709999999999998</c:v>
                </c:pt>
              </c:numCache>
            </c:numRef>
          </c:xVal>
          <c:yVal>
            <c:numRef>
              <c:f>Sheet1!$S$471:$S$474</c:f>
              <c:numCache>
                <c:formatCode>0.00E+00</c:formatCode>
                <c:ptCount val="4"/>
                <c:pt idx="0">
                  <c:v>2.7450980392156862E-4</c:v>
                </c:pt>
                <c:pt idx="1">
                  <c:v>1.4509803921568628E-4</c:v>
                </c:pt>
                <c:pt idx="2">
                  <c:v>6.7312290769966517E-5</c:v>
                </c:pt>
                <c:pt idx="3">
                  <c:v>3.5054997608799612E-5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Sheet1!$L$475</c:f>
              <c:strCache>
                <c:ptCount val="1"/>
                <c:pt idx="0">
                  <c:v>8.7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Sheet1!$P$478:$P$481</c:f>
              <c:numCache>
                <c:formatCode>0.00</c:formatCode>
                <c:ptCount val="4"/>
                <c:pt idx="0">
                  <c:v>35.244</c:v>
                </c:pt>
                <c:pt idx="1">
                  <c:v>24.963999999999999</c:v>
                </c:pt>
                <c:pt idx="2">
                  <c:v>14.685</c:v>
                </c:pt>
                <c:pt idx="3">
                  <c:v>5.14</c:v>
                </c:pt>
              </c:numCache>
            </c:numRef>
          </c:xVal>
          <c:yVal>
            <c:numRef>
              <c:f>Sheet1!$S$478:$S$481</c:f>
              <c:numCache>
                <c:formatCode>0.00E+00</c:formatCode>
                <c:ptCount val="4"/>
                <c:pt idx="0">
                  <c:v>1.2257065427797133E-4</c:v>
                </c:pt>
                <c:pt idx="1">
                  <c:v>8.346883468834689E-5</c:v>
                </c:pt>
                <c:pt idx="2">
                  <c:v>5.3619821912504835E-5</c:v>
                </c:pt>
                <c:pt idx="3">
                  <c:v>3.0797522260936893E-5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Sheet1!$L$482</c:f>
              <c:strCache>
                <c:ptCount val="1"/>
                <c:pt idx="0">
                  <c:v>9.0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Sheet1!$P$485:$P$488</c:f>
              <c:numCache>
                <c:formatCode>0.00</c:formatCode>
                <c:ptCount val="4"/>
                <c:pt idx="0">
                  <c:v>35.244</c:v>
                </c:pt>
                <c:pt idx="1">
                  <c:v>24.963999999999999</c:v>
                </c:pt>
                <c:pt idx="2">
                  <c:v>14.685</c:v>
                </c:pt>
                <c:pt idx="3">
                  <c:v>5.14</c:v>
                </c:pt>
              </c:numCache>
            </c:numRef>
          </c:xVal>
          <c:yVal>
            <c:numRef>
              <c:f>Sheet1!$S$485:$S$488</c:f>
              <c:numCache>
                <c:formatCode>0.00E+00</c:formatCode>
                <c:ptCount val="4"/>
                <c:pt idx="0">
                  <c:v>2.8172667440960124E-4</c:v>
                </c:pt>
                <c:pt idx="1">
                  <c:v>2.0329074719318622E-4</c:v>
                </c:pt>
                <c:pt idx="2">
                  <c:v>1.6004645760743318E-4</c:v>
                </c:pt>
                <c:pt idx="3">
                  <c:v>7.2048006194347659E-5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49056"/>
        <c:axId val="98759040"/>
      </c:scatterChart>
      <c:valAx>
        <c:axId val="9874905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98759040"/>
        <c:crosses val="autoZero"/>
        <c:crossBetween val="midCat"/>
      </c:valAx>
      <c:valAx>
        <c:axId val="98759040"/>
        <c:scaling>
          <c:orientation val="minMax"/>
        </c:scaling>
        <c:delete val="0"/>
        <c:axPos val="l"/>
        <c:numFmt formatCode="0.00E+00" sourceLinked="1"/>
        <c:majorTickMark val="out"/>
        <c:minorTickMark val="none"/>
        <c:tickLblPos val="nextTo"/>
        <c:crossAx val="98749056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Sheet1!$AO$457</c:f>
              <c:strCache>
                <c:ptCount val="1"/>
                <c:pt idx="0">
                  <c:v>log10(a/b[E])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Sheet1!$X$458:$X$470</c:f>
              <c:numCache>
                <c:formatCode>0.0</c:formatCode>
                <c:ptCount val="13"/>
                <c:pt idx="0">
                  <c:v>7.1</c:v>
                </c:pt>
                <c:pt idx="1">
                  <c:v>7.53</c:v>
                </c:pt>
                <c:pt idx="2">
                  <c:v>7.6</c:v>
                </c:pt>
                <c:pt idx="3">
                  <c:v>8.02</c:v>
                </c:pt>
                <c:pt idx="4">
                  <c:v>8.16</c:v>
                </c:pt>
                <c:pt idx="5">
                  <c:v>8.51</c:v>
                </c:pt>
                <c:pt idx="6">
                  <c:v>8.67</c:v>
                </c:pt>
                <c:pt idx="7">
                  <c:v>9.0399999999999991</c:v>
                </c:pt>
                <c:pt idx="8">
                  <c:v>9.15</c:v>
                </c:pt>
                <c:pt idx="9">
                  <c:v>9.23</c:v>
                </c:pt>
                <c:pt idx="10">
                  <c:v>9.32</c:v>
                </c:pt>
                <c:pt idx="11">
                  <c:v>9.43</c:v>
                </c:pt>
                <c:pt idx="12">
                  <c:v>9.73</c:v>
                </c:pt>
              </c:numCache>
            </c:numRef>
          </c:xVal>
          <c:yVal>
            <c:numRef>
              <c:f>Sheet1!$AO$458:$AO$470</c:f>
              <c:numCache>
                <c:formatCode>0.0</c:formatCode>
                <c:ptCount val="13"/>
                <c:pt idx="0">
                  <c:v>-5.8706631116574917</c:v>
                </c:pt>
                <c:pt idx="1">
                  <c:v>-5.0304579693496718</c:v>
                </c:pt>
                <c:pt idx="2">
                  <c:v>-5.3774538071664173</c:v>
                </c:pt>
                <c:pt idx="3">
                  <c:v>-5.1548889267515179</c:v>
                </c:pt>
                <c:pt idx="4">
                  <c:v>-4.9255585049010548</c:v>
                </c:pt>
                <c:pt idx="5">
                  <c:v>-4.8035265265128739</c:v>
                </c:pt>
                <c:pt idx="6">
                  <c:v>-5.1298473535487927</c:v>
                </c:pt>
                <c:pt idx="7">
                  <c:v>-4.6481581218377812</c:v>
                </c:pt>
                <c:pt idx="8">
                  <c:v>-4.4421205906506049</c:v>
                </c:pt>
                <c:pt idx="9">
                  <c:v>-4.9202195407959906</c:v>
                </c:pt>
                <c:pt idx="10">
                  <c:v>-4.6531440400689501</c:v>
                </c:pt>
                <c:pt idx="11">
                  <c:v>-4.2172992895888797</c:v>
                </c:pt>
                <c:pt idx="12">
                  <c:v>-4.688732575755945</c:v>
                </c:pt>
              </c:numCache>
            </c:numRef>
          </c:yVal>
          <c:smooth val="0"/>
        </c:ser>
        <c:ser>
          <c:idx val="2"/>
          <c:order val="1"/>
          <c:spPr>
            <a:ln w="28575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Sheet1!$AW$461:$AW$499</c:f>
              <c:numCache>
                <c:formatCode>General</c:formatCode>
                <c:ptCount val="39"/>
                <c:pt idx="0">
                  <c:v>7</c:v>
                </c:pt>
                <c:pt idx="1">
                  <c:v>7.1</c:v>
                </c:pt>
                <c:pt idx="2">
                  <c:v>7.2</c:v>
                </c:pt>
                <c:pt idx="3">
                  <c:v>7.3</c:v>
                </c:pt>
                <c:pt idx="4">
                  <c:v>7.4</c:v>
                </c:pt>
                <c:pt idx="5">
                  <c:v>7.5</c:v>
                </c:pt>
                <c:pt idx="6">
                  <c:v>7.6</c:v>
                </c:pt>
                <c:pt idx="7">
                  <c:v>7.7</c:v>
                </c:pt>
                <c:pt idx="8">
                  <c:v>7.8</c:v>
                </c:pt>
                <c:pt idx="9">
                  <c:v>7.9</c:v>
                </c:pt>
                <c:pt idx="10">
                  <c:v>8</c:v>
                </c:pt>
                <c:pt idx="11">
                  <c:v>8.1</c:v>
                </c:pt>
                <c:pt idx="12">
                  <c:v>8.1999999999999993</c:v>
                </c:pt>
                <c:pt idx="13">
                  <c:v>8.3000000000000007</c:v>
                </c:pt>
                <c:pt idx="14">
                  <c:v>8.4</c:v>
                </c:pt>
                <c:pt idx="15">
                  <c:v>8.4999999999999893</c:v>
                </c:pt>
                <c:pt idx="16">
                  <c:v>8.5999999999999908</c:v>
                </c:pt>
                <c:pt idx="17">
                  <c:v>8.6999999999999904</c:v>
                </c:pt>
                <c:pt idx="18">
                  <c:v>8.7999999999999901</c:v>
                </c:pt>
                <c:pt idx="19">
                  <c:v>8.8999999999999897</c:v>
                </c:pt>
                <c:pt idx="20">
                  <c:v>8.9999999999999893</c:v>
                </c:pt>
                <c:pt idx="21">
                  <c:v>9.0999999999999908</c:v>
                </c:pt>
                <c:pt idx="22">
                  <c:v>9.1999999999999904</c:v>
                </c:pt>
                <c:pt idx="23">
                  <c:v>9.2999999999999901</c:v>
                </c:pt>
                <c:pt idx="24">
                  <c:v>9.3999999999999897</c:v>
                </c:pt>
                <c:pt idx="25">
                  <c:v>9.4999999999999893</c:v>
                </c:pt>
                <c:pt idx="26">
                  <c:v>9.5999999999999908</c:v>
                </c:pt>
                <c:pt idx="27">
                  <c:v>9.6999999999999904</c:v>
                </c:pt>
              </c:numCache>
            </c:numRef>
          </c:xVal>
          <c:yVal>
            <c:numRef>
              <c:f>Sheet1!$AX$461:$AX$499</c:f>
              <c:numCache>
                <c:formatCode>General</c:formatCode>
                <c:ptCount val="39"/>
                <c:pt idx="0">
                  <c:v>-5.8630693327588688</c:v>
                </c:pt>
                <c:pt idx="1">
                  <c:v>-5.7691191286636903</c:v>
                </c:pt>
                <c:pt idx="2">
                  <c:v>-5.6766174625680614</c:v>
                </c:pt>
                <c:pt idx="3">
                  <c:v>-5.5858768674582855</c:v>
                </c:pt>
                <c:pt idx="4">
                  <c:v>-5.4972598915474586</c:v>
                </c:pt>
                <c:pt idx="5">
                  <c:v>-5.4111786534751793</c:v>
                </c:pt>
                <c:pt idx="6">
                  <c:v>-5.3280899431792577</c:v>
                </c:pt>
                <c:pt idx="7">
                  <c:v>-5.2484843654477569</c:v>
                </c:pt>
                <c:pt idx="8">
                  <c:v>-5.1728683713205035</c:v>
                </c:pt>
                <c:pt idx="9">
                  <c:v>-5.1017389082751636</c:v>
                </c:pt>
                <c:pt idx="10">
                  <c:v>-5.0355518833539978</c:v>
                </c:pt>
                <c:pt idx="11">
                  <c:v>-4.9746874706849029</c:v>
                </c:pt>
                <c:pt idx="12">
                  <c:v>-4.9194169967712806</c:v>
                </c:pt>
                <c:pt idx="13">
                  <c:v>-4.8698769928294228</c:v>
                </c:pt>
                <c:pt idx="14">
                  <c:v>-4.8260554119938854</c:v>
                </c:pt>
                <c:pt idx="15">
                  <c:v>-4.7877928649559554</c:v>
                </c:pt>
                <c:pt idx="16">
                  <c:v>-4.7547986128517348</c:v>
                </c:pt>
                <c:pt idx="17">
                  <c:v>-4.726678032546471</c:v>
                </c:pt>
                <c:pt idx="18">
                  <c:v>-4.7029663521565999</c:v>
                </c:pt>
                <c:pt idx="19">
                  <c:v>-4.6831631187635683</c:v>
                </c:pt>
                <c:pt idx="20">
                  <c:v>-4.6667628995955539</c:v>
                </c:pt>
                <c:pt idx="21">
                  <c:v>-4.6532794868096135</c:v>
                </c:pt>
                <c:pt idx="22">
                  <c:v>-4.6422626798892628</c:v>
                </c:pt>
                <c:pt idx="23">
                  <c:v>-4.6333080965120574</c:v>
                </c:pt>
                <c:pt idx="24">
                  <c:v>-4.6260612552008853</c:v>
                </c:pt>
                <c:pt idx="25">
                  <c:v>-4.6202174485619709</c:v>
                </c:pt>
                <c:pt idx="26">
                  <c:v>-4.6155188515559562</c:v>
                </c:pt>
                <c:pt idx="27">
                  <c:v>-4.6117500553889057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92576"/>
        <c:axId val="98794112"/>
      </c:scatterChart>
      <c:valAx>
        <c:axId val="98792576"/>
        <c:scaling>
          <c:orientation val="minMax"/>
          <c:min val="7"/>
        </c:scaling>
        <c:delete val="0"/>
        <c:axPos val="b"/>
        <c:numFmt formatCode="0.0" sourceLinked="1"/>
        <c:majorTickMark val="in"/>
        <c:minorTickMark val="none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98794112"/>
        <c:crosses val="autoZero"/>
        <c:crossBetween val="midCat"/>
      </c:valAx>
      <c:valAx>
        <c:axId val="98794112"/>
        <c:scaling>
          <c:orientation val="minMax"/>
          <c:max val="-4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9879257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1217896371773481"/>
          <c:y val="0.72686502358861771"/>
          <c:w val="0.26772347254049356"/>
          <c:h val="0.10593121027638754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8575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Sheet1!$AR$461:$AR$488</c:f>
              <c:numCache>
                <c:formatCode>General</c:formatCode>
                <c:ptCount val="28"/>
                <c:pt idx="0">
                  <c:v>7</c:v>
                </c:pt>
                <c:pt idx="1">
                  <c:v>7.1</c:v>
                </c:pt>
                <c:pt idx="2">
                  <c:v>7.2</c:v>
                </c:pt>
                <c:pt idx="3">
                  <c:v>7.3</c:v>
                </c:pt>
                <c:pt idx="4">
                  <c:v>7.4</c:v>
                </c:pt>
                <c:pt idx="5">
                  <c:v>7.5</c:v>
                </c:pt>
                <c:pt idx="6">
                  <c:v>7.6</c:v>
                </c:pt>
                <c:pt idx="7">
                  <c:v>7.7</c:v>
                </c:pt>
                <c:pt idx="8">
                  <c:v>7.8</c:v>
                </c:pt>
                <c:pt idx="9">
                  <c:v>7.9</c:v>
                </c:pt>
                <c:pt idx="10">
                  <c:v>7.9999999999999902</c:v>
                </c:pt>
                <c:pt idx="11">
                  <c:v>8.0999999999999908</c:v>
                </c:pt>
                <c:pt idx="12">
                  <c:v>8.1999999999999904</c:v>
                </c:pt>
                <c:pt idx="13">
                  <c:v>8.2999999999999901</c:v>
                </c:pt>
                <c:pt idx="14">
                  <c:v>8.3999999999999897</c:v>
                </c:pt>
                <c:pt idx="15">
                  <c:v>8.4999999999999893</c:v>
                </c:pt>
                <c:pt idx="16">
                  <c:v>8.5999999999999908</c:v>
                </c:pt>
                <c:pt idx="17">
                  <c:v>8.6999999999999904</c:v>
                </c:pt>
                <c:pt idx="18">
                  <c:v>8.7999999999999901</c:v>
                </c:pt>
                <c:pt idx="19">
                  <c:v>8.8999999999999897</c:v>
                </c:pt>
                <c:pt idx="20">
                  <c:v>8.9999999999999893</c:v>
                </c:pt>
                <c:pt idx="21">
                  <c:v>9.0999999999999908</c:v>
                </c:pt>
                <c:pt idx="22">
                  <c:v>9.1999999999999904</c:v>
                </c:pt>
                <c:pt idx="23">
                  <c:v>9.2999999999999901</c:v>
                </c:pt>
                <c:pt idx="24">
                  <c:v>9.3999999999999897</c:v>
                </c:pt>
                <c:pt idx="25">
                  <c:v>9.4999999999999893</c:v>
                </c:pt>
                <c:pt idx="26">
                  <c:v>9.5999999999999908</c:v>
                </c:pt>
                <c:pt idx="27">
                  <c:v>9.6999999999999904</c:v>
                </c:pt>
              </c:numCache>
            </c:numRef>
          </c:xVal>
          <c:yVal>
            <c:numRef>
              <c:f>Sheet1!$AS$461:$AS$488</c:f>
              <c:numCache>
                <c:formatCode>General</c:formatCode>
                <c:ptCount val="28"/>
                <c:pt idx="0">
                  <c:v>-4.4416020483751257</c:v>
                </c:pt>
                <c:pt idx="1">
                  <c:v>-4.3531956975596469</c:v>
                </c:pt>
                <c:pt idx="2">
                  <c:v>-4.2673644813599463</c:v>
                </c:pt>
                <c:pt idx="3">
                  <c:v>-4.1845687770114859</c:v>
                </c:pt>
                <c:pt idx="4">
                  <c:v>-4.1053014627396305</c:v>
                </c:pt>
                <c:pt idx="5">
                  <c:v>-4.0300692780226868</c:v>
                </c:pt>
                <c:pt idx="6">
                  <c:v>-3.9593668422907062</c:v>
                </c:pt>
                <c:pt idx="7">
                  <c:v>-3.8936446816672841</c:v>
                </c:pt>
                <c:pt idx="8">
                  <c:v>-3.8332744637151519</c:v>
                </c:pt>
                <c:pt idx="9">
                  <c:v>-3.7785162961441494</c:v>
                </c:pt>
                <c:pt idx="10">
                  <c:v>-3.7294936909312861</c:v>
                </c:pt>
                <c:pt idx="11">
                  <c:v>-3.686181058514685</c:v>
                </c:pt>
                <c:pt idx="12">
                  <c:v>-3.6484063313795039</c:v>
                </c:pt>
                <c:pt idx="13">
                  <c:v>-3.615868162780326</c:v>
                </c:pt>
                <c:pt idx="14">
                  <c:v>-3.5881641859209461</c:v>
                </c:pt>
                <c:pt idx="15">
                  <c:v>-3.5648250349332313</c:v>
                </c:pt>
                <c:pt idx="16">
                  <c:v>-3.5453486344580085</c:v>
                </c:pt>
                <c:pt idx="17">
                  <c:v>-3.5292303995308418</c:v>
                </c:pt>
                <c:pt idx="18">
                  <c:v>-3.5159867858621996</c:v>
                </c:pt>
                <c:pt idx="19">
                  <c:v>-3.5051714103488023</c:v>
                </c:pt>
                <c:pt idx="20">
                  <c:v>-3.4963842881455447</c:v>
                </c:pt>
                <c:pt idx="21">
                  <c:v>-3.4892754734416482</c:v>
                </c:pt>
                <c:pt idx="22">
                  <c:v>-3.4835446276569519</c:v>
                </c:pt>
                <c:pt idx="23">
                  <c:v>-3.4789379417450457</c:v>
                </c:pt>
                <c:pt idx="24">
                  <c:v>-3.4752435762874372</c:v>
                </c:pt>
                <c:pt idx="25">
                  <c:v>-3.4722864759672176</c:v>
                </c:pt>
                <c:pt idx="26">
                  <c:v>-3.4699231339155516</c:v>
                </c:pt>
                <c:pt idx="27">
                  <c:v>-3.4680366561672473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Sheet1!$AN$457</c:f>
              <c:strCache>
                <c:ptCount val="1"/>
                <c:pt idx="0">
                  <c:v>log10(a/[E])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Sheet1!$X$458:$X$470</c:f>
              <c:numCache>
                <c:formatCode>0.0</c:formatCode>
                <c:ptCount val="13"/>
                <c:pt idx="0">
                  <c:v>7.1</c:v>
                </c:pt>
                <c:pt idx="1">
                  <c:v>7.53</c:v>
                </c:pt>
                <c:pt idx="2">
                  <c:v>7.6</c:v>
                </c:pt>
                <c:pt idx="3">
                  <c:v>8.02</c:v>
                </c:pt>
                <c:pt idx="4">
                  <c:v>8.16</c:v>
                </c:pt>
                <c:pt idx="5">
                  <c:v>8.51</c:v>
                </c:pt>
                <c:pt idx="6">
                  <c:v>8.67</c:v>
                </c:pt>
                <c:pt idx="7">
                  <c:v>9.0399999999999991</c:v>
                </c:pt>
                <c:pt idx="8">
                  <c:v>9.15</c:v>
                </c:pt>
                <c:pt idx="9">
                  <c:v>9.23</c:v>
                </c:pt>
                <c:pt idx="10">
                  <c:v>9.32</c:v>
                </c:pt>
                <c:pt idx="11">
                  <c:v>9.43</c:v>
                </c:pt>
                <c:pt idx="12">
                  <c:v>9.73</c:v>
                </c:pt>
              </c:numCache>
            </c:numRef>
          </c:xVal>
          <c:yVal>
            <c:numRef>
              <c:f>Sheet1!$AN$458:$AN$470</c:f>
              <c:numCache>
                <c:formatCode>0.0</c:formatCode>
                <c:ptCount val="13"/>
                <c:pt idx="0">
                  <c:v>-4.5696331159935104</c:v>
                </c:pt>
                <c:pt idx="1">
                  <c:v>-4.0146792129606306</c:v>
                </c:pt>
                <c:pt idx="2">
                  <c:v>-3.9774341721012587</c:v>
                </c:pt>
                <c:pt idx="3">
                  <c:v>-3.3081189732142988</c:v>
                </c:pt>
                <c:pt idx="4">
                  <c:v>-3.4784004735588354</c:v>
                </c:pt>
                <c:pt idx="5">
                  <c:v>-3.5863058708683551</c:v>
                </c:pt>
                <c:pt idx="6">
                  <c:v>-3.6626833875797029</c:v>
                </c:pt>
                <c:pt idx="7">
                  <c:v>-3.338953942167374</c:v>
                </c:pt>
                <c:pt idx="8">
                  <c:v>-3.7608793532750182</c:v>
                </c:pt>
                <c:pt idx="9">
                  <c:v>-3.3317237397887802</c:v>
                </c:pt>
                <c:pt idx="10">
                  <c:v>-3.5199245833364556</c:v>
                </c:pt>
                <c:pt idx="11">
                  <c:v>-3.6029294500405915</c:v>
                </c:pt>
                <c:pt idx="12">
                  <c:v>-3.4688861897315841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14976"/>
        <c:axId val="98825344"/>
      </c:scatterChart>
      <c:valAx>
        <c:axId val="98814976"/>
        <c:scaling>
          <c:orientation val="minMax"/>
          <c:min val="7"/>
        </c:scaling>
        <c:delete val="0"/>
        <c:axPos val="b"/>
        <c:numFmt formatCode="General" sourceLinked="1"/>
        <c:majorTickMark val="out"/>
        <c:minorTickMark val="none"/>
        <c:tickLblPos val="nextTo"/>
        <c:crossAx val="98825344"/>
        <c:crosses val="autoZero"/>
        <c:crossBetween val="midCat"/>
      </c:valAx>
      <c:valAx>
        <c:axId val="98825344"/>
        <c:scaling>
          <c:orientation val="minMax"/>
          <c:max val="-3"/>
        </c:scaling>
        <c:delete val="0"/>
        <c:axPos val="l"/>
        <c:numFmt formatCode="General" sourceLinked="1"/>
        <c:majorTickMark val="out"/>
        <c:minorTickMark val="none"/>
        <c:tickLblPos val="nextTo"/>
        <c:crossAx val="9881497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1217896371773481"/>
          <c:y val="0.72686502358861771"/>
          <c:w val="0.19598540650138216"/>
          <c:h val="0.16715798024264339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4.9146511131553994E-2"/>
          <c:y val="0.24574302799383024"/>
          <c:w val="0.87288829186275119"/>
          <c:h val="0.634960040551668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[1]Sheet12!$A$160</c:f>
              <c:strCache>
                <c:ptCount val="1"/>
                <c:pt idx="0">
                  <c:v>TS(CA)-RC(CA)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 cmpd="sng">
              <a:solidFill>
                <a:sysClr val="windowText" lastClr="000000"/>
              </a:solidFill>
              <a:prstDash val="solid"/>
            </a:ln>
          </c:spPr>
          <c:invertIfNegative val="0"/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[1]Sheet12!$B$160:$G$160</c:f>
              <c:numCache>
                <c:formatCode>General</c:formatCode>
                <c:ptCount val="6"/>
                <c:pt idx="0">
                  <c:v>30.770557565730996</c:v>
                </c:pt>
                <c:pt idx="1">
                  <c:v>9.5524836938129738</c:v>
                </c:pt>
                <c:pt idx="2">
                  <c:v>-0.62723167205695063</c:v>
                </c:pt>
                <c:pt idx="3">
                  <c:v>-6.9490127920871601</c:v>
                </c:pt>
                <c:pt idx="4">
                  <c:v>1.1399653401458636</c:v>
                </c:pt>
                <c:pt idx="5">
                  <c:v>0.93157949740998447</c:v>
                </c:pt>
              </c:numCache>
            </c:numRef>
          </c:val>
        </c:ser>
        <c:ser>
          <c:idx val="1"/>
          <c:order val="1"/>
          <c:tx>
            <c:strRef>
              <c:f>[1]Sheet12!$A$161</c:f>
              <c:strCache>
                <c:ptCount val="1"/>
                <c:pt idx="0">
                  <c:v>TS(CB)-RC(CB) 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 w="0">
              <a:solidFill>
                <a:sysClr val="windowText" lastClr="000000"/>
              </a:solidFill>
              <a:prstDash val="solid"/>
            </a:ln>
          </c:spPr>
          <c:invertIfNegative val="0"/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[1]Sheet12!$B$161:$G$161</c:f>
              <c:numCache>
                <c:formatCode>General</c:formatCode>
                <c:ptCount val="6"/>
                <c:pt idx="0">
                  <c:v>22.383952885400504</c:v>
                </c:pt>
                <c:pt idx="1">
                  <c:v>-1.4353864692384377</c:v>
                </c:pt>
                <c:pt idx="2">
                  <c:v>-2.4579132463550195</c:v>
                </c:pt>
                <c:pt idx="3">
                  <c:v>-5.1588689198251814</c:v>
                </c:pt>
                <c:pt idx="4">
                  <c:v>-0.55327136989217252</c:v>
                </c:pt>
                <c:pt idx="5">
                  <c:v>-0.58412098104599863</c:v>
                </c:pt>
              </c:numCache>
            </c:numRef>
          </c:val>
        </c:ser>
        <c:ser>
          <c:idx val="2"/>
          <c:order val="2"/>
          <c:tx>
            <c:strRef>
              <c:f>[1]Sheet12!$A$162</c:f>
              <c:strCache>
                <c:ptCount val="1"/>
                <c:pt idx="0">
                  <c:v>TS(CC)-RC(CC)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ysClr val="windowText" lastClr="000000"/>
              </a:solidFill>
              <a:prstDash val="solid"/>
            </a:ln>
          </c:spPr>
          <c:invertIfNegative val="0"/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[1]Sheet12!$B$162:$G$162</c:f>
              <c:numCache>
                <c:formatCode>General</c:formatCode>
                <c:ptCount val="6"/>
                <c:pt idx="0">
                  <c:v>16.68795941316057</c:v>
                </c:pt>
                <c:pt idx="1">
                  <c:v>1.5111058556940407</c:v>
                </c:pt>
                <c:pt idx="2">
                  <c:v>-1.6798729210859165</c:v>
                </c:pt>
                <c:pt idx="3">
                  <c:v>-7.3303927533561364</c:v>
                </c:pt>
                <c:pt idx="4">
                  <c:v>-1.1461877723922953</c:v>
                </c:pt>
                <c:pt idx="5">
                  <c:v>-0.12618147442117333</c:v>
                </c:pt>
              </c:numCache>
            </c:numRef>
          </c:val>
        </c:ser>
        <c:ser>
          <c:idx val="3"/>
          <c:order val="3"/>
          <c:tx>
            <c:strRef>
              <c:f>[1]Sheet12!$A$163</c:f>
              <c:strCache>
                <c:ptCount val="1"/>
                <c:pt idx="0">
                  <c:v>TS(CD)-RC(CD)  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 w="12700" cmpd="sng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[1]Sheet12!$B$163:$G$163</c:f>
              <c:numCache>
                <c:formatCode>General</c:formatCode>
                <c:ptCount val="6"/>
                <c:pt idx="0">
                  <c:v>-0.69688615621998906</c:v>
                </c:pt>
                <c:pt idx="1">
                  <c:v>0.33244066289626062</c:v>
                </c:pt>
                <c:pt idx="2">
                  <c:v>1.0985349685652182</c:v>
                </c:pt>
                <c:pt idx="3">
                  <c:v>-2.7839476919034496</c:v>
                </c:pt>
                <c:pt idx="4">
                  <c:v>-0.52922180050518364</c:v>
                </c:pt>
                <c:pt idx="5">
                  <c:v>-0.27271056431345642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58528"/>
        <c:axId val="84760064"/>
      </c:barChart>
      <c:catAx>
        <c:axId val="8475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</c:spPr>
        <c:crossAx val="84760064"/>
        <c:crosses val="autoZero"/>
        <c:auto val="1"/>
        <c:lblAlgn val="ctr"/>
        <c:lblOffset val="100"/>
        <c:tickLblSkip val="10"/>
        <c:noMultiLvlLbl val="0"/>
      </c:catAx>
      <c:valAx>
        <c:axId val="84760064"/>
        <c:scaling>
          <c:orientation val="minMax"/>
          <c:min val="-15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da-DK" sz="1200"/>
                  <a:t>kJ/mol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da-DK"/>
          </a:p>
        </c:txPr>
        <c:crossAx val="8475852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64540423280423365"/>
          <c:y val="0.25173744037321305"/>
          <c:w val="0.30717910052910052"/>
          <c:h val="0.30379319566186302"/>
        </c:manualLayout>
      </c:layout>
      <c:overlay val="1"/>
    </c:legend>
    <c:plotVisOnly val="1"/>
    <c:dispBlanksAs val="gap"/>
    <c:showDLblsOverMax val="0"/>
  </c:chart>
  <c:spPr>
    <a:ln w="0">
      <a:solidFill>
        <a:schemeClr val="bg1"/>
      </a:solidFill>
    </a:ln>
  </c:spPr>
  <c:printSettings>
    <c:headerFooter/>
    <c:pageMargins b="0.75000000000000444" l="0.70000000000000062" r="0.70000000000000062" t="0.75000000000000444" header="0.30000000000000032" footer="0.30000000000000032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BX//B1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[1]Sheet12!$C$172</c:f>
              <c:strCache>
                <c:ptCount val="1"/>
                <c:pt idx="0">
                  <c:v>CA (RC-&gt;TS)</c:v>
                </c:pt>
              </c:strCache>
            </c:strRef>
          </c:tx>
          <c:invertIfNegative val="0"/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[1]Sheet12!$D$172:$H$172</c:f>
              <c:numCache>
                <c:formatCode>General</c:formatCode>
                <c:ptCount val="5"/>
                <c:pt idx="0">
                  <c:v>30.770557565730996</c:v>
                </c:pt>
                <c:pt idx="1">
                  <c:v>8.0966918477788568</c:v>
                </c:pt>
                <c:pt idx="2">
                  <c:v>-3.3697174863191321</c:v>
                </c:pt>
                <c:pt idx="3">
                  <c:v>-10.38749996945262</c:v>
                </c:pt>
                <c:pt idx="4">
                  <c:v>-1.058338581235148</c:v>
                </c:pt>
              </c:numCache>
            </c:numRef>
          </c:val>
        </c:ser>
        <c:ser>
          <c:idx val="1"/>
          <c:order val="1"/>
          <c:tx>
            <c:strRef>
              <c:f>[1]Sheet12!$C$173</c:f>
              <c:strCache>
                <c:ptCount val="1"/>
                <c:pt idx="0">
                  <c:v>CB (RC-&gt;TS)</c:v>
                </c:pt>
              </c:strCache>
            </c:strRef>
          </c:tx>
          <c:invertIfNegative val="0"/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[1]Sheet12!$D$173:$H$173</c:f>
              <c:numCache>
                <c:formatCode>General</c:formatCode>
                <c:ptCount val="5"/>
                <c:pt idx="0">
                  <c:v>22.383952885400504</c:v>
                </c:pt>
                <c:pt idx="1">
                  <c:v>-2.7277620165841654</c:v>
                </c:pt>
                <c:pt idx="2">
                  <c:v>-4.6254305683542043</c:v>
                </c:pt>
                <c:pt idx="3">
                  <c:v>-8.8907293375814334</c:v>
                </c:pt>
                <c:pt idx="4">
                  <c:v>-1.6692081446526572</c:v>
                </c:pt>
              </c:numCache>
            </c:numRef>
          </c:val>
        </c:ser>
        <c:ser>
          <c:idx val="2"/>
          <c:order val="2"/>
          <c:tx>
            <c:strRef>
              <c:f>[1]Sheet12!$C$174</c:f>
              <c:strCache>
                <c:ptCount val="1"/>
                <c:pt idx="0">
                  <c:v>CC (RC-&gt;TS)</c:v>
                </c:pt>
              </c:strCache>
            </c:strRef>
          </c:tx>
          <c:invertIfNegative val="0"/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[1]Sheet12!$D$174:$H$174</c:f>
              <c:numCache>
                <c:formatCode>General</c:formatCode>
                <c:ptCount val="5"/>
                <c:pt idx="0">
                  <c:v>16.68795941316057</c:v>
                </c:pt>
                <c:pt idx="1">
                  <c:v>0.82311488932464272</c:v>
                </c:pt>
                <c:pt idx="2">
                  <c:v>-2.7351659236010164</c:v>
                </c:pt>
                <c:pt idx="3">
                  <c:v>-9.6758663865039125</c:v>
                </c:pt>
                <c:pt idx="4">
                  <c:v>-1.1311226604739204</c:v>
                </c:pt>
              </c:numCache>
            </c:numRef>
          </c:val>
        </c:ser>
        <c:ser>
          <c:idx val="3"/>
          <c:order val="3"/>
          <c:tx>
            <c:strRef>
              <c:f>[1]Sheet12!$C$175</c:f>
              <c:strCache>
                <c:ptCount val="1"/>
                <c:pt idx="0">
                  <c:v>CD (RC2-&gt;TS)</c:v>
                </c:pt>
              </c:strCache>
            </c:strRef>
          </c:tx>
          <c:invertIfNegative val="0"/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[1]Sheet12!$D$175:$H$175</c:f>
              <c:numCache>
                <c:formatCode>General</c:formatCode>
                <c:ptCount val="5"/>
                <c:pt idx="0">
                  <c:v>-0.69688615621998906</c:v>
                </c:pt>
                <c:pt idx="1">
                  <c:v>-2.6396765373647213E-2</c:v>
                </c:pt>
                <c:pt idx="2">
                  <c:v>0.14167191716842353</c:v>
                </c:pt>
                <c:pt idx="3">
                  <c:v>-4.1805686706211418</c:v>
                </c:pt>
                <c:pt idx="4">
                  <c:v>-1.5571098462678492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874752"/>
        <c:axId val="84876288"/>
      </c:barChart>
      <c:catAx>
        <c:axId val="84874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4876288"/>
        <c:crosses val="autoZero"/>
        <c:auto val="1"/>
        <c:lblAlgn val="ctr"/>
        <c:lblOffset val="100"/>
        <c:noMultiLvlLbl val="0"/>
      </c:catAx>
      <c:valAx>
        <c:axId val="84876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487475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52205974159979462"/>
          <c:y val="0.20572869774538721"/>
          <c:w val="0.34847783200124338"/>
          <c:h val="0.38989726812323788"/>
        </c:manualLayout>
      </c:layout>
      <c:overlay val="1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BX//B3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[1]Sheet12!$C$198</c:f>
              <c:strCache>
                <c:ptCount val="1"/>
                <c:pt idx="0">
                  <c:v>CA (RC-&gt;TS)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[1]Sheet12!$D$198:$F$198</c:f>
              <c:numCache>
                <c:formatCode>General</c:formatCode>
                <c:ptCount val="3"/>
                <c:pt idx="0">
                  <c:v>-1.7671970122028142</c:v>
                </c:pt>
                <c:pt idx="1">
                  <c:v>-8.1805135235190392</c:v>
                </c:pt>
                <c:pt idx="2">
                  <c:v>-0.24256458657328039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[1]Sheet12!$C$199</c:f>
              <c:strCache>
                <c:ptCount val="1"/>
                <c:pt idx="0">
                  <c:v>CB (RC-&gt;TS)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[1]Sheet12!$D$199:$F$199</c:f>
              <c:numCache>
                <c:formatCode>General</c:formatCode>
                <c:ptCount val="3"/>
                <c:pt idx="0">
                  <c:v>-1.904641876462847</c:v>
                </c:pt>
                <c:pt idx="1">
                  <c:v>-4.850223153247498</c:v>
                </c:pt>
                <c:pt idx="2">
                  <c:v>5.382010038010776E-2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[1]Sheet12!$C$201</c:f>
              <c:strCache>
                <c:ptCount val="1"/>
                <c:pt idx="0">
                  <c:v>CD (RC2-&gt;TS)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[1]Sheet12!$D$201:$F$201</c:f>
              <c:numCache>
                <c:formatCode>General</c:formatCode>
                <c:ptCount val="3"/>
                <c:pt idx="0">
                  <c:v>1.6277567690704018</c:v>
                </c:pt>
                <c:pt idx="1">
                  <c:v>-2.3542296717641875</c:v>
                </c:pt>
                <c:pt idx="2">
                  <c:v>1.6456626821309328E-2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[1]Sheet12!$C$200</c:f>
              <c:strCache>
                <c:ptCount val="1"/>
                <c:pt idx="0">
                  <c:v>CC (RC-&gt;TS)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[1]Sheet12!$D$200:$F$200</c:f>
              <c:numCache>
                <c:formatCode>General</c:formatCode>
                <c:ptCount val="3"/>
                <c:pt idx="0">
                  <c:v>-0.53368514869362116</c:v>
                </c:pt>
                <c:pt idx="1">
                  <c:v>-6.3461903827264905</c:v>
                </c:pt>
                <c:pt idx="2">
                  <c:v>-0.22771213948726654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19808"/>
        <c:axId val="84921344"/>
      </c:scatterChart>
      <c:valAx>
        <c:axId val="84919808"/>
        <c:scaling>
          <c:orientation val="minMax"/>
          <c:max val="4"/>
        </c:scaling>
        <c:delete val="1"/>
        <c:axPos val="b"/>
        <c:numFmt formatCode="@" sourceLinked="0"/>
        <c:majorTickMark val="out"/>
        <c:minorTickMark val="none"/>
        <c:tickLblPos val="none"/>
        <c:crossAx val="84921344"/>
        <c:crosses val="autoZero"/>
        <c:crossBetween val="midCat"/>
      </c:valAx>
      <c:valAx>
        <c:axId val="8492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919808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BX//B2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42469348149308"/>
          <c:y val="0.19101014576063921"/>
          <c:w val="0.52037808073337066"/>
          <c:h val="0.75271328614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[1]Sheet12!$C$185</c:f>
              <c:strCache>
                <c:ptCount val="1"/>
                <c:pt idx="0">
                  <c:v>CA (RC-&gt;TS)</c:v>
                </c:pt>
              </c:strCache>
            </c:strRef>
          </c:tx>
          <c:invertIfNegative val="0"/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[1]Sheet12!$D$185:$G$185</c:f>
              <c:numCache>
                <c:formatCode>General</c:formatCode>
                <c:ptCount val="4"/>
                <c:pt idx="0">
                  <c:v>8.6209041964029893</c:v>
                </c:pt>
                <c:pt idx="1">
                  <c:v>-1.9156873497413471</c:v>
                </c:pt>
                <c:pt idx="2">
                  <c:v>-8.477804007823579</c:v>
                </c:pt>
                <c:pt idx="3">
                  <c:v>-0.55596250621601939</c:v>
                </c:pt>
              </c:numCache>
            </c:numRef>
          </c:val>
        </c:ser>
        <c:ser>
          <c:idx val="1"/>
          <c:order val="1"/>
          <c:tx>
            <c:strRef>
              <c:f>[1]Sheet12!$C$186</c:f>
              <c:strCache>
                <c:ptCount val="1"/>
                <c:pt idx="0">
                  <c:v>CB (RC-&gt;TS)</c:v>
                </c:pt>
              </c:strCache>
            </c:strRef>
          </c:tx>
          <c:invertIfNegative val="0"/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[1]Sheet12!$D$186:$G$186</c:f>
              <c:numCache>
                <c:formatCode>General</c:formatCode>
                <c:ptCount val="4"/>
                <c:pt idx="0">
                  <c:v>-0.85126548819243908</c:v>
                </c:pt>
                <c:pt idx="1">
                  <c:v>-1.9149128278950229</c:v>
                </c:pt>
                <c:pt idx="2">
                  <c:v>-6.3178481229115278</c:v>
                </c:pt>
                <c:pt idx="3">
                  <c:v>4.2963662766851485E-2</c:v>
                </c:pt>
              </c:numCache>
            </c:numRef>
          </c:val>
        </c:ser>
        <c:ser>
          <c:idx val="2"/>
          <c:order val="2"/>
          <c:tx>
            <c:strRef>
              <c:f>[1]Sheet12!$C$187</c:f>
              <c:strCache>
                <c:ptCount val="1"/>
                <c:pt idx="0">
                  <c:v>CC (RC-&gt;TS)</c:v>
                </c:pt>
              </c:strCache>
            </c:strRef>
          </c:tx>
          <c:invertIfNegative val="0"/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[1]Sheet12!$D$187:$G$187</c:f>
              <c:numCache>
                <c:formatCode>General</c:formatCode>
                <c:ptCount val="4"/>
                <c:pt idx="0">
                  <c:v>1.637287330115214</c:v>
                </c:pt>
                <c:pt idx="1">
                  <c:v>-1.830219486146234</c:v>
                </c:pt>
                <c:pt idx="2">
                  <c:v>-7.7560359990457073</c:v>
                </c:pt>
                <c:pt idx="3">
                  <c:v>-0.28644979954697192</c:v>
                </c:pt>
              </c:numCache>
            </c:numRef>
          </c:val>
        </c:ser>
        <c:ser>
          <c:idx val="3"/>
          <c:order val="3"/>
          <c:tx>
            <c:strRef>
              <c:f>[1]Sheet12!$C$188</c:f>
              <c:strCache>
                <c:ptCount val="1"/>
                <c:pt idx="0">
                  <c:v>CD (RC2-&gt;TS)</c:v>
                </c:pt>
              </c:strCache>
            </c:strRef>
          </c:tx>
          <c:invertIfNegative val="0"/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[1]Sheet12!$D$188:$G$188</c:f>
              <c:numCache>
                <c:formatCode>General</c:formatCode>
                <c:ptCount val="4"/>
                <c:pt idx="0">
                  <c:v>0.60515122720971704</c:v>
                </c:pt>
                <c:pt idx="1">
                  <c:v>0.95803927490487695</c:v>
                </c:pt>
                <c:pt idx="2">
                  <c:v>-3.048243532073684</c:v>
                </c:pt>
                <c:pt idx="3">
                  <c:v>-0.3447752563515678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964864"/>
        <c:axId val="84966400"/>
      </c:barChart>
      <c:catAx>
        <c:axId val="8496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4966400"/>
        <c:crosses val="autoZero"/>
        <c:auto val="1"/>
        <c:lblAlgn val="ctr"/>
        <c:lblOffset val="100"/>
        <c:noMultiLvlLbl val="0"/>
      </c:catAx>
      <c:valAx>
        <c:axId val="8496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964864"/>
        <c:crosses val="autoZero"/>
        <c:crossBetween val="between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BX//B4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[1]Sheet12!$A$161</c:f>
              <c:strCache>
                <c:ptCount val="1"/>
                <c:pt idx="0">
                  <c:v>TS(CB)-RC(CB) </c:v>
                </c:pt>
              </c:strCache>
            </c:strRef>
          </c:tx>
          <c:xVal>
            <c:numRef>
              <c:f>[1]Sheet12!$B$158:$F$158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[1]Sheet12!$B$161:$F$161</c:f>
              <c:numCache>
                <c:formatCode>General</c:formatCode>
                <c:ptCount val="5"/>
                <c:pt idx="0">
                  <c:v>22.383952885400504</c:v>
                </c:pt>
                <c:pt idx="1">
                  <c:v>-1.4353864692384377</c:v>
                </c:pt>
                <c:pt idx="2">
                  <c:v>-2.4579132463550195</c:v>
                </c:pt>
                <c:pt idx="3">
                  <c:v>-5.1588689198251814</c:v>
                </c:pt>
                <c:pt idx="4">
                  <c:v>-0.55327136989217252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[1]Sheet12!$A$162</c:f>
              <c:strCache>
                <c:ptCount val="1"/>
                <c:pt idx="0">
                  <c:v>TS(CC)-RC(CC) </c:v>
                </c:pt>
              </c:strCache>
            </c:strRef>
          </c:tx>
          <c:xVal>
            <c:numRef>
              <c:f>[1]Sheet12!$B$158:$F$158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[1]Sheet12!$B$162:$F$162</c:f>
              <c:numCache>
                <c:formatCode>General</c:formatCode>
                <c:ptCount val="5"/>
                <c:pt idx="0">
                  <c:v>16.68795941316057</c:v>
                </c:pt>
                <c:pt idx="1">
                  <c:v>1.5111058556940407</c:v>
                </c:pt>
                <c:pt idx="2">
                  <c:v>-1.6798729210859165</c:v>
                </c:pt>
                <c:pt idx="3">
                  <c:v>-7.3303927533561364</c:v>
                </c:pt>
                <c:pt idx="4">
                  <c:v>-1.1461877723922953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[1]Sheet12!$A$163</c:f>
              <c:strCache>
                <c:ptCount val="1"/>
                <c:pt idx="0">
                  <c:v>TS(CD)-RC(CD)  </c:v>
                </c:pt>
              </c:strCache>
            </c:strRef>
          </c:tx>
          <c:xVal>
            <c:numRef>
              <c:f>[1]Sheet12!$C$158:$F$158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[1]Sheet12!$C$163:$F$163</c:f>
              <c:numCache>
                <c:formatCode>General</c:formatCode>
                <c:ptCount val="4"/>
                <c:pt idx="0">
                  <c:v>0.33244066289626062</c:v>
                </c:pt>
                <c:pt idx="1">
                  <c:v>1.0985349685652182</c:v>
                </c:pt>
                <c:pt idx="2">
                  <c:v>-2.7839476919034496</c:v>
                </c:pt>
                <c:pt idx="3">
                  <c:v>-0.52922180050518364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84576"/>
        <c:axId val="84986112"/>
      </c:scatterChart>
      <c:valAx>
        <c:axId val="84984576"/>
        <c:scaling>
          <c:orientation val="minMax"/>
          <c:max val="6"/>
        </c:scaling>
        <c:delete val="1"/>
        <c:axPos val="b"/>
        <c:numFmt formatCode="@" sourceLinked="0"/>
        <c:majorTickMark val="out"/>
        <c:minorTickMark val="none"/>
        <c:tickLblPos val="none"/>
        <c:crossAx val="84986112"/>
        <c:crosses val="autoZero"/>
        <c:crossBetween val="midCat"/>
      </c:valAx>
      <c:valAx>
        <c:axId val="84986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984576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0.12441251093613323"/>
                  <c:y val="-0.19672278634915616"/>
                </c:manualLayout>
              </c:layout>
              <c:numFmt formatCode="General" sourceLinked="0"/>
            </c:trendlineLbl>
          </c:trendline>
          <c:xVal>
            <c:numRef>
              <c:f>Sheet4!$S$133:$S$139</c:f>
              <c:numCache>
                <c:formatCode>0.0E+00</c:formatCode>
                <c:ptCount val="7"/>
                <c:pt idx="0">
                  <c:v>3.3333333333333335E-3</c:v>
                </c:pt>
                <c:pt idx="1">
                  <c:v>2.8571428571428571E-3</c:v>
                </c:pt>
                <c:pt idx="2">
                  <c:v>2.5000000000000001E-3</c:v>
                </c:pt>
                <c:pt idx="3">
                  <c:v>2.2222222222222222E-3</c:v>
                </c:pt>
                <c:pt idx="4">
                  <c:v>2E-3</c:v>
                </c:pt>
                <c:pt idx="5">
                  <c:v>1.8181818181818182E-3</c:v>
                </c:pt>
                <c:pt idx="6">
                  <c:v>1.6666666666666668E-3</c:v>
                </c:pt>
              </c:numCache>
            </c:numRef>
          </c:xVal>
          <c:yVal>
            <c:numRef>
              <c:f>Sheet4!$T$133:$T$139</c:f>
              <c:numCache>
                <c:formatCode>0.0</c:formatCode>
                <c:ptCount val="7"/>
                <c:pt idx="0">
                  <c:v>-113.35075503051621</c:v>
                </c:pt>
                <c:pt idx="1">
                  <c:v>-88.724641920472038</c:v>
                </c:pt>
                <c:pt idx="2">
                  <c:v>-70.222928829527305</c:v>
                </c:pt>
                <c:pt idx="3">
                  <c:v>-55.597739741060089</c:v>
                </c:pt>
                <c:pt idx="4">
                  <c:v>57.92411766957769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30752"/>
        <c:axId val="99140736"/>
      </c:scatterChart>
      <c:valAx>
        <c:axId val="99130752"/>
        <c:scaling>
          <c:orientation val="minMax"/>
        </c:scaling>
        <c:delete val="0"/>
        <c:axPos val="b"/>
        <c:numFmt formatCode="0.0E+00" sourceLinked="1"/>
        <c:majorTickMark val="out"/>
        <c:minorTickMark val="none"/>
        <c:tickLblPos val="nextTo"/>
        <c:crossAx val="99140736"/>
        <c:crosses val="autoZero"/>
        <c:crossBetween val="midCat"/>
      </c:valAx>
      <c:valAx>
        <c:axId val="9914073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99130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Sheet4!$S$142:$S$148</c:f>
              <c:strCache>
                <c:ptCount val="1"/>
                <c:pt idx="0">
                  <c:v>3.3E-03 2.9E-03 2.5E-03 2.2E-03 2.0E-03 1.8E-03 1.7E-03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0.45162707786526757"/>
                  <c:y val="-0.41108134864987206"/>
                </c:manualLayout>
              </c:layout>
              <c:numFmt formatCode="General" sourceLinked="0"/>
            </c:trendlineLbl>
          </c:trendline>
          <c:xVal>
            <c:numRef>
              <c:f>Sheet4!$S$142:$S$148</c:f>
              <c:numCache>
                <c:formatCode>0.0E+00</c:formatCode>
                <c:ptCount val="7"/>
                <c:pt idx="0">
                  <c:v>3.3333333333333335E-3</c:v>
                </c:pt>
                <c:pt idx="1">
                  <c:v>2.8571428571428571E-3</c:v>
                </c:pt>
                <c:pt idx="2">
                  <c:v>2.5000000000000001E-3</c:v>
                </c:pt>
                <c:pt idx="3">
                  <c:v>2.2222222222222222E-3</c:v>
                </c:pt>
                <c:pt idx="4">
                  <c:v>2E-3</c:v>
                </c:pt>
                <c:pt idx="5">
                  <c:v>1.8181818181818182E-3</c:v>
                </c:pt>
                <c:pt idx="6">
                  <c:v>1.6666666666666668E-3</c:v>
                </c:pt>
              </c:numCache>
            </c:numRef>
          </c:xVal>
          <c:yVal>
            <c:numRef>
              <c:f>Sheet4!$T$142:$T$148</c:f>
              <c:numCache>
                <c:formatCode>0.0</c:formatCode>
                <c:ptCount val="7"/>
                <c:pt idx="0">
                  <c:v>-231.95308170205277</c:v>
                </c:pt>
                <c:pt idx="1">
                  <c:v>-143.46330574629727</c:v>
                </c:pt>
                <c:pt idx="2">
                  <c:v>-119.01842902920464</c:v>
                </c:pt>
                <c:pt idx="3">
                  <c:v>-99.870423902499255</c:v>
                </c:pt>
                <c:pt idx="4">
                  <c:v>-33.629284187366274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76800"/>
        <c:axId val="104078336"/>
      </c:scatterChart>
      <c:valAx>
        <c:axId val="104076800"/>
        <c:scaling>
          <c:orientation val="minMax"/>
        </c:scaling>
        <c:delete val="0"/>
        <c:axPos val="b"/>
        <c:numFmt formatCode="0.0E+00" sourceLinked="1"/>
        <c:majorTickMark val="out"/>
        <c:minorTickMark val="none"/>
        <c:tickLblPos val="nextTo"/>
        <c:crossAx val="104078336"/>
        <c:crosses val="autoZero"/>
        <c:crossBetween val="midCat"/>
      </c:valAx>
      <c:valAx>
        <c:axId val="10407833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0407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72908093278471"/>
          <c:y val="8.3642500000000022E-2"/>
          <c:w val="0.83304046639231943"/>
          <c:h val="0.748558888888890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Sheet7!$H$7</c:f>
              <c:strCache>
                <c:ptCount val="1"/>
                <c:pt idx="0">
                  <c:v>Singlet surface M05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diamond"/>
            <c:size val="5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Sheet7!$H$12:$H$52</c:f>
              <c:numCache>
                <c:formatCode>0.000</c:formatCode>
                <c:ptCount val="41"/>
                <c:pt idx="0">
                  <c:v>3.2000001361999999</c:v>
                </c:pt>
                <c:pt idx="1">
                  <c:v>3.1500001362000001</c:v>
                </c:pt>
                <c:pt idx="2">
                  <c:v>3.1000001361999998</c:v>
                </c:pt>
                <c:pt idx="3">
                  <c:v>3.0500001362</c:v>
                </c:pt>
                <c:pt idx="4">
                  <c:v>3.0000001362000002</c:v>
                </c:pt>
                <c:pt idx="5">
                  <c:v>2.9500001361999999</c:v>
                </c:pt>
                <c:pt idx="6">
                  <c:v>2.9000001362000001</c:v>
                </c:pt>
                <c:pt idx="7">
                  <c:v>2.8500001361999998</c:v>
                </c:pt>
                <c:pt idx="8">
                  <c:v>2.8000001362</c:v>
                </c:pt>
                <c:pt idx="9">
                  <c:v>2.7500001362000002</c:v>
                </c:pt>
                <c:pt idx="10">
                  <c:v>2.7000001361999999</c:v>
                </c:pt>
                <c:pt idx="11">
                  <c:v>2.6500001362000001</c:v>
                </c:pt>
                <c:pt idx="12">
                  <c:v>2.6000001361999998</c:v>
                </c:pt>
                <c:pt idx="13">
                  <c:v>2.5500001362</c:v>
                </c:pt>
                <c:pt idx="14">
                  <c:v>2.5000001362000002</c:v>
                </c:pt>
                <c:pt idx="15">
                  <c:v>2.4500001361999999</c:v>
                </c:pt>
                <c:pt idx="16">
                  <c:v>2.4000001362000001</c:v>
                </c:pt>
                <c:pt idx="17">
                  <c:v>2.3500001361999998</c:v>
                </c:pt>
                <c:pt idx="18">
                  <c:v>2.3000001362</c:v>
                </c:pt>
                <c:pt idx="19">
                  <c:v>2.2500001362000002</c:v>
                </c:pt>
                <c:pt idx="20">
                  <c:v>2.2000001361999999</c:v>
                </c:pt>
                <c:pt idx="21">
                  <c:v>2.1500001362000001</c:v>
                </c:pt>
                <c:pt idx="22">
                  <c:v>2.1000001361999998</c:v>
                </c:pt>
                <c:pt idx="23">
                  <c:v>2.0500001362</c:v>
                </c:pt>
                <c:pt idx="24">
                  <c:v>2.0000001362000002</c:v>
                </c:pt>
                <c:pt idx="25">
                  <c:v>1.9500001361999999</c:v>
                </c:pt>
                <c:pt idx="26">
                  <c:v>1.9000001362000001</c:v>
                </c:pt>
                <c:pt idx="27">
                  <c:v>1.8500001362</c:v>
                </c:pt>
                <c:pt idx="28">
                  <c:v>1.8000001362</c:v>
                </c:pt>
                <c:pt idx="29">
                  <c:v>1.7500001361999999</c:v>
                </c:pt>
                <c:pt idx="30">
                  <c:v>1.7000001361999999</c:v>
                </c:pt>
                <c:pt idx="31">
                  <c:v>1.6500001362000001</c:v>
                </c:pt>
                <c:pt idx="32">
                  <c:v>1.6000001362</c:v>
                </c:pt>
                <c:pt idx="33">
                  <c:v>1.5500001362</c:v>
                </c:pt>
                <c:pt idx="34">
                  <c:v>1.5000001361999999</c:v>
                </c:pt>
                <c:pt idx="35">
                  <c:v>1.4500001361999999</c:v>
                </c:pt>
                <c:pt idx="36">
                  <c:v>1.4000001362000001</c:v>
                </c:pt>
                <c:pt idx="37">
                  <c:v>1.3500001362</c:v>
                </c:pt>
                <c:pt idx="38">
                  <c:v>1.3000001362</c:v>
                </c:pt>
                <c:pt idx="39">
                  <c:v>1.2500001361999999</c:v>
                </c:pt>
                <c:pt idx="40">
                  <c:v>1.2000001361999999</c:v>
                </c:pt>
              </c:numCache>
            </c:numRef>
          </c:xVal>
          <c:yVal>
            <c:numRef>
              <c:f>Sheet7!$K$12:$K$52</c:f>
              <c:numCache>
                <c:formatCode>0.0</c:formatCode>
                <c:ptCount val="41"/>
                <c:pt idx="0">
                  <c:v>46.27130267501343</c:v>
                </c:pt>
                <c:pt idx="1">
                  <c:v>46.153925181235536</c:v>
                </c:pt>
                <c:pt idx="2">
                  <c:v>46.054596736954409</c:v>
                </c:pt>
                <c:pt idx="3">
                  <c:v>45.982940196990967</c:v>
                </c:pt>
                <c:pt idx="4">
                  <c:v>45.947847367890063</c:v>
                </c:pt>
                <c:pt idx="5">
                  <c:v>45.953450398257701</c:v>
                </c:pt>
                <c:pt idx="6">
                  <c:v>46.018611589635839</c:v>
                </c:pt>
                <c:pt idx="7">
                  <c:v>46.164227628643857</c:v>
                </c:pt>
                <c:pt idx="8">
                  <c:v>46.404835395267582</c:v>
                </c:pt>
                <c:pt idx="9">
                  <c:v>46.190744915889809</c:v>
                </c:pt>
                <c:pt idx="10">
                  <c:v>45.88541772440658</c:v>
                </c:pt>
                <c:pt idx="11">
                  <c:v>45.563603981543565</c:v>
                </c:pt>
                <c:pt idx="12">
                  <c:v>45.209716356766876</c:v>
                </c:pt>
                <c:pt idx="13">
                  <c:v>44.811177681476693</c:v>
                </c:pt>
                <c:pt idx="14">
                  <c:v>44.368427212189999</c:v>
                </c:pt>
                <c:pt idx="15">
                  <c:v>43.879493942251429</c:v>
                </c:pt>
                <c:pt idx="16">
                  <c:v>43.336710963267251</c:v>
                </c:pt>
                <c:pt idx="17">
                  <c:v>42.728264157951344</c:v>
                </c:pt>
                <c:pt idx="18">
                  <c:v>42.02129588527896</c:v>
                </c:pt>
                <c:pt idx="19">
                  <c:v>41.206419861424365</c:v>
                </c:pt>
                <c:pt idx="20">
                  <c:v>40.283412693039281</c:v>
                </c:pt>
                <c:pt idx="21">
                  <c:v>39.241187546169385</c:v>
                </c:pt>
                <c:pt idx="22">
                  <c:v>38.077497310048784</c:v>
                </c:pt>
                <c:pt idx="23">
                  <c:v>36.771646101056831</c:v>
                </c:pt>
                <c:pt idx="24">
                  <c:v>35.316169696263387</c:v>
                </c:pt>
                <c:pt idx="25">
                  <c:v>33.662116724066436</c:v>
                </c:pt>
                <c:pt idx="26">
                  <c:v>31.751095563231502</c:v>
                </c:pt>
                <c:pt idx="27">
                  <c:v>29.496257674065419</c:v>
                </c:pt>
                <c:pt idx="28">
                  <c:v>26.674619515630184</c:v>
                </c:pt>
                <c:pt idx="29">
                  <c:v>22.884122713090619</c:v>
                </c:pt>
                <c:pt idx="30">
                  <c:v>18.146502932941075</c:v>
                </c:pt>
                <c:pt idx="31">
                  <c:v>13.548437452118378</c:v>
                </c:pt>
                <c:pt idx="32">
                  <c:v>9.2776324947335524</c:v>
                </c:pt>
                <c:pt idx="33">
                  <c:v>5.5155706477962667</c:v>
                </c:pt>
                <c:pt idx="34">
                  <c:v>2.5002379441866651</c:v>
                </c:pt>
                <c:pt idx="35">
                  <c:v>0.53342556057032198</c:v>
                </c:pt>
                <c:pt idx="36">
                  <c:v>0</c:v>
                </c:pt>
                <c:pt idx="37">
                  <c:v>1.397870425178553</c:v>
                </c:pt>
                <c:pt idx="38">
                  <c:v>5.3686926876398502</c:v>
                </c:pt>
                <c:pt idx="39">
                  <c:v>12.756635572077357</c:v>
                </c:pt>
                <c:pt idx="40">
                  <c:v>24.656014398380648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Sheet7!$N$7</c:f>
              <c:strCache>
                <c:ptCount val="1"/>
                <c:pt idx="0">
                  <c:v>Triplet surface M05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Sheet7!$N$12:$N$42</c:f>
              <c:numCache>
                <c:formatCode>0.000</c:formatCode>
                <c:ptCount val="31"/>
                <c:pt idx="0">
                  <c:v>3.1999995568999999</c:v>
                </c:pt>
                <c:pt idx="1">
                  <c:v>3.1499995569000001</c:v>
                </c:pt>
                <c:pt idx="2">
                  <c:v>3.0999995568999998</c:v>
                </c:pt>
                <c:pt idx="3">
                  <c:v>3.0499995569</c:v>
                </c:pt>
                <c:pt idx="4">
                  <c:v>2.9999995569000002</c:v>
                </c:pt>
                <c:pt idx="5">
                  <c:v>2.9499995568999999</c:v>
                </c:pt>
                <c:pt idx="6">
                  <c:v>2.8999995569000001</c:v>
                </c:pt>
                <c:pt idx="7">
                  <c:v>2.8499995568999998</c:v>
                </c:pt>
                <c:pt idx="8">
                  <c:v>2.7999995569</c:v>
                </c:pt>
                <c:pt idx="9">
                  <c:v>2.7499995569000002</c:v>
                </c:pt>
                <c:pt idx="10">
                  <c:v>2.6999995568999999</c:v>
                </c:pt>
                <c:pt idx="11">
                  <c:v>2.6499995569000001</c:v>
                </c:pt>
                <c:pt idx="12">
                  <c:v>2.5999995568999998</c:v>
                </c:pt>
                <c:pt idx="13">
                  <c:v>2.5499995569</c:v>
                </c:pt>
                <c:pt idx="14">
                  <c:v>2.4999995569000002</c:v>
                </c:pt>
                <c:pt idx="15">
                  <c:v>2.4499995568999999</c:v>
                </c:pt>
                <c:pt idx="16">
                  <c:v>2.3999995569000001</c:v>
                </c:pt>
                <c:pt idx="17">
                  <c:v>2.3499995568999998</c:v>
                </c:pt>
                <c:pt idx="18">
                  <c:v>2.2999995569</c:v>
                </c:pt>
                <c:pt idx="19">
                  <c:v>2.2499995569000002</c:v>
                </c:pt>
                <c:pt idx="20">
                  <c:v>2.1999995568999999</c:v>
                </c:pt>
                <c:pt idx="21">
                  <c:v>2.1499995569000001</c:v>
                </c:pt>
                <c:pt idx="22">
                  <c:v>2.0999995568999998</c:v>
                </c:pt>
                <c:pt idx="23">
                  <c:v>2.0499995569</c:v>
                </c:pt>
                <c:pt idx="24">
                  <c:v>1.9999995569</c:v>
                </c:pt>
                <c:pt idx="25">
                  <c:v>1.9499995568999999</c:v>
                </c:pt>
                <c:pt idx="26">
                  <c:v>1.8999995569000001</c:v>
                </c:pt>
                <c:pt idx="27">
                  <c:v>1.8499995569000001</c:v>
                </c:pt>
                <c:pt idx="28">
                  <c:v>1.7999995569</c:v>
                </c:pt>
                <c:pt idx="29">
                  <c:v>1.7499995569</c:v>
                </c:pt>
                <c:pt idx="30">
                  <c:v>1.6999995568999999</c:v>
                </c:pt>
              </c:numCache>
            </c:numRef>
          </c:xVal>
          <c:yVal>
            <c:numRef>
              <c:f>Sheet7!$Q$12:$Q$42</c:f>
              <c:numCache>
                <c:formatCode>0.0</c:formatCode>
                <c:ptCount val="31"/>
                <c:pt idx="0">
                  <c:v>46.273544765688712</c:v>
                </c:pt>
                <c:pt idx="1">
                  <c:v>46.149128500299412</c:v>
                </c:pt>
                <c:pt idx="2">
                  <c:v>46.039592362503754</c:v>
                </c:pt>
                <c:pt idx="3">
                  <c:v>45.955556946923025</c:v>
                </c:pt>
                <c:pt idx="4">
                  <c:v>45.905065667553572</c:v>
                </c:pt>
                <c:pt idx="5">
                  <c:v>45.888506325092749</c:v>
                </c:pt>
                <c:pt idx="6">
                  <c:v>45.92294089695497</c:v>
                </c:pt>
                <c:pt idx="7">
                  <c:v>46.030371741115232</c:v>
                </c:pt>
                <c:pt idx="8">
                  <c:v>46.217067675257567</c:v>
                </c:pt>
                <c:pt idx="9">
                  <c:v>45.706076199043309</c:v>
                </c:pt>
                <c:pt idx="10">
                  <c:v>45.474358983905404</c:v>
                </c:pt>
                <c:pt idx="11">
                  <c:v>45.273480712465243</c:v>
                </c:pt>
                <c:pt idx="12">
                  <c:v>45.073792826136923</c:v>
                </c:pt>
                <c:pt idx="13">
                  <c:v>44.873265332382289</c:v>
                </c:pt>
                <c:pt idx="14">
                  <c:v>44.676605178319733</c:v>
                </c:pt>
                <c:pt idx="15">
                  <c:v>44.493646061935578</c:v>
                </c:pt>
                <c:pt idx="16">
                  <c:v>44.335436539171496</c:v>
                </c:pt>
                <c:pt idx="17">
                  <c:v>44.22355226163927</c:v>
                </c:pt>
                <c:pt idx="18">
                  <c:v>44.154279001944815</c:v>
                </c:pt>
                <c:pt idx="19">
                  <c:v>44.122970681317383</c:v>
                </c:pt>
                <c:pt idx="20">
                  <c:v>44.153472652513301</c:v>
                </c:pt>
                <c:pt idx="21">
                  <c:v>44.26928388311353</c:v>
                </c:pt>
                <c:pt idx="22">
                  <c:v>44.510453270573635</c:v>
                </c:pt>
                <c:pt idx="23">
                  <c:v>44.876158777682576</c:v>
                </c:pt>
                <c:pt idx="24">
                  <c:v>45.364423122722656</c:v>
                </c:pt>
                <c:pt idx="25">
                  <c:v>45.99245198268909</c:v>
                </c:pt>
                <c:pt idx="26">
                  <c:v>46.766086841496872</c:v>
                </c:pt>
                <c:pt idx="27">
                  <c:v>47.640145148296142</c:v>
                </c:pt>
                <c:pt idx="28">
                  <c:v>48.680294494479313</c:v>
                </c:pt>
                <c:pt idx="29">
                  <c:v>50.491603175338241</c:v>
                </c:pt>
                <c:pt idx="30">
                  <c:v>53.313740203651832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Sheet7!$N$20</c:f>
              <c:numCache>
                <c:formatCode>0.000</c:formatCode>
                <c:ptCount val="1"/>
                <c:pt idx="0">
                  <c:v>2.7999995569</c:v>
                </c:pt>
              </c:numCache>
            </c:numRef>
          </c:xVal>
          <c:yVal>
            <c:numRef>
              <c:f>Sheet7!$Q$20</c:f>
              <c:numCache>
                <c:formatCode>0.0</c:formatCode>
                <c:ptCount val="1"/>
                <c:pt idx="0">
                  <c:v>46.217067675257567</c:v>
                </c:pt>
              </c:numCache>
            </c:numRef>
          </c:yVal>
          <c:smooth val="1"/>
        </c:ser>
        <c:ser>
          <c:idx val="3"/>
          <c:order val="3"/>
          <c:dPt>
            <c:idx val="0"/>
            <c:marker>
              <c:symbol val="none"/>
            </c:marker>
            <c:bubble3D val="0"/>
          </c:dPt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Sheet7!$H$16</c:f>
              <c:numCache>
                <c:formatCode>0.000</c:formatCode>
                <c:ptCount val="1"/>
                <c:pt idx="0">
                  <c:v>3.0000001362000002</c:v>
                </c:pt>
              </c:numCache>
            </c:numRef>
          </c:xVal>
          <c:yVal>
            <c:numRef>
              <c:f>Sheet7!$K$16</c:f>
              <c:numCache>
                <c:formatCode>0.0</c:formatCode>
                <c:ptCount val="1"/>
                <c:pt idx="0">
                  <c:v>45.947847367890063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Sheet7!$H$48</c:f>
              <c:numCache>
                <c:formatCode>0.000</c:formatCode>
                <c:ptCount val="1"/>
                <c:pt idx="0">
                  <c:v>1.4000001362000001</c:v>
                </c:pt>
              </c:numCache>
            </c:numRef>
          </c:xVal>
          <c:yVal>
            <c:numRef>
              <c:f>Sheet7!$K$48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78560"/>
        <c:axId val="103793024"/>
      </c:scatterChart>
      <c:valAx>
        <c:axId val="103778560"/>
        <c:scaling>
          <c:orientation val="minMax"/>
          <c:max val="3.3"/>
          <c:min val="1.1500000000000001"/>
        </c:scaling>
        <c:delete val="0"/>
        <c:axPos val="b"/>
        <c:title>
          <c:tx>
            <c:rich>
              <a:bodyPr/>
              <a:lstStyle/>
              <a:p>
                <a:pPr algn="ctr">
                  <a:defRPr sz="1400" b="0"/>
                </a:pPr>
                <a:r>
                  <a:rPr lang="da-DK" sz="1400" b="0"/>
                  <a:t>r</a:t>
                </a:r>
                <a:r>
                  <a:rPr lang="da-DK" sz="1400" b="0" baseline="-25000"/>
                  <a:t>O-O</a:t>
                </a:r>
                <a:r>
                  <a:rPr lang="da-DK" sz="1400" b="0" baseline="0"/>
                  <a:t>  [Å]</a:t>
                </a:r>
                <a:endParaRPr lang="da-DK" sz="1400" b="0" baseline="-25000"/>
              </a:p>
            </c:rich>
          </c:tx>
          <c:layout>
            <c:manualLayout>
              <c:xMode val="edge"/>
              <c:yMode val="edge"/>
              <c:x val="0.48712019890260744"/>
              <c:y val="0.92592916666666669"/>
            </c:manualLayout>
          </c:layout>
          <c:overlay val="0"/>
        </c:title>
        <c:numFmt formatCode="0.000" sourceLinked="1"/>
        <c:majorTickMark val="out"/>
        <c:minorTickMark val="out"/>
        <c:tickLblPos val="low"/>
        <c:txPr>
          <a:bodyPr/>
          <a:lstStyle/>
          <a:p>
            <a:pPr>
              <a:defRPr sz="1200"/>
            </a:pPr>
            <a:endParaRPr lang="da-DK"/>
          </a:p>
        </c:txPr>
        <c:crossAx val="103793024"/>
        <c:crosses val="autoZero"/>
        <c:crossBetween val="midCat"/>
        <c:majorUnit val="0.2"/>
        <c:minorUnit val="0.05"/>
      </c:valAx>
      <c:valAx>
        <c:axId val="103793024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Potential energy [kCal/mol]</a:t>
                </a:r>
              </a:p>
            </c:rich>
          </c:tx>
          <c:layout>
            <c:manualLayout>
              <c:xMode val="edge"/>
              <c:yMode val="edge"/>
              <c:x val="1.2419410150891594E-3"/>
              <c:y val="0.1614541666666667"/>
            </c:manualLayout>
          </c:layout>
          <c:overlay val="0"/>
        </c:title>
        <c:numFmt formatCode="0.0" sourceLinked="1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da-DK"/>
          </a:p>
        </c:txPr>
        <c:crossAx val="103778560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7873473936899882"/>
          <c:y val="0.55545361111111102"/>
          <c:w val="0.30960613854595337"/>
          <c:h val="0.16847583333333341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62568587105644"/>
          <c:y val="9.422583333333362E-2"/>
          <c:w val="0.8482839506172839"/>
          <c:h val="0.73797555555555705"/>
        </c:manualLayout>
      </c:layout>
      <c:scatterChart>
        <c:scatterStyle val="smoothMarker"/>
        <c:varyColors val="0"/>
        <c:ser>
          <c:idx val="5"/>
          <c:order val="0"/>
          <c:tx>
            <c:strRef>
              <c:f>Sheet7!$H$54</c:f>
              <c:strCache>
                <c:ptCount val="1"/>
                <c:pt idx="0">
                  <c:v>B3LYP/MG3S Singlet surface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triang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Sheet7!$H$59:$H$99</c:f>
              <c:numCache>
                <c:formatCode>0.00</c:formatCode>
                <c:ptCount val="41"/>
                <c:pt idx="0">
                  <c:v>3.1999985419999999</c:v>
                </c:pt>
                <c:pt idx="1">
                  <c:v>3.1499985420000001</c:v>
                </c:pt>
                <c:pt idx="2">
                  <c:v>3.0999985419999998</c:v>
                </c:pt>
                <c:pt idx="3">
                  <c:v>3.049998542</c:v>
                </c:pt>
                <c:pt idx="4">
                  <c:v>2.9999985420000002</c:v>
                </c:pt>
                <c:pt idx="5">
                  <c:v>2.9499985419999999</c:v>
                </c:pt>
                <c:pt idx="6">
                  <c:v>2.8999985420000001</c:v>
                </c:pt>
                <c:pt idx="7">
                  <c:v>2.8499985419999998</c:v>
                </c:pt>
                <c:pt idx="8">
                  <c:v>2.799998542</c:v>
                </c:pt>
                <c:pt idx="9">
                  <c:v>2.7499985420000002</c:v>
                </c:pt>
                <c:pt idx="10">
                  <c:v>2.6999985419999999</c:v>
                </c:pt>
                <c:pt idx="11">
                  <c:v>2.6499985420000001</c:v>
                </c:pt>
                <c:pt idx="12">
                  <c:v>2.5999985419999998</c:v>
                </c:pt>
                <c:pt idx="13">
                  <c:v>2.549998542</c:v>
                </c:pt>
                <c:pt idx="14">
                  <c:v>2.4999985420000002</c:v>
                </c:pt>
                <c:pt idx="15">
                  <c:v>2.4499985419999999</c:v>
                </c:pt>
                <c:pt idx="16">
                  <c:v>2.3999985420000001</c:v>
                </c:pt>
                <c:pt idx="17">
                  <c:v>2.3499985419999998</c:v>
                </c:pt>
                <c:pt idx="18">
                  <c:v>2.299998542</c:v>
                </c:pt>
                <c:pt idx="19">
                  <c:v>2.2499985420000002</c:v>
                </c:pt>
                <c:pt idx="20">
                  <c:v>2.1999985419999999</c:v>
                </c:pt>
                <c:pt idx="21">
                  <c:v>2.1499985420000001</c:v>
                </c:pt>
                <c:pt idx="22">
                  <c:v>2.0999985419999998</c:v>
                </c:pt>
                <c:pt idx="23">
                  <c:v>2.049998542</c:v>
                </c:pt>
                <c:pt idx="24">
                  <c:v>1.9999985419999999</c:v>
                </c:pt>
                <c:pt idx="25">
                  <c:v>1.9499985419999999</c:v>
                </c:pt>
                <c:pt idx="26">
                  <c:v>1.8999985420000001</c:v>
                </c:pt>
                <c:pt idx="27">
                  <c:v>1.849998542</c:v>
                </c:pt>
                <c:pt idx="28">
                  <c:v>1.799998542</c:v>
                </c:pt>
                <c:pt idx="29">
                  <c:v>1.7499985419999999</c:v>
                </c:pt>
                <c:pt idx="30">
                  <c:v>1.6999985419999999</c:v>
                </c:pt>
                <c:pt idx="31">
                  <c:v>1.6499985420000001</c:v>
                </c:pt>
                <c:pt idx="32">
                  <c:v>1.599998542</c:v>
                </c:pt>
                <c:pt idx="33">
                  <c:v>1.549998542</c:v>
                </c:pt>
                <c:pt idx="34">
                  <c:v>1.4999985419999999</c:v>
                </c:pt>
                <c:pt idx="35">
                  <c:v>1.4499985419999999</c:v>
                </c:pt>
                <c:pt idx="36">
                  <c:v>1.3999985420000001</c:v>
                </c:pt>
                <c:pt idx="37">
                  <c:v>1.349998542</c:v>
                </c:pt>
                <c:pt idx="38">
                  <c:v>1.299998542</c:v>
                </c:pt>
                <c:pt idx="39">
                  <c:v>1.2499985419999999</c:v>
                </c:pt>
                <c:pt idx="40">
                  <c:v>1.1999985419999999</c:v>
                </c:pt>
              </c:numCache>
            </c:numRef>
          </c:xVal>
          <c:yVal>
            <c:numRef>
              <c:f>Sheet7!$K$59:$K$99</c:f>
              <c:numCache>
                <c:formatCode>0.00</c:formatCode>
                <c:ptCount val="41"/>
                <c:pt idx="0">
                  <c:v>47.280901104270015</c:v>
                </c:pt>
                <c:pt idx="1">
                  <c:v>47.178639681587811</c:v>
                </c:pt>
                <c:pt idx="2">
                  <c:v>47.095849244447891</c:v>
                </c:pt>
                <c:pt idx="3">
                  <c:v>47.035841786797391</c:v>
                </c:pt>
                <c:pt idx="4">
                  <c:v>47.008696362754563</c:v>
                </c:pt>
                <c:pt idx="5">
                  <c:v>47.022918860631762</c:v>
                </c:pt>
                <c:pt idx="6">
                  <c:v>47.088752114461386</c:v>
                </c:pt>
                <c:pt idx="7">
                  <c:v>47.218601982734981</c:v>
                </c:pt>
                <c:pt idx="8">
                  <c:v>47.426929416877101</c:v>
                </c:pt>
                <c:pt idx="9">
                  <c:v>47.609312479733489</c:v>
                </c:pt>
                <c:pt idx="10">
                  <c:v>47.438020015921211</c:v>
                </c:pt>
                <c:pt idx="11">
                  <c:v>47.162694670740166</c:v>
                </c:pt>
                <c:pt idx="12">
                  <c:v>46.835802495261305</c:v>
                </c:pt>
                <c:pt idx="13">
                  <c:v>46.452509785478469</c:v>
                </c:pt>
                <c:pt idx="14">
                  <c:v>46.006596669423743</c:v>
                </c:pt>
                <c:pt idx="15">
                  <c:v>45.490430751669919</c:v>
                </c:pt>
                <c:pt idx="16">
                  <c:v>44.894453810804407</c:v>
                </c:pt>
                <c:pt idx="17">
                  <c:v>44.20680654894386</c:v>
                </c:pt>
                <c:pt idx="18">
                  <c:v>43.412708612435381</c:v>
                </c:pt>
                <c:pt idx="19">
                  <c:v>42.493277619461878</c:v>
                </c:pt>
                <c:pt idx="20">
                  <c:v>41.424146129575092</c:v>
                </c:pt>
                <c:pt idx="21">
                  <c:v>40.174147011755849</c:v>
                </c:pt>
                <c:pt idx="22">
                  <c:v>38.703012995349127</c:v>
                </c:pt>
                <c:pt idx="23">
                  <c:v>36.958382195807644</c:v>
                </c:pt>
                <c:pt idx="24">
                  <c:v>34.872531301341951</c:v>
                </c:pt>
                <c:pt idx="25">
                  <c:v>32.357563204262988</c:v>
                </c:pt>
                <c:pt idx="26">
                  <c:v>29.29876669771329</c:v>
                </c:pt>
                <c:pt idx="27">
                  <c:v>25.546340883345692</c:v>
                </c:pt>
                <c:pt idx="28">
                  <c:v>21.123437088550418</c:v>
                </c:pt>
                <c:pt idx="29">
                  <c:v>16.747544406665838</c:v>
                </c:pt>
                <c:pt idx="30">
                  <c:v>12.57875551583129</c:v>
                </c:pt>
                <c:pt idx="31">
                  <c:v>8.7317088317795424</c:v>
                </c:pt>
                <c:pt idx="32">
                  <c:v>5.3480589274258818</c:v>
                </c:pt>
                <c:pt idx="33">
                  <c:v>2.6066478307329817</c:v>
                </c:pt>
                <c:pt idx="34">
                  <c:v>0.73016603582073003</c:v>
                </c:pt>
                <c:pt idx="35">
                  <c:v>0</c:v>
                </c:pt>
                <c:pt idx="36">
                  <c:v>0.77418518444756046</c:v>
                </c:pt>
                <c:pt idx="37">
                  <c:v>3.5141046915814513</c:v>
                </c:pt>
                <c:pt idx="38">
                  <c:v>8.8218147721636342</c:v>
                </c:pt>
                <c:pt idx="39">
                  <c:v>17.490768283139914</c:v>
                </c:pt>
                <c:pt idx="40">
                  <c:v>30.572773065665388</c:v>
                </c:pt>
              </c:numCache>
            </c:numRef>
          </c:yVal>
          <c:smooth val="1"/>
        </c:ser>
        <c:ser>
          <c:idx val="6"/>
          <c:order val="1"/>
          <c:tx>
            <c:strRef>
              <c:f>Sheet7!$N$54</c:f>
              <c:strCache>
                <c:ptCount val="1"/>
                <c:pt idx="0">
                  <c:v>B3LYP/MG3S Triplet surface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Sheet7!$N$59:$N$89</c:f>
              <c:numCache>
                <c:formatCode>0.00</c:formatCode>
                <c:ptCount val="31"/>
                <c:pt idx="0">
                  <c:v>3.2000001993999998</c:v>
                </c:pt>
                <c:pt idx="1">
                  <c:v>3.1500001994</c:v>
                </c:pt>
                <c:pt idx="2">
                  <c:v>3.1000001994000002</c:v>
                </c:pt>
                <c:pt idx="3">
                  <c:v>3.0500001993999999</c:v>
                </c:pt>
                <c:pt idx="4">
                  <c:v>3.0000001994000001</c:v>
                </c:pt>
                <c:pt idx="5">
                  <c:v>2.9500001993999998</c:v>
                </c:pt>
                <c:pt idx="6">
                  <c:v>2.9000001994</c:v>
                </c:pt>
                <c:pt idx="7">
                  <c:v>2.8500001994000002</c:v>
                </c:pt>
                <c:pt idx="8">
                  <c:v>2.8000001993999999</c:v>
                </c:pt>
                <c:pt idx="9">
                  <c:v>2.7500001994000001</c:v>
                </c:pt>
                <c:pt idx="10">
                  <c:v>2.7000001993999998</c:v>
                </c:pt>
                <c:pt idx="11">
                  <c:v>2.6500001994</c:v>
                </c:pt>
                <c:pt idx="12">
                  <c:v>2.6000001994000002</c:v>
                </c:pt>
                <c:pt idx="13">
                  <c:v>2.5500001993999999</c:v>
                </c:pt>
                <c:pt idx="14">
                  <c:v>2.5000001994000001</c:v>
                </c:pt>
                <c:pt idx="15">
                  <c:v>2.4500001993999998</c:v>
                </c:pt>
                <c:pt idx="16">
                  <c:v>2.4000001994</c:v>
                </c:pt>
                <c:pt idx="17">
                  <c:v>2.3500001994000002</c:v>
                </c:pt>
                <c:pt idx="18">
                  <c:v>2.3000001993999999</c:v>
                </c:pt>
                <c:pt idx="19">
                  <c:v>2.2500001994000001</c:v>
                </c:pt>
                <c:pt idx="20">
                  <c:v>2.2000001993999998</c:v>
                </c:pt>
                <c:pt idx="21">
                  <c:v>2.1500001994</c:v>
                </c:pt>
                <c:pt idx="22">
                  <c:v>2.1000001994000002</c:v>
                </c:pt>
                <c:pt idx="23">
                  <c:v>2.0500001993999999</c:v>
                </c:pt>
                <c:pt idx="24">
                  <c:v>2.0000001994000001</c:v>
                </c:pt>
                <c:pt idx="25">
                  <c:v>1.9500001994</c:v>
                </c:pt>
                <c:pt idx="26">
                  <c:v>1.9000001994</c:v>
                </c:pt>
                <c:pt idx="27">
                  <c:v>1.8500001993999999</c:v>
                </c:pt>
                <c:pt idx="28">
                  <c:v>1.8000001993999999</c:v>
                </c:pt>
                <c:pt idx="29">
                  <c:v>1.7500001994000001</c:v>
                </c:pt>
                <c:pt idx="30">
                  <c:v>1.7000001994</c:v>
                </c:pt>
              </c:numCache>
            </c:numRef>
          </c:xVal>
          <c:yVal>
            <c:numRef>
              <c:f>Sheet7!$Q$59:$Q$89</c:f>
              <c:numCache>
                <c:formatCode>0.00</c:formatCode>
                <c:ptCount val="31"/>
                <c:pt idx="0">
                  <c:v>47.257451709912857</c:v>
                </c:pt>
                <c:pt idx="1">
                  <c:v>47.148112610026146</c:v>
                </c:pt>
                <c:pt idx="2">
                  <c:v>47.054722286076867</c:v>
                </c:pt>
                <c:pt idx="3">
                  <c:v>46.982512910442892</c:v>
                </c:pt>
                <c:pt idx="4">
                  <c:v>46.938029404933332</c:v>
                </c:pt>
                <c:pt idx="5">
                  <c:v>46.928590410301695</c:v>
                </c:pt>
                <c:pt idx="6">
                  <c:v>46.962821041641291</c:v>
                </c:pt>
                <c:pt idx="7">
                  <c:v>47.04931378357287</c:v>
                </c:pt>
                <c:pt idx="8">
                  <c:v>47.002791500402964</c:v>
                </c:pt>
                <c:pt idx="9">
                  <c:v>46.94259014238196</c:v>
                </c:pt>
                <c:pt idx="10">
                  <c:v>46.832870771890157</c:v>
                </c:pt>
                <c:pt idx="11">
                  <c:v>46.643620874965563</c:v>
                </c:pt>
                <c:pt idx="12">
                  <c:v>46.421739240337047</c:v>
                </c:pt>
                <c:pt idx="13">
                  <c:v>46.201051128344261</c:v>
                </c:pt>
                <c:pt idx="14">
                  <c:v>45.985351087641902</c:v>
                </c:pt>
                <c:pt idx="15">
                  <c:v>45.778158190296381</c:v>
                </c:pt>
                <c:pt idx="16">
                  <c:v>45.581915957431193</c:v>
                </c:pt>
                <c:pt idx="17">
                  <c:v>45.397283273807261</c:v>
                </c:pt>
                <c:pt idx="18">
                  <c:v>45.222277837572619</c:v>
                </c:pt>
                <c:pt idx="19">
                  <c:v>45.051270262978505</c:v>
                </c:pt>
                <c:pt idx="20">
                  <c:v>44.872452707859338</c:v>
                </c:pt>
                <c:pt idx="21">
                  <c:v>44.665645101194968</c:v>
                </c:pt>
                <c:pt idx="22">
                  <c:v>44.401543387037236</c:v>
                </c:pt>
                <c:pt idx="23">
                  <c:v>44.038459613715531</c:v>
                </c:pt>
                <c:pt idx="24">
                  <c:v>43.515864863351453</c:v>
                </c:pt>
                <c:pt idx="25">
                  <c:v>43.018169681308791</c:v>
                </c:pt>
                <c:pt idx="26">
                  <c:v>42.952364665397909</c:v>
                </c:pt>
                <c:pt idx="27">
                  <c:v>43.439409132406581</c:v>
                </c:pt>
                <c:pt idx="28">
                  <c:v>44.623908203822793</c:v>
                </c:pt>
                <c:pt idx="29">
                  <c:v>46.678701781376731</c:v>
                </c:pt>
                <c:pt idx="30">
                  <c:v>49.809437834570417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Sheet7!$L$94</c:f>
              <c:strCache>
                <c:ptCount val="1"/>
                <c:pt idx="0">
                  <c:v>R0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Sheet7!$H$94</c:f>
              <c:numCache>
                <c:formatCode>0.00</c:formatCode>
                <c:ptCount val="1"/>
                <c:pt idx="0">
                  <c:v>1.4499985419999999</c:v>
                </c:pt>
              </c:numCache>
            </c:numRef>
          </c:xVal>
          <c:yVal>
            <c:numRef>
              <c:f>Sheet7!$K$94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3"/>
          <c:tx>
            <c:strRef>
              <c:f>Sheet7!$L$68</c:f>
              <c:strCache>
                <c:ptCount val="1"/>
                <c:pt idx="0">
                  <c:v>TS singlet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0">
                <a:prstDash val="dash"/>
              </a:ln>
            </c:spPr>
          </c:errBars>
          <c:xVal>
            <c:numRef>
              <c:f>Sheet7!$H$68</c:f>
              <c:numCache>
                <c:formatCode>0.00</c:formatCode>
                <c:ptCount val="1"/>
                <c:pt idx="0">
                  <c:v>2.7499985420000002</c:v>
                </c:pt>
              </c:numCache>
            </c:numRef>
          </c:xVal>
          <c:yVal>
            <c:numRef>
              <c:f>Sheet7!$K$68</c:f>
              <c:numCache>
                <c:formatCode>0.00</c:formatCode>
                <c:ptCount val="1"/>
                <c:pt idx="0">
                  <c:v>47.609312479733489</c:v>
                </c:pt>
              </c:numCache>
            </c:numRef>
          </c:yVal>
          <c:smooth val="1"/>
        </c:ser>
        <c:ser>
          <c:idx val="2"/>
          <c:order val="4"/>
          <c:tx>
            <c:strRef>
              <c:f>Sheet7!$L$63</c:f>
              <c:strCache>
                <c:ptCount val="1"/>
                <c:pt idx="0">
                  <c:v>PC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Sheet7!$H$63</c:f>
              <c:numCache>
                <c:formatCode>0.00</c:formatCode>
                <c:ptCount val="1"/>
                <c:pt idx="0">
                  <c:v>2.9999985420000002</c:v>
                </c:pt>
              </c:numCache>
            </c:numRef>
          </c:xVal>
          <c:yVal>
            <c:numRef>
              <c:f>Sheet7!$K$63</c:f>
              <c:numCache>
                <c:formatCode>0.00</c:formatCode>
                <c:ptCount val="1"/>
                <c:pt idx="0">
                  <c:v>47.008696362754563</c:v>
                </c:pt>
              </c:numCache>
            </c:numRef>
          </c:yVal>
          <c:smooth val="1"/>
        </c:ser>
        <c:ser>
          <c:idx val="3"/>
          <c:order val="5"/>
          <c:tx>
            <c:strRef>
              <c:f>Sheet7!$R$66</c:f>
              <c:strCache>
                <c:ptCount val="1"/>
                <c:pt idx="0">
                  <c:v>TS triplet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Sheet7!$N$66</c:f>
              <c:numCache>
                <c:formatCode>0.00</c:formatCode>
                <c:ptCount val="1"/>
                <c:pt idx="0">
                  <c:v>2.8500001994000002</c:v>
                </c:pt>
              </c:numCache>
            </c:numRef>
          </c:xVal>
          <c:yVal>
            <c:numRef>
              <c:f>Sheet7!$Q$66</c:f>
              <c:numCache>
                <c:formatCode>0.00</c:formatCode>
                <c:ptCount val="1"/>
                <c:pt idx="0">
                  <c:v>47.04931378357287</c:v>
                </c:pt>
              </c:numCache>
            </c:numRef>
          </c:yVal>
          <c:smooth val="1"/>
        </c:ser>
        <c:ser>
          <c:idx val="4"/>
          <c:order val="6"/>
          <c:tx>
            <c:strRef>
              <c:f>Sheet7!$R$85</c:f>
              <c:strCache>
                <c:ptCount val="1"/>
                <c:pt idx="0">
                  <c:v>R0 triplet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Sheet7!$N$85</c:f>
              <c:numCache>
                <c:formatCode>0.00</c:formatCode>
                <c:ptCount val="1"/>
                <c:pt idx="0">
                  <c:v>1.9000001994</c:v>
                </c:pt>
              </c:numCache>
            </c:numRef>
          </c:xVal>
          <c:yVal>
            <c:numRef>
              <c:f>Sheet7!$Q$85</c:f>
              <c:numCache>
                <c:formatCode>0.00</c:formatCode>
                <c:ptCount val="1"/>
                <c:pt idx="0">
                  <c:v>42.952364665397909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Sheet7!$U$73</c:f>
              <c:strCache>
                <c:ptCount val="1"/>
                <c:pt idx="0">
                  <c:v>Avoided crossing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0"/>
            <c:spPr>
              <a:ln w="12700">
                <a:prstDash val="dash"/>
              </a:ln>
            </c:spPr>
          </c:errBars>
          <c:xVal>
            <c:numRef>
              <c:f>Sheet7!$N$73</c:f>
              <c:numCache>
                <c:formatCode>0.00</c:formatCode>
                <c:ptCount val="1"/>
                <c:pt idx="0">
                  <c:v>2.5000001994000001</c:v>
                </c:pt>
              </c:numCache>
            </c:numRef>
          </c:xVal>
          <c:yVal>
            <c:numRef>
              <c:f>Sheet7!$Q$73</c:f>
              <c:numCache>
                <c:formatCode>0.00</c:formatCode>
                <c:ptCount val="1"/>
                <c:pt idx="0">
                  <c:v>45.985351087641902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69248"/>
        <c:axId val="104471168"/>
      </c:scatterChart>
      <c:valAx>
        <c:axId val="104469248"/>
        <c:scaling>
          <c:orientation val="minMax"/>
          <c:max val="3.3"/>
          <c:min val="1.1500000000000001"/>
        </c:scaling>
        <c:delete val="0"/>
        <c:axPos val="b"/>
        <c:title>
          <c:tx>
            <c:rich>
              <a:bodyPr/>
              <a:lstStyle/>
              <a:p>
                <a:pPr algn="ctr">
                  <a:defRPr sz="1400" b="0"/>
                </a:pPr>
                <a:r>
                  <a:rPr lang="da-DK" sz="1400" b="0"/>
                  <a:t>r</a:t>
                </a:r>
                <a:r>
                  <a:rPr lang="da-DK" sz="1400" b="0" baseline="-25000"/>
                  <a:t>O-O</a:t>
                </a:r>
                <a:r>
                  <a:rPr lang="da-DK" sz="1400" b="0" baseline="0"/>
                  <a:t>  [Å]</a:t>
                </a:r>
                <a:endParaRPr lang="da-DK" sz="1400" b="0" baseline="-25000"/>
              </a:p>
            </c:rich>
          </c:tx>
          <c:layout>
            <c:manualLayout>
              <c:xMode val="edge"/>
              <c:yMode val="edge"/>
              <c:x val="0.48712019890260766"/>
              <c:y val="0.92592916666666669"/>
            </c:manualLayout>
          </c:layout>
          <c:overlay val="0"/>
        </c:title>
        <c:numFmt formatCode="0.00" sourceLinked="1"/>
        <c:majorTickMark val="out"/>
        <c:minorTickMark val="out"/>
        <c:tickLblPos val="low"/>
        <c:txPr>
          <a:bodyPr/>
          <a:lstStyle/>
          <a:p>
            <a:pPr>
              <a:defRPr sz="1400"/>
            </a:pPr>
            <a:endParaRPr lang="da-DK"/>
          </a:p>
        </c:txPr>
        <c:crossAx val="104471168"/>
        <c:crosses val="autoZero"/>
        <c:crossBetween val="midCat"/>
        <c:majorUnit val="0.2"/>
        <c:minorUnit val="0.05"/>
      </c:valAx>
      <c:valAx>
        <c:axId val="104471168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Potential energy [kCal/mol]</a:t>
                </a:r>
              </a:p>
            </c:rich>
          </c:tx>
          <c:layout>
            <c:manualLayout>
              <c:xMode val="edge"/>
              <c:yMode val="edge"/>
              <c:x val="1.2419410150891594E-3"/>
              <c:y val="0.18262083333333334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4469248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49675137174211248"/>
          <c:y val="0.52995222222222227"/>
          <c:w val="0.45041066529492596"/>
          <c:h val="0.13387777777777768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62568587105649"/>
          <c:y val="9.4225833333333661E-2"/>
          <c:w val="0.8482839506172839"/>
          <c:h val="0.737975555555557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Sheet7!$L$94</c:f>
              <c:strCache>
                <c:ptCount val="1"/>
                <c:pt idx="0">
                  <c:v>R0</c:v>
                </c:pt>
              </c:strCache>
            </c:strRef>
          </c:tx>
          <c:marker>
            <c:symbol val="none"/>
          </c:marker>
          <c:xVal>
            <c:numRef>
              <c:f>Sheet7!$H$94</c:f>
              <c:numCache>
                <c:formatCode>0.00</c:formatCode>
                <c:ptCount val="1"/>
                <c:pt idx="0">
                  <c:v>1.4499985419999999</c:v>
                </c:pt>
              </c:numCache>
            </c:numRef>
          </c:xVal>
          <c:yVal>
            <c:numRef>
              <c:f>Sheet7!$K$94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Sheet7!$L$68</c:f>
              <c:strCache>
                <c:ptCount val="1"/>
                <c:pt idx="0">
                  <c:v>TS singlet</c:v>
                </c:pt>
              </c:strCache>
            </c:strRef>
          </c:tx>
          <c:marker>
            <c:symbol val="none"/>
          </c:marker>
          <c:xVal>
            <c:numRef>
              <c:f>Sheet7!$H$68</c:f>
              <c:numCache>
                <c:formatCode>0.00</c:formatCode>
                <c:ptCount val="1"/>
                <c:pt idx="0">
                  <c:v>2.7499985420000002</c:v>
                </c:pt>
              </c:numCache>
            </c:numRef>
          </c:xVal>
          <c:yVal>
            <c:numRef>
              <c:f>Sheet7!$K$68</c:f>
              <c:numCache>
                <c:formatCode>0.00</c:formatCode>
                <c:ptCount val="1"/>
                <c:pt idx="0">
                  <c:v>47.609312479733489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Sheet7!$L$63</c:f>
              <c:strCache>
                <c:ptCount val="1"/>
                <c:pt idx="0">
                  <c:v>PC</c:v>
                </c:pt>
              </c:strCache>
            </c:strRef>
          </c:tx>
          <c:marker>
            <c:symbol val="none"/>
          </c:marker>
          <c:xVal>
            <c:numRef>
              <c:f>Sheet7!$H$63</c:f>
              <c:numCache>
                <c:formatCode>0.00</c:formatCode>
                <c:ptCount val="1"/>
                <c:pt idx="0">
                  <c:v>2.9999985420000002</c:v>
                </c:pt>
              </c:numCache>
            </c:numRef>
          </c:xVal>
          <c:yVal>
            <c:numRef>
              <c:f>Sheet7!$K$63</c:f>
              <c:numCache>
                <c:formatCode>0.00</c:formatCode>
                <c:ptCount val="1"/>
                <c:pt idx="0">
                  <c:v>47.008696362754563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Sheet7!$R$66</c:f>
              <c:strCache>
                <c:ptCount val="1"/>
                <c:pt idx="0">
                  <c:v>TS triplet</c:v>
                </c:pt>
              </c:strCache>
            </c:strRef>
          </c:tx>
          <c:marker>
            <c:symbol val="none"/>
          </c:marker>
          <c:xVal>
            <c:numRef>
              <c:f>Sheet7!$N$66</c:f>
              <c:numCache>
                <c:formatCode>0.00</c:formatCode>
                <c:ptCount val="1"/>
                <c:pt idx="0">
                  <c:v>2.8500001994000002</c:v>
                </c:pt>
              </c:numCache>
            </c:numRef>
          </c:xVal>
          <c:yVal>
            <c:numRef>
              <c:f>Sheet7!$Q$66</c:f>
              <c:numCache>
                <c:formatCode>0.00</c:formatCode>
                <c:ptCount val="1"/>
                <c:pt idx="0">
                  <c:v>47.04931378357287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Sheet7!$R$85</c:f>
              <c:strCache>
                <c:ptCount val="1"/>
                <c:pt idx="0">
                  <c:v>R0 triplet</c:v>
                </c:pt>
              </c:strCache>
            </c:strRef>
          </c:tx>
          <c:marker>
            <c:symbol val="none"/>
          </c:marker>
          <c:xVal>
            <c:numRef>
              <c:f>Sheet7!$N$85</c:f>
              <c:numCache>
                <c:formatCode>0.00</c:formatCode>
                <c:ptCount val="1"/>
                <c:pt idx="0">
                  <c:v>1.9000001994</c:v>
                </c:pt>
              </c:numCache>
            </c:numRef>
          </c:xVal>
          <c:yVal>
            <c:numRef>
              <c:f>Sheet7!$Q$85</c:f>
              <c:numCache>
                <c:formatCode>0.00</c:formatCode>
                <c:ptCount val="1"/>
                <c:pt idx="0">
                  <c:v>42.952364665397909</c:v>
                </c:pt>
              </c:numCache>
            </c:numRef>
          </c:yVal>
          <c:smooth val="1"/>
        </c:ser>
        <c:ser>
          <c:idx val="7"/>
          <c:order val="5"/>
          <c:tx>
            <c:strRef>
              <c:f>Sheet7!$U$73</c:f>
              <c:strCache>
                <c:ptCount val="1"/>
                <c:pt idx="0">
                  <c:v>Avoided crossing</c:v>
                </c:pt>
              </c:strCache>
            </c:strRef>
          </c:tx>
          <c:marker>
            <c:symbol val="none"/>
          </c:marker>
          <c:xVal>
            <c:numRef>
              <c:f>Sheet7!$N$73</c:f>
              <c:numCache>
                <c:formatCode>0.00</c:formatCode>
                <c:ptCount val="1"/>
                <c:pt idx="0">
                  <c:v>2.5000001994000001</c:v>
                </c:pt>
              </c:numCache>
            </c:numRef>
          </c:xVal>
          <c:yVal>
            <c:numRef>
              <c:f>Sheet7!$Q$73</c:f>
              <c:numCache>
                <c:formatCode>0.00</c:formatCode>
                <c:ptCount val="1"/>
                <c:pt idx="0">
                  <c:v>45.985351087641902</c:v>
                </c:pt>
              </c:numCache>
            </c:numRef>
          </c:yVal>
          <c:smooth val="1"/>
        </c:ser>
        <c:ser>
          <c:idx val="5"/>
          <c:order val="6"/>
          <c:xVal>
            <c:numRef>
              <c:f>Sheet7!$H$107:$H$147</c:f>
              <c:numCache>
                <c:formatCode>0.00</c:formatCode>
                <c:ptCount val="41"/>
                <c:pt idx="0">
                  <c:v>3.2000006373000001</c:v>
                </c:pt>
                <c:pt idx="1">
                  <c:v>3.1500006372999998</c:v>
                </c:pt>
                <c:pt idx="2">
                  <c:v>3.1000006373</c:v>
                </c:pt>
                <c:pt idx="3">
                  <c:v>3.0500006373000002</c:v>
                </c:pt>
                <c:pt idx="4">
                  <c:v>3.0000006372999999</c:v>
                </c:pt>
                <c:pt idx="5">
                  <c:v>2.9500006373000001</c:v>
                </c:pt>
                <c:pt idx="6">
                  <c:v>2.9000006372999998</c:v>
                </c:pt>
                <c:pt idx="7">
                  <c:v>2.8500006373</c:v>
                </c:pt>
                <c:pt idx="8">
                  <c:v>2.8000006373000002</c:v>
                </c:pt>
                <c:pt idx="9">
                  <c:v>2.7500006372999999</c:v>
                </c:pt>
                <c:pt idx="10">
                  <c:v>2.7000006373000001</c:v>
                </c:pt>
                <c:pt idx="11">
                  <c:v>2.6500006372999998</c:v>
                </c:pt>
                <c:pt idx="12">
                  <c:v>2.6000006373</c:v>
                </c:pt>
                <c:pt idx="13">
                  <c:v>2.5500006373000002</c:v>
                </c:pt>
                <c:pt idx="14">
                  <c:v>2.5000006372999999</c:v>
                </c:pt>
                <c:pt idx="15">
                  <c:v>2.4500006373000001</c:v>
                </c:pt>
                <c:pt idx="16">
                  <c:v>2.4000006372999998</c:v>
                </c:pt>
                <c:pt idx="17">
                  <c:v>2.3500006373</c:v>
                </c:pt>
                <c:pt idx="18">
                  <c:v>2.3000006373000002</c:v>
                </c:pt>
                <c:pt idx="19">
                  <c:v>2.2500006372999999</c:v>
                </c:pt>
                <c:pt idx="20">
                  <c:v>2.2000006373000001</c:v>
                </c:pt>
                <c:pt idx="21">
                  <c:v>2.1500006372999998</c:v>
                </c:pt>
                <c:pt idx="22">
                  <c:v>2.1000006373</c:v>
                </c:pt>
                <c:pt idx="23">
                  <c:v>2.0500006373000002</c:v>
                </c:pt>
                <c:pt idx="24">
                  <c:v>2.0000006372999999</c:v>
                </c:pt>
                <c:pt idx="25">
                  <c:v>1.9500006373000001</c:v>
                </c:pt>
                <c:pt idx="26">
                  <c:v>1.9000006373</c:v>
                </c:pt>
                <c:pt idx="27">
                  <c:v>1.8500006373</c:v>
                </c:pt>
                <c:pt idx="28">
                  <c:v>1.8000006372999999</c:v>
                </c:pt>
                <c:pt idx="29">
                  <c:v>1.7500006373000001</c:v>
                </c:pt>
                <c:pt idx="30">
                  <c:v>1.7000006373000001</c:v>
                </c:pt>
                <c:pt idx="31">
                  <c:v>1.6500006373</c:v>
                </c:pt>
                <c:pt idx="32">
                  <c:v>1.6000006373</c:v>
                </c:pt>
                <c:pt idx="33">
                  <c:v>1.5500006372999999</c:v>
                </c:pt>
                <c:pt idx="34">
                  <c:v>1.5000006373000001</c:v>
                </c:pt>
                <c:pt idx="35">
                  <c:v>1.4500006373000001</c:v>
                </c:pt>
                <c:pt idx="36">
                  <c:v>1.4000006373</c:v>
                </c:pt>
                <c:pt idx="37">
                  <c:v>1.3500006373</c:v>
                </c:pt>
                <c:pt idx="38">
                  <c:v>1.3000006372999999</c:v>
                </c:pt>
                <c:pt idx="39">
                  <c:v>1.2500006373000001</c:v>
                </c:pt>
                <c:pt idx="40">
                  <c:v>1.2000006373000001</c:v>
                </c:pt>
              </c:numCache>
            </c:numRef>
          </c:xVal>
          <c:yVal>
            <c:numRef>
              <c:f>Sheet7!$K$107:$K$147</c:f>
              <c:numCache>
                <c:formatCode>0.0</c:formatCode>
                <c:ptCount val="41"/>
                <c:pt idx="0">
                  <c:v>46.671337959938683</c:v>
                </c:pt>
                <c:pt idx="1">
                  <c:v>46.507774527970469</c:v>
                </c:pt>
                <c:pt idx="2">
                  <c:v>46.363300555880414</c:v>
                </c:pt>
                <c:pt idx="3">
                  <c:v>46.243394199686009</c:v>
                </c:pt>
                <c:pt idx="4">
                  <c:v>46.152599881650531</c:v>
                </c:pt>
                <c:pt idx="5">
                  <c:v>46.072129346299334</c:v>
                </c:pt>
                <c:pt idx="6">
                  <c:v>45.988375682383776</c:v>
                </c:pt>
                <c:pt idx="7">
                  <c:v>45.957969720111578</c:v>
                </c:pt>
                <c:pt idx="8">
                  <c:v>45.993498668176471</c:v>
                </c:pt>
                <c:pt idx="9">
                  <c:v>46.110140093544032</c:v>
                </c:pt>
                <c:pt idx="10">
                  <c:v>46.325801856190083</c:v>
                </c:pt>
                <c:pt idx="11">
                  <c:v>46.410329239035491</c:v>
                </c:pt>
                <c:pt idx="12">
                  <c:v>46.312086385805742</c:v>
                </c:pt>
                <c:pt idx="13">
                  <c:v>46.020051723462529</c:v>
                </c:pt>
                <c:pt idx="14">
                  <c:v>45.604883424675791</c:v>
                </c:pt>
                <c:pt idx="15">
                  <c:v>45.075613230568706</c:v>
                </c:pt>
                <c:pt idx="16">
                  <c:v>44.435772763361456</c:v>
                </c:pt>
                <c:pt idx="17">
                  <c:v>43.681751962198177</c:v>
                </c:pt>
                <c:pt idx="18">
                  <c:v>42.804261807119474</c:v>
                </c:pt>
                <c:pt idx="19">
                  <c:v>41.788781105860835</c:v>
                </c:pt>
                <c:pt idx="20">
                  <c:v>40.615121002265369</c:v>
                </c:pt>
                <c:pt idx="21">
                  <c:v>39.256572191254236</c:v>
                </c:pt>
                <c:pt idx="22">
                  <c:v>37.678014860794065</c:v>
                </c:pt>
                <c:pt idx="23">
                  <c:v>35.833287545596249</c:v>
                </c:pt>
                <c:pt idx="24">
                  <c:v>33.661755278721103</c:v>
                </c:pt>
                <c:pt idx="25">
                  <c:v>31.082931837067008</c:v>
                </c:pt>
                <c:pt idx="26">
                  <c:v>27.989071366857388</c:v>
                </c:pt>
                <c:pt idx="27">
                  <c:v>24.236019925709115</c:v>
                </c:pt>
                <c:pt idx="28">
                  <c:v>19.920407668003463</c:v>
                </c:pt>
                <c:pt idx="29">
                  <c:v>15.712254492376815</c:v>
                </c:pt>
                <c:pt idx="30">
                  <c:v>11.726974416058511</c:v>
                </c:pt>
                <c:pt idx="31">
                  <c:v>8.0669468334381236</c:v>
                </c:pt>
                <c:pt idx="32">
                  <c:v>4.8650292648235336</c:v>
                </c:pt>
                <c:pt idx="33">
                  <c:v>2.2937547598412493</c:v>
                </c:pt>
                <c:pt idx="34">
                  <c:v>0.57656431368377525</c:v>
                </c:pt>
                <c:pt idx="35">
                  <c:v>0</c:v>
                </c:pt>
                <c:pt idx="36">
                  <c:v>0.92888002774270717</c:v>
                </c:pt>
                <c:pt idx="37">
                  <c:v>3.8312679631344508</c:v>
                </c:pt>
                <c:pt idx="38">
                  <c:v>9.3161515245155897</c:v>
                </c:pt>
                <c:pt idx="39">
                  <c:v>18.188945150744985</c:v>
                </c:pt>
                <c:pt idx="40">
                  <c:v>31.526142270653509</c:v>
                </c:pt>
              </c:numCache>
            </c:numRef>
          </c:yVal>
          <c:smooth val="1"/>
        </c:ser>
        <c:ser>
          <c:idx val="8"/>
          <c:order val="7"/>
          <c:xVal>
            <c:numRef>
              <c:f>Sheet7!$N$107:$N$137</c:f>
              <c:numCache>
                <c:formatCode>0.00</c:formatCode>
                <c:ptCount val="31"/>
                <c:pt idx="0">
                  <c:v>3.1999995136999999</c:v>
                </c:pt>
                <c:pt idx="1">
                  <c:v>3.1499995137000001</c:v>
                </c:pt>
                <c:pt idx="2">
                  <c:v>3.0999995136999998</c:v>
                </c:pt>
                <c:pt idx="3">
                  <c:v>3.0499995137</c:v>
                </c:pt>
                <c:pt idx="4">
                  <c:v>2.9999995137000002</c:v>
                </c:pt>
                <c:pt idx="5">
                  <c:v>2.9499995136999999</c:v>
                </c:pt>
                <c:pt idx="6">
                  <c:v>2.8999995137000001</c:v>
                </c:pt>
                <c:pt idx="7">
                  <c:v>2.8499995136999998</c:v>
                </c:pt>
                <c:pt idx="8">
                  <c:v>2.7999995137</c:v>
                </c:pt>
                <c:pt idx="9">
                  <c:v>2.7499995137000002</c:v>
                </c:pt>
                <c:pt idx="10">
                  <c:v>2.6999995136999999</c:v>
                </c:pt>
                <c:pt idx="11">
                  <c:v>2.6499995137000001</c:v>
                </c:pt>
                <c:pt idx="12">
                  <c:v>2.5999995136999998</c:v>
                </c:pt>
                <c:pt idx="13">
                  <c:v>2.5499995137</c:v>
                </c:pt>
                <c:pt idx="14">
                  <c:v>2.4999995137000002</c:v>
                </c:pt>
                <c:pt idx="15">
                  <c:v>2.4499995136999999</c:v>
                </c:pt>
                <c:pt idx="16">
                  <c:v>2.3999995137000001</c:v>
                </c:pt>
                <c:pt idx="17">
                  <c:v>2.3499995136999998</c:v>
                </c:pt>
                <c:pt idx="18">
                  <c:v>2.2999995137</c:v>
                </c:pt>
                <c:pt idx="19">
                  <c:v>2.2499995137000002</c:v>
                </c:pt>
                <c:pt idx="20">
                  <c:v>2.1999995136999999</c:v>
                </c:pt>
                <c:pt idx="21">
                  <c:v>2.1499995137000001</c:v>
                </c:pt>
                <c:pt idx="22">
                  <c:v>2.0999995136999998</c:v>
                </c:pt>
                <c:pt idx="23">
                  <c:v>2.0499995137</c:v>
                </c:pt>
                <c:pt idx="24">
                  <c:v>1.9999995137</c:v>
                </c:pt>
                <c:pt idx="25">
                  <c:v>1.9499995136999999</c:v>
                </c:pt>
                <c:pt idx="26">
                  <c:v>1.8999995137000001</c:v>
                </c:pt>
                <c:pt idx="27">
                  <c:v>1.8499995137</c:v>
                </c:pt>
                <c:pt idx="28">
                  <c:v>1.7999995137</c:v>
                </c:pt>
                <c:pt idx="29">
                  <c:v>1.7499995137</c:v>
                </c:pt>
                <c:pt idx="30">
                  <c:v>1.6999995136999999</c:v>
                </c:pt>
              </c:numCache>
            </c:numRef>
          </c:xVal>
          <c:yVal>
            <c:numRef>
              <c:f>Sheet7!$Q$107:$Q$137</c:f>
              <c:numCache>
                <c:formatCode>0.0</c:formatCode>
                <c:ptCount val="31"/>
                <c:pt idx="0">
                  <c:v>46.714375056573772</c:v>
                </c:pt>
                <c:pt idx="1">
                  <c:v>46.558955440064892</c:v>
                </c:pt>
                <c:pt idx="2">
                  <c:v>46.424109342871816</c:v>
                </c:pt>
                <c:pt idx="3">
                  <c:v>46.31546238574083</c:v>
                </c:pt>
                <c:pt idx="4">
                  <c:v>46.237818779714871</c:v>
                </c:pt>
                <c:pt idx="5">
                  <c:v>46.166854382492602</c:v>
                </c:pt>
                <c:pt idx="6">
                  <c:v>46.102559781429591</c:v>
                </c:pt>
                <c:pt idx="7">
                  <c:v>46.095828489356791</c:v>
                </c:pt>
                <c:pt idx="8">
                  <c:v>46.16026239747589</c:v>
                </c:pt>
                <c:pt idx="9">
                  <c:v>46.312159176872228</c:v>
                </c:pt>
                <c:pt idx="10">
                  <c:v>46.570871841337066</c:v>
                </c:pt>
                <c:pt idx="11">
                  <c:v>46.959283144315123</c:v>
                </c:pt>
                <c:pt idx="12">
                  <c:v>47.504419283111929</c:v>
                </c:pt>
                <c:pt idx="13">
                  <c:v>47.735173271488748</c:v>
                </c:pt>
                <c:pt idx="14">
                  <c:v>48.186966777037014</c:v>
                </c:pt>
                <c:pt idx="15">
                  <c:v>48.602376666894997</c:v>
                </c:pt>
                <c:pt idx="16">
                  <c:v>48.91366770658351</c:v>
                </c:pt>
                <c:pt idx="17">
                  <c:v>49.125912053670618</c:v>
                </c:pt>
                <c:pt idx="18">
                  <c:v>49.264088970128796</c:v>
                </c:pt>
                <c:pt idx="19">
                  <c:v>49.34155185346026</c:v>
                </c:pt>
                <c:pt idx="20">
                  <c:v>49.362671933384263</c:v>
                </c:pt>
                <c:pt idx="21">
                  <c:v>49.323131946002832</c:v>
                </c:pt>
                <c:pt idx="22">
                  <c:v>49.211210645429674</c:v>
                </c:pt>
                <c:pt idx="23">
                  <c:v>49.00598749970959</c:v>
                </c:pt>
                <c:pt idx="24">
                  <c:v>48.672759990513441</c:v>
                </c:pt>
                <c:pt idx="25">
                  <c:v>48.193817923383904</c:v>
                </c:pt>
                <c:pt idx="26">
                  <c:v>48.026751734592835</c:v>
                </c:pt>
                <c:pt idx="27">
                  <c:v>48.407940405741101</c:v>
                </c:pt>
                <c:pt idx="28">
                  <c:v>49.47622852314089</c:v>
                </c:pt>
                <c:pt idx="29">
                  <c:v>51.392028167174431</c:v>
                </c:pt>
                <c:pt idx="30">
                  <c:v>54.339554727761424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56416"/>
        <c:axId val="104558592"/>
      </c:scatterChart>
      <c:valAx>
        <c:axId val="104556416"/>
        <c:scaling>
          <c:orientation val="minMax"/>
          <c:max val="3.3"/>
          <c:min val="1.1500000000000001"/>
        </c:scaling>
        <c:delete val="0"/>
        <c:axPos val="b"/>
        <c:title>
          <c:tx>
            <c:rich>
              <a:bodyPr/>
              <a:lstStyle/>
              <a:p>
                <a:pPr algn="ctr">
                  <a:defRPr sz="1400" b="0"/>
                </a:pPr>
                <a:r>
                  <a:rPr lang="da-DK" sz="1400" b="0"/>
                  <a:t>r</a:t>
                </a:r>
                <a:r>
                  <a:rPr lang="da-DK" sz="1400" b="0" baseline="-25000"/>
                  <a:t>O-O</a:t>
                </a:r>
                <a:r>
                  <a:rPr lang="da-DK" sz="1400" b="0" baseline="0"/>
                  <a:t>  [Å]</a:t>
                </a:r>
                <a:endParaRPr lang="da-DK" sz="1400" b="0" baseline="-25000"/>
              </a:p>
            </c:rich>
          </c:tx>
          <c:layout>
            <c:manualLayout>
              <c:xMode val="edge"/>
              <c:yMode val="edge"/>
              <c:x val="0.48712019890260788"/>
              <c:y val="0.92592916666666669"/>
            </c:manualLayout>
          </c:layout>
          <c:overlay val="0"/>
        </c:title>
        <c:numFmt formatCode="0.00" sourceLinked="1"/>
        <c:majorTickMark val="out"/>
        <c:minorTickMark val="out"/>
        <c:tickLblPos val="low"/>
        <c:txPr>
          <a:bodyPr/>
          <a:lstStyle/>
          <a:p>
            <a:pPr>
              <a:defRPr sz="1400"/>
            </a:pPr>
            <a:endParaRPr lang="da-DK"/>
          </a:p>
        </c:txPr>
        <c:crossAx val="104558592"/>
        <c:crosses val="autoZero"/>
        <c:crossBetween val="midCat"/>
        <c:majorUnit val="0.2"/>
        <c:minorUnit val="0.05"/>
      </c:valAx>
      <c:valAx>
        <c:axId val="104558592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Potential energy [kCal/mol]</a:t>
                </a:r>
              </a:p>
            </c:rich>
          </c:tx>
          <c:layout>
            <c:manualLayout>
              <c:xMode val="edge"/>
              <c:yMode val="edge"/>
              <c:x val="1.241941015089159E-3"/>
              <c:y val="0.18262083333333334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4556416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49675137174211248"/>
          <c:y val="0.52995222222222227"/>
          <c:w val="0.15467781207133074"/>
          <c:h val="0.16170611111111124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Sheet8!$R$34</c:f>
              <c:strCache>
                <c:ptCount val="1"/>
                <c:pt idx="0">
                  <c:v>exp.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4548370430074192"/>
                  <c:y val="-0.15527012248468938"/>
                </c:manualLayout>
              </c:layout>
              <c:numFmt formatCode="General" sourceLinked="0"/>
            </c:trendlineLbl>
          </c:trendline>
          <c:xVal>
            <c:numRef>
              <c:f>Sheet8!$O$36:$O$40</c:f>
              <c:numCache>
                <c:formatCode>0.00E+00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Sheet8!$W$36:$W$40</c:f>
              <c:numCache>
                <c:formatCode>0.00</c:formatCode>
                <c:ptCount val="5"/>
                <c:pt idx="0">
                  <c:v>0.10436001532424286</c:v>
                </c:pt>
                <c:pt idx="1">
                  <c:v>0.36464311358790924</c:v>
                </c:pt>
                <c:pt idx="2">
                  <c:v>0.64710324205853842</c:v>
                </c:pt>
                <c:pt idx="3">
                  <c:v>1.1118575154181303</c:v>
                </c:pt>
                <c:pt idx="4">
                  <c:v>1.6193882432872684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Sheet8!$X$35</c:f>
              <c:strCache>
                <c:ptCount val="1"/>
                <c:pt idx="0">
                  <c:v>ln(calc)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7435509537685742"/>
                  <c:y val="-0.106220107903179"/>
                </c:manualLayout>
              </c:layout>
              <c:numFmt formatCode="General" sourceLinked="0"/>
            </c:trendlineLbl>
          </c:trendline>
          <c:xVal>
            <c:numRef>
              <c:f>Sheet8!$O$36:$O$40</c:f>
              <c:numCache>
                <c:formatCode>0.00E+00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Sheet8!$X$36:$X$40</c:f>
              <c:numCache>
                <c:formatCode>0.00</c:formatCode>
                <c:ptCount val="5"/>
                <c:pt idx="0">
                  <c:v>5.5296317770880261</c:v>
                </c:pt>
                <c:pt idx="1">
                  <c:v>5.8874130934725422</c:v>
                </c:pt>
                <c:pt idx="2">
                  <c:v>6.2680295267516932</c:v>
                </c:pt>
                <c:pt idx="3">
                  <c:v>6.6903565326898233</c:v>
                </c:pt>
                <c:pt idx="4">
                  <c:v>7.1038135163795868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93120"/>
        <c:axId val="104707200"/>
      </c:scatterChart>
      <c:valAx>
        <c:axId val="104693120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04707200"/>
        <c:crosses val="autoZero"/>
        <c:crossBetween val="midCat"/>
      </c:valAx>
      <c:valAx>
        <c:axId val="1047072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04693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0422647169103883"/>
                  <c:y val="-0.45619604841061523"/>
                </c:manualLayout>
              </c:layout>
              <c:numFmt formatCode="General" sourceLinked="0"/>
            </c:trendlineLbl>
          </c:trendline>
          <c:xVal>
            <c:numRef>
              <c:f>Sheet8!$W$38:$W$40</c:f>
              <c:numCache>
                <c:formatCode>0.00</c:formatCode>
                <c:ptCount val="3"/>
                <c:pt idx="0">
                  <c:v>0.64710324205853842</c:v>
                </c:pt>
                <c:pt idx="1">
                  <c:v>1.1118575154181303</c:v>
                </c:pt>
                <c:pt idx="2">
                  <c:v>1.6193882432872684</c:v>
                </c:pt>
              </c:numCache>
            </c:numRef>
          </c:xVal>
          <c:yVal>
            <c:numRef>
              <c:f>Sheet8!$O$38:$O$40</c:f>
              <c:numCache>
                <c:formatCode>0.00E+00</c:formatCode>
                <c:ptCount val="3"/>
                <c:pt idx="0">
                  <c:v>1.3859053426650962E-3</c:v>
                </c:pt>
                <c:pt idx="1">
                  <c:v>1.366960563187752E-3</c:v>
                </c:pt>
                <c:pt idx="2">
                  <c:v>1.3483449066271152E-3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07872"/>
        <c:axId val="104209408"/>
      </c:scatterChart>
      <c:valAx>
        <c:axId val="10420787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04209408"/>
        <c:crosses val="autoZero"/>
        <c:crossBetween val="midCat"/>
      </c:valAx>
      <c:valAx>
        <c:axId val="104209408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04207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41907261592301"/>
          <c:y val="5.1400554097404488E-2"/>
          <c:w val="0.61502537182852246"/>
          <c:h val="0.8971988918051916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Sheet9!$E$31</c:f>
              <c:strCache>
                <c:ptCount val="1"/>
                <c:pt idx="0">
                  <c:v>exp. k0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2436548556430446"/>
                  <c:y val="-0.43266076115485713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Sheet9!$L$33:$L$37</c:f>
              <c:numCache>
                <c:formatCode>0.00</c:formatCode>
                <c:ptCount val="5"/>
                <c:pt idx="0">
                  <c:v>0.10436001532424286</c:v>
                </c:pt>
                <c:pt idx="1">
                  <c:v>0.36464311358790924</c:v>
                </c:pt>
                <c:pt idx="2">
                  <c:v>0.64710324205853842</c:v>
                </c:pt>
                <c:pt idx="3">
                  <c:v>1.1118575154181303</c:v>
                </c:pt>
                <c:pt idx="4">
                  <c:v>1.6193882432872684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Sheet9!$H$31</c:f>
              <c:strCache>
                <c:ptCount val="1"/>
                <c:pt idx="0">
                  <c:v>CBS-QB3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667629046369203"/>
                  <c:y val="3.1029090113735801E-2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Sheet9!$M$33:$M$37</c:f>
              <c:numCache>
                <c:formatCode>0.00</c:formatCode>
                <c:ptCount val="5"/>
                <c:pt idx="0">
                  <c:v>-0.61408223264561645</c:v>
                </c:pt>
                <c:pt idx="1">
                  <c:v>-0.19755702550010276</c:v>
                </c:pt>
                <c:pt idx="2">
                  <c:v>0.24545537710336501</c:v>
                </c:pt>
                <c:pt idx="3">
                  <c:v>0.73759068881427969</c:v>
                </c:pt>
                <c:pt idx="4">
                  <c:v>1.218489369520062</c:v>
                </c:pt>
              </c:numCache>
            </c:numRef>
          </c:y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trendline>
            <c:trendlineType val="linear"/>
            <c:forward val="2.0000000000000046E-5"/>
            <c:dispRSqr val="0"/>
            <c:dispEq val="0"/>
          </c:trendline>
          <c:xVal>
            <c:numRef>
              <c:f>Sheet9!$B$35:$B$37</c:f>
              <c:numCache>
                <c:formatCode>0.000000E+00</c:formatCode>
                <c:ptCount val="3"/>
                <c:pt idx="0">
                  <c:v>1.3859053426650962E-3</c:v>
                </c:pt>
                <c:pt idx="1">
                  <c:v>1.366960563187752E-3</c:v>
                </c:pt>
                <c:pt idx="2">
                  <c:v>1.3483449066271152E-3</c:v>
                </c:pt>
              </c:numCache>
            </c:numRef>
          </c:xVal>
          <c:yVal>
            <c:numRef>
              <c:f>Sheet9!$L$35:$L$37</c:f>
              <c:numCache>
                <c:formatCode>0.00</c:formatCode>
                <c:ptCount val="3"/>
                <c:pt idx="0">
                  <c:v>0.64710324205853842</c:v>
                </c:pt>
                <c:pt idx="1">
                  <c:v>1.1118575154181303</c:v>
                </c:pt>
                <c:pt idx="2">
                  <c:v>1.6193882432872684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74944"/>
        <c:axId val="104280832"/>
      </c:scatterChart>
      <c:valAx>
        <c:axId val="104274944"/>
        <c:scaling>
          <c:orientation val="minMax"/>
        </c:scaling>
        <c:delete val="1"/>
        <c:axPos val="b"/>
        <c:numFmt formatCode="0.000000E+00" sourceLinked="1"/>
        <c:majorTickMark val="out"/>
        <c:minorTickMark val="none"/>
        <c:tickLblPos val="none"/>
        <c:crossAx val="104280832"/>
        <c:crosses val="autoZero"/>
        <c:crossBetween val="midCat"/>
      </c:valAx>
      <c:valAx>
        <c:axId val="10428083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042749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41907261592301"/>
          <c:y val="5.1400554097404488E-2"/>
          <c:w val="0.61502537182852279"/>
          <c:h val="0.8971988918051916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Sheet9!$E$31</c:f>
              <c:strCache>
                <c:ptCount val="1"/>
                <c:pt idx="0">
                  <c:v>exp. k0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1.5197336724975538E-2"/>
                  <c:y val="-0.14529955042748402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Sheet9!$F$33:$F$37</c:f>
              <c:numCache>
                <c:formatCode>0.000E+00</c:formatCode>
                <c:ptCount val="5"/>
                <c:pt idx="0">
                  <c:v>7.5600086806547039E-14</c:v>
                </c:pt>
                <c:pt idx="1">
                  <c:v>9.696121251244992E-14</c:v>
                </c:pt>
                <c:pt idx="2">
                  <c:v>1.270397726507509E-13</c:v>
                </c:pt>
                <c:pt idx="3">
                  <c:v>1.9943544227199862E-13</c:v>
                </c:pt>
                <c:pt idx="4">
                  <c:v>3.2678728389229337E-13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Sheet9!$K$48</c:f>
              <c:strCache>
                <c:ptCount val="1"/>
                <c:pt idx="0">
                  <c:v>B3LYP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5153001766528029"/>
                  <c:y val="-3.8246823107507599E-2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Sheet9!$M$42:$M$46</c:f>
              <c:numCache>
                <c:formatCode>0.00</c:formatCode>
                <c:ptCount val="5"/>
                <c:pt idx="0">
                  <c:v>1.7165702375007366</c:v>
                </c:pt>
                <c:pt idx="1">
                  <c:v>2.0889848484032272</c:v>
                </c:pt>
                <c:pt idx="2">
                  <c:v>2.4847162046127647</c:v>
                </c:pt>
                <c:pt idx="3">
                  <c:v>2.9233854435988307</c:v>
                </c:pt>
                <c:pt idx="4">
                  <c:v>3.3540077622399518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Sheet9!$K$31</c:f>
              <c:strCache>
                <c:ptCount val="1"/>
                <c:pt idx="0">
                  <c:v>CBS-QB3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13517009595244373"/>
                  <c:y val="-6.0068293443517697E-2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Sheet9!$M$33:$M$37</c:f>
              <c:numCache>
                <c:formatCode>0.00</c:formatCode>
                <c:ptCount val="5"/>
                <c:pt idx="0">
                  <c:v>-0.61408223264561645</c:v>
                </c:pt>
                <c:pt idx="1">
                  <c:v>-0.19755702550010276</c:v>
                </c:pt>
                <c:pt idx="2">
                  <c:v>0.24545537710336501</c:v>
                </c:pt>
                <c:pt idx="3">
                  <c:v>0.73759068881427969</c:v>
                </c:pt>
                <c:pt idx="4">
                  <c:v>1.218489369520062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13984"/>
        <c:axId val="104315520"/>
      </c:scatterChart>
      <c:valAx>
        <c:axId val="104313984"/>
        <c:scaling>
          <c:orientation val="minMax"/>
        </c:scaling>
        <c:delete val="1"/>
        <c:axPos val="b"/>
        <c:numFmt formatCode="0.000000E+00" sourceLinked="1"/>
        <c:majorTickMark val="out"/>
        <c:minorTickMark val="none"/>
        <c:tickLblPos val="none"/>
        <c:crossAx val="104315520"/>
        <c:crosses val="autoZero"/>
        <c:crossBetween val="midCat"/>
      </c:valAx>
      <c:valAx>
        <c:axId val="104315520"/>
        <c:scaling>
          <c:orientation val="minMax"/>
        </c:scaling>
        <c:delete val="0"/>
        <c:axPos val="l"/>
        <c:numFmt formatCode="0.000E+00" sourceLinked="1"/>
        <c:majorTickMark val="out"/>
        <c:minorTickMark val="none"/>
        <c:tickLblPos val="nextTo"/>
        <c:crossAx val="1043139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41907261592301"/>
          <c:y val="5.1400554097404488E-2"/>
          <c:w val="0.7539697263869416"/>
          <c:h val="0.89719889180519163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Sheet9!$G$48</c:f>
              <c:strCache>
                <c:ptCount val="1"/>
                <c:pt idx="0">
                  <c:v>exp.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-6.8049566093394867E-2"/>
                  <c:y val="-0.12919751407990968"/>
                </c:manualLayout>
              </c:layout>
              <c:numFmt formatCode="General" sourceLinked="0"/>
            </c:trendlineLbl>
          </c:trendline>
          <c:xVal>
            <c:numRef>
              <c:f>Sheet9!$A$50:$A$54</c:f>
              <c:numCache>
                <c:formatCode>0.00</c:formatCode>
                <c:ptCount val="5"/>
                <c:pt idx="0">
                  <c:v>704.65</c:v>
                </c:pt>
                <c:pt idx="1">
                  <c:v>712.75</c:v>
                </c:pt>
                <c:pt idx="2">
                  <c:v>721.55</c:v>
                </c:pt>
                <c:pt idx="3">
                  <c:v>731.55</c:v>
                </c:pt>
                <c:pt idx="4">
                  <c:v>741.65</c:v>
                </c:pt>
              </c:numCache>
            </c:numRef>
          </c:xVal>
          <c:yVal>
            <c:numRef>
              <c:f>Sheet9!$F$50:$F$54</c:f>
              <c:numCache>
                <c:formatCode>0.0E+00</c:formatCode>
                <c:ptCount val="5"/>
                <c:pt idx="0">
                  <c:v>7.5600086806547039E-14</c:v>
                </c:pt>
                <c:pt idx="1">
                  <c:v>9.696121251244992E-14</c:v>
                </c:pt>
                <c:pt idx="2">
                  <c:v>1.270397726507509E-13</c:v>
                </c:pt>
                <c:pt idx="3">
                  <c:v>1.9943544227199862E-13</c:v>
                </c:pt>
                <c:pt idx="4">
                  <c:v>3.2678728389229337E-13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Sheet9!$K$48</c:f>
              <c:strCache>
                <c:ptCount val="1"/>
                <c:pt idx="0">
                  <c:v>B3LYP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0.1085605167617522"/>
                  <c:y val="-0.29773163173537726"/>
                </c:manualLayout>
              </c:layout>
              <c:numFmt formatCode="General" sourceLinked="0"/>
            </c:trendlineLbl>
          </c:trendline>
          <c:xVal>
            <c:numRef>
              <c:f>Sheet9!$A$50:$A$54</c:f>
              <c:numCache>
                <c:formatCode>0.00</c:formatCode>
                <c:ptCount val="5"/>
                <c:pt idx="0">
                  <c:v>704.65</c:v>
                </c:pt>
                <c:pt idx="1">
                  <c:v>712.75</c:v>
                </c:pt>
                <c:pt idx="2">
                  <c:v>721.55</c:v>
                </c:pt>
                <c:pt idx="3">
                  <c:v>731.55</c:v>
                </c:pt>
                <c:pt idx="4">
                  <c:v>741.65</c:v>
                </c:pt>
              </c:numCache>
            </c:numRef>
          </c:xVal>
          <c:yVal>
            <c:numRef>
              <c:f>Sheet9!$K$33:$K$37</c:f>
              <c:numCache>
                <c:formatCode>0.0E+00</c:formatCode>
                <c:ptCount val="5"/>
                <c:pt idx="0">
                  <c:v>3.685588043255221E-14</c:v>
                </c:pt>
                <c:pt idx="1">
                  <c:v>5.5263402404624267E-14</c:v>
                </c:pt>
                <c:pt idx="2">
                  <c:v>8.5017094068059631E-14</c:v>
                </c:pt>
                <c:pt idx="3">
                  <c:v>1.3717037409501236E-13</c:v>
                </c:pt>
                <c:pt idx="4">
                  <c:v>2.188552554933847E-13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Sheet9!$K$40</c:f>
              <c:strCache>
                <c:ptCount val="1"/>
                <c:pt idx="0">
                  <c:v>B3LYP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-0.29064108004463518"/>
                  <c:y val="0.1702341251747794"/>
                </c:manualLayout>
              </c:layout>
              <c:numFmt formatCode="General" sourceLinked="0"/>
            </c:trendlineLbl>
          </c:trendline>
          <c:xVal>
            <c:numRef>
              <c:f>Sheet9!$A$42:$A$46</c:f>
              <c:numCache>
                <c:formatCode>0.00</c:formatCode>
                <c:ptCount val="5"/>
                <c:pt idx="0">
                  <c:v>704.65</c:v>
                </c:pt>
                <c:pt idx="1">
                  <c:v>712.75</c:v>
                </c:pt>
                <c:pt idx="2">
                  <c:v>721.55</c:v>
                </c:pt>
                <c:pt idx="3">
                  <c:v>731.55</c:v>
                </c:pt>
                <c:pt idx="4">
                  <c:v>741.65</c:v>
                </c:pt>
              </c:numCache>
            </c:numRef>
          </c:xVal>
          <c:yVal>
            <c:numRef>
              <c:f>Sheet9!$K$42:$K$46</c:f>
              <c:numCache>
                <c:formatCode>0.0E+00</c:formatCode>
                <c:ptCount val="5"/>
                <c:pt idx="0">
                  <c:v>3.7904982226113066E-13</c:v>
                </c:pt>
                <c:pt idx="1">
                  <c:v>5.4383873633239388E-13</c:v>
                </c:pt>
                <c:pt idx="2">
                  <c:v>7.980036492732957E-13</c:v>
                </c:pt>
                <c:pt idx="3">
                  <c:v>1.2205032034194303E-12</c:v>
                </c:pt>
                <c:pt idx="4">
                  <c:v>1.8518287997679806E-12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60192"/>
        <c:axId val="104366080"/>
      </c:scatterChart>
      <c:valAx>
        <c:axId val="10436019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104366080"/>
        <c:crosses val="autoZero"/>
        <c:crossBetween val="midCat"/>
      </c:valAx>
      <c:valAx>
        <c:axId val="104366080"/>
        <c:scaling>
          <c:orientation val="minMax"/>
        </c:scaling>
        <c:delete val="0"/>
        <c:axPos val="l"/>
        <c:numFmt formatCode="0.0E+00" sourceLinked="0"/>
        <c:majorTickMark val="out"/>
        <c:minorTickMark val="none"/>
        <c:tickLblPos val="nextTo"/>
        <c:crossAx val="104360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2068263251338"/>
          <c:y val="0.11135024788568106"/>
          <c:w val="0.80560634277561749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Sheet10!$Z$5:$Z$9</c:f>
              <c:numCache>
                <c:formatCode>0.000E+00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Sheet10!$AC$5:$AC$9</c:f>
              <c:numCache>
                <c:formatCode>0.000E+00</c:formatCode>
                <c:ptCount val="5"/>
                <c:pt idx="0">
                  <c:v>-21.874295957746348</c:v>
                </c:pt>
                <c:pt idx="1">
                  <c:v>-21.625442361637944</c:v>
                </c:pt>
                <c:pt idx="2">
                  <c:v>-21.355253181256622</c:v>
                </c:pt>
                <c:pt idx="3">
                  <c:v>-20.904262802839114</c:v>
                </c:pt>
                <c:pt idx="4">
                  <c:v>-20.410443937915424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46400"/>
        <c:axId val="105048320"/>
      </c:scatterChart>
      <c:valAx>
        <c:axId val="105046400"/>
        <c:scaling>
          <c:orientation val="minMax"/>
          <c:max val="1.4300000000000024E-3"/>
          <c:min val="1.3400000000000022E-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a-DK" sz="1400" b="0"/>
                  <a:t>T</a:t>
                </a:r>
                <a:r>
                  <a:rPr lang="da-DK" sz="1400" b="0" baseline="30000"/>
                  <a:t>-1</a:t>
                </a:r>
                <a:r>
                  <a:rPr lang="da-DK" sz="1400" b="0"/>
                  <a:t> [</a:t>
                </a:r>
                <a:r>
                  <a:rPr lang="da-DK" sz="1400" b="0" baseline="30000"/>
                  <a:t>o</a:t>
                </a:r>
                <a:r>
                  <a:rPr lang="da-DK" sz="1400" b="0"/>
                  <a:t>K</a:t>
                </a:r>
                <a:r>
                  <a:rPr lang="da-DK" sz="1400" b="0" baseline="30000"/>
                  <a:t>-1</a:t>
                </a:r>
                <a:r>
                  <a:rPr lang="da-DK" sz="1400" b="0"/>
                  <a:t>]</a:t>
                </a:r>
                <a:r>
                  <a:rPr lang="da-DK" sz="1400" b="0" baseline="0"/>
                  <a:t> </a:t>
                </a:r>
                <a:endParaRPr lang="da-DK" sz="1400" b="0"/>
              </a:p>
            </c:rich>
          </c:tx>
          <c:overlay val="0"/>
        </c:title>
        <c:numFmt formatCode="0.0E+0" sourceLinked="0"/>
        <c:majorTickMark val="in"/>
        <c:minorTickMark val="in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105048320"/>
        <c:crosses val="autoZero"/>
        <c:crossBetween val="midCat"/>
        <c:majorUnit val="5.0000000000000111E-5"/>
        <c:minorUnit val="2.0000000000000054E-6"/>
      </c:valAx>
      <c:valAx>
        <c:axId val="105048320"/>
        <c:scaling>
          <c:orientation val="minMax"/>
          <c:max val="-20.3"/>
          <c:min val="-22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a-DK" sz="1400" b="0"/>
                  <a:t>Ln(k</a:t>
                </a:r>
                <a:r>
                  <a:rPr lang="da-DK" sz="1400" b="0" baseline="-25000"/>
                  <a:t>obs</a:t>
                </a:r>
                <a:r>
                  <a:rPr lang="da-DK" sz="1400" b="0"/>
                  <a:t>·h</a:t>
                </a:r>
                <a:r>
                  <a:rPr lang="da-DK" sz="1400" b="0">
                    <a:latin typeface="Calibri"/>
                  </a:rPr>
                  <a:t>·L</a:t>
                </a:r>
                <a:r>
                  <a:rPr lang="da-DK" sz="1400" b="0"/>
                  <a:t>/k</a:t>
                </a:r>
                <a:r>
                  <a:rPr lang="da-DK" sz="1400" b="0" baseline="-25000"/>
                  <a:t>B</a:t>
                </a:r>
                <a:r>
                  <a:rPr lang="da-DK" sz="1400" b="0">
                    <a:latin typeface="Calibri"/>
                  </a:rPr>
                  <a:t>·T·mol)</a:t>
                </a:r>
                <a:endParaRPr lang="da-DK" sz="1400" b="0"/>
              </a:p>
            </c:rich>
          </c:tx>
          <c:overlay val="0"/>
        </c:title>
        <c:numFmt formatCode="#,##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5046400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440485353249895E-2"/>
          <c:y val="6.0279905531422588E-2"/>
          <c:w val="0.84663359803776084"/>
          <c:h val="0.9150161111111107"/>
        </c:manualLayout>
      </c:layout>
      <c:scatterChart>
        <c:scatterStyle val="lineMarker"/>
        <c:varyColors val="0"/>
        <c:ser>
          <c:idx val="2"/>
          <c:order val="0"/>
          <c:tx>
            <c:strRef>
              <c:f>Sheet10!$T$205</c:f>
              <c:strCache>
                <c:ptCount val="1"/>
                <c:pt idx="0">
                  <c:v> surface, Ee at  B3LYP/6-311++G(3df,3pd)  </c:v>
                </c:pt>
              </c:strCache>
            </c:strRef>
          </c:tx>
          <c:spPr>
            <a:ln w="508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Sheet10!$U$322:$U$329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Sheet10!$V$322:$V$329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48.232967599993572</c:v>
                </c:pt>
                <c:pt idx="3">
                  <c:v>48.232967599993572</c:v>
                </c:pt>
                <c:pt idx="4">
                  <c:v>47.811300187575398</c:v>
                </c:pt>
                <c:pt idx="5">
                  <c:v>47.811300187575398</c:v>
                </c:pt>
                <c:pt idx="6">
                  <c:v>51.77346282194776</c:v>
                </c:pt>
                <c:pt idx="7">
                  <c:v>51.77346282194776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Sheet10!$T$211</c:f>
              <c:strCache>
                <c:ptCount val="1"/>
                <c:pt idx="0">
                  <c:v>X~ surface, Ee  at CASPT2/aug-cc-pVTZ Sellevåg et al. (2009)</c:v>
                </c:pt>
              </c:strCache>
            </c:strRef>
          </c:tx>
          <c:spPr>
            <a:ln w="50800"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Sheet10!$U$224:$U$231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Sheet10!$AA$224:$AA$231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 formatCode="General">
                  <c:v>47.67</c:v>
                </c:pt>
                <c:pt idx="3" formatCode="General">
                  <c:v>47.67</c:v>
                </c:pt>
                <c:pt idx="4">
                  <c:v>47.31</c:v>
                </c:pt>
                <c:pt idx="5">
                  <c:v>47.31</c:v>
                </c:pt>
                <c:pt idx="6">
                  <c:v>51.2</c:v>
                </c:pt>
                <c:pt idx="7">
                  <c:v>51.2</c:v>
                </c:pt>
              </c:numCache>
            </c:numRef>
          </c:yVal>
          <c:smooth val="0"/>
        </c:ser>
        <c:ser>
          <c:idx val="0"/>
          <c:order val="2"/>
          <c:spPr>
            <a:ln w="50800">
              <a:solidFill>
                <a:srgbClr val="00B050"/>
              </a:solidFill>
              <a:prstDash val="sysDash"/>
            </a:ln>
          </c:spPr>
          <c:marker>
            <c:symbol val="none"/>
          </c:marker>
          <c:xVal>
            <c:numRef>
              <c:f>Sheet10!$U$338:$U$349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xVal>
          <c:yVal>
            <c:numRef>
              <c:f>Sheet10!$V$338:$V$349</c:f>
              <c:numCache>
                <c:formatCode>0.00</c:formatCode>
                <c:ptCount val="12"/>
                <c:pt idx="0">
                  <c:v>47.805596128193429</c:v>
                </c:pt>
                <c:pt idx="1">
                  <c:v>47.805596128193429</c:v>
                </c:pt>
                <c:pt idx="2">
                  <c:v>48.142418010553229</c:v>
                </c:pt>
                <c:pt idx="3">
                  <c:v>48.142418010553229</c:v>
                </c:pt>
                <c:pt idx="4">
                  <c:v>47.498737814064953</c:v>
                </c:pt>
                <c:pt idx="5">
                  <c:v>47.498737814064953</c:v>
                </c:pt>
                <c:pt idx="6">
                  <c:v>52.513773172802757</c:v>
                </c:pt>
                <c:pt idx="7">
                  <c:v>52.513773172802757</c:v>
                </c:pt>
                <c:pt idx="8">
                  <c:v>31.665956986311357</c:v>
                </c:pt>
                <c:pt idx="9">
                  <c:v>31.665956986311357</c:v>
                </c:pt>
                <c:pt idx="10">
                  <c:v>33.573836208190187</c:v>
                </c:pt>
                <c:pt idx="11">
                  <c:v>33.573836208190187</c:v>
                </c:pt>
              </c:numCache>
            </c:numRef>
          </c:yVal>
          <c:smooth val="0"/>
        </c:ser>
        <c:ser>
          <c:idx val="5"/>
          <c:order val="3"/>
          <c:marker>
            <c:symbol val="none"/>
          </c:marker>
          <c:xVal>
            <c:numRef>
              <c:f>Sheet10!$U$322:$U$329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Sheet10!$U$330:$U$333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</c:numCache>
            </c:numRef>
          </c:yVal>
          <c:smooth val="0"/>
        </c:ser>
        <c:ser>
          <c:idx val="1"/>
          <c:order val="4"/>
          <c:spPr>
            <a:ln w="50800">
              <a:solidFill>
                <a:srgbClr val="00B050"/>
              </a:solidFill>
              <a:prstDash val="sysDash"/>
            </a:ln>
          </c:spPr>
          <c:marker>
            <c:symbol val="none"/>
          </c:marker>
          <c:xVal>
            <c:numRef>
              <c:f>Sheet10!$U$354:$U$357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xVal>
          <c:yVal>
            <c:numRef>
              <c:f>Sheet10!$V$354:$V$357</c:f>
              <c:numCache>
                <c:formatCode>0.00</c:formatCode>
                <c:ptCount val="4"/>
                <c:pt idx="0">
                  <c:v>47.805596128193429</c:v>
                </c:pt>
                <c:pt idx="1">
                  <c:v>51.77346282194776</c:v>
                </c:pt>
                <c:pt idx="2">
                  <c:v>51.77346282194776</c:v>
                </c:pt>
                <c:pt idx="3">
                  <c:v>47.498737814064953</c:v>
                </c:pt>
              </c:numCache>
            </c:numRef>
          </c:yVal>
          <c:smooth val="0"/>
        </c:ser>
        <c:ser>
          <c:idx val="3"/>
          <c:order val="5"/>
          <c:tx>
            <c:strRef>
              <c:f>Sheet10!$AK$191</c:f>
              <c:strCache>
                <c:ptCount val="1"/>
                <c:pt idx="0">
                  <c:v>Experimental electronic bond dissociation energy (De): Luo et al. (1992)</c:v>
                </c:pt>
              </c:strCache>
            </c:strRef>
          </c:tx>
          <c:marker>
            <c:symbol val="none"/>
          </c:marker>
          <c:xVal>
            <c:numRef>
              <c:f>Sheet10!$AH$192:$AH$208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Sheet10!$AK$192:$AK$208</c:f>
              <c:numCache>
                <c:formatCode>General</c:formatCode>
                <c:ptCount val="17"/>
                <c:pt idx="0">
                  <c:v>54.5</c:v>
                </c:pt>
                <c:pt idx="1">
                  <c:v>54.5</c:v>
                </c:pt>
                <c:pt idx="2">
                  <c:v>54.5</c:v>
                </c:pt>
                <c:pt idx="3">
                  <c:v>54.5</c:v>
                </c:pt>
                <c:pt idx="4">
                  <c:v>54.5</c:v>
                </c:pt>
                <c:pt idx="5">
                  <c:v>54.5</c:v>
                </c:pt>
                <c:pt idx="6">
                  <c:v>54.5</c:v>
                </c:pt>
                <c:pt idx="7">
                  <c:v>54.5</c:v>
                </c:pt>
                <c:pt idx="8">
                  <c:v>54.5</c:v>
                </c:pt>
                <c:pt idx="9">
                  <c:v>54.5</c:v>
                </c:pt>
                <c:pt idx="10">
                  <c:v>54.5</c:v>
                </c:pt>
                <c:pt idx="11">
                  <c:v>54.5</c:v>
                </c:pt>
                <c:pt idx="12">
                  <c:v>54.5</c:v>
                </c:pt>
                <c:pt idx="13">
                  <c:v>54.5</c:v>
                </c:pt>
                <c:pt idx="14">
                  <c:v>54.5</c:v>
                </c:pt>
                <c:pt idx="15">
                  <c:v>54.5</c:v>
                </c:pt>
                <c:pt idx="16">
                  <c:v>54.5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Sheet10!$U$230:$U$231</c:f>
              <c:strCache>
                <c:ptCount val="1"/>
                <c:pt idx="0">
                  <c:v>6 7</c:v>
                </c:pt>
              </c:strCache>
            </c:strRef>
          </c:tx>
          <c:marker>
            <c:symbol val="none"/>
          </c:marker>
          <c:xVal>
            <c:numRef>
              <c:f>Sheet10!$U$230:$U$231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xVal>
          <c:yVal>
            <c:numRef>
              <c:f>Sheet10!$AB$230:$AB$231</c:f>
              <c:numCache>
                <c:formatCode>General</c:formatCode>
                <c:ptCount val="2"/>
                <c:pt idx="0">
                  <c:v>54.4</c:v>
                </c:pt>
                <c:pt idx="1">
                  <c:v>54.4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Sheet10!$AC$223</c:f>
              <c:strCache>
                <c:ptCount val="1"/>
                <c:pt idx="0">
                  <c:v>Sellevåg</c:v>
                </c:pt>
              </c:strCache>
            </c:strRef>
          </c:tx>
          <c:marker>
            <c:symbol val="none"/>
          </c:marker>
          <c:xVal>
            <c:numRef>
              <c:f>Sheet10!$U$230:$U$231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xVal>
          <c:yVal>
            <c:numRef>
              <c:f>Sheet10!$AC$230:$AC$231</c:f>
              <c:numCache>
                <c:formatCode>General</c:formatCode>
                <c:ptCount val="2"/>
                <c:pt idx="0">
                  <c:v>52.2</c:v>
                </c:pt>
                <c:pt idx="1">
                  <c:v>52.2</c:v>
                </c:pt>
              </c:numCache>
            </c:numRef>
          </c:yVal>
          <c:smooth val="0"/>
        </c:ser>
        <c:ser>
          <c:idx val="10"/>
          <c:order val="8"/>
          <c:tx>
            <c:strRef>
              <c:f>Sheet10!$Y$320</c:f>
              <c:strCache>
                <c:ptCount val="1"/>
                <c:pt idx="0">
                  <c:v>CASSCF(6,4)/adz MP2</c:v>
                </c:pt>
              </c:strCache>
            </c:strRef>
          </c:tx>
          <c:marker>
            <c:symbol val="none"/>
          </c:marker>
          <c:xVal>
            <c:numRef>
              <c:f>Sheet10!$U$322:$U$329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Sheet10!$Y$322:$Y$329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47.644458019596641</c:v>
                </c:pt>
                <c:pt idx="3">
                  <c:v>47.644458019596641</c:v>
                </c:pt>
                <c:pt idx="4">
                  <c:v>45.846800803177757</c:v>
                </c:pt>
                <c:pt idx="5">
                  <c:v>45.846800803177757</c:v>
                </c:pt>
                <c:pt idx="6">
                  <c:v>51.041197140075383</c:v>
                </c:pt>
                <c:pt idx="7">
                  <c:v>51.041197140075383</c:v>
                </c:pt>
              </c:numCache>
            </c:numRef>
          </c:yVal>
          <c:smooth val="0"/>
        </c:ser>
        <c:ser>
          <c:idx val="11"/>
          <c:order val="9"/>
          <c:tx>
            <c:strRef>
              <c:f>Sheet10!$Y$320</c:f>
              <c:strCache>
                <c:ptCount val="1"/>
                <c:pt idx="0">
                  <c:v>CASSCF(6,4)/adz MP2</c:v>
                </c:pt>
              </c:strCache>
            </c:strRef>
          </c:tx>
          <c:marker>
            <c:symbol val="none"/>
          </c:marker>
          <c:xVal>
            <c:numRef>
              <c:f>Sheet10!$U$338:$U$349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xVal>
          <c:yVal>
            <c:numRef>
              <c:f>Sheet10!$Y$338:$Y$349</c:f>
              <c:numCache>
                <c:formatCode>0.00</c:formatCode>
                <c:ptCount val="12"/>
                <c:pt idx="0">
                  <c:v>44.1100119871262</c:v>
                </c:pt>
                <c:pt idx="1">
                  <c:v>44.1100119871262</c:v>
                </c:pt>
                <c:pt idx="2">
                  <c:v>45.386892975089722</c:v>
                </c:pt>
                <c:pt idx="3">
                  <c:v>45.386892975089722</c:v>
                </c:pt>
                <c:pt idx="4">
                  <c:v>32.436852139609982</c:v>
                </c:pt>
                <c:pt idx="5">
                  <c:v>32.436852139609982</c:v>
                </c:pt>
                <c:pt idx="6">
                  <c:v>55.800961722794455</c:v>
                </c:pt>
                <c:pt idx="7">
                  <c:v>55.800961722794455</c:v>
                </c:pt>
              </c:numCache>
            </c:numRef>
          </c:yVal>
          <c:smooth val="0"/>
        </c:ser>
        <c:ser>
          <c:idx val="8"/>
          <c:order val="10"/>
          <c:tx>
            <c:strRef>
              <c:f>Sheet10!$Y$320</c:f>
              <c:strCache>
                <c:ptCount val="1"/>
                <c:pt idx="0">
                  <c:v>CASSCF(6,4)/adz MP2</c:v>
                </c:pt>
              </c:strCache>
            </c:strRef>
          </c:tx>
          <c:marker>
            <c:symbol val="none"/>
          </c:marker>
          <c:xVal>
            <c:numRef>
              <c:f>Sheet10!$U$354:$U$357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xVal>
          <c:yVal>
            <c:numRef>
              <c:f>Sheet10!$Y$354:$Y$357</c:f>
              <c:numCache>
                <c:formatCode>0.00</c:formatCode>
                <c:ptCount val="4"/>
                <c:pt idx="0">
                  <c:v>44.1100119871262</c:v>
                </c:pt>
                <c:pt idx="1">
                  <c:v>51.041197140075383</c:v>
                </c:pt>
                <c:pt idx="2">
                  <c:v>51.041197140075383</c:v>
                </c:pt>
                <c:pt idx="3">
                  <c:v>32.436852139609982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84576"/>
        <c:axId val="105399040"/>
      </c:scatterChart>
      <c:valAx>
        <c:axId val="10538457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600" b="0"/>
                </a:pPr>
                <a:r>
                  <a:rPr lang="da-DK" sz="1600" b="0"/>
                  <a:t>Reaction coordinate</a:t>
                </a:r>
              </a:p>
            </c:rich>
          </c:tx>
          <c:layout>
            <c:manualLayout>
              <c:xMode val="edge"/>
              <c:yMode val="edge"/>
              <c:x val="0.43310730820105831"/>
              <c:y val="0.9591130555555557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05399040"/>
        <c:crosses val="autoZero"/>
        <c:crossBetween val="midCat"/>
        <c:majorUnit val="1"/>
      </c:valAx>
      <c:valAx>
        <c:axId val="105399040"/>
        <c:scaling>
          <c:orientation val="minMax"/>
          <c:max val="65"/>
          <c:min val="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 b="0"/>
                </a:pPr>
                <a:r>
                  <a:rPr lang="da-DK" sz="1600" b="0" baseline="0"/>
                  <a:t>kCal/mol</a:t>
                </a:r>
              </a:p>
            </c:rich>
          </c:tx>
          <c:layout>
            <c:manualLayout>
              <c:xMode val="edge"/>
              <c:yMode val="edge"/>
              <c:x val="1.4252645502645502E-4"/>
              <c:y val="0.43947111111111131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600" b="0"/>
            </a:pPr>
            <a:endParaRPr lang="da-DK"/>
          </a:p>
        </c:txPr>
        <c:crossAx val="105384576"/>
        <c:crosses val="autoZero"/>
        <c:crossBetween val="midCat"/>
        <c:majorUnit val="2"/>
        <c:minorUnit val="0.5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0364381887967459"/>
          <c:y val="0.70665296061721439"/>
          <c:w val="0.23609113205165283"/>
          <c:h val="0.11319723078850313"/>
        </c:manualLayout>
      </c:layout>
      <c:overlay val="1"/>
      <c:txPr>
        <a:bodyPr/>
        <a:lstStyle/>
        <a:p>
          <a:pPr>
            <a:defRPr sz="12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 paperSize="9" orientation="landscape" verticalDpi="0"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2068263251343"/>
          <c:y val="0.11135024788568108"/>
          <c:w val="0.80560634277561749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7.3008998875140715E-2"/>
                  <c:y val="6.0164190002565482E-2"/>
                </c:manualLayout>
              </c:layout>
              <c:numFmt formatCode="General" sourceLinked="0"/>
            </c:trendlineLbl>
          </c:trendline>
          <c:xVal>
            <c:numRef>
              <c:f>Sheet10!$Z$5:$Z$9</c:f>
              <c:numCache>
                <c:formatCode>0.000E+00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Sheet10!$AM$5:$AM$9</c:f>
              <c:numCache>
                <c:formatCode>0.00E+00</c:formatCode>
                <c:ptCount val="5"/>
                <c:pt idx="0">
                  <c:v>-4.1417874473364709</c:v>
                </c:pt>
                <c:pt idx="1">
                  <c:v>-3.5834487900922918</c:v>
                </c:pt>
                <c:pt idx="2">
                  <c:v>-3.1187956660912879</c:v>
                </c:pt>
                <c:pt idx="3">
                  <c:v>-2.8480172085862594</c:v>
                </c:pt>
                <c:pt idx="4">
                  <c:v>-2.4609921046194909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89920"/>
        <c:axId val="105491456"/>
      </c:scatterChart>
      <c:valAx>
        <c:axId val="105489920"/>
        <c:scaling>
          <c:orientation val="minMax"/>
        </c:scaling>
        <c:delete val="0"/>
        <c:axPos val="b"/>
        <c:numFmt formatCode="0.0E+0" sourceLinked="0"/>
        <c:majorTickMark val="in"/>
        <c:minorTickMark val="none"/>
        <c:tickLblPos val="high"/>
        <c:crossAx val="105491456"/>
        <c:crosses val="autoZero"/>
        <c:crossBetween val="midCat"/>
      </c:valAx>
      <c:valAx>
        <c:axId val="105491456"/>
        <c:scaling>
          <c:orientation val="minMax"/>
        </c:scaling>
        <c:delete val="0"/>
        <c:axPos val="l"/>
        <c:numFmt formatCode="0.0E+0" sourceLinked="0"/>
        <c:majorTickMark val="out"/>
        <c:minorTickMark val="none"/>
        <c:tickLblPos val="nextTo"/>
        <c:crossAx val="105489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2520576131704"/>
          <c:y val="3.0144722222222222E-2"/>
          <c:w val="0.88684842249657214"/>
          <c:h val="0.883266111111110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Sheet10!$S$105</c:f>
              <c:strCache>
                <c:ptCount val="1"/>
                <c:pt idx="0">
                  <c:v>AP-B3LYP/6-31+G(d,p)//UB3LYP/6-31G(d) Singlet surface</c:v>
                </c:pt>
              </c:strCache>
            </c:strRef>
          </c:tx>
          <c:spPr>
            <a:ln w="50800">
              <a:solidFill>
                <a:srgbClr val="00B050"/>
              </a:solidFill>
              <a:prstDash val="sysDot"/>
            </a:ln>
          </c:spPr>
          <c:marker>
            <c:symbol val="none"/>
          </c:marker>
          <c:xVal>
            <c:numRef>
              <c:f>Sheet10!$T$106:$T$113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Sheet10!$V$106:$V$113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0.0">
                  <c:v>43.272154608741403</c:v>
                </c:pt>
                <c:pt idx="3" formatCode="0.0">
                  <c:v>43.272154608741403</c:v>
                </c:pt>
                <c:pt idx="4" formatCode="0.0">
                  <c:v>41.487018098356202</c:v>
                </c:pt>
                <c:pt idx="5" formatCode="0.0">
                  <c:v>41.487018098356202</c:v>
                </c:pt>
                <c:pt idx="6" formatCode="0.0">
                  <c:v>43.951126385843963</c:v>
                </c:pt>
                <c:pt idx="7" formatCode="0.0">
                  <c:v>43.951126385843963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Sheet10!$S$115</c:f>
              <c:strCache>
                <c:ptCount val="1"/>
                <c:pt idx="0">
                  <c:v>AP-B3LYP/6-311+G(2d,p)//UB3LYP/6-31G(d) Singlet surface</c:v>
                </c:pt>
              </c:strCache>
            </c:strRef>
          </c:tx>
          <c:spPr>
            <a:ln w="50800">
              <a:solidFill>
                <a:srgbClr val="00B050"/>
              </a:solidFill>
              <a:prstDash val="sysDash"/>
            </a:ln>
          </c:spPr>
          <c:marker>
            <c:symbol val="none"/>
          </c:marker>
          <c:xVal>
            <c:numRef>
              <c:f>Sheet10!$T$116:$T$123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Sheet10!$V$116:$V$123</c:f>
              <c:numCache>
                <c:formatCode>0.00</c:formatCode>
                <c:ptCount val="8"/>
                <c:pt idx="0" formatCode="0.0">
                  <c:v>0</c:v>
                </c:pt>
                <c:pt idx="1">
                  <c:v>0</c:v>
                </c:pt>
                <c:pt idx="2">
                  <c:v>43.336003179720137</c:v>
                </c:pt>
                <c:pt idx="3">
                  <c:v>43.336003179720137</c:v>
                </c:pt>
                <c:pt idx="4">
                  <c:v>41.608325751527445</c:v>
                </c:pt>
                <c:pt idx="5">
                  <c:v>41.608325751527445</c:v>
                </c:pt>
                <c:pt idx="6">
                  <c:v>43.889020411646925</c:v>
                </c:pt>
                <c:pt idx="7">
                  <c:v>43.889020411646925</c:v>
                </c:pt>
              </c:numCache>
            </c:numRef>
          </c:yVal>
          <c:smooth val="0"/>
        </c:ser>
        <c:ser>
          <c:idx val="5"/>
          <c:order val="2"/>
          <c:tx>
            <c:strRef>
              <c:f>Sheet10!$W$149</c:f>
              <c:strCache>
                <c:ptCount val="1"/>
                <c:pt idx="0">
                  <c:v>AP-B3LYP/6-311++G(3df,3pd)//UB3LYP/6-31G(d) Singlet surface</c:v>
                </c:pt>
              </c:strCache>
            </c:strRef>
          </c:tx>
          <c:spPr>
            <a:ln w="508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Sheet10!$X$150:$X$157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Sheet10!$Z$150:$Z$157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43.594978511566296</c:v>
                </c:pt>
                <c:pt idx="3">
                  <c:v>43.594978511566296</c:v>
                </c:pt>
                <c:pt idx="4">
                  <c:v>41.880093015890452</c:v>
                </c:pt>
                <c:pt idx="5">
                  <c:v>41.880093015890452</c:v>
                </c:pt>
                <c:pt idx="6">
                  <c:v>44.117757585190702</c:v>
                </c:pt>
                <c:pt idx="7">
                  <c:v>44.117757585190702</c:v>
                </c:pt>
              </c:numCache>
            </c:numRef>
          </c:yVal>
          <c:smooth val="0"/>
        </c:ser>
        <c:ser>
          <c:idx val="6"/>
          <c:order val="3"/>
          <c:tx>
            <c:strRef>
              <c:f>Sheet10!$AB$149</c:f>
              <c:strCache>
                <c:ptCount val="1"/>
                <c:pt idx="0">
                  <c:v>B3LYP/6311++G(3df,3pd)//B3LYP/6-31G(d) Triplet surface</c:v>
                </c:pt>
              </c:strCache>
            </c:strRef>
          </c:tx>
          <c:spPr>
            <a:ln w="50800">
              <a:solidFill>
                <a:srgbClr val="FFC000"/>
              </a:solidFill>
              <a:prstDash val="sysDash"/>
            </a:ln>
          </c:spPr>
          <c:marker>
            <c:symbol val="none"/>
          </c:marker>
          <c:xVal>
            <c:numRef>
              <c:f>Sheet10!$AC$154:$AC$155</c:f>
              <c:numCache>
                <c:formatCode>0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xVal>
          <c:yVal>
            <c:numRef>
              <c:f>Sheet10!$AE$154:$AE$155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1"/>
          <c:order val="4"/>
          <c:tx>
            <c:strRef>
              <c:f>Sheet10!$W$148</c:f>
              <c:strCache>
                <c:ptCount val="1"/>
                <c:pt idx="0">
                  <c:v>UB3LYP/6-311++G(3df,3pd)//UB3LYP/6-31G(d) Singlet surface</c:v>
                </c:pt>
              </c:strCache>
            </c:strRef>
          </c:tx>
          <c:spPr>
            <a:ln w="50800"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Sheet10!$X$150:$X$157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Sheet10!$Y$150:$Y$157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42.785803621576633</c:v>
                </c:pt>
                <c:pt idx="3">
                  <c:v>42.785803621576633</c:v>
                </c:pt>
                <c:pt idx="4">
                  <c:v>42.017934318049811</c:v>
                </c:pt>
                <c:pt idx="5">
                  <c:v>42.017934318049811</c:v>
                </c:pt>
                <c:pt idx="6">
                  <c:v>44.117757585190702</c:v>
                </c:pt>
                <c:pt idx="7">
                  <c:v>44.117757585190702</c:v>
                </c:pt>
              </c:numCache>
            </c:numRef>
          </c:yVal>
          <c:smooth val="0"/>
        </c:ser>
        <c:ser>
          <c:idx val="4"/>
          <c:order val="5"/>
          <c:tx>
            <c:strRef>
              <c:f>Sheet10!$W$105</c:f>
              <c:strCache>
                <c:ptCount val="1"/>
                <c:pt idx="0">
                  <c:v>Experimental activation energy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Sheet10!$T$106:$T$113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Sheet10!$W$106:$W$113</c:f>
              <c:numCache>
                <c:formatCode>0.0</c:formatCode>
                <c:ptCount val="8"/>
                <c:pt idx="0">
                  <c:v>43.63899369094807</c:v>
                </c:pt>
                <c:pt idx="1">
                  <c:v>43.63899369094807</c:v>
                </c:pt>
                <c:pt idx="2">
                  <c:v>43.63899369094807</c:v>
                </c:pt>
                <c:pt idx="3">
                  <c:v>43.63899369094807</c:v>
                </c:pt>
                <c:pt idx="4">
                  <c:v>43.63899369094807</c:v>
                </c:pt>
                <c:pt idx="5">
                  <c:v>43.63899369094807</c:v>
                </c:pt>
                <c:pt idx="6">
                  <c:v>43.63899369094807</c:v>
                </c:pt>
                <c:pt idx="7">
                  <c:v>43.63899369094807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11168"/>
        <c:axId val="105517440"/>
      </c:scatterChart>
      <c:valAx>
        <c:axId val="105511168"/>
        <c:scaling>
          <c:orientation val="minMax"/>
          <c:max val="7"/>
          <c:min val="1.3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a-DK" sz="1400" b="0"/>
                  <a:t>Reaction coordinate</a:t>
                </a:r>
              </a:p>
            </c:rich>
          </c:tx>
          <c:layout>
            <c:manualLayout>
              <c:xMode val="edge"/>
              <c:yMode val="edge"/>
              <c:x val="0.41831961591220923"/>
              <c:y val="0.92912694444444432"/>
            </c:manualLayout>
          </c:layout>
          <c:overlay val="0"/>
        </c:title>
        <c:numFmt formatCode="0" sourceLinked="1"/>
        <c:majorTickMark val="none"/>
        <c:minorTickMark val="none"/>
        <c:tickLblPos val="none"/>
        <c:crossAx val="105517440"/>
        <c:crosses val="autoZero"/>
        <c:crossBetween val="midCat"/>
        <c:majorUnit val="1"/>
      </c:valAx>
      <c:valAx>
        <c:axId val="105517440"/>
        <c:scaling>
          <c:orientation val="minMax"/>
          <c:max val="45"/>
          <c:min val="3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 baseline="0">
                    <a:latin typeface="+mn-lt"/>
                  </a:rPr>
                  <a:t>E</a:t>
                </a:r>
                <a:r>
                  <a:rPr lang="da-DK" sz="1400" b="0" baseline="-25000">
                    <a:latin typeface="+mn-lt"/>
                  </a:rPr>
                  <a:t>e</a:t>
                </a:r>
                <a:r>
                  <a:rPr lang="da-DK" sz="1400" b="0" baseline="0">
                    <a:latin typeface="+mn-lt"/>
                  </a:rPr>
                  <a:t> + ZPVE</a:t>
                </a:r>
                <a:r>
                  <a:rPr lang="da-DK" sz="1400" b="0" baseline="-25000">
                    <a:latin typeface="+mn-lt"/>
                  </a:rPr>
                  <a:t>  </a:t>
                </a:r>
                <a:r>
                  <a:rPr lang="da-DK" sz="1400" b="0" baseline="0"/>
                  <a:t> [kCal/mol]</a:t>
                </a:r>
              </a:p>
            </c:rich>
          </c:tx>
          <c:layout>
            <c:manualLayout>
              <c:xMode val="edge"/>
              <c:yMode val="edge"/>
              <c:x val="1.4248393024821822E-4"/>
              <c:y val="0.26131834440470131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400" b="0"/>
            </a:pPr>
            <a:endParaRPr lang="da-DK"/>
          </a:p>
        </c:txPr>
        <c:crossAx val="105511168"/>
        <c:crosses val="autoZero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2115174897119338"/>
          <c:y val="0.57960638888888882"/>
          <c:w val="0.77449296982167348"/>
          <c:h val="0.32161583333333332"/>
        </c:manualLayout>
      </c:layout>
      <c:overlay val="1"/>
      <c:txPr>
        <a:bodyPr/>
        <a:lstStyle/>
        <a:p>
          <a:pPr>
            <a:defRPr sz="1200" b="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 paperSize="9" orientation="landscape" verticalDpi="0"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73181216931221"/>
          <c:y val="3.6373333333333362E-2"/>
          <c:w val="0.86747982804232804"/>
          <c:h val="0.8751048540841776"/>
        </c:manualLayout>
      </c:layout>
      <c:scatterChart>
        <c:scatterStyle val="lineMarker"/>
        <c:varyColors val="0"/>
        <c:ser>
          <c:idx val="7"/>
          <c:order val="0"/>
          <c:tx>
            <c:strRef>
              <c:f>Sheet10!$T$256</c:f>
              <c:strCache>
                <c:ptCount val="1"/>
                <c:pt idx="0">
                  <c:v>UB3LYP/6-311++G(3df,3pd)</c:v>
                </c:pt>
              </c:strCache>
            </c:strRef>
          </c:tx>
          <c:spPr>
            <a:ln w="508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Sheet10!$U$257:$U$270</c:f>
              <c:numCache>
                <c:formatCode>General</c:formatCode>
                <c:ptCount val="1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</c:numCache>
            </c:numRef>
          </c:xVal>
          <c:yVal>
            <c:numRef>
              <c:f>Sheet10!$X$257:$X$270</c:f>
              <c:numCache>
                <c:formatCode>0.00</c:formatCode>
                <c:ptCount val="14"/>
                <c:pt idx="0">
                  <c:v>45.003823658640613</c:v>
                </c:pt>
                <c:pt idx="1">
                  <c:v>45.003823658640613</c:v>
                </c:pt>
                <c:pt idx="2">
                  <c:v>42.341841431887588</c:v>
                </c:pt>
                <c:pt idx="3">
                  <c:v>42.341841431887588</c:v>
                </c:pt>
                <c:pt idx="4">
                  <c:v>42.01954638940515</c:v>
                </c:pt>
                <c:pt idx="5">
                  <c:v>42.01954638940515</c:v>
                </c:pt>
                <c:pt idx="6">
                  <c:v>41.108754316737759</c:v>
                </c:pt>
                <c:pt idx="7">
                  <c:v>41.108754316737759</c:v>
                </c:pt>
                <c:pt idx="8">
                  <c:v>40.719485208552214</c:v>
                </c:pt>
                <c:pt idx="9">
                  <c:v>40.719485208552214</c:v>
                </c:pt>
                <c:pt idx="10">
                  <c:v>31.815592849787208</c:v>
                </c:pt>
                <c:pt idx="11">
                  <c:v>31.815592849787208</c:v>
                </c:pt>
                <c:pt idx="12">
                  <c:v>33.333060896577081</c:v>
                </c:pt>
                <c:pt idx="13">
                  <c:v>33.333060896577081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Sheet10!$AI$191</c:f>
              <c:strCache>
                <c:ptCount val="1"/>
                <c:pt idx="0">
                  <c:v>Exp. Activation energy: Hong et al. (2010)</c:v>
                </c:pt>
              </c:strCache>
            </c:strRef>
          </c:tx>
          <c:spPr>
            <a:ln w="3175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Sheet10!$AH$192:$AH$212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Sheet10!$AQ$193:$AQ$212</c:f>
              <c:numCache>
                <c:formatCode>0.0</c:formatCode>
                <c:ptCount val="20"/>
                <c:pt idx="0">
                  <c:v>-2.1123975543478051</c:v>
                </c:pt>
                <c:pt idx="1">
                  <c:v>-2.1123975543478051</c:v>
                </c:pt>
                <c:pt idx="2">
                  <c:v>-2.1123975543478051</c:v>
                </c:pt>
                <c:pt idx="3">
                  <c:v>-2.1123975543478051</c:v>
                </c:pt>
                <c:pt idx="4">
                  <c:v>-2.1123975543478051</c:v>
                </c:pt>
                <c:pt idx="5">
                  <c:v>-2.1123975543478051</c:v>
                </c:pt>
                <c:pt idx="6">
                  <c:v>-2.1123975543478051</c:v>
                </c:pt>
                <c:pt idx="7">
                  <c:v>-2.1123975543478051</c:v>
                </c:pt>
                <c:pt idx="8">
                  <c:v>-2.1123975543478051</c:v>
                </c:pt>
                <c:pt idx="9">
                  <c:v>-2.1123975543478051</c:v>
                </c:pt>
                <c:pt idx="10">
                  <c:v>-2.1123975543478051</c:v>
                </c:pt>
                <c:pt idx="11">
                  <c:v>-2.1123975543478051</c:v>
                </c:pt>
                <c:pt idx="12">
                  <c:v>-2.1123975543478051</c:v>
                </c:pt>
                <c:pt idx="13">
                  <c:v>-2.1123975543478051</c:v>
                </c:pt>
                <c:pt idx="14">
                  <c:v>-2.1123975543478051</c:v>
                </c:pt>
                <c:pt idx="15">
                  <c:v>-2.1123975543478051</c:v>
                </c:pt>
                <c:pt idx="16">
                  <c:v>-2.1123975543478051</c:v>
                </c:pt>
                <c:pt idx="17">
                  <c:v>-2.1123975543478051</c:v>
                </c:pt>
                <c:pt idx="18">
                  <c:v>-2.1123975543478051</c:v>
                </c:pt>
                <c:pt idx="19">
                  <c:v>-2.1123975543478051</c:v>
                </c:pt>
              </c:numCache>
            </c:numRef>
          </c:yVal>
          <c:smooth val="0"/>
        </c:ser>
        <c:ser>
          <c:idx val="1"/>
          <c:order val="2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Sheet10!$AH$192:$AH$211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Sheet10!$AS$193:$AS$211</c:f>
              <c:numCache>
                <c:formatCode>General</c:formatCode>
                <c:ptCount val="19"/>
                <c:pt idx="0">
                  <c:v>-15</c:v>
                </c:pt>
                <c:pt idx="1">
                  <c:v>-15</c:v>
                </c:pt>
                <c:pt idx="2">
                  <c:v>-15</c:v>
                </c:pt>
                <c:pt idx="3">
                  <c:v>-15</c:v>
                </c:pt>
                <c:pt idx="4">
                  <c:v>-15</c:v>
                </c:pt>
                <c:pt idx="5">
                  <c:v>-15</c:v>
                </c:pt>
                <c:pt idx="6">
                  <c:v>-15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-15</c:v>
                </c:pt>
                <c:pt idx="11">
                  <c:v>-15</c:v>
                </c:pt>
                <c:pt idx="12">
                  <c:v>-15</c:v>
                </c:pt>
                <c:pt idx="13">
                  <c:v>-15</c:v>
                </c:pt>
                <c:pt idx="14">
                  <c:v>-15</c:v>
                </c:pt>
                <c:pt idx="15">
                  <c:v>-15</c:v>
                </c:pt>
                <c:pt idx="16">
                  <c:v>-15</c:v>
                </c:pt>
                <c:pt idx="17">
                  <c:v>-15</c:v>
                </c:pt>
                <c:pt idx="18">
                  <c:v>-15</c:v>
                </c:pt>
              </c:numCache>
            </c:numRef>
          </c:yVal>
          <c:smooth val="0"/>
        </c:ser>
        <c:ser>
          <c:idx val="2"/>
          <c:order val="3"/>
          <c:spPr>
            <a:ln w="508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Sheet10!$AG$288:$AG$295</c:f>
              <c:numCache>
                <c:formatCode>General</c:formatCod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numCache>
            </c:numRef>
          </c:xVal>
          <c:yVal>
            <c:numRef>
              <c:f>Sheet10!$AJ$288:$AJ$295</c:f>
              <c:numCache>
                <c:formatCode>0.00</c:formatCode>
                <c:ptCount val="8"/>
                <c:pt idx="0">
                  <c:v>42.341841431887588</c:v>
                </c:pt>
                <c:pt idx="1">
                  <c:v>42.341841431887588</c:v>
                </c:pt>
                <c:pt idx="2">
                  <c:v>48.483099075019709</c:v>
                </c:pt>
                <c:pt idx="3">
                  <c:v>48.483099075019709</c:v>
                </c:pt>
                <c:pt idx="4">
                  <c:v>32.295624900551047</c:v>
                </c:pt>
                <c:pt idx="5">
                  <c:v>32.295624900551047</c:v>
                </c:pt>
                <c:pt idx="6">
                  <c:v>33.333060896577081</c:v>
                </c:pt>
                <c:pt idx="7">
                  <c:v>33.333060896577081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75936"/>
        <c:axId val="105577856"/>
      </c:scatterChart>
      <c:valAx>
        <c:axId val="105575936"/>
        <c:scaling>
          <c:orientation val="minMax"/>
          <c:max val="13"/>
        </c:scaling>
        <c:delete val="1"/>
        <c:axPos val="b"/>
        <c:title>
          <c:tx>
            <c:rich>
              <a:bodyPr/>
              <a:lstStyle/>
              <a:p>
                <a:pPr>
                  <a:defRPr sz="1600" b="0"/>
                </a:pPr>
                <a:r>
                  <a:rPr lang="da-DK" sz="1600" b="0"/>
                  <a:t>Reaction coordinate</a:t>
                </a:r>
              </a:p>
            </c:rich>
          </c:tx>
          <c:layout>
            <c:manualLayout>
              <c:xMode val="edge"/>
              <c:yMode val="edge"/>
              <c:x val="0.3928203256882587"/>
              <c:y val="0.91607831060272771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05577856"/>
        <c:crosses val="autoZero"/>
        <c:crossBetween val="midCat"/>
        <c:majorUnit val="1"/>
      </c:valAx>
      <c:valAx>
        <c:axId val="105577856"/>
        <c:scaling>
          <c:orientation val="minMax"/>
          <c:max val="5"/>
          <c:min val="-1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 b="0"/>
                </a:pPr>
                <a:r>
                  <a:rPr lang="da-DK" sz="1600" b="0" baseline="0">
                    <a:latin typeface="+mn-lt"/>
                  </a:rPr>
                  <a:t>E</a:t>
                </a:r>
                <a:r>
                  <a:rPr lang="da-DK" sz="1600" b="0" baseline="-25000">
                    <a:latin typeface="+mn-lt"/>
                  </a:rPr>
                  <a:t>e</a:t>
                </a:r>
                <a:r>
                  <a:rPr lang="da-DK" sz="1600" b="0" baseline="0">
                    <a:latin typeface="+mn-lt"/>
                  </a:rPr>
                  <a:t> + ZPVE</a:t>
                </a:r>
                <a:r>
                  <a:rPr lang="da-DK" sz="1600" b="0" baseline="-25000">
                    <a:latin typeface="+mn-lt"/>
                  </a:rPr>
                  <a:t>  </a:t>
                </a:r>
                <a:r>
                  <a:rPr lang="da-DK" sz="1600" b="0" baseline="0"/>
                  <a:t> [kCal/mol]</a:t>
                </a:r>
              </a:p>
            </c:rich>
          </c:tx>
          <c:layout>
            <c:manualLayout>
              <c:xMode val="edge"/>
              <c:yMode val="edge"/>
              <c:x val="1.4252645502645502E-4"/>
              <c:y val="0.254262777777778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600" b="0"/>
            </a:pPr>
            <a:endParaRPr lang="da-DK"/>
          </a:p>
        </c:txPr>
        <c:crossAx val="105575936"/>
        <c:crosses val="autoZero"/>
        <c:crossBetween val="midCat"/>
        <c:majorUnit val="2"/>
        <c:minorUnit val="0.5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8257589285714299"/>
          <c:y val="0.66886777777777773"/>
          <c:w val="0.49328733455956397"/>
          <c:h val="0.18378061299310747"/>
        </c:manualLayout>
      </c:layout>
      <c:overlay val="1"/>
      <c:txPr>
        <a:bodyPr/>
        <a:lstStyle/>
        <a:p>
          <a:pPr>
            <a:defRPr sz="16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 paperSize="9" orientation="landscape" verticalDpi="0"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76801044076825"/>
          <c:y val="1.9867271571436543E-2"/>
          <c:w val="0.89499486111111115"/>
          <c:h val="0.91501611111111059"/>
        </c:manualLayout>
      </c:layout>
      <c:scatterChart>
        <c:scatterStyle val="lineMarker"/>
        <c:varyColors val="0"/>
        <c:ser>
          <c:idx val="2"/>
          <c:order val="0"/>
          <c:tx>
            <c:strRef>
              <c:f>Sheet10!$T$205</c:f>
              <c:strCache>
                <c:ptCount val="1"/>
                <c:pt idx="0">
                  <c:v> surface, Ee at  B3LYP/6-311++G(3df,3pd)  </c:v>
                </c:pt>
              </c:strCache>
            </c:strRef>
          </c:tx>
          <c:spPr>
            <a:ln w="508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Sheet10!$U$224:$U$231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Sheet10!$W$224:$W$231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48.082545035955263</c:v>
                </c:pt>
                <c:pt idx="3">
                  <c:v>48.082545035955263</c:v>
                </c:pt>
                <c:pt idx="4">
                  <c:v>46.663703877347871</c:v>
                </c:pt>
                <c:pt idx="5">
                  <c:v>46.663703877347871</c:v>
                </c:pt>
                <c:pt idx="6">
                  <c:v>50.644504597119521</c:v>
                </c:pt>
                <c:pt idx="7">
                  <c:v>50.644504597119521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Sheet10!$T$211</c:f>
              <c:strCache>
                <c:ptCount val="1"/>
                <c:pt idx="0">
                  <c:v>X~ surface, Ee  at CASPT2/aug-cc-pVTZ Sellevåg et al. (2009)</c:v>
                </c:pt>
              </c:strCache>
            </c:strRef>
          </c:tx>
          <c:spPr>
            <a:ln w="5080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Sheet10!$U$224:$U$231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Sheet10!$AA$224:$AA$231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 formatCode="General">
                  <c:v>47.67</c:v>
                </c:pt>
                <c:pt idx="3" formatCode="General">
                  <c:v>47.67</c:v>
                </c:pt>
                <c:pt idx="4">
                  <c:v>47.31</c:v>
                </c:pt>
                <c:pt idx="5">
                  <c:v>47.31</c:v>
                </c:pt>
                <c:pt idx="6">
                  <c:v>51.2</c:v>
                </c:pt>
                <c:pt idx="7">
                  <c:v>51.2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79200"/>
        <c:axId val="105781120"/>
      </c:scatterChart>
      <c:valAx>
        <c:axId val="105779200"/>
        <c:scaling>
          <c:orientation val="minMax"/>
          <c:max val="8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600" b="0"/>
                </a:pPr>
                <a:r>
                  <a:rPr lang="da-DK" sz="1600" b="0"/>
                  <a:t>Reaction coordinate</a:t>
                </a:r>
              </a:p>
            </c:rich>
          </c:tx>
          <c:layout>
            <c:manualLayout>
              <c:xMode val="edge"/>
              <c:yMode val="edge"/>
              <c:x val="0.43310730820105831"/>
              <c:y val="0.9591130555555557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05781120"/>
        <c:crosses val="autoZero"/>
        <c:crossBetween val="midCat"/>
        <c:majorUnit val="7"/>
      </c:valAx>
      <c:valAx>
        <c:axId val="105781120"/>
        <c:scaling>
          <c:orientation val="minMax"/>
          <c:max val="52"/>
          <c:min val="4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 b="0"/>
                </a:pPr>
                <a:r>
                  <a:rPr lang="da-DK" sz="1600" b="0" baseline="0"/>
                  <a:t>kCal/mol</a:t>
                </a:r>
              </a:p>
            </c:rich>
          </c:tx>
          <c:layout>
            <c:manualLayout>
              <c:xMode val="edge"/>
              <c:yMode val="edge"/>
              <c:x val="1.4252645502645502E-4"/>
              <c:y val="0.43947111111111131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600" b="0"/>
            </a:pPr>
            <a:endParaRPr lang="da-DK"/>
          </a:p>
        </c:txPr>
        <c:crossAx val="105779200"/>
        <c:crosses val="autoZero"/>
        <c:crossBetween val="midCat"/>
        <c:majorUnit val="1"/>
        <c:minorUnit val="0.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0071281140867908"/>
          <c:y val="0.72770938558390541"/>
          <c:w val="0.61440904548548414"/>
          <c:h val="0.19265462737757302"/>
        </c:manualLayout>
      </c:layout>
      <c:overlay val="1"/>
      <c:txPr>
        <a:bodyPr/>
        <a:lstStyle/>
        <a:p>
          <a:pPr>
            <a:defRPr sz="1200"/>
          </a:pPr>
          <a:endParaRPr lang="da-DK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 paperSize="9" orientation="landscape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28576</xdr:colOff>
      <xdr:row>172</xdr:row>
      <xdr:rowOff>62593</xdr:rowOff>
    </xdr:from>
    <xdr:to>
      <xdr:col>31</xdr:col>
      <xdr:colOff>53755</xdr:colOff>
      <xdr:row>191</xdr:row>
      <xdr:rowOff>43093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462643</xdr:colOff>
      <xdr:row>35</xdr:row>
      <xdr:rowOff>136072</xdr:rowOff>
    </xdr:from>
    <xdr:to>
      <xdr:col>34</xdr:col>
      <xdr:colOff>480429</xdr:colOff>
      <xdr:row>54</xdr:row>
      <xdr:rowOff>62143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884464</xdr:colOff>
      <xdr:row>112</xdr:row>
      <xdr:rowOff>27212</xdr:rowOff>
    </xdr:from>
    <xdr:to>
      <xdr:col>32</xdr:col>
      <xdr:colOff>184607</xdr:colOff>
      <xdr:row>130</xdr:row>
      <xdr:rowOff>143783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489857</xdr:colOff>
      <xdr:row>136</xdr:row>
      <xdr:rowOff>40821</xdr:rowOff>
    </xdr:from>
    <xdr:to>
      <xdr:col>30</xdr:col>
      <xdr:colOff>571500</xdr:colOff>
      <xdr:row>150</xdr:row>
      <xdr:rowOff>95250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421819</xdr:colOff>
      <xdr:row>171</xdr:row>
      <xdr:rowOff>87244</xdr:rowOff>
    </xdr:from>
    <xdr:to>
      <xdr:col>38</xdr:col>
      <xdr:colOff>482046</xdr:colOff>
      <xdr:row>190</xdr:row>
      <xdr:rowOff>122584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1428747</xdr:colOff>
      <xdr:row>36</xdr:row>
      <xdr:rowOff>176890</xdr:rowOff>
    </xdr:from>
    <xdr:to>
      <xdr:col>25</xdr:col>
      <xdr:colOff>534854</xdr:colOff>
      <xdr:row>55</xdr:row>
      <xdr:rowOff>102961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183696</xdr:colOff>
      <xdr:row>36</xdr:row>
      <xdr:rowOff>2720</xdr:rowOff>
    </xdr:from>
    <xdr:to>
      <xdr:col>20</xdr:col>
      <xdr:colOff>1412518</xdr:colOff>
      <xdr:row>54</xdr:row>
      <xdr:rowOff>119291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680356</xdr:colOff>
      <xdr:row>327</xdr:row>
      <xdr:rowOff>122463</xdr:rowOff>
    </xdr:from>
    <xdr:to>
      <xdr:col>18</xdr:col>
      <xdr:colOff>802821</xdr:colOff>
      <xdr:row>352</xdr:row>
      <xdr:rowOff>13606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510267</xdr:colOff>
      <xdr:row>334</xdr:row>
      <xdr:rowOff>138793</xdr:rowOff>
    </xdr:from>
    <xdr:to>
      <xdr:col>22</xdr:col>
      <xdr:colOff>904874</xdr:colOff>
      <xdr:row>348</xdr:row>
      <xdr:rowOff>160564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203488</xdr:colOff>
      <xdr:row>245</xdr:row>
      <xdr:rowOff>158174</xdr:rowOff>
    </xdr:from>
    <xdr:to>
      <xdr:col>36</xdr:col>
      <xdr:colOff>682238</xdr:colOff>
      <xdr:row>264</xdr:row>
      <xdr:rowOff>121356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295850</xdr:colOff>
      <xdr:row>237</xdr:row>
      <xdr:rowOff>122669</xdr:rowOff>
    </xdr:from>
    <xdr:to>
      <xdr:col>43</xdr:col>
      <xdr:colOff>446997</xdr:colOff>
      <xdr:row>256</xdr:row>
      <xdr:rowOff>85851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910647</xdr:colOff>
      <xdr:row>356</xdr:row>
      <xdr:rowOff>101023</xdr:rowOff>
    </xdr:from>
    <xdr:to>
      <xdr:col>34</xdr:col>
      <xdr:colOff>330487</xdr:colOff>
      <xdr:row>370</xdr:row>
      <xdr:rowOff>72737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496661</xdr:colOff>
      <xdr:row>433</xdr:row>
      <xdr:rowOff>97970</xdr:rowOff>
    </xdr:from>
    <xdr:to>
      <xdr:col>23</xdr:col>
      <xdr:colOff>421821</xdr:colOff>
      <xdr:row>450</xdr:row>
      <xdr:rowOff>95250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1197428</xdr:colOff>
      <xdr:row>432</xdr:row>
      <xdr:rowOff>108857</xdr:rowOff>
    </xdr:from>
    <xdr:to>
      <xdr:col>27</xdr:col>
      <xdr:colOff>353786</xdr:colOff>
      <xdr:row>449</xdr:row>
      <xdr:rowOff>81641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35</xdr:col>
      <xdr:colOff>473448</xdr:colOff>
      <xdr:row>438</xdr:row>
      <xdr:rowOff>89166</xdr:rowOff>
    </xdr:from>
    <xdr:to>
      <xdr:col>41</xdr:col>
      <xdr:colOff>160484</xdr:colOff>
      <xdr:row>452</xdr:row>
      <xdr:rowOff>138152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30</xdr:col>
      <xdr:colOff>0</xdr:colOff>
      <xdr:row>439</xdr:row>
      <xdr:rowOff>0</xdr:rowOff>
    </xdr:from>
    <xdr:to>
      <xdr:col>35</xdr:col>
      <xdr:colOff>385536</xdr:colOff>
      <xdr:row>453</xdr:row>
      <xdr:rowOff>33111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302559</xdr:colOff>
      <xdr:row>158</xdr:row>
      <xdr:rowOff>123265</xdr:rowOff>
    </xdr:from>
    <xdr:to>
      <xdr:col>15</xdr:col>
      <xdr:colOff>773205</xdr:colOff>
      <xdr:row>176</xdr:row>
      <xdr:rowOff>10597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177</xdr:row>
      <xdr:rowOff>95250</xdr:rowOff>
    </xdr:from>
    <xdr:to>
      <xdr:col>13</xdr:col>
      <xdr:colOff>962025</xdr:colOff>
      <xdr:row>189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95250</xdr:colOff>
      <xdr:row>205</xdr:row>
      <xdr:rowOff>28575</xdr:rowOff>
    </xdr:from>
    <xdr:to>
      <xdr:col>14</xdr:col>
      <xdr:colOff>180975</xdr:colOff>
      <xdr:row>217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</xdr:colOff>
      <xdr:row>191</xdr:row>
      <xdr:rowOff>28575</xdr:rowOff>
    </xdr:from>
    <xdr:to>
      <xdr:col>14</xdr:col>
      <xdr:colOff>114300</xdr:colOff>
      <xdr:row>204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220</xdr:row>
      <xdr:rowOff>0</xdr:rowOff>
    </xdr:from>
    <xdr:to>
      <xdr:col>14</xdr:col>
      <xdr:colOff>85725</xdr:colOff>
      <xdr:row>233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0.70533</cdr:y>
    </cdr:from>
    <cdr:to>
      <cdr:x>0.14919</cdr:x>
      <cdr:y>0.76644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0" y="2493065"/>
          <a:ext cx="540000" cy="21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100"/>
            <a:t>B6//B6</a:t>
          </a:r>
        </a:p>
      </cdr:txBody>
    </cdr:sp>
  </cdr:relSizeAnchor>
  <cdr:relSizeAnchor xmlns:cdr="http://schemas.openxmlformats.org/drawingml/2006/chartDrawing">
    <cdr:from>
      <cdr:x>0</cdr:x>
      <cdr:y>0.15682</cdr:y>
    </cdr:from>
    <cdr:to>
      <cdr:x>0.14919</cdr:x>
      <cdr:y>0.21793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0" y="554282"/>
          <a:ext cx="540000" cy="21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100"/>
            <a:t>B5//B5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123265</xdr:colOff>
      <xdr:row>131</xdr:row>
      <xdr:rowOff>44824</xdr:rowOff>
    </xdr:from>
    <xdr:to>
      <xdr:col>29</xdr:col>
      <xdr:colOff>470648</xdr:colOff>
      <xdr:row>145</xdr:row>
      <xdr:rowOff>123266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358588</xdr:colOff>
      <xdr:row>137</xdr:row>
      <xdr:rowOff>112059</xdr:rowOff>
    </xdr:from>
    <xdr:to>
      <xdr:col>12</xdr:col>
      <xdr:colOff>0</xdr:colOff>
      <xdr:row>152</xdr:row>
      <xdr:rowOff>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390525</xdr:colOff>
      <xdr:row>9</xdr:row>
      <xdr:rowOff>76200</xdr:rowOff>
    </xdr:from>
    <xdr:to>
      <xdr:col>31</xdr:col>
      <xdr:colOff>126525</xdr:colOff>
      <xdr:row>28</xdr:row>
      <xdr:rowOff>56700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438150</xdr:colOff>
      <xdr:row>28</xdr:row>
      <xdr:rowOff>123824</xdr:rowOff>
    </xdr:from>
    <xdr:to>
      <xdr:col>41</xdr:col>
      <xdr:colOff>174150</xdr:colOff>
      <xdr:row>47</xdr:row>
      <xdr:rowOff>104324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47625</xdr:colOff>
      <xdr:row>103</xdr:row>
      <xdr:rowOff>180975</xdr:rowOff>
    </xdr:from>
    <xdr:to>
      <xdr:col>29</xdr:col>
      <xdr:colOff>393225</xdr:colOff>
      <xdr:row>122</xdr:row>
      <xdr:rowOff>161475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0.7354</cdr:x>
      <cdr:y>0</cdr:y>
    </cdr:from>
    <cdr:to>
      <cdr:x>0.79538</cdr:x>
      <cdr:y>0.0782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88858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0.80401</cdr:x>
      <cdr:y>0</cdr:y>
    </cdr:from>
    <cdr:to>
      <cdr:x>0.9559</cdr:x>
      <cdr:y>0.0782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689000" y="0"/>
          <a:ext cx="885825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</a:p>
      </cdr:txBody>
    </cdr:sp>
  </cdr:relSizeAnchor>
  <cdr:relSizeAnchor xmlns:cdr="http://schemas.openxmlformats.org/drawingml/2006/chartDrawing">
    <cdr:from>
      <cdr:x>0.15842</cdr:x>
      <cdr:y>0</cdr:y>
    </cdr:from>
    <cdr:to>
      <cdr:x>0.21841</cdr:x>
      <cdr:y>0.0782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923925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</a:p>
      </cdr:txBody>
    </cdr:sp>
  </cdr:relSizeAnchor>
  <cdr:relSizeAnchor xmlns:cdr="http://schemas.openxmlformats.org/drawingml/2006/chartDrawing">
    <cdr:from>
      <cdr:x>0.7354</cdr:x>
      <cdr:y>0</cdr:y>
    </cdr:from>
    <cdr:to>
      <cdr:x>0.79538</cdr:x>
      <cdr:y>0.0782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288858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0.80401</cdr:x>
      <cdr:y>0</cdr:y>
    </cdr:from>
    <cdr:to>
      <cdr:x>0.9559</cdr:x>
      <cdr:y>0.0782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89000" y="0"/>
          <a:ext cx="885825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</a:p>
      </cdr:txBody>
    </cdr:sp>
  </cdr:relSizeAnchor>
  <cdr:relSizeAnchor xmlns:cdr="http://schemas.openxmlformats.org/drawingml/2006/chartDrawing">
    <cdr:from>
      <cdr:x>0.15842</cdr:x>
      <cdr:y>0</cdr:y>
    </cdr:from>
    <cdr:to>
      <cdr:x>0.21841</cdr:x>
      <cdr:y>0.0782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923925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0.70124</cdr:x>
      <cdr:y>0</cdr:y>
    </cdr:from>
    <cdr:to>
      <cdr:x>0.76122</cdr:x>
      <cdr:y>0.0782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089659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 baseline="30000"/>
            <a:t>1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0.79702</cdr:x>
      <cdr:y>0</cdr:y>
    </cdr:from>
    <cdr:to>
      <cdr:x>0.9608</cdr:x>
      <cdr:y>0.08186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48200" y="0"/>
          <a:ext cx="955200" cy="294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1,3</a:t>
          </a:r>
          <a:r>
            <a:rPr lang="da-DK" sz="1400"/>
            <a:t>(HO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  <a:r>
            <a:rPr lang="da-DK" sz="1400" baseline="0"/>
            <a:t>)</a:t>
          </a:r>
        </a:p>
      </cdr:txBody>
    </cdr:sp>
  </cdr:relSizeAnchor>
  <cdr:relSizeAnchor xmlns:cdr="http://schemas.openxmlformats.org/drawingml/2006/chartDrawing">
    <cdr:from>
      <cdr:x>0.16916</cdr:x>
      <cdr:y>0</cdr:y>
    </cdr:from>
    <cdr:to>
      <cdr:x>0.27765</cdr:x>
      <cdr:y>0.08996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986542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0.34624</cdr:x>
      <cdr:y>0</cdr:y>
    </cdr:from>
    <cdr:to>
      <cdr:x>0.45473</cdr:x>
      <cdr:y>0.08996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019300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0.74965</cdr:x>
      <cdr:y>0</cdr:y>
    </cdr:from>
    <cdr:to>
      <cdr:x>0.80963</cdr:x>
      <cdr:y>0.0782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4371975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0.46936</cdr:x>
      <cdr:y>0</cdr:y>
    </cdr:from>
    <cdr:to>
      <cdr:x>0.57785</cdr:x>
      <cdr:y>0.05761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2737296" y="0"/>
          <a:ext cx="632708" cy="207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0"/>
            <a:t>Avoided crossing</a:t>
          </a:r>
          <a:endParaRPr lang="da-DK" sz="1400" baseline="-250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0.70124</cdr:x>
      <cdr:y>0</cdr:y>
    </cdr:from>
    <cdr:to>
      <cdr:x>0.76122</cdr:x>
      <cdr:y>0.0782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089659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 baseline="30000"/>
            <a:t>1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0.79702</cdr:x>
      <cdr:y>0</cdr:y>
    </cdr:from>
    <cdr:to>
      <cdr:x>0.9608</cdr:x>
      <cdr:y>0.08186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48200" y="0"/>
          <a:ext cx="955200" cy="294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1,3</a:t>
          </a:r>
          <a:r>
            <a:rPr lang="da-DK" sz="1400"/>
            <a:t>(HO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  <a:r>
            <a:rPr lang="da-DK" sz="1400" baseline="0"/>
            <a:t>)</a:t>
          </a:r>
        </a:p>
      </cdr:txBody>
    </cdr:sp>
  </cdr:relSizeAnchor>
  <cdr:relSizeAnchor xmlns:cdr="http://schemas.openxmlformats.org/drawingml/2006/chartDrawing">
    <cdr:from>
      <cdr:x>0.16916</cdr:x>
      <cdr:y>0</cdr:y>
    </cdr:from>
    <cdr:to>
      <cdr:x>0.27765</cdr:x>
      <cdr:y>0.08996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986542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0.34624</cdr:x>
      <cdr:y>0</cdr:y>
    </cdr:from>
    <cdr:to>
      <cdr:x>0.45473</cdr:x>
      <cdr:y>0.08996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019300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0.74965</cdr:x>
      <cdr:y>0</cdr:y>
    </cdr:from>
    <cdr:to>
      <cdr:x>0.80963</cdr:x>
      <cdr:y>0.0782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4371975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0.46936</cdr:x>
      <cdr:y>0</cdr:y>
    </cdr:from>
    <cdr:to>
      <cdr:x>0.57785</cdr:x>
      <cdr:y>0.05761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2737296" y="0"/>
          <a:ext cx="632708" cy="207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0"/>
            <a:t>Avoided crossing</a:t>
          </a:r>
          <a:endParaRPr lang="da-DK" sz="1400" baseline="-250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676275</xdr:colOff>
      <xdr:row>5</xdr:row>
      <xdr:rowOff>28575</xdr:rowOff>
    </xdr:from>
    <xdr:to>
      <xdr:col>22</xdr:col>
      <xdr:colOff>314325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552450</xdr:colOff>
      <xdr:row>38</xdr:row>
      <xdr:rowOff>142875</xdr:rowOff>
    </xdr:from>
    <xdr:to>
      <xdr:col>30</xdr:col>
      <xdr:colOff>504825</xdr:colOff>
      <xdr:row>53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447675</xdr:colOff>
      <xdr:row>21</xdr:row>
      <xdr:rowOff>161925</xdr:rowOff>
    </xdr:from>
    <xdr:to>
      <xdr:col>22</xdr:col>
      <xdr:colOff>142875</xdr:colOff>
      <xdr:row>35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504825</xdr:colOff>
      <xdr:row>29</xdr:row>
      <xdr:rowOff>161925</xdr:rowOff>
    </xdr:from>
    <xdr:to>
      <xdr:col>25</xdr:col>
      <xdr:colOff>895349</xdr:colOff>
      <xdr:row>55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571499</xdr:colOff>
      <xdr:row>63</xdr:row>
      <xdr:rowOff>666751</xdr:rowOff>
    </xdr:from>
    <xdr:to>
      <xdr:col>25</xdr:col>
      <xdr:colOff>619124</xdr:colOff>
      <xdr:row>87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34017</xdr:colOff>
      <xdr:row>1</xdr:row>
      <xdr:rowOff>649061</xdr:rowOff>
    </xdr:from>
    <xdr:to>
      <xdr:col>36</xdr:col>
      <xdr:colOff>1092631</xdr:colOff>
      <xdr:row>21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411307</xdr:colOff>
      <xdr:row>285</xdr:row>
      <xdr:rowOff>187007</xdr:rowOff>
    </xdr:from>
    <xdr:to>
      <xdr:col>30</xdr:col>
      <xdr:colOff>1019175</xdr:colOff>
      <xdr:row>311</xdr:row>
      <xdr:rowOff>90767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3</xdr:row>
      <xdr:rowOff>0</xdr:rowOff>
    </xdr:from>
    <xdr:to>
      <xdr:col>50</xdr:col>
      <xdr:colOff>152400</xdr:colOff>
      <xdr:row>13</xdr:row>
      <xdr:rowOff>600075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517072</xdr:colOff>
      <xdr:row>92</xdr:row>
      <xdr:rowOff>40823</xdr:rowOff>
    </xdr:from>
    <xdr:to>
      <xdr:col>33</xdr:col>
      <xdr:colOff>661286</xdr:colOff>
      <xdr:row>107</xdr:row>
      <xdr:rowOff>21323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884466</xdr:colOff>
      <xdr:row>129</xdr:row>
      <xdr:rowOff>-1</xdr:rowOff>
    </xdr:from>
    <xdr:to>
      <xdr:col>36</xdr:col>
      <xdr:colOff>904502</xdr:colOff>
      <xdr:row>144</xdr:row>
      <xdr:rowOff>170999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1122219</xdr:colOff>
      <xdr:row>200</xdr:row>
      <xdr:rowOff>140278</xdr:rowOff>
    </xdr:from>
    <xdr:to>
      <xdr:col>52</xdr:col>
      <xdr:colOff>183906</xdr:colOff>
      <xdr:row>231</xdr:row>
      <xdr:rowOff>21524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0.47388</cdr:x>
      <cdr:y>0.24121</cdr:y>
    </cdr:from>
    <cdr:to>
      <cdr:x>0.93409</cdr:x>
      <cdr:y>0.42165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42105" y="982360"/>
          <a:ext cx="3148596" cy="734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/>
            <a:t>Y</a:t>
          </a:r>
          <a:r>
            <a:rPr lang="da-DK" sz="1400" baseline="0"/>
            <a:t> </a:t>
          </a:r>
          <a:r>
            <a:rPr lang="da-DK" sz="1400"/>
            <a:t>= 7.29</a:t>
          </a:r>
          <a:r>
            <a:rPr lang="da-DK" sz="1400" baseline="0">
              <a:latin typeface="+mn-lt"/>
              <a:ea typeface="+mn-ea"/>
              <a:cs typeface="+mn-cs"/>
            </a:rPr>
            <a:t>±3.32 - 20600</a:t>
          </a:r>
          <a:r>
            <a:rPr lang="da-DK" sz="1400" baseline="0">
              <a:latin typeface="Calibri"/>
            </a:rPr>
            <a:t>±2395</a:t>
          </a:r>
          <a:r>
            <a:rPr lang="da-DK" sz="1400" baseline="0">
              <a:latin typeface="+mn-lt"/>
              <a:ea typeface="+mn-ea"/>
              <a:cs typeface="+mn-cs"/>
            </a:rPr>
            <a:t> </a:t>
          </a:r>
          <a:r>
            <a:rPr lang="da-DK" sz="1100">
              <a:latin typeface="+mn-lt"/>
              <a:ea typeface="+mn-ea"/>
              <a:cs typeface="+mn-cs"/>
            </a:rPr>
            <a:t>· </a:t>
          </a:r>
          <a:r>
            <a:rPr lang="da-DK" sz="1400">
              <a:latin typeface="+mn-lt"/>
              <a:ea typeface="+mn-ea"/>
              <a:cs typeface="+mn-cs"/>
            </a:rPr>
            <a:t>T</a:t>
          </a:r>
          <a:r>
            <a:rPr lang="da-DK" sz="1400" baseline="30000">
              <a:latin typeface="+mn-lt"/>
              <a:ea typeface="+mn-ea"/>
              <a:cs typeface="+mn-cs"/>
            </a:rPr>
            <a:t>-1</a:t>
          </a:r>
        </a:p>
        <a:p xmlns:a="http://schemas.openxmlformats.org/drawingml/2006/main">
          <a:r>
            <a:rPr lang="da-DK" sz="1400" baseline="0">
              <a:latin typeface="+mn-lt"/>
              <a:ea typeface="+mn-ea"/>
              <a:cs typeface="+mn-cs"/>
            </a:rPr>
            <a:t>R</a:t>
          </a:r>
          <a:r>
            <a:rPr lang="da-DK" sz="1400" baseline="30000">
              <a:latin typeface="+mn-lt"/>
              <a:ea typeface="+mn-ea"/>
              <a:cs typeface="+mn-cs"/>
            </a:rPr>
            <a:t>2 </a:t>
          </a:r>
          <a:r>
            <a:rPr lang="da-DK" sz="1400" baseline="0">
              <a:latin typeface="+mn-lt"/>
              <a:ea typeface="+mn-ea"/>
              <a:cs typeface="+mn-cs"/>
            </a:rPr>
            <a:t>=  0.9848</a:t>
          </a:r>
          <a:r>
            <a:rPr lang="da-DK" sz="1400" baseline="0">
              <a:latin typeface="Calibri"/>
            </a:rPr>
            <a:t> </a:t>
          </a:r>
          <a:endParaRPr lang="da-DK" sz="1400" baseline="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0.17369</cdr:x>
      <cdr:y>0.16745</cdr:y>
    </cdr:from>
    <cdr:to>
      <cdr:x>0.26554</cdr:x>
      <cdr:y>0.23397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091571" y="709582"/>
          <a:ext cx="577287" cy="2819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>
              <a:latin typeface="+mn-lt"/>
              <a:ea typeface="+mn-ea"/>
              <a:cs typeface="+mn-cs"/>
            </a:rPr>
            <a:t>TS</a:t>
          </a:r>
          <a:r>
            <a:rPr lang="da-DK" sz="1600" b="0" baseline="-25000"/>
            <a:t>C</a:t>
          </a:r>
          <a:r>
            <a:rPr lang="da-DK" sz="1600" b="0" baseline="-50000"/>
            <a:t>1</a:t>
          </a:r>
          <a:r>
            <a:rPr lang="da-DK" sz="1600" b="0" baseline="0"/>
            <a:t>(</a:t>
          </a:r>
          <a:r>
            <a:rPr lang="da-DK" sz="1600" b="0" baseline="30000"/>
            <a:t>1</a:t>
          </a:r>
          <a:r>
            <a:rPr lang="da-DK" sz="1600" b="0" baseline="0"/>
            <a:t>X~)</a:t>
          </a:r>
        </a:p>
      </cdr:txBody>
    </cdr:sp>
  </cdr:relSizeAnchor>
  <cdr:relSizeAnchor xmlns:cdr="http://schemas.openxmlformats.org/drawingml/2006/chartDrawing">
    <cdr:from>
      <cdr:x>0.15233</cdr:x>
      <cdr:y>0.08778</cdr:y>
    </cdr:from>
    <cdr:to>
      <cdr:x>0.33173</cdr:x>
      <cdr:y>0.14979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1320078" y="476471"/>
          <a:ext cx="1554740" cy="3366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>
              <a:latin typeface="Calibri"/>
              <a:ea typeface="+mn-ea"/>
              <a:cs typeface="+mn-cs"/>
            </a:rPr>
            <a:t>·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1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  <cdr:relSizeAnchor xmlns:cdr="http://schemas.openxmlformats.org/drawingml/2006/chartDrawing">
    <cdr:from>
      <cdr:x>0.53832</cdr:x>
      <cdr:y>0.50822</cdr:y>
    </cdr:from>
    <cdr:to>
      <cdr:x>0.7585</cdr:x>
      <cdr:y>0.55331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5358923" y="3231405"/>
          <a:ext cx="2191804" cy="286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>
              <a:latin typeface="Calibri"/>
              <a:ea typeface="+mn-ea"/>
              <a:cs typeface="+mn-cs"/>
            </a:rPr>
            <a:t>·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</a:p>
        <a:p xmlns:a="http://schemas.openxmlformats.org/drawingml/2006/main">
          <a:endParaRPr lang="da-DK" sz="1600" b="0" baseline="0"/>
        </a:p>
      </cdr:txBody>
    </cdr:sp>
  </cdr:relSizeAnchor>
  <cdr:relSizeAnchor xmlns:cdr="http://schemas.openxmlformats.org/drawingml/2006/chartDrawing">
    <cdr:from>
      <cdr:x>0.68021</cdr:x>
      <cdr:y>0.15253</cdr:y>
    </cdr:from>
    <cdr:to>
      <cdr:x>0.77207</cdr:x>
      <cdr:y>0.21905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6771409" y="969818"/>
          <a:ext cx="914400" cy="422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>
              <a:latin typeface="+mn-lt"/>
              <a:ea typeface="+mn-ea"/>
              <a:cs typeface="+mn-cs"/>
            </a:rPr>
            <a:t>TS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  <cdr:relSizeAnchor xmlns:cdr="http://schemas.openxmlformats.org/drawingml/2006/chartDrawing">
    <cdr:from>
      <cdr:x>0.78459</cdr:x>
      <cdr:y>0.85525</cdr:y>
    </cdr:from>
    <cdr:to>
      <cdr:x>0.90985</cdr:x>
      <cdr:y>0.92646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7810500" y="5437910"/>
          <a:ext cx="1246909" cy="4527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>
              <a:latin typeface="Calibri"/>
              <a:ea typeface="+mn-ea"/>
              <a:cs typeface="+mn-cs"/>
            </a:rPr>
            <a:t>·</a:t>
          </a:r>
          <a:r>
            <a:rPr lang="da-DK" sz="1600" b="0">
              <a:latin typeface="+mn-lt"/>
              <a:ea typeface="+mn-ea"/>
              <a:cs typeface="+mn-cs"/>
            </a:rPr>
            <a:t>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/>
        </a:p>
        <a:p xmlns:a="http://schemas.openxmlformats.org/drawingml/2006/main">
          <a:endParaRPr lang="da-DK" sz="1600" b="0" baseline="0"/>
        </a:p>
      </cdr:txBody>
    </cdr:sp>
  </cdr:relSizeAnchor>
  <cdr:relSizeAnchor xmlns:cdr="http://schemas.openxmlformats.org/drawingml/2006/chartDrawing">
    <cdr:from>
      <cdr:x>0.51716</cdr:x>
      <cdr:y>0.10812</cdr:y>
    </cdr:from>
    <cdr:to>
      <cdr:x>0.64938</cdr:x>
      <cdr:y>0.22018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4481722" y="586884"/>
          <a:ext cx="1145821" cy="6082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/>
            <a:t>)</a:t>
          </a:r>
          <a:r>
            <a:rPr lang="da-DK" sz="1600" b="0" baseline="-25000">
              <a:latin typeface="+mn-lt"/>
              <a:ea typeface="+mn-ea"/>
              <a:cs typeface="+mn-cs"/>
            </a:rPr>
            <a:t>R</a:t>
          </a:r>
          <a:r>
            <a:rPr lang="da-DK" sz="1600" b="0" baseline="-5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r>
            <a:rPr lang="da-DK" sz="1600" b="0"/>
            <a:t>  + </a:t>
          </a:r>
          <a:r>
            <a:rPr lang="da-DK" sz="1600" b="0" baseline="0"/>
            <a:t> </a:t>
          </a: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600" b="0">
              <a:latin typeface="+mn-lt"/>
              <a:ea typeface="+mn-ea"/>
              <a:cs typeface="+mn-cs"/>
            </a:rPr>
            <a:t>(H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O)</a:t>
          </a:r>
          <a:r>
            <a:rPr lang="da-DK" sz="1600" b="0" baseline="-25000">
              <a:latin typeface="+mn-lt"/>
              <a:ea typeface="+mn-ea"/>
              <a:cs typeface="+mn-cs"/>
            </a:rPr>
            <a:t>C</a:t>
          </a:r>
          <a:r>
            <a:rPr lang="da-DK" sz="1600" b="0" baseline="-50000">
              <a:latin typeface="+mn-lt"/>
              <a:ea typeface="+mn-ea"/>
              <a:cs typeface="+mn-cs"/>
            </a:rPr>
            <a:t>2V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1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</a:p>
        <a:p xmlns:a="http://schemas.openxmlformats.org/drawingml/2006/main">
          <a:endParaRPr lang="da-DK" sz="1600" b="0" baseline="0"/>
        </a:p>
      </cdr:txBody>
    </cdr:sp>
  </cdr:relSizeAnchor>
  <cdr:relSizeAnchor xmlns:cdr="http://schemas.openxmlformats.org/drawingml/2006/chartDrawing">
    <cdr:from>
      <cdr:x>0.13402</cdr:x>
      <cdr:y>0.33507</cdr:y>
    </cdr:from>
    <cdr:to>
      <cdr:x>0.25232</cdr:x>
      <cdr:y>0.40628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1161521" y="1818867"/>
          <a:ext cx="1025257" cy="3865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2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1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  <cdr:relSizeAnchor xmlns:cdr="http://schemas.openxmlformats.org/drawingml/2006/chartDrawing">
    <cdr:from>
      <cdr:x>0.76438</cdr:x>
      <cdr:y>0.02913</cdr:y>
    </cdr:from>
    <cdr:to>
      <cdr:x>0.91747</cdr:x>
      <cdr:y>0.09761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6624165" y="158100"/>
          <a:ext cx="1326680" cy="371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0"/>
            <a:t>2</a:t>
          </a: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>
              <a:latin typeface="Calibri"/>
            </a:rPr>
            <a:t>∞</a:t>
          </a:r>
          <a:r>
            <a:rPr lang="da-DK" sz="1600" b="0" baseline="-50000"/>
            <a:t>V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2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0.25058</cdr:x>
      <cdr:y>0.12095</cdr:y>
    </cdr:from>
    <cdr:to>
      <cdr:x>0.38264</cdr:x>
      <cdr:y>0.21413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461371" y="435415"/>
          <a:ext cx="770174" cy="3354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baseline="30000"/>
            <a:t>1</a:t>
          </a:r>
          <a:r>
            <a:rPr lang="da-DK" sz="1400" b="0"/>
            <a:t>TS1</a:t>
          </a:r>
          <a:r>
            <a:rPr lang="da-DK" sz="1400" b="0" baseline="-25000"/>
            <a:t>Ar</a:t>
          </a:r>
          <a:endParaRPr lang="da-DK" sz="1100" b="0" i="0" baseline="-25000">
            <a:latin typeface="+mn-lt"/>
            <a:ea typeface="+mn-ea"/>
            <a:cs typeface="+mn-cs"/>
          </a:endParaRPr>
        </a:p>
        <a:p xmlns:a="http://schemas.openxmlformats.org/drawingml/2006/main">
          <a:endParaRPr lang="da-DK" sz="1400" b="0" baseline="-25000"/>
        </a:p>
      </cdr:txBody>
    </cdr:sp>
  </cdr:relSizeAnchor>
  <cdr:relSizeAnchor xmlns:cdr="http://schemas.openxmlformats.org/drawingml/2006/chartDrawing">
    <cdr:from>
      <cdr:x>0.47446</cdr:x>
      <cdr:y>0.47669</cdr:y>
    </cdr:from>
    <cdr:to>
      <cdr:x>0.71162</cdr:x>
      <cdr:y>0.57074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7073" y="1716091"/>
          <a:ext cx="1383102" cy="33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="0" baseline="30000"/>
            <a:t>1</a:t>
          </a:r>
          <a:r>
            <a:rPr lang="da-DK" sz="1400" b="0"/>
            <a:t>(HO</a:t>
          </a:r>
          <a:r>
            <a:rPr lang="da-DK" sz="1400" b="0" baseline="30000"/>
            <a:t>•</a:t>
          </a:r>
          <a:r>
            <a:rPr lang="da-DK" sz="1400" b="0" baseline="0"/>
            <a:t>·</a:t>
          </a:r>
          <a:r>
            <a:rPr lang="da-DK" sz="1400" b="0" baseline="0">
              <a:latin typeface="+mn-lt"/>
              <a:ea typeface="+mn-ea"/>
              <a:cs typeface="+mn-cs"/>
            </a:rPr>
            <a:t>··</a:t>
          </a:r>
          <a:r>
            <a:rPr lang="da-DK" sz="1400" b="0">
              <a:latin typeface="+mn-lt"/>
              <a:ea typeface="+mn-ea"/>
              <a:cs typeface="+mn-cs"/>
            </a:rPr>
            <a:t>HO</a:t>
          </a:r>
          <a:r>
            <a:rPr lang="da-DK" sz="1400" b="0" baseline="30000">
              <a:latin typeface="+mn-lt"/>
              <a:ea typeface="+mn-ea"/>
              <a:cs typeface="+mn-cs"/>
            </a:rPr>
            <a:t>•</a:t>
          </a:r>
          <a:r>
            <a:rPr lang="da-DK" sz="1400" b="0" baseline="0"/>
            <a:t>)  + Ar</a:t>
          </a:r>
          <a:endParaRPr lang="da-DK" sz="1400" b="0" baseline="-25000"/>
        </a:p>
      </cdr:txBody>
    </cdr:sp>
  </cdr:relSizeAnchor>
  <cdr:relSizeAnchor xmlns:cdr="http://schemas.openxmlformats.org/drawingml/2006/chartDrawing">
    <cdr:from>
      <cdr:x>0.112</cdr:x>
      <cdr:y>0.66902</cdr:y>
    </cdr:from>
    <cdr:to>
      <cdr:x>0.20766</cdr:x>
      <cdr:y>0.80131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653168" y="2408472"/>
          <a:ext cx="557889" cy="476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i="0" baseline="0">
              <a:latin typeface="+mn-lt"/>
              <a:ea typeface="+mn-ea"/>
              <a:cs typeface="+mn-cs"/>
            </a:rPr>
            <a:t>H</a:t>
          </a:r>
          <a:r>
            <a:rPr lang="da-DK" sz="1400" b="0" i="0" baseline="-25000">
              <a:latin typeface="+mn-lt"/>
              <a:ea typeface="+mn-ea"/>
              <a:cs typeface="+mn-cs"/>
            </a:rPr>
            <a:t>2</a:t>
          </a:r>
          <a:r>
            <a:rPr lang="da-DK" sz="1400" b="0" i="0" baseline="0">
              <a:latin typeface="+mn-lt"/>
              <a:ea typeface="+mn-ea"/>
              <a:cs typeface="+mn-cs"/>
            </a:rPr>
            <a:t>O</a:t>
          </a:r>
          <a:r>
            <a:rPr lang="da-DK" sz="1400" b="0" i="0" baseline="-25000">
              <a:latin typeface="+mn-lt"/>
              <a:ea typeface="+mn-ea"/>
              <a:cs typeface="+mn-cs"/>
            </a:rPr>
            <a:t>2 </a:t>
          </a: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i="0" baseline="0">
              <a:latin typeface="+mn-lt"/>
              <a:ea typeface="+mn-ea"/>
              <a:cs typeface="+mn-cs"/>
            </a:rPr>
            <a:t>+ Ar</a:t>
          </a:r>
          <a:endParaRPr lang="da-DK" sz="1100" b="0" i="0" baseline="0">
            <a:latin typeface="+mn-lt"/>
            <a:ea typeface="+mn-ea"/>
            <a:cs typeface="+mn-cs"/>
          </a:endParaRPr>
        </a:p>
        <a:p xmlns:a="http://schemas.openxmlformats.org/drawingml/2006/main">
          <a:endParaRPr lang="da-DK" sz="1400" b="0" baseline="-25000"/>
        </a:p>
      </cdr:txBody>
    </cdr:sp>
  </cdr:relSizeAnchor>
  <cdr:relSizeAnchor xmlns:cdr="http://schemas.openxmlformats.org/drawingml/2006/chartDrawing">
    <cdr:from>
      <cdr:x>0.16099</cdr:x>
      <cdr:y>0.80509</cdr:y>
    </cdr:from>
    <cdr:to>
      <cdr:x>0.16099</cdr:x>
      <cdr:y>0.88446</cdr:y>
    </cdr:to>
    <cdr:sp macro="" textlink="">
      <cdr:nvSpPr>
        <cdr:cNvPr id="26" name="Straight Arrow Connector 25"/>
        <cdr:cNvSpPr/>
      </cdr:nvSpPr>
      <cdr:spPr>
        <a:xfrm xmlns:a="http://schemas.openxmlformats.org/drawingml/2006/main">
          <a:off x="938877" y="2898324"/>
          <a:ext cx="0" cy="28573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a-DK"/>
        </a:p>
      </cdr:txBody>
    </cdr:sp>
  </cdr:relSizeAnchor>
  <cdr:relSizeAnchor xmlns:cdr="http://schemas.openxmlformats.org/drawingml/2006/chartDrawing">
    <cdr:from>
      <cdr:x>0.85393</cdr:x>
      <cdr:y>0.05292</cdr:y>
    </cdr:from>
    <cdr:to>
      <cdr:x>0.9566</cdr:x>
      <cdr:y>0.13607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4980131" y="190501"/>
          <a:ext cx="598771" cy="299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i="0" baseline="0">
              <a:latin typeface="+mn-lt"/>
              <a:ea typeface="+mn-ea"/>
              <a:cs typeface="+mn-cs"/>
            </a:rPr>
            <a:t>2HO</a:t>
          </a:r>
          <a:r>
            <a:rPr lang="da-DK" sz="1400" b="0" i="0" baseline="30000">
              <a:latin typeface="+mn-lt"/>
              <a:ea typeface="+mn-ea"/>
              <a:cs typeface="+mn-cs"/>
            </a:rPr>
            <a:t>•</a:t>
          </a:r>
          <a:r>
            <a:rPr lang="da-DK" sz="1400" b="0" i="0" baseline="0">
              <a:latin typeface="+mn-lt"/>
              <a:ea typeface="+mn-ea"/>
              <a:cs typeface="+mn-cs"/>
            </a:rPr>
            <a:t> + Ar</a:t>
          </a:r>
          <a:endParaRPr lang="da-DK" sz="1100" b="0" i="0" baseline="0">
            <a:latin typeface="+mn-lt"/>
            <a:ea typeface="+mn-ea"/>
            <a:cs typeface="+mn-cs"/>
          </a:endParaRPr>
        </a:p>
        <a:p xmlns:a="http://schemas.openxmlformats.org/drawingml/2006/main">
          <a:endParaRPr lang="da-DK" sz="1400" b="0" baseline="-250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0.14174</cdr:x>
      <cdr:y>0.14741</cdr:y>
    </cdr:from>
    <cdr:to>
      <cdr:x>0.22556</cdr:x>
      <cdr:y>0.22324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857250" y="530679"/>
          <a:ext cx="506949" cy="2729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0"/>
            <a:t>2</a:t>
          </a:r>
          <a:r>
            <a:rPr lang="da-DK" sz="1600" b="0"/>
            <a:t>HO</a:t>
          </a:r>
          <a:r>
            <a:rPr lang="da-DK" sz="1600" b="0" baseline="0"/>
            <a:t> </a:t>
          </a:r>
        </a:p>
      </cdr:txBody>
    </cdr:sp>
  </cdr:relSizeAnchor>
  <cdr:relSizeAnchor xmlns:cdr="http://schemas.openxmlformats.org/drawingml/2006/chartDrawing">
    <cdr:from>
      <cdr:x>0.21374</cdr:x>
      <cdr:y>0.36664</cdr:y>
    </cdr:from>
    <cdr:to>
      <cdr:x>0.34423</cdr:x>
      <cdr:y>0.46869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1292678" y="1319894"/>
          <a:ext cx="789213" cy="367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0.36223</cdr:x>
      <cdr:y>0.36664</cdr:y>
    </cdr:from>
    <cdr:to>
      <cdr:x>0.46572</cdr:x>
      <cdr:y>0.44979</cdr:y>
    </cdr:to>
    <cdr:sp macro="" textlink="">
      <cdr:nvSpPr>
        <cdr:cNvPr id="26" name="TextBox 1"/>
        <cdr:cNvSpPr txBox="1"/>
      </cdr:nvSpPr>
      <cdr:spPr>
        <a:xfrm xmlns:a="http://schemas.openxmlformats.org/drawingml/2006/main">
          <a:off x="2190751" y="1319892"/>
          <a:ext cx="625926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TS1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1</a:t>
          </a:r>
        </a:p>
      </cdr:txBody>
    </cdr:sp>
  </cdr:relSizeAnchor>
  <cdr:relSizeAnchor xmlns:cdr="http://schemas.openxmlformats.org/drawingml/2006/chartDrawing">
    <cdr:from>
      <cdr:x>0.60971</cdr:x>
      <cdr:y>0.44223</cdr:y>
    </cdr:from>
    <cdr:to>
      <cdr:x>0.73795</cdr:x>
      <cdr:y>0.52161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3687536" y="1592036"/>
          <a:ext cx="775606" cy="285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TS2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0.62321</cdr:x>
      <cdr:y>0.00756</cdr:y>
    </cdr:from>
    <cdr:to>
      <cdr:x>0.7672</cdr:x>
      <cdr:y>0.09071</cdr:y>
    </cdr:to>
    <cdr:sp macro="" textlink="">
      <cdr:nvSpPr>
        <cdr:cNvPr id="28" name="TextBox 1"/>
        <cdr:cNvSpPr txBox="1"/>
      </cdr:nvSpPr>
      <cdr:spPr>
        <a:xfrm xmlns:a="http://schemas.openxmlformats.org/drawingml/2006/main">
          <a:off x="3769177" y="27215"/>
          <a:ext cx="870856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TS3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0.50172</cdr:x>
      <cdr:y>0.3364</cdr:y>
    </cdr:from>
    <cdr:to>
      <cdr:x>0.65471</cdr:x>
      <cdr:y>0.43467</cdr:y>
    </cdr:to>
    <cdr:sp macro="" textlink="">
      <cdr:nvSpPr>
        <cdr:cNvPr id="29" name="TextBox 1"/>
        <cdr:cNvSpPr txBox="1"/>
      </cdr:nvSpPr>
      <cdr:spPr>
        <a:xfrm xmlns:a="http://schemas.openxmlformats.org/drawingml/2006/main">
          <a:off x="3034393" y="1211035"/>
          <a:ext cx="925284" cy="353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2h</a:t>
          </a:r>
        </a:p>
      </cdr:txBody>
    </cdr:sp>
  </cdr:relSizeAnchor>
  <cdr:relSizeAnchor xmlns:cdr="http://schemas.openxmlformats.org/drawingml/2006/chartDrawing">
    <cdr:from>
      <cdr:x>0.79645</cdr:x>
      <cdr:y>0.60854</cdr:y>
    </cdr:from>
    <cdr:to>
      <cdr:x>0.95243</cdr:x>
      <cdr:y>0.72508</cdr:y>
    </cdr:to>
    <cdr:sp macro="" textlink="">
      <cdr:nvSpPr>
        <cdr:cNvPr id="30" name="TextBox 1"/>
        <cdr:cNvSpPr txBox="1"/>
      </cdr:nvSpPr>
      <cdr:spPr>
        <a:xfrm xmlns:a="http://schemas.openxmlformats.org/drawingml/2006/main">
          <a:off x="4816929" y="2190750"/>
          <a:ext cx="943366" cy="4195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0.7357</cdr:x>
      <cdr:y>0.80887</cdr:y>
    </cdr:from>
    <cdr:to>
      <cdr:x>0.88644</cdr:x>
      <cdr:y>0.90336</cdr:y>
    </cdr:to>
    <cdr:sp macro="" textlink="">
      <cdr:nvSpPr>
        <cdr:cNvPr id="32" name="TextBox 1"/>
        <cdr:cNvSpPr txBox="1"/>
      </cdr:nvSpPr>
      <cdr:spPr>
        <a:xfrm xmlns:a="http://schemas.openxmlformats.org/drawingml/2006/main">
          <a:off x="4449535" y="2911929"/>
          <a:ext cx="911677" cy="340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1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0.22825</cdr:x>
      <cdr:y>0.33153</cdr:y>
    </cdr:from>
    <cdr:to>
      <cdr:x>0.3201</cdr:x>
      <cdr:y>0.39805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272145" y="2107955"/>
          <a:ext cx="914400" cy="422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>
              <a:latin typeface="+mn-lt"/>
              <a:ea typeface="+mn-ea"/>
              <a:cs typeface="+mn-cs"/>
            </a:rPr>
            <a:t>TS</a:t>
          </a:r>
          <a:r>
            <a:rPr lang="da-DK" sz="1600" b="0" baseline="-25000"/>
            <a:t>C</a:t>
          </a:r>
          <a:r>
            <a:rPr lang="da-DK" sz="1600" b="0" baseline="-50000"/>
            <a:t>1</a:t>
          </a:r>
          <a:r>
            <a:rPr lang="da-DK" sz="1600" b="0" baseline="0"/>
            <a:t>(</a:t>
          </a:r>
          <a:r>
            <a:rPr lang="da-DK" sz="1600" b="0" baseline="30000"/>
            <a:t>1</a:t>
          </a:r>
          <a:r>
            <a:rPr lang="da-DK" sz="1600" b="0" baseline="0"/>
            <a:t>X~)</a:t>
          </a:r>
        </a:p>
      </cdr:txBody>
    </cdr:sp>
  </cdr:relSizeAnchor>
  <cdr:relSizeAnchor xmlns:cdr="http://schemas.openxmlformats.org/drawingml/2006/chartDrawing">
    <cdr:from>
      <cdr:x>0.28752</cdr:x>
      <cdr:y>0.51066</cdr:y>
    </cdr:from>
    <cdr:to>
      <cdr:x>0.48323</cdr:x>
      <cdr:y>0.60006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2053448" y="2035934"/>
          <a:ext cx="1397688" cy="356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>
              <a:latin typeface="Calibri"/>
              <a:ea typeface="+mn-ea"/>
              <a:cs typeface="+mn-cs"/>
            </a:rPr>
            <a:t>·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1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  <cdr:relSizeAnchor xmlns:cdr="http://schemas.openxmlformats.org/drawingml/2006/chartDrawing">
    <cdr:from>
      <cdr:x>0.53832</cdr:x>
      <cdr:y>0.50822</cdr:y>
    </cdr:from>
    <cdr:to>
      <cdr:x>0.7585</cdr:x>
      <cdr:y>0.55331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5358923" y="3231405"/>
          <a:ext cx="2191804" cy="286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>
              <a:latin typeface="Calibri"/>
              <a:ea typeface="+mn-ea"/>
              <a:cs typeface="+mn-cs"/>
            </a:rPr>
            <a:t>·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</a:p>
        <a:p xmlns:a="http://schemas.openxmlformats.org/drawingml/2006/main">
          <a:endParaRPr lang="da-DK" sz="1600" b="0" baseline="0"/>
        </a:p>
      </cdr:txBody>
    </cdr:sp>
  </cdr:relSizeAnchor>
  <cdr:relSizeAnchor xmlns:cdr="http://schemas.openxmlformats.org/drawingml/2006/chartDrawing">
    <cdr:from>
      <cdr:x>0.68021</cdr:x>
      <cdr:y>0.15253</cdr:y>
    </cdr:from>
    <cdr:to>
      <cdr:x>0.77207</cdr:x>
      <cdr:y>0.21905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6771409" y="969818"/>
          <a:ext cx="914400" cy="422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>
              <a:latin typeface="+mn-lt"/>
              <a:ea typeface="+mn-ea"/>
              <a:cs typeface="+mn-cs"/>
            </a:rPr>
            <a:t>TS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  <cdr:relSizeAnchor xmlns:cdr="http://schemas.openxmlformats.org/drawingml/2006/chartDrawing">
    <cdr:from>
      <cdr:x>0.78459</cdr:x>
      <cdr:y>0.85525</cdr:y>
    </cdr:from>
    <cdr:to>
      <cdr:x>0.90985</cdr:x>
      <cdr:y>0.92646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7810500" y="5437910"/>
          <a:ext cx="1246909" cy="4527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>
              <a:latin typeface="Calibri"/>
              <a:ea typeface="+mn-ea"/>
              <a:cs typeface="+mn-cs"/>
            </a:rPr>
            <a:t>·</a:t>
          </a:r>
          <a:r>
            <a:rPr lang="da-DK" sz="1600" b="0">
              <a:latin typeface="+mn-lt"/>
              <a:ea typeface="+mn-ea"/>
              <a:cs typeface="+mn-cs"/>
            </a:rPr>
            <a:t>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/>
        </a:p>
        <a:p xmlns:a="http://schemas.openxmlformats.org/drawingml/2006/main">
          <a:endParaRPr lang="da-DK" sz="1600" b="0" baseline="0"/>
        </a:p>
      </cdr:txBody>
    </cdr:sp>
  </cdr:relSizeAnchor>
  <cdr:relSizeAnchor xmlns:cdr="http://schemas.openxmlformats.org/drawingml/2006/chartDrawing">
    <cdr:from>
      <cdr:x>0.86778</cdr:x>
      <cdr:y>0.68366</cdr:y>
    </cdr:from>
    <cdr:to>
      <cdr:x>1</cdr:x>
      <cdr:y>0.79572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8659092" y="4346864"/>
          <a:ext cx="1316181" cy="712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/>
            <a:t>)</a:t>
          </a:r>
          <a:r>
            <a:rPr lang="da-DK" sz="1600" b="0" baseline="-25000">
              <a:latin typeface="+mn-lt"/>
              <a:ea typeface="+mn-ea"/>
              <a:cs typeface="+mn-cs"/>
            </a:rPr>
            <a:t>R</a:t>
          </a:r>
          <a:r>
            <a:rPr lang="da-DK" sz="1600" b="0" baseline="-5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3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r>
            <a:rPr lang="da-DK" sz="1600" b="0"/>
            <a:t>  + </a:t>
          </a:r>
          <a:r>
            <a:rPr lang="da-DK" sz="1600" b="0" baseline="0"/>
            <a:t> </a:t>
          </a: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600" b="0">
              <a:latin typeface="+mn-lt"/>
              <a:ea typeface="+mn-ea"/>
              <a:cs typeface="+mn-cs"/>
            </a:rPr>
            <a:t>(H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O)</a:t>
          </a:r>
          <a:r>
            <a:rPr lang="da-DK" sz="1600" b="0" baseline="-25000">
              <a:latin typeface="+mn-lt"/>
              <a:ea typeface="+mn-ea"/>
              <a:cs typeface="+mn-cs"/>
            </a:rPr>
            <a:t>C</a:t>
          </a:r>
          <a:r>
            <a:rPr lang="da-DK" sz="1600" b="0" baseline="-50000">
              <a:latin typeface="+mn-lt"/>
              <a:ea typeface="+mn-ea"/>
              <a:cs typeface="+mn-cs"/>
            </a:rPr>
            <a:t>2V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1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</a:p>
        <a:p xmlns:a="http://schemas.openxmlformats.org/drawingml/2006/main">
          <a:endParaRPr lang="da-DK" sz="1600" b="0" baseline="0"/>
        </a:p>
      </cdr:txBody>
    </cdr:sp>
  </cdr:relSizeAnchor>
  <cdr:relSizeAnchor xmlns:cdr="http://schemas.openxmlformats.org/drawingml/2006/chartDrawing">
    <cdr:from>
      <cdr:x>0.09394</cdr:x>
      <cdr:y>0.39494</cdr:y>
    </cdr:from>
    <cdr:to>
      <cdr:x>0.21224</cdr:x>
      <cdr:y>0.46615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935183" y="2511137"/>
          <a:ext cx="1177636" cy="452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2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1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  <cdr:relSizeAnchor xmlns:cdr="http://schemas.openxmlformats.org/drawingml/2006/chartDrawing">
    <cdr:from>
      <cdr:x>0.41926</cdr:x>
      <cdr:y>0.23969</cdr:y>
    </cdr:from>
    <cdr:to>
      <cdr:x>0.57235</cdr:x>
      <cdr:y>0.30817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4173683" y="1524000"/>
          <a:ext cx="1524000" cy="435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0"/>
            <a:t>2</a:t>
          </a: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HO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>
              <a:latin typeface="Calibri"/>
            </a:rPr>
            <a:t>∞</a:t>
          </a:r>
          <a:r>
            <a:rPr lang="da-DK" sz="1600" b="0" baseline="-50000"/>
            <a:t>V</a:t>
          </a:r>
          <a:r>
            <a:rPr lang="da-DK" sz="1600" b="0" baseline="0">
              <a:latin typeface="+mn-lt"/>
              <a:ea typeface="+mn-ea"/>
              <a:cs typeface="+mn-cs"/>
            </a:rPr>
            <a:t>(</a:t>
          </a:r>
          <a:r>
            <a:rPr lang="da-DK" sz="1600" b="0" baseline="30000">
              <a:latin typeface="+mn-lt"/>
              <a:ea typeface="+mn-ea"/>
              <a:cs typeface="+mn-cs"/>
            </a:rPr>
            <a:t>2</a:t>
          </a:r>
          <a:r>
            <a:rPr lang="da-DK" sz="1600" b="0" baseline="0">
              <a:latin typeface="+mn-lt"/>
              <a:ea typeface="+mn-ea"/>
              <a:cs typeface="+mn-cs"/>
            </a:rPr>
            <a:t>X~)</a:t>
          </a:r>
          <a:endParaRPr lang="da-DK" sz="1600" b="0" baseline="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ds/Desktop/Chemzyme%20project/data/model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5"/>
      <sheetName val="Sheet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8">
          <cell r="B158">
            <v>1</v>
          </cell>
          <cell r="C158">
            <v>2</v>
          </cell>
          <cell r="D158">
            <v>3</v>
          </cell>
          <cell r="E158">
            <v>4</v>
          </cell>
          <cell r="F158">
            <v>5</v>
          </cell>
          <cell r="G158">
            <v>6</v>
          </cell>
        </row>
        <row r="160">
          <cell r="A160" t="str">
            <v xml:space="preserve">TS(CA)-RC(CA) </v>
          </cell>
          <cell r="B160">
            <v>30.770557565730996</v>
          </cell>
          <cell r="C160">
            <v>9.5524836938129738</v>
          </cell>
          <cell r="D160">
            <v>-0.62723167205695063</v>
          </cell>
          <cell r="E160">
            <v>-6.9490127920871601</v>
          </cell>
          <cell r="F160">
            <v>1.1399653401458636</v>
          </cell>
          <cell r="G160">
            <v>0.93157949740998447</v>
          </cell>
        </row>
        <row r="161">
          <cell r="A161" t="str">
            <v xml:space="preserve">TS(CB)-RC(CB) </v>
          </cell>
          <cell r="B161">
            <v>22.383952885400504</v>
          </cell>
          <cell r="C161">
            <v>-1.4353864692384377</v>
          </cell>
          <cell r="D161">
            <v>-2.4579132463550195</v>
          </cell>
          <cell r="E161">
            <v>-5.1588689198251814</v>
          </cell>
          <cell r="F161">
            <v>-0.55327136989217252</v>
          </cell>
          <cell r="G161">
            <v>-0.58412098104599863</v>
          </cell>
        </row>
        <row r="162">
          <cell r="A162" t="str">
            <v xml:space="preserve">TS(CC)-RC(CC) </v>
          </cell>
          <cell r="B162">
            <v>16.68795941316057</v>
          </cell>
          <cell r="C162">
            <v>1.5111058556940407</v>
          </cell>
          <cell r="D162">
            <v>-1.6798729210859165</v>
          </cell>
          <cell r="E162">
            <v>-7.3303927533561364</v>
          </cell>
          <cell r="F162">
            <v>-1.1461877723922953</v>
          </cell>
          <cell r="G162">
            <v>-0.12618147442117333</v>
          </cell>
        </row>
        <row r="163">
          <cell r="A163" t="str">
            <v xml:space="preserve">TS(CD)-RC(CD)  </v>
          </cell>
          <cell r="B163">
            <v>-0.69688615621998906</v>
          </cell>
          <cell r="C163">
            <v>0.33244066289626062</v>
          </cell>
          <cell r="D163">
            <v>1.0985349685652182</v>
          </cell>
          <cell r="E163">
            <v>-2.7839476919034496</v>
          </cell>
          <cell r="F163">
            <v>-0.52922180050518364</v>
          </cell>
          <cell r="G163">
            <v>-0.27271056431345642</v>
          </cell>
        </row>
        <row r="170">
          <cell r="D170">
            <v>1</v>
          </cell>
          <cell r="E170">
            <v>2</v>
          </cell>
          <cell r="F170">
            <v>3</v>
          </cell>
          <cell r="G170">
            <v>4</v>
          </cell>
          <cell r="H170">
            <v>5</v>
          </cell>
        </row>
        <row r="172">
          <cell r="C172" t="str">
            <v>CA (RC-&gt;TS)</v>
          </cell>
          <cell r="D172">
            <v>30.770557565730996</v>
          </cell>
          <cell r="E172">
            <v>8.0966918477788568</v>
          </cell>
          <cell r="F172">
            <v>-3.3697174863191321</v>
          </cell>
          <cell r="G172">
            <v>-10.38749996945262</v>
          </cell>
          <cell r="H172">
            <v>-1.058338581235148</v>
          </cell>
        </row>
        <row r="173">
          <cell r="C173" t="str">
            <v>CB (RC-&gt;TS)</v>
          </cell>
          <cell r="D173">
            <v>22.383952885400504</v>
          </cell>
          <cell r="E173">
            <v>-2.7277620165841654</v>
          </cell>
          <cell r="F173">
            <v>-4.6254305683542043</v>
          </cell>
          <cell r="G173">
            <v>-8.8907293375814334</v>
          </cell>
          <cell r="H173">
            <v>-1.6692081446526572</v>
          </cell>
        </row>
        <row r="174">
          <cell r="C174" t="str">
            <v>CC (RC-&gt;TS)</v>
          </cell>
          <cell r="D174">
            <v>16.68795941316057</v>
          </cell>
          <cell r="E174">
            <v>0.82311488932464272</v>
          </cell>
          <cell r="F174">
            <v>-2.7351659236010164</v>
          </cell>
          <cell r="G174">
            <v>-9.6758663865039125</v>
          </cell>
          <cell r="H174">
            <v>-1.1311226604739204</v>
          </cell>
        </row>
        <row r="175">
          <cell r="C175" t="str">
            <v>CD (RC2-&gt;TS)</v>
          </cell>
          <cell r="D175">
            <v>-0.69688615621998906</v>
          </cell>
          <cell r="E175">
            <v>-2.6396765373647213E-2</v>
          </cell>
          <cell r="F175">
            <v>0.14167191716842353</v>
          </cell>
          <cell r="G175">
            <v>-4.1805686706211418</v>
          </cell>
          <cell r="H175">
            <v>-1.5571098462678492</v>
          </cell>
        </row>
        <row r="183">
          <cell r="D183">
            <v>1</v>
          </cell>
          <cell r="E183">
            <v>2</v>
          </cell>
          <cell r="F183">
            <v>3</v>
          </cell>
          <cell r="G183">
            <v>4</v>
          </cell>
        </row>
        <row r="185">
          <cell r="C185" t="str">
            <v>CA (RC-&gt;TS)</v>
          </cell>
          <cell r="D185">
            <v>8.6209041964029893</v>
          </cell>
          <cell r="E185">
            <v>-1.9156873497413471</v>
          </cell>
          <cell r="F185">
            <v>-8.477804007823579</v>
          </cell>
          <cell r="G185">
            <v>-0.55596250621601939</v>
          </cell>
        </row>
        <row r="186">
          <cell r="C186" t="str">
            <v>CB (RC-&gt;TS)</v>
          </cell>
          <cell r="D186">
            <v>-0.85126548819243908</v>
          </cell>
          <cell r="E186">
            <v>-1.9149128278950229</v>
          </cell>
          <cell r="F186">
            <v>-6.3178481229115278</v>
          </cell>
          <cell r="G186">
            <v>4.2963662766851485E-2</v>
          </cell>
        </row>
        <row r="187">
          <cell r="C187" t="str">
            <v>CC (RC-&gt;TS)</v>
          </cell>
          <cell r="D187">
            <v>1.637287330115214</v>
          </cell>
          <cell r="E187">
            <v>-1.830219486146234</v>
          </cell>
          <cell r="F187">
            <v>-7.7560359990457073</v>
          </cell>
          <cell r="G187">
            <v>-0.28644979954697192</v>
          </cell>
        </row>
        <row r="188">
          <cell r="C188" t="str">
            <v>CD (RC2-&gt;TS)</v>
          </cell>
          <cell r="D188">
            <v>0.60515122720971704</v>
          </cell>
          <cell r="E188">
            <v>0.95803927490487695</v>
          </cell>
          <cell r="F188">
            <v>-3.048243532073684</v>
          </cell>
          <cell r="G188">
            <v>-0.3447752563515678</v>
          </cell>
        </row>
        <row r="196">
          <cell r="D196">
            <v>1</v>
          </cell>
          <cell r="E196">
            <v>2</v>
          </cell>
          <cell r="F196">
            <v>3</v>
          </cell>
        </row>
        <row r="198">
          <cell r="C198" t="str">
            <v>CA (RC-&gt;TS)</v>
          </cell>
          <cell r="D198">
            <v>-1.7671970122028142</v>
          </cell>
          <cell r="E198">
            <v>-8.1805135235190392</v>
          </cell>
          <cell r="F198">
            <v>-0.24256458657328039</v>
          </cell>
        </row>
        <row r="199">
          <cell r="C199" t="str">
            <v>CB (RC-&gt;TS)</v>
          </cell>
          <cell r="D199">
            <v>-1.904641876462847</v>
          </cell>
          <cell r="E199">
            <v>-4.850223153247498</v>
          </cell>
          <cell r="F199">
            <v>5.382010038010776E-2</v>
          </cell>
        </row>
        <row r="200">
          <cell r="C200" t="str">
            <v>CC (RC-&gt;TS)</v>
          </cell>
          <cell r="D200">
            <v>-0.53368514869362116</v>
          </cell>
          <cell r="E200">
            <v>-6.3461903827264905</v>
          </cell>
          <cell r="F200">
            <v>-0.22771213948726654</v>
          </cell>
        </row>
        <row r="201">
          <cell r="C201" t="str">
            <v>CD (RC2-&gt;TS)</v>
          </cell>
          <cell r="D201">
            <v>1.6277567690704018</v>
          </cell>
          <cell r="E201">
            <v>-2.3542296717641875</v>
          </cell>
          <cell r="F201">
            <v>1.6456626821309328E-2</v>
          </cell>
        </row>
      </sheetData>
      <sheetData sheetId="12"/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name="S_6" connectionId="8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" connectionId="16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_5" connectionId="15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_4" connectionId="1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_5" connectionId="7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S" connectionId="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5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48576"/>
  <sheetViews>
    <sheetView tabSelected="1" topLeftCell="AA438" zoomScale="60" zoomScaleNormal="60" workbookViewId="0">
      <selection activeCell="AQ266" sqref="AQ266"/>
    </sheetView>
  </sheetViews>
  <sheetFormatPr defaultRowHeight="15" x14ac:dyDescent="0.25"/>
  <cols>
    <col min="2" max="2" width="16.140625" customWidth="1"/>
    <col min="3" max="3" width="14.5703125" customWidth="1"/>
    <col min="4" max="4" width="16.7109375" customWidth="1"/>
    <col min="5" max="5" width="11.5703125" customWidth="1"/>
    <col min="6" max="6" width="16" customWidth="1"/>
    <col min="7" max="7" width="21.42578125" customWidth="1"/>
    <col min="8" max="8" width="12" customWidth="1"/>
    <col min="9" max="9" width="15.7109375" customWidth="1"/>
    <col min="10" max="10" width="14" customWidth="1"/>
    <col min="11" max="11" width="13.140625" customWidth="1"/>
    <col min="12" max="12" width="14.140625" customWidth="1"/>
    <col min="13" max="13" width="15.85546875" customWidth="1"/>
    <col min="14" max="14" width="19.28515625" customWidth="1"/>
    <col min="15" max="15" width="18.42578125" customWidth="1"/>
    <col min="16" max="16" width="15.42578125" customWidth="1"/>
    <col min="17" max="17" width="12.28515625" bestFit="1" customWidth="1"/>
    <col min="18" max="18" width="15" customWidth="1"/>
    <col min="19" max="19" width="19.42578125" customWidth="1"/>
    <col min="20" max="20" width="21.28515625" customWidth="1"/>
    <col min="21" max="21" width="21.42578125" customWidth="1"/>
    <col min="22" max="22" width="20" customWidth="1"/>
    <col min="23" max="23" width="22.28515625" customWidth="1"/>
    <col min="24" max="24" width="21" customWidth="1"/>
    <col min="25" max="25" width="15.140625" customWidth="1"/>
    <col min="26" max="26" width="13.5703125" customWidth="1"/>
    <col min="27" max="27" width="21.28515625" bestFit="1" customWidth="1"/>
    <col min="28" max="28" width="14.85546875" bestFit="1" customWidth="1"/>
    <col min="29" max="29" width="16.85546875" customWidth="1"/>
    <col min="30" max="30" width="13.42578125" customWidth="1"/>
    <col min="31" max="31" width="12.85546875" customWidth="1"/>
    <col min="32" max="32" width="14.42578125" customWidth="1"/>
    <col min="33" max="33" width="11.140625" customWidth="1"/>
    <col min="34" max="34" width="12.5703125" customWidth="1"/>
    <col min="35" max="36" width="11.42578125" customWidth="1"/>
    <col min="37" max="38" width="11.5703125" customWidth="1"/>
    <col min="39" max="39" width="10.7109375" customWidth="1"/>
    <col min="40" max="40" width="15.28515625" customWidth="1"/>
    <col min="41" max="41" width="12.42578125" bestFit="1" customWidth="1"/>
    <col min="42" max="42" width="14.85546875" bestFit="1" customWidth="1"/>
    <col min="43" max="44" width="13.85546875" customWidth="1"/>
    <col min="45" max="45" width="11.140625" customWidth="1"/>
    <col min="46" max="46" width="10.5703125" customWidth="1"/>
    <col min="47" max="47" width="14.85546875" bestFit="1" customWidth="1"/>
    <col min="48" max="48" width="14" customWidth="1"/>
    <col min="49" max="49" width="21.42578125" customWidth="1"/>
    <col min="50" max="50" width="20.42578125" customWidth="1"/>
    <col min="52" max="52" width="14.85546875" bestFit="1" customWidth="1"/>
    <col min="53" max="53" width="10.28515625" bestFit="1" customWidth="1"/>
    <col min="54" max="54" width="10" bestFit="1" customWidth="1"/>
  </cols>
  <sheetData>
    <row r="1" spans="2:64" ht="15.75" thickBot="1" x14ac:dyDescent="0.3">
      <c r="G1" s="31" t="s">
        <v>88</v>
      </c>
      <c r="H1" s="32">
        <v>1</v>
      </c>
      <c r="S1" s="15"/>
      <c r="T1" s="15"/>
      <c r="U1" s="15" t="s">
        <v>86</v>
      </c>
      <c r="V1" s="15" t="s">
        <v>86</v>
      </c>
      <c r="W1" s="15" t="s">
        <v>87</v>
      </c>
      <c r="X1" s="15" t="s">
        <v>87</v>
      </c>
      <c r="Y1" s="15" t="s">
        <v>87</v>
      </c>
    </row>
    <row r="2" spans="2:64" ht="15.75" thickBot="1" x14ac:dyDescent="0.3">
      <c r="B2" s="3" t="s">
        <v>12</v>
      </c>
      <c r="C2" s="4">
        <v>1.23</v>
      </c>
      <c r="D2" t="s">
        <v>73</v>
      </c>
      <c r="F2" t="s">
        <v>422</v>
      </c>
      <c r="G2" s="15" t="s">
        <v>4</v>
      </c>
      <c r="H2" s="15" t="s">
        <v>80</v>
      </c>
      <c r="I2" s="15" t="s">
        <v>92</v>
      </c>
      <c r="J2" s="15" t="s">
        <v>82</v>
      </c>
      <c r="K2" s="15" t="s">
        <v>2</v>
      </c>
      <c r="L2" s="15" t="s">
        <v>89</v>
      </c>
      <c r="M2" s="15" t="s">
        <v>79</v>
      </c>
      <c r="N2" s="15" t="s">
        <v>94</v>
      </c>
      <c r="O2" s="15" t="s">
        <v>0</v>
      </c>
      <c r="P2" s="15" t="s">
        <v>1</v>
      </c>
      <c r="Q2" s="15" t="s">
        <v>34</v>
      </c>
      <c r="R2" s="15" t="s">
        <v>16</v>
      </c>
      <c r="S2" s="15" t="s">
        <v>17</v>
      </c>
      <c r="T2" s="15" t="s">
        <v>18</v>
      </c>
      <c r="U2" s="15" t="s">
        <v>11</v>
      </c>
      <c r="V2" s="15" t="s">
        <v>13</v>
      </c>
      <c r="W2" s="15" t="s">
        <v>95</v>
      </c>
      <c r="X2" s="15" t="s">
        <v>99</v>
      </c>
      <c r="Y2" s="15" t="s">
        <v>13</v>
      </c>
    </row>
    <row r="3" spans="2:64" ht="15.75" thickBot="1" x14ac:dyDescent="0.3">
      <c r="B3" s="3" t="s">
        <v>12</v>
      </c>
      <c r="C3">
        <v>7.53</v>
      </c>
      <c r="D3" t="s">
        <v>19</v>
      </c>
      <c r="F3" t="s">
        <v>427</v>
      </c>
      <c r="G3" s="14" t="s">
        <v>3</v>
      </c>
      <c r="H3" s="14" t="s">
        <v>81</v>
      </c>
      <c r="I3" s="14">
        <f>25+273.15</f>
        <v>298.14999999999998</v>
      </c>
      <c r="J3" s="21">
        <v>0.05</v>
      </c>
      <c r="K3" s="33">
        <v>7</v>
      </c>
      <c r="L3" s="21">
        <v>7.8710000000000002E-2</v>
      </c>
      <c r="M3" s="21">
        <v>0.1077</v>
      </c>
      <c r="N3" s="19">
        <f>10^(-(1.824*10^6)/(78.54*I3)^(3/2))*SQRT(M3)</f>
        <v>0.10164503871517848</v>
      </c>
      <c r="O3" s="36">
        <v>9.9000000000000005E-2</v>
      </c>
      <c r="P3" s="14">
        <v>122.37</v>
      </c>
      <c r="Q3" s="21">
        <v>0</v>
      </c>
      <c r="R3" s="35">
        <v>3.628E-2</v>
      </c>
      <c r="S3" s="35">
        <v>17400</v>
      </c>
      <c r="T3" s="19">
        <f t="shared" ref="T3:T33" si="0">R3/S3</f>
        <v>2.0850574712643676E-6</v>
      </c>
      <c r="U3" s="21">
        <v>1.077E-6</v>
      </c>
      <c r="V3" s="19">
        <f>U3/($C$2)</f>
        <v>8.75609756097561E-7</v>
      </c>
      <c r="W3" s="19">
        <f>T3/(P3*$C$2*N3)</f>
        <v>1.3628616564521617E-7</v>
      </c>
      <c r="X3" s="19">
        <f>T3/($C$2*N3)</f>
        <v>1.6677338090005102E-5</v>
      </c>
      <c r="Y3" s="19">
        <f>T3/($C$2)</f>
        <v>1.6951686758246891E-6</v>
      </c>
    </row>
    <row r="4" spans="2:64" ht="15.75" thickBot="1" x14ac:dyDescent="0.3">
      <c r="F4" t="s">
        <v>427</v>
      </c>
      <c r="G4" s="14" t="s">
        <v>3</v>
      </c>
      <c r="H4" s="14" t="s">
        <v>81</v>
      </c>
      <c r="I4" s="14">
        <f t="shared" ref="I4:I33" si="1">25+273.15</f>
        <v>298.14999999999998</v>
      </c>
      <c r="J4" s="21">
        <v>0.05</v>
      </c>
      <c r="K4" s="33">
        <v>7</v>
      </c>
      <c r="L4" s="21">
        <v>7.8710000000000002E-2</v>
      </c>
      <c r="M4" s="21">
        <v>0.1077</v>
      </c>
      <c r="N4" s="19">
        <f t="shared" ref="N4:N33" si="2">10^(-(1.824*10^6)/(78.54*I4)^(3/2))*SQRT(M4)</f>
        <v>0.10164503871517848</v>
      </c>
      <c r="O4" s="36">
        <v>0.49</v>
      </c>
      <c r="P4" s="14">
        <v>122.37</v>
      </c>
      <c r="Q4" s="21">
        <v>0</v>
      </c>
      <c r="R4" s="35">
        <v>0.1144</v>
      </c>
      <c r="S4" s="35">
        <v>23790</v>
      </c>
      <c r="T4" s="19">
        <f t="shared" si="0"/>
        <v>4.8087431693989072E-6</v>
      </c>
      <c r="U4" s="21">
        <v>3.7160000000000001E-6</v>
      </c>
      <c r="V4" s="19">
        <f t="shared" ref="V4:V33" si="3">U4/($C$2)</f>
        <v>3.0211382113821139E-6</v>
      </c>
      <c r="W4" s="19">
        <f t="shared" ref="W4:W33" si="4">T4/(P4*$C$2*N4)</f>
        <v>3.1431515781317591E-7</v>
      </c>
      <c r="X4" s="19">
        <f t="shared" ref="X4:X33" si="5">T4/($C$2*N4)</f>
        <v>3.8462745861598339E-5</v>
      </c>
      <c r="Y4" s="19">
        <f t="shared" ref="Y4:Y33" si="6">T4/($C$2)</f>
        <v>3.9095472921942336E-6</v>
      </c>
      <c r="BK4" s="2"/>
    </row>
    <row r="5" spans="2:64" x14ac:dyDescent="0.25">
      <c r="F5" t="s">
        <v>427</v>
      </c>
      <c r="G5" s="14" t="s">
        <v>3</v>
      </c>
      <c r="H5" s="14" t="s">
        <v>81</v>
      </c>
      <c r="I5" s="14">
        <f t="shared" si="1"/>
        <v>298.14999999999998</v>
      </c>
      <c r="J5" s="21">
        <v>0.05</v>
      </c>
      <c r="K5" s="33">
        <v>7</v>
      </c>
      <c r="L5" s="21">
        <v>7.8710000000000002E-2</v>
      </c>
      <c r="M5" s="21">
        <v>0.1077</v>
      </c>
      <c r="N5" s="19">
        <f t="shared" si="2"/>
        <v>0.10164503871517848</v>
      </c>
      <c r="O5" s="36">
        <v>0.99</v>
      </c>
      <c r="P5" s="14">
        <v>122.37</v>
      </c>
      <c r="Q5" s="21">
        <v>0</v>
      </c>
      <c r="R5" s="35">
        <v>0.16420000000000001</v>
      </c>
      <c r="S5" s="35">
        <v>25600</v>
      </c>
      <c r="T5" s="19">
        <f t="shared" si="0"/>
        <v>6.4140625000000009E-6</v>
      </c>
      <c r="U5" s="21">
        <v>5.0769999999999998E-6</v>
      </c>
      <c r="V5" s="19">
        <f t="shared" si="3"/>
        <v>4.127642276422764E-6</v>
      </c>
      <c r="W5" s="19">
        <f t="shared" si="4"/>
        <v>4.192440718690074E-7</v>
      </c>
      <c r="X5" s="19">
        <f t="shared" si="5"/>
        <v>5.1302897074610435E-5</v>
      </c>
      <c r="Y5" s="19">
        <f t="shared" si="6"/>
        <v>5.2146849593495946E-6</v>
      </c>
      <c r="AT5" s="22" t="s">
        <v>412</v>
      </c>
      <c r="AU5" s="25" t="s">
        <v>43</v>
      </c>
      <c r="AV5" s="25" t="s">
        <v>248</v>
      </c>
      <c r="AW5" s="26" t="s">
        <v>249</v>
      </c>
      <c r="AX5" s="22" t="s">
        <v>413</v>
      </c>
      <c r="AY5" s="25" t="s">
        <v>43</v>
      </c>
      <c r="AZ5" s="25" t="s">
        <v>248</v>
      </c>
      <c r="BA5" s="26" t="s">
        <v>249</v>
      </c>
      <c r="BI5" s="13"/>
      <c r="BJ5" s="13"/>
      <c r="BK5" s="18"/>
    </row>
    <row r="6" spans="2:64" x14ac:dyDescent="0.25">
      <c r="F6" t="s">
        <v>427</v>
      </c>
      <c r="G6" s="14" t="s">
        <v>3</v>
      </c>
      <c r="H6" s="14" t="s">
        <v>81</v>
      </c>
      <c r="I6" s="14">
        <f t="shared" si="1"/>
        <v>298.14999999999998</v>
      </c>
      <c r="J6" s="21">
        <v>0.05</v>
      </c>
      <c r="K6" s="33">
        <v>7</v>
      </c>
      <c r="L6" s="21">
        <v>7.8710000000000002E-2</v>
      </c>
      <c r="M6" s="21">
        <v>0.1077</v>
      </c>
      <c r="N6" s="19">
        <f t="shared" si="2"/>
        <v>0.10164503871517848</v>
      </c>
      <c r="O6" s="36">
        <v>2.46</v>
      </c>
      <c r="P6" s="14">
        <v>122.37</v>
      </c>
      <c r="Q6" s="21">
        <v>0</v>
      </c>
      <c r="R6" s="35">
        <v>0.21740000000000001</v>
      </c>
      <c r="S6" s="35">
        <v>24080</v>
      </c>
      <c r="T6" s="19">
        <f t="shared" si="0"/>
        <v>9.0282392026578074E-6</v>
      </c>
      <c r="U6" s="21">
        <v>7.075E-6</v>
      </c>
      <c r="V6" s="19">
        <f t="shared" si="3"/>
        <v>5.7520325203252034E-6</v>
      </c>
      <c r="W6" s="19">
        <f t="shared" si="4"/>
        <v>5.9011519846114056E-7</v>
      </c>
      <c r="X6" s="19">
        <f t="shared" si="5"/>
        <v>7.2212396835689776E-5</v>
      </c>
      <c r="Y6" s="19">
        <f t="shared" si="6"/>
        <v>7.3400318720795182E-6</v>
      </c>
      <c r="AT6" s="72" t="s">
        <v>250</v>
      </c>
      <c r="AU6" s="34">
        <v>0.56940000000000002</v>
      </c>
      <c r="AV6" s="34">
        <v>7.4839999999999998E-6</v>
      </c>
      <c r="AW6" s="76">
        <v>1.1019999999999999E-7</v>
      </c>
      <c r="AX6" s="72" t="s">
        <v>250</v>
      </c>
      <c r="AY6" s="8">
        <v>0.70989999999999998</v>
      </c>
      <c r="AZ6" s="34">
        <v>1.679E-5</v>
      </c>
      <c r="BA6" s="76">
        <v>1.029E-6</v>
      </c>
      <c r="BI6" s="13"/>
      <c r="BJ6" s="13"/>
      <c r="BK6" s="18"/>
    </row>
    <row r="7" spans="2:64" ht="15.75" thickBot="1" x14ac:dyDescent="0.3">
      <c r="F7" t="s">
        <v>427</v>
      </c>
      <c r="G7" s="55" t="s">
        <v>3</v>
      </c>
      <c r="H7" s="55" t="s">
        <v>81</v>
      </c>
      <c r="I7" s="55">
        <f t="shared" si="1"/>
        <v>298.14999999999998</v>
      </c>
      <c r="J7" s="56">
        <v>0.05</v>
      </c>
      <c r="K7" s="63">
        <v>7</v>
      </c>
      <c r="L7" s="56">
        <v>7.8710000000000002E-2</v>
      </c>
      <c r="M7" s="56">
        <v>0.1077</v>
      </c>
      <c r="N7" s="19">
        <f t="shared" si="2"/>
        <v>0.10164503871517848</v>
      </c>
      <c r="O7" s="57">
        <v>9.85</v>
      </c>
      <c r="P7" s="55">
        <v>122.37</v>
      </c>
      <c r="Q7" s="56">
        <v>0</v>
      </c>
      <c r="R7" s="64">
        <v>0.37309999999999999</v>
      </c>
      <c r="S7" s="64">
        <v>33170</v>
      </c>
      <c r="T7" s="60">
        <f t="shared" si="0"/>
        <v>1.1248115767259572E-5</v>
      </c>
      <c r="U7" s="56">
        <v>9.3090000000000001E-6</v>
      </c>
      <c r="V7" s="19">
        <f t="shared" si="3"/>
        <v>7.5682926829268298E-6</v>
      </c>
      <c r="W7" s="60">
        <f t="shared" si="4"/>
        <v>7.3521358033537824E-7</v>
      </c>
      <c r="X7" s="19">
        <f t="shared" si="5"/>
        <v>8.9968085825640231E-5</v>
      </c>
      <c r="Y7" s="19">
        <f t="shared" si="6"/>
        <v>9.1448095668777001E-6</v>
      </c>
      <c r="AT7" s="72" t="s">
        <v>251</v>
      </c>
      <c r="AU7" s="8">
        <v>0.69850000000000001</v>
      </c>
      <c r="AV7" s="34">
        <v>8.3979999999999999E-6</v>
      </c>
      <c r="AW7" s="73"/>
      <c r="AX7" s="72"/>
      <c r="BI7" s="13"/>
      <c r="BJ7" s="13"/>
      <c r="BK7" s="18"/>
    </row>
    <row r="8" spans="2:64" ht="15.75" thickBot="1" x14ac:dyDescent="0.3">
      <c r="F8" t="s">
        <v>427</v>
      </c>
      <c r="G8" s="40" t="s">
        <v>5</v>
      </c>
      <c r="H8" s="40" t="s">
        <v>81</v>
      </c>
      <c r="I8" s="40">
        <f t="shared" si="1"/>
        <v>298.14999999999998</v>
      </c>
      <c r="J8" s="41">
        <v>0.05</v>
      </c>
      <c r="K8" s="62">
        <v>7</v>
      </c>
      <c r="L8" s="41">
        <v>7.8710000000000002E-2</v>
      </c>
      <c r="M8" s="41">
        <v>0.1077</v>
      </c>
      <c r="N8" s="19">
        <f t="shared" si="2"/>
        <v>0.10164503871517848</v>
      </c>
      <c r="O8" s="42">
        <v>9.9000000000000005E-2</v>
      </c>
      <c r="P8" s="40">
        <v>122.37</v>
      </c>
      <c r="Q8" s="41">
        <v>0</v>
      </c>
      <c r="R8" s="53">
        <v>1.9990000000000001E-2</v>
      </c>
      <c r="S8" s="53">
        <v>9685</v>
      </c>
      <c r="T8" s="45">
        <f t="shared" si="0"/>
        <v>2.0640165203923595E-6</v>
      </c>
      <c r="U8" s="41">
        <v>1.742E-6</v>
      </c>
      <c r="V8" s="19">
        <f t="shared" si="3"/>
        <v>1.4162601626016261E-6</v>
      </c>
      <c r="W8" s="45">
        <f t="shared" si="4"/>
        <v>1.3491086038126272E-7</v>
      </c>
      <c r="X8" s="19">
        <f t="shared" si="5"/>
        <v>1.6509041984855118E-5</v>
      </c>
      <c r="Y8" s="19">
        <f t="shared" si="6"/>
        <v>1.6780622117011054E-6</v>
      </c>
      <c r="AH8" s="2"/>
      <c r="AI8" s="2"/>
      <c r="AJ8" s="2"/>
      <c r="AK8" s="2"/>
      <c r="AT8" s="23"/>
      <c r="AU8" s="28"/>
      <c r="AV8" s="28"/>
      <c r="AW8" s="30"/>
      <c r="AX8" s="23"/>
      <c r="AY8" s="28"/>
      <c r="AZ8" s="28"/>
      <c r="BA8" s="30"/>
      <c r="BI8" s="13"/>
      <c r="BJ8" s="13"/>
      <c r="BK8" s="18"/>
    </row>
    <row r="9" spans="2:64" x14ac:dyDescent="0.25">
      <c r="F9" t="s">
        <v>427</v>
      </c>
      <c r="G9" s="14" t="s">
        <v>5</v>
      </c>
      <c r="H9" s="14" t="s">
        <v>81</v>
      </c>
      <c r="I9" s="14">
        <f t="shared" si="1"/>
        <v>298.14999999999998</v>
      </c>
      <c r="J9" s="21">
        <v>0.05</v>
      </c>
      <c r="K9" s="33">
        <v>7</v>
      </c>
      <c r="L9" s="21">
        <v>7.8710000000000002E-2</v>
      </c>
      <c r="M9" s="21">
        <v>0.1077</v>
      </c>
      <c r="N9" s="19">
        <f t="shared" si="2"/>
        <v>0.10164503871517848</v>
      </c>
      <c r="O9" s="36">
        <v>0.49</v>
      </c>
      <c r="P9" s="14">
        <v>122.37</v>
      </c>
      <c r="Q9" s="21">
        <v>0</v>
      </c>
      <c r="R9" s="35">
        <v>0.15060000000000001</v>
      </c>
      <c r="S9" s="35">
        <v>29400</v>
      </c>
      <c r="T9" s="19">
        <f t="shared" si="0"/>
        <v>5.1224489795918374E-6</v>
      </c>
      <c r="U9" s="21">
        <v>4.6140000000000002E-6</v>
      </c>
      <c r="V9" s="19">
        <f t="shared" si="3"/>
        <v>3.7512195121951223E-6</v>
      </c>
      <c r="W9" s="19">
        <f t="shared" si="4"/>
        <v>3.3481999405919787E-7</v>
      </c>
      <c r="X9" s="19">
        <f t="shared" si="5"/>
        <v>4.0971922673024042E-5</v>
      </c>
      <c r="Y9" s="19">
        <f t="shared" si="6"/>
        <v>4.1645926663348272E-6</v>
      </c>
      <c r="AH9" s="2"/>
      <c r="AI9" s="2"/>
      <c r="AJ9" s="2"/>
      <c r="AK9" s="2"/>
      <c r="AM9" t="s">
        <v>426</v>
      </c>
      <c r="AU9" s="2"/>
      <c r="AV9" s="2"/>
      <c r="AW9" s="2"/>
      <c r="BI9" s="13"/>
      <c r="BJ9" s="13"/>
      <c r="BK9" s="18"/>
    </row>
    <row r="10" spans="2:64" x14ac:dyDescent="0.25">
      <c r="F10" t="s">
        <v>427</v>
      </c>
      <c r="G10" s="14" t="s">
        <v>5</v>
      </c>
      <c r="H10" s="14" t="s">
        <v>81</v>
      </c>
      <c r="I10" s="14">
        <f t="shared" si="1"/>
        <v>298.14999999999998</v>
      </c>
      <c r="J10" s="21">
        <v>0.05</v>
      </c>
      <c r="K10" s="33">
        <v>7</v>
      </c>
      <c r="L10" s="21">
        <v>7.8710000000000002E-2</v>
      </c>
      <c r="M10" s="21">
        <v>0.1077</v>
      </c>
      <c r="N10" s="19">
        <f t="shared" si="2"/>
        <v>0.10164503871517848</v>
      </c>
      <c r="O10" s="36">
        <v>0.99</v>
      </c>
      <c r="P10" s="14">
        <v>122.37</v>
      </c>
      <c r="Q10" s="21">
        <v>0</v>
      </c>
      <c r="R10" s="35">
        <v>0.28670000000000001</v>
      </c>
      <c r="S10" s="35">
        <v>38610</v>
      </c>
      <c r="T10" s="19">
        <f t="shared" si="0"/>
        <v>7.4255374255374255E-6</v>
      </c>
      <c r="U10" s="21">
        <v>6.8539999999999999E-6</v>
      </c>
      <c r="V10" s="19">
        <f t="shared" si="3"/>
        <v>5.5723577235772354E-6</v>
      </c>
      <c r="W10" s="19">
        <f t="shared" si="4"/>
        <v>4.8535737624914258E-7</v>
      </c>
      <c r="X10" s="19">
        <f t="shared" si="5"/>
        <v>5.9393182131607585E-5</v>
      </c>
      <c r="Y10" s="19">
        <f t="shared" si="6"/>
        <v>6.0370222971848987E-6</v>
      </c>
      <c r="AH10" s="2"/>
      <c r="AI10" s="2"/>
      <c r="AJ10" s="2"/>
      <c r="AK10" s="2"/>
      <c r="AM10" t="s">
        <v>97</v>
      </c>
      <c r="AN10" t="str">
        <f>G3</f>
        <v>BnOH_uncat_001</v>
      </c>
      <c r="AO10" t="str">
        <f>G8</f>
        <v>BnOH_uncat_002</v>
      </c>
      <c r="AP10" t="str">
        <f>G13</f>
        <v>BnOH_uncat_003</v>
      </c>
      <c r="AQ10" t="s">
        <v>960</v>
      </c>
      <c r="AR10" t="s">
        <v>15</v>
      </c>
      <c r="AS10" t="s">
        <v>247</v>
      </c>
      <c r="AT10" t="s">
        <v>411</v>
      </c>
      <c r="AU10" t="s">
        <v>429</v>
      </c>
      <c r="BI10" s="13"/>
      <c r="BJ10" s="13"/>
      <c r="BK10" s="18"/>
    </row>
    <row r="11" spans="2:64" x14ac:dyDescent="0.25">
      <c r="F11" t="s">
        <v>427</v>
      </c>
      <c r="G11" s="14" t="s">
        <v>5</v>
      </c>
      <c r="H11" s="14" t="s">
        <v>81</v>
      </c>
      <c r="I11" s="14">
        <f t="shared" si="1"/>
        <v>298.14999999999998</v>
      </c>
      <c r="J11" s="21">
        <v>0.05</v>
      </c>
      <c r="K11" s="33">
        <v>7</v>
      </c>
      <c r="L11" s="21">
        <v>7.8710000000000002E-2</v>
      </c>
      <c r="M11" s="21">
        <v>0.1077</v>
      </c>
      <c r="N11" s="19">
        <f t="shared" si="2"/>
        <v>0.10164503871517848</v>
      </c>
      <c r="O11" s="36">
        <v>2.46</v>
      </c>
      <c r="P11" s="14">
        <v>122.37</v>
      </c>
      <c r="Q11" s="21">
        <v>0</v>
      </c>
      <c r="R11" s="35">
        <v>0.3705</v>
      </c>
      <c r="S11" s="35">
        <v>42630</v>
      </c>
      <c r="T11" s="19">
        <f t="shared" si="0"/>
        <v>8.6910626319493318E-6</v>
      </c>
      <c r="U11" s="21">
        <v>7.7309999999999993E-6</v>
      </c>
      <c r="V11" s="19">
        <f t="shared" si="3"/>
        <v>6.2853658536585365E-6</v>
      </c>
      <c r="W11" s="19">
        <f t="shared" si="4"/>
        <v>5.6807623665765808E-7</v>
      </c>
      <c r="X11" s="19">
        <f t="shared" si="5"/>
        <v>6.9515489079797617E-5</v>
      </c>
      <c r="Y11" s="19">
        <f t="shared" si="6"/>
        <v>7.0659045788205952E-6</v>
      </c>
      <c r="AM11" s="2">
        <f>O3</f>
        <v>9.9000000000000005E-2</v>
      </c>
      <c r="AN11" s="2">
        <f>V3</f>
        <v>8.75609756097561E-7</v>
      </c>
      <c r="AO11" s="2">
        <f>V8</f>
        <v>1.4162601626016261E-6</v>
      </c>
      <c r="AP11" s="2">
        <f>V13</f>
        <v>1.0674796747967479E-6</v>
      </c>
      <c r="AQ11" s="2">
        <f>(AN11+AO11+AP11)/3</f>
        <v>1.1197831978319784E-6</v>
      </c>
      <c r="AR11">
        <f>SQRT(0.5*((AN11-AQ11)^2+(AO11-AQ11)^2+(AP11-AQ11)^2))</f>
        <v>2.7409388793746452E-7</v>
      </c>
      <c r="AS11">
        <f t="shared" ref="AS11:AS16" si="7">1/AR11</f>
        <v>3648384.8929464398</v>
      </c>
      <c r="AT11">
        <f>AR11/2</f>
        <v>1.3704694396873226E-7</v>
      </c>
      <c r="AU11" s="2">
        <v>1.4300000000000001E-6</v>
      </c>
      <c r="BI11" s="13"/>
      <c r="BJ11" s="13"/>
      <c r="BK11" s="18"/>
    </row>
    <row r="12" spans="2:64" ht="15.75" thickBot="1" x14ac:dyDescent="0.3">
      <c r="F12" t="s">
        <v>427</v>
      </c>
      <c r="G12" s="55" t="s">
        <v>5</v>
      </c>
      <c r="H12" s="55" t="s">
        <v>81</v>
      </c>
      <c r="I12" s="55">
        <f t="shared" si="1"/>
        <v>298.14999999999998</v>
      </c>
      <c r="J12" s="56">
        <v>0.05</v>
      </c>
      <c r="K12" s="63">
        <v>7</v>
      </c>
      <c r="L12" s="56">
        <v>7.8710000000000002E-2</v>
      </c>
      <c r="M12" s="56">
        <v>0.1077</v>
      </c>
      <c r="N12" s="19">
        <f t="shared" si="2"/>
        <v>0.10164503871517848</v>
      </c>
      <c r="O12" s="57">
        <v>9.85</v>
      </c>
      <c r="P12" s="55">
        <v>122.37</v>
      </c>
      <c r="Q12" s="56">
        <v>0</v>
      </c>
      <c r="R12" s="64">
        <v>0.7107</v>
      </c>
      <c r="S12" s="64">
        <v>65230</v>
      </c>
      <c r="T12" s="60">
        <f t="shared" si="0"/>
        <v>1.0895293576575195E-5</v>
      </c>
      <c r="U12" s="56">
        <v>1.0200000000000001E-5</v>
      </c>
      <c r="V12" s="19">
        <f t="shared" si="3"/>
        <v>8.2926829268292685E-6</v>
      </c>
      <c r="W12" s="60">
        <f t="shared" si="4"/>
        <v>7.1215196971523513E-7</v>
      </c>
      <c r="X12" s="19">
        <f t="shared" si="5"/>
        <v>8.7146036534053325E-5</v>
      </c>
      <c r="Y12" s="19">
        <f t="shared" si="6"/>
        <v>8.8579622573782065E-6</v>
      </c>
      <c r="AF12" s="2"/>
      <c r="AG12" s="2"/>
      <c r="AH12" s="2"/>
      <c r="AI12" s="2"/>
      <c r="AJ12" s="2"/>
      <c r="AM12" s="2">
        <f>O4</f>
        <v>0.49</v>
      </c>
      <c r="AN12" s="2">
        <f>V4</f>
        <v>3.0211382113821139E-6</v>
      </c>
      <c r="AO12" s="2">
        <f>V9</f>
        <v>3.7512195121951223E-6</v>
      </c>
      <c r="AP12" s="2">
        <f>V14</f>
        <v>3.8317073170731704E-6</v>
      </c>
      <c r="AQ12" s="2">
        <f>(AN12+AO12+AP12)/3</f>
        <v>3.534688346883469E-6</v>
      </c>
      <c r="AR12">
        <f>SQRT(0.5*((AN12-AQ12)^2+(AO12-AQ12)^2+(AP12-AQ12)^2))</f>
        <v>4.465645283031521E-7</v>
      </c>
      <c r="AS12">
        <f t="shared" si="7"/>
        <v>2239318.0304754213</v>
      </c>
      <c r="AT12">
        <f>AR12/2</f>
        <v>2.2328226415157605E-7</v>
      </c>
      <c r="AU12" s="2">
        <v>1.4300000000000001E-6</v>
      </c>
      <c r="AX12" t="s">
        <v>70</v>
      </c>
      <c r="AY12" t="s">
        <v>250</v>
      </c>
      <c r="AZ12" t="s">
        <v>251</v>
      </c>
      <c r="BA12" t="s">
        <v>252</v>
      </c>
      <c r="BI12" s="13"/>
      <c r="BJ12" s="13"/>
      <c r="BK12" s="18"/>
    </row>
    <row r="13" spans="2:64" x14ac:dyDescent="0.25">
      <c r="F13" t="s">
        <v>427</v>
      </c>
      <c r="G13" s="40" t="s">
        <v>6</v>
      </c>
      <c r="H13" s="40" t="s">
        <v>81</v>
      </c>
      <c r="I13" s="40">
        <f t="shared" si="1"/>
        <v>298.14999999999998</v>
      </c>
      <c r="J13" s="41">
        <v>0.05</v>
      </c>
      <c r="K13" s="62">
        <v>7</v>
      </c>
      <c r="L13" s="41">
        <v>7.8710000000000002E-2</v>
      </c>
      <c r="M13" s="41">
        <v>0.1077</v>
      </c>
      <c r="N13" s="19">
        <f t="shared" si="2"/>
        <v>0.10164503871517848</v>
      </c>
      <c r="O13" s="42">
        <v>9.9000000000000005E-2</v>
      </c>
      <c r="P13" s="40">
        <v>122.37</v>
      </c>
      <c r="Q13" s="41">
        <v>0</v>
      </c>
      <c r="R13" s="53">
        <v>4.5179999999999998E-2</v>
      </c>
      <c r="S13" s="53">
        <v>29250</v>
      </c>
      <c r="T13" s="45">
        <f t="shared" si="0"/>
        <v>1.5446153846153846E-6</v>
      </c>
      <c r="U13" s="41">
        <v>1.313E-6</v>
      </c>
      <c r="V13" s="19">
        <f t="shared" si="3"/>
        <v>1.0674796747967479E-6</v>
      </c>
      <c r="W13" s="45">
        <f t="shared" si="4"/>
        <v>1.0096110590092733E-7</v>
      </c>
      <c r="X13" s="19">
        <f t="shared" si="5"/>
        <v>1.2354610529096479E-5</v>
      </c>
      <c r="Y13" s="19">
        <f t="shared" si="6"/>
        <v>1.255784865540963E-6</v>
      </c>
      <c r="AC13" s="2"/>
      <c r="AD13" s="2"/>
      <c r="AF13" s="2"/>
      <c r="AG13" s="2"/>
      <c r="AH13" s="2"/>
      <c r="AI13" s="2"/>
      <c r="AJ13" s="2"/>
      <c r="AM13" s="2">
        <f>O5</f>
        <v>0.99</v>
      </c>
      <c r="AN13" s="2">
        <f>V5</f>
        <v>4.127642276422764E-6</v>
      </c>
      <c r="AO13" s="2">
        <f>V10</f>
        <v>5.5723577235772354E-6</v>
      </c>
      <c r="AP13" s="2">
        <f>V15</f>
        <v>6.0487804878048783E-6</v>
      </c>
      <c r="AQ13" s="2">
        <f>(AN13+AO13+AP13)/3</f>
        <v>5.2495934959349595E-6</v>
      </c>
      <c r="AR13" s="2">
        <f>SQRT(0.5*((AN13-AQ13)^2+(AO13-AQ13)^2+(AP13-AQ13)^2))/2</f>
        <v>5.0020634911810492E-7</v>
      </c>
      <c r="AS13">
        <f t="shared" si="7"/>
        <v>1999174.9440267254</v>
      </c>
      <c r="AT13">
        <f>AR13/2</f>
        <v>2.5010317455905246E-7</v>
      </c>
      <c r="AU13" s="2">
        <v>1.4300000000000001E-6</v>
      </c>
      <c r="AX13">
        <v>0</v>
      </c>
      <c r="AY13" s="2">
        <f>($AV$6*AX13)/($AU$6+AX13)+AX13*$AW$6</f>
        <v>0</v>
      </c>
      <c r="AZ13" s="2">
        <f>($AV$7*AX13)/($AU$7+AX13)</f>
        <v>0</v>
      </c>
      <c r="BA13" s="2">
        <f>($AZ$6*AX13)/($AY$6+AX13)+AX13*$BA$6</f>
        <v>0</v>
      </c>
    </row>
    <row r="14" spans="2:64" ht="15.75" thickBot="1" x14ac:dyDescent="0.3">
      <c r="F14" t="s">
        <v>427</v>
      </c>
      <c r="G14" s="14" t="s">
        <v>6</v>
      </c>
      <c r="H14" s="14" t="s">
        <v>81</v>
      </c>
      <c r="I14" s="14">
        <f t="shared" si="1"/>
        <v>298.14999999999998</v>
      </c>
      <c r="J14" s="21">
        <v>0.05</v>
      </c>
      <c r="K14" s="33">
        <v>7</v>
      </c>
      <c r="L14" s="21">
        <v>7.8710000000000002E-2</v>
      </c>
      <c r="M14" s="21">
        <v>0.1077</v>
      </c>
      <c r="N14" s="19">
        <f t="shared" si="2"/>
        <v>0.10164503871517848</v>
      </c>
      <c r="O14" s="36">
        <v>0.49</v>
      </c>
      <c r="P14" s="14">
        <v>122.37</v>
      </c>
      <c r="Q14" s="21">
        <v>0</v>
      </c>
      <c r="R14" s="35">
        <v>0.17780000000000001</v>
      </c>
      <c r="S14" s="35">
        <v>34740</v>
      </c>
      <c r="T14" s="19">
        <f t="shared" si="0"/>
        <v>5.1180195739781237E-6</v>
      </c>
      <c r="U14" s="21">
        <v>4.7129999999999996E-6</v>
      </c>
      <c r="V14" s="19">
        <f t="shared" si="3"/>
        <v>3.8317073170731704E-6</v>
      </c>
      <c r="W14" s="19">
        <f t="shared" si="4"/>
        <v>3.3453047364285442E-7</v>
      </c>
      <c r="X14" s="19">
        <f t="shared" si="5"/>
        <v>4.0936494059676094E-5</v>
      </c>
      <c r="Y14" s="19">
        <f t="shared" si="6"/>
        <v>4.1609915235594503E-6</v>
      </c>
      <c r="AE14" s="2"/>
      <c r="AF14" s="2"/>
      <c r="AG14" s="2"/>
      <c r="AH14" s="2"/>
      <c r="AI14" s="2"/>
      <c r="AJ14" s="2"/>
      <c r="AM14" s="2">
        <f>O6</f>
        <v>2.46</v>
      </c>
      <c r="AN14" s="2">
        <f>V6</f>
        <v>5.7520325203252034E-6</v>
      </c>
      <c r="AO14" s="2">
        <f>V11</f>
        <v>6.2853658536585365E-6</v>
      </c>
      <c r="AP14" s="2">
        <f>V16</f>
        <v>6.3073170731707315E-6</v>
      </c>
      <c r="AQ14" s="2">
        <f>(AN14+AO14+AP14)/3</f>
        <v>6.1149051490514907E-6</v>
      </c>
      <c r="AR14">
        <f>SQRT(0.5*((AN14-AQ14)^2+(AO14-AQ14)^2+(AP14-AQ14)^2))</f>
        <v>3.144485212535789E-7</v>
      </c>
      <c r="AS14">
        <f t="shared" si="7"/>
        <v>3180170.78284676</v>
      </c>
      <c r="AT14">
        <f>AR14/2</f>
        <v>1.5722426062678945E-7</v>
      </c>
      <c r="AU14" s="2">
        <v>1.4300000000000001E-6</v>
      </c>
      <c r="AX14">
        <v>0.1</v>
      </c>
      <c r="AY14" s="2">
        <f t="shared" ref="AY14:AY44" si="8">($AV$6*AX14)/($AU$6+AX14)+AX14*$AW$6</f>
        <v>1.1290361338512099E-6</v>
      </c>
      <c r="AZ14" s="2">
        <f t="shared" ref="AZ14:AZ77" si="9">($AV$7*AX14)/($AU$7+AX14)</f>
        <v>1.0517219787100814E-6</v>
      </c>
      <c r="BA14" s="2">
        <f t="shared" ref="BA14:BA77" si="10">($AZ$6*AX14)/($AY$6+AX14)+AX14*$BA$6</f>
        <v>2.1759954438819609E-6</v>
      </c>
    </row>
    <row r="15" spans="2:64" x14ac:dyDescent="0.25">
      <c r="B15" s="22" t="s">
        <v>115</v>
      </c>
      <c r="C15" s="26">
        <v>6.7</v>
      </c>
      <c r="F15" t="s">
        <v>427</v>
      </c>
      <c r="G15" s="14" t="s">
        <v>6</v>
      </c>
      <c r="H15" s="14" t="s">
        <v>81</v>
      </c>
      <c r="I15" s="14">
        <f t="shared" si="1"/>
        <v>298.14999999999998</v>
      </c>
      <c r="J15" s="21">
        <v>0.05</v>
      </c>
      <c r="K15" s="33">
        <v>7</v>
      </c>
      <c r="L15" s="21">
        <v>7.8710000000000002E-2</v>
      </c>
      <c r="M15" s="21">
        <v>0.1077</v>
      </c>
      <c r="N15" s="19">
        <f t="shared" si="2"/>
        <v>0.10164503871517848</v>
      </c>
      <c r="O15" s="36">
        <v>0.99</v>
      </c>
      <c r="P15" s="14">
        <v>122.37</v>
      </c>
      <c r="Q15" s="21">
        <v>0</v>
      </c>
      <c r="R15" s="35">
        <v>0.27629999999999999</v>
      </c>
      <c r="S15" s="35">
        <v>34260</v>
      </c>
      <c r="T15" s="19">
        <f t="shared" si="0"/>
        <v>8.0647985989492119E-6</v>
      </c>
      <c r="U15" s="21">
        <v>7.4399999999999999E-6</v>
      </c>
      <c r="V15" s="19">
        <f t="shared" si="3"/>
        <v>6.0487804878048783E-6</v>
      </c>
      <c r="W15" s="19">
        <f t="shared" si="4"/>
        <v>5.271415742249056E-7</v>
      </c>
      <c r="X15" s="19">
        <f t="shared" si="5"/>
        <v>6.4506314437901696E-5</v>
      </c>
      <c r="Y15" s="19">
        <f t="shared" si="6"/>
        <v>6.5567468284139936E-6</v>
      </c>
      <c r="AC15" s="2"/>
      <c r="AD15" s="2"/>
      <c r="AF15" s="2"/>
      <c r="AG15" s="2"/>
      <c r="AH15" s="2"/>
      <c r="AI15" s="2"/>
      <c r="AM15" s="2">
        <f>O7</f>
        <v>9.85</v>
      </c>
      <c r="AN15" s="2">
        <f>V7</f>
        <v>7.5682926829268298E-6</v>
      </c>
      <c r="AO15" s="2">
        <f>V12</f>
        <v>8.2926829268292685E-6</v>
      </c>
      <c r="AP15" s="2">
        <f>V17</f>
        <v>8.5691056910569115E-6</v>
      </c>
      <c r="AQ15" s="2">
        <f>(AN15+AO15+AP15)/3</f>
        <v>8.1433604336043374E-6</v>
      </c>
      <c r="AR15">
        <f>SQRT(0.5*((AN15-AQ15)^2+(AO15-AQ15)^2+(AP15-AQ15)^2))</f>
        <v>5.1684579377970967E-7</v>
      </c>
      <c r="AS15">
        <f t="shared" si="7"/>
        <v>1934813.0758440895</v>
      </c>
      <c r="AT15">
        <f>AR15/2</f>
        <v>2.5842289688985483E-7</v>
      </c>
      <c r="AU15" s="2">
        <v>1.4300000000000001E-6</v>
      </c>
      <c r="AX15">
        <v>0.2</v>
      </c>
      <c r="AY15" s="2">
        <f t="shared" si="8"/>
        <v>1.967452009357941E-6</v>
      </c>
      <c r="AZ15" s="2">
        <f t="shared" si="9"/>
        <v>1.8693377851975514E-6</v>
      </c>
      <c r="BA15" s="2">
        <f t="shared" si="10"/>
        <v>3.8963154412572819E-6</v>
      </c>
      <c r="BH15" s="2"/>
      <c r="BJ15" s="2"/>
      <c r="BL15" s="2"/>
    </row>
    <row r="16" spans="2:64" x14ac:dyDescent="0.25">
      <c r="B16" s="72" t="s">
        <v>84</v>
      </c>
      <c r="C16" s="80">
        <v>9.24</v>
      </c>
      <c r="F16" t="s">
        <v>427</v>
      </c>
      <c r="G16" s="14" t="s">
        <v>6</v>
      </c>
      <c r="H16" s="14" t="s">
        <v>81</v>
      </c>
      <c r="I16" s="14">
        <f t="shared" si="1"/>
        <v>298.14999999999998</v>
      </c>
      <c r="J16" s="21">
        <v>0.05</v>
      </c>
      <c r="K16" s="33">
        <v>7</v>
      </c>
      <c r="L16" s="21">
        <v>7.8710000000000002E-2</v>
      </c>
      <c r="M16" s="21">
        <v>0.1077</v>
      </c>
      <c r="N16" s="19">
        <f t="shared" si="2"/>
        <v>0.10164503871517848</v>
      </c>
      <c r="O16" s="36">
        <v>2.46</v>
      </c>
      <c r="P16" s="14">
        <v>122.37</v>
      </c>
      <c r="Q16" s="21">
        <v>0</v>
      </c>
      <c r="R16" s="35">
        <v>2.3879999999999999</v>
      </c>
      <c r="S16" s="35">
        <v>298700</v>
      </c>
      <c r="T16" s="19">
        <f t="shared" si="0"/>
        <v>7.9946434549715425E-6</v>
      </c>
      <c r="U16" s="21">
        <v>7.7579999999999992E-6</v>
      </c>
      <c r="V16" s="19">
        <f t="shared" si="3"/>
        <v>6.3073170731707315E-6</v>
      </c>
      <c r="W16" s="19">
        <f t="shared" si="4"/>
        <v>5.2255600490378421E-7</v>
      </c>
      <c r="X16" s="19">
        <f t="shared" si="5"/>
        <v>6.3945178320076084E-5</v>
      </c>
      <c r="Y16" s="19">
        <f t="shared" si="6"/>
        <v>6.4997101259931241E-6</v>
      </c>
      <c r="AC16" s="2"/>
      <c r="AD16" s="2"/>
      <c r="AF16" s="2"/>
      <c r="AH16" s="2"/>
      <c r="AI16" s="2"/>
      <c r="AJ16" s="2"/>
      <c r="AR16">
        <f>2*AR15</f>
        <v>1.0336915875594193E-6</v>
      </c>
      <c r="AS16">
        <f t="shared" si="7"/>
        <v>967406.53792204475</v>
      </c>
      <c r="AX16">
        <v>0.3</v>
      </c>
      <c r="AY16" s="2">
        <f t="shared" si="8"/>
        <v>2.6155306694271909E-6</v>
      </c>
      <c r="AZ16" s="2">
        <f t="shared" si="9"/>
        <v>2.5231847771657487E-6</v>
      </c>
      <c r="BA16" s="2">
        <f t="shared" si="10"/>
        <v>5.2963225368848403E-6</v>
      </c>
    </row>
    <row r="17" spans="2:54" ht="15.75" thickBot="1" x14ac:dyDescent="0.3">
      <c r="B17" s="23" t="s">
        <v>85</v>
      </c>
      <c r="C17" s="24">
        <v>6.8650000000000002</v>
      </c>
      <c r="F17" t="s">
        <v>427</v>
      </c>
      <c r="G17" s="55" t="s">
        <v>6</v>
      </c>
      <c r="H17" s="55" t="s">
        <v>81</v>
      </c>
      <c r="I17" s="55">
        <f t="shared" si="1"/>
        <v>298.14999999999998</v>
      </c>
      <c r="J17" s="56">
        <v>0.05</v>
      </c>
      <c r="K17" s="63">
        <v>7</v>
      </c>
      <c r="L17" s="56">
        <v>7.8710000000000002E-2</v>
      </c>
      <c r="M17" s="56">
        <v>0.1077</v>
      </c>
      <c r="N17" s="19">
        <f t="shared" si="2"/>
        <v>0.10164503871517848</v>
      </c>
      <c r="O17" s="57">
        <v>9.85</v>
      </c>
      <c r="P17" s="55">
        <v>122.37</v>
      </c>
      <c r="Q17" s="56">
        <v>0</v>
      </c>
      <c r="R17" s="64">
        <v>1.964</v>
      </c>
      <c r="S17" s="64">
        <v>180400</v>
      </c>
      <c r="T17" s="60">
        <f t="shared" si="0"/>
        <v>1.0886917960088692E-5</v>
      </c>
      <c r="U17" s="56">
        <v>1.0540000000000001E-5</v>
      </c>
      <c r="V17" s="19">
        <f t="shared" si="3"/>
        <v>8.5691056910569115E-6</v>
      </c>
      <c r="W17" s="60">
        <f t="shared" si="4"/>
        <v>7.1160451206881915E-7</v>
      </c>
      <c r="X17" s="19">
        <f t="shared" si="5"/>
        <v>8.7079044141861401E-5</v>
      </c>
      <c r="Y17" s="19">
        <f t="shared" si="6"/>
        <v>8.8511528130802376E-6</v>
      </c>
      <c r="AE17" s="2"/>
      <c r="AF17" s="2"/>
      <c r="AG17" s="2"/>
      <c r="AH17" s="2"/>
      <c r="AI17" s="2"/>
      <c r="AJ17" s="2"/>
      <c r="AK17" s="2"/>
      <c r="AX17">
        <v>0.4</v>
      </c>
      <c r="AY17" s="2">
        <f t="shared" si="8"/>
        <v>3.1321757293171031E-6</v>
      </c>
      <c r="AZ17" s="2">
        <f t="shared" si="9"/>
        <v>3.0579881656804732E-6</v>
      </c>
      <c r="BA17" s="2">
        <f t="shared" si="10"/>
        <v>6.4625955851878543E-6</v>
      </c>
    </row>
    <row r="18" spans="2:54" ht="15.75" thickBot="1" x14ac:dyDescent="0.3">
      <c r="F18" t="s">
        <v>427</v>
      </c>
      <c r="G18" s="40" t="s">
        <v>7</v>
      </c>
      <c r="H18" s="40" t="s">
        <v>81</v>
      </c>
      <c r="I18" s="40">
        <f t="shared" si="1"/>
        <v>298.14999999999998</v>
      </c>
      <c r="J18" s="41">
        <v>8.5000000000000006E-2</v>
      </c>
      <c r="K18" s="62">
        <v>8.01</v>
      </c>
      <c r="L18" s="41">
        <v>0.1641</v>
      </c>
      <c r="M18" s="41">
        <v>0.24340000000000001</v>
      </c>
      <c r="N18" s="19">
        <f t="shared" si="2"/>
        <v>0.15280537144565509</v>
      </c>
      <c r="O18" s="42">
        <v>0.21</v>
      </c>
      <c r="P18" s="40">
        <v>122.43</v>
      </c>
      <c r="Q18" s="41">
        <v>0</v>
      </c>
      <c r="R18" s="53">
        <v>0.311</v>
      </c>
      <c r="S18" s="53">
        <v>39970</v>
      </c>
      <c r="T18" s="45">
        <f t="shared" si="0"/>
        <v>7.7808356267200394E-6</v>
      </c>
      <c r="U18" s="41">
        <v>6.3280000000000002E-6</v>
      </c>
      <c r="V18" s="19">
        <f t="shared" si="3"/>
        <v>5.1447154471544716E-6</v>
      </c>
      <c r="W18" s="45">
        <f t="shared" si="4"/>
        <v>3.381385289205996E-7</v>
      </c>
      <c r="X18" s="19">
        <f t="shared" si="5"/>
        <v>4.1398300095749004E-5</v>
      </c>
      <c r="Y18" s="19">
        <f t="shared" si="6"/>
        <v>6.3258826233496256E-6</v>
      </c>
      <c r="AC18" s="2"/>
      <c r="AD18" s="2"/>
      <c r="AF18" s="2"/>
      <c r="AG18" s="2"/>
      <c r="AH18" s="2"/>
      <c r="AI18" s="2"/>
      <c r="AJ18" s="2"/>
      <c r="AK18" s="2"/>
      <c r="AX18">
        <v>0.5</v>
      </c>
      <c r="AY18" s="2">
        <f t="shared" si="8"/>
        <v>3.554258406583131E-6</v>
      </c>
      <c r="AZ18" s="2">
        <f t="shared" si="9"/>
        <v>3.5035460992907797E-6</v>
      </c>
      <c r="BA18" s="2">
        <f t="shared" si="10"/>
        <v>7.4530899661129019E-6</v>
      </c>
    </row>
    <row r="19" spans="2:54" x14ac:dyDescent="0.25">
      <c r="B19" s="22" t="s">
        <v>90</v>
      </c>
      <c r="C19" s="26" t="s">
        <v>91</v>
      </c>
      <c r="E19" t="s">
        <v>428</v>
      </c>
      <c r="F19" t="s">
        <v>427</v>
      </c>
      <c r="G19" s="14" t="s">
        <v>7</v>
      </c>
      <c r="H19" s="14" t="s">
        <v>81</v>
      </c>
      <c r="I19" s="14">
        <f t="shared" si="1"/>
        <v>298.14999999999998</v>
      </c>
      <c r="J19" s="21">
        <v>8.5000000000000006E-2</v>
      </c>
      <c r="K19" s="33">
        <v>8.01</v>
      </c>
      <c r="L19" s="21">
        <v>0.1641</v>
      </c>
      <c r="M19" s="21">
        <v>0.24340000000000001</v>
      </c>
      <c r="N19" s="19">
        <f t="shared" si="2"/>
        <v>0.15280537144565509</v>
      </c>
      <c r="O19" s="36">
        <v>0.42</v>
      </c>
      <c r="P19" s="14">
        <v>122.43</v>
      </c>
      <c r="Q19" s="21">
        <v>0</v>
      </c>
      <c r="R19" s="35">
        <v>0.22900000000000001</v>
      </c>
      <c r="S19" s="35">
        <v>39970</v>
      </c>
      <c r="T19" s="19">
        <f t="shared" si="0"/>
        <v>5.7292969727295477E-6</v>
      </c>
      <c r="U19" s="21">
        <v>4.0210000000000001E-6</v>
      </c>
      <c r="V19" s="19">
        <f t="shared" si="3"/>
        <v>3.2691056910569106E-6</v>
      </c>
      <c r="W19" s="19">
        <f t="shared" si="4"/>
        <v>2.4898303254925183E-7</v>
      </c>
      <c r="X19" s="19">
        <f t="shared" si="5"/>
        <v>3.04829926750049E-5</v>
      </c>
      <c r="Y19" s="19">
        <f t="shared" si="6"/>
        <v>4.6579650184793072E-6</v>
      </c>
      <c r="AE19" s="1"/>
      <c r="AF19" s="2"/>
      <c r="AG19" s="2"/>
      <c r="AH19" s="2"/>
      <c r="AI19" s="2"/>
      <c r="AJ19" s="2"/>
      <c r="AK19" s="2"/>
      <c r="AX19">
        <v>0.6</v>
      </c>
      <c r="AY19" s="2">
        <f t="shared" si="8"/>
        <v>3.9060379066187783E-6</v>
      </c>
      <c r="AZ19" s="2">
        <f t="shared" si="9"/>
        <v>3.8804774740084709E-6</v>
      </c>
      <c r="BA19" s="2">
        <f t="shared" si="10"/>
        <v>8.3080634094205678E-6</v>
      </c>
    </row>
    <row r="20" spans="2:54" ht="15.75" thickBot="1" x14ac:dyDescent="0.3">
      <c r="B20" s="27">
        <v>1.3349999999999999E-6</v>
      </c>
      <c r="C20" s="30">
        <v>0.1169</v>
      </c>
      <c r="F20" t="s">
        <v>427</v>
      </c>
      <c r="G20" s="14" t="s">
        <v>7</v>
      </c>
      <c r="H20" s="14" t="s">
        <v>81</v>
      </c>
      <c r="I20" s="14">
        <f t="shared" si="1"/>
        <v>298.14999999999998</v>
      </c>
      <c r="J20" s="21">
        <v>8.5000000000000006E-2</v>
      </c>
      <c r="K20" s="33">
        <v>8.01</v>
      </c>
      <c r="L20" s="21">
        <v>0.1641</v>
      </c>
      <c r="M20" s="21">
        <v>0.24340000000000001</v>
      </c>
      <c r="N20" s="19">
        <f t="shared" si="2"/>
        <v>0.15280537144565509</v>
      </c>
      <c r="O20" s="36">
        <v>1.05</v>
      </c>
      <c r="P20" s="14">
        <v>122.43</v>
      </c>
      <c r="Q20" s="21">
        <v>0</v>
      </c>
      <c r="R20" s="35">
        <v>0.91210000000000002</v>
      </c>
      <c r="S20" s="35">
        <v>39970</v>
      </c>
      <c r="T20" s="19">
        <f t="shared" si="0"/>
        <v>2.2819614711033275E-5</v>
      </c>
      <c r="U20" s="21">
        <v>2.1869999999999999E-5</v>
      </c>
      <c r="V20" s="19">
        <f t="shared" si="3"/>
        <v>1.7780487804878047E-5</v>
      </c>
      <c r="W20" s="19">
        <f t="shared" si="4"/>
        <v>9.9169180780861386E-7</v>
      </c>
      <c r="X20" s="19">
        <f t="shared" si="5"/>
        <v>1.214128280300086E-4</v>
      </c>
      <c r="Y20" s="19">
        <f t="shared" si="6"/>
        <v>1.8552532285392908E-5</v>
      </c>
      <c r="AE20" s="1"/>
      <c r="AF20" s="2"/>
      <c r="AG20" s="2"/>
      <c r="AH20" s="2"/>
      <c r="AI20" s="2"/>
      <c r="AJ20" s="2"/>
      <c r="AK20" s="2"/>
      <c r="AM20" t="s">
        <v>426</v>
      </c>
      <c r="AX20">
        <v>0.7</v>
      </c>
      <c r="AY20" s="2">
        <f t="shared" si="8"/>
        <v>4.2041291287222302E-6</v>
      </c>
      <c r="AZ20" s="2">
        <f t="shared" si="9"/>
        <v>4.2035037540221672E-6</v>
      </c>
      <c r="BA20" s="2">
        <f t="shared" si="10"/>
        <v>9.0563522022838503E-6</v>
      </c>
    </row>
    <row r="21" spans="2:54" ht="15.75" thickBot="1" x14ac:dyDescent="0.3">
      <c r="F21" t="s">
        <v>427</v>
      </c>
      <c r="G21" s="55" t="s">
        <v>7</v>
      </c>
      <c r="H21" s="55" t="s">
        <v>81</v>
      </c>
      <c r="I21" s="55">
        <f t="shared" si="1"/>
        <v>298.14999999999998</v>
      </c>
      <c r="J21" s="56">
        <v>8.5000000000000006E-2</v>
      </c>
      <c r="K21" s="63">
        <v>8.01</v>
      </c>
      <c r="L21" s="56">
        <v>0.1641</v>
      </c>
      <c r="M21" s="56">
        <v>0.24340000000000001</v>
      </c>
      <c r="N21" s="19">
        <f t="shared" si="2"/>
        <v>0.15280537144565509</v>
      </c>
      <c r="O21" s="57">
        <v>2.11</v>
      </c>
      <c r="P21" s="55">
        <v>122.43</v>
      </c>
      <c r="Q21" s="56">
        <v>0</v>
      </c>
      <c r="R21" s="64">
        <v>0.98929999999999996</v>
      </c>
      <c r="S21" s="64">
        <v>39970</v>
      </c>
      <c r="T21" s="60">
        <f t="shared" si="0"/>
        <v>2.4751063297473105E-5</v>
      </c>
      <c r="U21" s="56">
        <v>2.4790000000000002E-5</v>
      </c>
      <c r="V21" s="19">
        <f t="shared" si="3"/>
        <v>2.0154471544715449E-5</v>
      </c>
      <c r="W21" s="60">
        <f t="shared" si="4"/>
        <v>1.0756284458557852E-6</v>
      </c>
      <c r="X21" s="19">
        <f t="shared" si="5"/>
        <v>1.3168919062612379E-4</v>
      </c>
      <c r="Y21" s="19">
        <f t="shared" si="6"/>
        <v>2.0122815689002526E-5</v>
      </c>
      <c r="AM21" t="s">
        <v>425</v>
      </c>
      <c r="AN21" t="s">
        <v>7</v>
      </c>
      <c r="AO21" t="s">
        <v>8</v>
      </c>
      <c r="AP21" t="s">
        <v>9</v>
      </c>
      <c r="AQ21" t="s">
        <v>14</v>
      </c>
      <c r="AR21" t="s">
        <v>15</v>
      </c>
      <c r="AS21" t="s">
        <v>247</v>
      </c>
      <c r="AT21" t="s">
        <v>411</v>
      </c>
      <c r="AX21">
        <v>0.8</v>
      </c>
      <c r="AY21" s="2">
        <f t="shared" si="8"/>
        <v>4.4602937812180514E-6</v>
      </c>
      <c r="AZ21" s="2">
        <f t="shared" si="9"/>
        <v>4.4834167500834168E-6</v>
      </c>
      <c r="BA21" s="2">
        <f t="shared" si="10"/>
        <v>9.7191533743956556E-6</v>
      </c>
    </row>
    <row r="22" spans="2:54" x14ac:dyDescent="0.25">
      <c r="B22" s="8"/>
      <c r="C22" s="8"/>
      <c r="D22" s="8"/>
      <c r="E22" s="8"/>
      <c r="F22" t="s">
        <v>424</v>
      </c>
      <c r="G22" s="40" t="s">
        <v>8</v>
      </c>
      <c r="H22" s="40" t="s">
        <v>81</v>
      </c>
      <c r="I22" s="40">
        <f t="shared" si="1"/>
        <v>298.14999999999998</v>
      </c>
      <c r="J22" s="41">
        <v>8.5000000000000006E-2</v>
      </c>
      <c r="K22" s="62">
        <v>8.01</v>
      </c>
      <c r="L22" s="41">
        <v>0.1641</v>
      </c>
      <c r="M22" s="41">
        <v>0.24340000000000001</v>
      </c>
      <c r="N22" s="19">
        <f t="shared" si="2"/>
        <v>0.15280537144565509</v>
      </c>
      <c r="O22" s="42">
        <v>0.21</v>
      </c>
      <c r="P22" s="40">
        <v>122.43</v>
      </c>
      <c r="Q22" s="41">
        <v>0</v>
      </c>
      <c r="R22" s="53">
        <v>0.42120000000000002</v>
      </c>
      <c r="S22" s="53">
        <v>40000</v>
      </c>
      <c r="T22" s="45">
        <f t="shared" si="0"/>
        <v>1.0530000000000001E-5</v>
      </c>
      <c r="U22" s="41">
        <v>1.2269999999999999E-5</v>
      </c>
      <c r="V22" s="19">
        <f t="shared" si="3"/>
        <v>9.9756097560975613E-6</v>
      </c>
      <c r="W22" s="45">
        <f t="shared" si="4"/>
        <v>4.5761135183302425E-7</v>
      </c>
      <c r="X22" s="19">
        <f t="shared" si="5"/>
        <v>5.6025357804917158E-5</v>
      </c>
      <c r="Y22" s="19">
        <f t="shared" si="6"/>
        <v>8.5609756097560978E-6</v>
      </c>
      <c r="AM22" s="1">
        <f>O18</f>
        <v>0.21</v>
      </c>
      <c r="AN22" s="2">
        <f>V18</f>
        <v>5.1447154471544716E-6</v>
      </c>
      <c r="AO22" s="2">
        <f>V22</f>
        <v>9.9756097560975613E-6</v>
      </c>
      <c r="AP22" s="2"/>
      <c r="AQ22" s="2">
        <f>(AN22+AO22)/2</f>
        <v>7.5601626016260169E-6</v>
      </c>
      <c r="AR22" s="2">
        <f>SQRT(((AN22-AQ22)^2+(AO22-AQ22)^2))</f>
        <v>3.4159581250491589E-6</v>
      </c>
      <c r="AS22" s="2">
        <f>1/AR22</f>
        <v>292743.63542896445</v>
      </c>
      <c r="AT22" s="2">
        <f>AR22/2</f>
        <v>1.7079790625245794E-6</v>
      </c>
      <c r="AX22">
        <v>0.9</v>
      </c>
      <c r="AY22" s="2">
        <f t="shared" si="8"/>
        <v>4.6830918007349942E-6</v>
      </c>
      <c r="AZ22" s="2">
        <f t="shared" si="9"/>
        <v>4.7283077885517674E-6</v>
      </c>
      <c r="BA22" s="2">
        <f t="shared" si="10"/>
        <v>1.0312397285545684E-5</v>
      </c>
    </row>
    <row r="23" spans="2:54" x14ac:dyDescent="0.25">
      <c r="B23" s="8"/>
      <c r="C23" s="8"/>
      <c r="D23" s="8"/>
      <c r="E23" s="8"/>
      <c r="F23" t="s">
        <v>424</v>
      </c>
      <c r="G23" s="14" t="s">
        <v>8</v>
      </c>
      <c r="H23" s="14" t="s">
        <v>81</v>
      </c>
      <c r="I23" s="14">
        <f t="shared" si="1"/>
        <v>298.14999999999998</v>
      </c>
      <c r="J23" s="21">
        <v>8.5000000000000006E-2</v>
      </c>
      <c r="K23" s="33">
        <v>8.01</v>
      </c>
      <c r="L23" s="21">
        <v>0.1641</v>
      </c>
      <c r="M23" s="21">
        <v>0.24340000000000001</v>
      </c>
      <c r="N23" s="19">
        <f t="shared" si="2"/>
        <v>0.15280537144565509</v>
      </c>
      <c r="O23" s="36">
        <v>0.42</v>
      </c>
      <c r="P23" s="14">
        <v>122.43</v>
      </c>
      <c r="Q23" s="21">
        <v>0</v>
      </c>
      <c r="R23" s="35">
        <v>0.78400000000000003</v>
      </c>
      <c r="S23" s="35">
        <v>39970</v>
      </c>
      <c r="T23" s="19">
        <f t="shared" si="0"/>
        <v>1.9614711033274958E-5</v>
      </c>
      <c r="U23" s="21">
        <v>2.3779999999999999E-5</v>
      </c>
      <c r="V23" s="19">
        <f t="shared" si="3"/>
        <v>1.9333333333333333E-5</v>
      </c>
      <c r="W23" s="19">
        <f t="shared" si="4"/>
        <v>8.5241352628215475E-7</v>
      </c>
      <c r="X23" s="19">
        <f t="shared" si="5"/>
        <v>1.0436098802272419E-4</v>
      </c>
      <c r="Y23" s="19">
        <f t="shared" si="6"/>
        <v>1.5946919539247934E-5</v>
      </c>
      <c r="AB23" s="1"/>
      <c r="AC23" s="2"/>
      <c r="AH23" s="2"/>
      <c r="AM23" s="1">
        <f>O19</f>
        <v>0.42</v>
      </c>
      <c r="AN23" s="2">
        <f>V19</f>
        <v>3.2691056910569106E-6</v>
      </c>
      <c r="AO23" s="2">
        <f>V23</f>
        <v>1.9333333333333333E-5</v>
      </c>
      <c r="AP23" s="2"/>
      <c r="AQ23" s="2">
        <f>(AN23+AO23)/2</f>
        <v>1.1301219512195122E-5</v>
      </c>
      <c r="AR23" s="2">
        <f>SQRT(((AN23-AQ23)^2+(AO23-AQ23)^2))</f>
        <v>1.1359124300378043E-5</v>
      </c>
      <c r="AS23" s="2">
        <f t="shared" ref="AS23:AS28" si="11">1/AR23</f>
        <v>88034.955297277542</v>
      </c>
      <c r="AT23" s="2">
        <f t="shared" ref="AT23:AT28" si="12">AR23/2</f>
        <v>5.6795621501890213E-6</v>
      </c>
      <c r="AX23">
        <v>1</v>
      </c>
      <c r="AY23" s="2">
        <f t="shared" si="8"/>
        <v>4.878901414553333E-6</v>
      </c>
      <c r="AZ23" s="2">
        <f t="shared" si="9"/>
        <v>4.9443626729467175E-6</v>
      </c>
      <c r="BA23" s="2">
        <f t="shared" si="10"/>
        <v>1.0848287677641967E-5</v>
      </c>
    </row>
    <row r="24" spans="2:54" x14ac:dyDescent="0.25">
      <c r="B24" s="34"/>
      <c r="C24" s="8"/>
      <c r="D24" s="34"/>
      <c r="E24" s="8"/>
      <c r="F24" t="s">
        <v>424</v>
      </c>
      <c r="G24" s="14" t="s">
        <v>8</v>
      </c>
      <c r="H24" s="14" t="s">
        <v>81</v>
      </c>
      <c r="I24" s="14">
        <f t="shared" si="1"/>
        <v>298.14999999999998</v>
      </c>
      <c r="J24" s="21">
        <v>8.5000000000000006E-2</v>
      </c>
      <c r="K24" s="33">
        <v>8.01</v>
      </c>
      <c r="L24" s="21">
        <v>0.1641</v>
      </c>
      <c r="M24" s="21">
        <v>0.24340000000000001</v>
      </c>
      <c r="N24" s="19">
        <f t="shared" si="2"/>
        <v>0.15280537144565509</v>
      </c>
      <c r="O24" s="36">
        <v>1.05</v>
      </c>
      <c r="P24" s="14">
        <v>122.43</v>
      </c>
      <c r="Q24" s="21">
        <v>0</v>
      </c>
      <c r="R24" s="35">
        <v>1.0820000000000001</v>
      </c>
      <c r="S24" s="35">
        <v>39970</v>
      </c>
      <c r="T24" s="19">
        <f t="shared" si="0"/>
        <v>2.7070302727045285E-5</v>
      </c>
      <c r="U24" s="21">
        <v>2.8419999999999999E-5</v>
      </c>
      <c r="V24" s="19">
        <f t="shared" si="3"/>
        <v>2.3105691056910568E-5</v>
      </c>
      <c r="W24" s="19">
        <f t="shared" si="4"/>
        <v>1.176417647241443E-6</v>
      </c>
      <c r="X24" s="19">
        <f t="shared" si="5"/>
        <v>1.4402881255176986E-4</v>
      </c>
      <c r="Y24" s="19">
        <f t="shared" si="6"/>
        <v>2.2008376200849827E-5</v>
      </c>
      <c r="AB24" s="1"/>
      <c r="AC24" s="2"/>
      <c r="AM24" s="1">
        <f>O20</f>
        <v>1.05</v>
      </c>
      <c r="AN24" s="2">
        <f>V20</f>
        <v>1.7780487804878047E-5</v>
      </c>
      <c r="AO24" s="2">
        <f>V24</f>
        <v>2.3105691056910568E-5</v>
      </c>
      <c r="AP24" s="2"/>
      <c r="AQ24" s="2">
        <f>(AN24+AO24)/2</f>
        <v>2.0443089430894308E-5</v>
      </c>
      <c r="AR24" s="2">
        <f>SQRT(((AN24-AQ24)^2+(AO24-AQ24)^2))</f>
        <v>3.7654873307088516E-6</v>
      </c>
      <c r="AS24" s="2">
        <f t="shared" si="11"/>
        <v>265569.87507158879</v>
      </c>
      <c r="AT24" s="2">
        <f t="shared" si="12"/>
        <v>1.8827436653544258E-6</v>
      </c>
      <c r="AX24">
        <v>1.1000000000000001</v>
      </c>
      <c r="AY24" s="2">
        <f t="shared" si="8"/>
        <v>5.0525725817659051E-6</v>
      </c>
      <c r="AZ24" s="2">
        <f t="shared" si="9"/>
        <v>5.1363914373088678E-6</v>
      </c>
      <c r="BA24" s="2">
        <f t="shared" si="10"/>
        <v>1.1336331184043319E-5</v>
      </c>
    </row>
    <row r="25" spans="2:54" ht="15.75" thickBot="1" x14ac:dyDescent="0.3">
      <c r="B25" s="8"/>
      <c r="C25" s="8"/>
      <c r="D25" s="8"/>
      <c r="E25" s="8"/>
      <c r="F25" t="s">
        <v>424</v>
      </c>
      <c r="G25" s="55" t="s">
        <v>8</v>
      </c>
      <c r="H25" s="55" t="s">
        <v>81</v>
      </c>
      <c r="I25" s="55">
        <f t="shared" si="1"/>
        <v>298.14999999999998</v>
      </c>
      <c r="J25" s="56">
        <v>8.5000000000000006E-2</v>
      </c>
      <c r="K25" s="63">
        <v>8.01</v>
      </c>
      <c r="L25" s="56">
        <v>0.1641</v>
      </c>
      <c r="M25" s="56">
        <v>0.24340000000000001</v>
      </c>
      <c r="N25" s="19">
        <f t="shared" si="2"/>
        <v>0.15280537144565509</v>
      </c>
      <c r="O25" s="57">
        <v>2.11</v>
      </c>
      <c r="P25" s="55">
        <v>122.43</v>
      </c>
      <c r="Q25" s="56">
        <v>0</v>
      </c>
      <c r="R25" s="64">
        <v>1.008</v>
      </c>
      <c r="S25" s="64">
        <v>39970</v>
      </c>
      <c r="T25" s="60">
        <f t="shared" si="0"/>
        <v>2.5218914185639229E-5</v>
      </c>
      <c r="U25" s="56">
        <v>2.5530000000000001E-5</v>
      </c>
      <c r="V25" s="19">
        <f t="shared" si="3"/>
        <v>2.0756097560975611E-5</v>
      </c>
      <c r="W25" s="60">
        <f t="shared" si="4"/>
        <v>1.0959602480770558E-6</v>
      </c>
      <c r="X25" s="19">
        <f t="shared" si="5"/>
        <v>1.3417841317207396E-4</v>
      </c>
      <c r="Y25" s="19">
        <f t="shared" si="6"/>
        <v>2.0503182264747342E-5</v>
      </c>
      <c r="AB25" s="1"/>
      <c r="AC25" s="2"/>
      <c r="AM25" s="1">
        <f>O21</f>
        <v>2.11</v>
      </c>
      <c r="AN25" s="2">
        <f>V21</f>
        <v>2.0154471544715449E-5</v>
      </c>
      <c r="AO25" s="2">
        <f>V25</f>
        <v>2.0756097560975611E-5</v>
      </c>
      <c r="AP25" s="2"/>
      <c r="AQ25" s="2">
        <f>(AN25+AO25)/2</f>
        <v>2.045528455284553E-5</v>
      </c>
      <c r="AR25" s="2">
        <f>SQRT(((AN25-AQ25)^2+(AO25-AQ25)^2))</f>
        <v>4.2541383583580847E-7</v>
      </c>
      <c r="AS25" s="2">
        <f t="shared" si="11"/>
        <v>2350652.2725931206</v>
      </c>
      <c r="AT25" s="2">
        <f t="shared" si="12"/>
        <v>2.1270691791790424E-7</v>
      </c>
      <c r="AX25">
        <v>1.2</v>
      </c>
      <c r="AY25" s="2">
        <f t="shared" si="8"/>
        <v>5.2078588538487612E-6</v>
      </c>
      <c r="AZ25" s="2">
        <f t="shared" si="9"/>
        <v>5.3081906768501449E-6</v>
      </c>
      <c r="BA25" s="2">
        <f t="shared" si="10"/>
        <v>1.1784043415885649E-5</v>
      </c>
    </row>
    <row r="26" spans="2:54" x14ac:dyDescent="0.25">
      <c r="F26" t="s">
        <v>424</v>
      </c>
      <c r="G26" s="40" t="s">
        <v>9</v>
      </c>
      <c r="H26" s="40" t="s">
        <v>81</v>
      </c>
      <c r="I26" s="40">
        <f t="shared" si="1"/>
        <v>298.14999999999998</v>
      </c>
      <c r="J26" s="41">
        <v>8.5000000000000006E-2</v>
      </c>
      <c r="K26" s="62">
        <v>8.01</v>
      </c>
      <c r="L26" s="41">
        <v>0.1641</v>
      </c>
      <c r="M26" s="41">
        <v>0.24340000000000001</v>
      </c>
      <c r="N26" s="19">
        <f t="shared" si="2"/>
        <v>0.15280537144565509</v>
      </c>
      <c r="O26" s="42">
        <v>0.37</v>
      </c>
      <c r="P26" s="40">
        <v>122.43</v>
      </c>
      <c r="Q26" s="41">
        <v>0</v>
      </c>
      <c r="R26" s="53">
        <v>0.29670000000000002</v>
      </c>
      <c r="S26" s="53">
        <v>39970</v>
      </c>
      <c r="T26" s="45">
        <f t="shared" si="0"/>
        <v>7.4230673004753571E-6</v>
      </c>
      <c r="U26" s="41">
        <v>7.2309999999999999E-6</v>
      </c>
      <c r="V26" s="19">
        <f t="shared" si="3"/>
        <v>5.8788617886178864E-6</v>
      </c>
      <c r="W26" s="45">
        <f t="shared" si="4"/>
        <v>3.225906801631573E-7</v>
      </c>
      <c r="X26" s="19">
        <f t="shared" si="5"/>
        <v>3.9494776972375346E-5</v>
      </c>
      <c r="Y26" s="19">
        <f t="shared" si="6"/>
        <v>6.0350140654271201E-6</v>
      </c>
      <c r="AB26" s="1"/>
      <c r="AC26" s="2"/>
      <c r="AM26" s="1">
        <f>O26</f>
        <v>0.37</v>
      </c>
      <c r="AN26" s="2"/>
      <c r="AO26" s="2"/>
      <c r="AP26" s="2">
        <f>V26</f>
        <v>5.8788617886178864E-6</v>
      </c>
      <c r="AQ26" s="2">
        <f>AP26</f>
        <v>5.8788617886178864E-6</v>
      </c>
      <c r="AR26" s="2">
        <f>AR25</f>
        <v>4.2541383583580847E-7</v>
      </c>
      <c r="AS26" s="2">
        <f t="shared" si="11"/>
        <v>2350652.2725931206</v>
      </c>
      <c r="AT26" s="2">
        <f t="shared" si="12"/>
        <v>2.1270691791790424E-7</v>
      </c>
      <c r="AX26">
        <v>1.3</v>
      </c>
      <c r="AY26" s="2">
        <f t="shared" si="8"/>
        <v>5.347710625869262E-6</v>
      </c>
      <c r="AZ26" s="2">
        <f t="shared" si="9"/>
        <v>5.4627970978233672E-6</v>
      </c>
      <c r="BA26" s="2">
        <f t="shared" si="10"/>
        <v>1.2197444265883876E-5</v>
      </c>
    </row>
    <row r="27" spans="2:54" x14ac:dyDescent="0.25">
      <c r="F27" t="s">
        <v>424</v>
      </c>
      <c r="G27" s="14" t="s">
        <v>9</v>
      </c>
      <c r="H27" s="14" t="s">
        <v>81</v>
      </c>
      <c r="I27" s="14">
        <f t="shared" si="1"/>
        <v>298.14999999999998</v>
      </c>
      <c r="J27" s="21">
        <v>8.5000000000000006E-2</v>
      </c>
      <c r="K27" s="33">
        <v>8.01</v>
      </c>
      <c r="L27" s="21">
        <v>0.1641</v>
      </c>
      <c r="M27" s="21">
        <v>0.24340000000000001</v>
      </c>
      <c r="N27" s="19">
        <f t="shared" si="2"/>
        <v>0.15280537144565509</v>
      </c>
      <c r="O27" s="36">
        <v>1.83</v>
      </c>
      <c r="P27" s="14">
        <v>122.43</v>
      </c>
      <c r="Q27" s="21">
        <v>0</v>
      </c>
      <c r="R27" s="35">
        <v>0.68859999999999999</v>
      </c>
      <c r="S27" s="35">
        <v>39970</v>
      </c>
      <c r="T27" s="19">
        <f t="shared" si="0"/>
        <v>1.7227920940705528E-5</v>
      </c>
      <c r="U27" s="21">
        <v>1.8170000000000001E-5</v>
      </c>
      <c r="V27" s="19">
        <f t="shared" si="3"/>
        <v>1.4772357723577236E-5</v>
      </c>
      <c r="W27" s="19">
        <f t="shared" si="4"/>
        <v>7.4868871708914754E-7</v>
      </c>
      <c r="X27" s="19">
        <f t="shared" si="5"/>
        <v>9.1661959633224327E-5</v>
      </c>
      <c r="Y27" s="19">
        <f t="shared" si="6"/>
        <v>1.4006439789191487E-5</v>
      </c>
      <c r="AM27" s="1">
        <f>O28</f>
        <v>3.7</v>
      </c>
      <c r="AP27" s="2">
        <f>V28</f>
        <v>1.6878048780487807E-5</v>
      </c>
      <c r="AQ27" s="2">
        <f>AP27</f>
        <v>1.6878048780487807E-5</v>
      </c>
      <c r="AR27" s="2">
        <f>AR26</f>
        <v>4.2541383583580847E-7</v>
      </c>
      <c r="AS27" s="2">
        <f t="shared" si="11"/>
        <v>2350652.2725931206</v>
      </c>
      <c r="AT27" s="2">
        <f t="shared" si="12"/>
        <v>2.1270691791790424E-7</v>
      </c>
      <c r="AX27">
        <v>1.4</v>
      </c>
      <c r="AY27" s="2">
        <f t="shared" si="8"/>
        <v>5.474479045394536E-6</v>
      </c>
      <c r="AZ27" s="2">
        <f t="shared" si="9"/>
        <v>5.6026685727900883E-6</v>
      </c>
      <c r="BA27" s="2">
        <f t="shared" si="10"/>
        <v>1.2581412360775392E-5</v>
      </c>
    </row>
    <row r="28" spans="2:54" x14ac:dyDescent="0.25">
      <c r="F28" t="s">
        <v>424</v>
      </c>
      <c r="G28" s="14" t="s">
        <v>9</v>
      </c>
      <c r="H28" s="14" t="s">
        <v>81</v>
      </c>
      <c r="I28" s="14">
        <f t="shared" si="1"/>
        <v>298.14999999999998</v>
      </c>
      <c r="J28" s="21">
        <v>8.5000000000000006E-2</v>
      </c>
      <c r="K28" s="33">
        <v>8.01</v>
      </c>
      <c r="L28" s="21">
        <v>0.1641</v>
      </c>
      <c r="M28" s="21">
        <v>0.24340000000000001</v>
      </c>
      <c r="N28" s="19">
        <f t="shared" si="2"/>
        <v>0.15280537144565509</v>
      </c>
      <c r="O28" s="36">
        <v>3.7</v>
      </c>
      <c r="P28" s="14">
        <v>122.43</v>
      </c>
      <c r="Q28" s="21">
        <v>0</v>
      </c>
      <c r="R28" s="35">
        <v>0.84150000000000003</v>
      </c>
      <c r="S28" s="35">
        <v>39970</v>
      </c>
      <c r="T28" s="19">
        <f t="shared" si="0"/>
        <v>2.1053289967475608E-5</v>
      </c>
      <c r="U28" s="21">
        <v>2.0760000000000001E-5</v>
      </c>
      <c r="V28" s="19">
        <f t="shared" si="3"/>
        <v>1.6878048780487807E-5</v>
      </c>
      <c r="W28" s="19">
        <f t="shared" si="4"/>
        <v>9.1493109995718521E-7</v>
      </c>
      <c r="X28" s="19">
        <f t="shared" si="5"/>
        <v>1.1201501456775818E-4</v>
      </c>
      <c r="Y28" s="19">
        <f t="shared" si="6"/>
        <v>1.7116495908516756E-5</v>
      </c>
      <c r="AM28" s="1">
        <f>O29</f>
        <v>7.31</v>
      </c>
      <c r="AP28" s="2">
        <f>V29</f>
        <v>2.2756097560975612E-5</v>
      </c>
      <c r="AQ28" s="2">
        <f>AP28</f>
        <v>2.2756097560975612E-5</v>
      </c>
      <c r="AR28" s="2">
        <f>AR27</f>
        <v>4.2541383583580847E-7</v>
      </c>
      <c r="AS28" s="2">
        <f t="shared" si="11"/>
        <v>2350652.2725931206</v>
      </c>
      <c r="AT28" s="2">
        <f t="shared" si="12"/>
        <v>2.1270691791790424E-7</v>
      </c>
      <c r="AX28">
        <v>1.5</v>
      </c>
      <c r="AY28" s="2">
        <f t="shared" si="8"/>
        <v>5.5900608002319517E-6</v>
      </c>
      <c r="AZ28" s="2">
        <f t="shared" si="9"/>
        <v>5.7298157834887422E-6</v>
      </c>
      <c r="BA28" s="2">
        <f t="shared" si="10"/>
        <v>1.2939943277976378E-5</v>
      </c>
      <c r="BB28" s="2"/>
    </row>
    <row r="29" spans="2:54" ht="15.75" thickBot="1" x14ac:dyDescent="0.3">
      <c r="F29" t="s">
        <v>424</v>
      </c>
      <c r="G29" s="55" t="s">
        <v>9</v>
      </c>
      <c r="H29" s="55" t="s">
        <v>81</v>
      </c>
      <c r="I29" s="55">
        <f t="shared" si="1"/>
        <v>298.14999999999998</v>
      </c>
      <c r="J29" s="56">
        <v>8.5000000000000006E-2</v>
      </c>
      <c r="K29" s="63">
        <v>8.01</v>
      </c>
      <c r="L29" s="56">
        <v>0.1641</v>
      </c>
      <c r="M29" s="56">
        <v>0.24340000000000001</v>
      </c>
      <c r="N29" s="19">
        <f t="shared" si="2"/>
        <v>0.15280537144565509</v>
      </c>
      <c r="O29" s="57">
        <v>7.31</v>
      </c>
      <c r="P29" s="55">
        <v>122.43</v>
      </c>
      <c r="Q29" s="56">
        <v>0</v>
      </c>
      <c r="R29" s="64">
        <v>1.101</v>
      </c>
      <c r="S29" s="64">
        <v>39970</v>
      </c>
      <c r="T29" s="60">
        <f t="shared" si="0"/>
        <v>2.7545659244433323E-5</v>
      </c>
      <c r="U29" s="56">
        <v>2.7990000000000001E-5</v>
      </c>
      <c r="V29" s="19">
        <f t="shared" si="3"/>
        <v>2.2756097560975612E-5</v>
      </c>
      <c r="W29" s="60">
        <f t="shared" si="4"/>
        <v>1.1970756281079747E-6</v>
      </c>
      <c r="X29" s="19">
        <f t="shared" si="5"/>
        <v>1.4655796914925934E-4</v>
      </c>
      <c r="Y29" s="19">
        <f t="shared" si="6"/>
        <v>2.2394844914173432E-5</v>
      </c>
      <c r="AX29">
        <v>1.6</v>
      </c>
      <c r="AY29" s="2">
        <f t="shared" si="8"/>
        <v>5.6960028616207247E-6</v>
      </c>
      <c r="AZ29" s="2">
        <f t="shared" si="9"/>
        <v>5.8458994996736997E-6</v>
      </c>
      <c r="BA29" s="2">
        <f t="shared" si="10"/>
        <v>1.3276340690073164E-5</v>
      </c>
      <c r="BB29" s="2"/>
    </row>
    <row r="30" spans="2:54" x14ac:dyDescent="0.25">
      <c r="F30" t="s">
        <v>423</v>
      </c>
      <c r="G30" s="40" t="s">
        <v>10</v>
      </c>
      <c r="H30" s="40" t="s">
        <v>83</v>
      </c>
      <c r="I30" s="40">
        <f t="shared" si="1"/>
        <v>298.14999999999998</v>
      </c>
      <c r="J30" s="41">
        <v>8.7499999999999994E-2</v>
      </c>
      <c r="K30" s="62">
        <v>8.51</v>
      </c>
      <c r="L30" s="41">
        <v>1.3469999999999999E-2</v>
      </c>
      <c r="M30" s="41">
        <v>1.3469999999999999E-2</v>
      </c>
      <c r="N30" s="19">
        <f t="shared" si="2"/>
        <v>3.5946956972875893E-2</v>
      </c>
      <c r="O30" s="42">
        <v>0.37</v>
      </c>
      <c r="P30" s="40">
        <v>122.43</v>
      </c>
      <c r="Q30" s="41">
        <v>0</v>
      </c>
      <c r="R30" s="53">
        <v>0.83050000000000002</v>
      </c>
      <c r="S30" s="53">
        <v>54620</v>
      </c>
      <c r="T30" s="45">
        <f t="shared" si="0"/>
        <v>1.5205053094104724E-5</v>
      </c>
      <c r="U30" s="41">
        <v>1.509E-5</v>
      </c>
      <c r="V30" s="19">
        <f t="shared" si="3"/>
        <v>1.226829268292683E-5</v>
      </c>
      <c r="W30" s="45">
        <f t="shared" si="4"/>
        <v>2.808877816518495E-6</v>
      </c>
      <c r="X30" s="19">
        <f t="shared" si="5"/>
        <v>3.4389091107635934E-4</v>
      </c>
      <c r="Y30" s="19">
        <f t="shared" si="6"/>
        <v>1.2361831783824979E-5</v>
      </c>
      <c r="AX30">
        <v>1.7</v>
      </c>
      <c r="AY30" s="2">
        <f t="shared" si="8"/>
        <v>5.7935795346787694E-6</v>
      </c>
      <c r="AZ30" s="2">
        <f t="shared" si="9"/>
        <v>5.9523035230352306E-6</v>
      </c>
      <c r="BA30" s="2">
        <f t="shared" si="10"/>
        <v>1.3593359919498736E-5</v>
      </c>
      <c r="BB30" s="2"/>
    </row>
    <row r="31" spans="2:54" x14ac:dyDescent="0.25">
      <c r="F31" t="s">
        <v>423</v>
      </c>
      <c r="G31" s="14" t="s">
        <v>10</v>
      </c>
      <c r="H31" s="14" t="s">
        <v>83</v>
      </c>
      <c r="I31" s="14">
        <f t="shared" si="1"/>
        <v>298.14999999999998</v>
      </c>
      <c r="J31" s="21">
        <v>8.7499999999999994E-2</v>
      </c>
      <c r="K31" s="33">
        <v>8.51</v>
      </c>
      <c r="L31" s="21">
        <v>1.3469999999999999E-2</v>
      </c>
      <c r="M31" s="21">
        <v>1.3469999999999999E-2</v>
      </c>
      <c r="N31" s="19">
        <f t="shared" si="2"/>
        <v>3.5946956972875893E-2</v>
      </c>
      <c r="O31" s="36">
        <v>1.83</v>
      </c>
      <c r="P31" s="14">
        <v>122.43</v>
      </c>
      <c r="Q31" s="21">
        <v>0</v>
      </c>
      <c r="R31" s="35">
        <v>1.3779999999999999</v>
      </c>
      <c r="S31" s="35">
        <v>54530</v>
      </c>
      <c r="T31" s="19">
        <f t="shared" si="0"/>
        <v>2.5270493306436821E-5</v>
      </c>
      <c r="U31" s="21">
        <v>2.5069999999999999E-5</v>
      </c>
      <c r="V31" s="19">
        <f t="shared" si="3"/>
        <v>2.038211382113821E-5</v>
      </c>
      <c r="W31" s="19">
        <f t="shared" si="4"/>
        <v>4.6682985992630575E-6</v>
      </c>
      <c r="X31" s="19">
        <f t="shared" si="5"/>
        <v>5.715397975077761E-4</v>
      </c>
      <c r="Y31" s="19">
        <f t="shared" si="6"/>
        <v>2.0545116509298229E-5</v>
      </c>
      <c r="AX31">
        <v>1.8</v>
      </c>
      <c r="AY31" s="2">
        <f t="shared" si="8"/>
        <v>5.8838499974677133E-6</v>
      </c>
      <c r="AZ31" s="2">
        <f t="shared" si="9"/>
        <v>6.0501901140684407E-6</v>
      </c>
      <c r="BA31" s="2">
        <f t="shared" si="10"/>
        <v>1.3893317175983107E-5</v>
      </c>
      <c r="BB31" s="2"/>
    </row>
    <row r="32" spans="2:54" x14ac:dyDescent="0.25">
      <c r="F32" t="s">
        <v>423</v>
      </c>
      <c r="G32" s="14" t="s">
        <v>10</v>
      </c>
      <c r="H32" s="14" t="s">
        <v>83</v>
      </c>
      <c r="I32" s="14">
        <f t="shared" si="1"/>
        <v>298.14999999999998</v>
      </c>
      <c r="J32" s="21">
        <v>8.7499999999999994E-2</v>
      </c>
      <c r="K32" s="33">
        <v>8.51</v>
      </c>
      <c r="L32" s="21">
        <v>1.3469999999999999E-2</v>
      </c>
      <c r="M32" s="21">
        <v>1.3469999999999999E-2</v>
      </c>
      <c r="N32" s="19">
        <f t="shared" si="2"/>
        <v>3.5946956972875893E-2</v>
      </c>
      <c r="O32" s="36">
        <v>3.7</v>
      </c>
      <c r="P32" s="14">
        <v>122.43</v>
      </c>
      <c r="Q32" s="21">
        <v>0</v>
      </c>
      <c r="R32" s="35">
        <v>1.897</v>
      </c>
      <c r="S32" s="35">
        <v>54490</v>
      </c>
      <c r="T32" s="19">
        <f t="shared" si="0"/>
        <v>3.4813727289410899E-5</v>
      </c>
      <c r="U32" s="21">
        <v>3.4539999999999998E-5</v>
      </c>
      <c r="V32" s="19">
        <f t="shared" si="3"/>
        <v>2.808130081300813E-5</v>
      </c>
      <c r="W32" s="19">
        <f t="shared" si="4"/>
        <v>6.4312505644235355E-6</v>
      </c>
      <c r="X32" s="19">
        <f t="shared" si="5"/>
        <v>7.8737800660237342E-4</v>
      </c>
      <c r="Y32" s="19">
        <f t="shared" si="6"/>
        <v>2.830384332472431E-5</v>
      </c>
      <c r="AX32">
        <v>1.9</v>
      </c>
      <c r="AY32" s="2">
        <f t="shared" si="8"/>
        <v>5.9677018595610269E-6</v>
      </c>
      <c r="AZ32" s="2">
        <f t="shared" si="9"/>
        <v>6.1405426207427352E-6</v>
      </c>
      <c r="BA32" s="2">
        <f t="shared" si="10"/>
        <v>1.4178173680983948E-5</v>
      </c>
      <c r="BB32" s="2"/>
    </row>
    <row r="33" spans="2:54" ht="15.75" thickBot="1" x14ac:dyDescent="0.3">
      <c r="F33" t="s">
        <v>423</v>
      </c>
      <c r="G33" s="55" t="s">
        <v>10</v>
      </c>
      <c r="H33" s="55" t="s">
        <v>83</v>
      </c>
      <c r="I33" s="55">
        <f t="shared" si="1"/>
        <v>298.14999999999998</v>
      </c>
      <c r="J33" s="56">
        <v>8.7499999999999994E-2</v>
      </c>
      <c r="K33" s="63">
        <v>8.51</v>
      </c>
      <c r="L33" s="56">
        <v>1.3469999999999999E-2</v>
      </c>
      <c r="M33" s="56">
        <v>1.3469999999999999E-2</v>
      </c>
      <c r="N33" s="60">
        <f t="shared" si="2"/>
        <v>3.5946956972875893E-2</v>
      </c>
      <c r="O33" s="57">
        <v>7.31</v>
      </c>
      <c r="P33" s="55">
        <v>122.43</v>
      </c>
      <c r="Q33" s="56">
        <v>0</v>
      </c>
      <c r="R33" s="64">
        <v>1.8169999999999999</v>
      </c>
      <c r="S33" s="64">
        <v>50010</v>
      </c>
      <c r="T33" s="60">
        <f t="shared" si="0"/>
        <v>3.6332733453309335E-5</v>
      </c>
      <c r="U33" s="56">
        <v>3.6010000000000003E-5</v>
      </c>
      <c r="V33" s="19">
        <f t="shared" si="3"/>
        <v>2.9276422764227643E-5</v>
      </c>
      <c r="W33" s="60">
        <f t="shared" si="4"/>
        <v>6.7118614041570351E-6</v>
      </c>
      <c r="X33" s="19">
        <f t="shared" si="5"/>
        <v>8.2173319171094578E-4</v>
      </c>
      <c r="Y33" s="19">
        <f t="shared" si="6"/>
        <v>2.9538807685617346E-5</v>
      </c>
      <c r="AX33">
        <v>2</v>
      </c>
      <c r="AY33" s="2">
        <f t="shared" si="8"/>
        <v>6.045884548921927E-6</v>
      </c>
      <c r="AZ33" s="2">
        <f t="shared" si="9"/>
        <v>6.2241986288678896E-6</v>
      </c>
      <c r="BA33" s="2">
        <f t="shared" si="10"/>
        <v>1.4449601166094688E-5</v>
      </c>
      <c r="BB33" s="2"/>
    </row>
    <row r="34" spans="2:54" x14ac:dyDescent="0.25">
      <c r="AX34">
        <v>2.1</v>
      </c>
      <c r="AY34" s="2">
        <f t="shared" si="8"/>
        <v>6.1190351944257134E-6</v>
      </c>
      <c r="AZ34" s="2">
        <f t="shared" si="9"/>
        <v>6.3018760050026799E-6</v>
      </c>
      <c r="BA34" s="2">
        <f t="shared" si="10"/>
        <v>1.4709033385529736E-5</v>
      </c>
      <c r="BB34" s="2"/>
    </row>
    <row r="35" spans="2:54" x14ac:dyDescent="0.25">
      <c r="AX35">
        <v>2.2000000000000002</v>
      </c>
      <c r="AY35" s="2">
        <f t="shared" si="8"/>
        <v>6.1876989008449491E-6</v>
      </c>
      <c r="AZ35" s="2">
        <f t="shared" si="9"/>
        <v>6.3741935483870964E-6</v>
      </c>
      <c r="BA35" s="2">
        <f t="shared" si="10"/>
        <v>1.4957707007113647E-5</v>
      </c>
      <c r="BB35" s="2"/>
    </row>
    <row r="36" spans="2:54" x14ac:dyDescent="0.25">
      <c r="AX36">
        <v>2.2999999999999998</v>
      </c>
      <c r="AY36" s="2">
        <f t="shared" si="8"/>
        <v>6.2523447842754586E-6</v>
      </c>
      <c r="AZ36" s="2">
        <f t="shared" si="9"/>
        <v>6.4416875104218769E-6</v>
      </c>
      <c r="BA36" s="2">
        <f t="shared" si="10"/>
        <v>1.5196694351971826E-5</v>
      </c>
      <c r="BB36" s="2"/>
    </row>
    <row r="37" spans="2:54" x14ac:dyDescent="0.25">
      <c r="AX37">
        <v>2.4</v>
      </c>
      <c r="AY37" s="2">
        <f t="shared" si="8"/>
        <v>6.3133787674277628E-6</v>
      </c>
      <c r="AZ37" s="2">
        <f t="shared" si="9"/>
        <v>6.5048249152815874E-6</v>
      </c>
      <c r="BA37" s="2">
        <f t="shared" si="10"/>
        <v>1.5426929817679026E-5</v>
      </c>
      <c r="BB37" s="2"/>
    </row>
    <row r="38" spans="2:54" ht="18" x14ac:dyDescent="0.35">
      <c r="M38" s="127">
        <f>M33</f>
        <v>1.3469999999999999E-2</v>
      </c>
      <c r="AA38" s="213" t="s">
        <v>46</v>
      </c>
      <c r="AB38" s="213" t="s">
        <v>46</v>
      </c>
      <c r="AC38" s="213" t="s">
        <v>1006</v>
      </c>
      <c r="AD38" s="213" t="s">
        <v>43</v>
      </c>
      <c r="AE38" s="213" t="s">
        <v>44</v>
      </c>
      <c r="AF38" s="213" t="s">
        <v>47</v>
      </c>
      <c r="AG38" s="213" t="s">
        <v>48</v>
      </c>
      <c r="AH38" s="213" t="s">
        <v>410</v>
      </c>
      <c r="AI38" s="213" t="s">
        <v>1014</v>
      </c>
      <c r="AJ38" s="213" t="s">
        <v>72</v>
      </c>
      <c r="AQ38" s="13"/>
      <c r="AX38">
        <v>2.5</v>
      </c>
      <c r="AY38" s="2">
        <f t="shared" si="8"/>
        <v>6.3711538737212485E-6</v>
      </c>
      <c r="AZ38" s="2">
        <f t="shared" si="9"/>
        <v>6.5640143817414407E-6</v>
      </c>
      <c r="BA38" s="2">
        <f t="shared" si="10"/>
        <v>1.5649231362347736E-5</v>
      </c>
      <c r="BB38" s="2"/>
    </row>
    <row r="39" spans="2:54" x14ac:dyDescent="0.25">
      <c r="J39" t="s">
        <v>415</v>
      </c>
      <c r="AA39" s="213" t="s">
        <v>106</v>
      </c>
      <c r="AB39" s="213">
        <f>15+273.15</f>
        <v>288.14999999999998</v>
      </c>
      <c r="AC39" s="214">
        <v>4.5539999999999999E-6</v>
      </c>
      <c r="AD39" s="213">
        <v>0.17660000000000001</v>
      </c>
      <c r="AE39" s="214">
        <f>AC39/AD39</f>
        <v>2.5787089467723668E-5</v>
      </c>
      <c r="AF39" s="214">
        <f>1/AB39</f>
        <v>3.4704147145583901E-3</v>
      </c>
      <c r="AG39" s="214">
        <f>LN(AC39)</f>
        <v>-12.299504590322726</v>
      </c>
      <c r="AH39" s="216">
        <f>(1.98816*LN((AC39/AB39)*0.0000000000479924))/1000</f>
        <v>-8.2951928541836778E-2</v>
      </c>
      <c r="AI39" s="216">
        <f>(1.98816*LN((AC39/(AB39*AD39))*0.0000000000479924))/1000</f>
        <v>-7.9504721557223448E-2</v>
      </c>
      <c r="AJ39" s="213">
        <f>LN(AD39/AB39)</f>
        <v>-7.3973491686949524</v>
      </c>
      <c r="AQ39" s="13"/>
      <c r="AX39">
        <v>2.6</v>
      </c>
      <c r="AY39" s="2">
        <f t="shared" si="8"/>
        <v>6.4259785726004927E-6</v>
      </c>
      <c r="AZ39" s="2">
        <f t="shared" si="9"/>
        <v>6.619614976504471E-6</v>
      </c>
      <c r="BA39" s="2">
        <f t="shared" si="10"/>
        <v>1.5864318094202243E-5</v>
      </c>
      <c r="BB39" s="2"/>
    </row>
    <row r="40" spans="2:54" x14ac:dyDescent="0.25">
      <c r="J40">
        <v>8.5000000000000006E-2</v>
      </c>
      <c r="L40" t="s">
        <v>416</v>
      </c>
      <c r="N40" s="2">
        <f>M3</f>
        <v>0.1077</v>
      </c>
      <c r="AA40" s="213" t="s">
        <v>108</v>
      </c>
      <c r="AB40" s="213">
        <v>308.14999999999998</v>
      </c>
      <c r="AC40" s="214">
        <v>8.0169999999999996E-6</v>
      </c>
      <c r="AD40" s="213">
        <v>0.13689999999999999</v>
      </c>
      <c r="AE40" s="214">
        <f>AC40/AD40</f>
        <v>5.8560993425858287E-5</v>
      </c>
      <c r="AF40" s="214">
        <f>1/AB40</f>
        <v>3.2451728054518907E-3</v>
      </c>
      <c r="AG40" s="214">
        <f>LN(AC40)</f>
        <v>-11.733946270903459</v>
      </c>
      <c r="AH40" s="216">
        <f>(1.98816*LN((AC40/AB40)*0.0000000000479924))/1000</f>
        <v>-8.1960924583436928E-2</v>
      </c>
      <c r="AI40" s="216">
        <f>(1.98816*LN((AC40/(AB40*AD40))*0.0000000000479924))/1000</f>
        <v>-7.8007459383894251E-2</v>
      </c>
      <c r="AJ40" s="213">
        <f>LN(AD40/AB40)</f>
        <v>-7.7190912240959859</v>
      </c>
      <c r="AQ40" s="13"/>
      <c r="AX40">
        <v>2.7</v>
      </c>
      <c r="AY40" s="2">
        <f t="shared" si="8"/>
        <v>6.4781235933198754E-6</v>
      </c>
      <c r="AZ40" s="2">
        <f t="shared" si="9"/>
        <v>6.6719435044872734E-6</v>
      </c>
      <c r="BA40" s="2">
        <f t="shared" si="10"/>
        <v>1.6072824766122173E-5</v>
      </c>
      <c r="BB40" s="2"/>
    </row>
    <row r="41" spans="2:54" x14ac:dyDescent="0.25">
      <c r="E41" s="2"/>
      <c r="L41" t="s">
        <v>417</v>
      </c>
      <c r="AA41" s="213" t="s">
        <v>109</v>
      </c>
      <c r="AB41" s="213">
        <v>313.14999999999998</v>
      </c>
      <c r="AC41" s="214">
        <v>1.5659999999999999E-5</v>
      </c>
      <c r="AD41" s="213">
        <v>0.18529999999999999</v>
      </c>
      <c r="AE41" s="214">
        <f>AC41/AD41</f>
        <v>8.4511602806260113E-5</v>
      </c>
      <c r="AF41" s="214">
        <f>1/AB41</f>
        <v>3.1933578157432542E-3</v>
      </c>
      <c r="AG41" s="214">
        <f>LN(AC41)</f>
        <v>-11.064400867401616</v>
      </c>
      <c r="AH41" s="216">
        <f>(1.98816*LN((AC41/AB41)*0.0000000000479924))/1000</f>
        <v>-8.0661761884859365E-2</v>
      </c>
      <c r="AI41" s="216">
        <f>(1.98816*LN((AC41/(AB41*AD41))*0.0000000000479924))/1000</f>
        <v>-7.7310163218562697E-2</v>
      </c>
      <c r="AJ41" s="213">
        <f>LN(AD41/AB41)</f>
        <v>-7.4324614546622447</v>
      </c>
      <c r="AQ41" s="13"/>
      <c r="AX41">
        <v>2.8</v>
      </c>
      <c r="AY41" s="2">
        <f t="shared" si="8"/>
        <v>6.5278275253754374E-6</v>
      </c>
      <c r="AZ41" s="2">
        <f t="shared" si="9"/>
        <v>6.7212805488066317E-6</v>
      </c>
      <c r="BA41" s="2">
        <f t="shared" si="10"/>
        <v>1.6275313792415736E-5</v>
      </c>
      <c r="BB41" s="2"/>
    </row>
    <row r="42" spans="2:54" x14ac:dyDescent="0.25">
      <c r="B42" t="s">
        <v>1057</v>
      </c>
      <c r="E42" s="2"/>
      <c r="T42">
        <f>180/4.2</f>
        <v>42.857142857142854</v>
      </c>
      <c r="AQ42" s="13"/>
      <c r="AX42">
        <v>2.9</v>
      </c>
      <c r="AY42" s="2">
        <f t="shared" si="8"/>
        <v>6.5753014503948812E-6</v>
      </c>
      <c r="AZ42" s="2">
        <f t="shared" si="9"/>
        <v>6.7678755036820892E-6</v>
      </c>
      <c r="BA42" s="2">
        <f t="shared" si="10"/>
        <v>1.6472285268289982E-5</v>
      </c>
      <c r="BB42" s="2"/>
    </row>
    <row r="43" spans="2:54" x14ac:dyDescent="0.25">
      <c r="B43">
        <v>313.14999999999998</v>
      </c>
      <c r="C43">
        <v>2.06</v>
      </c>
      <c r="D43" s="214">
        <f>I71</f>
        <v>1.1652058432934926E-5</v>
      </c>
      <c r="E43" s="2"/>
      <c r="AD43" s="11"/>
      <c r="AE43" s="2"/>
      <c r="AQ43" s="13"/>
      <c r="AX43">
        <v>3</v>
      </c>
      <c r="AY43" s="2">
        <f t="shared" si="8"/>
        <v>6.6207327954278029E-6</v>
      </c>
      <c r="AZ43" s="2">
        <f t="shared" si="9"/>
        <v>6.8119507908611595E-6</v>
      </c>
      <c r="BA43" s="2">
        <f t="shared" si="10"/>
        <v>1.6664185368877866E-5</v>
      </c>
      <c r="BB43" s="2"/>
    </row>
    <row r="44" spans="2:54" x14ac:dyDescent="0.25">
      <c r="B44" s="213">
        <v>313.14999999999998</v>
      </c>
      <c r="C44" s="213">
        <v>2.06</v>
      </c>
      <c r="D44" s="214">
        <f>J71</f>
        <v>1.2196547144754317E-5</v>
      </c>
      <c r="AD44" s="11"/>
      <c r="AE44" s="2"/>
      <c r="AG44" s="2"/>
      <c r="AQ44" s="13"/>
      <c r="AX44">
        <v>3.1</v>
      </c>
      <c r="AY44" s="2">
        <f t="shared" si="8"/>
        <v>6.6642885561672207E-6</v>
      </c>
      <c r="AZ44" s="2">
        <f t="shared" si="9"/>
        <v>6.8537054100302747E-6</v>
      </c>
      <c r="BA44" s="2">
        <f t="shared" si="10"/>
        <v>1.6851413425549229E-5</v>
      </c>
      <c r="BB44" s="2"/>
    </row>
    <row r="45" spans="2:54" x14ac:dyDescent="0.25">
      <c r="B45" s="213">
        <v>313.14999999999998</v>
      </c>
      <c r="C45" s="213">
        <v>2.06</v>
      </c>
      <c r="D45" s="214">
        <f>K71</f>
        <v>1.1654714475431606E-5</v>
      </c>
      <c r="AD45" s="11"/>
      <c r="AE45" s="2"/>
      <c r="AG45" s="2"/>
      <c r="AQ45" s="13"/>
      <c r="AX45">
        <v>3.2</v>
      </c>
      <c r="AY45" s="2">
        <f t="shared" ref="AY45:AY76" si="13">($AV$6*AX45)/($AU$6+AX45)+AX45*$AW$6</f>
        <v>6.7061180071098846E-6</v>
      </c>
      <c r="AZ45" s="2">
        <f t="shared" si="9"/>
        <v>6.8933179427985113E-6</v>
      </c>
      <c r="BA45" s="2">
        <f t="shared" si="10"/>
        <v>1.7034327916314995E-5</v>
      </c>
      <c r="BB45" s="2"/>
    </row>
    <row r="46" spans="2:54" x14ac:dyDescent="0.25">
      <c r="B46" s="213">
        <v>313.14999999999998</v>
      </c>
      <c r="C46" s="213">
        <v>2.06</v>
      </c>
      <c r="D46" s="214">
        <f>P71</f>
        <v>1.3009296148738381E-5</v>
      </c>
      <c r="AD46" s="11"/>
      <c r="AE46" s="2"/>
      <c r="AG46" s="2"/>
      <c r="AX46">
        <v>3.3</v>
      </c>
      <c r="AY46" s="2">
        <f t="shared" si="13"/>
        <v>6.746354991471546E-6</v>
      </c>
      <c r="AZ46" s="2">
        <f t="shared" si="9"/>
        <v>6.9309491059147174E-6</v>
      </c>
      <c r="BA46" s="2">
        <f t="shared" si="10"/>
        <v>1.7213251559889272E-5</v>
      </c>
      <c r="BB46" s="2"/>
    </row>
    <row r="47" spans="2:54" x14ac:dyDescent="0.25">
      <c r="B47" s="213">
        <v>313.14999999999998</v>
      </c>
      <c r="C47" s="213">
        <v>2.06</v>
      </c>
      <c r="D47" s="216">
        <f>Q71</f>
        <v>1.3009296148738381E-5</v>
      </c>
      <c r="AD47" s="11"/>
      <c r="AE47" s="2"/>
      <c r="AG47" s="2"/>
      <c r="AX47">
        <v>3.4</v>
      </c>
      <c r="AY47" s="2">
        <f t="shared" si="13"/>
        <v>6.7851198649669979E-6</v>
      </c>
      <c r="AZ47" s="2">
        <f t="shared" si="9"/>
        <v>6.9667439307063565E-6</v>
      </c>
      <c r="BA47" s="2">
        <f t="shared" si="10"/>
        <v>1.7388475666074603E-5</v>
      </c>
      <c r="BB47" s="2"/>
    </row>
    <row r="48" spans="2:54" x14ac:dyDescent="0.25">
      <c r="B48" s="213">
        <v>313.14999999999998</v>
      </c>
      <c r="C48">
        <v>4.13</v>
      </c>
      <c r="D48" s="214">
        <f>I72</f>
        <v>1.2106241699867198E-5</v>
      </c>
      <c r="AD48" s="11"/>
      <c r="AE48" s="2"/>
      <c r="AG48" s="2"/>
      <c r="AX48">
        <v>3.5</v>
      </c>
      <c r="AY48" s="2">
        <f t="shared" si="13"/>
        <v>6.822521152995528E-6</v>
      </c>
      <c r="AZ48" s="2">
        <f t="shared" si="9"/>
        <v>7.0008336310587117E-6</v>
      </c>
      <c r="BA48" s="2">
        <f t="shared" si="10"/>
        <v>1.7560263866125084E-5</v>
      </c>
      <c r="BB48" s="2"/>
    </row>
    <row r="49" spans="2:54" x14ac:dyDescent="0.25">
      <c r="B49" s="213">
        <v>313.14999999999998</v>
      </c>
      <c r="C49" s="213">
        <v>4.13</v>
      </c>
      <c r="D49" s="214">
        <f>J72</f>
        <v>1.1654714475431606E-5</v>
      </c>
      <c r="AX49">
        <v>3.6</v>
      </c>
      <c r="AY49" s="2">
        <f t="shared" si="13"/>
        <v>6.858656969348107E-6</v>
      </c>
      <c r="AZ49" s="2">
        <f t="shared" si="9"/>
        <v>7.0333372106548803E-6</v>
      </c>
      <c r="BA49" s="2">
        <f t="shared" si="10"/>
        <v>1.7728855323789416E-5</v>
      </c>
      <c r="BB49" s="2"/>
    </row>
    <row r="50" spans="2:54" x14ac:dyDescent="0.25">
      <c r="B50" s="213">
        <v>313.14999999999998</v>
      </c>
      <c r="C50" s="213">
        <v>4.13</v>
      </c>
      <c r="D50" s="214">
        <f>K72</f>
        <v>4.0820000000000001E-6</v>
      </c>
      <c r="AX50">
        <v>3.7</v>
      </c>
      <c r="AY50" s="2">
        <f t="shared" si="13"/>
        <v>6.893616235536609E-6</v>
      </c>
      <c r="AZ50" s="2">
        <f t="shared" si="9"/>
        <v>7.0643628509719214E-6</v>
      </c>
      <c r="BA50" s="2">
        <f t="shared" si="10"/>
        <v>1.7894467509467335E-5</v>
      </c>
      <c r="BB50" s="2"/>
    </row>
    <row r="51" spans="2:54" x14ac:dyDescent="0.25">
      <c r="B51" s="213">
        <v>313.14999999999998</v>
      </c>
      <c r="C51" s="213">
        <v>4.13</v>
      </c>
      <c r="D51" s="214">
        <f>L72</f>
        <v>1.1250996015936254E-5</v>
      </c>
      <c r="AX51">
        <v>3.8</v>
      </c>
      <c r="AY51" s="2">
        <f t="shared" si="13"/>
        <v>6.92747973268641E-6</v>
      </c>
      <c r="AZ51" s="2">
        <f t="shared" si="9"/>
        <v>7.09400911414916E-6</v>
      </c>
      <c r="BA51" s="2">
        <f t="shared" si="10"/>
        <v>1.8057298605290583E-5</v>
      </c>
      <c r="BB51" s="2"/>
    </row>
    <row r="52" spans="2:54" x14ac:dyDescent="0.25">
      <c r="B52" s="213">
        <v>313.14999999999998</v>
      </c>
      <c r="C52" s="213">
        <v>4.13</v>
      </c>
      <c r="D52" s="214">
        <f>M72</f>
        <v>1.1498007968127489E-5</v>
      </c>
      <c r="AX52">
        <v>3.9</v>
      </c>
      <c r="AY52" s="2">
        <f t="shared" si="13"/>
        <v>6.9603210122164039E-6</v>
      </c>
      <c r="AZ52" s="2">
        <f t="shared" si="9"/>
        <v>7.1223659889094276E-6</v>
      </c>
      <c r="BA52" s="2">
        <f t="shared" si="10"/>
        <v>1.8217529597171308E-5</v>
      </c>
      <c r="BB52" s="2"/>
    </row>
    <row r="53" spans="2:54" x14ac:dyDescent="0.25">
      <c r="B53" s="213">
        <v>313.14999999999998</v>
      </c>
      <c r="C53" s="213">
        <v>4.13</v>
      </c>
      <c r="D53" s="214">
        <f>N72</f>
        <v>1.1513944223107571E-5</v>
      </c>
      <c r="AX53">
        <v>4</v>
      </c>
      <c r="AY53" s="2">
        <f t="shared" si="13"/>
        <v>6.9922071869392047E-6</v>
      </c>
      <c r="AZ53" s="2">
        <f t="shared" si="9"/>
        <v>7.1495158029158241E-6</v>
      </c>
      <c r="BA53" s="2">
        <f t="shared" si="10"/>
        <v>1.8375326100341831E-5</v>
      </c>
      <c r="BB53" s="2"/>
    </row>
    <row r="54" spans="2:54" x14ac:dyDescent="0.25">
      <c r="B54" s="213">
        <v>313.14999999999998</v>
      </c>
      <c r="C54" s="213">
        <v>4.13</v>
      </c>
      <c r="D54" s="214">
        <f>O72</f>
        <v>1.0594953519256307E-5</v>
      </c>
      <c r="AX54">
        <v>4.0999999999999996</v>
      </c>
      <c r="AY54" s="2">
        <f t="shared" si="13"/>
        <v>7.0231996205079875E-6</v>
      </c>
      <c r="AZ54" s="2">
        <f t="shared" si="9"/>
        <v>7.1755340210482443E-6</v>
      </c>
      <c r="BA54" s="2">
        <f t="shared" si="10"/>
        <v>1.8530839957171668E-5</v>
      </c>
      <c r="BB54" s="2"/>
    </row>
    <row r="55" spans="2:54" x14ac:dyDescent="0.25">
      <c r="B55" s="213">
        <v>313.14999999999998</v>
      </c>
      <c r="C55" s="213">
        <v>4.13</v>
      </c>
      <c r="D55" s="214">
        <f>P72</f>
        <v>1.0298804780876494E-5</v>
      </c>
      <c r="AX55">
        <v>4.2</v>
      </c>
      <c r="AY55" s="2">
        <f t="shared" si="13"/>
        <v>7.0533545301295767E-6</v>
      </c>
      <c r="AZ55" s="2">
        <f t="shared" si="9"/>
        <v>7.2004899459018065E-6</v>
      </c>
      <c r="BA55" s="2">
        <f t="shared" si="10"/>
        <v>1.8684210639727895E-5</v>
      </c>
      <c r="BB55" s="2"/>
    </row>
    <row r="56" spans="2:54" x14ac:dyDescent="0.25">
      <c r="B56" s="213">
        <v>313.14999999999998</v>
      </c>
      <c r="C56" s="213">
        <v>4.13</v>
      </c>
      <c r="D56" s="216">
        <f>Q72</f>
        <v>1.3009296148738381E-5</v>
      </c>
      <c r="AO56" t="s">
        <v>431</v>
      </c>
      <c r="AP56" t="s">
        <v>1007</v>
      </c>
      <c r="AX56">
        <v>4.3</v>
      </c>
      <c r="AY56" s="2">
        <f t="shared" si="13"/>
        <v>7.0827235150121158E-6</v>
      </c>
      <c r="AZ56" s="2">
        <f t="shared" si="9"/>
        <v>7.2244473342002604E-6</v>
      </c>
      <c r="BA56" s="2">
        <f t="shared" si="10"/>
        <v>1.8835566484360964E-5</v>
      </c>
      <c r="BB56" s="2"/>
    </row>
    <row r="57" spans="2:54" x14ac:dyDescent="0.25">
      <c r="B57" s="213">
        <v>313.14999999999998</v>
      </c>
      <c r="C57">
        <v>6.19</v>
      </c>
      <c r="D57" s="214">
        <f>I73</f>
        <v>1.1003984063745019E-5</v>
      </c>
      <c r="H57">
        <f>200/60</f>
        <v>3.3333333333333335</v>
      </c>
      <c r="AJ57">
        <f>1^2</f>
        <v>1</v>
      </c>
      <c r="AO57" t="s">
        <v>1008</v>
      </c>
      <c r="AP57" s="2">
        <v>1.5670000000000001E-5</v>
      </c>
      <c r="AQ57" s="214">
        <v>4.5539999999999999E-6</v>
      </c>
      <c r="AR57" s="214">
        <v>8.0169999999999996E-6</v>
      </c>
      <c r="AX57">
        <v>4.4000000000000004</v>
      </c>
      <c r="AY57" s="2">
        <f t="shared" si="13"/>
        <v>7.111354021008573E-6</v>
      </c>
      <c r="AZ57" s="2">
        <f t="shared" si="9"/>
        <v>7.2474649406688231E-6</v>
      </c>
      <c r="BA57" s="2">
        <f t="shared" si="10"/>
        <v>1.8985025781326444E-5</v>
      </c>
      <c r="BB57" s="2"/>
    </row>
    <row r="58" spans="2:54" x14ac:dyDescent="0.25">
      <c r="B58" s="213">
        <v>313.14999999999998</v>
      </c>
      <c r="C58" s="213">
        <v>6.19</v>
      </c>
      <c r="D58" s="214">
        <f>J73</f>
        <v>1.2196547144754317E-5</v>
      </c>
      <c r="AJ58" t="s">
        <v>78</v>
      </c>
      <c r="AO58" t="s">
        <v>1009</v>
      </c>
      <c r="AP58">
        <v>0.18529999999999999</v>
      </c>
      <c r="AQ58">
        <v>0.17660000000000001</v>
      </c>
      <c r="AR58">
        <v>0.13689999999999999</v>
      </c>
      <c r="AX58">
        <v>4.5</v>
      </c>
      <c r="AY58" s="2">
        <f t="shared" si="13"/>
        <v>7.1392897502663036E-6</v>
      </c>
      <c r="AZ58" s="2">
        <f t="shared" si="9"/>
        <v>7.2695969991343653E-6</v>
      </c>
      <c r="BA58" s="2">
        <f t="shared" si="10"/>
        <v>1.9132697738920134E-5</v>
      </c>
      <c r="BB58" s="2"/>
    </row>
    <row r="59" spans="2:54" x14ac:dyDescent="0.25">
      <c r="B59" s="213">
        <v>313.14999999999998</v>
      </c>
      <c r="C59" s="213">
        <v>6.19</v>
      </c>
      <c r="D59" s="214">
        <f>K73</f>
        <v>1.0840637450199203E-5</v>
      </c>
      <c r="AO59" t="s">
        <v>1010</v>
      </c>
      <c r="AP59" s="2">
        <v>13.16</v>
      </c>
      <c r="AQ59">
        <v>13.16</v>
      </c>
      <c r="AR59">
        <v>13.16</v>
      </c>
      <c r="AX59">
        <v>4.5999999999999996</v>
      </c>
      <c r="AY59" s="2">
        <f t="shared" si="13"/>
        <v>7.1665710233295938E-6</v>
      </c>
      <c r="AZ59" s="2">
        <f t="shared" si="9"/>
        <v>7.2908936491459845E-6</v>
      </c>
      <c r="BA59" s="2">
        <f t="shared" si="10"/>
        <v>1.9278683338669277E-5</v>
      </c>
      <c r="BB59" s="2"/>
    </row>
    <row r="60" spans="2:54" x14ac:dyDescent="0.25">
      <c r="B60" s="213">
        <v>313.14999999999998</v>
      </c>
      <c r="C60" s="213">
        <v>6.19</v>
      </c>
      <c r="D60" s="216">
        <f>Q73</f>
        <v>1.1654714475431606E-5</v>
      </c>
      <c r="AO60" t="s">
        <v>1011</v>
      </c>
      <c r="AP60" t="s">
        <v>1013</v>
      </c>
      <c r="AQ60" t="s">
        <v>1012</v>
      </c>
      <c r="AX60">
        <v>4.7</v>
      </c>
      <c r="AY60" s="2">
        <f t="shared" si="13"/>
        <v>7.1932351000113865E-6</v>
      </c>
      <c r="AZ60" s="2">
        <f t="shared" si="9"/>
        <v>7.3114013151801425E-6</v>
      </c>
      <c r="BA60" s="2">
        <f t="shared" si="10"/>
        <v>1.9423076095676445E-5</v>
      </c>
      <c r="BB60" s="2"/>
    </row>
    <row r="61" spans="2:54" x14ac:dyDescent="0.25">
      <c r="B61" s="213">
        <v>313.14999999999998</v>
      </c>
      <c r="C61">
        <v>8.25</v>
      </c>
      <c r="D61" s="214">
        <f>I74</f>
        <v>7.9322709163346604E-6</v>
      </c>
      <c r="AA61" t="s">
        <v>74</v>
      </c>
      <c r="AB61" t="s">
        <v>14</v>
      </c>
      <c r="AC61" t="s">
        <v>15</v>
      </c>
      <c r="AD61" t="s">
        <v>411</v>
      </c>
      <c r="AE61" t="s">
        <v>277</v>
      </c>
      <c r="AN61">
        <v>0</v>
      </c>
      <c r="AO61" s="2">
        <f t="shared" ref="AO61:AO92" si="14" xml:space="preserve"> $AP$57*AN61/($AP$58+AN61+AN61*AN61/$AP$59)</f>
        <v>0</v>
      </c>
      <c r="AP61" s="214">
        <f xml:space="preserve"> $AQ$57*AN61/($AQ$58+AN61+AN61*AN61/$AQ$59)</f>
        <v>0</v>
      </c>
      <c r="AQ61">
        <f xml:space="preserve"> $AR$57*AN61/($AR$58+AN61+AN61*AN61/$AR$59)</f>
        <v>0</v>
      </c>
      <c r="AX61">
        <v>4.8</v>
      </c>
      <c r="AY61" s="2">
        <f t="shared" si="13"/>
        <v>7.2193164644094304E-6</v>
      </c>
      <c r="AZ61" s="2">
        <f t="shared" si="9"/>
        <v>7.3311630444666724E-6</v>
      </c>
      <c r="BA61" s="2">
        <f t="shared" si="10"/>
        <v>1.9565962736165813E-5</v>
      </c>
      <c r="BB61" s="2"/>
    </row>
    <row r="62" spans="2:54" x14ac:dyDescent="0.25">
      <c r="B62" s="213">
        <v>313.14999999999998</v>
      </c>
      <c r="C62" s="213">
        <v>8.25</v>
      </c>
      <c r="D62" s="214">
        <f>J74</f>
        <v>9.7569721115537851E-6</v>
      </c>
      <c r="AA62" s="1">
        <f>(H71+H72+H73)/3</f>
        <v>4.126666666666666</v>
      </c>
      <c r="AB62" t="e">
        <f>(AA75+#REF!+AA76)/3</f>
        <v>#REF!</v>
      </c>
      <c r="AC62" s="11" t="e">
        <f>#REF!</f>
        <v>#REF!</v>
      </c>
      <c r="AD62" s="11" t="e">
        <f>AC62/2</f>
        <v>#REF!</v>
      </c>
      <c r="AE62" s="11" t="e">
        <f>1/AC62</f>
        <v>#REF!</v>
      </c>
      <c r="AN62">
        <v>0.1</v>
      </c>
      <c r="AO62" s="214">
        <f t="shared" si="14"/>
        <v>5.4778741033452094E-6</v>
      </c>
      <c r="AP62" s="214">
        <f t="shared" ref="AP62:AP125" si="15" xml:space="preserve"> $AQ$57*AN62/($AQ$58+AN62+AN62*AN62/$AQ$59)</f>
        <v>1.6419101515154835E-6</v>
      </c>
      <c r="AQ62" s="213">
        <f t="shared" ref="AQ62:AQ125" si="16" xml:space="preserve"> $AR$57*AN62/($AR$58+AN62+AN62*AN62/$AR$59)</f>
        <v>3.3733081298015991E-6</v>
      </c>
      <c r="AX62">
        <v>4.9000000000000004</v>
      </c>
      <c r="AY62" s="2">
        <f t="shared" si="13"/>
        <v>7.2448470786557945E-6</v>
      </c>
      <c r="AZ62" s="2">
        <f t="shared" si="9"/>
        <v>7.3502188086094495E-6</v>
      </c>
      <c r="BA62" s="2">
        <f t="shared" si="10"/>
        <v>1.9707423802563328E-5</v>
      </c>
      <c r="BB62" s="2"/>
    </row>
    <row r="63" spans="2:54" x14ac:dyDescent="0.25">
      <c r="B63" s="213">
        <v>313.14999999999998</v>
      </c>
      <c r="C63" s="213">
        <v>8.25</v>
      </c>
      <c r="D63" s="214">
        <f>K74</f>
        <v>8.1629999999999996E-6</v>
      </c>
      <c r="AA63" s="1">
        <f>H74</f>
        <v>8.25</v>
      </c>
      <c r="AB63" s="5">
        <f t="shared" ref="AB63:AC68" si="17">AA77</f>
        <v>8.8670524486523027E-7</v>
      </c>
      <c r="AC63" s="11">
        <f t="shared" si="17"/>
        <v>563885.24021417589</v>
      </c>
      <c r="AD63" s="11">
        <f t="shared" ref="AD63:AD68" si="18">AC63/2</f>
        <v>281942.62010708795</v>
      </c>
      <c r="AE63" s="11">
        <f t="shared" ref="AE63:AE68" si="19">1/AC63</f>
        <v>1.7734104897304605E-6</v>
      </c>
      <c r="AN63">
        <v>0.2</v>
      </c>
      <c r="AO63" s="214">
        <f t="shared" si="14"/>
        <v>8.0702578275363057E-6</v>
      </c>
      <c r="AP63" s="214">
        <f t="shared" si="15"/>
        <v>2.3991180242975658E-6</v>
      </c>
      <c r="AQ63" s="213">
        <f t="shared" si="16"/>
        <v>4.7167214621589222E-6</v>
      </c>
      <c r="AX63">
        <v>5</v>
      </c>
      <c r="AY63" s="2">
        <f t="shared" si="13"/>
        <v>7.269856609329551E-6</v>
      </c>
      <c r="AZ63" s="2">
        <f t="shared" si="9"/>
        <v>7.3686057734491525E-6</v>
      </c>
      <c r="BA63" s="2">
        <f t="shared" si="10"/>
        <v>1.9847534194994658E-5</v>
      </c>
      <c r="BB63" s="2"/>
    </row>
    <row r="64" spans="2:54" x14ac:dyDescent="0.25">
      <c r="B64" s="213">
        <v>313.14999999999998</v>
      </c>
      <c r="C64" s="213">
        <v>8.25</v>
      </c>
      <c r="D64" s="216">
        <f>Q74</f>
        <v>8.9442231075697211E-6</v>
      </c>
      <c r="AA64" s="1">
        <f>H75</f>
        <v>1.03</v>
      </c>
      <c r="AB64" s="5">
        <f t="shared" si="17"/>
        <v>0</v>
      </c>
      <c r="AC64" s="11">
        <f t="shared" si="17"/>
        <v>563885.24021417589</v>
      </c>
      <c r="AD64" s="11">
        <f t="shared" si="18"/>
        <v>281942.62010708795</v>
      </c>
      <c r="AE64" s="11">
        <f t="shared" si="19"/>
        <v>1.7734104897304605E-6</v>
      </c>
      <c r="AN64">
        <v>0.3</v>
      </c>
      <c r="AO64" s="214">
        <f t="shared" si="14"/>
        <v>9.5521811928206209E-6</v>
      </c>
      <c r="AP64" s="214">
        <f t="shared" si="15"/>
        <v>2.8260034177630625E-6</v>
      </c>
      <c r="AQ64" s="213">
        <f t="shared" si="16"/>
        <v>5.4200791697519206E-6</v>
      </c>
      <c r="AX64">
        <v>5.0999999999999996</v>
      </c>
      <c r="AY64" s="2">
        <f t="shared" si="13"/>
        <v>7.2943726299079267E-6</v>
      </c>
      <c r="AZ64" s="2">
        <f t="shared" si="9"/>
        <v>7.3863585410019825E-6</v>
      </c>
      <c r="BA64" s="2">
        <f t="shared" si="10"/>
        <v>1.9986363656861563E-5</v>
      </c>
      <c r="BB64" s="2"/>
    </row>
    <row r="65" spans="3:54" x14ac:dyDescent="0.25">
      <c r="C65">
        <v>1.03</v>
      </c>
      <c r="D65" s="214">
        <f>P75</f>
        <v>1.1925630810092961E-5</v>
      </c>
      <c r="AA65" s="1" t="e">
        <f>#REF!</f>
        <v>#REF!</v>
      </c>
      <c r="AB65" s="5">
        <f t="shared" si="17"/>
        <v>0</v>
      </c>
      <c r="AC65" s="11">
        <f t="shared" si="17"/>
        <v>563885.24021417589</v>
      </c>
      <c r="AD65" s="11">
        <f t="shared" si="18"/>
        <v>281942.62010708795</v>
      </c>
      <c r="AE65" s="11">
        <f t="shared" si="19"/>
        <v>1.7734104897304605E-6</v>
      </c>
      <c r="AN65">
        <v>0.4</v>
      </c>
      <c r="AO65" s="214">
        <f t="shared" si="14"/>
        <v>1.0491113059023615E-5</v>
      </c>
      <c r="AP65" s="214">
        <f t="shared" si="15"/>
        <v>3.0939704101261016E-6</v>
      </c>
      <c r="AQ65" s="213">
        <f t="shared" si="16"/>
        <v>5.8405481396434118E-6</v>
      </c>
      <c r="AX65">
        <v>5.2</v>
      </c>
      <c r="AY65" s="2">
        <f t="shared" si="13"/>
        <v>7.318420802163136E-6</v>
      </c>
      <c r="AZ65" s="2">
        <f t="shared" si="9"/>
        <v>7.4035093667881657E-6</v>
      </c>
      <c r="BA65" s="2">
        <f t="shared" si="10"/>
        <v>2.0123977211120322E-5</v>
      </c>
      <c r="BB65" s="2"/>
    </row>
    <row r="66" spans="3:54" x14ac:dyDescent="0.25">
      <c r="C66">
        <v>3.09</v>
      </c>
      <c r="D66" s="214">
        <f>P76</f>
        <v>1.2196547144754317E-5</v>
      </c>
      <c r="AA66" s="1">
        <f>H76</f>
        <v>3.09</v>
      </c>
      <c r="AB66" s="5">
        <f t="shared" si="17"/>
        <v>0</v>
      </c>
      <c r="AC66" s="11">
        <f t="shared" si="17"/>
        <v>563885.24021417589</v>
      </c>
      <c r="AD66" s="11">
        <f t="shared" si="18"/>
        <v>281942.62010708795</v>
      </c>
      <c r="AE66" s="11">
        <f t="shared" si="19"/>
        <v>1.7734104897304605E-6</v>
      </c>
      <c r="AJ66" s="11"/>
      <c r="AN66">
        <v>0.5</v>
      </c>
      <c r="AO66" s="214">
        <f t="shared" si="14"/>
        <v>1.1124568810562346E-5</v>
      </c>
      <c r="AP66" s="214">
        <f t="shared" si="15"/>
        <v>3.2734473112246637E-6</v>
      </c>
      <c r="AQ66" s="213">
        <f t="shared" si="16"/>
        <v>6.1114782374168228E-6</v>
      </c>
      <c r="AX66">
        <v>5.3</v>
      </c>
      <c r="AY66" s="2">
        <f t="shared" si="13"/>
        <v>7.3420250390159133E-6</v>
      </c>
      <c r="AZ66" s="2">
        <f t="shared" si="9"/>
        <v>7.4200883554221889E-6</v>
      </c>
      <c r="BA66" s="2">
        <f t="shared" si="10"/>
        <v>2.0260435553004209E-5</v>
      </c>
      <c r="BB66" s="2"/>
    </row>
    <row r="67" spans="3:54" x14ac:dyDescent="0.25">
      <c r="C67">
        <v>0.38</v>
      </c>
      <c r="D67" s="214">
        <f>R77</f>
        <v>9.9442231075697216E-6</v>
      </c>
      <c r="AA67" s="1">
        <f>L77</f>
        <v>0</v>
      </c>
      <c r="AB67" s="5">
        <f t="shared" si="17"/>
        <v>3.2491227927031254E-7</v>
      </c>
      <c r="AC67" s="11">
        <f t="shared" si="17"/>
        <v>1538876.8966285274</v>
      </c>
      <c r="AD67" s="11">
        <f t="shared" si="18"/>
        <v>769438.44831426372</v>
      </c>
      <c r="AE67" s="11">
        <f t="shared" si="19"/>
        <v>6.4982455854062507E-7</v>
      </c>
      <c r="AG67" s="2"/>
      <c r="AN67">
        <v>0.6</v>
      </c>
      <c r="AO67" s="214">
        <f t="shared" si="14"/>
        <v>1.1569476335044737E-5</v>
      </c>
      <c r="AP67" s="214">
        <f t="shared" si="15"/>
        <v>3.3986950541660649E-6</v>
      </c>
      <c r="AQ67" s="213">
        <f t="shared" si="16"/>
        <v>6.2939674300161343E-6</v>
      </c>
      <c r="AX67">
        <v>5.4</v>
      </c>
      <c r="AY67" s="2">
        <f t="shared" si="13"/>
        <v>7.3652076510202027E-6</v>
      </c>
      <c r="AZ67" s="2">
        <f t="shared" si="9"/>
        <v>7.4361236369599082E-6</v>
      </c>
      <c r="BA67" s="2">
        <f t="shared" si="10"/>
        <v>2.0395795404180099E-5</v>
      </c>
      <c r="BB67" s="2"/>
    </row>
    <row r="68" spans="3:54" x14ac:dyDescent="0.25">
      <c r="C68" s="213">
        <v>0.38</v>
      </c>
      <c r="D68" s="214">
        <f>S77</f>
        <v>8.1088977423638778E-6</v>
      </c>
      <c r="AA68" s="1">
        <f>L78</f>
        <v>0</v>
      </c>
      <c r="AB68" s="5">
        <f t="shared" si="17"/>
        <v>8.5994964618126993E-7</v>
      </c>
      <c r="AC68" s="11">
        <f t="shared" si="17"/>
        <v>581429.39208164322</v>
      </c>
      <c r="AD68" s="11">
        <f t="shared" si="18"/>
        <v>290714.69604082161</v>
      </c>
      <c r="AE68" s="11">
        <f t="shared" si="19"/>
        <v>1.7198992923625401E-6</v>
      </c>
      <c r="AG68" s="2"/>
      <c r="AN68">
        <v>0.7</v>
      </c>
      <c r="AO68" s="214">
        <f t="shared" si="14"/>
        <v>1.1890076131654024E-5</v>
      </c>
      <c r="AP68" s="214">
        <f t="shared" si="15"/>
        <v>3.4883795651708256E-6</v>
      </c>
      <c r="AQ68" s="213">
        <f t="shared" si="16"/>
        <v>6.4199536075824583E-6</v>
      </c>
      <c r="AX68">
        <v>5.5</v>
      </c>
      <c r="AY68" s="2">
        <f t="shared" si="13"/>
        <v>7.3879894783668893E-6</v>
      </c>
      <c r="AZ68" s="2">
        <f t="shared" si="9"/>
        <v>7.4516415261756874E-6</v>
      </c>
      <c r="BA68" s="2">
        <f t="shared" si="10"/>
        <v>2.0530109832686516E-5</v>
      </c>
      <c r="BB68" s="2"/>
    </row>
    <row r="69" spans="3:54" x14ac:dyDescent="0.25">
      <c r="C69" s="213">
        <v>0.38</v>
      </c>
      <c r="D69" s="214">
        <f>T77</f>
        <v>1.2393094289508631E-5</v>
      </c>
      <c r="AD69" s="11"/>
      <c r="AE69" s="2"/>
      <c r="AG69" s="2"/>
      <c r="AN69">
        <v>0.8</v>
      </c>
      <c r="AO69" s="214">
        <f t="shared" si="14"/>
        <v>1.2124585897907391E-5</v>
      </c>
      <c r="AP69" s="214">
        <f t="shared" si="15"/>
        <v>3.5535363920813853E-6</v>
      </c>
      <c r="AQ69" s="213">
        <f t="shared" si="16"/>
        <v>6.507752742489284E-6</v>
      </c>
      <c r="AX69">
        <v>5.6</v>
      </c>
      <c r="AY69" s="2">
        <f t="shared" si="13"/>
        <v>7.4103900100495999E-6</v>
      </c>
      <c r="AZ69" s="2">
        <f t="shared" si="9"/>
        <v>7.4666666666666666E-6</v>
      </c>
      <c r="BA69" s="2">
        <f t="shared" si="10"/>
        <v>2.0663428542449165E-5</v>
      </c>
      <c r="BB69" s="2"/>
    </row>
    <row r="70" spans="3:54" x14ac:dyDescent="0.25">
      <c r="C70" s="213">
        <v>0.38</v>
      </c>
      <c r="D70" s="214">
        <f>U77</f>
        <v>9.6387782204515271E-6</v>
      </c>
      <c r="G70" t="s">
        <v>46</v>
      </c>
      <c r="H70" t="s">
        <v>74</v>
      </c>
      <c r="I70" t="s">
        <v>20</v>
      </c>
      <c r="J70" t="s">
        <v>22</v>
      </c>
      <c r="K70" t="s">
        <v>23</v>
      </c>
      <c r="L70" t="s">
        <v>24</v>
      </c>
      <c r="M70" t="s">
        <v>24</v>
      </c>
      <c r="N70" t="s">
        <v>24</v>
      </c>
      <c r="O70" t="s">
        <v>24</v>
      </c>
      <c r="P70" t="s">
        <v>25</v>
      </c>
      <c r="Q70" t="s">
        <v>26</v>
      </c>
      <c r="R70" t="s">
        <v>27</v>
      </c>
      <c r="S70" t="s">
        <v>28</v>
      </c>
      <c r="T70" t="s">
        <v>30</v>
      </c>
      <c r="U70" t="s">
        <v>29</v>
      </c>
      <c r="V70" t="s">
        <v>77</v>
      </c>
      <c r="W70" t="s">
        <v>31</v>
      </c>
      <c r="X70" t="s">
        <v>123</v>
      </c>
      <c r="Y70" t="s">
        <v>14</v>
      </c>
      <c r="Z70" t="s">
        <v>15</v>
      </c>
      <c r="AA70" t="s">
        <v>411</v>
      </c>
      <c r="AB70" t="s">
        <v>421</v>
      </c>
      <c r="AC70" t="s">
        <v>430</v>
      </c>
      <c r="AD70" s="11"/>
      <c r="AE70" s="2"/>
      <c r="AG70" s="2"/>
      <c r="AH70" t="s">
        <v>43</v>
      </c>
      <c r="AI70" t="s">
        <v>42</v>
      </c>
      <c r="AN70">
        <v>0.9</v>
      </c>
      <c r="AO70" s="214">
        <f t="shared" si="14"/>
        <v>1.2297160161425363E-5</v>
      </c>
      <c r="AP70" s="214">
        <f t="shared" si="15"/>
        <v>3.6011065788510873E-6</v>
      </c>
      <c r="AQ70" s="213">
        <f t="shared" si="16"/>
        <v>6.5686185094721753E-6</v>
      </c>
      <c r="AX70">
        <v>5.7</v>
      </c>
      <c r="AY70" s="2">
        <f t="shared" si="13"/>
        <v>7.432427491625993E-6</v>
      </c>
      <c r="AZ70" s="2">
        <f t="shared" si="9"/>
        <v>7.4812221614440874E-6</v>
      </c>
      <c r="BA70" s="2">
        <f t="shared" si="10"/>
        <v>2.0795798135696345E-5</v>
      </c>
      <c r="BB70" s="2"/>
    </row>
    <row r="71" spans="3:54" x14ac:dyDescent="0.25">
      <c r="C71">
        <v>0.76</v>
      </c>
      <c r="D71" s="214">
        <f>R78</f>
        <v>1.2086321381142098E-5</v>
      </c>
      <c r="G71">
        <f>I104</f>
        <v>313.14999999999998</v>
      </c>
      <c r="H71" s="1">
        <v>2.06</v>
      </c>
      <c r="I71" s="2">
        <f>V104</f>
        <v>1.1652058432934926E-5</v>
      </c>
      <c r="J71" s="2">
        <f>V108</f>
        <v>1.2196547144754317E-5</v>
      </c>
      <c r="K71" s="2">
        <f>V112</f>
        <v>1.1654714475431606E-5</v>
      </c>
      <c r="L71" s="2"/>
      <c r="M71" s="2"/>
      <c r="N71" s="2"/>
      <c r="O71" s="2"/>
      <c r="P71" s="2">
        <f>V121</f>
        <v>1.3009296148738381E-5</v>
      </c>
      <c r="Q71" s="11">
        <f>V124</f>
        <v>1.3009296148738381E-5</v>
      </c>
      <c r="U71" s="2"/>
      <c r="Y71" s="2">
        <f>(I71+J71+K71+Q71+P71)/5</f>
        <v>1.2304382470119523E-5</v>
      </c>
      <c r="Z71" s="2">
        <f>SQRT(1/4*((I71-Y71)^2+(J71-Y71)^2+(K71-Y71)^2+(Q71-Y71)^2+(P71-Y71)^2))</f>
        <v>6.8063025917439039E-7</v>
      </c>
      <c r="AA71" s="2">
        <f t="shared" ref="AA71:AA84" si="20">Z71/2</f>
        <v>3.4031512958719519E-7</v>
      </c>
      <c r="AB71" s="214">
        <f>1/Z71</f>
        <v>1469226.4801935304</v>
      </c>
      <c r="AC71" s="2">
        <f t="shared" ref="AC71:AC84" si="21">$AA$74</f>
        <v>4.6999838521617828E-7</v>
      </c>
      <c r="AD71" s="11"/>
      <c r="AE71" s="2"/>
      <c r="AG71" s="2"/>
      <c r="AH71">
        <v>0.15559999999999999</v>
      </c>
      <c r="AI71" s="2">
        <v>9.7549999999999999E-5</v>
      </c>
      <c r="AN71">
        <v>1</v>
      </c>
      <c r="AO71" s="214">
        <f t="shared" si="14"/>
        <v>1.2423809600695193E-5</v>
      </c>
      <c r="AP71" s="214">
        <f t="shared" si="15"/>
        <v>3.6356731619936253E-6</v>
      </c>
      <c r="AQ71" s="213">
        <f t="shared" si="16"/>
        <v>6.6098444742771458E-6</v>
      </c>
      <c r="AX71">
        <v>5.8</v>
      </c>
      <c r="AY71" s="2">
        <f t="shared" si="13"/>
        <v>7.454119022827896E-6</v>
      </c>
      <c r="AZ71" s="2">
        <f t="shared" si="9"/>
        <v>7.4953296914672609E-6</v>
      </c>
      <c r="BA71" s="2">
        <f t="shared" si="10"/>
        <v>2.0927262351188189E-5</v>
      </c>
      <c r="BB71" s="2"/>
    </row>
    <row r="72" spans="3:54" x14ac:dyDescent="0.25">
      <c r="C72">
        <v>1.1499999999999999</v>
      </c>
      <c r="D72" s="214">
        <f>R79</f>
        <v>1.2545816733067729E-5</v>
      </c>
      <c r="G72">
        <f t="shared" ref="G72:G84" si="22">I105</f>
        <v>313.14999999999998</v>
      </c>
      <c r="H72" s="1">
        <v>4.13</v>
      </c>
      <c r="I72" s="2">
        <f>V105</f>
        <v>1.2106241699867198E-5</v>
      </c>
      <c r="J72" s="2">
        <f>V109</f>
        <v>1.1654714475431606E-5</v>
      </c>
      <c r="K72" s="2">
        <f>U113</f>
        <v>4.0820000000000001E-6</v>
      </c>
      <c r="L72" s="2">
        <f>V116</f>
        <v>1.1250996015936254E-5</v>
      </c>
      <c r="M72" s="2">
        <f>V117</f>
        <v>1.1498007968127489E-5</v>
      </c>
      <c r="N72" s="2">
        <f>V118</f>
        <v>1.1513944223107571E-5</v>
      </c>
      <c r="O72" s="2">
        <f>V119</f>
        <v>1.0594953519256307E-5</v>
      </c>
      <c r="P72" s="2">
        <f>V123</f>
        <v>1.0298804780876494E-5</v>
      </c>
      <c r="Q72" s="11">
        <f>V125</f>
        <v>1.3009296148738381E-5</v>
      </c>
      <c r="U72" s="2"/>
      <c r="Y72" s="2">
        <f>(I72+J72+K72+L72+M72+N72+O72+P72+Q72)/9</f>
        <v>1.0667662092371256E-5</v>
      </c>
      <c r="Z72" s="2">
        <f>SQRT(1/7*((I72-Y72)^2+(J72-Y72)^2+(L72-Y72)^2+(M72-Y72)^2+(N72-Y72)^2+(O72-Y72)^2+(P72-Y72)^2+(Q72-Y72)^2))</f>
        <v>1.2197378046920533E-6</v>
      </c>
      <c r="AA72" s="2">
        <f t="shared" si="20"/>
        <v>6.0986890234602665E-7</v>
      </c>
      <c r="AB72" s="214">
        <f>1/Z72</f>
        <v>819848.32818432618</v>
      </c>
      <c r="AC72" s="2">
        <f t="shared" si="21"/>
        <v>4.6999838521617828E-7</v>
      </c>
      <c r="AD72" s="11"/>
      <c r="AE72" s="2"/>
      <c r="AG72" s="2" t="s">
        <v>98</v>
      </c>
      <c r="AH72" t="s">
        <v>124</v>
      </c>
      <c r="AI72" t="s">
        <v>125</v>
      </c>
      <c r="AN72">
        <v>1.1000000000000001</v>
      </c>
      <c r="AO72" s="214">
        <f t="shared" si="14"/>
        <v>1.2515562870864419E-5</v>
      </c>
      <c r="AP72" s="214">
        <f t="shared" si="15"/>
        <v>3.6603830659937979E-6</v>
      </c>
      <c r="AQ72" s="213">
        <f t="shared" si="16"/>
        <v>6.6363632204846355E-6</v>
      </c>
      <c r="AX72">
        <v>5.9</v>
      </c>
      <c r="AY72" s="2">
        <f t="shared" si="13"/>
        <v>7.47548064611865E-6</v>
      </c>
      <c r="AZ72" s="2">
        <f t="shared" si="9"/>
        <v>7.5090096233992569E-6</v>
      </c>
      <c r="BA72" s="2">
        <f t="shared" si="10"/>
        <v>2.1057862280821193E-5</v>
      </c>
      <c r="BB72" s="2"/>
    </row>
    <row r="73" spans="3:54" x14ac:dyDescent="0.25">
      <c r="C73">
        <v>1.53</v>
      </c>
      <c r="D73" s="214">
        <f>R80</f>
        <v>1.2851261620185921E-5</v>
      </c>
      <c r="G73">
        <f t="shared" si="22"/>
        <v>313.14999999999998</v>
      </c>
      <c r="H73" s="1">
        <v>6.19</v>
      </c>
      <c r="I73" s="2">
        <f>V106</f>
        <v>1.1003984063745019E-5</v>
      </c>
      <c r="J73" s="2">
        <f>V110</f>
        <v>1.2196547144754317E-5</v>
      </c>
      <c r="K73" s="2">
        <f>V114</f>
        <v>1.0840637450199203E-5</v>
      </c>
      <c r="L73" s="2"/>
      <c r="M73" s="2"/>
      <c r="N73" s="2"/>
      <c r="O73" s="2"/>
      <c r="P73" s="2"/>
      <c r="Q73" s="11">
        <f>V126</f>
        <v>1.1654714475431606E-5</v>
      </c>
      <c r="U73" s="2"/>
      <c r="Y73" s="2">
        <f>(I73+J73+K73+Q73)/4</f>
        <v>1.1423970783532536E-5</v>
      </c>
      <c r="Z73" s="2">
        <f>SQRT(1/3*((I73-Y73)^2+(J73-Y73)^2+(K73-Y73)^2+(Q73-Y73)^2))</f>
        <v>6.2364079079909342E-7</v>
      </c>
      <c r="AA73" s="2">
        <f t="shared" si="20"/>
        <v>3.1182039539954671E-7</v>
      </c>
      <c r="AB73" s="214">
        <f>1/Z73</f>
        <v>1603487.1592005135</v>
      </c>
      <c r="AC73" s="2">
        <f t="shared" si="21"/>
        <v>4.6999838521617828E-7</v>
      </c>
      <c r="AD73" s="11"/>
      <c r="AE73" s="2"/>
      <c r="AG73" s="2"/>
      <c r="AN73">
        <v>1.2</v>
      </c>
      <c r="AO73" s="214">
        <f t="shared" si="14"/>
        <v>1.2580261617520775E-5</v>
      </c>
      <c r="AP73" s="214">
        <f t="shared" si="15"/>
        <v>3.6774678902535357E-6</v>
      </c>
      <c r="AQ73" s="213">
        <f t="shared" si="16"/>
        <v>6.6516285617794716E-6</v>
      </c>
      <c r="AX73">
        <v>6</v>
      </c>
      <c r="AY73" s="2">
        <f t="shared" si="13"/>
        <v>7.4965274271622981E-6</v>
      </c>
      <c r="AZ73" s="2">
        <f t="shared" si="9"/>
        <v>7.5222811077106811E-6</v>
      </c>
      <c r="BA73" s="2">
        <f t="shared" si="10"/>
        <v>2.118763656686389E-5</v>
      </c>
      <c r="BB73" s="2"/>
    </row>
    <row r="74" spans="3:54" x14ac:dyDescent="0.25">
      <c r="C74">
        <v>0.1</v>
      </c>
      <c r="D74" s="214">
        <f>S81</f>
        <v>4.7423638778220453E-6</v>
      </c>
      <c r="G74">
        <f t="shared" si="22"/>
        <v>313.14999999999998</v>
      </c>
      <c r="H74" s="1">
        <v>8.25</v>
      </c>
      <c r="I74" s="2">
        <f>V107</f>
        <v>7.9322709163346604E-6</v>
      </c>
      <c r="J74" s="2">
        <f>V111</f>
        <v>9.7569721115537851E-6</v>
      </c>
      <c r="K74" s="2">
        <f>U115</f>
        <v>8.1629999999999996E-6</v>
      </c>
      <c r="L74" s="2"/>
      <c r="M74" s="2"/>
      <c r="N74" s="2"/>
      <c r="O74" s="2"/>
      <c r="P74" s="2"/>
      <c r="Q74" s="11">
        <f>V127</f>
        <v>8.9442231075697211E-6</v>
      </c>
      <c r="U74" s="2"/>
      <c r="Y74" s="2">
        <f>(I74+J74+K74+Q74)/4</f>
        <v>8.6991165338645411E-6</v>
      </c>
      <c r="Z74" s="2">
        <f>SQRT(1/2*((I74-Y74)^2+(J74-Y74)^2+(Q74-Y74)^2))</f>
        <v>9.3999677043235657E-7</v>
      </c>
      <c r="AA74" s="2">
        <f t="shared" si="20"/>
        <v>4.6999838521617828E-7</v>
      </c>
      <c r="AB74" s="214">
        <f>1/Z74</f>
        <v>1063833.442257514</v>
      </c>
      <c r="AC74" s="2">
        <f t="shared" si="21"/>
        <v>4.6999838521617828E-7</v>
      </c>
      <c r="AD74" s="11"/>
      <c r="AE74" s="2"/>
      <c r="AG74" s="2" t="s">
        <v>70</v>
      </c>
      <c r="AH74" t="s">
        <v>75</v>
      </c>
      <c r="AI74" t="s">
        <v>42</v>
      </c>
      <c r="AJ74" t="s">
        <v>100</v>
      </c>
      <c r="AN74">
        <v>1.3</v>
      </c>
      <c r="AO74" s="214">
        <f t="shared" si="14"/>
        <v>1.2623631674978438E-5</v>
      </c>
      <c r="AP74" s="214">
        <f t="shared" si="15"/>
        <v>3.6885534249128023E-6</v>
      </c>
      <c r="AQ74" s="213">
        <f t="shared" si="16"/>
        <v>6.6581297388046871E-6</v>
      </c>
      <c r="AX74">
        <v>6.1</v>
      </c>
      <c r="AY74" s="2">
        <f t="shared" si="13"/>
        <v>7.5172735280534974E-6</v>
      </c>
      <c r="AZ74" s="2">
        <f t="shared" si="9"/>
        <v>7.5351621681253213E-6</v>
      </c>
      <c r="BA74" s="2">
        <f t="shared" si="10"/>
        <v>2.131662158181471E-5</v>
      </c>
      <c r="BB74" s="2"/>
    </row>
    <row r="75" spans="3:54" x14ac:dyDescent="0.25">
      <c r="C75" s="213">
        <v>0.1</v>
      </c>
      <c r="D75" s="214">
        <f>U81</f>
        <v>5.6613545816733065E-6</v>
      </c>
      <c r="G75">
        <f t="shared" si="22"/>
        <v>313.14999999999998</v>
      </c>
      <c r="H75" s="1">
        <f>O120</f>
        <v>1.03</v>
      </c>
      <c r="I75" s="2"/>
      <c r="J75" s="2"/>
      <c r="K75" s="2"/>
      <c r="L75" s="2"/>
      <c r="M75" s="2"/>
      <c r="N75" s="2"/>
      <c r="O75" s="2"/>
      <c r="P75" s="2">
        <f>V120</f>
        <v>1.1925630810092961E-5</v>
      </c>
      <c r="U75" s="2"/>
      <c r="Y75" s="2">
        <f>P75</f>
        <v>1.1925630810092961E-5</v>
      </c>
      <c r="Z75" s="2"/>
      <c r="AA75" s="2">
        <f t="shared" si="20"/>
        <v>0</v>
      </c>
      <c r="AB75" s="214">
        <f>AB77</f>
        <v>563885.24021417589</v>
      </c>
      <c r="AC75" s="2">
        <f t="shared" si="21"/>
        <v>4.6999838521617828E-7</v>
      </c>
      <c r="AD75" s="11"/>
      <c r="AE75" s="2"/>
      <c r="AG75">
        <v>0</v>
      </c>
      <c r="AH75">
        <f>($AI$71*AG75)/($AH$71+AG75)</f>
        <v>0</v>
      </c>
      <c r="AI75" s="2">
        <f>$AI$71</f>
        <v>9.7549999999999999E-5</v>
      </c>
      <c r="AJ75" s="2">
        <v>9.0710000000000004E-5</v>
      </c>
      <c r="AK75">
        <v>1.0119999999999999E-4</v>
      </c>
      <c r="AN75">
        <v>1.4</v>
      </c>
      <c r="AO75" s="214">
        <f t="shared" si="14"/>
        <v>1.2649949514839447E-5</v>
      </c>
      <c r="AP75" s="214">
        <f t="shared" si="15"/>
        <v>3.6948515540035658E-6</v>
      </c>
      <c r="AQ75" s="213">
        <f t="shared" si="16"/>
        <v>6.65770505955123E-6</v>
      </c>
      <c r="AX75">
        <v>6.2</v>
      </c>
      <c r="AY75" s="2">
        <f t="shared" si="13"/>
        <v>7.5377322740567841E-6</v>
      </c>
      <c r="AZ75" s="2">
        <f t="shared" si="9"/>
        <v>7.5476697832862217E-6</v>
      </c>
      <c r="BA75" s="2">
        <f t="shared" si="10"/>
        <v>2.1444851592642442E-5</v>
      </c>
      <c r="BB75" s="2"/>
    </row>
    <row r="76" spans="3:54" x14ac:dyDescent="0.25">
      <c r="C76">
        <v>0.19</v>
      </c>
      <c r="D76" s="214">
        <f>S82</f>
        <v>7.6494023904382468E-6</v>
      </c>
      <c r="G76">
        <f t="shared" si="22"/>
        <v>313.14999999999998</v>
      </c>
      <c r="H76" s="1">
        <f>O122</f>
        <v>3.09</v>
      </c>
      <c r="I76" s="2"/>
      <c r="J76" s="2"/>
      <c r="K76" s="2"/>
      <c r="L76" s="2"/>
      <c r="M76" s="2"/>
      <c r="N76" s="2"/>
      <c r="O76" s="2"/>
      <c r="P76" s="2">
        <f>V122</f>
        <v>1.2196547144754317E-5</v>
      </c>
      <c r="U76" s="2"/>
      <c r="Y76" s="2">
        <f>P76</f>
        <v>1.2196547144754317E-5</v>
      </c>
      <c r="Z76" s="2"/>
      <c r="AA76" s="2">
        <f t="shared" si="20"/>
        <v>0</v>
      </c>
      <c r="AB76" s="214">
        <f>AB77</f>
        <v>563885.24021417589</v>
      </c>
      <c r="AC76" s="2">
        <f t="shared" si="21"/>
        <v>4.6999838521617828E-7</v>
      </c>
      <c r="AD76" s="11"/>
      <c r="AE76" s="2"/>
      <c r="AG76" s="6">
        <v>0.1</v>
      </c>
      <c r="AH76">
        <f t="shared" ref="AH76:AH139" si="23">($AI$71*AG76)/($AH$71+AG76)</f>
        <v>3.8165101721439755E-5</v>
      </c>
      <c r="AI76" s="2">
        <f t="shared" ref="AI76:AI139" si="24">$AI$71</f>
        <v>9.7549999999999999E-5</v>
      </c>
      <c r="AJ76" s="2">
        <v>9.0710000000000004E-5</v>
      </c>
      <c r="AK76">
        <v>1.0119999999999999E-4</v>
      </c>
      <c r="AN76">
        <v>1.5</v>
      </c>
      <c r="AO76" s="214">
        <f t="shared" si="14"/>
        <v>1.26624717932478E-5</v>
      </c>
      <c r="AP76" s="214">
        <f t="shared" si="15"/>
        <v>3.697283579506438E-6</v>
      </c>
      <c r="AQ76" s="213">
        <f t="shared" si="16"/>
        <v>6.6517406728861146E-6</v>
      </c>
      <c r="AX76">
        <v>6.3</v>
      </c>
      <c r="AY76" s="2">
        <f t="shared" si="13"/>
        <v>7.5579162145165519E-6</v>
      </c>
      <c r="AZ76" s="2">
        <f t="shared" si="9"/>
        <v>7.5598199614203044E-6</v>
      </c>
      <c r="BA76" s="2">
        <f t="shared" si="10"/>
        <v>2.1572358910968772E-5</v>
      </c>
      <c r="BB76" s="2"/>
    </row>
    <row r="77" spans="3:54" x14ac:dyDescent="0.25">
      <c r="C77">
        <v>0.19</v>
      </c>
      <c r="D77" s="214">
        <f>T82</f>
        <v>1.1015936254980079E-5</v>
      </c>
      <c r="G77">
        <f t="shared" si="22"/>
        <v>313.14999999999998</v>
      </c>
      <c r="H77" s="1">
        <f t="shared" ref="H77:H83" si="25">O128</f>
        <v>0.38</v>
      </c>
      <c r="L77" s="2"/>
      <c r="M77" s="2"/>
      <c r="N77" s="2"/>
      <c r="O77" s="2"/>
      <c r="P77" s="2"/>
      <c r="Q77" s="2"/>
      <c r="R77" s="2">
        <f>V128</f>
        <v>9.9442231075697216E-6</v>
      </c>
      <c r="S77" s="2">
        <f>V135</f>
        <v>8.1088977423638778E-6</v>
      </c>
      <c r="T77" s="2">
        <f>V137</f>
        <v>1.2393094289508631E-5</v>
      </c>
      <c r="U77" s="2">
        <f>V142</f>
        <v>9.6387782204515271E-6</v>
      </c>
      <c r="Y77" s="2">
        <f>(R77+S77+T77+U77)/4</f>
        <v>1.0021248339973439E-5</v>
      </c>
      <c r="Z77" s="2">
        <f>SQRT(1/3*((R77-Y77)^2+(S77-Y77)^2+(T77-Y77)^2+(U77-Y77)^2))</f>
        <v>1.7734104897304605E-6</v>
      </c>
      <c r="AA77" s="2">
        <f t="shared" si="20"/>
        <v>8.8670524486523027E-7</v>
      </c>
      <c r="AB77" s="214">
        <f>1/Z77</f>
        <v>563885.24021417589</v>
      </c>
      <c r="AC77" s="2">
        <f t="shared" si="21"/>
        <v>4.6999838521617828E-7</v>
      </c>
      <c r="AD77" s="11"/>
      <c r="AE77" s="2"/>
      <c r="AG77" s="6">
        <v>0.2</v>
      </c>
      <c r="AH77">
        <f t="shared" si="23"/>
        <v>5.4865016872890886E-5</v>
      </c>
      <c r="AI77" s="2">
        <f t="shared" si="24"/>
        <v>9.7549999999999999E-5</v>
      </c>
      <c r="AJ77" s="2">
        <v>9.0710000000000004E-5</v>
      </c>
      <c r="AK77">
        <v>1.0119999999999999E-4</v>
      </c>
      <c r="AN77">
        <v>1.6</v>
      </c>
      <c r="AO77" s="214">
        <f t="shared" si="14"/>
        <v>1.2663720744646962E-5</v>
      </c>
      <c r="AP77" s="214">
        <f t="shared" si="15"/>
        <v>3.6965619503674159E-6</v>
      </c>
      <c r="AQ77" s="213">
        <f t="shared" si="16"/>
        <v>6.6413007299979961E-6</v>
      </c>
      <c r="AX77">
        <v>6.4</v>
      </c>
      <c r="AY77" s="2">
        <f t="shared" ref="AY77:AY108" si="26">($AV$6*AX77)/($AU$6+AX77)+AX77*$AW$6</f>
        <v>7.5778371785232585E-6</v>
      </c>
      <c r="AZ77" s="2">
        <f t="shared" si="9"/>
        <v>7.5716278086919765E-6</v>
      </c>
      <c r="BA77" s="2">
        <f t="shared" si="10"/>
        <v>2.1699174030577082E-5</v>
      </c>
      <c r="BB77" s="2"/>
    </row>
    <row r="78" spans="3:54" x14ac:dyDescent="0.25">
      <c r="C78" s="213">
        <v>0.19</v>
      </c>
      <c r="D78" s="214">
        <f>U82</f>
        <v>8.7211155378486061E-6</v>
      </c>
      <c r="G78">
        <f t="shared" si="22"/>
        <v>313.14999999999998</v>
      </c>
      <c r="H78" s="1">
        <f t="shared" si="25"/>
        <v>0.76</v>
      </c>
      <c r="L78" s="2"/>
      <c r="M78" s="2"/>
      <c r="N78" s="2"/>
      <c r="O78" s="2"/>
      <c r="P78" s="2"/>
      <c r="Q78" s="2"/>
      <c r="R78" s="2">
        <f>V129</f>
        <v>1.2086321381142098E-5</v>
      </c>
      <c r="S78" s="2"/>
      <c r="T78" s="2"/>
      <c r="U78" s="2"/>
      <c r="Y78" s="2">
        <f>R78</f>
        <v>1.2086321381142098E-5</v>
      </c>
      <c r="Z78" s="2"/>
      <c r="AA78" s="2">
        <f t="shared" si="20"/>
        <v>0</v>
      </c>
      <c r="AB78" s="214">
        <f>AB77</f>
        <v>563885.24021417589</v>
      </c>
      <c r="AC78" s="2">
        <f t="shared" si="21"/>
        <v>4.6999838521617828E-7</v>
      </c>
      <c r="AD78" s="11"/>
      <c r="AE78" s="2"/>
      <c r="AG78" s="6">
        <v>0.3</v>
      </c>
      <c r="AH78">
        <f t="shared" si="23"/>
        <v>6.4233977172958726E-5</v>
      </c>
      <c r="AI78" s="2">
        <f t="shared" si="24"/>
        <v>9.7549999999999999E-5</v>
      </c>
      <c r="AJ78" s="2">
        <v>9.0710000000000004E-5</v>
      </c>
      <c r="AK78">
        <v>1.0119999999999999E-4</v>
      </c>
      <c r="AN78">
        <v>1.7</v>
      </c>
      <c r="AO78" s="214">
        <f t="shared" si="14"/>
        <v>1.2655678869602147E-5</v>
      </c>
      <c r="AP78" s="214">
        <f t="shared" si="15"/>
        <v>3.6932458920550293E-6</v>
      </c>
      <c r="AQ78" s="213">
        <f t="shared" si="16"/>
        <v>6.6272150597533125E-6</v>
      </c>
      <c r="AX78">
        <v>6.5</v>
      </c>
      <c r="AY78" s="2">
        <f t="shared" si="26"/>
        <v>7.5975063258550947E-6</v>
      </c>
      <c r="AZ78" s="2">
        <f t="shared" ref="AZ78:AZ113" si="27">($AV$7*AX78)/($AU$7+AX78)</f>
        <v>7.5831075918594144E-6</v>
      </c>
      <c r="BA78" s="2">
        <f t="shared" ref="BA78:BA113" si="28">($AZ$6*AX78)/($AY$6+AX78)+AX78*$BA$6</f>
        <v>2.1825325753477858E-5</v>
      </c>
      <c r="BB78" s="2"/>
    </row>
    <row r="79" spans="3:54" x14ac:dyDescent="0.25">
      <c r="C79">
        <v>0.28999999999999998</v>
      </c>
      <c r="D79" s="214">
        <f>S83</f>
        <v>8.5683930942895088E-6</v>
      </c>
      <c r="G79">
        <f t="shared" si="22"/>
        <v>313.14999999999998</v>
      </c>
      <c r="H79" s="1">
        <f t="shared" si="25"/>
        <v>1.1499999999999999</v>
      </c>
      <c r="L79" s="2"/>
      <c r="M79" s="2"/>
      <c r="N79" s="2"/>
      <c r="O79" s="2"/>
      <c r="P79" s="2"/>
      <c r="Q79" s="2"/>
      <c r="R79" s="2">
        <f>V130</f>
        <v>1.2545816733067729E-5</v>
      </c>
      <c r="S79" s="2"/>
      <c r="T79" s="2"/>
      <c r="U79" s="2"/>
      <c r="Y79" s="2">
        <f>R79</f>
        <v>1.2545816733067729E-5</v>
      </c>
      <c r="Z79" s="2"/>
      <c r="AA79" s="2">
        <f t="shared" si="20"/>
        <v>0</v>
      </c>
      <c r="AB79" s="214">
        <f>AB77</f>
        <v>563885.24021417589</v>
      </c>
      <c r="AC79" s="2">
        <f t="shared" si="21"/>
        <v>4.6999838521617828E-7</v>
      </c>
      <c r="AD79" s="11"/>
      <c r="AE79" s="2"/>
      <c r="AG79">
        <v>0.4</v>
      </c>
      <c r="AH79">
        <f t="shared" si="23"/>
        <v>7.0230381569474446E-5</v>
      </c>
      <c r="AI79" s="2">
        <f t="shared" si="24"/>
        <v>9.7549999999999999E-5</v>
      </c>
      <c r="AJ79" s="2">
        <v>9.0710000000000004E-5</v>
      </c>
      <c r="AK79">
        <v>1.0119999999999999E-4</v>
      </c>
      <c r="AN79">
        <v>1.8</v>
      </c>
      <c r="AO79" s="214">
        <f t="shared" si="14"/>
        <v>1.2639924855996012E-5</v>
      </c>
      <c r="AP79" s="214">
        <f t="shared" si="15"/>
        <v>3.6877801683409877E-6</v>
      </c>
      <c r="AQ79" s="213">
        <f t="shared" si="16"/>
        <v>6.6101397011946282E-6</v>
      </c>
      <c r="AX79">
        <v>6.6</v>
      </c>
      <c r="AY79" s="2">
        <f t="shared" si="26"/>
        <v>7.6169341936563732E-6</v>
      </c>
      <c r="AZ79" s="2">
        <f t="shared" si="27"/>
        <v>7.5942727957799547E-6</v>
      </c>
      <c r="BA79" s="2">
        <f t="shared" si="28"/>
        <v>2.1950841305626617E-5</v>
      </c>
      <c r="BB79" s="2"/>
    </row>
    <row r="80" spans="3:54" x14ac:dyDescent="0.25">
      <c r="C80">
        <v>0.28999999999999998</v>
      </c>
      <c r="D80" s="214">
        <f>U83</f>
        <v>9.4860557768924299E-6</v>
      </c>
      <c r="G80">
        <f t="shared" si="22"/>
        <v>313.14999999999998</v>
      </c>
      <c r="H80" s="1">
        <f t="shared" si="25"/>
        <v>1.53</v>
      </c>
      <c r="L80" s="2"/>
      <c r="M80" s="2"/>
      <c r="N80" s="2"/>
      <c r="O80" s="2"/>
      <c r="P80" s="2"/>
      <c r="Q80" s="2"/>
      <c r="R80" s="2">
        <f>V131</f>
        <v>1.2851261620185921E-5</v>
      </c>
      <c r="S80" s="2"/>
      <c r="T80" s="2"/>
      <c r="U80" s="2"/>
      <c r="Y80" s="2">
        <f>R80</f>
        <v>1.2851261620185921E-5</v>
      </c>
      <c r="Z80" s="2"/>
      <c r="AA80" s="2">
        <f t="shared" si="20"/>
        <v>0</v>
      </c>
      <c r="AB80" s="214">
        <f>AB77</f>
        <v>563885.24021417589</v>
      </c>
      <c r="AC80" s="2">
        <f t="shared" si="21"/>
        <v>4.6999838521617828E-7</v>
      </c>
      <c r="AD80" s="11"/>
      <c r="AE80" s="2"/>
      <c r="AG80" s="6">
        <v>0.5</v>
      </c>
      <c r="AH80">
        <f t="shared" si="23"/>
        <v>7.4397498474679691E-5</v>
      </c>
      <c r="AI80" s="2">
        <f t="shared" si="24"/>
        <v>9.7549999999999999E-5</v>
      </c>
      <c r="AJ80" s="2">
        <v>9.0710000000000004E-5</v>
      </c>
      <c r="AK80">
        <v>1.0119999999999999E-4</v>
      </c>
      <c r="AN80">
        <v>1.9</v>
      </c>
      <c r="AO80" s="214">
        <f t="shared" si="14"/>
        <v>1.2617730435518529E-5</v>
      </c>
      <c r="AP80" s="214">
        <f t="shared" si="15"/>
        <v>3.680522654687806E-6</v>
      </c>
      <c r="AQ80" s="213">
        <f t="shared" si="16"/>
        <v>6.5905996145925619E-6</v>
      </c>
      <c r="AX80">
        <v>6.7</v>
      </c>
      <c r="AY80" s="2">
        <f t="shared" si="26"/>
        <v>7.6361307392632124E-6</v>
      </c>
      <c r="AZ80" s="2">
        <f t="shared" si="27"/>
        <v>7.6051361762519425E-6</v>
      </c>
      <c r="BA80" s="2">
        <f t="shared" si="28"/>
        <v>2.2075746443271839E-5</v>
      </c>
      <c r="BB80" s="2"/>
    </row>
    <row r="81" spans="3:54" x14ac:dyDescent="0.25">
      <c r="C81">
        <v>0.56999999999999995</v>
      </c>
      <c r="D81" s="214">
        <f>T84</f>
        <v>1.2851261620185921E-5</v>
      </c>
      <c r="G81">
        <f t="shared" si="22"/>
        <v>313.14999999999998</v>
      </c>
      <c r="H81" s="1">
        <f t="shared" si="25"/>
        <v>9.5000000000000001E-2</v>
      </c>
      <c r="L81" s="2"/>
      <c r="M81" s="2"/>
      <c r="N81" s="2"/>
      <c r="O81" s="2"/>
      <c r="P81" s="2"/>
      <c r="Q81" s="2"/>
      <c r="R81" s="2"/>
      <c r="S81" s="2">
        <f>V132</f>
        <v>4.7423638778220453E-6</v>
      </c>
      <c r="T81" s="2"/>
      <c r="U81" s="2">
        <f>V139</f>
        <v>5.6613545816733065E-6</v>
      </c>
      <c r="Y81" s="2">
        <f>(S81+U81)/2</f>
        <v>5.2018592297476763E-6</v>
      </c>
      <c r="Z81" s="2">
        <f>SQRT(1/1*((S81-Y81)^2+(U81-Y81)^2))</f>
        <v>6.4982455854062507E-7</v>
      </c>
      <c r="AA81" s="2">
        <f t="shared" si="20"/>
        <v>3.2491227927031254E-7</v>
      </c>
      <c r="AB81" s="214">
        <f>1/Z81</f>
        <v>1538876.8966285274</v>
      </c>
      <c r="AC81" s="2">
        <f t="shared" si="21"/>
        <v>4.6999838521617828E-7</v>
      </c>
      <c r="AD81" s="11"/>
      <c r="AE81" s="2"/>
      <c r="AG81" s="6">
        <v>0.6</v>
      </c>
      <c r="AH81">
        <f t="shared" si="23"/>
        <v>7.7461619904711489E-5</v>
      </c>
      <c r="AI81" s="2">
        <f t="shared" si="24"/>
        <v>9.7549999999999999E-5</v>
      </c>
      <c r="AJ81" s="2">
        <v>9.0710000000000004E-5</v>
      </c>
      <c r="AK81">
        <v>1.0119999999999999E-4</v>
      </c>
      <c r="AN81">
        <v>2</v>
      </c>
      <c r="AO81" s="214">
        <f t="shared" si="14"/>
        <v>1.2590130673679434E-5</v>
      </c>
      <c r="AP81" s="214">
        <f t="shared" si="15"/>
        <v>3.6717643175223078E-6</v>
      </c>
      <c r="AQ81" s="213">
        <f t="shared" si="16"/>
        <v>6.569019405133069E-6</v>
      </c>
      <c r="AX81">
        <v>6.8</v>
      </c>
      <c r="AY81" s="2">
        <f t="shared" si="26"/>
        <v>7.6551053795424322E-6</v>
      </c>
      <c r="AZ81" s="2">
        <f t="shared" si="27"/>
        <v>7.6157098086283923E-6</v>
      </c>
      <c r="BA81" s="2">
        <f t="shared" si="28"/>
        <v>2.220006555080627E-5</v>
      </c>
      <c r="BB81" s="2"/>
    </row>
    <row r="82" spans="3:54" x14ac:dyDescent="0.25">
      <c r="G82">
        <f t="shared" si="22"/>
        <v>313.14999999999998</v>
      </c>
      <c r="H82" s="1">
        <f t="shared" si="25"/>
        <v>0.191</v>
      </c>
      <c r="L82" s="2"/>
      <c r="M82" s="2"/>
      <c r="N82" s="2"/>
      <c r="O82" s="2"/>
      <c r="P82" s="2"/>
      <c r="Q82" s="2"/>
      <c r="R82" s="2"/>
      <c r="S82" s="2">
        <f>V133</f>
        <v>7.6494023904382468E-6</v>
      </c>
      <c r="T82" s="2">
        <f>V136</f>
        <v>1.1015936254980079E-5</v>
      </c>
      <c r="U82" s="2">
        <f>V140</f>
        <v>8.7211155378486061E-6</v>
      </c>
      <c r="Y82" s="2">
        <f>(S82+T82+U82)/3</f>
        <v>9.1288180610889774E-6</v>
      </c>
      <c r="Z82" s="2">
        <f>SQRT(1/2*((S82-Y82)^2+(U82-Y82)^2+(T82-Y82)^2))</f>
        <v>1.7198992923625399E-6</v>
      </c>
      <c r="AA82" s="2">
        <f t="shared" si="20"/>
        <v>8.5994964618126993E-7</v>
      </c>
      <c r="AB82" s="214">
        <f>1/Z82</f>
        <v>581429.39208164322</v>
      </c>
      <c r="AC82" s="2">
        <f t="shared" si="21"/>
        <v>4.6999838521617828E-7</v>
      </c>
      <c r="AD82" s="11"/>
      <c r="AE82" s="2"/>
      <c r="AG82" s="6">
        <v>0.7</v>
      </c>
      <c r="AH82">
        <f t="shared" si="23"/>
        <v>7.9809490416082291E-5</v>
      </c>
      <c r="AI82" s="2">
        <f t="shared" si="24"/>
        <v>9.7549999999999999E-5</v>
      </c>
      <c r="AJ82" s="2">
        <v>9.0710000000000004E-5</v>
      </c>
      <c r="AK82">
        <v>1.0119999999999999E-4</v>
      </c>
      <c r="AN82">
        <v>2.1</v>
      </c>
      <c r="AO82" s="214">
        <f t="shared" si="14"/>
        <v>1.2557975821518671E-5</v>
      </c>
      <c r="AP82" s="214">
        <f t="shared" si="15"/>
        <v>3.6617439319854468E-6</v>
      </c>
      <c r="AQ82" s="213">
        <f t="shared" si="16"/>
        <v>6.5457458081818724E-6</v>
      </c>
      <c r="AX82">
        <v>6.9</v>
      </c>
      <c r="AY82" s="2">
        <f t="shared" si="26"/>
        <v>7.6738670270704471E-6</v>
      </c>
      <c r="AZ82" s="2">
        <f t="shared" si="27"/>
        <v>7.626005132591959E-6</v>
      </c>
      <c r="BA82" s="2">
        <f t="shared" si="28"/>
        <v>2.2323821730903167E-5</v>
      </c>
      <c r="BB82" s="2"/>
    </row>
    <row r="83" spans="3:54" x14ac:dyDescent="0.25">
      <c r="G83">
        <f t="shared" si="22"/>
        <v>313.14999999999998</v>
      </c>
      <c r="H83" s="1">
        <f t="shared" si="25"/>
        <v>0.28599999999999998</v>
      </c>
      <c r="L83" s="2"/>
      <c r="M83" s="2"/>
      <c r="N83" s="2"/>
      <c r="O83" s="2"/>
      <c r="P83" s="2"/>
      <c r="Q83" s="2"/>
      <c r="R83" s="2"/>
      <c r="S83" s="2">
        <f>V134</f>
        <v>8.5683930942895088E-6</v>
      </c>
      <c r="T83" s="2"/>
      <c r="U83" s="2">
        <f>V141</f>
        <v>9.4860557768924299E-6</v>
      </c>
      <c r="Y83" s="2">
        <f>(S83+U83)/2</f>
        <v>9.0272244355909685E-6</v>
      </c>
      <c r="Z83" s="2">
        <f>SQRT(1/1*((S83-Y83)^2+(U83-Y83)^2))</f>
        <v>6.4888550571036395E-7</v>
      </c>
      <c r="AA83" s="2">
        <f t="shared" si="20"/>
        <v>3.2444275285518198E-7</v>
      </c>
      <c r="AB83" s="214">
        <f>1/Z83</f>
        <v>1541103.9254224908</v>
      </c>
      <c r="AC83" s="2">
        <f t="shared" si="21"/>
        <v>4.6999838521617828E-7</v>
      </c>
      <c r="AD83" s="11"/>
      <c r="AE83" s="2"/>
      <c r="AG83">
        <v>0.8</v>
      </c>
      <c r="AH83">
        <f t="shared" si="23"/>
        <v>8.1665969024696529E-5</v>
      </c>
      <c r="AI83" s="2">
        <f t="shared" si="24"/>
        <v>9.7549999999999999E-5</v>
      </c>
      <c r="AJ83" s="2">
        <v>9.0710000000000004E-5</v>
      </c>
      <c r="AK83">
        <v>1.0119999999999999E-4</v>
      </c>
      <c r="AN83">
        <v>2.2000000000000002</v>
      </c>
      <c r="AO83" s="214">
        <f t="shared" si="14"/>
        <v>1.2521970134153093E-5</v>
      </c>
      <c r="AP83" s="214">
        <f t="shared" si="15"/>
        <v>3.65065908636314E-6</v>
      </c>
      <c r="AQ83" s="213">
        <f t="shared" si="16"/>
        <v>6.5210644024696132E-6</v>
      </c>
      <c r="AX83">
        <v>7</v>
      </c>
      <c r="AY83" s="2">
        <f t="shared" si="26"/>
        <v>7.6924241234443948E-6</v>
      </c>
      <c r="AZ83" s="2">
        <f t="shared" si="27"/>
        <v>7.6360329934402801E-6</v>
      </c>
      <c r="BA83" s="2">
        <f t="shared" si="28"/>
        <v>2.2447036887637971E-5</v>
      </c>
      <c r="BB83" s="2"/>
    </row>
    <row r="84" spans="3:54" x14ac:dyDescent="0.25">
      <c r="G84">
        <f t="shared" si="22"/>
        <v>313.14999999999998</v>
      </c>
      <c r="H84" s="1">
        <f>O138</f>
        <v>0.56999999999999995</v>
      </c>
      <c r="L84" s="2"/>
      <c r="M84" s="2"/>
      <c r="N84" s="2"/>
      <c r="O84" s="2"/>
      <c r="P84" s="2"/>
      <c r="Q84" s="2"/>
      <c r="R84" s="2"/>
      <c r="S84" s="2"/>
      <c r="T84" s="2">
        <f>V138</f>
        <v>1.2851261620185921E-5</v>
      </c>
      <c r="U84" s="2"/>
      <c r="Y84" s="2">
        <f>T84</f>
        <v>1.2851261620185921E-5</v>
      </c>
      <c r="Z84" s="2"/>
      <c r="AA84" s="2">
        <f t="shared" si="20"/>
        <v>0</v>
      </c>
      <c r="AB84" s="214">
        <f>AB77</f>
        <v>563885.24021417589</v>
      </c>
      <c r="AC84" s="2">
        <f t="shared" si="21"/>
        <v>4.6999838521617828E-7</v>
      </c>
      <c r="AD84" s="11"/>
      <c r="AE84" s="2"/>
      <c r="AG84" s="6">
        <v>0.9</v>
      </c>
      <c r="AH84">
        <f t="shared" si="23"/>
        <v>8.317070860174307E-5</v>
      </c>
      <c r="AI84" s="2">
        <f t="shared" si="24"/>
        <v>9.7549999999999999E-5</v>
      </c>
      <c r="AJ84" s="2">
        <v>9.0710000000000004E-5</v>
      </c>
      <c r="AK84">
        <v>1.0119999999999999E-4</v>
      </c>
      <c r="AN84">
        <v>2.2999999999999998</v>
      </c>
      <c r="AO84" s="214">
        <f t="shared" si="14"/>
        <v>1.2482701323288633E-5</v>
      </c>
      <c r="AP84" s="214">
        <f t="shared" si="15"/>
        <v>3.6386745217841397E-6</v>
      </c>
      <c r="AQ84" s="213">
        <f t="shared" si="16"/>
        <v>6.4952122083521018E-6</v>
      </c>
      <c r="AX84">
        <v>7.1</v>
      </c>
      <c r="AY84" s="2">
        <f t="shared" si="26"/>
        <v>7.7107846699872221E-6</v>
      </c>
      <c r="AZ84" s="2">
        <f t="shared" si="27"/>
        <v>7.6458036801949094E-6</v>
      </c>
      <c r="BA84" s="2">
        <f t="shared" si="28"/>
        <v>2.2569731803224112E-5</v>
      </c>
      <c r="BB84" s="2"/>
    </row>
    <row r="85" spans="3:54" x14ac:dyDescent="0.25">
      <c r="G85">
        <f>I147</f>
        <v>308.14999999999998</v>
      </c>
      <c r="H85" s="1">
        <f>O147</f>
        <v>9.5000000000000001E-2</v>
      </c>
      <c r="V85" s="2">
        <f>V147</f>
        <v>3.2642762284196544E-6</v>
      </c>
      <c r="Y85" s="2">
        <f>V85</f>
        <v>3.2642762284196544E-6</v>
      </c>
      <c r="Z85" s="2"/>
      <c r="AA85" s="2">
        <f t="shared" ref="AA85:AA92" si="29">Z85/2</f>
        <v>0</v>
      </c>
      <c r="AB85" s="214">
        <f>AB77</f>
        <v>563885.24021417589</v>
      </c>
      <c r="AD85" s="11"/>
      <c r="AE85" s="2"/>
      <c r="AG85" s="6">
        <v>1</v>
      </c>
      <c r="AH85">
        <f t="shared" si="23"/>
        <v>8.4415022499134646E-5</v>
      </c>
      <c r="AI85" s="2">
        <f t="shared" si="24"/>
        <v>9.7549999999999999E-5</v>
      </c>
      <c r="AJ85" s="2">
        <v>9.0710000000000004E-5</v>
      </c>
      <c r="AK85">
        <v>1.0119999999999999E-4</v>
      </c>
      <c r="AN85">
        <v>2.4</v>
      </c>
      <c r="AO85" s="214">
        <f t="shared" si="14"/>
        <v>1.244066317723038E-5</v>
      </c>
      <c r="AP85" s="214">
        <f t="shared" si="15"/>
        <v>3.625928530503234E-6</v>
      </c>
      <c r="AQ85" s="213">
        <f t="shared" si="16"/>
        <v>6.468387306017809E-6</v>
      </c>
      <c r="AX85">
        <v>7.2</v>
      </c>
      <c r="AY85" s="2">
        <f t="shared" si="26"/>
        <v>7.7289562560815512E-6</v>
      </c>
      <c r="AZ85" s="2">
        <f t="shared" si="27"/>
        <v>7.6553269608153443E-6</v>
      </c>
      <c r="BA85" s="2">
        <f t="shared" si="28"/>
        <v>2.2691926208928052E-5</v>
      </c>
      <c r="BB85" s="2"/>
    </row>
    <row r="86" spans="3:54" x14ac:dyDescent="0.25">
      <c r="G86">
        <f>I148</f>
        <v>308.14999999999998</v>
      </c>
      <c r="H86" s="1">
        <f>O148</f>
        <v>0.191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>
        <f>V148</f>
        <v>4.8964143426294818E-6</v>
      </c>
      <c r="W86" s="2"/>
      <c r="Y86" s="2">
        <f>V86</f>
        <v>4.8964143426294818E-6</v>
      </c>
      <c r="Z86" s="2"/>
      <c r="AA86" s="2">
        <f t="shared" si="29"/>
        <v>0</v>
      </c>
      <c r="AB86" s="214">
        <f>AB77</f>
        <v>563885.24021417589</v>
      </c>
      <c r="AD86" s="11"/>
      <c r="AE86" s="2"/>
      <c r="AG86" s="6">
        <v>1.1000000000000001</v>
      </c>
      <c r="AH86">
        <f t="shared" si="23"/>
        <v>8.5461134119146223E-5</v>
      </c>
      <c r="AI86" s="2">
        <f t="shared" si="24"/>
        <v>9.7549999999999999E-5</v>
      </c>
      <c r="AJ86" s="2">
        <v>9.0710000000000004E-5</v>
      </c>
      <c r="AK86">
        <v>1.0119999999999999E-4</v>
      </c>
      <c r="AL86" s="11"/>
      <c r="AM86" s="11"/>
      <c r="AN86">
        <v>2.5</v>
      </c>
      <c r="AO86" s="214">
        <f t="shared" si="14"/>
        <v>1.2396273127881265E-5</v>
      </c>
      <c r="AP86" s="214">
        <f t="shared" si="15"/>
        <v>3.6125379200915385E-6</v>
      </c>
      <c r="AQ86" s="213">
        <f t="shared" si="16"/>
        <v>6.4407562643944302E-6</v>
      </c>
      <c r="AX86">
        <v>7.3</v>
      </c>
      <c r="AY86" s="2">
        <f t="shared" si="26"/>
        <v>7.7469460853432276E-6</v>
      </c>
      <c r="AZ86" s="2">
        <f t="shared" si="27"/>
        <v>7.6646121147715199E-6</v>
      </c>
      <c r="BA86" s="2">
        <f t="shared" si="28"/>
        <v>2.2813638850672294E-5</v>
      </c>
      <c r="BB86" s="2"/>
    </row>
    <row r="87" spans="3:54" x14ac:dyDescent="0.25">
      <c r="G87">
        <f>I149</f>
        <v>308.14999999999998</v>
      </c>
      <c r="H87" s="1">
        <f>O149</f>
        <v>0.28599999999999998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>
        <f>V149</f>
        <v>5.0996015936254978E-6</v>
      </c>
      <c r="W87" s="2"/>
      <c r="Y87" s="2">
        <f>V87</f>
        <v>5.0996015936254978E-6</v>
      </c>
      <c r="Z87" s="2"/>
      <c r="AA87" s="2">
        <f t="shared" si="29"/>
        <v>0</v>
      </c>
      <c r="AB87" s="214">
        <f>AB77</f>
        <v>563885.24021417589</v>
      </c>
      <c r="AD87" s="11"/>
      <c r="AE87" s="2"/>
      <c r="AG87">
        <v>1.2</v>
      </c>
      <c r="AH87">
        <f t="shared" si="23"/>
        <v>8.6352906462083213E-5</v>
      </c>
      <c r="AI87" s="2">
        <f t="shared" si="24"/>
        <v>9.7549999999999999E-5</v>
      </c>
      <c r="AJ87" s="2">
        <v>9.0710000000000004E-5</v>
      </c>
      <c r="AK87">
        <v>1.0119999999999999E-4</v>
      </c>
      <c r="AL87" s="11"/>
      <c r="AM87" s="11"/>
      <c r="AN87">
        <v>2.6</v>
      </c>
      <c r="AO87" s="214">
        <f t="shared" si="14"/>
        <v>1.2349886033594086E-5</v>
      </c>
      <c r="AP87" s="214">
        <f t="shared" si="15"/>
        <v>3.5986019048104698E-6</v>
      </c>
      <c r="AQ87" s="213">
        <f t="shared" si="16"/>
        <v>6.4124599404866153E-6</v>
      </c>
      <c r="AX87">
        <v>7.4</v>
      </c>
      <c r="AY87" s="2">
        <f t="shared" si="26"/>
        <v>7.7647609998243276E-6</v>
      </c>
      <c r="AZ87" s="2">
        <f t="shared" si="27"/>
        <v>7.6736679632030624E-6</v>
      </c>
      <c r="BA87" s="2">
        <f t="shared" si="28"/>
        <v>2.2934887549784831E-5</v>
      </c>
      <c r="BB87" s="2"/>
    </row>
    <row r="88" spans="3:54" x14ac:dyDescent="0.25">
      <c r="G88">
        <f>I150</f>
        <v>308.14999999999998</v>
      </c>
      <c r="H88" s="1">
        <f>O150</f>
        <v>0.38100000000000001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>
        <f>V150</f>
        <v>5.8645418326693225E-6</v>
      </c>
      <c r="W88" s="2"/>
      <c r="Y88" s="2">
        <f>V88</f>
        <v>5.8645418326693225E-6</v>
      </c>
      <c r="Z88" s="2"/>
      <c r="AA88" s="2">
        <f t="shared" si="29"/>
        <v>0</v>
      </c>
      <c r="AB88" s="214">
        <f>AB77</f>
        <v>563885.24021417589</v>
      </c>
      <c r="AD88" s="11"/>
      <c r="AE88" s="2"/>
      <c r="AG88" s="6">
        <v>1.3</v>
      </c>
      <c r="AH88">
        <f t="shared" si="23"/>
        <v>8.7122148942017042E-5</v>
      </c>
      <c r="AI88" s="2">
        <f t="shared" si="24"/>
        <v>9.7549999999999999E-5</v>
      </c>
      <c r="AJ88" s="2">
        <v>9.0710000000000004E-5</v>
      </c>
      <c r="AK88">
        <v>1.0119999999999999E-4</v>
      </c>
      <c r="AL88" s="11"/>
      <c r="AM88" s="11"/>
      <c r="AN88">
        <v>2.7</v>
      </c>
      <c r="AO88" s="214">
        <f t="shared" si="14"/>
        <v>1.2301805095245424E-5</v>
      </c>
      <c r="AP88" s="214">
        <f t="shared" si="15"/>
        <v>3.5842051850553676E-6</v>
      </c>
      <c r="AQ88" s="213">
        <f t="shared" si="16"/>
        <v>6.3836180511103494E-6</v>
      </c>
      <c r="AX88">
        <v>7.5</v>
      </c>
      <c r="AY88" s="2">
        <f t="shared" si="26"/>
        <v>7.7824075024165366E-6</v>
      </c>
      <c r="AZ88" s="2">
        <f t="shared" si="27"/>
        <v>7.6825028968713784E-6</v>
      </c>
      <c r="BA88" s="2">
        <f t="shared" si="28"/>
        <v>2.3055689259308884E-5</v>
      </c>
      <c r="BB88" s="2"/>
    </row>
    <row r="89" spans="3:54" x14ac:dyDescent="0.25">
      <c r="G89">
        <f>I143</f>
        <v>298.14999999999998</v>
      </c>
      <c r="H89" s="1">
        <f>O143</f>
        <v>4.8000000000000001E-2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>
        <f>V143</f>
        <v>7.6494023904382468E-7</v>
      </c>
      <c r="X89" s="11">
        <f>V151</f>
        <v>1.3771580345285525E-6</v>
      </c>
      <c r="Y89" s="2">
        <f>(W89+X89)/2</f>
        <v>1.0710491367861886E-6</v>
      </c>
      <c r="Z89" s="2">
        <f>SQRT(1/1*((W89-Y89)^2+(X89-Y89)^2))</f>
        <v>4.3290335475032996E-7</v>
      </c>
      <c r="AA89" s="2">
        <f t="shared" si="29"/>
        <v>2.1645167737516498E-7</v>
      </c>
      <c r="AB89" s="214">
        <f>1/Z89</f>
        <v>2309984.4088219968</v>
      </c>
      <c r="AD89" s="11"/>
      <c r="AE89" s="2"/>
      <c r="AG89" s="6">
        <v>1.4</v>
      </c>
      <c r="AH89">
        <f t="shared" si="23"/>
        <v>8.779249164309592E-5</v>
      </c>
      <c r="AI89" s="2">
        <f t="shared" si="24"/>
        <v>9.7549999999999999E-5</v>
      </c>
      <c r="AJ89" s="2">
        <v>9.0710000000000004E-5</v>
      </c>
      <c r="AK89">
        <v>1.0119999999999999E-4</v>
      </c>
      <c r="AL89" s="11"/>
      <c r="AM89" s="11"/>
      <c r="AN89">
        <v>2.8</v>
      </c>
      <c r="AO89" s="214">
        <f t="shared" si="14"/>
        <v>1.2252290577277166E-5</v>
      </c>
      <c r="AP89" s="214">
        <f t="shared" si="15"/>
        <v>3.5694204056933819E-6</v>
      </c>
      <c r="AQ89" s="213">
        <f t="shared" si="16"/>
        <v>6.3543328095459799E-6</v>
      </c>
      <c r="AX89">
        <v>7.6</v>
      </c>
      <c r="AY89" s="2">
        <f t="shared" si="26"/>
        <v>7.7998917776091257E-6</v>
      </c>
      <c r="AZ89" s="2">
        <f t="shared" si="27"/>
        <v>7.6911249020907399E-6</v>
      </c>
      <c r="BA89" s="2">
        <f t="shared" si="28"/>
        <v>2.3176060116246887E-5</v>
      </c>
      <c r="BB89" s="2"/>
    </row>
    <row r="90" spans="3:54" x14ac:dyDescent="0.25">
      <c r="G90">
        <f>I144</f>
        <v>298.14999999999998</v>
      </c>
      <c r="H90" s="1">
        <f>O144</f>
        <v>9.5000000000000001E-2</v>
      </c>
      <c r="W90" s="2">
        <f>V144</f>
        <v>9.6892430278884455E-7</v>
      </c>
      <c r="X90" s="11">
        <f>V152</f>
        <v>2.0398406374501991E-6</v>
      </c>
      <c r="Y90" s="2">
        <f>(W90+X90)/2</f>
        <v>1.5043824701195219E-6</v>
      </c>
      <c r="Z90" s="2">
        <f>SQRT(1/1*((W90-Y90)^2+(X90-Y90)^2))</f>
        <v>7.5725220232248596E-7</v>
      </c>
      <c r="AA90" s="2">
        <f t="shared" si="29"/>
        <v>3.7862610116124298E-7</v>
      </c>
      <c r="AB90" s="214">
        <f>1/Z90</f>
        <v>1320564.0035552338</v>
      </c>
      <c r="AD90" s="11"/>
      <c r="AE90" s="2"/>
      <c r="AG90" s="6">
        <v>1.5</v>
      </c>
      <c r="AH90">
        <f t="shared" si="23"/>
        <v>8.8381855520657158E-5</v>
      </c>
      <c r="AI90" s="2">
        <f t="shared" si="24"/>
        <v>9.7549999999999999E-5</v>
      </c>
      <c r="AJ90" s="2">
        <v>9.0710000000000004E-5</v>
      </c>
      <c r="AK90">
        <v>1.0119999999999999E-4</v>
      </c>
      <c r="AN90">
        <v>2.9</v>
      </c>
      <c r="AO90" s="214">
        <f t="shared" si="14"/>
        <v>1.2201566831416315E-5</v>
      </c>
      <c r="AP90" s="214">
        <f t="shared" si="15"/>
        <v>3.5543101345378639E-6</v>
      </c>
      <c r="AQ90" s="213">
        <f t="shared" si="16"/>
        <v>6.3246918426072773E-6</v>
      </c>
      <c r="AX90">
        <v>7.7</v>
      </c>
      <c r="AY90" s="2">
        <f t="shared" si="26"/>
        <v>7.8172197107408032E-6</v>
      </c>
      <c r="AZ90" s="2">
        <f t="shared" si="27"/>
        <v>7.6995415848068105E-6</v>
      </c>
      <c r="BA90" s="2">
        <f t="shared" si="28"/>
        <v>2.3296015490077173E-5</v>
      </c>
      <c r="BB90" s="2"/>
    </row>
    <row r="91" spans="3:54" x14ac:dyDescent="0.25">
      <c r="G91">
        <f>I145</f>
        <v>298.14999999999998</v>
      </c>
      <c r="H91" s="1">
        <f>O145</f>
        <v>0.14299999999999999</v>
      </c>
      <c r="W91" s="2">
        <f>V145</f>
        <v>1.7848605577689242E-6</v>
      </c>
      <c r="X91" s="11">
        <f>V153</f>
        <v>2.2443559096945553E-6</v>
      </c>
      <c r="Y91" s="2">
        <f>(W91+X91)/2</f>
        <v>2.0146082337317398E-6</v>
      </c>
      <c r="Z91" s="2">
        <f>SQRT(1/1*((W91-Y91)^2+(X91-Y91)^2))</f>
        <v>3.249122792703128E-7</v>
      </c>
      <c r="AA91" s="2">
        <f t="shared" si="29"/>
        <v>1.624561396351564E-7</v>
      </c>
      <c r="AB91" s="214">
        <f>1/Z91</f>
        <v>3077753.7932570525</v>
      </c>
      <c r="AD91" s="11"/>
      <c r="AE91" s="2"/>
      <c r="AG91">
        <v>1.6</v>
      </c>
      <c r="AH91">
        <f t="shared" si="23"/>
        <v>8.8904078377762588E-5</v>
      </c>
      <c r="AI91" s="2">
        <f t="shared" si="24"/>
        <v>9.7549999999999999E-5</v>
      </c>
      <c r="AJ91" s="2">
        <v>9.0710000000000004E-5</v>
      </c>
      <c r="AK91">
        <v>1.0119999999999999E-4</v>
      </c>
      <c r="AL91" s="2"/>
      <c r="AM91" s="2"/>
      <c r="AN91">
        <v>3</v>
      </c>
      <c r="AO91" s="214">
        <f t="shared" si="14"/>
        <v>1.2149827995880794E-5</v>
      </c>
      <c r="AP91" s="214">
        <f t="shared" si="15"/>
        <v>3.5389284666562843E-6</v>
      </c>
      <c r="AQ91" s="213">
        <f t="shared" si="16"/>
        <v>6.2947705486881437E-6</v>
      </c>
      <c r="AR91" s="11"/>
      <c r="AX91">
        <v>7.8</v>
      </c>
      <c r="AY91" s="2">
        <f t="shared" si="26"/>
        <v>7.8343969058713877E-6</v>
      </c>
      <c r="AZ91" s="2">
        <f t="shared" si="27"/>
        <v>7.707760192975232E-6</v>
      </c>
      <c r="BA91" s="2">
        <f t="shared" si="28"/>
        <v>2.3415570027849919E-5</v>
      </c>
      <c r="BB91" s="2"/>
    </row>
    <row r="92" spans="3:54" x14ac:dyDescent="0.25">
      <c r="G92">
        <f>I146</f>
        <v>298.14999999999998</v>
      </c>
      <c r="H92" s="1">
        <f>O146</f>
        <v>0.191</v>
      </c>
      <c r="W92" s="2">
        <f>V146</f>
        <v>1.9893758300132804E-6</v>
      </c>
      <c r="X92" s="11">
        <f>V154</f>
        <v>2.754316069057105E-6</v>
      </c>
      <c r="Y92" s="2">
        <f>(W92+X92)/2</f>
        <v>2.3718459495351927E-6</v>
      </c>
      <c r="Z92" s="2">
        <f>SQRT(1/1*((W92-Y92)^2+(X92-Y92)^2))</f>
        <v>5.4089443023034711E-7</v>
      </c>
      <c r="AA92" s="2">
        <f t="shared" si="29"/>
        <v>2.7044721511517356E-7</v>
      </c>
      <c r="AB92" s="214">
        <f>1/Z92</f>
        <v>1848789.6049773274</v>
      </c>
      <c r="AD92" s="11"/>
      <c r="AE92" s="2"/>
      <c r="AG92" s="6">
        <v>1.7</v>
      </c>
      <c r="AH92">
        <f t="shared" si="23"/>
        <v>8.9370015089458945E-5</v>
      </c>
      <c r="AI92" s="2">
        <f t="shared" si="24"/>
        <v>9.7549999999999999E-5</v>
      </c>
      <c r="AJ92" s="2">
        <v>9.0710000000000004E-5</v>
      </c>
      <c r="AK92">
        <v>1.0119999999999999E-4</v>
      </c>
      <c r="AL92" s="2"/>
      <c r="AM92" s="2"/>
      <c r="AN92">
        <v>3.1</v>
      </c>
      <c r="AO92" s="214">
        <f t="shared" si="14"/>
        <v>1.2097242652165367E-5</v>
      </c>
      <c r="AP92" s="214">
        <f t="shared" si="15"/>
        <v>3.5233223344196711E-6</v>
      </c>
      <c r="AQ92" s="213">
        <f t="shared" si="16"/>
        <v>6.2646340176806428E-6</v>
      </c>
      <c r="AR92" s="11"/>
      <c r="AX92">
        <v>7.9</v>
      </c>
      <c r="AY92" s="2">
        <f t="shared" si="26"/>
        <v>7.8514287023874185E-6</v>
      </c>
      <c r="AZ92" s="2">
        <f t="shared" si="27"/>
        <v>7.7157876373786125E-6</v>
      </c>
      <c r="BA92" s="2">
        <f t="shared" si="28"/>
        <v>2.3534737696140494E-5</v>
      </c>
      <c r="BB92" s="2"/>
    </row>
    <row r="93" spans="3:54" x14ac:dyDescent="0.25">
      <c r="AD93" s="11"/>
      <c r="AE93" s="2"/>
      <c r="AG93" s="6">
        <v>1.8</v>
      </c>
      <c r="AH93">
        <f t="shared" si="23"/>
        <v>8.9788300265903045E-5</v>
      </c>
      <c r="AI93" s="2">
        <f t="shared" si="24"/>
        <v>9.7549999999999999E-5</v>
      </c>
      <c r="AJ93" s="2">
        <v>9.0710000000000004E-5</v>
      </c>
      <c r="AK93">
        <v>1.0119999999999999E-4</v>
      </c>
      <c r="AL93" s="2"/>
      <c r="AM93" s="2"/>
      <c r="AN93">
        <v>3.2</v>
      </c>
      <c r="AO93" s="214">
        <f t="shared" ref="AO93:AO124" si="30" xml:space="preserve"> $AP$57*AN93/($AP$58+AN93+AN93*AN93/$AP$59)</f>
        <v>1.2043957654886023E-5</v>
      </c>
      <c r="AP93" s="214">
        <f t="shared" si="15"/>
        <v>3.5075325842814999E-6</v>
      </c>
      <c r="AQ93" s="213">
        <f t="shared" si="16"/>
        <v>6.2343386046845555E-6</v>
      </c>
      <c r="AR93" s="11"/>
      <c r="AX93">
        <v>8</v>
      </c>
      <c r="AY93" s="2">
        <f t="shared" si="26"/>
        <v>7.8683201904450721E-6</v>
      </c>
      <c r="AZ93" s="2">
        <f t="shared" si="27"/>
        <v>7.7236305110076456E-6</v>
      </c>
      <c r="BA93" s="2">
        <f t="shared" si="28"/>
        <v>2.3653531820112747E-5</v>
      </c>
      <c r="BB93" s="2"/>
    </row>
    <row r="94" spans="3:54" x14ac:dyDescent="0.25">
      <c r="AD94" s="11"/>
      <c r="AE94" s="2"/>
      <c r="AG94" s="6">
        <v>1.9</v>
      </c>
      <c r="AH94">
        <f t="shared" si="23"/>
        <v>9.0165888305117711E-5</v>
      </c>
      <c r="AI94" s="2">
        <f t="shared" si="24"/>
        <v>9.7549999999999999E-5</v>
      </c>
      <c r="AJ94" s="2">
        <v>9.0710000000000004E-5</v>
      </c>
      <c r="AK94">
        <v>1.0119999999999999E-4</v>
      </c>
      <c r="AN94">
        <v>3.3</v>
      </c>
      <c r="AO94" s="214">
        <f t="shared" si="30"/>
        <v>1.1990101300734499E-5</v>
      </c>
      <c r="AP94" s="214">
        <f t="shared" si="15"/>
        <v>3.4915948672484634E-6</v>
      </c>
      <c r="AQ94" s="213">
        <f t="shared" si="16"/>
        <v>6.2039332280391717E-6</v>
      </c>
      <c r="AX94">
        <v>8.1</v>
      </c>
      <c r="AY94" s="2">
        <f t="shared" si="26"/>
        <v>7.8850762253443144E-6</v>
      </c>
      <c r="AZ94" s="2">
        <f t="shared" si="27"/>
        <v>7.7312951071205329E-6</v>
      </c>
      <c r="BA94" s="2">
        <f t="shared" si="28"/>
        <v>2.3771965119921908E-5</v>
      </c>
      <c r="BB94" s="2"/>
    </row>
    <row r="95" spans="3:54" x14ac:dyDescent="0.25">
      <c r="AD95" s="11"/>
      <c r="AE95" s="2"/>
      <c r="AG95">
        <v>2</v>
      </c>
      <c r="AH95">
        <f t="shared" si="23"/>
        <v>9.0508443124884017E-5</v>
      </c>
      <c r="AI95" s="2">
        <f t="shared" si="24"/>
        <v>9.7549999999999999E-5</v>
      </c>
      <c r="AJ95" s="2">
        <v>9.0710000000000004E-5</v>
      </c>
      <c r="AK95">
        <v>1.0119999999999999E-4</v>
      </c>
      <c r="AN95">
        <v>3.4</v>
      </c>
      <c r="AO95" s="214">
        <f t="shared" si="30"/>
        <v>1.193578596556622E-5</v>
      </c>
      <c r="AP95" s="214">
        <f t="shared" si="15"/>
        <v>3.4755403795070395E-6</v>
      </c>
      <c r="AQ95" s="213">
        <f t="shared" si="16"/>
        <v>6.1734604462591939E-6</v>
      </c>
      <c r="AX95">
        <v>8.1999999999999993</v>
      </c>
      <c r="AY95" s="2">
        <f t="shared" si="26"/>
        <v>7.9017014409195604E-6</v>
      </c>
      <c r="AZ95" s="2">
        <f t="shared" si="27"/>
        <v>7.7387874360847339E-6</v>
      </c>
      <c r="BA95" s="2">
        <f t="shared" si="28"/>
        <v>2.3890049744666045E-5</v>
      </c>
      <c r="BB95" s="2"/>
    </row>
    <row r="96" spans="3:54" x14ac:dyDescent="0.25">
      <c r="AE96" s="2"/>
      <c r="AG96" s="6">
        <v>2.1</v>
      </c>
      <c r="AH96">
        <f t="shared" si="23"/>
        <v>9.0820624224153217E-5</v>
      </c>
      <c r="AI96" s="2">
        <f t="shared" si="24"/>
        <v>9.7549999999999999E-5</v>
      </c>
      <c r="AJ96" s="2">
        <v>9.0710000000000004E-5</v>
      </c>
      <c r="AK96">
        <v>1.0119999999999999E-4</v>
      </c>
      <c r="AN96">
        <v>3.5</v>
      </c>
      <c r="AO96" s="214">
        <f t="shared" si="30"/>
        <v>1.1881110310653023E-5</v>
      </c>
      <c r="AP96" s="214">
        <f t="shared" si="15"/>
        <v>3.4593964817395692E-6</v>
      </c>
      <c r="AQ96" s="213">
        <f t="shared" si="16"/>
        <v>6.142957356453173E-6</v>
      </c>
      <c r="AX96">
        <v>8.3000000000000007</v>
      </c>
      <c r="AY96" s="2">
        <f t="shared" si="26"/>
        <v>7.9182002620244887E-6</v>
      </c>
      <c r="AZ96" s="2">
        <f t="shared" si="27"/>
        <v>7.7461132410957388E-6</v>
      </c>
      <c r="BA96" s="2">
        <f t="shared" si="28"/>
        <v>2.4007797304076628E-5</v>
      </c>
      <c r="BB96" s="2"/>
    </row>
    <row r="97" spans="6:54" x14ac:dyDescent="0.25">
      <c r="AE97" s="2"/>
      <c r="AG97" s="6">
        <v>2.2000000000000002</v>
      </c>
      <c r="AH97">
        <f t="shared" si="23"/>
        <v>9.1106299881134307E-5</v>
      </c>
      <c r="AI97" s="2">
        <f t="shared" si="24"/>
        <v>9.7549999999999999E-5</v>
      </c>
      <c r="AJ97" s="2">
        <v>9.0710000000000004E-5</v>
      </c>
      <c r="AK97">
        <v>1.0119999999999999E-4</v>
      </c>
      <c r="AN97">
        <v>3.6</v>
      </c>
      <c r="AO97" s="214">
        <f t="shared" si="30"/>
        <v>1.1826161137791068E-5</v>
      </c>
      <c r="AP97" s="214">
        <f t="shared" si="15"/>
        <v>3.4431872196220185E-6</v>
      </c>
      <c r="AQ97" s="213">
        <f t="shared" si="16"/>
        <v>6.1124563476892354E-6</v>
      </c>
      <c r="AX97">
        <v>8.4</v>
      </c>
      <c r="AY97" s="2">
        <f t="shared" si="26"/>
        <v>7.9345769161816843E-6</v>
      </c>
      <c r="AZ97" s="2">
        <f t="shared" si="27"/>
        <v>7.7532780128592635E-6</v>
      </c>
      <c r="BA97" s="2">
        <f t="shared" si="28"/>
        <v>2.4125218898121824E-5</v>
      </c>
      <c r="BB97" s="2"/>
    </row>
    <row r="98" spans="6:54" x14ac:dyDescent="0.25">
      <c r="AE98" s="2"/>
      <c r="AG98" s="6">
        <v>2.2999999999999998</v>
      </c>
      <c r="AH98">
        <f t="shared" si="23"/>
        <v>9.1368708258674037E-5</v>
      </c>
      <c r="AI98" s="2">
        <f t="shared" si="24"/>
        <v>9.7549999999999999E-5</v>
      </c>
      <c r="AJ98" s="2">
        <v>9.0710000000000004E-5</v>
      </c>
      <c r="AK98">
        <v>1.0119999999999999E-4</v>
      </c>
      <c r="AN98">
        <v>3.7</v>
      </c>
      <c r="AO98" s="214">
        <f t="shared" si="30"/>
        <v>1.1771014956553594E-5</v>
      </c>
      <c r="AP98" s="214">
        <f t="shared" si="15"/>
        <v>3.4269337633559367E-6</v>
      </c>
      <c r="AQ98" s="213">
        <f t="shared" si="16"/>
        <v>6.0819857357963253E-6</v>
      </c>
      <c r="AX98">
        <v>8.5</v>
      </c>
      <c r="AY98" s="2">
        <f t="shared" si="26"/>
        <v>7.950835444461597E-6</v>
      </c>
      <c r="AZ98" s="2">
        <f t="shared" si="27"/>
        <v>7.7602870033157599E-6</v>
      </c>
      <c r="BA98" s="2">
        <f t="shared" si="28"/>
        <v>2.4242325144681269E-5</v>
      </c>
      <c r="BB98" s="2"/>
    </row>
    <row r="99" spans="6:54" x14ac:dyDescent="0.25">
      <c r="AE99" s="2"/>
      <c r="AG99">
        <v>2.4</v>
      </c>
      <c r="AH99">
        <f t="shared" si="23"/>
        <v>9.1610580685553284E-5</v>
      </c>
      <c r="AI99" s="2">
        <f t="shared" si="24"/>
        <v>9.7549999999999999E-5</v>
      </c>
      <c r="AJ99" s="2">
        <v>9.0710000000000004E-5</v>
      </c>
      <c r="AK99">
        <v>1.0119999999999999E-4</v>
      </c>
      <c r="AN99">
        <v>3.8</v>
      </c>
      <c r="AO99" s="214">
        <f t="shared" si="30"/>
        <v>1.171573931427886E-5</v>
      </c>
      <c r="AP99" s="214">
        <f t="shared" si="15"/>
        <v>3.4106547804967989E-6</v>
      </c>
      <c r="AQ99" s="213">
        <f t="shared" si="16"/>
        <v>6.0515703007070049E-6</v>
      </c>
      <c r="AX99">
        <v>8.6</v>
      </c>
      <c r="AY99" s="2">
        <f t="shared" si="26"/>
        <v>7.9669797116496157E-6</v>
      </c>
      <c r="AZ99" s="2">
        <f t="shared" si="27"/>
        <v>7.7671452384793263E-6</v>
      </c>
      <c r="BA99" s="2">
        <f t="shared" si="28"/>
        <v>2.4359126205437226E-5</v>
      </c>
      <c r="BB99" s="2"/>
    </row>
    <row r="100" spans="6:54" x14ac:dyDescent="0.25">
      <c r="AC100" s="214"/>
      <c r="AE100" s="2"/>
      <c r="AG100" s="6">
        <v>2.5</v>
      </c>
      <c r="AH100">
        <f t="shared" si="23"/>
        <v>9.183423708389817E-5</v>
      </c>
      <c r="AI100" s="2">
        <f t="shared" si="24"/>
        <v>9.7549999999999999E-5</v>
      </c>
      <c r="AJ100" s="2">
        <v>9.0710000000000004E-5</v>
      </c>
      <c r="AK100">
        <v>1.0119999999999999E-4</v>
      </c>
      <c r="AN100">
        <v>3.9</v>
      </c>
      <c r="AO100" s="214">
        <f t="shared" si="30"/>
        <v>1.1660393929480465E-5</v>
      </c>
      <c r="AP100" s="214">
        <f t="shared" si="15"/>
        <v>3.3943667535429698E-6</v>
      </c>
      <c r="AQ100" s="213">
        <f t="shared" si="16"/>
        <v>6.0212317432651938E-6</v>
      </c>
      <c r="AX100">
        <v>8.6999999999999993</v>
      </c>
      <c r="AY100" s="2">
        <f t="shared" si="26"/>
        <v>7.9830134157550652E-6</v>
      </c>
      <c r="AZ100" s="2">
        <f t="shared" si="27"/>
        <v>7.7738575304569879E-6</v>
      </c>
      <c r="BA100" s="2">
        <f t="shared" si="28"/>
        <v>2.4475631810114879E-5</v>
      </c>
      <c r="BB100" s="2"/>
    </row>
    <row r="101" spans="6:54" ht="15.75" thickBot="1" x14ac:dyDescent="0.3">
      <c r="U101" t="s">
        <v>414</v>
      </c>
      <c r="AC101" s="214"/>
      <c r="AE101" s="2"/>
      <c r="AG101" s="6">
        <v>2.6</v>
      </c>
      <c r="AH101">
        <f t="shared" si="23"/>
        <v>9.2041660618377122E-5</v>
      </c>
      <c r="AI101" s="2">
        <f t="shared" si="24"/>
        <v>9.7549999999999999E-5</v>
      </c>
      <c r="AJ101" s="2">
        <v>9.0710000000000004E-5</v>
      </c>
      <c r="AK101">
        <v>1.0119999999999999E-4</v>
      </c>
      <c r="AN101">
        <v>4</v>
      </c>
      <c r="AO101" s="214">
        <f t="shared" si="30"/>
        <v>1.1605031661592188E-5</v>
      </c>
      <c r="AP101" s="214">
        <f t="shared" si="15"/>
        <v>3.3780842515540549E-6</v>
      </c>
      <c r="AQ101" s="213">
        <f t="shared" si="16"/>
        <v>5.9909890751493965E-6</v>
      </c>
      <c r="AX101">
        <v>8.8000000000000007</v>
      </c>
      <c r="AY101" s="2">
        <f t="shared" si="26"/>
        <v>7.9989400969112215E-6</v>
      </c>
      <c r="AZ101" s="2">
        <f t="shared" si="27"/>
        <v>7.780428488708743E-6</v>
      </c>
      <c r="BA101" s="2">
        <f t="shared" si="28"/>
        <v>2.4591851279193264E-5</v>
      </c>
      <c r="BB101" s="2"/>
    </row>
    <row r="102" spans="6:54" x14ac:dyDescent="0.25">
      <c r="G102" s="51" t="s">
        <v>88</v>
      </c>
      <c r="H102" s="52">
        <v>1</v>
      </c>
      <c r="S102" s="15"/>
      <c r="T102" s="15"/>
      <c r="U102" s="15" t="s">
        <v>101</v>
      </c>
      <c r="V102" s="15" t="s">
        <v>86</v>
      </c>
      <c r="W102" s="15" t="s">
        <v>87</v>
      </c>
      <c r="X102" s="15" t="s">
        <v>87</v>
      </c>
      <c r="AC102" s="214"/>
      <c r="AE102" s="2"/>
      <c r="AG102" s="6">
        <v>2.7</v>
      </c>
      <c r="AH102">
        <f t="shared" si="23"/>
        <v>9.2234556660596726E-5</v>
      </c>
      <c r="AI102" s="2">
        <f t="shared" si="24"/>
        <v>9.7549999999999999E-5</v>
      </c>
      <c r="AJ102" s="2">
        <v>9.0710000000000004E-5</v>
      </c>
      <c r="AK102">
        <v>1.0119999999999999E-4</v>
      </c>
      <c r="AN102">
        <v>4.0999999999999996</v>
      </c>
      <c r="AO102" s="214">
        <f t="shared" si="30"/>
        <v>1.1549699343816727E-5</v>
      </c>
      <c r="AP102" s="214">
        <f t="shared" si="15"/>
        <v>3.3618201633338472E-6</v>
      </c>
      <c r="AQ102" s="213">
        <f t="shared" si="16"/>
        <v>5.9608589529840339E-6</v>
      </c>
      <c r="AX102">
        <v>8.9</v>
      </c>
      <c r="AY102" s="2">
        <f t="shared" si="26"/>
        <v>8.0147631457114479E-6</v>
      </c>
      <c r="AZ102" s="2">
        <f t="shared" si="27"/>
        <v>7.7868625306037398E-6</v>
      </c>
      <c r="BA102" s="2">
        <f t="shared" si="28"/>
        <v>2.4707793545198186E-5</v>
      </c>
      <c r="BB102" s="2"/>
    </row>
    <row r="103" spans="6:54" ht="15.75" thickBot="1" x14ac:dyDescent="0.3">
      <c r="F103" t="s">
        <v>419</v>
      </c>
      <c r="G103" s="54" t="s">
        <v>4</v>
      </c>
      <c r="H103" s="54" t="s">
        <v>80</v>
      </c>
      <c r="I103" s="54" t="s">
        <v>93</v>
      </c>
      <c r="J103" s="54" t="s">
        <v>82</v>
      </c>
      <c r="K103" s="54" t="s">
        <v>2</v>
      </c>
      <c r="L103" s="54" t="s">
        <v>89</v>
      </c>
      <c r="M103" s="54" t="s">
        <v>79</v>
      </c>
      <c r="N103" s="15" t="s">
        <v>94</v>
      </c>
      <c r="O103" s="54" t="s">
        <v>21</v>
      </c>
      <c r="P103" s="54" t="s">
        <v>1</v>
      </c>
      <c r="Q103" s="54" t="s">
        <v>45</v>
      </c>
      <c r="R103" s="54" t="s">
        <v>16</v>
      </c>
      <c r="S103" s="54" t="s">
        <v>17</v>
      </c>
      <c r="T103" s="54" t="s">
        <v>18</v>
      </c>
      <c r="U103" s="54" t="s">
        <v>11</v>
      </c>
      <c r="V103" s="54" t="s">
        <v>13</v>
      </c>
      <c r="W103" s="54" t="s">
        <v>95</v>
      </c>
      <c r="X103" s="54" t="s">
        <v>99</v>
      </c>
      <c r="AC103" s="214"/>
      <c r="AE103" s="2"/>
      <c r="AG103">
        <v>2.8</v>
      </c>
      <c r="AH103">
        <f t="shared" si="23"/>
        <v>9.241439978346191E-5</v>
      </c>
      <c r="AI103" s="2">
        <f t="shared" si="24"/>
        <v>9.7549999999999999E-5</v>
      </c>
      <c r="AJ103" s="2">
        <v>9.0710000000000004E-5</v>
      </c>
      <c r="AK103">
        <v>1.0119999999999999E-4</v>
      </c>
      <c r="AN103">
        <v>4.2</v>
      </c>
      <c r="AO103" s="214">
        <f t="shared" si="30"/>
        <v>1.1494438500964852E-5</v>
      </c>
      <c r="AP103" s="214">
        <f t="shared" si="15"/>
        <v>3.3455858983357661E-6</v>
      </c>
      <c r="AQ103" s="213">
        <f t="shared" si="16"/>
        <v>5.9308559656685805E-6</v>
      </c>
      <c r="AX103">
        <v>9</v>
      </c>
      <c r="AY103" s="2">
        <f t="shared" si="26"/>
        <v>8.0304858110226352E-6</v>
      </c>
      <c r="AZ103" s="2">
        <f t="shared" si="27"/>
        <v>7.7931638913234012E-6</v>
      </c>
      <c r="BA103" s="2">
        <f t="shared" si="28"/>
        <v>2.482346717267943E-5</v>
      </c>
      <c r="BB103" s="2"/>
    </row>
    <row r="104" spans="6:54" x14ac:dyDescent="0.25">
      <c r="F104" t="s">
        <v>418</v>
      </c>
      <c r="G104" s="40" t="s">
        <v>20</v>
      </c>
      <c r="H104" s="40" t="s">
        <v>81</v>
      </c>
      <c r="I104" s="40">
        <f>40+273.15</f>
        <v>313.14999999999998</v>
      </c>
      <c r="J104" s="41">
        <v>0.08</v>
      </c>
      <c r="K104" s="62">
        <v>7</v>
      </c>
      <c r="L104" s="41">
        <v>0.12620000000000001</v>
      </c>
      <c r="M104" s="41">
        <v>0.17230000000000001</v>
      </c>
      <c r="N104" s="19">
        <f t="shared" ref="N104:N135" si="31">10^(-(1.824*10^6)/(78.54*I104)^(3/2))*SQRT(M104)</f>
        <v>0.13971818266839847</v>
      </c>
      <c r="O104" s="42">
        <v>2.06</v>
      </c>
      <c r="P104" s="40">
        <v>82.5</v>
      </c>
      <c r="Q104" s="42">
        <v>0</v>
      </c>
      <c r="R104" s="53">
        <v>0.18179999999999999</v>
      </c>
      <c r="S104" s="43">
        <v>2204</v>
      </c>
      <c r="T104" s="44">
        <f>R104/S104</f>
        <v>8.248638838475499E-5</v>
      </c>
      <c r="U104" s="41">
        <v>8.7739999999999997E-5</v>
      </c>
      <c r="V104" s="44">
        <f>U104/($C$3)</f>
        <v>1.1652058432934926E-5</v>
      </c>
      <c r="W104" s="44">
        <f>T104/(N104*P104*$C$3)</f>
        <v>9.5034312193098849E-7</v>
      </c>
      <c r="X104" s="45">
        <f>W104*P104</f>
        <v>7.8403307559306556E-5</v>
      </c>
      <c r="AC104" s="214"/>
      <c r="AE104" s="2"/>
      <c r="AG104" s="6">
        <v>2.9</v>
      </c>
      <c r="AH104">
        <f t="shared" si="23"/>
        <v>9.2582471527686853E-5</v>
      </c>
      <c r="AI104" s="2">
        <f t="shared" si="24"/>
        <v>9.7549999999999999E-5</v>
      </c>
      <c r="AJ104" s="2">
        <v>9.0710000000000004E-5</v>
      </c>
      <c r="AK104">
        <v>1.0119999999999999E-4</v>
      </c>
      <c r="AN104">
        <v>4.3</v>
      </c>
      <c r="AO104" s="214">
        <f t="shared" si="30"/>
        <v>1.1439285970267923E-5</v>
      </c>
      <c r="AP104" s="214">
        <f t="shared" si="15"/>
        <v>3.3293915603482167E-6</v>
      </c>
      <c r="AQ104" s="213">
        <f t="shared" si="16"/>
        <v>5.9009928823254607E-6</v>
      </c>
      <c r="AX104">
        <v>9.1</v>
      </c>
      <c r="AY104" s="2">
        <f t="shared" si="26"/>
        <v>8.0461112073137948E-6</v>
      </c>
      <c r="AZ104" s="2">
        <f t="shared" si="27"/>
        <v>7.7993366331581362E-6</v>
      </c>
      <c r="BA104" s="2">
        <f t="shared" si="28"/>
        <v>2.4938880376966126E-5</v>
      </c>
      <c r="BB104" s="2"/>
    </row>
    <row r="105" spans="6:54" x14ac:dyDescent="0.25">
      <c r="F105" t="s">
        <v>418</v>
      </c>
      <c r="G105" s="46" t="s">
        <v>20</v>
      </c>
      <c r="H105" s="46" t="s">
        <v>81</v>
      </c>
      <c r="I105" s="40">
        <f t="shared" ref="I105:I142" si="32">40+273.15</f>
        <v>313.14999999999998</v>
      </c>
      <c r="J105" s="47">
        <v>7.0000000000000007E-2</v>
      </c>
      <c r="K105" s="171">
        <v>7</v>
      </c>
      <c r="L105" s="47">
        <v>0.1104</v>
      </c>
      <c r="M105" s="47">
        <v>0.15079999999999999</v>
      </c>
      <c r="N105" s="19">
        <f t="shared" si="31"/>
        <v>0.13071064572502614</v>
      </c>
      <c r="O105" s="48">
        <v>4.13</v>
      </c>
      <c r="P105" s="46">
        <v>82.5</v>
      </c>
      <c r="Q105" s="48">
        <v>0</v>
      </c>
      <c r="R105" s="46">
        <v>0.27029999999999998</v>
      </c>
      <c r="S105" s="49">
        <v>3205</v>
      </c>
      <c r="T105" s="50">
        <f t="shared" ref="T105:T135" si="33">R105/S105</f>
        <v>8.4336973478939156E-5</v>
      </c>
      <c r="U105" s="47">
        <v>9.1160000000000001E-5</v>
      </c>
      <c r="V105" s="44">
        <f>U105/($C$3)</f>
        <v>1.2106241699867198E-5</v>
      </c>
      <c r="W105" s="44">
        <f t="shared" ref="W105:W140" si="34">T105/(N105*P105*$C$3)</f>
        <v>1.0386234574522796E-6</v>
      </c>
      <c r="X105" s="45">
        <f t="shared" ref="X105:X140" si="35">W105*P105</f>
        <v>8.5686435239813068E-5</v>
      </c>
      <c r="AC105" s="214"/>
      <c r="AD105" s="11"/>
      <c r="AE105" s="2"/>
      <c r="AG105" s="6">
        <v>3</v>
      </c>
      <c r="AH105">
        <f t="shared" si="23"/>
        <v>9.2739890987450873E-5</v>
      </c>
      <c r="AI105" s="2">
        <f t="shared" si="24"/>
        <v>9.7549999999999999E-5</v>
      </c>
      <c r="AJ105" s="2">
        <v>9.0710000000000004E-5</v>
      </c>
      <c r="AK105">
        <v>1.0119999999999999E-4</v>
      </c>
      <c r="AN105">
        <v>4.4000000000000004</v>
      </c>
      <c r="AO105" s="214">
        <f t="shared" si="30"/>
        <v>1.1384274440009119E-5</v>
      </c>
      <c r="AP105" s="214">
        <f t="shared" si="15"/>
        <v>3.3132460981331172E-6</v>
      </c>
      <c r="AQ105" s="213">
        <f t="shared" si="16"/>
        <v>5.8712808669620734E-6</v>
      </c>
      <c r="AX105">
        <v>9.1999999999999993</v>
      </c>
      <c r="AY105" s="2">
        <f t="shared" si="26"/>
        <v>8.0616423215345868E-6</v>
      </c>
      <c r="AZ105" s="2">
        <f t="shared" si="27"/>
        <v>7.8053846542405416E-6</v>
      </c>
      <c r="BA105" s="2">
        <f t="shared" si="28"/>
        <v>2.5054041041786497E-5</v>
      </c>
      <c r="BB105" s="2"/>
    </row>
    <row r="106" spans="6:54" x14ac:dyDescent="0.25">
      <c r="F106" t="s">
        <v>418</v>
      </c>
      <c r="G106" s="46" t="s">
        <v>20</v>
      </c>
      <c r="H106" s="46" t="s">
        <v>81</v>
      </c>
      <c r="I106" s="40">
        <f t="shared" si="32"/>
        <v>313.14999999999998</v>
      </c>
      <c r="J106" s="47">
        <v>0.06</v>
      </c>
      <c r="K106" s="171">
        <v>7</v>
      </c>
      <c r="L106" s="47">
        <v>9.4630000000000006E-2</v>
      </c>
      <c r="M106" s="47">
        <v>0.1293</v>
      </c>
      <c r="N106" s="19">
        <f t="shared" si="31"/>
        <v>0.1210346034964655</v>
      </c>
      <c r="O106" s="48">
        <v>6.19</v>
      </c>
      <c r="P106" s="46">
        <v>82.5</v>
      </c>
      <c r="Q106" s="48">
        <v>0</v>
      </c>
      <c r="R106" s="46">
        <v>0.30940000000000001</v>
      </c>
      <c r="S106" s="49">
        <v>3822</v>
      </c>
      <c r="T106" s="50">
        <f t="shared" si="33"/>
        <v>8.0952380952380949E-5</v>
      </c>
      <c r="U106" s="47">
        <v>8.2860000000000003E-5</v>
      </c>
      <c r="V106" s="44">
        <f t="shared" ref="V106:V140" si="36">U106/($C$3)</f>
        <v>1.1003984063745019E-5</v>
      </c>
      <c r="W106" s="44">
        <f t="shared" si="34"/>
        <v>1.0766415844606308E-6</v>
      </c>
      <c r="X106" s="45">
        <f t="shared" si="35"/>
        <v>8.8822930718002042E-5</v>
      </c>
      <c r="AC106" s="214"/>
      <c r="AD106" s="11"/>
      <c r="AE106" s="2"/>
      <c r="AG106" s="6">
        <v>3.1</v>
      </c>
      <c r="AH106">
        <f t="shared" si="23"/>
        <v>9.2887639759184167E-5</v>
      </c>
      <c r="AI106" s="2">
        <f t="shared" si="24"/>
        <v>9.7549999999999999E-5</v>
      </c>
      <c r="AJ106" s="2">
        <v>9.0710000000000004E-5</v>
      </c>
      <c r="AK106">
        <v>1.0119999999999999E-4</v>
      </c>
      <c r="AN106">
        <v>4.5</v>
      </c>
      <c r="AO106" s="214">
        <f t="shared" si="30"/>
        <v>1.1329432918283449E-5</v>
      </c>
      <c r="AP106" s="214">
        <f t="shared" si="15"/>
        <v>3.2971574364768022E-6</v>
      </c>
      <c r="AQ106" s="213">
        <f t="shared" si="16"/>
        <v>5.8417296648900888E-6</v>
      </c>
      <c r="AX106">
        <v>9.3000000000000007</v>
      </c>
      <c r="AY106" s="2">
        <f t="shared" si="26"/>
        <v>8.0770820195756582E-6</v>
      </c>
      <c r="AZ106" s="2">
        <f t="shared" si="27"/>
        <v>7.8113116967545142E-6</v>
      </c>
      <c r="BA106" s="2">
        <f t="shared" si="28"/>
        <v>2.516895673583153E-5</v>
      </c>
      <c r="BB106" s="2"/>
    </row>
    <row r="107" spans="6:54" ht="15.75" thickBot="1" x14ac:dyDescent="0.3">
      <c r="F107" t="s">
        <v>418</v>
      </c>
      <c r="G107" s="55" t="s">
        <v>20</v>
      </c>
      <c r="H107" s="55" t="s">
        <v>81</v>
      </c>
      <c r="I107" s="55">
        <f t="shared" si="32"/>
        <v>313.14999999999998</v>
      </c>
      <c r="J107" s="56">
        <v>0.05</v>
      </c>
      <c r="K107" s="63">
        <v>7</v>
      </c>
      <c r="L107" s="56">
        <v>7.8850000000000003E-2</v>
      </c>
      <c r="M107" s="56">
        <v>0.1077</v>
      </c>
      <c r="N107" s="19">
        <f t="shared" si="31"/>
        <v>0.11046333248943327</v>
      </c>
      <c r="O107" s="57">
        <v>8.25</v>
      </c>
      <c r="P107" s="55">
        <v>82.5</v>
      </c>
      <c r="Q107" s="57">
        <v>0</v>
      </c>
      <c r="R107" s="55">
        <v>0.34949999999999998</v>
      </c>
      <c r="S107" s="58">
        <v>5426</v>
      </c>
      <c r="T107" s="59">
        <f t="shared" si="33"/>
        <v>6.4412089937338738E-5</v>
      </c>
      <c r="U107" s="56">
        <v>5.9729999999999999E-5</v>
      </c>
      <c r="V107" s="44">
        <f t="shared" si="36"/>
        <v>7.9322709163346604E-6</v>
      </c>
      <c r="W107" s="44">
        <f t="shared" si="34"/>
        <v>9.3864273887971362E-7</v>
      </c>
      <c r="X107" s="45">
        <f t="shared" si="35"/>
        <v>7.7438025957576379E-5</v>
      </c>
      <c r="AC107" s="214"/>
      <c r="AD107" s="11"/>
      <c r="AE107" s="2"/>
      <c r="AG107">
        <v>3.2</v>
      </c>
      <c r="AH107">
        <f t="shared" si="23"/>
        <v>9.3026582429371794E-5</v>
      </c>
      <c r="AI107" s="2">
        <f t="shared" si="24"/>
        <v>9.7549999999999999E-5</v>
      </c>
      <c r="AJ107" s="2">
        <v>9.0710000000000004E-5</v>
      </c>
      <c r="AK107">
        <v>1.0119999999999999E-4</v>
      </c>
      <c r="AN107">
        <v>4.5999999999999996</v>
      </c>
      <c r="AO107" s="214">
        <f t="shared" si="30"/>
        <v>1.127478714213809E-5</v>
      </c>
      <c r="AP107" s="214">
        <f t="shared" si="15"/>
        <v>3.2811325905329079E-6</v>
      </c>
      <c r="AQ107" s="213">
        <f t="shared" si="16"/>
        <v>5.8123477650927566E-6</v>
      </c>
      <c r="AX107">
        <v>9.4</v>
      </c>
      <c r="AY107" s="2">
        <f t="shared" si="26"/>
        <v>8.0924330523401607E-6</v>
      </c>
      <c r="AZ107" s="2">
        <f t="shared" si="27"/>
        <v>7.8171213546566329E-6</v>
      </c>
      <c r="BA107" s="2">
        <f t="shared" si="28"/>
        <v>2.5283634728335594E-5</v>
      </c>
      <c r="BB107" s="2"/>
    </row>
    <row r="108" spans="6:54" x14ac:dyDescent="0.25">
      <c r="F108" t="s">
        <v>418</v>
      </c>
      <c r="G108" s="14" t="s">
        <v>22</v>
      </c>
      <c r="H108" s="14" t="s">
        <v>81</v>
      </c>
      <c r="I108" s="40">
        <f t="shared" si="32"/>
        <v>313.14999999999998</v>
      </c>
      <c r="J108" s="41">
        <v>0.08</v>
      </c>
      <c r="K108" s="33">
        <v>7</v>
      </c>
      <c r="L108" s="41">
        <v>0.12620000000000001</v>
      </c>
      <c r="M108" s="41">
        <v>0.17230000000000001</v>
      </c>
      <c r="N108" s="19">
        <f t="shared" si="31"/>
        <v>0.13971818266839847</v>
      </c>
      <c r="O108" s="36">
        <v>2.06</v>
      </c>
      <c r="P108" s="14">
        <v>82.5</v>
      </c>
      <c r="Q108" s="36">
        <v>0</v>
      </c>
      <c r="R108" s="14">
        <v>0.1643</v>
      </c>
      <c r="S108" s="37">
        <v>1668</v>
      </c>
      <c r="T108" s="39">
        <f t="shared" si="33"/>
        <v>9.8501199040767386E-5</v>
      </c>
      <c r="U108" s="41">
        <v>9.1840000000000002E-5</v>
      </c>
      <c r="V108" s="44">
        <f t="shared" si="36"/>
        <v>1.2196547144754317E-5</v>
      </c>
      <c r="W108" s="44">
        <f t="shared" si="34"/>
        <v>1.1348531417536208E-6</v>
      </c>
      <c r="X108" s="45">
        <f t="shared" si="35"/>
        <v>9.3625384194673714E-5</v>
      </c>
      <c r="AC108" s="214"/>
      <c r="AD108" s="11"/>
      <c r="AE108" s="2"/>
      <c r="AG108" s="6">
        <v>3.3</v>
      </c>
      <c r="AH108">
        <f t="shared" si="23"/>
        <v>9.3157483505035301E-5</v>
      </c>
      <c r="AI108" s="2">
        <f t="shared" si="24"/>
        <v>9.7549999999999999E-5</v>
      </c>
      <c r="AJ108" s="2">
        <v>9.0710000000000004E-5</v>
      </c>
      <c r="AK108">
        <v>1.0119999999999999E-4</v>
      </c>
      <c r="AN108">
        <v>4.7</v>
      </c>
      <c r="AO108" s="214">
        <f t="shared" si="30"/>
        <v>1.1220359935665146E-5</v>
      </c>
      <c r="AP108" s="214">
        <f t="shared" si="15"/>
        <v>3.2651777658642466E-6</v>
      </c>
      <c r="AQ108" s="213">
        <f t="shared" si="16"/>
        <v>5.7831425420373043E-6</v>
      </c>
      <c r="AX108">
        <v>9.5</v>
      </c>
      <c r="AY108" s="2">
        <f t="shared" si="26"/>
        <v>8.1076980614535124E-6</v>
      </c>
      <c r="AZ108" s="2">
        <f t="shared" si="27"/>
        <v>7.8228170809432771E-6</v>
      </c>
      <c r="BA108" s="2">
        <f t="shared" si="28"/>
        <v>2.5398082003741467E-5</v>
      </c>
      <c r="BB108" s="2"/>
    </row>
    <row r="109" spans="6:54" x14ac:dyDescent="0.25">
      <c r="F109" t="s">
        <v>418</v>
      </c>
      <c r="G109" s="14" t="s">
        <v>22</v>
      </c>
      <c r="H109" s="14" t="s">
        <v>81</v>
      </c>
      <c r="I109" s="40">
        <f t="shared" si="32"/>
        <v>313.14999999999998</v>
      </c>
      <c r="J109" s="47">
        <v>7.0000000000000007E-2</v>
      </c>
      <c r="K109" s="33">
        <v>7</v>
      </c>
      <c r="L109" s="47">
        <v>0.1104</v>
      </c>
      <c r="M109" s="47">
        <v>0.15079999999999999</v>
      </c>
      <c r="N109" s="19">
        <f t="shared" si="31"/>
        <v>0.13071064572502614</v>
      </c>
      <c r="O109" s="36">
        <v>4.13</v>
      </c>
      <c r="P109" s="14">
        <v>82.5</v>
      </c>
      <c r="Q109" s="36">
        <v>0</v>
      </c>
      <c r="R109" s="14">
        <v>0.21740000000000001</v>
      </c>
      <c r="S109" s="37">
        <v>2211</v>
      </c>
      <c r="T109" s="39">
        <f t="shared" si="33"/>
        <v>9.8326549072817737E-5</v>
      </c>
      <c r="U109" s="21">
        <v>8.776E-5</v>
      </c>
      <c r="V109" s="44">
        <f t="shared" si="36"/>
        <v>1.1654714475431606E-5</v>
      </c>
      <c r="W109" s="44">
        <f t="shared" si="34"/>
        <v>1.2109073416401873E-6</v>
      </c>
      <c r="X109" s="45">
        <f t="shared" si="35"/>
        <v>9.9899855685315451E-5</v>
      </c>
      <c r="AC109" s="214"/>
      <c r="AD109" s="11"/>
      <c r="AE109" s="2"/>
      <c r="AG109" s="6">
        <v>3.4</v>
      </c>
      <c r="AH109">
        <f t="shared" si="23"/>
        <v>9.3281021487231404E-5</v>
      </c>
      <c r="AI109" s="2">
        <f t="shared" si="24"/>
        <v>9.7549999999999999E-5</v>
      </c>
      <c r="AJ109" s="2">
        <v>9.0710000000000004E-5</v>
      </c>
      <c r="AK109">
        <v>1.0119999999999999E-4</v>
      </c>
      <c r="AN109">
        <v>4.8</v>
      </c>
      <c r="AO109" s="214">
        <f t="shared" si="30"/>
        <v>1.1166171524242547E-5</v>
      </c>
      <c r="AP109" s="214">
        <f t="shared" si="15"/>
        <v>3.2492984462034857E-6</v>
      </c>
      <c r="AQ109" s="213">
        <f t="shared" si="16"/>
        <v>5.7541203798621788E-6</v>
      </c>
      <c r="AX109">
        <v>9.6</v>
      </c>
      <c r="AY109" s="2">
        <f>($AV$6*AX109)/($AU$6+AX109)+AX109*$AW$6</f>
        <v>8.1228795846362609E-6</v>
      </c>
      <c r="AZ109" s="2">
        <f t="shared" si="27"/>
        <v>7.8284021944943449E-6</v>
      </c>
      <c r="BA109" s="2">
        <f t="shared" si="28"/>
        <v>2.5512305275511889E-5</v>
      </c>
      <c r="BB109" s="2"/>
    </row>
    <row r="110" spans="6:54" x14ac:dyDescent="0.25">
      <c r="F110" t="s">
        <v>418</v>
      </c>
      <c r="G110" s="14" t="s">
        <v>22</v>
      </c>
      <c r="H110" s="14" t="s">
        <v>81</v>
      </c>
      <c r="I110" s="40">
        <f t="shared" si="32"/>
        <v>313.14999999999998</v>
      </c>
      <c r="J110" s="47">
        <v>0.06</v>
      </c>
      <c r="K110" s="33">
        <v>7</v>
      </c>
      <c r="L110" s="47">
        <v>9.4630000000000006E-2</v>
      </c>
      <c r="M110" s="47">
        <v>0.1293</v>
      </c>
      <c r="N110" s="19">
        <f t="shared" si="31"/>
        <v>0.1210346034964655</v>
      </c>
      <c r="O110" s="36">
        <v>6.19</v>
      </c>
      <c r="P110" s="14">
        <v>82.5</v>
      </c>
      <c r="Q110" s="36">
        <v>0</v>
      </c>
      <c r="R110" s="14">
        <v>0.27110000000000001</v>
      </c>
      <c r="S110" s="37">
        <v>2736</v>
      </c>
      <c r="T110" s="39">
        <f t="shared" si="33"/>
        <v>9.9086257309941522E-5</v>
      </c>
      <c r="U110" s="21">
        <v>9.1840000000000002E-5</v>
      </c>
      <c r="V110" s="44">
        <f t="shared" si="36"/>
        <v>1.2196547144754317E-5</v>
      </c>
      <c r="W110" s="44">
        <f t="shared" si="34"/>
        <v>1.3178165214337842E-6</v>
      </c>
      <c r="X110" s="45">
        <f t="shared" si="35"/>
        <v>1.0871986301828719E-4</v>
      </c>
      <c r="AC110" s="214"/>
      <c r="AD110" s="11"/>
      <c r="AE110" s="2"/>
      <c r="AG110" s="6">
        <v>3.5</v>
      </c>
      <c r="AH110">
        <f t="shared" si="23"/>
        <v>9.3397800634642745E-5</v>
      </c>
      <c r="AI110" s="2">
        <f t="shared" si="24"/>
        <v>9.7549999999999999E-5</v>
      </c>
      <c r="AJ110" s="2">
        <v>9.0710000000000004E-5</v>
      </c>
      <c r="AK110">
        <v>1.0119999999999999E-4</v>
      </c>
      <c r="AN110">
        <v>4.9000000000000004</v>
      </c>
      <c r="AO110" s="214">
        <f t="shared" si="30"/>
        <v>1.1112239810986051E-5</v>
      </c>
      <c r="AP110" s="214">
        <f t="shared" si="15"/>
        <v>3.2334994706339017E-6</v>
      </c>
      <c r="AQ110" s="213">
        <f t="shared" si="16"/>
        <v>5.7252867814030025E-6</v>
      </c>
      <c r="AX110">
        <v>9.6999999999999993</v>
      </c>
      <c r="AY110" s="2">
        <f>($AV$6*AX110)/($AU$6+AX110)+AX110*$AW$6</f>
        <v>8.1379800607630428E-6</v>
      </c>
      <c r="AZ110" s="2">
        <f t="shared" si="27"/>
        <v>7.8338798865220948E-6</v>
      </c>
      <c r="BA110" s="2">
        <f t="shared" si="28"/>
        <v>2.5626310999145045E-5</v>
      </c>
      <c r="BB110" s="2"/>
    </row>
    <row r="111" spans="6:54" ht="15.75" thickBot="1" x14ac:dyDescent="0.3">
      <c r="F111" t="s">
        <v>418</v>
      </c>
      <c r="G111" s="55" t="s">
        <v>22</v>
      </c>
      <c r="H111" s="55" t="s">
        <v>81</v>
      </c>
      <c r="I111" s="55">
        <f t="shared" si="32"/>
        <v>313.14999999999998</v>
      </c>
      <c r="J111" s="56">
        <v>0.05</v>
      </c>
      <c r="K111" s="63">
        <v>7</v>
      </c>
      <c r="L111" s="56">
        <v>7.8850000000000003E-2</v>
      </c>
      <c r="M111" s="56">
        <v>0.1077</v>
      </c>
      <c r="N111" s="19">
        <f t="shared" si="31"/>
        <v>0.11046333248943327</v>
      </c>
      <c r="O111" s="57">
        <v>8.25</v>
      </c>
      <c r="P111" s="55">
        <v>82.5</v>
      </c>
      <c r="Q111" s="57">
        <v>0</v>
      </c>
      <c r="R111" s="55">
        <v>0.36470000000000002</v>
      </c>
      <c r="S111" s="58">
        <v>4265</v>
      </c>
      <c r="T111" s="59">
        <f t="shared" si="33"/>
        <v>8.5509964830011726E-5</v>
      </c>
      <c r="U111" s="56">
        <v>7.347E-5</v>
      </c>
      <c r="V111" s="44">
        <f t="shared" si="36"/>
        <v>9.7569721115537851E-6</v>
      </c>
      <c r="W111" s="44">
        <f t="shared" si="34"/>
        <v>1.2460907209753915E-6</v>
      </c>
      <c r="X111" s="45">
        <f t="shared" si="35"/>
        <v>1.028024844804698E-4</v>
      </c>
      <c r="AC111" s="214"/>
      <c r="AD111" s="11"/>
      <c r="AE111" s="2"/>
      <c r="AG111">
        <v>3.6</v>
      </c>
      <c r="AH111">
        <f t="shared" si="23"/>
        <v>9.3508360847800601E-5</v>
      </c>
      <c r="AI111" s="2">
        <f t="shared" si="24"/>
        <v>9.7549999999999999E-5</v>
      </c>
      <c r="AJ111" s="2">
        <v>9.0710000000000004E-5</v>
      </c>
      <c r="AK111">
        <v>1.0119999999999999E-4</v>
      </c>
      <c r="AN111">
        <v>5</v>
      </c>
      <c r="AO111" s="214">
        <f t="shared" si="30"/>
        <v>1.1058580620539051E-5</v>
      </c>
      <c r="AP111" s="214">
        <f t="shared" si="15"/>
        <v>3.2177851016283057E-6</v>
      </c>
      <c r="AQ111" s="213">
        <f t="shared" si="16"/>
        <v>5.6966464641368414E-6</v>
      </c>
      <c r="AX111">
        <v>9.8000000000000007</v>
      </c>
      <c r="AY111" s="2">
        <f>($AV$6*AX111)/($AU$6+AX111)+AX111*$AW$6</f>
        <v>8.1530018346288112E-6</v>
      </c>
      <c r="AZ111" s="2">
        <f t="shared" si="27"/>
        <v>7.8392532266514268E-6</v>
      </c>
      <c r="BA111" s="2">
        <f t="shared" si="28"/>
        <v>2.574010538444705E-5</v>
      </c>
      <c r="BB111" s="2"/>
    </row>
    <row r="112" spans="6:54" x14ac:dyDescent="0.25">
      <c r="F112" t="s">
        <v>418</v>
      </c>
      <c r="G112" s="40" t="s">
        <v>23</v>
      </c>
      <c r="H112" s="40" t="s">
        <v>81</v>
      </c>
      <c r="I112" s="40">
        <f t="shared" si="32"/>
        <v>313.14999999999998</v>
      </c>
      <c r="J112" s="41">
        <v>0.08</v>
      </c>
      <c r="K112" s="62">
        <v>7</v>
      </c>
      <c r="L112" s="41">
        <v>0.12620000000000001</v>
      </c>
      <c r="M112" s="41">
        <v>0.17230000000000001</v>
      </c>
      <c r="N112" s="19">
        <f t="shared" si="31"/>
        <v>0.13971818266839847</v>
      </c>
      <c r="O112" s="42">
        <v>2.06</v>
      </c>
      <c r="P112" s="40">
        <v>82.5</v>
      </c>
      <c r="Q112" s="42">
        <v>0</v>
      </c>
      <c r="R112" s="40">
        <v>0.1341</v>
      </c>
      <c r="S112" s="43">
        <v>1492</v>
      </c>
      <c r="T112" s="44">
        <f t="shared" si="33"/>
        <v>8.9879356568364608E-5</v>
      </c>
      <c r="U112" s="41">
        <v>8.776E-5</v>
      </c>
      <c r="V112" s="44">
        <f t="shared" si="36"/>
        <v>1.1654714475431606E-5</v>
      </c>
      <c r="W112" s="44">
        <f t="shared" si="34"/>
        <v>1.0355190715819317E-6</v>
      </c>
      <c r="X112" s="45">
        <f t="shared" si="35"/>
        <v>8.5430323405509363E-5</v>
      </c>
      <c r="AC112" s="214"/>
      <c r="AD112" s="11"/>
      <c r="AE112" s="2"/>
      <c r="AG112" s="6">
        <v>3.7</v>
      </c>
      <c r="AH112">
        <f t="shared" si="23"/>
        <v>9.3613186015146794E-5</v>
      </c>
      <c r="AI112" s="2">
        <f t="shared" si="24"/>
        <v>9.7549999999999999E-5</v>
      </c>
      <c r="AJ112" s="2">
        <v>9.0710000000000004E-5</v>
      </c>
      <c r="AK112">
        <v>1.0119999999999999E-4</v>
      </c>
      <c r="AN112">
        <v>5.0999999999999996</v>
      </c>
      <c r="AO112" s="214">
        <f t="shared" si="30"/>
        <v>1.1005207914550071E-5</v>
      </c>
      <c r="AP112" s="214">
        <f t="shared" si="15"/>
        <v>3.202159085165964E-6</v>
      </c>
      <c r="AQ112" s="213">
        <f t="shared" si="16"/>
        <v>5.6682034448062132E-6</v>
      </c>
      <c r="AX112">
        <v>9.9</v>
      </c>
      <c r="AY112" s="2">
        <f>($AV$6*AX112)/($AU$6+AX112)+AX112*$AW$6</f>
        <v>8.167947161441917E-6</v>
      </c>
      <c r="AZ112" s="2">
        <f t="shared" si="27"/>
        <v>7.844525168655943E-6</v>
      </c>
      <c r="BA112" s="2">
        <f t="shared" si="28"/>
        <v>2.5853694407110343E-5</v>
      </c>
      <c r="BB112" s="2"/>
    </row>
    <row r="113" spans="6:54" x14ac:dyDescent="0.25">
      <c r="F113" t="s">
        <v>418</v>
      </c>
      <c r="G113" s="14" t="s">
        <v>23</v>
      </c>
      <c r="H113" s="14" t="s">
        <v>81</v>
      </c>
      <c r="I113" s="40">
        <f t="shared" si="32"/>
        <v>313.14999999999998</v>
      </c>
      <c r="J113" s="47">
        <v>7.0000000000000007E-2</v>
      </c>
      <c r="K113" s="33">
        <v>7</v>
      </c>
      <c r="L113" s="47">
        <v>0.1104</v>
      </c>
      <c r="M113" s="47">
        <v>0.15079999999999999</v>
      </c>
      <c r="N113" s="19">
        <f t="shared" si="31"/>
        <v>0.13071064572502614</v>
      </c>
      <c r="O113" s="36">
        <v>4.13</v>
      </c>
      <c r="P113" s="14">
        <v>82.5</v>
      </c>
      <c r="Q113" s="36">
        <v>0</v>
      </c>
      <c r="R113" s="14">
        <v>0.31309999999999999</v>
      </c>
      <c r="S113" s="37">
        <v>140500</v>
      </c>
      <c r="T113" s="39">
        <f t="shared" si="33"/>
        <v>2.2284697508896795E-6</v>
      </c>
      <c r="U113" s="21">
        <v>4.0820000000000001E-6</v>
      </c>
      <c r="V113" s="44">
        <f t="shared" si="36"/>
        <v>5.4209827357237717E-7</v>
      </c>
      <c r="W113" s="44">
        <f t="shared" si="34"/>
        <v>2.7443965108314589E-8</v>
      </c>
      <c r="X113" s="45">
        <f t="shared" si="35"/>
        <v>2.2641271214359535E-6</v>
      </c>
      <c r="AC113" s="214"/>
      <c r="AD113" s="11"/>
      <c r="AE113" s="2"/>
      <c r="AG113" s="6">
        <v>3.8</v>
      </c>
      <c r="AH113">
        <f t="shared" si="23"/>
        <v>9.3712711093133771E-5</v>
      </c>
      <c r="AI113" s="2">
        <f t="shared" si="24"/>
        <v>9.7549999999999999E-5</v>
      </c>
      <c r="AJ113" s="2">
        <v>9.0710000000000004E-5</v>
      </c>
      <c r="AK113">
        <v>1.0119999999999999E-4</v>
      </c>
      <c r="AN113">
        <v>5.2</v>
      </c>
      <c r="AO113" s="214">
        <f t="shared" si="30"/>
        <v>1.095213398254088E-5</v>
      </c>
      <c r="AP113" s="214">
        <f t="shared" si="15"/>
        <v>3.1866247039655672E-6</v>
      </c>
      <c r="AQ113" s="213">
        <f t="shared" si="16"/>
        <v>5.6399611142196394E-6</v>
      </c>
      <c r="AX113">
        <v>10</v>
      </c>
      <c r="AY113" s="2">
        <f>($AV$6*AX113)/($AU$6+AX113)+AX113*$AW$6</f>
        <v>8.182818211062123E-6</v>
      </c>
      <c r="AZ113" s="2">
        <f t="shared" si="27"/>
        <v>7.8496985558723189E-6</v>
      </c>
      <c r="BA113" s="2">
        <f t="shared" si="28"/>
        <v>2.5967083819643511E-5</v>
      </c>
      <c r="BB113" s="2"/>
    </row>
    <row r="114" spans="6:54" x14ac:dyDescent="0.25">
      <c r="F114" t="s">
        <v>418</v>
      </c>
      <c r="G114" s="14" t="s">
        <v>23</v>
      </c>
      <c r="H114" s="14" t="s">
        <v>81</v>
      </c>
      <c r="I114" s="40">
        <f t="shared" si="32"/>
        <v>313.14999999999998</v>
      </c>
      <c r="J114" s="47">
        <v>0.06</v>
      </c>
      <c r="K114" s="33">
        <v>7</v>
      </c>
      <c r="L114" s="47">
        <v>9.4630000000000006E-2</v>
      </c>
      <c r="M114" s="47">
        <v>0.1293</v>
      </c>
      <c r="N114" s="19">
        <f t="shared" si="31"/>
        <v>0.1210346034964655</v>
      </c>
      <c r="O114" s="36">
        <v>6.19</v>
      </c>
      <c r="P114" s="14">
        <v>82.5</v>
      </c>
      <c r="Q114" s="36">
        <v>0</v>
      </c>
      <c r="R114" s="14">
        <v>0.26690000000000003</v>
      </c>
      <c r="S114" s="37">
        <v>3303</v>
      </c>
      <c r="T114" s="39">
        <f t="shared" si="33"/>
        <v>8.0805328489252207E-5</v>
      </c>
      <c r="U114" s="21">
        <v>8.1630000000000003E-5</v>
      </c>
      <c r="V114" s="44">
        <f t="shared" si="36"/>
        <v>1.0840637450199203E-5</v>
      </c>
      <c r="W114" s="44">
        <f t="shared" si="34"/>
        <v>1.0746858322636091E-6</v>
      </c>
      <c r="X114" s="45">
        <f t="shared" si="35"/>
        <v>8.8661581161747751E-5</v>
      </c>
      <c r="AC114" t="s">
        <v>78</v>
      </c>
      <c r="AD114" s="11"/>
      <c r="AE114" s="2"/>
      <c r="AG114" s="6">
        <v>3.9</v>
      </c>
      <c r="AH114">
        <f t="shared" si="23"/>
        <v>9.3807328138869705E-5</v>
      </c>
      <c r="AI114" s="2">
        <f t="shared" si="24"/>
        <v>9.7549999999999999E-5</v>
      </c>
      <c r="AJ114" s="2">
        <v>9.0710000000000004E-5</v>
      </c>
      <c r="AK114">
        <v>1.0119999999999999E-4</v>
      </c>
      <c r="AN114">
        <v>5.3</v>
      </c>
      <c r="AO114" s="214">
        <f t="shared" si="30"/>
        <v>1.0899369611327267E-5</v>
      </c>
      <c r="AP114" s="214">
        <f t="shared" si="15"/>
        <v>3.1711848247204509E-6</v>
      </c>
      <c r="AQ114" s="213">
        <f t="shared" si="16"/>
        <v>5.6119223035049389E-6</v>
      </c>
      <c r="AZ114" s="2"/>
      <c r="BA114" s="2"/>
      <c r="BB114" s="2"/>
    </row>
    <row r="115" spans="6:54" ht="15.75" thickBot="1" x14ac:dyDescent="0.3">
      <c r="F115" t="s">
        <v>418</v>
      </c>
      <c r="G115" s="55" t="s">
        <v>23</v>
      </c>
      <c r="H115" s="55" t="s">
        <v>81</v>
      </c>
      <c r="I115" s="55">
        <f t="shared" si="32"/>
        <v>313.14999999999998</v>
      </c>
      <c r="J115" s="56">
        <v>0.05</v>
      </c>
      <c r="K115" s="63">
        <v>7</v>
      </c>
      <c r="L115" s="56">
        <v>7.8850000000000003E-2</v>
      </c>
      <c r="M115" s="56">
        <v>0.1077</v>
      </c>
      <c r="N115" s="19">
        <f t="shared" si="31"/>
        <v>0.11046333248943327</v>
      </c>
      <c r="O115" s="57">
        <v>8.25</v>
      </c>
      <c r="P115" s="55">
        <v>82.5</v>
      </c>
      <c r="Q115" s="57">
        <v>0</v>
      </c>
      <c r="R115" s="55">
        <v>0.40029999999999999</v>
      </c>
      <c r="S115" s="58">
        <v>26890</v>
      </c>
      <c r="T115" s="59">
        <f t="shared" si="33"/>
        <v>1.4886574934920044E-5</v>
      </c>
      <c r="U115" s="56">
        <v>8.1629999999999996E-6</v>
      </c>
      <c r="V115" s="44">
        <f t="shared" si="36"/>
        <v>1.0840637450199203E-6</v>
      </c>
      <c r="W115" s="44">
        <f t="shared" si="34"/>
        <v>2.1693404891915176E-7</v>
      </c>
      <c r="X115" s="45">
        <f t="shared" si="35"/>
        <v>1.7897059035830018E-5</v>
      </c>
      <c r="AD115" s="11"/>
      <c r="AE115" s="2"/>
      <c r="AG115">
        <v>4</v>
      </c>
      <c r="AH115">
        <f t="shared" si="23"/>
        <v>9.3897391471748964E-5</v>
      </c>
      <c r="AI115" s="2">
        <f t="shared" si="24"/>
        <v>9.7549999999999999E-5</v>
      </c>
      <c r="AJ115" s="2">
        <v>9.0710000000000004E-5</v>
      </c>
      <c r="AK115">
        <v>1.0119999999999999E-4</v>
      </c>
      <c r="AN115">
        <v>5.4</v>
      </c>
      <c r="AO115" s="214">
        <f t="shared" si="30"/>
        <v>1.0846924235700833E-5</v>
      </c>
      <c r="AP115" s="214">
        <f t="shared" si="15"/>
        <v>3.1558419400948952E-6</v>
      </c>
      <c r="AQ115" s="213">
        <f t="shared" si="16"/>
        <v>5.5840893429065109E-6</v>
      </c>
      <c r="AZ115" s="2"/>
      <c r="BA115" s="2"/>
      <c r="BB115" s="2"/>
    </row>
    <row r="116" spans="6:54" x14ac:dyDescent="0.25">
      <c r="F116" t="s">
        <v>420</v>
      </c>
      <c r="G116" s="40" t="s">
        <v>24</v>
      </c>
      <c r="H116" s="40" t="s">
        <v>81</v>
      </c>
      <c r="I116" s="40">
        <f t="shared" si="32"/>
        <v>313.14999999999998</v>
      </c>
      <c r="J116" s="41">
        <v>7.4999999999999997E-2</v>
      </c>
      <c r="K116" s="62">
        <v>7</v>
      </c>
      <c r="L116" s="41">
        <v>0.1183</v>
      </c>
      <c r="M116" s="41">
        <v>0.15079999999999999</v>
      </c>
      <c r="N116" s="19">
        <f t="shared" si="31"/>
        <v>0.13071064572502614</v>
      </c>
      <c r="O116" s="42">
        <v>4.13</v>
      </c>
      <c r="P116" s="40">
        <v>82.5</v>
      </c>
      <c r="Q116" s="42">
        <v>0</v>
      </c>
      <c r="R116" s="40">
        <v>1.246</v>
      </c>
      <c r="S116" s="43">
        <v>15400</v>
      </c>
      <c r="T116" s="44">
        <f t="shared" si="33"/>
        <v>8.0909090909090904E-5</v>
      </c>
      <c r="U116" s="41">
        <v>8.4720000000000002E-5</v>
      </c>
      <c r="V116" s="44">
        <f t="shared" si="36"/>
        <v>1.1250996015936254E-5</v>
      </c>
      <c r="W116" s="44">
        <f t="shared" si="34"/>
        <v>9.9640852965047411E-7</v>
      </c>
      <c r="X116" s="45">
        <f t="shared" si="35"/>
        <v>8.2203703696164109E-5</v>
      </c>
      <c r="AD116" s="11"/>
      <c r="AE116" s="2"/>
      <c r="AG116" s="6">
        <v>4.0999999999999996</v>
      </c>
      <c r="AH116">
        <f t="shared" si="23"/>
        <v>9.3983222107340926E-5</v>
      </c>
      <c r="AI116" s="2">
        <f t="shared" si="24"/>
        <v>9.7549999999999999E-5</v>
      </c>
      <c r="AJ116" s="2">
        <v>9.0710000000000004E-5</v>
      </c>
      <c r="AK116">
        <v>1.0119999999999999E-4</v>
      </c>
      <c r="AN116">
        <v>5.5</v>
      </c>
      <c r="AO116" s="214">
        <f t="shared" si="30"/>
        <v>1.079480607269837E-5</v>
      </c>
      <c r="AP116" s="214">
        <f t="shared" si="15"/>
        <v>3.1405982061331672E-6</v>
      </c>
      <c r="AQ116" s="213">
        <f t="shared" si="16"/>
        <v>5.5564641140626357E-6</v>
      </c>
      <c r="AZ116" s="2"/>
      <c r="BA116" s="2"/>
      <c r="BB116" s="2"/>
    </row>
    <row r="117" spans="6:54" x14ac:dyDescent="0.25">
      <c r="F117" t="s">
        <v>420</v>
      </c>
      <c r="G117" s="14" t="s">
        <v>24</v>
      </c>
      <c r="H117" s="14" t="s">
        <v>81</v>
      </c>
      <c r="I117" s="40">
        <f t="shared" si="32"/>
        <v>313.14999999999998</v>
      </c>
      <c r="J117" s="21">
        <v>7.4999999999999997E-2</v>
      </c>
      <c r="K117" s="33">
        <v>7</v>
      </c>
      <c r="L117" s="41">
        <v>0.1183</v>
      </c>
      <c r="M117" s="41">
        <v>0.15079999999999999</v>
      </c>
      <c r="N117" s="19">
        <f t="shared" si="31"/>
        <v>0.13071064572502614</v>
      </c>
      <c r="O117" s="36">
        <v>4.13</v>
      </c>
      <c r="P117" s="14">
        <v>82.5</v>
      </c>
      <c r="Q117" s="36">
        <v>0</v>
      </c>
      <c r="R117" s="14">
        <v>1.8460000000000001</v>
      </c>
      <c r="S117" s="37">
        <v>21080</v>
      </c>
      <c r="T117" s="39">
        <f t="shared" si="33"/>
        <v>8.7571157495256168E-5</v>
      </c>
      <c r="U117" s="21">
        <v>8.6580000000000001E-5</v>
      </c>
      <c r="V117" s="44">
        <f t="shared" si="36"/>
        <v>1.1498007968127489E-5</v>
      </c>
      <c r="W117" s="44">
        <f t="shared" si="34"/>
        <v>1.0784529562651924E-6</v>
      </c>
      <c r="X117" s="45">
        <f t="shared" si="35"/>
        <v>8.8972368891878376E-5</v>
      </c>
      <c r="AD117" s="11"/>
      <c r="AE117" s="2"/>
      <c r="AG117" s="6">
        <v>4.2</v>
      </c>
      <c r="AH117">
        <f t="shared" si="23"/>
        <v>9.4065111580494086E-5</v>
      </c>
      <c r="AI117" s="2">
        <f t="shared" si="24"/>
        <v>9.7549999999999999E-5</v>
      </c>
      <c r="AJ117" s="2">
        <v>9.0710000000000004E-5</v>
      </c>
      <c r="AK117">
        <v>1.0119999999999999E-4</v>
      </c>
      <c r="AN117">
        <v>5.6</v>
      </c>
      <c r="AO117" s="214">
        <f t="shared" si="30"/>
        <v>1.0743022241462888E-5</v>
      </c>
      <c r="AP117" s="214">
        <f t="shared" si="15"/>
        <v>3.1254554756425163E-6</v>
      </c>
      <c r="AQ117" s="213">
        <f t="shared" si="16"/>
        <v>5.5290480965678406E-6</v>
      </c>
      <c r="AZ117" s="2"/>
      <c r="BA117" s="2"/>
      <c r="BB117" s="2"/>
    </row>
    <row r="118" spans="6:54" x14ac:dyDescent="0.25">
      <c r="F118" t="s">
        <v>420</v>
      </c>
      <c r="G118" s="14" t="s">
        <v>24</v>
      </c>
      <c r="H118" s="14" t="s">
        <v>81</v>
      </c>
      <c r="I118" s="40">
        <f t="shared" si="32"/>
        <v>313.14999999999998</v>
      </c>
      <c r="J118" s="21">
        <v>7.4999999999999997E-2</v>
      </c>
      <c r="K118" s="33">
        <v>7</v>
      </c>
      <c r="L118" s="41">
        <v>0.1183</v>
      </c>
      <c r="M118" s="41">
        <v>0.15079999999999999</v>
      </c>
      <c r="N118" s="19">
        <f t="shared" si="31"/>
        <v>0.13071064572502614</v>
      </c>
      <c r="O118" s="36">
        <v>4.13</v>
      </c>
      <c r="P118" s="14">
        <v>82.5</v>
      </c>
      <c r="Q118" s="36">
        <v>0</v>
      </c>
      <c r="R118" s="14">
        <v>1.8939999999999999</v>
      </c>
      <c r="S118" s="37">
        <v>21660</v>
      </c>
      <c r="T118" s="39">
        <f t="shared" si="33"/>
        <v>8.7442289935364719E-5</v>
      </c>
      <c r="U118" s="21">
        <v>8.6700000000000007E-5</v>
      </c>
      <c r="V118" s="44">
        <f t="shared" si="36"/>
        <v>1.1513944223107571E-5</v>
      </c>
      <c r="W118" s="44">
        <f t="shared" si="34"/>
        <v>1.0768659314398195E-6</v>
      </c>
      <c r="X118" s="45">
        <f t="shared" si="35"/>
        <v>8.8841439343785106E-5</v>
      </c>
      <c r="AD118" s="11"/>
      <c r="AE118" s="2"/>
      <c r="AG118" s="6">
        <v>4.3</v>
      </c>
      <c r="AH118">
        <f t="shared" si="23"/>
        <v>9.414332525361344E-5</v>
      </c>
      <c r="AI118" s="2">
        <f t="shared" si="24"/>
        <v>9.7549999999999999E-5</v>
      </c>
      <c r="AJ118" s="2">
        <v>9.0710000000000004E-5</v>
      </c>
      <c r="AK118">
        <v>1.0119999999999999E-4</v>
      </c>
      <c r="AN118">
        <v>5.7</v>
      </c>
      <c r="AO118" s="214">
        <f t="shared" si="30"/>
        <v>1.0691578870427315E-5</v>
      </c>
      <c r="AP118" s="214">
        <f t="shared" si="15"/>
        <v>3.1104153280347241E-6</v>
      </c>
      <c r="AQ118" s="213">
        <f t="shared" si="16"/>
        <v>5.5018424095146941E-6</v>
      </c>
      <c r="AZ118" s="2"/>
      <c r="BA118" s="2"/>
      <c r="BB118" s="2"/>
    </row>
    <row r="119" spans="6:54" ht="15.75" thickBot="1" x14ac:dyDescent="0.3">
      <c r="F119" t="s">
        <v>420</v>
      </c>
      <c r="G119" s="55" t="s">
        <v>24</v>
      </c>
      <c r="H119" s="55" t="s">
        <v>81</v>
      </c>
      <c r="I119" s="55">
        <f t="shared" si="32"/>
        <v>313.14999999999998</v>
      </c>
      <c r="J119" s="56">
        <v>7.4999999999999997E-2</v>
      </c>
      <c r="K119" s="63">
        <v>7</v>
      </c>
      <c r="L119" s="56">
        <v>0.1183</v>
      </c>
      <c r="M119" s="56">
        <v>0.15079999999999999</v>
      </c>
      <c r="N119" s="19">
        <f t="shared" si="31"/>
        <v>0.13071064572502614</v>
      </c>
      <c r="O119" s="57">
        <v>4.13</v>
      </c>
      <c r="P119" s="55">
        <v>82.5</v>
      </c>
      <c r="Q119" s="57">
        <v>0</v>
      </c>
      <c r="R119" s="55">
        <v>1.7450000000000001</v>
      </c>
      <c r="S119" s="58">
        <v>20380</v>
      </c>
      <c r="T119" s="59">
        <f t="shared" si="33"/>
        <v>8.5623159960745838E-5</v>
      </c>
      <c r="U119" s="56">
        <v>7.9779999999999998E-5</v>
      </c>
      <c r="V119" s="44">
        <f t="shared" si="36"/>
        <v>1.0594953519256307E-5</v>
      </c>
      <c r="W119" s="44">
        <f t="shared" si="34"/>
        <v>1.0544630518265789E-6</v>
      </c>
      <c r="X119" s="45">
        <f t="shared" si="35"/>
        <v>8.6993201775692765E-5</v>
      </c>
      <c r="AD119" s="11"/>
      <c r="AE119" s="2"/>
      <c r="AG119">
        <v>4.4000000000000004</v>
      </c>
      <c r="AH119">
        <f t="shared" si="23"/>
        <v>9.4218105189217672E-5</v>
      </c>
      <c r="AI119" s="2">
        <f t="shared" si="24"/>
        <v>9.7549999999999999E-5</v>
      </c>
      <c r="AJ119" s="2">
        <v>9.0710000000000004E-5</v>
      </c>
      <c r="AK119">
        <v>1.0119999999999999E-4</v>
      </c>
      <c r="AN119">
        <v>5.8</v>
      </c>
      <c r="AO119" s="214">
        <f t="shared" si="30"/>
        <v>1.0640481193319806E-5</v>
      </c>
      <c r="AP119" s="214">
        <f t="shared" si="15"/>
        <v>3.0954790960457612E-6</v>
      </c>
      <c r="AQ119" s="213">
        <f t="shared" si="16"/>
        <v>5.4748478486154427E-6</v>
      </c>
      <c r="AZ119" s="2"/>
      <c r="BA119" s="2"/>
      <c r="BB119" s="2"/>
    </row>
    <row r="120" spans="6:54" x14ac:dyDescent="0.25">
      <c r="F120" t="s">
        <v>418</v>
      </c>
      <c r="G120" s="40" t="s">
        <v>25</v>
      </c>
      <c r="H120" s="40" t="s">
        <v>81</v>
      </c>
      <c r="I120" s="40">
        <f t="shared" si="32"/>
        <v>313.14999999999998</v>
      </c>
      <c r="J120" s="41">
        <v>0.9</v>
      </c>
      <c r="K120" s="62">
        <v>7</v>
      </c>
      <c r="L120" s="41">
        <v>0.1419</v>
      </c>
      <c r="M120" s="41">
        <v>0.19389999999999999</v>
      </c>
      <c r="N120" s="19">
        <f t="shared" si="31"/>
        <v>0.14821740109391845</v>
      </c>
      <c r="O120" s="42">
        <v>1.03</v>
      </c>
      <c r="P120" s="40">
        <v>82.5</v>
      </c>
      <c r="Q120" s="42">
        <v>0</v>
      </c>
      <c r="R120" s="40">
        <v>0.1142</v>
      </c>
      <c r="S120" s="43">
        <v>1035</v>
      </c>
      <c r="T120" s="44">
        <f t="shared" si="33"/>
        <v>1.1033816425120773E-4</v>
      </c>
      <c r="U120" s="41">
        <v>8.9800000000000001E-5</v>
      </c>
      <c r="V120" s="44">
        <f t="shared" si="36"/>
        <v>1.1925630810092961E-5</v>
      </c>
      <c r="W120" s="44">
        <f t="shared" si="34"/>
        <v>1.1983333208369869E-6</v>
      </c>
      <c r="X120" s="45">
        <f t="shared" si="35"/>
        <v>9.8862498969051423E-5</v>
      </c>
      <c r="AD120" s="11"/>
      <c r="AE120" s="2"/>
      <c r="AG120" s="6">
        <v>4.5</v>
      </c>
      <c r="AH120">
        <f t="shared" si="23"/>
        <v>9.4289672652289722E-5</v>
      </c>
      <c r="AI120" s="2">
        <f t="shared" si="24"/>
        <v>9.7549999999999999E-5</v>
      </c>
      <c r="AJ120" s="2">
        <v>9.0710000000000004E-5</v>
      </c>
      <c r="AK120">
        <v>1.0119999999999999E-4</v>
      </c>
      <c r="AN120">
        <v>5.9</v>
      </c>
      <c r="AO120" s="214">
        <f t="shared" si="30"/>
        <v>1.0589733635291995E-5</v>
      </c>
      <c r="AP120" s="214">
        <f t="shared" si="15"/>
        <v>3.0806478896976614E-6</v>
      </c>
      <c r="AQ120" s="213">
        <f t="shared" si="16"/>
        <v>5.4480649194239949E-6</v>
      </c>
      <c r="AZ120" s="2"/>
      <c r="BA120" s="2"/>
      <c r="BB120" s="2"/>
    </row>
    <row r="121" spans="6:54" x14ac:dyDescent="0.25">
      <c r="F121" t="s">
        <v>418</v>
      </c>
      <c r="G121" s="14" t="s">
        <v>25</v>
      </c>
      <c r="H121" s="14" t="s">
        <v>81</v>
      </c>
      <c r="I121" s="40">
        <f t="shared" si="32"/>
        <v>313.14999999999998</v>
      </c>
      <c r="J121" s="21">
        <v>8.5000000000000006E-2</v>
      </c>
      <c r="K121" s="33">
        <v>7</v>
      </c>
      <c r="L121" s="21">
        <v>0.1341</v>
      </c>
      <c r="M121" s="21">
        <v>0.18310000000000001</v>
      </c>
      <c r="N121" s="19">
        <f t="shared" si="31"/>
        <v>0.14403049773432616</v>
      </c>
      <c r="O121" s="36">
        <v>2.06</v>
      </c>
      <c r="P121" s="14">
        <v>82.5</v>
      </c>
      <c r="Q121" s="36">
        <v>0</v>
      </c>
      <c r="R121" s="14">
        <v>0.16739999999999999</v>
      </c>
      <c r="S121" s="37">
        <v>1523</v>
      </c>
      <c r="T121" s="39">
        <f t="shared" si="33"/>
        <v>1.0991464215364412E-4</v>
      </c>
      <c r="U121" s="21">
        <v>9.7960000000000004E-5</v>
      </c>
      <c r="V121" s="44">
        <f t="shared" si="36"/>
        <v>1.3009296148738381E-5</v>
      </c>
      <c r="W121" s="44">
        <f t="shared" si="34"/>
        <v>1.2284349502142789E-6</v>
      </c>
      <c r="X121" s="45">
        <f t="shared" si="35"/>
        <v>1.01345883392678E-4</v>
      </c>
      <c r="AD121" s="11"/>
      <c r="AE121" s="2"/>
      <c r="AG121" s="6">
        <v>4.5999999999999996</v>
      </c>
      <c r="AH121">
        <f t="shared" si="23"/>
        <v>9.4358230296913111E-5</v>
      </c>
      <c r="AI121" s="2">
        <f t="shared" si="24"/>
        <v>9.7549999999999999E-5</v>
      </c>
      <c r="AJ121" s="2">
        <v>9.0710000000000004E-5</v>
      </c>
      <c r="AK121">
        <v>1.0119999999999999E-4</v>
      </c>
      <c r="AN121">
        <v>6</v>
      </c>
      <c r="AO121" s="214">
        <f t="shared" si="30"/>
        <v>1.0539339890302562E-5</v>
      </c>
      <c r="AP121" s="214">
        <f t="shared" si="15"/>
        <v>3.0659226178194247E-6</v>
      </c>
      <c r="AQ121" s="213">
        <f t="shared" si="16"/>
        <v>5.4214938671106297E-6</v>
      </c>
      <c r="AZ121" s="2"/>
      <c r="BA121" s="2"/>
      <c r="BB121" s="2"/>
    </row>
    <row r="122" spans="6:54" x14ac:dyDescent="0.25">
      <c r="F122" t="s">
        <v>418</v>
      </c>
      <c r="G122" s="14" t="s">
        <v>25</v>
      </c>
      <c r="H122" s="14" t="s">
        <v>81</v>
      </c>
      <c r="I122" s="40">
        <f t="shared" si="32"/>
        <v>313.14999999999998</v>
      </c>
      <c r="J122" s="21">
        <v>0.08</v>
      </c>
      <c r="K122" s="33">
        <v>7</v>
      </c>
      <c r="L122" s="21">
        <v>0.12620000000000001</v>
      </c>
      <c r="M122" s="21">
        <v>0.17230000000000001</v>
      </c>
      <c r="N122" s="19">
        <f t="shared" si="31"/>
        <v>0.13971818266839847</v>
      </c>
      <c r="O122" s="36">
        <v>3.09</v>
      </c>
      <c r="P122" s="14">
        <v>82.5</v>
      </c>
      <c r="Q122" s="36">
        <v>0</v>
      </c>
      <c r="R122" s="14">
        <v>0.20680000000000001</v>
      </c>
      <c r="S122" s="37">
        <v>1943</v>
      </c>
      <c r="T122" s="39">
        <f t="shared" si="33"/>
        <v>1.0643335048893464E-4</v>
      </c>
      <c r="U122" s="21">
        <v>9.1840000000000002E-5</v>
      </c>
      <c r="V122" s="44">
        <f t="shared" si="36"/>
        <v>1.2196547144754317E-5</v>
      </c>
      <c r="W122" s="44">
        <f t="shared" si="34"/>
        <v>1.2262411358032412E-6</v>
      </c>
      <c r="X122" s="45">
        <f t="shared" si="35"/>
        <v>1.011648937037674E-4</v>
      </c>
      <c r="AD122" s="11"/>
      <c r="AE122" s="2"/>
      <c r="AG122" s="6">
        <v>4.7</v>
      </c>
      <c r="AH122">
        <f t="shared" si="23"/>
        <v>9.4423964082708631E-5</v>
      </c>
      <c r="AI122" s="2">
        <f t="shared" si="24"/>
        <v>9.7549999999999999E-5</v>
      </c>
      <c r="AJ122" s="2">
        <v>9.0710000000000004E-5</v>
      </c>
      <c r="AK122">
        <v>1.0119999999999999E-4</v>
      </c>
      <c r="AN122">
        <v>6.1</v>
      </c>
      <c r="AO122" s="214">
        <f t="shared" si="30"/>
        <v>1.0489302990743815E-5</v>
      </c>
      <c r="AP122" s="214">
        <f t="shared" si="15"/>
        <v>3.0513040074031853E-6</v>
      </c>
      <c r="AQ122" s="213">
        <f t="shared" si="16"/>
        <v>5.3951347031834093E-6</v>
      </c>
      <c r="AZ122" s="2"/>
      <c r="BA122" s="2"/>
      <c r="BB122" s="2"/>
    </row>
    <row r="123" spans="6:54" ht="15.75" thickBot="1" x14ac:dyDescent="0.3">
      <c r="F123" t="s">
        <v>418</v>
      </c>
      <c r="G123" s="55" t="s">
        <v>25</v>
      </c>
      <c r="H123" s="55" t="s">
        <v>81</v>
      </c>
      <c r="I123" s="55">
        <f t="shared" si="32"/>
        <v>313.14999999999998</v>
      </c>
      <c r="J123" s="56">
        <v>7.4999999999999997E-2</v>
      </c>
      <c r="K123" s="63">
        <v>7</v>
      </c>
      <c r="L123" s="56">
        <v>0.16159999999999999</v>
      </c>
      <c r="M123" s="56">
        <v>0.16159999999999999</v>
      </c>
      <c r="N123" s="19">
        <f t="shared" si="31"/>
        <v>0.13531033447335447</v>
      </c>
      <c r="O123" s="57">
        <v>4.13</v>
      </c>
      <c r="P123" s="55">
        <v>82.5</v>
      </c>
      <c r="Q123" s="57">
        <v>0</v>
      </c>
      <c r="R123" s="55">
        <v>0.27800000000000002</v>
      </c>
      <c r="S123" s="58">
        <v>2561</v>
      </c>
      <c r="T123" s="59">
        <f t="shared" si="33"/>
        <v>1.0855134713002734E-4</v>
      </c>
      <c r="U123" s="56">
        <v>7.7550000000000001E-5</v>
      </c>
      <c r="V123" s="44">
        <f t="shared" si="36"/>
        <v>1.0298804780876494E-5</v>
      </c>
      <c r="W123" s="44">
        <f t="shared" si="34"/>
        <v>1.2913837735525206E-6</v>
      </c>
      <c r="X123" s="45">
        <f t="shared" si="35"/>
        <v>1.0653916131808295E-4</v>
      </c>
      <c r="AD123" s="11"/>
      <c r="AE123" s="2"/>
      <c r="AG123">
        <v>4.8</v>
      </c>
      <c r="AH123">
        <f t="shared" si="23"/>
        <v>9.4487044959238039E-5</v>
      </c>
      <c r="AI123" s="2">
        <f t="shared" si="24"/>
        <v>9.7549999999999999E-5</v>
      </c>
      <c r="AJ123" s="2">
        <v>9.0710000000000004E-5</v>
      </c>
      <c r="AK123">
        <v>1.0119999999999999E-4</v>
      </c>
      <c r="AN123">
        <v>6.2</v>
      </c>
      <c r="AO123" s="214">
        <f t="shared" si="30"/>
        <v>1.0439625370174714E-5</v>
      </c>
      <c r="AP123" s="214">
        <f t="shared" si="15"/>
        <v>3.0367926210370824E-6</v>
      </c>
      <c r="AQ123" s="213">
        <f t="shared" si="16"/>
        <v>5.3689872295003279E-6</v>
      </c>
      <c r="AZ123" s="2"/>
      <c r="BA123" s="2"/>
      <c r="BB123" s="2"/>
    </row>
    <row r="124" spans="6:54" x14ac:dyDescent="0.25">
      <c r="F124" t="s">
        <v>418</v>
      </c>
      <c r="G124" s="40" t="s">
        <v>26</v>
      </c>
      <c r="H124" s="40" t="s">
        <v>81</v>
      </c>
      <c r="I124" s="40">
        <f t="shared" si="32"/>
        <v>313.14999999999998</v>
      </c>
      <c r="J124" s="41">
        <v>0.08</v>
      </c>
      <c r="K124" s="62">
        <v>7</v>
      </c>
      <c r="L124" s="41">
        <v>0.12620000000000001</v>
      </c>
      <c r="M124" s="41">
        <v>0.17230000000000001</v>
      </c>
      <c r="N124" s="19">
        <f t="shared" si="31"/>
        <v>0.13971818266839847</v>
      </c>
      <c r="O124" s="42">
        <v>2.06</v>
      </c>
      <c r="P124" s="40">
        <v>82.5</v>
      </c>
      <c r="Q124" s="42">
        <v>0</v>
      </c>
      <c r="R124" s="40">
        <v>0.1996</v>
      </c>
      <c r="S124" s="43">
        <v>2055</v>
      </c>
      <c r="T124" s="44">
        <f t="shared" si="33"/>
        <v>9.7128953771289536E-5</v>
      </c>
      <c r="U124" s="41">
        <v>9.7960000000000004E-5</v>
      </c>
      <c r="V124" s="44">
        <f t="shared" si="36"/>
        <v>1.3009296148738381E-5</v>
      </c>
      <c r="W124" s="44">
        <f t="shared" si="34"/>
        <v>1.1190432138493019E-6</v>
      </c>
      <c r="X124" s="45">
        <f t="shared" si="35"/>
        <v>9.2321065142567406E-5</v>
      </c>
      <c r="AD124" s="11"/>
      <c r="AE124" s="2"/>
      <c r="AG124" s="6">
        <v>4.9000000000000004</v>
      </c>
      <c r="AH124">
        <f t="shared" si="23"/>
        <v>9.4547630350502414E-5</v>
      </c>
      <c r="AI124" s="2">
        <f t="shared" si="24"/>
        <v>9.7549999999999999E-5</v>
      </c>
      <c r="AJ124" s="2">
        <v>9.0710000000000004E-5</v>
      </c>
      <c r="AK124">
        <v>1.0119999999999999E-4</v>
      </c>
      <c r="AN124">
        <v>6.3</v>
      </c>
      <c r="AO124" s="214">
        <f t="shared" si="30"/>
        <v>1.0390308919916761E-5</v>
      </c>
      <c r="AP124" s="214">
        <f t="shared" si="15"/>
        <v>3.0223888726263041E-6</v>
      </c>
      <c r="AQ124" s="213">
        <f t="shared" si="16"/>
        <v>5.3430510598731488E-6</v>
      </c>
      <c r="AZ124" s="2"/>
      <c r="BA124" s="2"/>
      <c r="BB124" s="2"/>
    </row>
    <row r="125" spans="6:54" x14ac:dyDescent="0.25">
      <c r="F125" t="s">
        <v>418</v>
      </c>
      <c r="G125" s="14" t="s">
        <v>26</v>
      </c>
      <c r="H125" s="14" t="s">
        <v>81</v>
      </c>
      <c r="I125" s="40">
        <f t="shared" si="32"/>
        <v>313.14999999999998</v>
      </c>
      <c r="J125" s="47">
        <v>7.0000000000000007E-2</v>
      </c>
      <c r="K125" s="33">
        <v>7</v>
      </c>
      <c r="L125" s="47">
        <v>0.1104</v>
      </c>
      <c r="M125" s="47">
        <v>0.15079999999999999</v>
      </c>
      <c r="N125" s="19">
        <f t="shared" si="31"/>
        <v>0.13071064572502614</v>
      </c>
      <c r="O125" s="36">
        <v>4.13</v>
      </c>
      <c r="P125" s="14">
        <v>82.5</v>
      </c>
      <c r="Q125" s="36">
        <v>0</v>
      </c>
      <c r="R125" s="14">
        <v>0.29399999999999998</v>
      </c>
      <c r="S125" s="37">
        <v>3385</v>
      </c>
      <c r="T125" s="39">
        <f t="shared" si="33"/>
        <v>8.6853766617429832E-5</v>
      </c>
      <c r="U125" s="21">
        <v>9.7960000000000004E-5</v>
      </c>
      <c r="V125" s="44">
        <f t="shared" si="36"/>
        <v>1.3009296148738381E-5</v>
      </c>
      <c r="W125" s="44">
        <f t="shared" si="34"/>
        <v>1.0696181716726581E-6</v>
      </c>
      <c r="X125" s="45">
        <f t="shared" si="35"/>
        <v>8.8243499162994293E-5</v>
      </c>
      <c r="AD125" s="11"/>
      <c r="AE125" s="2"/>
      <c r="AG125" s="6">
        <v>5</v>
      </c>
      <c r="AH125">
        <f t="shared" si="23"/>
        <v>9.4605865466677023E-5</v>
      </c>
      <c r="AI125" s="2">
        <f t="shared" si="24"/>
        <v>9.7549999999999999E-5</v>
      </c>
      <c r="AJ125" s="2">
        <v>9.0710000000000004E-5</v>
      </c>
      <c r="AK125">
        <v>1.0119999999999999E-4</v>
      </c>
      <c r="AN125">
        <v>6.4</v>
      </c>
      <c r="AO125" s="214">
        <f t="shared" ref="AO125:AO156" si="37" xml:space="preserve"> $AP$57*AN125/($AP$58+AN125+AN125*AN125/$AP$59)</f>
        <v>1.0341355040176757E-5</v>
      </c>
      <c r="AP125" s="214">
        <f t="shared" si="15"/>
        <v>3.0080930415878982E-6</v>
      </c>
      <c r="AQ125" s="213">
        <f t="shared" si="16"/>
        <v>5.3173256395268243E-6</v>
      </c>
      <c r="AZ125" s="2"/>
      <c r="BA125" s="2"/>
      <c r="BB125" s="2"/>
    </row>
    <row r="126" spans="6:54" x14ac:dyDescent="0.25">
      <c r="F126" t="s">
        <v>418</v>
      </c>
      <c r="G126" s="14" t="s">
        <v>26</v>
      </c>
      <c r="H126" s="14" t="s">
        <v>81</v>
      </c>
      <c r="I126" s="40">
        <f t="shared" si="32"/>
        <v>313.14999999999998</v>
      </c>
      <c r="J126" s="47">
        <v>0.06</v>
      </c>
      <c r="K126" s="33">
        <v>7</v>
      </c>
      <c r="L126" s="47">
        <v>9.4630000000000006E-2</v>
      </c>
      <c r="M126" s="47">
        <v>0.1293</v>
      </c>
      <c r="N126" s="19">
        <f t="shared" si="31"/>
        <v>0.1210346034964655</v>
      </c>
      <c r="O126" s="36">
        <v>6.19</v>
      </c>
      <c r="P126" s="14">
        <v>82.5</v>
      </c>
      <c r="Q126" s="36">
        <v>0</v>
      </c>
      <c r="R126" s="14">
        <v>0.33040000000000003</v>
      </c>
      <c r="S126" s="37">
        <v>3948</v>
      </c>
      <c r="T126" s="39">
        <f t="shared" si="33"/>
        <v>8.3687943262411349E-5</v>
      </c>
      <c r="U126" s="21">
        <v>8.776E-5</v>
      </c>
      <c r="V126" s="44">
        <f t="shared" si="36"/>
        <v>1.1654714475431606E-5</v>
      </c>
      <c r="W126" s="44">
        <f t="shared" si="34"/>
        <v>1.1130237156001016E-6</v>
      </c>
      <c r="X126" s="45">
        <f t="shared" si="35"/>
        <v>9.1824456537008386E-5</v>
      </c>
      <c r="AD126" s="11"/>
      <c r="AE126" s="2"/>
      <c r="AG126" s="6">
        <v>5.0999999999999996</v>
      </c>
      <c r="AH126">
        <f t="shared" si="23"/>
        <v>9.4661884466093322E-5</v>
      </c>
      <c r="AI126" s="2">
        <f t="shared" si="24"/>
        <v>9.7549999999999999E-5</v>
      </c>
      <c r="AJ126" s="2">
        <v>9.0710000000000004E-5</v>
      </c>
      <c r="AK126">
        <v>1.0119999999999999E-4</v>
      </c>
      <c r="AN126">
        <v>6.5</v>
      </c>
      <c r="AO126" s="214">
        <f t="shared" si="37"/>
        <v>1.0292764686280616E-5</v>
      </c>
      <c r="AP126" s="214">
        <f t="shared" ref="AP126:AP161" si="38" xml:space="preserve"> $AQ$57*AN126/($AQ$58+AN126+AN126*AN126/$AQ$59)</f>
        <v>2.9939052856825864E-6</v>
      </c>
      <c r="AQ126" s="213">
        <f t="shared" ref="AQ126:AQ161" si="39" xml:space="preserve"> $AR$57*AN126/($AR$58+AN126+AN126*AN126/$AR$59)</f>
        <v>5.2918102626463362E-6</v>
      </c>
      <c r="AZ126" s="2"/>
      <c r="BA126" s="2"/>
      <c r="BB126" s="2"/>
    </row>
    <row r="127" spans="6:54" ht="15.75" thickBot="1" x14ac:dyDescent="0.3">
      <c r="F127" t="s">
        <v>418</v>
      </c>
      <c r="G127" s="55" t="s">
        <v>26</v>
      </c>
      <c r="H127" s="55" t="s">
        <v>81</v>
      </c>
      <c r="I127" s="55">
        <f t="shared" si="32"/>
        <v>313.14999999999998</v>
      </c>
      <c r="J127" s="56">
        <v>0.05</v>
      </c>
      <c r="K127" s="63">
        <v>7</v>
      </c>
      <c r="L127" s="56">
        <v>7.8850000000000003E-2</v>
      </c>
      <c r="M127" s="56">
        <v>0.1077</v>
      </c>
      <c r="N127" s="19">
        <f t="shared" si="31"/>
        <v>0.11046333248943327</v>
      </c>
      <c r="O127" s="57">
        <v>8.25</v>
      </c>
      <c r="P127" s="55">
        <v>82.5</v>
      </c>
      <c r="Q127" s="57">
        <v>0</v>
      </c>
      <c r="R127" s="55">
        <v>0.37480000000000002</v>
      </c>
      <c r="S127" s="58">
        <v>4842</v>
      </c>
      <c r="T127" s="59">
        <f t="shared" si="33"/>
        <v>7.7406030565881868E-5</v>
      </c>
      <c r="U127" s="56">
        <v>6.7349999999999997E-5</v>
      </c>
      <c r="V127" s="44">
        <f t="shared" si="36"/>
        <v>8.9442231075697211E-6</v>
      </c>
      <c r="W127" s="44">
        <f t="shared" si="34"/>
        <v>1.1279964461151294E-6</v>
      </c>
      <c r="X127" s="45">
        <f t="shared" si="35"/>
        <v>9.3059706804498181E-5</v>
      </c>
      <c r="AD127" s="11"/>
      <c r="AE127" s="2"/>
      <c r="AG127">
        <v>5.2</v>
      </c>
      <c r="AH127">
        <f t="shared" si="23"/>
        <v>9.4715811487041616E-5</v>
      </c>
      <c r="AI127" s="2">
        <f t="shared" si="24"/>
        <v>9.7549999999999999E-5</v>
      </c>
      <c r="AJ127" s="2">
        <v>9.0710000000000004E-5</v>
      </c>
      <c r="AK127">
        <v>1.0119999999999999E-4</v>
      </c>
      <c r="AN127">
        <v>6.6</v>
      </c>
      <c r="AO127" s="214">
        <f t="shared" si="37"/>
        <v>1.0244538410532999E-5</v>
      </c>
      <c r="AP127" s="214">
        <f t="shared" si="38"/>
        <v>2.9798256526274182E-6</v>
      </c>
      <c r="AQ127" s="213">
        <f t="shared" si="39"/>
        <v>5.2665040882150616E-6</v>
      </c>
      <c r="AZ127" s="2"/>
      <c r="BA127" s="2"/>
      <c r="BB127" s="2"/>
    </row>
    <row r="128" spans="6:54" x14ac:dyDescent="0.25">
      <c r="F128" t="s">
        <v>418</v>
      </c>
      <c r="G128" s="40" t="s">
        <v>27</v>
      </c>
      <c r="H128" s="40" t="s">
        <v>81</v>
      </c>
      <c r="I128" s="40">
        <f t="shared" si="32"/>
        <v>313.14999999999998</v>
      </c>
      <c r="J128" s="41">
        <v>0.9</v>
      </c>
      <c r="K128" s="62">
        <v>7</v>
      </c>
      <c r="L128" s="41">
        <v>0.1419</v>
      </c>
      <c r="M128" s="41">
        <v>0.19389999999999999</v>
      </c>
      <c r="N128" s="19">
        <f t="shared" si="31"/>
        <v>0.14821740109391845</v>
      </c>
      <c r="O128" s="42">
        <v>0.38</v>
      </c>
      <c r="P128" s="40">
        <v>82.5</v>
      </c>
      <c r="Q128" s="42">
        <v>0</v>
      </c>
      <c r="R128" s="40">
        <v>7.6880000000000004E-2</v>
      </c>
      <c r="S128" s="43">
        <v>890.5</v>
      </c>
      <c r="T128" s="44">
        <f t="shared" si="33"/>
        <v>8.6333520494104443E-5</v>
      </c>
      <c r="U128" s="41">
        <v>7.4880000000000001E-5</v>
      </c>
      <c r="V128" s="44">
        <f t="shared" si="36"/>
        <v>9.9442231075697216E-6</v>
      </c>
      <c r="W128" s="44">
        <f t="shared" si="34"/>
        <v>9.3762964986175068E-7</v>
      </c>
      <c r="X128" s="45">
        <f t="shared" si="35"/>
        <v>7.7354446113594435E-5</v>
      </c>
      <c r="AD128" s="11"/>
      <c r="AE128" s="2"/>
      <c r="AG128" s="6">
        <v>5.3</v>
      </c>
      <c r="AH128">
        <f t="shared" si="23"/>
        <v>9.4767761566097236E-5</v>
      </c>
      <c r="AI128" s="2">
        <f t="shared" si="24"/>
        <v>9.7549999999999999E-5</v>
      </c>
      <c r="AJ128" s="2">
        <v>9.0710000000000004E-5</v>
      </c>
      <c r="AK128">
        <v>1.0119999999999999E-4</v>
      </c>
      <c r="AN128">
        <v>6.7</v>
      </c>
      <c r="AO128" s="214">
        <f t="shared" si="37"/>
        <v>1.0196676400157439E-5</v>
      </c>
      <c r="AP128" s="214">
        <f t="shared" si="38"/>
        <v>2.9658540906162452E-6</v>
      </c>
      <c r="AQ128" s="213">
        <f t="shared" si="39"/>
        <v>5.2414061543246317E-6</v>
      </c>
      <c r="AZ128" s="2"/>
      <c r="BA128" s="2"/>
      <c r="BB128" s="2"/>
    </row>
    <row r="129" spans="6:54" x14ac:dyDescent="0.25">
      <c r="F129" t="s">
        <v>418</v>
      </c>
      <c r="G129" s="14" t="s">
        <v>27</v>
      </c>
      <c r="H129" s="14" t="s">
        <v>81</v>
      </c>
      <c r="I129" s="40">
        <f t="shared" si="32"/>
        <v>313.14999999999998</v>
      </c>
      <c r="J129" s="21">
        <v>8.5000000000000006E-2</v>
      </c>
      <c r="K129" s="33">
        <v>7</v>
      </c>
      <c r="L129" s="21">
        <v>0.1341</v>
      </c>
      <c r="M129" s="21">
        <v>0.18310000000000001</v>
      </c>
      <c r="N129" s="19">
        <f t="shared" si="31"/>
        <v>0.14403049773432616</v>
      </c>
      <c r="O129" s="36">
        <v>0.76</v>
      </c>
      <c r="P129" s="14">
        <v>82.5</v>
      </c>
      <c r="Q129" s="36">
        <v>0</v>
      </c>
      <c r="R129" s="14">
        <v>0.12809999999999999</v>
      </c>
      <c r="S129" s="37">
        <v>1267</v>
      </c>
      <c r="T129" s="39">
        <f t="shared" si="33"/>
        <v>1.011049723756906E-4</v>
      </c>
      <c r="U129" s="21">
        <v>9.1009999999999998E-5</v>
      </c>
      <c r="V129" s="44">
        <f t="shared" si="36"/>
        <v>1.2086321381142098E-5</v>
      </c>
      <c r="W129" s="44">
        <f t="shared" si="34"/>
        <v>1.1299757636760842E-6</v>
      </c>
      <c r="X129" s="45">
        <f t="shared" si="35"/>
        <v>9.3223000503276943E-5</v>
      </c>
      <c r="AD129" s="11"/>
      <c r="AE129" s="2"/>
      <c r="AG129" s="6">
        <v>5.4</v>
      </c>
      <c r="AH129">
        <f t="shared" si="23"/>
        <v>9.4817841457268349E-5</v>
      </c>
      <c r="AI129" s="2">
        <f t="shared" si="24"/>
        <v>9.7549999999999999E-5</v>
      </c>
      <c r="AJ129" s="2">
        <v>9.0710000000000004E-5</v>
      </c>
      <c r="AK129">
        <v>1.0119999999999999E-4</v>
      </c>
      <c r="AN129">
        <v>6.8</v>
      </c>
      <c r="AO129" s="214">
        <f t="shared" si="37"/>
        <v>1.014917851171906E-5</v>
      </c>
      <c r="AP129" s="214">
        <f t="shared" si="38"/>
        <v>2.9519904578603308E-6</v>
      </c>
      <c r="AQ129" s="213">
        <f t="shared" si="39"/>
        <v>5.2165153911153561E-6</v>
      </c>
      <c r="AZ129" s="2"/>
      <c r="BA129" s="2"/>
      <c r="BB129" s="2"/>
    </row>
    <row r="130" spans="6:54" x14ac:dyDescent="0.25">
      <c r="F130" t="s">
        <v>418</v>
      </c>
      <c r="G130" s="14" t="s">
        <v>27</v>
      </c>
      <c r="H130" s="14" t="s">
        <v>81</v>
      </c>
      <c r="I130" s="40">
        <f t="shared" si="32"/>
        <v>313.14999999999998</v>
      </c>
      <c r="J130" s="21">
        <v>0.08</v>
      </c>
      <c r="K130" s="33">
        <v>7</v>
      </c>
      <c r="L130" s="21">
        <v>0.12620000000000001</v>
      </c>
      <c r="M130" s="21">
        <v>0.17230000000000001</v>
      </c>
      <c r="N130" s="19">
        <f t="shared" si="31"/>
        <v>0.13971818266839847</v>
      </c>
      <c r="O130" s="36">
        <v>1.1499999999999999</v>
      </c>
      <c r="P130" s="14">
        <v>82.5</v>
      </c>
      <c r="Q130" s="36">
        <v>0</v>
      </c>
      <c r="R130" s="14">
        <v>0.16750000000000001</v>
      </c>
      <c r="S130" s="37">
        <v>1559</v>
      </c>
      <c r="T130" s="39">
        <f t="shared" si="33"/>
        <v>1.0744066709429121E-4</v>
      </c>
      <c r="U130" s="21">
        <v>9.4469999999999995E-5</v>
      </c>
      <c r="V130" s="44">
        <f t="shared" si="36"/>
        <v>1.2545816733067729E-5</v>
      </c>
      <c r="W130" s="44">
        <f t="shared" si="34"/>
        <v>1.2378466434058073E-6</v>
      </c>
      <c r="X130" s="45">
        <f t="shared" si="35"/>
        <v>1.021223480809791E-4</v>
      </c>
      <c r="AD130" s="11"/>
      <c r="AE130" s="2"/>
      <c r="AG130" s="6">
        <v>5.5</v>
      </c>
      <c r="AH130">
        <f t="shared" si="23"/>
        <v>9.4866150364240762E-5</v>
      </c>
      <c r="AI130" s="2">
        <f t="shared" si="24"/>
        <v>9.7549999999999999E-5</v>
      </c>
      <c r="AJ130" s="2">
        <v>9.0710000000000004E-5</v>
      </c>
      <c r="AK130">
        <v>1.0119999999999999E-4</v>
      </c>
      <c r="AN130">
        <v>6.9</v>
      </c>
      <c r="AO130" s="214">
        <f t="shared" si="37"/>
        <v>1.010204430238635E-5</v>
      </c>
      <c r="AP130" s="214">
        <f t="shared" si="38"/>
        <v>2.9382345312486055E-6</v>
      </c>
      <c r="AQ130" s="213">
        <f t="shared" si="39"/>
        <v>5.1918306324879504E-6</v>
      </c>
      <c r="AZ130" s="2"/>
      <c r="BA130" s="2"/>
      <c r="BB130" s="2"/>
    </row>
    <row r="131" spans="6:54" ht="15.75" thickBot="1" x14ac:dyDescent="0.3">
      <c r="F131" t="s">
        <v>418</v>
      </c>
      <c r="G131" s="55" t="s">
        <v>27</v>
      </c>
      <c r="H131" s="55" t="s">
        <v>81</v>
      </c>
      <c r="I131" s="55">
        <f t="shared" si="32"/>
        <v>313.14999999999998</v>
      </c>
      <c r="J131" s="56">
        <v>7.4999999999999997E-2</v>
      </c>
      <c r="K131" s="63">
        <v>7</v>
      </c>
      <c r="L131" s="56">
        <v>0.16159999999999999</v>
      </c>
      <c r="M131" s="56">
        <v>0.16159999999999999</v>
      </c>
      <c r="N131" s="19">
        <f t="shared" si="31"/>
        <v>0.13531033447335447</v>
      </c>
      <c r="O131" s="57">
        <v>1.53</v>
      </c>
      <c r="P131" s="55">
        <v>82.5</v>
      </c>
      <c r="Q131" s="57">
        <v>0</v>
      </c>
      <c r="R131" s="55">
        <v>0.2344</v>
      </c>
      <c r="S131" s="58">
        <v>2133</v>
      </c>
      <c r="T131" s="59">
        <f t="shared" si="33"/>
        <v>1.0989217065166432E-4</v>
      </c>
      <c r="U131" s="56">
        <v>9.6769999999999997E-5</v>
      </c>
      <c r="V131" s="44">
        <f t="shared" si="36"/>
        <v>1.2851261620185921E-5</v>
      </c>
      <c r="W131" s="44">
        <f t="shared" si="34"/>
        <v>1.3073349135873416E-6</v>
      </c>
      <c r="X131" s="45">
        <f t="shared" si="35"/>
        <v>1.0785513037095568E-4</v>
      </c>
      <c r="AD131" s="11"/>
      <c r="AE131" s="2"/>
      <c r="AG131">
        <v>5.6</v>
      </c>
      <c r="AH131">
        <f t="shared" si="23"/>
        <v>9.4912780596288849E-5</v>
      </c>
      <c r="AI131" s="2">
        <f t="shared" si="24"/>
        <v>9.7549999999999999E-5</v>
      </c>
      <c r="AJ131" s="2">
        <v>9.0710000000000004E-5</v>
      </c>
      <c r="AK131">
        <v>1.0119999999999999E-4</v>
      </c>
      <c r="AN131">
        <v>7</v>
      </c>
      <c r="AO131" s="214">
        <f t="shared" si="37"/>
        <v>1.0055273058348291E-5</v>
      </c>
      <c r="AP131" s="214">
        <f t="shared" si="38"/>
        <v>2.9245860142158839E-6</v>
      </c>
      <c r="AQ131" s="213">
        <f t="shared" si="39"/>
        <v>5.1673506267114104E-6</v>
      </c>
      <c r="AZ131" s="2"/>
      <c r="BA131" s="2"/>
      <c r="BB131" s="2"/>
    </row>
    <row r="132" spans="6:54" x14ac:dyDescent="0.25">
      <c r="F132" t="s">
        <v>418</v>
      </c>
      <c r="G132" s="40" t="s">
        <v>28</v>
      </c>
      <c r="H132" s="40" t="s">
        <v>81</v>
      </c>
      <c r="I132" s="40">
        <f t="shared" si="32"/>
        <v>313.14999999999998</v>
      </c>
      <c r="J132" s="41">
        <v>0.9</v>
      </c>
      <c r="K132" s="62">
        <v>7</v>
      </c>
      <c r="L132" s="41">
        <v>0.1419</v>
      </c>
      <c r="M132" s="41">
        <v>0.19389999999999999</v>
      </c>
      <c r="N132" s="19">
        <f t="shared" si="31"/>
        <v>0.14821740109391845</v>
      </c>
      <c r="O132" s="42">
        <v>9.5000000000000001E-2</v>
      </c>
      <c r="P132" s="40">
        <v>82.5</v>
      </c>
      <c r="Q132" s="42">
        <v>0</v>
      </c>
      <c r="R132" s="40">
        <v>3.073E-2</v>
      </c>
      <c r="S132" s="43">
        <v>752.9</v>
      </c>
      <c r="T132" s="44">
        <f t="shared" si="33"/>
        <v>4.0815513348386242E-5</v>
      </c>
      <c r="U132" s="41">
        <v>3.5710000000000002E-5</v>
      </c>
      <c r="V132" s="44">
        <f t="shared" si="36"/>
        <v>4.7423638778220453E-6</v>
      </c>
      <c r="W132" s="44">
        <f t="shared" si="34"/>
        <v>4.4327898677997707E-7</v>
      </c>
      <c r="X132" s="45">
        <f t="shared" si="35"/>
        <v>3.6570516409348108E-5</v>
      </c>
      <c r="AD132" s="11"/>
      <c r="AE132" s="2"/>
      <c r="AG132" s="6">
        <v>5.7</v>
      </c>
      <c r="AH132">
        <f t="shared" si="23"/>
        <v>9.4957818156977936E-5</v>
      </c>
      <c r="AI132" s="2">
        <f t="shared" si="24"/>
        <v>9.7549999999999999E-5</v>
      </c>
      <c r="AJ132" s="2">
        <v>9.0710000000000004E-5</v>
      </c>
      <c r="AK132">
        <v>1.0119999999999999E-4</v>
      </c>
      <c r="AN132">
        <v>7.1</v>
      </c>
      <c r="AO132" s="214">
        <f t="shared" si="37"/>
        <v>1.0008863820668197E-5</v>
      </c>
      <c r="AP132" s="214">
        <f t="shared" si="38"/>
        <v>2.9110445438975543E-6</v>
      </c>
      <c r="AQ132" s="213">
        <f t="shared" si="39"/>
        <v>5.1430740460378599E-6</v>
      </c>
      <c r="AZ132" s="2"/>
      <c r="BA132" s="2"/>
      <c r="BB132" s="2"/>
    </row>
    <row r="133" spans="6:54" x14ac:dyDescent="0.25">
      <c r="F133" t="s">
        <v>418</v>
      </c>
      <c r="G133" s="14" t="s">
        <v>28</v>
      </c>
      <c r="H133" s="14" t="s">
        <v>81</v>
      </c>
      <c r="I133" s="40">
        <f t="shared" si="32"/>
        <v>313.14999999999998</v>
      </c>
      <c r="J133" s="21">
        <v>8.5000000000000006E-2</v>
      </c>
      <c r="K133" s="33">
        <v>7</v>
      </c>
      <c r="L133" s="21">
        <v>0.1341</v>
      </c>
      <c r="M133" s="21">
        <v>0.18310000000000001</v>
      </c>
      <c r="N133" s="19">
        <f t="shared" si="31"/>
        <v>0.14403049773432616</v>
      </c>
      <c r="O133" s="36">
        <v>0.191</v>
      </c>
      <c r="P133" s="14">
        <v>82.5</v>
      </c>
      <c r="Q133" s="36">
        <v>0</v>
      </c>
      <c r="R133" s="14">
        <v>5.4339999999999999E-2</v>
      </c>
      <c r="S133" s="37">
        <v>809.2</v>
      </c>
      <c r="T133" s="39">
        <f t="shared" si="33"/>
        <v>6.7152743450321295E-5</v>
      </c>
      <c r="U133" s="21">
        <v>5.7599999999999997E-5</v>
      </c>
      <c r="V133" s="44">
        <f t="shared" si="36"/>
        <v>7.6494023904382468E-6</v>
      </c>
      <c r="W133" s="44">
        <f t="shared" si="34"/>
        <v>7.5051672316628384E-7</v>
      </c>
      <c r="X133" s="45">
        <f t="shared" si="35"/>
        <v>6.1917629661218412E-5</v>
      </c>
      <c r="AD133" s="11"/>
      <c r="AE133" s="2"/>
      <c r="AG133" s="6">
        <v>5.8</v>
      </c>
      <c r="AH133">
        <f t="shared" si="23"/>
        <v>9.5001343273557658E-5</v>
      </c>
      <c r="AI133" s="2">
        <f t="shared" si="24"/>
        <v>9.7549999999999999E-5</v>
      </c>
      <c r="AJ133" s="2">
        <v>9.0710000000000004E-5</v>
      </c>
      <c r="AK133">
        <v>1.0119999999999999E-4</v>
      </c>
      <c r="AN133">
        <v>7.2</v>
      </c>
      <c r="AO133" s="214">
        <f t="shared" si="37"/>
        <v>9.9628154088247735E-6</v>
      </c>
      <c r="AP133" s="214">
        <f t="shared" si="38"/>
        <v>2.8976096976406626E-6</v>
      </c>
      <c r="AQ133" s="213">
        <f t="shared" si="39"/>
        <v>5.1189994954229972E-6</v>
      </c>
      <c r="AZ133" s="2"/>
      <c r="BA133" s="2"/>
      <c r="BB133" s="2"/>
    </row>
    <row r="134" spans="6:54" x14ac:dyDescent="0.25">
      <c r="F134" t="s">
        <v>418</v>
      </c>
      <c r="G134" s="14" t="s">
        <v>28</v>
      </c>
      <c r="H134" s="14" t="s">
        <v>81</v>
      </c>
      <c r="I134" s="40">
        <f t="shared" si="32"/>
        <v>313.14999999999998</v>
      </c>
      <c r="J134" s="21">
        <v>0.08</v>
      </c>
      <c r="K134" s="33">
        <v>7</v>
      </c>
      <c r="L134" s="21">
        <v>0.12620000000000001</v>
      </c>
      <c r="M134" s="21">
        <v>0.17230000000000001</v>
      </c>
      <c r="N134" s="19">
        <f t="shared" si="31"/>
        <v>0.13971818266839847</v>
      </c>
      <c r="O134" s="36">
        <v>0.28599999999999998</v>
      </c>
      <c r="P134" s="14">
        <v>82.5</v>
      </c>
      <c r="Q134" s="36">
        <v>0</v>
      </c>
      <c r="R134" s="14">
        <v>7.7509999999999996E-2</v>
      </c>
      <c r="S134" s="37">
        <v>1040</v>
      </c>
      <c r="T134" s="39">
        <f t="shared" si="33"/>
        <v>7.4528846153846143E-5</v>
      </c>
      <c r="U134" s="21">
        <v>6.4519999999999999E-5</v>
      </c>
      <c r="V134" s="44">
        <f t="shared" si="36"/>
        <v>8.5683930942895088E-6</v>
      </c>
      <c r="W134" s="44">
        <f t="shared" si="34"/>
        <v>8.5866259530464311E-7</v>
      </c>
      <c r="X134" s="45">
        <f t="shared" si="35"/>
        <v>7.0839664112633054E-5</v>
      </c>
      <c r="AE134" s="2"/>
      <c r="AG134" s="6">
        <v>5.9</v>
      </c>
      <c r="AH134">
        <f t="shared" si="23"/>
        <v>9.5043430873901843E-5</v>
      </c>
      <c r="AI134" s="2">
        <f t="shared" si="24"/>
        <v>9.7549999999999999E-5</v>
      </c>
      <c r="AJ134" s="2">
        <v>9.0710000000000004E-5</v>
      </c>
      <c r="AK134">
        <v>1.0119999999999999E-4</v>
      </c>
      <c r="AN134">
        <v>7.3</v>
      </c>
      <c r="AO134" s="214">
        <f t="shared" si="37"/>
        <v>9.9171264421638902E-6</v>
      </c>
      <c r="AP134" s="214">
        <f t="shared" si="38"/>
        <v>2.884280998933717E-6</v>
      </c>
      <c r="AQ134" s="213">
        <f t="shared" si="39"/>
        <v>5.0951255204399717E-6</v>
      </c>
      <c r="AZ134" s="2"/>
      <c r="BA134" s="2"/>
      <c r="BB134" s="2"/>
    </row>
    <row r="135" spans="6:54" ht="15.75" thickBot="1" x14ac:dyDescent="0.3">
      <c r="F135" t="s">
        <v>418</v>
      </c>
      <c r="G135" s="55" t="s">
        <v>28</v>
      </c>
      <c r="H135" s="55" t="s">
        <v>81</v>
      </c>
      <c r="I135" s="55">
        <f t="shared" si="32"/>
        <v>313.14999999999998</v>
      </c>
      <c r="J135" s="56">
        <v>7.4999999999999997E-2</v>
      </c>
      <c r="K135" s="63">
        <v>7</v>
      </c>
      <c r="L135" s="56">
        <v>0.16159999999999999</v>
      </c>
      <c r="M135" s="56">
        <v>0.16159999999999999</v>
      </c>
      <c r="N135" s="19">
        <f t="shared" si="31"/>
        <v>0.13531033447335447</v>
      </c>
      <c r="O135" s="57">
        <v>0.38100000000000001</v>
      </c>
      <c r="P135" s="55">
        <v>82.5</v>
      </c>
      <c r="Q135" s="57">
        <v>0</v>
      </c>
      <c r="R135" s="55">
        <v>0.1109</v>
      </c>
      <c r="S135" s="58">
        <v>1535</v>
      </c>
      <c r="T135" s="59">
        <f t="shared" si="33"/>
        <v>7.2247557003257335E-5</v>
      </c>
      <c r="U135" s="56">
        <v>6.1060000000000002E-5</v>
      </c>
      <c r="V135" s="44">
        <f t="shared" si="36"/>
        <v>8.1088977423638778E-6</v>
      </c>
      <c r="W135" s="44">
        <f t="shared" si="34"/>
        <v>8.5949484054821964E-7</v>
      </c>
      <c r="X135" s="45">
        <f t="shared" si="35"/>
        <v>7.0908324345228118E-5</v>
      </c>
      <c r="AE135" s="2"/>
      <c r="AG135">
        <v>6</v>
      </c>
      <c r="AH135">
        <f t="shared" si="23"/>
        <v>9.5084151016960167E-5</v>
      </c>
      <c r="AI135" s="2">
        <f t="shared" si="24"/>
        <v>9.7549999999999999E-5</v>
      </c>
      <c r="AJ135" s="2">
        <v>9.0710000000000004E-5</v>
      </c>
      <c r="AK135">
        <v>1.0119999999999999E-4</v>
      </c>
      <c r="AN135">
        <v>7.4</v>
      </c>
      <c r="AO135" s="214">
        <f t="shared" si="37"/>
        <v>9.8717953594606308E-6</v>
      </c>
      <c r="AP135" s="214">
        <f t="shared" si="38"/>
        <v>2.8710579228109142E-6</v>
      </c>
      <c r="AQ135" s="213">
        <f t="shared" si="39"/>
        <v>5.0714506144650934E-6</v>
      </c>
      <c r="AZ135" s="2"/>
      <c r="BA135" s="2"/>
      <c r="BB135" s="2"/>
    </row>
    <row r="136" spans="6:54" x14ac:dyDescent="0.25">
      <c r="F136" t="s">
        <v>418</v>
      </c>
      <c r="G136" s="40" t="s">
        <v>30</v>
      </c>
      <c r="H136" s="40" t="s">
        <v>81</v>
      </c>
      <c r="I136" s="40">
        <f t="shared" si="32"/>
        <v>313.14999999999998</v>
      </c>
      <c r="J136" s="41">
        <v>8.5000000000000006E-2</v>
      </c>
      <c r="K136" s="62">
        <v>6.97</v>
      </c>
      <c r="L136" s="41">
        <v>0.1341</v>
      </c>
      <c r="M136" s="41">
        <v>0.18310000000000001</v>
      </c>
      <c r="N136" s="19">
        <f>10^(-(1.824*10^6)/(78.54*I136)^(3/2))*SQRT(M136)</f>
        <v>0.14403049773432616</v>
      </c>
      <c r="O136" s="42">
        <v>0.19</v>
      </c>
      <c r="P136" s="40">
        <v>82.5</v>
      </c>
      <c r="Q136" s="42">
        <v>0</v>
      </c>
      <c r="R136" s="40">
        <v>7.9570000000000002E-2</v>
      </c>
      <c r="S136" s="43">
        <v>818.4</v>
      </c>
      <c r="T136" s="44">
        <f>R136/S136</f>
        <v>9.7226295210166188E-5</v>
      </c>
      <c r="U136" s="41">
        <v>8.2949999999999997E-5</v>
      </c>
      <c r="V136" s="44">
        <f t="shared" si="36"/>
        <v>1.1015936254980079E-5</v>
      </c>
      <c r="W136" s="44">
        <f t="shared" si="34"/>
        <v>1.0866266475131265E-6</v>
      </c>
      <c r="X136" s="45">
        <f t="shared" si="35"/>
        <v>8.9646698419832942E-5</v>
      </c>
      <c r="AE136" s="2"/>
      <c r="AG136" s="6">
        <v>6.1</v>
      </c>
      <c r="AH136">
        <f t="shared" si="23"/>
        <v>9.512356928192339E-5</v>
      </c>
      <c r="AI136" s="2">
        <f t="shared" si="24"/>
        <v>9.7549999999999999E-5</v>
      </c>
      <c r="AJ136" s="2">
        <v>9.0710000000000004E-5</v>
      </c>
      <c r="AK136">
        <v>1.0119999999999999E-4</v>
      </c>
      <c r="AN136">
        <v>7.5</v>
      </c>
      <c r="AO136" s="214">
        <f t="shared" si="37"/>
        <v>9.8268204367702813E-6</v>
      </c>
      <c r="AP136" s="214">
        <f t="shared" si="38"/>
        <v>2.8579399007805842E-6</v>
      </c>
      <c r="AQ136" s="213">
        <f t="shared" si="39"/>
        <v>5.0479732252054016E-6</v>
      </c>
      <c r="AZ136" s="2"/>
      <c r="BA136" s="2"/>
      <c r="BB136" s="2"/>
    </row>
    <row r="137" spans="6:54" x14ac:dyDescent="0.25">
      <c r="F137" t="s">
        <v>418</v>
      </c>
      <c r="G137" s="14" t="s">
        <v>30</v>
      </c>
      <c r="H137" s="14" t="s">
        <v>81</v>
      </c>
      <c r="I137" s="40">
        <f t="shared" si="32"/>
        <v>313.14999999999998</v>
      </c>
      <c r="J137" s="21">
        <v>7.4999999999999997E-2</v>
      </c>
      <c r="K137" s="33">
        <v>6.97</v>
      </c>
      <c r="L137" s="21">
        <v>0.1183</v>
      </c>
      <c r="M137" s="21">
        <v>0.16159999999999999</v>
      </c>
      <c r="N137" s="19">
        <f>10^(-(1.824*10^6)/(78.54*I137)^(3/2))*SQRT(M137)</f>
        <v>0.13531033447335447</v>
      </c>
      <c r="O137" s="36">
        <v>0.38</v>
      </c>
      <c r="P137" s="14">
        <v>82.5</v>
      </c>
      <c r="Q137" s="36">
        <v>0</v>
      </c>
      <c r="R137" s="14">
        <v>0.1152</v>
      </c>
      <c r="S137" s="37">
        <v>1099</v>
      </c>
      <c r="T137" s="39">
        <f>R137/S137</f>
        <v>1.0482256596906279E-4</v>
      </c>
      <c r="U137" s="21">
        <v>9.3319999999999994E-5</v>
      </c>
      <c r="V137" s="44">
        <f t="shared" si="36"/>
        <v>1.2393094289508631E-5</v>
      </c>
      <c r="W137" s="44">
        <f t="shared" si="34"/>
        <v>1.2470242366724299E-6</v>
      </c>
      <c r="X137" s="45">
        <f t="shared" si="35"/>
        <v>1.0287949952547547E-4</v>
      </c>
      <c r="AE137" s="2"/>
      <c r="AG137" s="6">
        <v>6.2</v>
      </c>
      <c r="AH137">
        <f t="shared" si="23"/>
        <v>9.5161747120649505E-5</v>
      </c>
      <c r="AI137" s="2">
        <f t="shared" si="24"/>
        <v>9.7549999999999999E-5</v>
      </c>
      <c r="AJ137" s="2">
        <v>9.0710000000000004E-5</v>
      </c>
      <c r="AK137">
        <v>1.0119999999999999E-4</v>
      </c>
      <c r="AN137">
        <v>7.6</v>
      </c>
      <c r="AO137" s="214">
        <f t="shared" si="37"/>
        <v>9.7821998037281861E-6</v>
      </c>
      <c r="AP137" s="214">
        <f t="shared" si="38"/>
        <v>2.8449263253224597E-6</v>
      </c>
      <c r="AQ137" s="213">
        <f t="shared" si="39"/>
        <v>5.0246917606307712E-6</v>
      </c>
      <c r="AZ137" s="2"/>
      <c r="BA137" s="2"/>
      <c r="BB137" s="2"/>
    </row>
    <row r="138" spans="6:54" ht="15.75" thickBot="1" x14ac:dyDescent="0.3">
      <c r="F138" t="s">
        <v>418</v>
      </c>
      <c r="G138" s="55" t="s">
        <v>30</v>
      </c>
      <c r="H138" s="55" t="s">
        <v>81</v>
      </c>
      <c r="I138" s="55">
        <f t="shared" si="32"/>
        <v>313.14999999999998</v>
      </c>
      <c r="J138" s="56">
        <v>5.5E-2</v>
      </c>
      <c r="K138" s="63">
        <v>6.97</v>
      </c>
      <c r="L138" s="56">
        <v>8.6739999999999998E-2</v>
      </c>
      <c r="M138" s="56">
        <v>0.11849999999999999</v>
      </c>
      <c r="N138" s="19">
        <f>10^(-(1.824*10^6)/(78.54*I138)^(3/2))*SQRT(M138)</f>
        <v>0.11586958847820618</v>
      </c>
      <c r="O138" s="57">
        <v>0.56999999999999995</v>
      </c>
      <c r="P138" s="55">
        <v>82.5</v>
      </c>
      <c r="Q138" s="57">
        <v>0</v>
      </c>
      <c r="R138" s="55">
        <v>0.12690000000000001</v>
      </c>
      <c r="S138" s="58">
        <v>1223</v>
      </c>
      <c r="T138" s="59">
        <f>R138/S138</f>
        <v>1.0376124284546199E-4</v>
      </c>
      <c r="U138" s="56">
        <v>9.6769999999999997E-5</v>
      </c>
      <c r="V138" s="44">
        <f t="shared" si="36"/>
        <v>1.2851261620185921E-5</v>
      </c>
      <c r="W138" s="44">
        <f t="shared" si="34"/>
        <v>1.4415070667230101E-6</v>
      </c>
      <c r="X138" s="45">
        <f t="shared" si="35"/>
        <v>1.1892433300464833E-4</v>
      </c>
      <c r="AE138" s="2"/>
      <c r="AG138" s="6">
        <v>6.3</v>
      </c>
      <c r="AH138">
        <f t="shared" si="23"/>
        <v>9.5198742177334407E-5</v>
      </c>
      <c r="AI138" s="2">
        <f t="shared" si="24"/>
        <v>9.7549999999999999E-5</v>
      </c>
      <c r="AJ138" s="2">
        <v>9.0710000000000004E-5</v>
      </c>
      <c r="AK138">
        <v>1.0119999999999999E-4</v>
      </c>
      <c r="AN138">
        <v>7.7</v>
      </c>
      <c r="AO138" s="214">
        <f t="shared" si="37"/>
        <v>9.7379314584420512E-6</v>
      </c>
      <c r="AP138" s="214">
        <f t="shared" si="38"/>
        <v>2.8320165539937953E-6</v>
      </c>
      <c r="AQ138" s="213">
        <f t="shared" si="39"/>
        <v>5.0016045943667153E-6</v>
      </c>
      <c r="AZ138" s="2"/>
      <c r="BA138" s="2"/>
      <c r="BB138" s="2"/>
    </row>
    <row r="139" spans="6:54" x14ac:dyDescent="0.25">
      <c r="F139" t="s">
        <v>418</v>
      </c>
      <c r="G139" s="40" t="s">
        <v>29</v>
      </c>
      <c r="H139" s="40" t="s">
        <v>81</v>
      </c>
      <c r="I139" s="40">
        <f t="shared" si="32"/>
        <v>313.14999999999998</v>
      </c>
      <c r="J139" s="41">
        <v>0.9</v>
      </c>
      <c r="K139" s="62">
        <v>6.97</v>
      </c>
      <c r="L139" s="41">
        <v>0.1419</v>
      </c>
      <c r="M139" s="41">
        <v>0.19389999999999999</v>
      </c>
      <c r="N139" s="19">
        <f>10^(-(1.824*10^6)/(78.54*I139)^(3/2))*SQRT(M139)</f>
        <v>0.14821740109391845</v>
      </c>
      <c r="O139" s="42">
        <v>9.5000000000000001E-2</v>
      </c>
      <c r="P139" s="40">
        <v>82.5</v>
      </c>
      <c r="Q139" s="42">
        <v>0</v>
      </c>
      <c r="R139" s="40">
        <v>2.792E-2</v>
      </c>
      <c r="S139" s="43">
        <v>555.4</v>
      </c>
      <c r="T139" s="44">
        <f>R139/S139</f>
        <v>5.0270075621173933E-5</v>
      </c>
      <c r="U139" s="41">
        <v>4.2629999999999997E-5</v>
      </c>
      <c r="V139" s="44">
        <f t="shared" si="36"/>
        <v>5.6613545816733065E-6</v>
      </c>
      <c r="W139" s="44">
        <f t="shared" si="34"/>
        <v>5.4596074773093243E-7</v>
      </c>
      <c r="X139" s="45">
        <f t="shared" si="35"/>
        <v>4.5041761687801927E-5</v>
      </c>
      <c r="AE139" s="2"/>
      <c r="AG139">
        <v>6.4</v>
      </c>
      <c r="AH139">
        <f t="shared" si="23"/>
        <v>9.5234608578924888E-5</v>
      </c>
      <c r="AI139" s="2">
        <f t="shared" si="24"/>
        <v>9.7549999999999999E-5</v>
      </c>
      <c r="AJ139" s="2">
        <v>9.0710000000000004E-5</v>
      </c>
      <c r="AK139">
        <v>1.0119999999999999E-4</v>
      </c>
      <c r="AN139">
        <v>7.8</v>
      </c>
      <c r="AO139" s="214">
        <f t="shared" si="37"/>
        <v>9.6940132811055658E-6</v>
      </c>
      <c r="AP139" s="214">
        <f t="shared" si="38"/>
        <v>2.8192099131802583E-6</v>
      </c>
      <c r="AQ139" s="213">
        <f t="shared" si="39"/>
        <v>4.9787100705982693E-6</v>
      </c>
      <c r="AZ139" s="2"/>
      <c r="BA139" s="2"/>
      <c r="BB139" s="2"/>
    </row>
    <row r="140" spans="6:54" x14ac:dyDescent="0.25">
      <c r="F140" t="s">
        <v>418</v>
      </c>
      <c r="G140" s="14" t="s">
        <v>29</v>
      </c>
      <c r="H140" s="14" t="s">
        <v>81</v>
      </c>
      <c r="I140" s="40">
        <f t="shared" si="32"/>
        <v>313.14999999999998</v>
      </c>
      <c r="J140" s="21">
        <v>8.5000000000000006E-2</v>
      </c>
      <c r="K140" s="33">
        <v>6.97</v>
      </c>
      <c r="L140" s="21">
        <v>0.1341</v>
      </c>
      <c r="M140" s="21">
        <v>0.18310000000000001</v>
      </c>
      <c r="N140" s="19">
        <f>10^(-(1.824*10^6)/(78.54*I140)^(3/2))*SQRT(M140)</f>
        <v>0.14403049773432616</v>
      </c>
      <c r="O140" s="36">
        <v>0.191</v>
      </c>
      <c r="P140" s="14">
        <v>82.5</v>
      </c>
      <c r="Q140" s="36">
        <v>0</v>
      </c>
      <c r="R140" s="14">
        <v>5.6890000000000003E-2</v>
      </c>
      <c r="S140" s="37">
        <v>745.7</v>
      </c>
      <c r="T140" s="39">
        <f>R140/S140</f>
        <v>7.6290733538956685E-5</v>
      </c>
      <c r="U140" s="21">
        <v>6.567E-5</v>
      </c>
      <c r="V140" s="44">
        <f t="shared" si="36"/>
        <v>8.7211155378486061E-6</v>
      </c>
      <c r="W140" s="44">
        <f t="shared" si="34"/>
        <v>8.5264530385073841E-7</v>
      </c>
      <c r="X140" s="45">
        <f t="shared" si="35"/>
        <v>7.0343237567685915E-5</v>
      </c>
      <c r="AE140" s="2"/>
      <c r="AG140" s="6">
        <v>6.5</v>
      </c>
      <c r="AH140">
        <f t="shared" ref="AH140:AH165" si="40">($AI$71*AG140)/($AH$71+AG140)</f>
        <v>9.5269397199350923E-5</v>
      </c>
      <c r="AI140" s="2">
        <f t="shared" ref="AI140:AI165" si="41">$AI$71</f>
        <v>9.7549999999999999E-5</v>
      </c>
      <c r="AJ140" s="2">
        <v>9.0710000000000004E-5</v>
      </c>
      <c r="AK140">
        <v>1.0119999999999999E-4</v>
      </c>
      <c r="AN140">
        <v>7.9</v>
      </c>
      <c r="AO140" s="214">
        <f t="shared" si="37"/>
        <v>9.6504430464493667E-6</v>
      </c>
      <c r="AP140" s="214">
        <f t="shared" si="38"/>
        <v>2.806505701523911E-6</v>
      </c>
      <c r="AQ140" s="213">
        <f t="shared" si="39"/>
        <v>4.9560065085302138E-6</v>
      </c>
      <c r="AZ140" s="2"/>
      <c r="BA140" s="2"/>
      <c r="BB140" s="2"/>
    </row>
    <row r="141" spans="6:54" x14ac:dyDescent="0.25">
      <c r="F141" t="s">
        <v>418</v>
      </c>
      <c r="G141" s="14" t="s">
        <v>29</v>
      </c>
      <c r="H141" s="14" t="s">
        <v>81</v>
      </c>
      <c r="I141" s="14">
        <f t="shared" si="32"/>
        <v>313.14999999999998</v>
      </c>
      <c r="J141" s="21">
        <v>0.08</v>
      </c>
      <c r="K141" s="33">
        <v>6.97</v>
      </c>
      <c r="L141" s="21">
        <v>0.12620000000000001</v>
      </c>
      <c r="M141" s="21">
        <v>0.17230000000000001</v>
      </c>
      <c r="N141" s="19">
        <f t="shared" ref="N141:N155" si="42">10^(-(1.824*10^6)/(78.54*I141)^(3/2))*SQRT(M141)</f>
        <v>0.13971818266839847</v>
      </c>
      <c r="O141" s="36">
        <v>0.28599999999999998</v>
      </c>
      <c r="P141" s="14">
        <v>82.5</v>
      </c>
      <c r="Q141" s="36">
        <v>0</v>
      </c>
      <c r="R141" s="14">
        <v>9.2910000000000006E-2</v>
      </c>
      <c r="S141" s="37">
        <v>1148</v>
      </c>
      <c r="T141" s="39">
        <f t="shared" ref="T141:T155" si="43">R141/S141</f>
        <v>8.0932055749128923E-5</v>
      </c>
      <c r="U141" s="21">
        <v>7.1429999999999999E-5</v>
      </c>
      <c r="V141" s="44">
        <f t="shared" ref="V141:V155" si="44">U141/($C$3)</f>
        <v>9.4860557768924299E-6</v>
      </c>
      <c r="W141" s="44">
        <f>T141/(N141*P141*$C$3)</f>
        <v>9.3243532697977803E-7</v>
      </c>
      <c r="X141" s="45">
        <f>W141*P141</f>
        <v>7.6925914475831688E-5</v>
      </c>
      <c r="AE141" s="2"/>
      <c r="AG141" s="6">
        <v>6.6</v>
      </c>
      <c r="AH141">
        <f t="shared" si="40"/>
        <v>9.5303155900290133E-5</v>
      </c>
      <c r="AI141" s="2">
        <f t="shared" si="41"/>
        <v>9.7549999999999999E-5</v>
      </c>
      <c r="AJ141" s="2">
        <v>9.0710000000000004E-5</v>
      </c>
      <c r="AK141">
        <v>1.0119999999999999E-4</v>
      </c>
      <c r="AN141">
        <v>8</v>
      </c>
      <c r="AO141" s="214">
        <f t="shared" si="37"/>
        <v>9.6072184351337518E-6</v>
      </c>
      <c r="AP141" s="214">
        <f t="shared" si="38"/>
        <v>2.793903193057395E-6</v>
      </c>
      <c r="AQ141" s="213">
        <f t="shared" si="39"/>
        <v>4.9334922064443587E-6</v>
      </c>
      <c r="AZ141" s="2"/>
      <c r="BA141" s="2"/>
      <c r="BB141" s="2"/>
    </row>
    <row r="142" spans="6:54" ht="15.75" thickBot="1" x14ac:dyDescent="0.3">
      <c r="F142" t="s">
        <v>418</v>
      </c>
      <c r="G142" s="173" t="s">
        <v>31</v>
      </c>
      <c r="H142" s="173" t="s">
        <v>81</v>
      </c>
      <c r="I142" s="173">
        <f t="shared" si="32"/>
        <v>313.14999999999998</v>
      </c>
      <c r="J142" s="174">
        <v>1.08</v>
      </c>
      <c r="K142" s="175">
        <v>7</v>
      </c>
      <c r="L142" s="56">
        <v>0.12620000000000001</v>
      </c>
      <c r="M142" s="56">
        <v>0.17230000000000001</v>
      </c>
      <c r="N142" s="60">
        <f t="shared" si="42"/>
        <v>0.13971818266839847</v>
      </c>
      <c r="O142" s="176">
        <v>0.38</v>
      </c>
      <c r="P142" s="173">
        <v>82.5</v>
      </c>
      <c r="Q142" s="176">
        <v>0</v>
      </c>
      <c r="R142" s="173">
        <v>9.2910000000000006E-2</v>
      </c>
      <c r="S142" s="177">
        <v>1149</v>
      </c>
      <c r="T142" s="178">
        <f t="shared" si="43"/>
        <v>8.0861618798955622E-5</v>
      </c>
      <c r="U142" s="174">
        <v>7.258E-5</v>
      </c>
      <c r="V142" s="44">
        <f t="shared" si="44"/>
        <v>9.6387782204515271E-6</v>
      </c>
      <c r="W142" s="44">
        <f>T142/(N142*P142*$C$3)</f>
        <v>9.31623807983277E-7</v>
      </c>
      <c r="X142" s="45">
        <f>W142*P142</f>
        <v>7.6858964158620349E-5</v>
      </c>
      <c r="AD142" s="11"/>
      <c r="AE142" s="2"/>
      <c r="AG142" s="6">
        <v>6.7</v>
      </c>
      <c r="AH142">
        <f t="shared" si="40"/>
        <v>9.5335929750860619E-5</v>
      </c>
      <c r="AI142" s="2">
        <f t="shared" si="41"/>
        <v>9.7549999999999999E-5</v>
      </c>
      <c r="AJ142" s="2">
        <v>9.0710000000000004E-5</v>
      </c>
      <c r="AK142">
        <v>1.0119999999999999E-4</v>
      </c>
      <c r="AN142">
        <v>8.1</v>
      </c>
      <c r="AO142" s="214">
        <f t="shared" si="37"/>
        <v>9.5643370441772969E-6</v>
      </c>
      <c r="AP142" s="214">
        <f t="shared" si="38"/>
        <v>2.7814016400705216E-6</v>
      </c>
      <c r="AQ142" s="213">
        <f t="shared" si="39"/>
        <v>4.911165445390536E-6</v>
      </c>
      <c r="AZ142" s="2"/>
      <c r="BA142" s="2"/>
      <c r="BB142" s="2"/>
    </row>
    <row r="143" spans="6:54" x14ac:dyDescent="0.25">
      <c r="F143" s="213" t="s">
        <v>418</v>
      </c>
      <c r="G143" s="40" t="s">
        <v>31</v>
      </c>
      <c r="H143" s="40" t="s">
        <v>81</v>
      </c>
      <c r="I143" s="40">
        <f>25+273.15</f>
        <v>298.14999999999998</v>
      </c>
      <c r="J143" s="41">
        <v>0.09</v>
      </c>
      <c r="K143" s="62">
        <v>6.97</v>
      </c>
      <c r="L143" s="41"/>
      <c r="M143" s="41"/>
      <c r="N143" s="45">
        <f t="shared" si="42"/>
        <v>0</v>
      </c>
      <c r="O143" s="42">
        <v>4.8000000000000001E-2</v>
      </c>
      <c r="P143" s="40">
        <v>82.5</v>
      </c>
      <c r="Q143" s="42">
        <v>0</v>
      </c>
      <c r="R143" s="40">
        <v>1.264E-2</v>
      </c>
      <c r="S143" s="43">
        <v>2071</v>
      </c>
      <c r="T143" s="44">
        <f t="shared" si="43"/>
        <v>6.1033317238049249E-6</v>
      </c>
      <c r="U143" s="41">
        <v>5.7599999999999999E-6</v>
      </c>
      <c r="V143" s="44">
        <f t="shared" si="44"/>
        <v>7.6494023904382468E-7</v>
      </c>
      <c r="W143" s="44" t="e">
        <f t="shared" ref="W143:W155" si="45">T143/(N143*P143*$C$3)</f>
        <v>#DIV/0!</v>
      </c>
      <c r="X143" s="45" t="e">
        <f t="shared" ref="X143:X155" si="46">W143*P143</f>
        <v>#DIV/0!</v>
      </c>
      <c r="AD143" s="11"/>
      <c r="AE143" s="2"/>
      <c r="AG143">
        <v>6.8</v>
      </c>
      <c r="AH143">
        <f t="shared" si="40"/>
        <v>9.5367761228362758E-5</v>
      </c>
      <c r="AI143" s="2">
        <f t="shared" si="41"/>
        <v>9.7549999999999999E-5</v>
      </c>
      <c r="AJ143" s="2">
        <v>9.0710000000000004E-5</v>
      </c>
      <c r="AK143">
        <v>1.0119999999999999E-4</v>
      </c>
      <c r="AN143">
        <v>8.1999999999999993</v>
      </c>
      <c r="AO143" s="214">
        <f t="shared" si="37"/>
        <v>9.5217963965064174E-6</v>
      </c>
      <c r="AP143" s="214">
        <f t="shared" si="38"/>
        <v>2.7690002757329697E-6</v>
      </c>
      <c r="AQ143" s="213">
        <f t="shared" si="39"/>
        <v>4.8890244925443843E-6</v>
      </c>
      <c r="AZ143" s="2"/>
      <c r="BA143" s="2"/>
      <c r="BB143" s="2"/>
    </row>
    <row r="144" spans="6:54" x14ac:dyDescent="0.25">
      <c r="F144" s="213" t="s">
        <v>418</v>
      </c>
      <c r="G144" s="14" t="s">
        <v>31</v>
      </c>
      <c r="H144" s="14" t="s">
        <v>81</v>
      </c>
      <c r="I144" s="40">
        <f>25+273.15</f>
        <v>298.14999999999998</v>
      </c>
      <c r="J144" s="21">
        <v>8.5000000000000006E-2</v>
      </c>
      <c r="K144" s="33">
        <v>6.97</v>
      </c>
      <c r="L144" s="21"/>
      <c r="M144" s="21"/>
      <c r="N144" s="19">
        <f t="shared" si="42"/>
        <v>0</v>
      </c>
      <c r="O144" s="36">
        <v>9.5000000000000001E-2</v>
      </c>
      <c r="P144" s="14">
        <v>82.5</v>
      </c>
      <c r="Q144" s="36">
        <v>0</v>
      </c>
      <c r="R144" s="14">
        <v>2.0080000000000001E-2</v>
      </c>
      <c r="S144" s="37">
        <v>3431</v>
      </c>
      <c r="T144" s="39">
        <f t="shared" si="43"/>
        <v>5.8525211308656368E-6</v>
      </c>
      <c r="U144" s="21">
        <v>7.2960000000000001E-6</v>
      </c>
      <c r="V144" s="44">
        <f t="shared" si="44"/>
        <v>9.6892430278884455E-7</v>
      </c>
      <c r="W144" s="44" t="e">
        <f t="shared" si="45"/>
        <v>#DIV/0!</v>
      </c>
      <c r="X144" s="45" t="e">
        <f t="shared" si="46"/>
        <v>#DIV/0!</v>
      </c>
      <c r="AD144" s="11"/>
      <c r="AE144" s="2"/>
      <c r="AG144" s="6">
        <v>6.9</v>
      </c>
      <c r="AH144">
        <f t="shared" si="40"/>
        <v>9.5398690401950233E-5</v>
      </c>
      <c r="AI144" s="2">
        <f t="shared" si="41"/>
        <v>9.7549999999999999E-5</v>
      </c>
      <c r="AJ144" s="2">
        <v>9.0710000000000004E-5</v>
      </c>
      <c r="AK144">
        <v>1.0119999999999999E-4</v>
      </c>
      <c r="AN144">
        <v>8.3000000000000007</v>
      </c>
      <c r="AO144" s="214">
        <f t="shared" si="37"/>
        <v>9.4795939497026721E-6</v>
      </c>
      <c r="AP144" s="214">
        <f t="shared" si="38"/>
        <v>2.7566983164944644E-6</v>
      </c>
      <c r="AQ144" s="213">
        <f t="shared" si="39"/>
        <v>4.8670676042617334E-6</v>
      </c>
      <c r="AZ144" s="2"/>
      <c r="BA144" s="2"/>
      <c r="BB144" s="2"/>
    </row>
    <row r="145" spans="6:54" x14ac:dyDescent="0.25">
      <c r="F145" s="213" t="s">
        <v>418</v>
      </c>
      <c r="G145" s="14" t="s">
        <v>31</v>
      </c>
      <c r="H145" s="14" t="s">
        <v>81</v>
      </c>
      <c r="I145" s="40">
        <f>25+273.15</f>
        <v>298.14999999999998</v>
      </c>
      <c r="J145" s="21">
        <v>0.08</v>
      </c>
      <c r="K145" s="33">
        <v>6.97</v>
      </c>
      <c r="L145" s="21"/>
      <c r="M145" s="21"/>
      <c r="N145" s="19">
        <f t="shared" si="42"/>
        <v>0</v>
      </c>
      <c r="O145" s="36">
        <v>0.14299999999999999</v>
      </c>
      <c r="P145" s="14">
        <v>82.5</v>
      </c>
      <c r="Q145" s="36">
        <v>0</v>
      </c>
      <c r="R145" s="14">
        <v>3.236E-2</v>
      </c>
      <c r="S145" s="37">
        <v>2138</v>
      </c>
      <c r="T145" s="39">
        <f t="shared" si="43"/>
        <v>1.5135640785781104E-5</v>
      </c>
      <c r="U145" s="21">
        <v>1.344E-5</v>
      </c>
      <c r="V145" s="44">
        <f t="shared" si="44"/>
        <v>1.7848605577689242E-6</v>
      </c>
      <c r="W145" s="44" t="e">
        <f t="shared" si="45"/>
        <v>#DIV/0!</v>
      </c>
      <c r="X145" s="45" t="e">
        <f t="shared" si="46"/>
        <v>#DIV/0!</v>
      </c>
      <c r="AD145" s="11"/>
      <c r="AE145" s="2"/>
      <c r="AG145" s="6">
        <v>7</v>
      </c>
      <c r="AH145">
        <f t="shared" si="40"/>
        <v>9.5428755100900002E-5</v>
      </c>
      <c r="AI145" s="2">
        <f t="shared" si="41"/>
        <v>9.7549999999999999E-5</v>
      </c>
      <c r="AJ145" s="2">
        <v>9.0710000000000004E-5</v>
      </c>
      <c r="AK145">
        <v>1.0119999999999999E-4</v>
      </c>
      <c r="AN145">
        <v>8.4</v>
      </c>
      <c r="AO145" s="214">
        <f t="shared" si="37"/>
        <v>9.4377271040173213E-6</v>
      </c>
      <c r="AP145" s="214">
        <f t="shared" si="38"/>
        <v>2.7444949642817999E-6</v>
      </c>
      <c r="AQ145" s="213">
        <f t="shared" si="39"/>
        <v>4.8452930288565669E-6</v>
      </c>
      <c r="AZ145" s="2"/>
      <c r="BA145" s="2"/>
      <c r="BB145" s="2"/>
    </row>
    <row r="146" spans="6:54" ht="15.75" thickBot="1" x14ac:dyDescent="0.3">
      <c r="F146" s="213" t="s">
        <v>418</v>
      </c>
      <c r="G146" s="55" t="s">
        <v>31</v>
      </c>
      <c r="H146" s="55" t="s">
        <v>81</v>
      </c>
      <c r="I146" s="55">
        <f>25+273.15</f>
        <v>298.14999999999998</v>
      </c>
      <c r="J146" s="56">
        <v>7.4999999999999997E-2</v>
      </c>
      <c r="K146" s="63">
        <v>6.97</v>
      </c>
      <c r="L146" s="56"/>
      <c r="M146" s="56"/>
      <c r="N146" s="19">
        <f t="shared" si="42"/>
        <v>0</v>
      </c>
      <c r="O146" s="57">
        <v>0.191</v>
      </c>
      <c r="P146" s="55">
        <v>82.5</v>
      </c>
      <c r="Q146" s="57">
        <v>0</v>
      </c>
      <c r="R146" s="55">
        <v>4.1540000000000001E-2</v>
      </c>
      <c r="S146" s="58">
        <v>2421</v>
      </c>
      <c r="T146" s="59">
        <f t="shared" si="43"/>
        <v>1.7158199091284593E-5</v>
      </c>
      <c r="U146" s="56">
        <v>1.4980000000000001E-5</v>
      </c>
      <c r="V146" s="44">
        <f t="shared" si="44"/>
        <v>1.9893758300132804E-6</v>
      </c>
      <c r="W146" s="44" t="e">
        <f t="shared" si="45"/>
        <v>#DIV/0!</v>
      </c>
      <c r="X146" s="45" t="e">
        <f t="shared" si="46"/>
        <v>#DIV/0!</v>
      </c>
      <c r="AD146" s="11"/>
      <c r="AE146" s="2"/>
      <c r="AG146" s="6">
        <v>7.1</v>
      </c>
      <c r="AH146">
        <f t="shared" si="40"/>
        <v>9.545799106896743E-5</v>
      </c>
      <c r="AI146" s="2">
        <f t="shared" si="41"/>
        <v>9.7549999999999999E-5</v>
      </c>
      <c r="AJ146" s="2">
        <v>9.0710000000000004E-5</v>
      </c>
      <c r="AK146">
        <v>1.0119999999999999E-4</v>
      </c>
      <c r="AN146">
        <v>8.5</v>
      </c>
      <c r="AO146" s="214">
        <f t="shared" si="37"/>
        <v>9.3961932097161123E-6</v>
      </c>
      <c r="AP146" s="214">
        <f t="shared" si="38"/>
        <v>2.7323894085102133E-6</v>
      </c>
      <c r="AQ146" s="213">
        <f t="shared" si="39"/>
        <v>4.8236990091269399E-6</v>
      </c>
      <c r="AZ146" s="2"/>
      <c r="BA146" s="2"/>
      <c r="BB146" s="2"/>
    </row>
    <row r="147" spans="6:54" x14ac:dyDescent="0.25">
      <c r="F147" s="213" t="s">
        <v>418</v>
      </c>
      <c r="G147" s="40" t="s">
        <v>77</v>
      </c>
      <c r="H147" s="40" t="s">
        <v>81</v>
      </c>
      <c r="I147" s="40">
        <f>35+273.15</f>
        <v>308.14999999999998</v>
      </c>
      <c r="J147" s="21">
        <v>0.09</v>
      </c>
      <c r="K147" s="62">
        <v>7</v>
      </c>
      <c r="L147" s="41"/>
      <c r="M147" s="41"/>
      <c r="N147" s="19">
        <f t="shared" si="42"/>
        <v>0</v>
      </c>
      <c r="O147" s="42">
        <v>9.5000000000000001E-2</v>
      </c>
      <c r="P147" s="40">
        <v>82.5</v>
      </c>
      <c r="Q147" s="42">
        <v>0</v>
      </c>
      <c r="R147" s="40">
        <v>2.1059999999999999E-2</v>
      </c>
      <c r="S147" s="40">
        <v>731.5</v>
      </c>
      <c r="T147" s="44">
        <f t="shared" si="43"/>
        <v>2.8790157211209841E-5</v>
      </c>
      <c r="U147" s="41">
        <v>2.4579999999999998E-5</v>
      </c>
      <c r="V147" s="44">
        <f t="shared" si="44"/>
        <v>3.2642762284196544E-6</v>
      </c>
      <c r="W147" s="44" t="e">
        <f t="shared" si="45"/>
        <v>#DIV/0!</v>
      </c>
      <c r="X147" s="45" t="e">
        <f t="shared" si="46"/>
        <v>#DIV/0!</v>
      </c>
      <c r="AD147" s="11"/>
      <c r="AE147" s="2"/>
      <c r="AG147">
        <v>7.2</v>
      </c>
      <c r="AH147">
        <f t="shared" si="40"/>
        <v>9.5486432106150408E-5</v>
      </c>
      <c r="AI147" s="2">
        <f t="shared" si="41"/>
        <v>9.7549999999999999E-5</v>
      </c>
      <c r="AJ147" s="2">
        <v>9.0710000000000004E-5</v>
      </c>
      <c r="AK147">
        <v>1.0119999999999999E-4</v>
      </c>
      <c r="AN147">
        <v>8.6</v>
      </c>
      <c r="AO147" s="214">
        <f t="shared" si="37"/>
        <v>9.3549895738113546E-6</v>
      </c>
      <c r="AP147" s="214">
        <f t="shared" si="38"/>
        <v>2.7203808279250166E-6</v>
      </c>
      <c r="AQ147" s="213">
        <f t="shared" si="39"/>
        <v>4.8022837846509374E-6</v>
      </c>
      <c r="AZ147" s="2"/>
      <c r="BA147" s="2"/>
      <c r="BB147" s="2"/>
    </row>
    <row r="148" spans="6:54" x14ac:dyDescent="0.25">
      <c r="F148" s="213" t="s">
        <v>418</v>
      </c>
      <c r="G148" s="14" t="s">
        <v>77</v>
      </c>
      <c r="H148" s="14" t="s">
        <v>81</v>
      </c>
      <c r="I148" s="40">
        <f>35+273.15</f>
        <v>308.14999999999998</v>
      </c>
      <c r="J148" s="21">
        <v>8.5000000000000006E-2</v>
      </c>
      <c r="K148" s="33">
        <v>7</v>
      </c>
      <c r="L148" s="21"/>
      <c r="M148" s="21"/>
      <c r="N148" s="19">
        <f t="shared" si="42"/>
        <v>0</v>
      </c>
      <c r="O148" s="36">
        <v>0.191</v>
      </c>
      <c r="P148" s="14">
        <v>82.5</v>
      </c>
      <c r="Q148" s="36">
        <v>0</v>
      </c>
      <c r="R148" s="14">
        <v>4.5679999999999998E-2</v>
      </c>
      <c r="S148" s="14">
        <v>1142</v>
      </c>
      <c r="T148" s="39">
        <f t="shared" si="43"/>
        <v>3.9999999999999996E-5</v>
      </c>
      <c r="U148" s="21">
        <v>3.6869999999999998E-5</v>
      </c>
      <c r="V148" s="44">
        <f t="shared" si="44"/>
        <v>4.8964143426294818E-6</v>
      </c>
      <c r="W148" s="44" t="e">
        <f t="shared" si="45"/>
        <v>#DIV/0!</v>
      </c>
      <c r="X148" s="45" t="e">
        <f t="shared" si="46"/>
        <v>#DIV/0!</v>
      </c>
      <c r="AD148" s="11"/>
      <c r="AE148" s="2"/>
      <c r="AG148" s="6">
        <v>7.3</v>
      </c>
      <c r="AH148">
        <f t="shared" si="40"/>
        <v>9.5514110199045006E-5</v>
      </c>
      <c r="AI148" s="2">
        <f t="shared" si="41"/>
        <v>9.7549999999999999E-5</v>
      </c>
      <c r="AJ148" s="2">
        <v>9.0710000000000004E-5</v>
      </c>
      <c r="AK148">
        <v>1.0119999999999999E-4</v>
      </c>
      <c r="AN148">
        <v>8.6999999999999993</v>
      </c>
      <c r="AO148" s="214">
        <f t="shared" si="37"/>
        <v>9.3141134662331058E-6</v>
      </c>
      <c r="AP148" s="214">
        <f t="shared" si="38"/>
        <v>2.708468392287877E-6</v>
      </c>
      <c r="AQ148" s="213">
        <f t="shared" si="39"/>
        <v>4.7810455938726931E-6</v>
      </c>
      <c r="AZ148" s="2"/>
      <c r="BA148" s="2"/>
      <c r="BB148" s="2"/>
    </row>
    <row r="149" spans="6:54" x14ac:dyDescent="0.25">
      <c r="F149" s="213" t="s">
        <v>418</v>
      </c>
      <c r="G149" s="14" t="s">
        <v>77</v>
      </c>
      <c r="H149" s="14" t="s">
        <v>81</v>
      </c>
      <c r="I149" s="40">
        <f>35+273.15</f>
        <v>308.14999999999998</v>
      </c>
      <c r="J149" s="21">
        <v>0.08</v>
      </c>
      <c r="K149" s="33">
        <v>7</v>
      </c>
      <c r="L149" s="21"/>
      <c r="M149" s="21"/>
      <c r="N149" s="19">
        <f t="shared" si="42"/>
        <v>0</v>
      </c>
      <c r="O149" s="36">
        <v>0.28599999999999998</v>
      </c>
      <c r="P149" s="14">
        <v>82.5</v>
      </c>
      <c r="Q149" s="36">
        <v>0</v>
      </c>
      <c r="R149" s="14">
        <v>7.0529999999999995E-2</v>
      </c>
      <c r="S149" s="14">
        <v>1599</v>
      </c>
      <c r="T149" s="39">
        <f t="shared" si="43"/>
        <v>4.410881801125703E-5</v>
      </c>
      <c r="U149" s="21">
        <v>3.8399999999999998E-5</v>
      </c>
      <c r="V149" s="44">
        <f t="shared" si="44"/>
        <v>5.0996015936254978E-6</v>
      </c>
      <c r="W149" s="44" t="e">
        <f t="shared" si="45"/>
        <v>#DIV/0!</v>
      </c>
      <c r="X149" s="45" t="e">
        <f t="shared" si="46"/>
        <v>#DIV/0!</v>
      </c>
      <c r="AD149" s="11"/>
      <c r="AE149" s="2"/>
      <c r="AG149" s="6">
        <v>7.4</v>
      </c>
      <c r="AH149">
        <f t="shared" si="40"/>
        <v>9.5541055640849173E-5</v>
      </c>
      <c r="AI149" s="2">
        <f t="shared" si="41"/>
        <v>9.7549999999999999E-5</v>
      </c>
      <c r="AJ149" s="2">
        <v>9.0710000000000004E-5</v>
      </c>
      <c r="AK149">
        <v>1.0119999999999999E-4</v>
      </c>
      <c r="AN149">
        <v>8.8000000000000007</v>
      </c>
      <c r="AO149" s="214">
        <f t="shared" si="37"/>
        <v>9.2735621254865198E-6</v>
      </c>
      <c r="AP149" s="214">
        <f t="shared" si="38"/>
        <v>2.6966512639208534E-6</v>
      </c>
      <c r="AQ149" s="213">
        <f t="shared" si="39"/>
        <v>4.759982675996614E-6</v>
      </c>
      <c r="AZ149" s="2"/>
      <c r="BA149" s="2"/>
      <c r="BB149" s="2"/>
    </row>
    <row r="150" spans="6:54" ht="15.75" thickBot="1" x14ac:dyDescent="0.3">
      <c r="F150" s="213" t="s">
        <v>418</v>
      </c>
      <c r="G150" s="55" t="s">
        <v>77</v>
      </c>
      <c r="H150" s="55" t="s">
        <v>81</v>
      </c>
      <c r="I150" s="55">
        <f>35+273.15</f>
        <v>308.14999999999998</v>
      </c>
      <c r="J150" s="56">
        <v>7.4999999999999997E-2</v>
      </c>
      <c r="K150" s="63">
        <v>7</v>
      </c>
      <c r="L150" s="56"/>
      <c r="M150" s="56"/>
      <c r="N150" s="60">
        <f t="shared" si="42"/>
        <v>0</v>
      </c>
      <c r="O150" s="57">
        <v>0.38100000000000001</v>
      </c>
      <c r="P150" s="55">
        <v>82.5</v>
      </c>
      <c r="Q150" s="57">
        <v>0</v>
      </c>
      <c r="R150" s="55">
        <v>8.0799999999999997E-2</v>
      </c>
      <c r="S150" s="55">
        <v>1595</v>
      </c>
      <c r="T150" s="59">
        <f t="shared" si="43"/>
        <v>5.0658307210031348E-5</v>
      </c>
      <c r="U150" s="56">
        <v>4.4159999999999997E-5</v>
      </c>
      <c r="V150" s="44">
        <f t="shared" si="44"/>
        <v>5.8645418326693225E-6</v>
      </c>
      <c r="W150" s="44" t="e">
        <f t="shared" si="45"/>
        <v>#DIV/0!</v>
      </c>
      <c r="X150" s="45" t="e">
        <f t="shared" si="46"/>
        <v>#DIV/0!</v>
      </c>
      <c r="AD150" s="11"/>
      <c r="AE150" s="2"/>
      <c r="AG150" s="6">
        <v>7.5</v>
      </c>
      <c r="AH150">
        <f t="shared" si="40"/>
        <v>9.5567297141961442E-5</v>
      </c>
      <c r="AI150" s="2">
        <f t="shared" si="41"/>
        <v>9.7549999999999999E-5</v>
      </c>
      <c r="AJ150" s="2">
        <v>9.0710000000000004E-5</v>
      </c>
      <c r="AK150">
        <v>1.0119999999999999E-4</v>
      </c>
      <c r="AN150">
        <v>8.9</v>
      </c>
      <c r="AO150" s="214">
        <f t="shared" si="37"/>
        <v>9.2333327638381939E-6</v>
      </c>
      <c r="AP150" s="214">
        <f t="shared" si="38"/>
        <v>2.6849285991200877E-6</v>
      </c>
      <c r="AQ150" s="213">
        <f t="shared" si="39"/>
        <v>4.739093272706302E-6</v>
      </c>
      <c r="AZ150" s="2"/>
      <c r="BA150" s="2"/>
      <c r="BB150" s="2"/>
    </row>
    <row r="151" spans="6:54" x14ac:dyDescent="0.25">
      <c r="F151" s="213" t="s">
        <v>418</v>
      </c>
      <c r="G151" s="40" t="s">
        <v>123</v>
      </c>
      <c r="H151" s="40" t="s">
        <v>81</v>
      </c>
      <c r="I151" s="40">
        <v>298.14999999999998</v>
      </c>
      <c r="J151" s="41">
        <v>0.09</v>
      </c>
      <c r="K151" s="62">
        <v>7.5</v>
      </c>
      <c r="L151" s="41">
        <v>0.16289999999999999</v>
      </c>
      <c r="M151" s="41">
        <v>0.23580000000000001</v>
      </c>
      <c r="N151" s="45">
        <f t="shared" si="42"/>
        <v>0.15040083048310135</v>
      </c>
      <c r="O151" s="42">
        <v>0.05</v>
      </c>
      <c r="P151" s="40">
        <v>82.5</v>
      </c>
      <c r="Q151" s="42">
        <v>0</v>
      </c>
      <c r="R151" s="53">
        <v>1.366E-2</v>
      </c>
      <c r="S151" s="53">
        <v>1341</v>
      </c>
      <c r="T151" s="44">
        <f t="shared" si="43"/>
        <v>1.0186428038777032E-5</v>
      </c>
      <c r="U151" s="41">
        <v>1.0370000000000001E-5</v>
      </c>
      <c r="V151" s="44">
        <f t="shared" si="44"/>
        <v>1.3771580345285525E-6</v>
      </c>
      <c r="W151" s="44">
        <f t="shared" si="45"/>
        <v>1.090241633013672E-7</v>
      </c>
      <c r="X151" s="45">
        <f t="shared" si="46"/>
        <v>8.9944934723627944E-6</v>
      </c>
      <c r="AD151" s="11"/>
      <c r="AE151" s="2"/>
      <c r="AG151">
        <v>7.6</v>
      </c>
      <c r="AH151">
        <f t="shared" si="40"/>
        <v>9.5592861932023316E-5</v>
      </c>
      <c r="AI151" s="2">
        <f t="shared" si="41"/>
        <v>9.7549999999999999E-5</v>
      </c>
      <c r="AJ151" s="2">
        <v>9.0710000000000004E-5</v>
      </c>
      <c r="AK151">
        <v>1.0119999999999999E-4</v>
      </c>
      <c r="AN151">
        <v>9</v>
      </c>
      <c r="AO151" s="214">
        <f t="shared" si="37"/>
        <v>9.1934225720704105E-6</v>
      </c>
      <c r="AP151" s="214">
        <f t="shared" si="38"/>
        <v>2.6732995494499772E-6</v>
      </c>
      <c r="AQ151" s="213">
        <f t="shared" si="39"/>
        <v>4.7183756297231654E-6</v>
      </c>
      <c r="AZ151" s="2"/>
      <c r="BA151" s="2"/>
      <c r="BB151" s="2"/>
    </row>
    <row r="152" spans="6:54" x14ac:dyDescent="0.25">
      <c r="F152" s="213" t="s">
        <v>418</v>
      </c>
      <c r="G152" s="14" t="s">
        <v>123</v>
      </c>
      <c r="H152" s="40" t="s">
        <v>81</v>
      </c>
      <c r="I152" s="14">
        <v>298.14999999999998</v>
      </c>
      <c r="J152" s="21">
        <v>8.5000000000000006E-2</v>
      </c>
      <c r="K152" s="33">
        <v>7.5</v>
      </c>
      <c r="L152" s="21">
        <v>0.15390000000000001</v>
      </c>
      <c r="M152" s="21">
        <v>0.22270000000000001</v>
      </c>
      <c r="N152" s="19">
        <f t="shared" si="42"/>
        <v>0.14616333458195777</v>
      </c>
      <c r="O152" s="36">
        <v>0.1</v>
      </c>
      <c r="P152" s="14">
        <v>82.5</v>
      </c>
      <c r="Q152" s="36">
        <v>0</v>
      </c>
      <c r="R152" s="35">
        <v>5.3519999999999998E-2</v>
      </c>
      <c r="S152" s="35">
        <v>3940</v>
      </c>
      <c r="T152" s="39">
        <f t="shared" si="43"/>
        <v>1.3583756345177664E-5</v>
      </c>
      <c r="U152" s="21">
        <v>1.5359999999999999E-5</v>
      </c>
      <c r="V152" s="44">
        <f t="shared" si="44"/>
        <v>2.0398406374501991E-6</v>
      </c>
      <c r="W152" s="44">
        <f t="shared" si="45"/>
        <v>1.4960031765677932E-7</v>
      </c>
      <c r="X152" s="45">
        <f t="shared" si="46"/>
        <v>1.2342026206684294E-5</v>
      </c>
      <c r="AD152" s="11"/>
      <c r="AE152" s="2"/>
      <c r="AG152" s="6">
        <v>7.7</v>
      </c>
      <c r="AH152">
        <f t="shared" si="40"/>
        <v>9.5617775854167725E-5</v>
      </c>
      <c r="AI152" s="2">
        <f t="shared" si="41"/>
        <v>9.7549999999999999E-5</v>
      </c>
      <c r="AJ152" s="2">
        <v>9.0710000000000004E-5</v>
      </c>
      <c r="AK152">
        <v>1.0119999999999999E-4</v>
      </c>
      <c r="AN152">
        <v>9.1</v>
      </c>
      <c r="AO152" s="214">
        <f t="shared" si="37"/>
        <v>9.1538287238388494E-6</v>
      </c>
      <c r="AP152" s="214">
        <f t="shared" si="38"/>
        <v>2.6617632629277039E-6</v>
      </c>
      <c r="AQ152" s="213">
        <f t="shared" si="39"/>
        <v>4.6978279982183467E-6</v>
      </c>
      <c r="AZ152" s="2"/>
      <c r="BA152" s="2"/>
      <c r="BB152" s="2"/>
    </row>
    <row r="153" spans="6:54" x14ac:dyDescent="0.25">
      <c r="F153" s="213" t="s">
        <v>418</v>
      </c>
      <c r="G153" s="14" t="s">
        <v>123</v>
      </c>
      <c r="H153" s="40" t="s">
        <v>81</v>
      </c>
      <c r="I153" s="14">
        <v>298.14999999999998</v>
      </c>
      <c r="J153" s="21">
        <v>0.08</v>
      </c>
      <c r="K153" s="33">
        <v>7.5</v>
      </c>
      <c r="L153" s="21">
        <v>0.14480000000000001</v>
      </c>
      <c r="M153" s="21">
        <v>0.20960000000000001</v>
      </c>
      <c r="N153" s="19">
        <f t="shared" si="42"/>
        <v>0.14179926284091915</v>
      </c>
      <c r="O153" s="36">
        <v>0.14000000000000001</v>
      </c>
      <c r="P153" s="14">
        <v>82.5</v>
      </c>
      <c r="Q153" s="36">
        <v>0</v>
      </c>
      <c r="R153" s="35">
        <v>3.9149999999999997E-2</v>
      </c>
      <c r="S153" s="35">
        <v>1875</v>
      </c>
      <c r="T153" s="39">
        <f t="shared" si="43"/>
        <v>2.088E-5</v>
      </c>
      <c r="U153" s="21">
        <v>1.6900000000000001E-5</v>
      </c>
      <c r="V153" s="44">
        <f t="shared" si="44"/>
        <v>2.2443559096945553E-6</v>
      </c>
      <c r="W153" s="44">
        <f t="shared" si="45"/>
        <v>2.3703233592369295E-7</v>
      </c>
      <c r="X153" s="45">
        <f t="shared" si="46"/>
        <v>1.9555167713704668E-5</v>
      </c>
      <c r="AD153" s="11"/>
      <c r="AE153" s="2"/>
      <c r="AG153" s="6">
        <v>7.8</v>
      </c>
      <c r="AH153">
        <f t="shared" si="40"/>
        <v>9.5642063452159492E-5</v>
      </c>
      <c r="AI153" s="2">
        <f t="shared" si="41"/>
        <v>9.7549999999999999E-5</v>
      </c>
      <c r="AJ153" s="2">
        <v>9.0710000000000004E-5</v>
      </c>
      <c r="AK153">
        <v>1.0119999999999999E-4</v>
      </c>
      <c r="AN153">
        <v>9.1999999999999993</v>
      </c>
      <c r="AO153" s="214">
        <f t="shared" si="37"/>
        <v>9.1145483796660491E-6</v>
      </c>
      <c r="AP153" s="214">
        <f t="shared" si="38"/>
        <v>2.6503188851071082E-6</v>
      </c>
      <c r="AQ153" s="213">
        <f t="shared" si="39"/>
        <v>4.6774486360903836E-6</v>
      </c>
      <c r="AZ153" s="2"/>
      <c r="BA153" s="2"/>
      <c r="BB153" s="2"/>
    </row>
    <row r="154" spans="6:54" x14ac:dyDescent="0.25">
      <c r="F154" s="213" t="s">
        <v>418</v>
      </c>
      <c r="G154" s="14" t="s">
        <v>123</v>
      </c>
      <c r="H154" s="40" t="s">
        <v>81</v>
      </c>
      <c r="I154" s="14">
        <v>298.14999999999998</v>
      </c>
      <c r="J154" s="21">
        <v>7.4999999999999997E-2</v>
      </c>
      <c r="K154" s="33">
        <v>7.5</v>
      </c>
      <c r="L154" s="21">
        <v>0.1358</v>
      </c>
      <c r="M154" s="21">
        <v>0.19650000000000001</v>
      </c>
      <c r="N154" s="19">
        <f t="shared" si="42"/>
        <v>0.13729654587184204</v>
      </c>
      <c r="O154" s="36">
        <v>0.19</v>
      </c>
      <c r="P154" s="14">
        <v>82.5</v>
      </c>
      <c r="Q154" s="36">
        <v>0</v>
      </c>
      <c r="R154" s="35">
        <v>5.2569999999999999E-2</v>
      </c>
      <c r="S154" s="35">
        <v>2095</v>
      </c>
      <c r="T154" s="39">
        <f t="shared" si="43"/>
        <v>2.5093078758949881E-5</v>
      </c>
      <c r="U154" s="21">
        <v>2.0740000000000001E-5</v>
      </c>
      <c r="V154" s="44">
        <f t="shared" si="44"/>
        <v>2.754316069057105E-6</v>
      </c>
      <c r="W154" s="44">
        <f t="shared" si="45"/>
        <v>2.9420185969382898E-7</v>
      </c>
      <c r="X154" s="45">
        <f t="shared" si="46"/>
        <v>2.4271653424740892E-5</v>
      </c>
      <c r="AG154" s="6">
        <v>7.9</v>
      </c>
      <c r="AH154">
        <f t="shared" si="40"/>
        <v>9.5665748051045234E-5</v>
      </c>
      <c r="AI154" s="2">
        <f t="shared" si="41"/>
        <v>9.7549999999999999E-5</v>
      </c>
      <c r="AJ154" s="2">
        <v>9.0710000000000004E-5</v>
      </c>
      <c r="AK154">
        <v>1.0119999999999999E-4</v>
      </c>
      <c r="AN154">
        <v>9.3000000000000007</v>
      </c>
      <c r="AO154" s="214">
        <f t="shared" si="37"/>
        <v>9.0755786906002274E-6</v>
      </c>
      <c r="AP154" s="214">
        <f t="shared" si="38"/>
        <v>2.6389655600701162E-6</v>
      </c>
      <c r="AQ154" s="213">
        <f t="shared" si="39"/>
        <v>4.657235809119899E-6</v>
      </c>
      <c r="AZ154" s="2"/>
      <c r="BA154" s="2"/>
      <c r="BB154" s="2"/>
    </row>
    <row r="155" spans="6:54" x14ac:dyDescent="0.25">
      <c r="G155" s="14"/>
      <c r="H155" s="14"/>
      <c r="I155" s="14"/>
      <c r="J155" s="21"/>
      <c r="K155" s="33"/>
      <c r="L155" s="21"/>
      <c r="M155" s="21"/>
      <c r="N155" s="19" t="e">
        <f t="shared" si="42"/>
        <v>#DIV/0!</v>
      </c>
      <c r="O155" s="36"/>
      <c r="P155" s="14"/>
      <c r="Q155" s="36"/>
      <c r="R155" s="35"/>
      <c r="S155" s="35"/>
      <c r="T155" s="39" t="e">
        <f t="shared" si="43"/>
        <v>#DIV/0!</v>
      </c>
      <c r="U155" s="21"/>
      <c r="V155" s="44">
        <f t="shared" si="44"/>
        <v>0</v>
      </c>
      <c r="W155" s="44" t="e">
        <f t="shared" si="45"/>
        <v>#DIV/0!</v>
      </c>
      <c r="X155" s="45" t="e">
        <f t="shared" si="46"/>
        <v>#DIV/0!</v>
      </c>
      <c r="AG155">
        <v>8</v>
      </c>
      <c r="AH155">
        <f t="shared" si="40"/>
        <v>9.5688851831870133E-5</v>
      </c>
      <c r="AI155" s="2">
        <f t="shared" si="41"/>
        <v>9.7549999999999999E-5</v>
      </c>
      <c r="AJ155" s="2">
        <v>9.0710000000000004E-5</v>
      </c>
      <c r="AK155">
        <v>1.0119999999999999E-4</v>
      </c>
      <c r="AN155">
        <v>9.4</v>
      </c>
      <c r="AO155" s="214">
        <f t="shared" si="37"/>
        <v>9.0369168015663856E-6</v>
      </c>
      <c r="AP155" s="214">
        <f t="shared" si="38"/>
        <v>2.6277024313332082E-6</v>
      </c>
      <c r="AQ155" s="213">
        <f t="shared" si="39"/>
        <v>4.6371877920116586E-6</v>
      </c>
      <c r="AZ155" s="2"/>
      <c r="BA155" s="2"/>
      <c r="BB155" s="2"/>
    </row>
    <row r="156" spans="6:54" x14ac:dyDescent="0.25">
      <c r="AG156" s="6">
        <v>8.1</v>
      </c>
      <c r="AH156">
        <f t="shared" si="40"/>
        <v>9.5711395900964199E-5</v>
      </c>
      <c r="AI156" s="2">
        <f t="shared" si="41"/>
        <v>9.7549999999999999E-5</v>
      </c>
      <c r="AJ156" s="2">
        <v>9.0710000000000004E-5</v>
      </c>
      <c r="AK156">
        <v>1.0119999999999999E-4</v>
      </c>
      <c r="AN156">
        <v>9.5</v>
      </c>
      <c r="AO156" s="214">
        <f t="shared" si="37"/>
        <v>8.9985598544343788E-6</v>
      </c>
      <c r="AP156" s="214">
        <f t="shared" si="38"/>
        <v>2.616528642675791E-6</v>
      </c>
      <c r="AQ156" s="213">
        <f t="shared" si="39"/>
        <v>4.6173028693333837E-6</v>
      </c>
      <c r="AZ156" s="2"/>
      <c r="BA156" s="2"/>
      <c r="BB156" s="2"/>
    </row>
    <row r="157" spans="6:54" x14ac:dyDescent="0.25">
      <c r="AG157" s="6">
        <v>8.1999999999999993</v>
      </c>
      <c r="AH157">
        <f t="shared" si="40"/>
        <v>9.5733400354253438E-5</v>
      </c>
      <c r="AI157" s="2">
        <f t="shared" si="41"/>
        <v>9.7549999999999999E-5</v>
      </c>
      <c r="AJ157" s="2">
        <v>9.0710000000000004E-5</v>
      </c>
      <c r="AK157">
        <v>1.0119999999999999E-4</v>
      </c>
      <c r="AN157">
        <v>9.6</v>
      </c>
      <c r="AO157" s="214">
        <f xml:space="preserve"> $AP$57*AN157/($AP$58+AN157+AN157*AN157/$AP$59)</f>
        <v>8.960504990826515E-6</v>
      </c>
      <c r="AP157" s="214">
        <f t="shared" si="38"/>
        <v>2.6054433388967169E-6</v>
      </c>
      <c r="AQ157" s="213">
        <f t="shared" si="39"/>
        <v>4.5975793363599173E-6</v>
      </c>
      <c r="AZ157" s="2"/>
      <c r="BA157" s="2"/>
      <c r="BB157" s="2"/>
    </row>
    <row r="158" spans="6:54" x14ac:dyDescent="0.25">
      <c r="AG158" s="6">
        <v>8.3000000000000007</v>
      </c>
      <c r="AH158">
        <f t="shared" si="40"/>
        <v>9.5754884337007437E-5</v>
      </c>
      <c r="AI158" s="2">
        <f t="shared" si="41"/>
        <v>9.7549999999999999E-5</v>
      </c>
      <c r="AJ158" s="2">
        <v>9.0710000000000004E-5</v>
      </c>
      <c r="AK158">
        <v>1.0119999999999999E-4</v>
      </c>
      <c r="AN158">
        <v>9.6999999999999993</v>
      </c>
      <c r="AO158" s="214">
        <f xml:space="preserve"> $AP$57*AN158/($AP$58+AN158+AN158*AN158/$AP$59)</f>
        <v>8.9227493546853151E-6</v>
      </c>
      <c r="AP158" s="214">
        <f t="shared" si="38"/>
        <v>2.5944456665047024E-6</v>
      </c>
      <c r="AQ158" s="213">
        <f t="shared" si="39"/>
        <v>4.5780154998306272E-6</v>
      </c>
      <c r="AZ158" s="2"/>
      <c r="BA158" s="2"/>
      <c r="BB158" s="2"/>
    </row>
    <row r="159" spans="6:54" x14ac:dyDescent="0.25">
      <c r="AG159">
        <v>8.4</v>
      </c>
      <c r="AH159">
        <f t="shared" si="40"/>
        <v>9.5775866099396897E-5</v>
      </c>
      <c r="AI159" s="2">
        <f t="shared" si="41"/>
        <v>9.7549999999999999E-5</v>
      </c>
      <c r="AJ159" s="2">
        <v>9.0710000000000004E-5</v>
      </c>
      <c r="AK159">
        <v>1.0119999999999999E-4</v>
      </c>
      <c r="AN159">
        <v>9.8000000000000007</v>
      </c>
      <c r="AO159" s="214">
        <f xml:space="preserve"> $AP$57*AN159/($AP$58+AN159+AN159*AN159/$AP$59)</f>
        <v>8.8852900946203857E-6</v>
      </c>
      <c r="AP159" s="214">
        <f t="shared" si="38"/>
        <v>2.5835347743478816E-6</v>
      </c>
      <c r="AQ159" s="213">
        <f t="shared" si="39"/>
        <v>4.5586096786271885E-6</v>
      </c>
      <c r="AZ159" s="2"/>
      <c r="BA159" s="2"/>
      <c r="BB159" s="2"/>
    </row>
    <row r="160" spans="6:54" x14ac:dyDescent="0.25">
      <c r="AG160" s="6">
        <v>8.5</v>
      </c>
      <c r="AH160">
        <f t="shared" si="40"/>
        <v>9.5796363048200012E-5</v>
      </c>
      <c r="AI160" s="2">
        <f t="shared" si="41"/>
        <v>9.7549999999999999E-5</v>
      </c>
      <c r="AJ160" s="2">
        <v>9.0710000000000004E-5</v>
      </c>
      <c r="AK160">
        <v>1.0119999999999999E-4</v>
      </c>
      <c r="AN160">
        <v>9.9</v>
      </c>
      <c r="AO160" s="214">
        <f xml:space="preserve"> $AP$57*AN160/($AP$58+AN160+AN160*AN160/$AP$59)</f>
        <v>8.8481243660517288E-6</v>
      </c>
      <c r="AP160" s="214">
        <f t="shared" si="38"/>
        <v>2.5727098141873156E-6</v>
      </c>
      <c r="AQ160" s="213">
        <f t="shared" si="39"/>
        <v>4.5393602043783495E-6</v>
      </c>
      <c r="AZ160" s="2"/>
      <c r="BA160" s="2"/>
      <c r="BB160" s="2"/>
    </row>
    <row r="161" spans="33:54" x14ac:dyDescent="0.25">
      <c r="AG161" s="6">
        <v>8.6</v>
      </c>
      <c r="AH161">
        <f t="shared" si="40"/>
        <v>9.5816391794965508E-5</v>
      </c>
      <c r="AI161" s="2">
        <f t="shared" si="41"/>
        <v>9.7549999999999999E-5</v>
      </c>
      <c r="AJ161" s="2">
        <v>9.0710000000000004E-5</v>
      </c>
      <c r="AK161">
        <v>1.0119999999999999E-4</v>
      </c>
      <c r="AN161">
        <v>10</v>
      </c>
      <c r="AO161" s="214">
        <f xml:space="preserve"> $AP$57*AN161/($AP$58+AN161+AN161*AN161/$AP$59)</f>
        <v>8.8112493331654092E-6</v>
      </c>
      <c r="AP161" s="214">
        <f t="shared" si="38"/>
        <v>2.5619699412188715E-6</v>
      </c>
      <c r="AQ161" s="213">
        <f t="shared" si="39"/>
        <v>4.5202654219976993E-6</v>
      </c>
      <c r="AZ161" s="2"/>
      <c r="BA161" s="2"/>
      <c r="BB161" s="2"/>
    </row>
    <row r="162" spans="33:54" x14ac:dyDescent="0.25">
      <c r="AG162" s="6">
        <v>8.6999999999999993</v>
      </c>
      <c r="AH162">
        <f t="shared" si="40"/>
        <v>9.5835968200912421E-5</v>
      </c>
      <c r="AI162" s="2">
        <f t="shared" si="41"/>
        <v>9.7549999999999999E-5</v>
      </c>
      <c r="AJ162" s="2">
        <v>9.0710000000000004E-5</v>
      </c>
      <c r="AK162">
        <v>1.0119999999999999E-4</v>
      </c>
      <c r="AZ162" s="2"/>
      <c r="BA162" s="2"/>
      <c r="BB162" s="2"/>
    </row>
    <row r="163" spans="33:54" x14ac:dyDescent="0.25">
      <c r="AG163">
        <v>8.8000000000000007</v>
      </c>
      <c r="AH163">
        <f t="shared" si="40"/>
        <v>9.5855107418821745E-5</v>
      </c>
      <c r="AI163" s="2">
        <f t="shared" si="41"/>
        <v>9.7549999999999999E-5</v>
      </c>
      <c r="AJ163" s="2">
        <v>9.0710000000000004E-5</v>
      </c>
      <c r="AK163">
        <v>1.0119999999999999E-4</v>
      </c>
      <c r="AZ163" s="2"/>
      <c r="BA163" s="2"/>
      <c r="BB163" s="2"/>
    </row>
    <row r="164" spans="33:54" x14ac:dyDescent="0.25">
      <c r="AG164" s="6">
        <v>8.9</v>
      </c>
      <c r="AH164">
        <f t="shared" si="40"/>
        <v>9.587382393215248E-5</v>
      </c>
      <c r="AI164" s="2">
        <f t="shared" si="41"/>
        <v>9.7549999999999999E-5</v>
      </c>
      <c r="AJ164" s="2">
        <v>9.0710000000000004E-5</v>
      </c>
      <c r="AK164">
        <v>1.0119999999999999E-4</v>
      </c>
      <c r="AZ164" s="2"/>
      <c r="BA164" s="2"/>
      <c r="BB164" s="2"/>
    </row>
    <row r="165" spans="33:54" x14ac:dyDescent="0.25">
      <c r="AG165" s="6">
        <v>9</v>
      </c>
      <c r="AH165">
        <f t="shared" si="40"/>
        <v>9.5892131591594212E-5</v>
      </c>
      <c r="AI165" s="2">
        <f t="shared" si="41"/>
        <v>9.7549999999999999E-5</v>
      </c>
      <c r="AJ165" s="2">
        <v>9.0710000000000004E-5</v>
      </c>
      <c r="AK165">
        <v>1.0119999999999999E-4</v>
      </c>
      <c r="AZ165" s="2"/>
      <c r="BA165" s="2"/>
      <c r="BB165" s="2"/>
    </row>
    <row r="166" spans="33:54" x14ac:dyDescent="0.25">
      <c r="AG166" s="6"/>
      <c r="AZ166" s="2"/>
      <c r="BA166" s="2"/>
      <c r="BB166" s="2"/>
    </row>
    <row r="167" spans="33:54" x14ac:dyDescent="0.25">
      <c r="AZ167" s="2"/>
      <c r="BA167" s="2"/>
      <c r="BB167" s="2"/>
    </row>
    <row r="168" spans="33:54" ht="18" x14ac:dyDescent="0.35">
      <c r="AG168" s="6"/>
      <c r="AP168" t="s">
        <v>46</v>
      </c>
      <c r="AQ168" t="s">
        <v>46</v>
      </c>
      <c r="AR168" t="s">
        <v>90</v>
      </c>
      <c r="AS168" t="s">
        <v>43</v>
      </c>
      <c r="AT168" t="s">
        <v>44</v>
      </c>
      <c r="AU168" t="s">
        <v>47</v>
      </c>
      <c r="AV168" t="s">
        <v>48</v>
      </c>
      <c r="AW168" t="s">
        <v>410</v>
      </c>
      <c r="AX168" t="s">
        <v>409</v>
      </c>
      <c r="AY168" t="s">
        <v>72</v>
      </c>
      <c r="AZ168" s="2"/>
      <c r="BA168" s="2"/>
      <c r="BB168" s="2"/>
    </row>
    <row r="169" spans="33:54" x14ac:dyDescent="0.25">
      <c r="AG169" s="6"/>
      <c r="AP169" t="s">
        <v>104</v>
      </c>
      <c r="AQ169">
        <f>15+273.15</f>
        <v>288.14999999999998</v>
      </c>
      <c r="AR169" s="2">
        <v>2.2970000000000002E-6</v>
      </c>
      <c r="AS169">
        <v>4.4649999999999999</v>
      </c>
      <c r="AT169" s="2">
        <f t="shared" ref="AT169:AT174" si="47">AR169/AS169</f>
        <v>5.1444568868980969E-7</v>
      </c>
      <c r="AU169" s="2">
        <f t="shared" ref="AU169:AU174" si="48">1/AQ169</f>
        <v>3.4704147145583901E-3</v>
      </c>
      <c r="AV169" s="2">
        <f t="shared" ref="AV169:AV174" si="49">LN(AR169)</f>
        <v>-12.983906634257313</v>
      </c>
      <c r="AW169" s="11">
        <f t="shared" ref="AW169:AW174" si="50">(1.98816*LN((AR169/AQ169)*0.0000000000479924))/1000</f>
        <v>-8.4312629309505768E-2</v>
      </c>
      <c r="AX169" s="11">
        <f t="shared" ref="AX169:AX174" si="51">(1.98816*LN((AR169/(AQ169*AS169))*0.0000000000479924))/1000</f>
        <v>-8.7287451910665045E-2</v>
      </c>
      <c r="AY169">
        <f t="shared" ref="AY169:AY174" si="52">LN(AS169/AQ169)</f>
        <v>-4.1672119635542133</v>
      </c>
    </row>
    <row r="170" spans="33:54" x14ac:dyDescent="0.25">
      <c r="AG170" s="6"/>
      <c r="AP170" t="s">
        <v>105</v>
      </c>
      <c r="AQ170">
        <f>20+273.15</f>
        <v>293.14999999999998</v>
      </c>
      <c r="AR170" s="2">
        <v>4.5460000000000002E-6</v>
      </c>
      <c r="AS170">
        <v>4.8150000000000004</v>
      </c>
      <c r="AT170" s="2">
        <f t="shared" si="47"/>
        <v>9.4413291796469362E-7</v>
      </c>
      <c r="AU170" s="2">
        <f t="shared" si="48"/>
        <v>3.4112229234180458E-3</v>
      </c>
      <c r="AV170" s="2">
        <f t="shared" si="49"/>
        <v>-12.301262832533922</v>
      </c>
      <c r="AW170" s="11">
        <f t="shared" si="50"/>
        <v>-8.2989627013299441E-2</v>
      </c>
      <c r="AX170" s="11">
        <f t="shared" si="51"/>
        <v>-8.6114489749023859E-2</v>
      </c>
      <c r="AY170">
        <f t="shared" si="52"/>
        <v>-4.108948378160135</v>
      </c>
    </row>
    <row r="171" spans="33:54" x14ac:dyDescent="0.25">
      <c r="AP171" t="s">
        <v>106</v>
      </c>
      <c r="AQ171">
        <f>25+273.15</f>
        <v>298.14999999999998</v>
      </c>
      <c r="AR171" s="2">
        <v>7.1459999999999999E-6</v>
      </c>
      <c r="AS171">
        <v>3.1280000000000001</v>
      </c>
      <c r="AT171" s="2">
        <f>AR171/AS171</f>
        <v>2.2845268542199487E-6</v>
      </c>
      <c r="AU171" s="2">
        <f t="shared" si="48"/>
        <v>3.3540164346805303E-3</v>
      </c>
      <c r="AV171" s="2">
        <f>LN(AR171)</f>
        <v>-11.848957798363056</v>
      </c>
      <c r="AW171" s="11">
        <f t="shared" si="50"/>
        <v>-8.2123996579340927E-2</v>
      </c>
      <c r="AX171" s="11">
        <f t="shared" si="51"/>
        <v>-8.4391281961846476E-2</v>
      </c>
      <c r="AY171">
        <f t="shared" si="52"/>
        <v>-4.5572028928860506</v>
      </c>
    </row>
    <row r="172" spans="33:54" x14ac:dyDescent="0.25">
      <c r="AG172" s="6"/>
      <c r="AP172" t="s">
        <v>107</v>
      </c>
      <c r="AQ172">
        <f>30+273.15</f>
        <v>303.14999999999998</v>
      </c>
      <c r="AR172" s="2">
        <v>1.1960000000000001E-5</v>
      </c>
      <c r="AS172">
        <v>2.444</v>
      </c>
      <c r="AT172" s="2">
        <f t="shared" si="47"/>
        <v>4.8936170212765959E-6</v>
      </c>
      <c r="AU172" s="2">
        <f t="shared" si="48"/>
        <v>3.298697014679202E-3</v>
      </c>
      <c r="AV172" s="2">
        <f t="shared" si="49"/>
        <v>-11.333942809441789</v>
      </c>
      <c r="AW172" s="11">
        <f t="shared" si="50"/>
        <v>-8.1133129501623796E-2</v>
      </c>
      <c r="AX172" s="11">
        <f t="shared" si="51"/>
        <v>-8.2909820933513373E-2</v>
      </c>
      <c r="AY172">
        <f t="shared" si="52"/>
        <v>-4.8205916912083904</v>
      </c>
    </row>
    <row r="173" spans="33:54" x14ac:dyDescent="0.25">
      <c r="AG173" s="6"/>
      <c r="AP173" t="s">
        <v>108</v>
      </c>
      <c r="AQ173">
        <f>35+273.15</f>
        <v>308.14999999999998</v>
      </c>
      <c r="AR173" s="2">
        <v>2.7610000000000002E-5</v>
      </c>
      <c r="AS173">
        <v>4.4340000000000002</v>
      </c>
      <c r="AT173" s="2">
        <f>AR173/AS173</f>
        <v>6.2268831754623369E-6</v>
      </c>
      <c r="AU173" s="2">
        <f t="shared" si="48"/>
        <v>3.2451728054518907E-3</v>
      </c>
      <c r="AV173" s="2">
        <f>LN(AR173)</f>
        <v>-10.497332532022211</v>
      </c>
      <c r="AW173" s="11">
        <f t="shared" si="50"/>
        <v>-7.9502338612342793E-2</v>
      </c>
      <c r="AX173" s="11">
        <f t="shared" si="51"/>
        <v>-8.2463309497734505E-2</v>
      </c>
      <c r="AY173">
        <f t="shared" si="52"/>
        <v>-4.2412845662141327</v>
      </c>
    </row>
    <row r="174" spans="33:54" x14ac:dyDescent="0.25">
      <c r="AP174" t="s">
        <v>109</v>
      </c>
      <c r="AQ174">
        <f>40+273.15</f>
        <v>313.14999999999998</v>
      </c>
      <c r="AR174" s="2">
        <v>3.2799999999999998E-5</v>
      </c>
      <c r="AS174">
        <v>2.56</v>
      </c>
      <c r="AT174" s="2">
        <f t="shared" si="47"/>
        <v>1.2812499999999998E-5</v>
      </c>
      <c r="AU174" s="2">
        <f t="shared" si="48"/>
        <v>3.1933578157432542E-3</v>
      </c>
      <c r="AV174" s="2">
        <f t="shared" si="49"/>
        <v>-10.325082042574175</v>
      </c>
      <c r="AW174" s="11">
        <f t="shared" si="50"/>
        <v>-7.919187777009043E-2</v>
      </c>
      <c r="AX174" s="11">
        <f t="shared" si="51"/>
        <v>-8.1060762601132819E-2</v>
      </c>
      <c r="AY174">
        <f t="shared" si="52"/>
        <v>-4.8066750504799511</v>
      </c>
    </row>
    <row r="176" spans="33:54" x14ac:dyDescent="0.25">
      <c r="AP176" s="6"/>
      <c r="AQ176">
        <v>288.14999999999998</v>
      </c>
      <c r="AR176">
        <v>293.14999999999998</v>
      </c>
      <c r="AS176">
        <v>298.14999999999998</v>
      </c>
      <c r="AT176">
        <v>303.14999999999998</v>
      </c>
      <c r="AU176">
        <v>308.14999999999998</v>
      </c>
      <c r="AV176">
        <v>313.14999999999998</v>
      </c>
    </row>
    <row r="177" spans="7:48" x14ac:dyDescent="0.25">
      <c r="AP177" t="s">
        <v>70</v>
      </c>
      <c r="AQ177" t="s">
        <v>75</v>
      </c>
      <c r="AR177" t="s">
        <v>75</v>
      </c>
      <c r="AS177" t="s">
        <v>75</v>
      </c>
      <c r="AT177" t="s">
        <v>75</v>
      </c>
      <c r="AU177" t="s">
        <v>75</v>
      </c>
      <c r="AV177" t="s">
        <v>75</v>
      </c>
    </row>
    <row r="178" spans="7:48" x14ac:dyDescent="0.25">
      <c r="AP178" s="6">
        <v>0</v>
      </c>
      <c r="AQ178" s="11">
        <f>($AR$169*AP178)/($AS$169+AP178)</f>
        <v>0</v>
      </c>
      <c r="AR178" s="11">
        <f>($AR$170*AP178)/($AS$170+AP178)</f>
        <v>0</v>
      </c>
      <c r="AS178" s="11">
        <f t="shared" ref="AS178:AS209" si="53">($AR$171*AP178)/($AS$171+AP178)</f>
        <v>0</v>
      </c>
      <c r="AT178" s="11">
        <f>($AR$172*AP178)/($AS$172+AP178)</f>
        <v>0</v>
      </c>
      <c r="AU178" s="11">
        <f t="shared" ref="AU178:AU209" si="54">($AR$173*AP178)/($AS$173+AP178)</f>
        <v>0</v>
      </c>
      <c r="AV178" s="11">
        <f t="shared" ref="AV178:AV209" si="55">($AR$174*AP178)/($AS$174+AP178)</f>
        <v>0</v>
      </c>
    </row>
    <row r="179" spans="7:48" x14ac:dyDescent="0.25">
      <c r="AP179" s="6">
        <v>0.1</v>
      </c>
      <c r="AQ179" s="11">
        <f t="shared" ref="AQ179:AQ242" si="56">($AR$169*AP179)/($AS$169+AP179)</f>
        <v>5.0317634173055869E-8</v>
      </c>
      <c r="AR179" s="11">
        <f t="shared" ref="AR179:AR242" si="57">($AR$170*AP179)/($AS$170+AP179)</f>
        <v>9.2492370295015273E-8</v>
      </c>
      <c r="AS179" s="11">
        <f t="shared" si="53"/>
        <v>2.2137546468401486E-7</v>
      </c>
      <c r="AT179" s="11">
        <f t="shared" ref="AT179:AT209" si="58">($AR$172*AP179)/($AS$172+AP179)</f>
        <v>4.7012578616352204E-7</v>
      </c>
      <c r="AU179" s="11">
        <f t="shared" si="54"/>
        <v>6.0895456550507288E-7</v>
      </c>
      <c r="AV179" s="11">
        <f t="shared" si="55"/>
        <v>1.2330827067669172E-6</v>
      </c>
    </row>
    <row r="180" spans="7:48" x14ac:dyDescent="0.25">
      <c r="AP180" s="6">
        <v>0.2</v>
      </c>
      <c r="AQ180" s="11">
        <f t="shared" si="56"/>
        <v>9.8478027867095408E-8</v>
      </c>
      <c r="AR180" s="11">
        <f t="shared" si="57"/>
        <v>1.81296111665005E-7</v>
      </c>
      <c r="AS180" s="11">
        <f t="shared" si="53"/>
        <v>4.2944711538461536E-7</v>
      </c>
      <c r="AT180" s="11">
        <f t="shared" si="58"/>
        <v>9.0468986384266264E-7</v>
      </c>
      <c r="AU180" s="11">
        <f t="shared" si="54"/>
        <v>1.1916271040138111E-6</v>
      </c>
      <c r="AV180" s="11">
        <f t="shared" si="55"/>
        <v>2.3768115942028985E-6</v>
      </c>
    </row>
    <row r="181" spans="7:48" x14ac:dyDescent="0.25">
      <c r="AP181" s="6">
        <v>0.3</v>
      </c>
      <c r="AQ181" s="11">
        <f t="shared" si="56"/>
        <v>1.4461699895068206E-7</v>
      </c>
      <c r="AR181" s="11">
        <f t="shared" si="57"/>
        <v>2.666275659824047E-7</v>
      </c>
      <c r="AS181" s="11">
        <f t="shared" si="53"/>
        <v>6.253792298716452E-7</v>
      </c>
      <c r="AT181" s="11">
        <f t="shared" si="58"/>
        <v>1.3075801749271138E-6</v>
      </c>
      <c r="AU181" s="11">
        <f t="shared" si="54"/>
        <v>1.749683143219265E-6</v>
      </c>
      <c r="AV181" s="11">
        <f t="shared" si="55"/>
        <v>3.4405594405594402E-6</v>
      </c>
    </row>
    <row r="182" spans="7:48" x14ac:dyDescent="0.25">
      <c r="AP182" s="6">
        <v>0.4</v>
      </c>
      <c r="AQ182" s="11">
        <f t="shared" si="56"/>
        <v>1.8885919835560125E-7</v>
      </c>
      <c r="AR182" s="11">
        <f t="shared" si="57"/>
        <v>3.4868648130393096E-7</v>
      </c>
      <c r="AS182" s="11">
        <f t="shared" si="53"/>
        <v>8.1020408163265311E-7</v>
      </c>
      <c r="AT182" s="11">
        <f t="shared" si="58"/>
        <v>1.6821378340365683E-6</v>
      </c>
      <c r="AU182" s="11">
        <f t="shared" si="54"/>
        <v>2.2846503930492345E-6</v>
      </c>
      <c r="AV182" s="11">
        <f t="shared" si="55"/>
        <v>4.4324324324324324E-6</v>
      </c>
    </row>
    <row r="183" spans="7:48" x14ac:dyDescent="0.25">
      <c r="AP183" s="6">
        <v>0.5</v>
      </c>
      <c r="AQ183" s="11">
        <f t="shared" si="56"/>
        <v>2.313192346424975E-7</v>
      </c>
      <c r="AR183" s="11">
        <f t="shared" si="57"/>
        <v>4.2765757290686734E-7</v>
      </c>
      <c r="AS183" s="11">
        <f t="shared" si="53"/>
        <v>9.8484013230429973E-7</v>
      </c>
      <c r="AT183" s="11">
        <f t="shared" si="58"/>
        <v>2.0312500000000002E-6</v>
      </c>
      <c r="AU183" s="11">
        <f t="shared" si="54"/>
        <v>2.7979327117957033E-6</v>
      </c>
      <c r="AV183" s="11">
        <f>($AR$174*AP183)/($AS$174+AP183)</f>
        <v>5.3594771241830063E-6</v>
      </c>
    </row>
    <row r="184" spans="7:48" x14ac:dyDescent="0.25">
      <c r="AP184" s="6">
        <v>0.6</v>
      </c>
      <c r="AQ184" s="11">
        <f t="shared" si="56"/>
        <v>2.7210266535044425E-7</v>
      </c>
      <c r="AR184" s="11">
        <f t="shared" si="57"/>
        <v>5.037119113573407E-7</v>
      </c>
      <c r="AS184" s="11">
        <f t="shared" si="53"/>
        <v>1.1501072961373388E-6</v>
      </c>
      <c r="AT184" s="11">
        <f t="shared" si="58"/>
        <v>2.3574244415243101E-6</v>
      </c>
      <c r="AU184" s="11">
        <f t="shared" si="54"/>
        <v>3.2908224076281291E-6</v>
      </c>
      <c r="AV184" s="11">
        <f t="shared" si="55"/>
        <v>6.2278481012658216E-6</v>
      </c>
    </row>
    <row r="185" spans="7:48" x14ac:dyDescent="0.25">
      <c r="AP185" s="6">
        <v>0.7</v>
      </c>
      <c r="AQ185" s="11">
        <f t="shared" si="56"/>
        <v>3.1130687318489838E-7</v>
      </c>
      <c r="AR185" s="11">
        <f t="shared" si="57"/>
        <v>5.7700815956482316E-7</v>
      </c>
      <c r="AS185" s="11">
        <f t="shared" si="53"/>
        <v>1.3067398119122255E-6</v>
      </c>
      <c r="AT185" s="11">
        <f t="shared" si="58"/>
        <v>2.662849872773537E-6</v>
      </c>
      <c r="AU185" s="11">
        <f t="shared" si="54"/>
        <v>3.7645111024542265E-6</v>
      </c>
      <c r="AV185" s="11">
        <f t="shared" si="55"/>
        <v>7.0429447852760735E-6</v>
      </c>
    </row>
    <row r="186" spans="7:48" x14ac:dyDescent="0.25">
      <c r="AP186" s="6">
        <v>0.8</v>
      </c>
      <c r="AQ186" s="11">
        <f t="shared" si="56"/>
        <v>3.4902184235517573E-7</v>
      </c>
      <c r="AR186" s="11">
        <f t="shared" si="57"/>
        <v>6.4769367764915408E-7</v>
      </c>
      <c r="AS186" s="11">
        <f t="shared" si="53"/>
        <v>1.455397148676171E-6</v>
      </c>
      <c r="AT186" s="11">
        <f t="shared" si="58"/>
        <v>2.9494451294697909E-6</v>
      </c>
      <c r="AU186" s="11">
        <f t="shared" si="54"/>
        <v>4.2200993504012234E-6</v>
      </c>
      <c r="AV186" s="11">
        <f t="shared" si="55"/>
        <v>7.8095238095238092E-6</v>
      </c>
    </row>
    <row r="187" spans="7:48" x14ac:dyDescent="0.25">
      <c r="AP187" s="6">
        <v>0.9</v>
      </c>
      <c r="AQ187" s="11">
        <f t="shared" si="56"/>
        <v>3.8533084808946878E-7</v>
      </c>
      <c r="AR187" s="11">
        <f t="shared" si="57"/>
        <v>7.1590551181102354E-7</v>
      </c>
      <c r="AS187" s="11">
        <f t="shared" si="53"/>
        <v>1.5966732869910624E-6</v>
      </c>
      <c r="AT187" s="11">
        <f t="shared" si="58"/>
        <v>3.2188995215311007E-6</v>
      </c>
      <c r="AU187" s="11">
        <f t="shared" si="54"/>
        <v>4.6586051743532061E-6</v>
      </c>
      <c r="AV187" s="11">
        <f t="shared" si="55"/>
        <v>8.5317919075144511E-6</v>
      </c>
    </row>
    <row r="188" spans="7:48" x14ac:dyDescent="0.25">
      <c r="AP188" s="6">
        <v>1</v>
      </c>
      <c r="AQ188" s="11">
        <f t="shared" si="56"/>
        <v>4.2031107044830743E-7</v>
      </c>
      <c r="AR188" s="11">
        <f t="shared" si="57"/>
        <v>7.8177128116938952E-7</v>
      </c>
      <c r="AS188" s="11">
        <f t="shared" si="53"/>
        <v>1.7311046511627907E-6</v>
      </c>
      <c r="AT188" s="11">
        <f t="shared" si="58"/>
        <v>3.472706155632985E-6</v>
      </c>
      <c r="AU188" s="11">
        <f t="shared" si="54"/>
        <v>5.0809716599190281E-6</v>
      </c>
      <c r="AV188" s="11">
        <f t="shared" si="55"/>
        <v>9.2134831460674141E-6</v>
      </c>
    </row>
    <row r="189" spans="7:48" x14ac:dyDescent="0.25">
      <c r="AP189" s="6">
        <v>1.1000000000000001</v>
      </c>
      <c r="AQ189" s="11">
        <f t="shared" si="56"/>
        <v>4.5403414195867034E-7</v>
      </c>
      <c r="AR189" s="11">
        <f t="shared" si="57"/>
        <v>8.4540997464074385E-7</v>
      </c>
      <c r="AS189" s="11">
        <f t="shared" si="53"/>
        <v>1.8591769157994326E-6</v>
      </c>
      <c r="AT189" s="11">
        <f t="shared" si="58"/>
        <v>3.7121896162528222E-6</v>
      </c>
      <c r="AU189" s="11">
        <f t="shared" si="54"/>
        <v>5.4880737260571017E-6</v>
      </c>
      <c r="AV189" s="11">
        <f t="shared" si="55"/>
        <v>9.8579234972677599E-6</v>
      </c>
    </row>
    <row r="190" spans="7:48" x14ac:dyDescent="0.25">
      <c r="R190" s="13"/>
      <c r="S190" s="2"/>
      <c r="T190" s="2"/>
      <c r="U190" s="2"/>
      <c r="V190" s="15" t="s">
        <v>86</v>
      </c>
      <c r="W190" s="15" t="s">
        <v>87</v>
      </c>
      <c r="X190" s="15" t="s">
        <v>87</v>
      </c>
      <c r="AP190" s="6">
        <v>1.2</v>
      </c>
      <c r="AQ190" s="11">
        <f t="shared" si="56"/>
        <v>4.8656663724624891E-7</v>
      </c>
      <c r="AR190" s="11">
        <f t="shared" si="57"/>
        <v>9.0693266832917699E-7</v>
      </c>
      <c r="AS190" s="11">
        <f>($AR$171*AP190)/($AS$171+AP190)</f>
        <v>1.9813308687615522E-6</v>
      </c>
      <c r="AT190" s="11">
        <f t="shared" si="58"/>
        <v>3.9385290889132821E-6</v>
      </c>
      <c r="AU190" s="11">
        <f t="shared" si="54"/>
        <v>5.8807241746538867E-6</v>
      </c>
      <c r="AV190" s="11">
        <f t="shared" si="55"/>
        <v>1.0468085106382979E-5</v>
      </c>
    </row>
    <row r="191" spans="7:48" x14ac:dyDescent="0.25">
      <c r="G191" s="66" t="s">
        <v>32</v>
      </c>
      <c r="H191" s="66" t="s">
        <v>80</v>
      </c>
      <c r="I191" s="66" t="s">
        <v>35</v>
      </c>
      <c r="J191" s="66" t="s">
        <v>82</v>
      </c>
      <c r="K191" s="66" t="s">
        <v>2</v>
      </c>
      <c r="L191" s="66" t="s">
        <v>89</v>
      </c>
      <c r="M191" s="66" t="s">
        <v>79</v>
      </c>
      <c r="N191" s="66" t="s">
        <v>94</v>
      </c>
      <c r="O191" s="66" t="s">
        <v>21</v>
      </c>
      <c r="P191" s="66" t="s">
        <v>1</v>
      </c>
      <c r="Q191" s="66" t="s">
        <v>34</v>
      </c>
      <c r="R191" s="66" t="s">
        <v>16</v>
      </c>
      <c r="S191" s="66" t="s">
        <v>17</v>
      </c>
      <c r="T191" s="66" t="s">
        <v>18</v>
      </c>
      <c r="U191" s="66" t="s">
        <v>11</v>
      </c>
      <c r="V191" s="66" t="s">
        <v>255</v>
      </c>
      <c r="W191" s="66" t="s">
        <v>102</v>
      </c>
      <c r="X191" s="15" t="s">
        <v>255</v>
      </c>
      <c r="AP191" s="6">
        <v>1.3</v>
      </c>
      <c r="AQ191" s="11">
        <f t="shared" si="56"/>
        <v>5.1797051170858639E-7</v>
      </c>
      <c r="AR191" s="11">
        <f t="shared" si="57"/>
        <v>9.66443172526574E-7</v>
      </c>
      <c r="AS191" s="11">
        <f t="shared" si="53"/>
        <v>2.0979674796747968E-6</v>
      </c>
      <c r="AT191" s="11">
        <f t="shared" si="58"/>
        <v>4.1527777777777783E-6</v>
      </c>
      <c r="AU191" s="11">
        <f t="shared" si="54"/>
        <v>6.2596791070805724E-6</v>
      </c>
      <c r="AV191" s="11">
        <f t="shared" si="55"/>
        <v>1.104663212435233E-5</v>
      </c>
    </row>
    <row r="192" spans="7:48" x14ac:dyDescent="0.25">
      <c r="G192" s="14" t="s">
        <v>36</v>
      </c>
      <c r="H192" s="14" t="s">
        <v>81</v>
      </c>
      <c r="I192" s="14">
        <f>273.15+15</f>
        <v>288.14999999999998</v>
      </c>
      <c r="J192" s="21">
        <v>0.08</v>
      </c>
      <c r="K192" s="14">
        <v>7</v>
      </c>
      <c r="L192" s="38">
        <v>0.112</v>
      </c>
      <c r="M192" s="21">
        <v>0.17230000000000001</v>
      </c>
      <c r="N192" s="19">
        <f t="shared" ref="N192:N215" si="59">10^(-(1.824*10^6)/(78.54*I192)^(3/2))*SQRT(M192)</f>
        <v>0.1208911881057181</v>
      </c>
      <c r="O192" s="14">
        <v>1.85</v>
      </c>
      <c r="P192" s="14">
        <v>82.5</v>
      </c>
      <c r="Q192" s="21">
        <v>0.24099999999999999</v>
      </c>
      <c r="R192" s="21">
        <v>2.8490000000000001E-2</v>
      </c>
      <c r="S192" s="21">
        <v>3911</v>
      </c>
      <c r="T192" s="2">
        <f>R192/S192</f>
        <v>7.2845819483508062E-6</v>
      </c>
      <c r="U192" s="21">
        <v>1.401E-6</v>
      </c>
      <c r="V192" s="19">
        <f>U192/($C$3*Q192)</f>
        <v>7.7201567175282273E-7</v>
      </c>
      <c r="W192" s="19">
        <f>T192/(Q192*N192*P192*$C$3)</f>
        <v>4.0247973665783732E-7</v>
      </c>
      <c r="X192" s="19">
        <f>W192*P192*N192</f>
        <v>4.0141409181260053E-6</v>
      </c>
      <c r="AP192" s="6">
        <v>1.4</v>
      </c>
      <c r="AQ192" s="11">
        <f t="shared" si="56"/>
        <v>5.4830349531116791E-7</v>
      </c>
      <c r="AR192" s="11">
        <f t="shared" si="57"/>
        <v>1.0240386162510057E-6</v>
      </c>
      <c r="AS192" s="11">
        <f t="shared" si="53"/>
        <v>2.2094522968197876E-6</v>
      </c>
      <c r="AT192" s="11">
        <f t="shared" si="58"/>
        <v>4.3558792924037467E-6</v>
      </c>
      <c r="AU192" s="11">
        <f t="shared" si="54"/>
        <v>6.6256427836818653E-6</v>
      </c>
      <c r="AV192" s="11">
        <f t="shared" si="55"/>
        <v>1.1595959595959595E-5</v>
      </c>
    </row>
    <row r="193" spans="7:48" x14ac:dyDescent="0.25">
      <c r="G193" s="14" t="s">
        <v>36</v>
      </c>
      <c r="H193" s="14" t="s">
        <v>81</v>
      </c>
      <c r="I193" s="14">
        <f>273.15+15</f>
        <v>288.14999999999998</v>
      </c>
      <c r="J193" s="21">
        <v>7.0000000000000007E-2</v>
      </c>
      <c r="K193" s="14">
        <v>7</v>
      </c>
      <c r="L193" s="38">
        <v>9.9000000000000005E-2</v>
      </c>
      <c r="M193" s="21">
        <v>0.15079999999999999</v>
      </c>
      <c r="N193" s="19">
        <f t="shared" si="59"/>
        <v>0.11309741479580569</v>
      </c>
      <c r="O193" s="14">
        <v>3.7</v>
      </c>
      <c r="P193" s="14">
        <v>82.5</v>
      </c>
      <c r="Q193" s="21">
        <v>0.24099999999999999</v>
      </c>
      <c r="R193" s="21">
        <v>5.296E-2</v>
      </c>
      <c r="S193" s="21">
        <v>14140</v>
      </c>
      <c r="T193" s="2">
        <f t="shared" ref="T193:T215" si="60">R193/S193</f>
        <v>3.7454031117397453E-6</v>
      </c>
      <c r="U193" s="21">
        <v>1.7379999999999999E-6</v>
      </c>
      <c r="V193" s="19">
        <f>U193/($C$3*Q193)</f>
        <v>9.5771822805596432E-7</v>
      </c>
      <c r="W193" s="19">
        <f t="shared" ref="W193:W215" si="61">T193/(Q193*N193*P193*$C$3)</f>
        <v>2.2119735106618805E-7</v>
      </c>
      <c r="X193" s="19">
        <f t="shared" ref="X193:X215" si="62">W193*P193*N193</f>
        <v>2.063890006634455E-6</v>
      </c>
      <c r="AP193" s="6">
        <v>1.5</v>
      </c>
      <c r="AQ193" s="11">
        <f t="shared" si="56"/>
        <v>5.7761944677284166E-7</v>
      </c>
      <c r="AR193" s="11">
        <f t="shared" si="57"/>
        <v>1.0798099762470308E-6</v>
      </c>
      <c r="AS193" s="11">
        <f t="shared" si="53"/>
        <v>2.3161192739844425E-6</v>
      </c>
      <c r="AT193" s="11">
        <f t="shared" si="58"/>
        <v>4.5486815415821505E-6</v>
      </c>
      <c r="AU193" s="11">
        <f t="shared" si="54"/>
        <v>6.9792719919110212E-6</v>
      </c>
      <c r="AV193" s="11">
        <f t="shared" si="55"/>
        <v>1.2118226600985219E-5</v>
      </c>
    </row>
    <row r="194" spans="7:48" x14ac:dyDescent="0.25">
      <c r="G194" s="14" t="s">
        <v>36</v>
      </c>
      <c r="H194" s="14" t="s">
        <v>81</v>
      </c>
      <c r="I194" s="14">
        <f>273.15+15</f>
        <v>288.14999999999998</v>
      </c>
      <c r="J194" s="21">
        <v>0.06</v>
      </c>
      <c r="K194" s="14">
        <v>7</v>
      </c>
      <c r="L194" s="38">
        <v>8.5000000000000006E-2</v>
      </c>
      <c r="M194" s="21">
        <v>0.1293</v>
      </c>
      <c r="N194" s="19">
        <f t="shared" si="59"/>
        <v>0.10472521714170345</v>
      </c>
      <c r="O194" s="14">
        <v>5.55</v>
      </c>
      <c r="P194" s="14">
        <v>82.5</v>
      </c>
      <c r="Q194" s="21">
        <v>0.24099999999999999</v>
      </c>
      <c r="R194" s="21">
        <v>5.534E-2</v>
      </c>
      <c r="S194" s="21">
        <v>9314</v>
      </c>
      <c r="T194" s="2">
        <f t="shared" si="60"/>
        <v>5.9415933004079877E-6</v>
      </c>
      <c r="U194" s="21">
        <v>2.159E-6</v>
      </c>
      <c r="V194" s="19">
        <f t="shared" ref="V194:V215" si="63">U194/($C$3*Q194)</f>
        <v>1.189708661894607E-6</v>
      </c>
      <c r="W194" s="19">
        <f t="shared" si="61"/>
        <v>3.7895329216752969E-7</v>
      </c>
      <c r="X194" s="19">
        <f t="shared" si="62"/>
        <v>3.2740921792266548E-6</v>
      </c>
      <c r="AP194" s="6">
        <v>1.6</v>
      </c>
      <c r="AQ194" s="11">
        <f t="shared" si="56"/>
        <v>6.0596867271228374E-7</v>
      </c>
      <c r="AR194" s="11">
        <f t="shared" si="57"/>
        <v>1.133842556508184E-6</v>
      </c>
      <c r="AS194" s="11">
        <f t="shared" si="53"/>
        <v>2.4182741116751272E-6</v>
      </c>
      <c r="AT194" s="11">
        <f t="shared" si="58"/>
        <v>4.7319485657764584E-6</v>
      </c>
      <c r="AU194" s="11">
        <f t="shared" si="54"/>
        <v>7.3211799801126945E-6</v>
      </c>
      <c r="AV194" s="11">
        <f t="shared" si="55"/>
        <v>1.2615384615384614E-5</v>
      </c>
    </row>
    <row r="195" spans="7:48" ht="15.75" thickBot="1" x14ac:dyDescent="0.3">
      <c r="G195" s="55" t="s">
        <v>36</v>
      </c>
      <c r="H195" s="55" t="s">
        <v>81</v>
      </c>
      <c r="I195" s="55">
        <f>273.15+15</f>
        <v>288.14999999999998</v>
      </c>
      <c r="J195" s="56">
        <v>0.05</v>
      </c>
      <c r="K195" s="55">
        <v>7</v>
      </c>
      <c r="L195" s="65">
        <v>7.0999999999999994E-2</v>
      </c>
      <c r="M195" s="56">
        <v>0.1077</v>
      </c>
      <c r="N195" s="19">
        <f t="shared" si="59"/>
        <v>9.557842259127082E-2</v>
      </c>
      <c r="O195" s="55">
        <v>7.4</v>
      </c>
      <c r="P195" s="55">
        <v>82.5</v>
      </c>
      <c r="Q195" s="21">
        <v>0.24099999999999999</v>
      </c>
      <c r="R195" s="56">
        <v>8.5360000000000005E-2</v>
      </c>
      <c r="S195" s="56">
        <v>14600</v>
      </c>
      <c r="T195" s="29">
        <f t="shared" si="60"/>
        <v>5.8465753424657535E-6</v>
      </c>
      <c r="U195" s="56">
        <v>2.762E-6</v>
      </c>
      <c r="V195" s="19">
        <f t="shared" si="63"/>
        <v>1.5219894970601687E-6</v>
      </c>
      <c r="W195" s="60">
        <f t="shared" si="61"/>
        <v>4.0857870216939698E-7</v>
      </c>
      <c r="X195" s="19">
        <f t="shared" si="62"/>
        <v>3.2217328982635172E-6</v>
      </c>
      <c r="AP195" s="6">
        <v>1.7</v>
      </c>
      <c r="AQ195" s="11">
        <f t="shared" si="56"/>
        <v>6.3339821573398224E-7</v>
      </c>
      <c r="AR195" s="11">
        <f t="shared" si="57"/>
        <v>1.186216423637759E-6</v>
      </c>
      <c r="AS195" s="11">
        <f t="shared" si="53"/>
        <v>2.5161971830985914E-6</v>
      </c>
      <c r="AT195" s="11">
        <f t="shared" si="58"/>
        <v>4.9063706563706561E-6</v>
      </c>
      <c r="AU195" s="11">
        <f t="shared" si="54"/>
        <v>7.6519400065210303E-6</v>
      </c>
      <c r="AV195" s="11">
        <f t="shared" si="55"/>
        <v>1.3089201877934272E-5</v>
      </c>
    </row>
    <row r="196" spans="7:48" x14ac:dyDescent="0.25">
      <c r="G196" s="40" t="s">
        <v>37</v>
      </c>
      <c r="H196" s="40" t="s">
        <v>81</v>
      </c>
      <c r="I196" s="40">
        <f>273.15+20</f>
        <v>293.14999999999998</v>
      </c>
      <c r="J196" s="41">
        <v>0.08</v>
      </c>
      <c r="K196" s="40">
        <v>7</v>
      </c>
      <c r="L196" s="41">
        <v>0.12620000000000001</v>
      </c>
      <c r="M196" s="41">
        <v>0.17230000000000001</v>
      </c>
      <c r="N196" s="19">
        <f t="shared" si="59"/>
        <v>0.12475061684372864</v>
      </c>
      <c r="O196" s="40">
        <v>1.85</v>
      </c>
      <c r="P196" s="40">
        <v>82.5</v>
      </c>
      <c r="Q196" s="41">
        <v>0.27300000000000002</v>
      </c>
      <c r="R196" s="41">
        <v>7.4200000000000002E-2</v>
      </c>
      <c r="S196" s="41">
        <v>21890</v>
      </c>
      <c r="T196" s="2">
        <f t="shared" si="60"/>
        <v>3.3896756509821837E-6</v>
      </c>
      <c r="U196" s="41">
        <v>2.678E-6</v>
      </c>
      <c r="V196" s="19">
        <f t="shared" si="63"/>
        <v>1.30272560551445E-6</v>
      </c>
      <c r="W196" s="45">
        <f t="shared" si="61"/>
        <v>1.6021525678949099E-7</v>
      </c>
      <c r="X196" s="19">
        <f t="shared" si="62"/>
        <v>1.6489235492618941E-6</v>
      </c>
      <c r="AP196" s="6">
        <v>1.8</v>
      </c>
      <c r="AQ196" s="11">
        <f t="shared" si="56"/>
        <v>6.5995211492418205E-7</v>
      </c>
      <c r="AR196" s="11">
        <f t="shared" si="57"/>
        <v>1.2370068027210885E-6</v>
      </c>
      <c r="AS196" s="11">
        <f t="shared" si="53"/>
        <v>2.610146103896104E-6</v>
      </c>
      <c r="AT196" s="11">
        <f t="shared" si="58"/>
        <v>5.0725730442978324E-6</v>
      </c>
      <c r="AU196" s="11">
        <f t="shared" si="54"/>
        <v>7.9720885466795009E-6</v>
      </c>
      <c r="AV196" s="11">
        <f t="shared" si="55"/>
        <v>1.3541284403669722E-5</v>
      </c>
    </row>
    <row r="197" spans="7:48" x14ac:dyDescent="0.25">
      <c r="G197" s="14" t="s">
        <v>37</v>
      </c>
      <c r="H197" s="14" t="s">
        <v>81</v>
      </c>
      <c r="I197" s="14">
        <f>273.15+20</f>
        <v>293.14999999999998</v>
      </c>
      <c r="J197" s="21">
        <v>7.0000000000000007E-2</v>
      </c>
      <c r="K197" s="14">
        <v>7</v>
      </c>
      <c r="L197" s="21">
        <v>0.1104</v>
      </c>
      <c r="M197" s="21">
        <v>0.15079999999999999</v>
      </c>
      <c r="N197" s="19">
        <f t="shared" si="59"/>
        <v>0.11670802876773492</v>
      </c>
      <c r="O197" s="14">
        <v>3.7</v>
      </c>
      <c r="P197" s="14">
        <v>82.5</v>
      </c>
      <c r="Q197" s="41">
        <v>0.27300000000000002</v>
      </c>
      <c r="R197" s="21">
        <v>0.1065</v>
      </c>
      <c r="S197" s="21">
        <v>21790</v>
      </c>
      <c r="T197" s="2">
        <f t="shared" si="60"/>
        <v>4.8875631023405231E-6</v>
      </c>
      <c r="U197" s="21">
        <v>3.856E-6</v>
      </c>
      <c r="V197" s="19">
        <f t="shared" si="63"/>
        <v>1.8757692064464971E-6</v>
      </c>
      <c r="W197" s="19">
        <f t="shared" si="61"/>
        <v>2.4693353405554764E-7</v>
      </c>
      <c r="X197" s="19">
        <f t="shared" si="62"/>
        <v>2.3775778946925477E-6</v>
      </c>
      <c r="AP197" s="6">
        <v>1.9</v>
      </c>
      <c r="AQ197" s="11">
        <f t="shared" si="56"/>
        <v>6.856716417910447E-7</v>
      </c>
      <c r="AR197" s="11">
        <f t="shared" si="57"/>
        <v>1.2862844378257632E-6</v>
      </c>
      <c r="AS197" s="11">
        <f t="shared" si="53"/>
        <v>2.7003579952267302E-6</v>
      </c>
      <c r="AT197" s="11">
        <f t="shared" si="58"/>
        <v>5.2311233885819535E-6</v>
      </c>
      <c r="AU197" s="11">
        <f t="shared" si="54"/>
        <v>8.2821281970318912E-6</v>
      </c>
      <c r="AV197" s="11">
        <f t="shared" si="55"/>
        <v>1.3973094170403585E-5</v>
      </c>
    </row>
    <row r="198" spans="7:48" x14ac:dyDescent="0.25">
      <c r="G198" s="14" t="s">
        <v>37</v>
      </c>
      <c r="H198" s="14" t="s">
        <v>81</v>
      </c>
      <c r="I198" s="14">
        <f>273.15+20</f>
        <v>293.14999999999998</v>
      </c>
      <c r="J198" s="21">
        <v>0.06</v>
      </c>
      <c r="K198" s="14">
        <v>7</v>
      </c>
      <c r="L198" s="21">
        <v>9.4630000000000006E-2</v>
      </c>
      <c r="M198" s="21">
        <v>0.1293</v>
      </c>
      <c r="N198" s="19">
        <f t="shared" si="59"/>
        <v>0.10806855025774192</v>
      </c>
      <c r="O198" s="14">
        <v>5.55</v>
      </c>
      <c r="P198" s="14">
        <v>82.5</v>
      </c>
      <c r="Q198" s="41">
        <v>0.27300000000000002</v>
      </c>
      <c r="R198" s="21">
        <v>0.2031</v>
      </c>
      <c r="S198" s="21">
        <v>33160</v>
      </c>
      <c r="T198" s="2">
        <f t="shared" si="60"/>
        <v>6.1248492159227989E-6</v>
      </c>
      <c r="U198" s="21">
        <v>5.2070000000000003E-6</v>
      </c>
      <c r="V198" s="19">
        <f t="shared" si="63"/>
        <v>2.5329694652403814E-6</v>
      </c>
      <c r="W198" s="19">
        <f t="shared" si="61"/>
        <v>3.3418311610326969E-7</v>
      </c>
      <c r="X198" s="19">
        <f t="shared" si="62"/>
        <v>2.9794615024263379E-6</v>
      </c>
      <c r="AP198" s="6">
        <v>2</v>
      </c>
      <c r="AQ198" s="11">
        <f t="shared" si="56"/>
        <v>7.1059551430781141E-7</v>
      </c>
      <c r="AR198" s="11">
        <f t="shared" si="57"/>
        <v>1.3341159207630227E-6</v>
      </c>
      <c r="AS198" s="11">
        <f t="shared" si="53"/>
        <v>2.7870514820592821E-6</v>
      </c>
      <c r="AT198" s="11">
        <f t="shared" si="58"/>
        <v>5.3825382538253831E-6</v>
      </c>
      <c r="AU198" s="11">
        <f t="shared" si="54"/>
        <v>8.582530307740131E-6</v>
      </c>
      <c r="AV198" s="11">
        <f t="shared" si="55"/>
        <v>1.4385964912280699E-5</v>
      </c>
    </row>
    <row r="199" spans="7:48" ht="15.75" thickBot="1" x14ac:dyDescent="0.3">
      <c r="G199" s="55" t="s">
        <v>37</v>
      </c>
      <c r="H199" s="55" t="s">
        <v>81</v>
      </c>
      <c r="I199" s="55">
        <f>273.15+20</f>
        <v>293.14999999999998</v>
      </c>
      <c r="J199" s="56">
        <v>0.05</v>
      </c>
      <c r="K199" s="55">
        <v>7</v>
      </c>
      <c r="L199" s="56">
        <v>7.8850000000000003E-2</v>
      </c>
      <c r="M199" s="56">
        <v>0.1077</v>
      </c>
      <c r="N199" s="19">
        <f t="shared" si="59"/>
        <v>9.8629745989299508E-2</v>
      </c>
      <c r="O199" s="55">
        <v>7.4</v>
      </c>
      <c r="P199" s="55">
        <v>82.5</v>
      </c>
      <c r="Q199" s="41">
        <v>0.27300000000000002</v>
      </c>
      <c r="R199" s="56">
        <v>0.28039999999999998</v>
      </c>
      <c r="S199" s="56">
        <v>44300</v>
      </c>
      <c r="T199" s="29">
        <f t="shared" si="60"/>
        <v>6.3295711060948079E-6</v>
      </c>
      <c r="U199" s="56">
        <v>5.5940000000000001E-6</v>
      </c>
      <c r="V199" s="19">
        <f t="shared" si="63"/>
        <v>2.7212274224226411E-6</v>
      </c>
      <c r="W199" s="60">
        <f t="shared" si="61"/>
        <v>3.7840319672455458E-7</v>
      </c>
      <c r="X199" s="19">
        <f t="shared" si="62"/>
        <v>3.0790494218947447E-6</v>
      </c>
      <c r="AP199" s="6">
        <v>2.1</v>
      </c>
      <c r="AQ199" s="11">
        <f t="shared" si="56"/>
        <v>7.3476009139375492E-7</v>
      </c>
      <c r="AR199" s="11">
        <f t="shared" si="57"/>
        <v>1.3805639913232103E-6</v>
      </c>
      <c r="AS199" s="11">
        <f t="shared" si="53"/>
        <v>2.8704284621270086E-6</v>
      </c>
      <c r="AT199" s="11">
        <f t="shared" si="58"/>
        <v>5.5272887323943656E-6</v>
      </c>
      <c r="AU199" s="11">
        <f t="shared" si="54"/>
        <v>8.8737373737373729E-6</v>
      </c>
      <c r="AV199" s="11">
        <f t="shared" si="55"/>
        <v>1.4781115879828327E-5</v>
      </c>
    </row>
    <row r="200" spans="7:48" x14ac:dyDescent="0.25">
      <c r="G200" s="40" t="s">
        <v>38</v>
      </c>
      <c r="H200" s="40" t="s">
        <v>81</v>
      </c>
      <c r="I200" s="40">
        <f>273.15+30</f>
        <v>303.14999999999998</v>
      </c>
      <c r="J200" s="41">
        <v>0.08</v>
      </c>
      <c r="K200" s="40">
        <v>7</v>
      </c>
      <c r="L200" s="41">
        <v>0.12620000000000001</v>
      </c>
      <c r="M200" s="41">
        <v>0.17230000000000001</v>
      </c>
      <c r="N200" s="19">
        <f t="shared" si="59"/>
        <v>0.13233118880827113</v>
      </c>
      <c r="O200" s="40">
        <v>1.85</v>
      </c>
      <c r="P200" s="40">
        <v>82.5</v>
      </c>
      <c r="Q200" s="41">
        <v>0.27300000000000002</v>
      </c>
      <c r="R200" s="41">
        <v>0.43540000000000001</v>
      </c>
      <c r="S200" s="41">
        <v>36250</v>
      </c>
      <c r="T200" s="2">
        <f t="shared" si="60"/>
        <v>1.2011034482758621E-5</v>
      </c>
      <c r="U200" s="41">
        <v>1.0869999999999999E-5</v>
      </c>
      <c r="V200" s="19">
        <f t="shared" si="63"/>
        <v>5.2877622598738127E-6</v>
      </c>
      <c r="W200" s="45">
        <f t="shared" si="61"/>
        <v>5.3518832146723223E-7</v>
      </c>
      <c r="X200" s="19">
        <f t="shared" si="62"/>
        <v>5.8428238123251164E-6</v>
      </c>
      <c r="AP200" s="6">
        <v>2.2000000000000002</v>
      </c>
      <c r="AQ200" s="11">
        <f t="shared" si="56"/>
        <v>7.5819954988747195E-7</v>
      </c>
      <c r="AR200" s="11">
        <f t="shared" si="57"/>
        <v>1.4256878118317892E-6</v>
      </c>
      <c r="AS200" s="11">
        <f t="shared" si="53"/>
        <v>2.9506756756756756E-6</v>
      </c>
      <c r="AT200" s="11">
        <f t="shared" si="58"/>
        <v>5.6658053402239457E-6</v>
      </c>
      <c r="AU200" s="11">
        <f t="shared" si="54"/>
        <v>9.1561652095266809E-6</v>
      </c>
      <c r="AV200" s="11">
        <f t="shared" si="55"/>
        <v>1.515966386554622E-5</v>
      </c>
    </row>
    <row r="201" spans="7:48" x14ac:dyDescent="0.25">
      <c r="G201" s="14" t="s">
        <v>38</v>
      </c>
      <c r="H201" s="14" t="s">
        <v>81</v>
      </c>
      <c r="I201" s="14">
        <f>273.15+30</f>
        <v>303.14999999999998</v>
      </c>
      <c r="J201" s="21">
        <v>7.0000000000000007E-2</v>
      </c>
      <c r="K201" s="14">
        <v>7</v>
      </c>
      <c r="L201" s="21">
        <v>0.1104</v>
      </c>
      <c r="M201" s="21">
        <v>0.15079999999999999</v>
      </c>
      <c r="N201" s="19">
        <f t="shared" si="59"/>
        <v>0.12379988637371346</v>
      </c>
      <c r="O201" s="14">
        <v>3.7</v>
      </c>
      <c r="P201" s="14">
        <v>82.5</v>
      </c>
      <c r="Q201" s="41">
        <v>0.27300000000000002</v>
      </c>
      <c r="R201" s="21">
        <v>0.67479999999999996</v>
      </c>
      <c r="S201" s="21">
        <v>42720</v>
      </c>
      <c r="T201" s="2">
        <f t="shared" si="60"/>
        <v>1.5795880149812733E-5</v>
      </c>
      <c r="U201" s="21">
        <v>1.45E-5</v>
      </c>
      <c r="V201" s="19">
        <f t="shared" si="63"/>
        <v>7.0535927109632278E-6</v>
      </c>
      <c r="W201" s="19">
        <f t="shared" si="61"/>
        <v>7.5233629155200779E-7</v>
      </c>
      <c r="X201" s="19">
        <f t="shared" si="62"/>
        <v>7.6839796612391609E-6</v>
      </c>
      <c r="AP201" s="6">
        <v>2.2999999999999998</v>
      </c>
      <c r="AQ201" s="11">
        <f t="shared" si="56"/>
        <v>7.8094604582409473E-7</v>
      </c>
      <c r="AR201" s="11">
        <f t="shared" si="57"/>
        <v>1.4695432185523539E-6</v>
      </c>
      <c r="AS201" s="11">
        <f t="shared" si="53"/>
        <v>3.0279661016949154E-6</v>
      </c>
      <c r="AT201" s="11">
        <f t="shared" si="58"/>
        <v>5.7984822934232713E-6</v>
      </c>
      <c r="AU201" s="11">
        <f t="shared" si="54"/>
        <v>9.430204930204931E-6</v>
      </c>
      <c r="AV201" s="11">
        <f t="shared" si="55"/>
        <v>1.5522633744855966E-5</v>
      </c>
    </row>
    <row r="202" spans="7:48" x14ac:dyDescent="0.25">
      <c r="G202" s="14" t="s">
        <v>38</v>
      </c>
      <c r="H202" s="14" t="s">
        <v>81</v>
      </c>
      <c r="I202" s="14">
        <f>273.15+30</f>
        <v>303.14999999999998</v>
      </c>
      <c r="J202" s="21">
        <v>0.06</v>
      </c>
      <c r="K202" s="14">
        <v>7</v>
      </c>
      <c r="L202" s="21">
        <v>9.4630000000000006E-2</v>
      </c>
      <c r="M202" s="21">
        <v>0.1293</v>
      </c>
      <c r="N202" s="19">
        <f t="shared" si="59"/>
        <v>0.11463542297596507</v>
      </c>
      <c r="O202" s="14">
        <v>5.55</v>
      </c>
      <c r="P202" s="14">
        <v>82.5</v>
      </c>
      <c r="Q202" s="41">
        <v>0.27300000000000002</v>
      </c>
      <c r="R202" s="21">
        <v>0.86040000000000005</v>
      </c>
      <c r="S202" s="21">
        <v>47490</v>
      </c>
      <c r="T202" s="2">
        <f t="shared" si="60"/>
        <v>1.8117498420720152E-5</v>
      </c>
      <c r="U202" s="21">
        <v>1.677E-5</v>
      </c>
      <c r="V202" s="19">
        <f t="shared" si="63"/>
        <v>8.1578448112312655E-6</v>
      </c>
      <c r="W202" s="19">
        <f t="shared" si="61"/>
        <v>9.3189680463152932E-7</v>
      </c>
      <c r="X202" s="19">
        <f t="shared" si="62"/>
        <v>8.8133417104330649E-6</v>
      </c>
      <c r="AJ202" s="213"/>
      <c r="AK202" s="213"/>
      <c r="AL202" s="213"/>
      <c r="AM202" s="213"/>
      <c r="AN202" s="213"/>
      <c r="AP202" s="6">
        <v>2.4</v>
      </c>
      <c r="AQ202" s="11">
        <f t="shared" si="56"/>
        <v>8.0302986161689726E-7</v>
      </c>
      <c r="AR202" s="11">
        <f t="shared" si="57"/>
        <v>1.5121829521829522E-6</v>
      </c>
      <c r="AS202" s="11">
        <f t="shared" si="53"/>
        <v>3.1024602026049198E-6</v>
      </c>
      <c r="AT202" s="11">
        <f t="shared" si="58"/>
        <v>5.9256812551610254E-6</v>
      </c>
      <c r="AU202" s="11">
        <f t="shared" si="54"/>
        <v>9.6962247585601419E-6</v>
      </c>
      <c r="AV202" s="11">
        <f t="shared" si="55"/>
        <v>1.5870967741935482E-5</v>
      </c>
    </row>
    <row r="203" spans="7:48" ht="15.75" thickBot="1" x14ac:dyDescent="0.3">
      <c r="G203" s="55" t="s">
        <v>38</v>
      </c>
      <c r="H203" s="55" t="s">
        <v>81</v>
      </c>
      <c r="I203" s="55">
        <f>273.15+30</f>
        <v>303.14999999999998</v>
      </c>
      <c r="J203" s="56">
        <v>0.05</v>
      </c>
      <c r="K203" s="55">
        <v>7</v>
      </c>
      <c r="L203" s="56">
        <v>7.8850000000000003E-2</v>
      </c>
      <c r="M203" s="56">
        <v>0.1077</v>
      </c>
      <c r="N203" s="19">
        <f t="shared" si="59"/>
        <v>0.10462306214462574</v>
      </c>
      <c r="O203" s="55">
        <v>7.4</v>
      </c>
      <c r="P203" s="55">
        <v>82.5</v>
      </c>
      <c r="Q203" s="41">
        <v>0.27300000000000002</v>
      </c>
      <c r="R203" s="56">
        <v>1.131</v>
      </c>
      <c r="S203" s="56">
        <v>56200</v>
      </c>
      <c r="T203" s="29">
        <f t="shared" si="60"/>
        <v>2.012455516014235E-5</v>
      </c>
      <c r="U203" s="56">
        <v>1.8839999999999999E-5</v>
      </c>
      <c r="V203" s="19">
        <f t="shared" si="63"/>
        <v>9.1648059775549793E-6</v>
      </c>
      <c r="W203" s="60">
        <f t="shared" si="61"/>
        <v>1.134193856647994E-6</v>
      </c>
      <c r="X203" s="19">
        <f t="shared" si="62"/>
        <v>9.7896838337212051E-6</v>
      </c>
      <c r="AJ203" s="213"/>
      <c r="AK203" s="213"/>
      <c r="AL203" s="213"/>
      <c r="AM203" s="213"/>
      <c r="AN203" s="213"/>
      <c r="AP203" s="6">
        <v>2.5</v>
      </c>
      <c r="AQ203" s="11">
        <f t="shared" si="56"/>
        <v>8.2447954055994268E-7</v>
      </c>
      <c r="AR203" s="11">
        <f t="shared" si="57"/>
        <v>1.5536568694463431E-6</v>
      </c>
      <c r="AS203" s="11">
        <f t="shared" si="53"/>
        <v>3.1743070362473344E-6</v>
      </c>
      <c r="AT203" s="11">
        <f t="shared" si="58"/>
        <v>6.0477346278317153E-6</v>
      </c>
      <c r="AU203" s="11">
        <f t="shared" si="54"/>
        <v>9.9545716758004057E-6</v>
      </c>
      <c r="AV203" s="11">
        <f t="shared" si="55"/>
        <v>1.620553359683794E-5</v>
      </c>
    </row>
    <row r="204" spans="7:48" x14ac:dyDescent="0.25">
      <c r="G204" s="40" t="s">
        <v>39</v>
      </c>
      <c r="H204" s="40" t="s">
        <v>81</v>
      </c>
      <c r="I204" s="40">
        <f>273.15+40</f>
        <v>313.14999999999998</v>
      </c>
      <c r="J204" s="41">
        <v>0.08</v>
      </c>
      <c r="K204" s="40">
        <v>7</v>
      </c>
      <c r="L204" s="41">
        <v>0.12620000000000001</v>
      </c>
      <c r="M204" s="41">
        <v>0.17230000000000001</v>
      </c>
      <c r="N204" s="19">
        <f t="shared" si="59"/>
        <v>0.13971818266839847</v>
      </c>
      <c r="O204" s="40">
        <v>1.85</v>
      </c>
      <c r="P204" s="40">
        <v>82.5</v>
      </c>
      <c r="Q204" s="41">
        <v>0.24099999999999999</v>
      </c>
      <c r="R204" s="41">
        <v>0.2172</v>
      </c>
      <c r="S204" s="41">
        <v>6473</v>
      </c>
      <c r="T204" s="2">
        <f t="shared" si="60"/>
        <v>3.3554765950872854E-5</v>
      </c>
      <c r="U204" s="41">
        <v>2.955E-5</v>
      </c>
      <c r="V204" s="19">
        <f>U204/($C$3*Q204)</f>
        <v>1.628341406159594E-5</v>
      </c>
      <c r="W204" s="45">
        <f t="shared" si="61"/>
        <v>1.6041143299333355E-6</v>
      </c>
      <c r="X204" s="19">
        <f t="shared" si="62"/>
        <v>1.8490224965076262E-5</v>
      </c>
      <c r="AJ204" s="213"/>
      <c r="AK204" s="213"/>
      <c r="AL204" s="213"/>
      <c r="AM204" s="213"/>
      <c r="AN204" s="213"/>
      <c r="AP204" s="6">
        <v>2.6</v>
      </c>
      <c r="AQ204" s="11">
        <f t="shared" si="56"/>
        <v>8.4532200990799739E-7</v>
      </c>
      <c r="AR204" s="11">
        <f t="shared" si="57"/>
        <v>1.5940121375590019E-6</v>
      </c>
      <c r="AS204" s="11">
        <f t="shared" si="53"/>
        <v>3.2436452513966483E-6</v>
      </c>
      <c r="AT204" s="11">
        <f t="shared" si="58"/>
        <v>6.1649484536082471E-6</v>
      </c>
      <c r="AU204" s="11">
        <f t="shared" si="54"/>
        <v>1.0205572931475689E-5</v>
      </c>
      <c r="AV204" s="11">
        <f t="shared" si="55"/>
        <v>1.6527131782945734E-5</v>
      </c>
    </row>
    <row r="205" spans="7:48" x14ac:dyDescent="0.25">
      <c r="G205" s="14" t="s">
        <v>39</v>
      </c>
      <c r="H205" s="14" t="s">
        <v>81</v>
      </c>
      <c r="I205" s="14">
        <f>273.15+40</f>
        <v>313.14999999999998</v>
      </c>
      <c r="J205" s="21">
        <v>7.0000000000000007E-2</v>
      </c>
      <c r="K205" s="14">
        <v>7</v>
      </c>
      <c r="L205" s="21">
        <v>0.1104</v>
      </c>
      <c r="M205" s="21">
        <v>0.15079999999999999</v>
      </c>
      <c r="N205" s="19">
        <f t="shared" si="59"/>
        <v>0.13071064572502614</v>
      </c>
      <c r="O205" s="14">
        <v>3.7</v>
      </c>
      <c r="P205" s="14">
        <v>82.5</v>
      </c>
      <c r="Q205" s="41">
        <v>0.24099999999999999</v>
      </c>
      <c r="R205" s="21">
        <v>0.8407</v>
      </c>
      <c r="S205" s="21">
        <v>24020</v>
      </c>
      <c r="T205" s="2">
        <f t="shared" si="60"/>
        <v>3.4999999999999997E-5</v>
      </c>
      <c r="U205" s="21">
        <v>2.9989999999999999E-5</v>
      </c>
      <c r="V205" s="19">
        <f t="shared" si="63"/>
        <v>1.6525874372496185E-5</v>
      </c>
      <c r="W205" s="19">
        <f t="shared" si="61"/>
        <v>1.7885089464097748E-6</v>
      </c>
      <c r="X205" s="19">
        <f t="shared" si="62"/>
        <v>1.9286615639792148E-5</v>
      </c>
      <c r="AJ205" s="213"/>
      <c r="AK205" s="213"/>
      <c r="AL205" s="213"/>
      <c r="AM205" s="213"/>
      <c r="AN205" s="213"/>
      <c r="AP205" s="6">
        <v>2.7</v>
      </c>
      <c r="AQ205" s="11">
        <f t="shared" si="56"/>
        <v>8.6558269364968605E-7</v>
      </c>
      <c r="AR205" s="11">
        <f t="shared" si="57"/>
        <v>1.6332934131736528E-6</v>
      </c>
      <c r="AS205" s="11">
        <f t="shared" si="53"/>
        <v>3.3106039807824299E-6</v>
      </c>
      <c r="AT205" s="11">
        <f t="shared" si="58"/>
        <v>6.2776049766718505E-6</v>
      </c>
      <c r="AU205" s="11">
        <f t="shared" si="54"/>
        <v>1.0449537426408747E-5</v>
      </c>
      <c r="AV205" s="11">
        <f t="shared" si="55"/>
        <v>1.6836501901140687E-5</v>
      </c>
    </row>
    <row r="206" spans="7:48" x14ac:dyDescent="0.25">
      <c r="G206" s="14" t="s">
        <v>39</v>
      </c>
      <c r="H206" s="14" t="s">
        <v>81</v>
      </c>
      <c r="I206" s="14">
        <f>273.15+40</f>
        <v>313.14999999999998</v>
      </c>
      <c r="J206" s="21">
        <v>0.06</v>
      </c>
      <c r="K206" s="14">
        <v>7</v>
      </c>
      <c r="L206" s="21">
        <v>9.4630000000000006E-2</v>
      </c>
      <c r="M206" s="21">
        <v>0.1293</v>
      </c>
      <c r="N206" s="19">
        <f t="shared" si="59"/>
        <v>0.1210346034964655</v>
      </c>
      <c r="O206" s="14">
        <v>5.55</v>
      </c>
      <c r="P206" s="14">
        <v>82.5</v>
      </c>
      <c r="Q206" s="41">
        <v>0.24099999999999999</v>
      </c>
      <c r="R206" s="21">
        <v>1.149</v>
      </c>
      <c r="S206" s="21">
        <v>26090</v>
      </c>
      <c r="T206" s="2">
        <f t="shared" si="60"/>
        <v>4.403986201609812E-5</v>
      </c>
      <c r="U206" s="21">
        <v>3.6779999999999997E-5</v>
      </c>
      <c r="V206" s="19">
        <f t="shared" si="63"/>
        <v>2.0267477806615858E-5</v>
      </c>
      <c r="W206" s="19">
        <f t="shared" si="61"/>
        <v>2.43035900226807E-6</v>
      </c>
      <c r="X206" s="19">
        <f t="shared" si="62"/>
        <v>2.4267996900970461E-5</v>
      </c>
      <c r="AJ206" s="213"/>
      <c r="AK206" s="213"/>
      <c r="AL206" s="213"/>
      <c r="AM206" s="213"/>
      <c r="AN206" s="213"/>
      <c r="AP206" s="6">
        <v>2.8</v>
      </c>
      <c r="AQ206" s="11">
        <f t="shared" si="56"/>
        <v>8.8528561596696501E-7</v>
      </c>
      <c r="AR206" s="11">
        <f t="shared" si="57"/>
        <v>1.6715430072225868E-6</v>
      </c>
      <c r="AS206" s="11">
        <f t="shared" si="53"/>
        <v>3.3753036437246959E-6</v>
      </c>
      <c r="AT206" s="11">
        <f t="shared" si="58"/>
        <v>6.3859649122807026E-6</v>
      </c>
      <c r="AU206" s="11">
        <f t="shared" si="54"/>
        <v>1.0686756980923417E-5</v>
      </c>
      <c r="AV206" s="11">
        <f t="shared" si="55"/>
        <v>1.7134328358208956E-5</v>
      </c>
    </row>
    <row r="207" spans="7:48" ht="15.75" thickBot="1" x14ac:dyDescent="0.3">
      <c r="G207" s="55" t="s">
        <v>39</v>
      </c>
      <c r="H207" s="55" t="s">
        <v>81</v>
      </c>
      <c r="I207" s="55">
        <f>273.15+40</f>
        <v>313.14999999999998</v>
      </c>
      <c r="J207" s="56">
        <v>0.05</v>
      </c>
      <c r="K207" s="55">
        <v>7</v>
      </c>
      <c r="L207" s="56">
        <v>7.8850000000000003E-2</v>
      </c>
      <c r="M207" s="56">
        <v>0.1077</v>
      </c>
      <c r="N207" s="19">
        <f t="shared" si="59"/>
        <v>0.11046333248943327</v>
      </c>
      <c r="O207" s="55">
        <v>7.4</v>
      </c>
      <c r="P207" s="55">
        <v>82.5</v>
      </c>
      <c r="Q207" s="41">
        <v>0.24099999999999999</v>
      </c>
      <c r="R207" s="56">
        <v>0.78890000000000005</v>
      </c>
      <c r="S207" s="56">
        <v>13640</v>
      </c>
      <c r="T207" s="29">
        <f t="shared" si="60"/>
        <v>5.7837243401759531E-5</v>
      </c>
      <c r="U207" s="56">
        <v>4.939E-5</v>
      </c>
      <c r="V207" s="19">
        <f t="shared" si="63"/>
        <v>2.7216169898552402E-5</v>
      </c>
      <c r="W207" s="60">
        <f t="shared" si="61"/>
        <v>3.4972242198304167E-6</v>
      </c>
      <c r="X207" s="19">
        <f t="shared" si="62"/>
        <v>3.187099094728116E-5</v>
      </c>
      <c r="AJ207" s="213"/>
      <c r="AK207" s="213"/>
      <c r="AL207" s="213"/>
      <c r="AM207" s="213"/>
      <c r="AN207" s="213"/>
      <c r="AP207" s="6">
        <v>2.9</v>
      </c>
      <c r="AQ207" s="11">
        <f t="shared" si="56"/>
        <v>9.0445349626612352E-7</v>
      </c>
      <c r="AR207" s="11">
        <f t="shared" si="57"/>
        <v>1.708801036941024E-6</v>
      </c>
      <c r="AS207" s="11">
        <f t="shared" si="53"/>
        <v>3.4378566688785664E-6</v>
      </c>
      <c r="AT207" s="11">
        <f t="shared" si="58"/>
        <v>6.4902694610778453E-6</v>
      </c>
      <c r="AU207" s="11">
        <f t="shared" si="54"/>
        <v>1.0917507499318246E-5</v>
      </c>
      <c r="AV207" s="11">
        <f t="shared" si="55"/>
        <v>1.7421245421245417E-5</v>
      </c>
    </row>
    <row r="208" spans="7:48" x14ac:dyDescent="0.25">
      <c r="G208" s="40" t="s">
        <v>40</v>
      </c>
      <c r="H208" s="40" t="s">
        <v>81</v>
      </c>
      <c r="I208" s="40">
        <f>273.15+35</f>
        <v>308.14999999999998</v>
      </c>
      <c r="J208" s="41">
        <v>0.08</v>
      </c>
      <c r="K208" s="40">
        <v>7</v>
      </c>
      <c r="L208" s="41">
        <v>0.12620000000000001</v>
      </c>
      <c r="M208" s="41">
        <v>0.17230000000000001</v>
      </c>
      <c r="N208" s="19">
        <f t="shared" si="59"/>
        <v>0.13604945274945521</v>
      </c>
      <c r="O208" s="40">
        <v>1.85</v>
      </c>
      <c r="P208" s="40">
        <v>82.5</v>
      </c>
      <c r="Q208" s="41">
        <v>0.27300000000000002</v>
      </c>
      <c r="R208" s="41">
        <v>0.86350000000000005</v>
      </c>
      <c r="S208" s="41">
        <v>38720</v>
      </c>
      <c r="T208" s="2">
        <f t="shared" si="60"/>
        <v>2.2301136363636365E-5</v>
      </c>
      <c r="U208" s="41">
        <v>2.0659999999999999E-5</v>
      </c>
      <c r="V208" s="19">
        <f t="shared" si="63"/>
        <v>1.0050153476448295E-5</v>
      </c>
      <c r="W208" s="45">
        <f t="shared" si="61"/>
        <v>9.6653730794870644E-7</v>
      </c>
      <c r="X208" s="19">
        <f t="shared" si="62"/>
        <v>1.0848491924189138E-5</v>
      </c>
      <c r="AJ208" s="213"/>
      <c r="AK208" s="213"/>
      <c r="AL208" s="213"/>
      <c r="AM208" s="213"/>
      <c r="AN208" s="213"/>
      <c r="AP208" s="6">
        <v>3</v>
      </c>
      <c r="AQ208" s="11">
        <f t="shared" si="56"/>
        <v>9.2310783657066319E-7</v>
      </c>
      <c r="AR208" s="11">
        <f t="shared" si="57"/>
        <v>1.7451055662188099E-6</v>
      </c>
      <c r="AS208" s="11">
        <f t="shared" si="53"/>
        <v>3.4983681462140991E-6</v>
      </c>
      <c r="AT208" s="11">
        <f t="shared" si="58"/>
        <v>6.5907421013960324E-6</v>
      </c>
      <c r="AU208" s="11">
        <f t="shared" si="54"/>
        <v>1.1142050040355126E-5</v>
      </c>
      <c r="AV208" s="11">
        <f t="shared" si="55"/>
        <v>1.7697841726618704E-5</v>
      </c>
    </row>
    <row r="209" spans="3:48" x14ac:dyDescent="0.25">
      <c r="G209" s="14" t="s">
        <v>40</v>
      </c>
      <c r="H209" s="14" t="s">
        <v>81</v>
      </c>
      <c r="I209" s="14">
        <f>273.15+35</f>
        <v>308.14999999999998</v>
      </c>
      <c r="J209" s="21">
        <v>7.0000000000000007E-2</v>
      </c>
      <c r="K209" s="14">
        <v>7</v>
      </c>
      <c r="L209" s="21">
        <v>0.1104</v>
      </c>
      <c r="M209" s="21">
        <v>0.15079999999999999</v>
      </c>
      <c r="N209" s="19">
        <f t="shared" si="59"/>
        <v>0.1272784363479981</v>
      </c>
      <c r="O209" s="14">
        <v>3.7</v>
      </c>
      <c r="P209" s="14">
        <v>82.5</v>
      </c>
      <c r="Q209" s="41">
        <v>0.27300000000000002</v>
      </c>
      <c r="R209" s="21">
        <v>1.036</v>
      </c>
      <c r="S209" s="21">
        <v>43480</v>
      </c>
      <c r="T209" s="2">
        <f t="shared" si="60"/>
        <v>2.3827046918123277E-5</v>
      </c>
      <c r="U209" s="21">
        <v>2.2240000000000001E-5</v>
      </c>
      <c r="V209" s="19">
        <f t="shared" si="63"/>
        <v>1.0818751854608427E-5</v>
      </c>
      <c r="W209" s="19">
        <f t="shared" si="61"/>
        <v>1.1038341270997171E-6</v>
      </c>
      <c r="X209" s="19">
        <f t="shared" si="62"/>
        <v>1.1590778238996776E-5</v>
      </c>
      <c r="AJ209" s="213"/>
      <c r="AK209" s="213"/>
      <c r="AL209" s="213"/>
      <c r="AM209" s="213"/>
      <c r="AN209" s="213"/>
      <c r="AP209" s="6">
        <v>3.1</v>
      </c>
      <c r="AQ209" s="11">
        <f t="shared" si="56"/>
        <v>9.4126900198281581E-7</v>
      </c>
      <c r="AR209" s="11">
        <f t="shared" si="57"/>
        <v>1.7804927353126974E-6</v>
      </c>
      <c r="AS209" s="11">
        <f t="shared" si="53"/>
        <v>3.556936416184971E-6</v>
      </c>
      <c r="AT209" s="11">
        <f t="shared" si="58"/>
        <v>6.6875901875901874E-6</v>
      </c>
      <c r="AU209" s="11">
        <f t="shared" si="54"/>
        <v>1.1360631802495354E-5</v>
      </c>
      <c r="AV209" s="11">
        <f t="shared" si="55"/>
        <v>1.7964664310954065E-5</v>
      </c>
    </row>
    <row r="210" spans="3:48" x14ac:dyDescent="0.25">
      <c r="G210" s="14" t="s">
        <v>40</v>
      </c>
      <c r="H210" s="14" t="s">
        <v>81</v>
      </c>
      <c r="I210" s="14">
        <f>273.15+35</f>
        <v>308.14999999999998</v>
      </c>
      <c r="J210" s="21">
        <v>0.06</v>
      </c>
      <c r="K210" s="14">
        <v>7</v>
      </c>
      <c r="L210" s="21">
        <v>9.4630000000000006E-2</v>
      </c>
      <c r="M210" s="21">
        <v>0.1293</v>
      </c>
      <c r="N210" s="19">
        <f t="shared" si="59"/>
        <v>0.11785646832039619</v>
      </c>
      <c r="O210" s="14">
        <v>5.55</v>
      </c>
      <c r="P210" s="14">
        <v>82.5</v>
      </c>
      <c r="Q210" s="41">
        <v>0.27300000000000002</v>
      </c>
      <c r="R210" s="21">
        <v>7.3949999999999996</v>
      </c>
      <c r="S210" s="21">
        <v>254900</v>
      </c>
      <c r="T210" s="2">
        <f t="shared" si="60"/>
        <v>2.9011377010592386E-5</v>
      </c>
      <c r="U210" s="21">
        <v>2.866E-5</v>
      </c>
      <c r="V210" s="19">
        <f t="shared" si="63"/>
        <v>1.3941790834221112E-5</v>
      </c>
      <c r="W210" s="19">
        <f t="shared" si="61"/>
        <v>1.4514542392609144E-6</v>
      </c>
      <c r="X210" s="19">
        <f t="shared" si="62"/>
        <v>1.4112719821856594E-5</v>
      </c>
      <c r="AJ210" s="213"/>
      <c r="AK210" s="213"/>
      <c r="AL210" s="213"/>
      <c r="AM210" s="213"/>
      <c r="AN210" s="213"/>
      <c r="AP210" s="6">
        <v>3.2</v>
      </c>
      <c r="AQ210" s="11">
        <f t="shared" si="56"/>
        <v>9.589562948467059E-7</v>
      </c>
      <c r="AR210" s="11">
        <f t="shared" si="57"/>
        <v>1.8149968808484093E-6</v>
      </c>
      <c r="AS210" s="11">
        <f t="shared" ref="AS210:AS241" si="64">($AR$171*AP210)/($AS$171+AP210)</f>
        <v>3.6136536030341339E-6</v>
      </c>
      <c r="AT210" s="11">
        <f t="shared" ref="AT210:AT241" si="65">($AR$172*AP210)/($AS$172+AP210)</f>
        <v>6.7810063784549965E-6</v>
      </c>
      <c r="AU210" s="11">
        <f t="shared" ref="AU210:AU241" si="66">($AR$173*AP210)/($AS$173+AP210)</f>
        <v>1.1573487031700289E-5</v>
      </c>
      <c r="AV210" s="11">
        <f t="shared" ref="AV210:AV241" si="67">($AR$174*AP210)/($AS$174+AP210)</f>
        <v>1.8222222222222221E-5</v>
      </c>
    </row>
    <row r="211" spans="3:48" ht="15.75" thickBot="1" x14ac:dyDescent="0.3">
      <c r="G211" s="67" t="s">
        <v>40</v>
      </c>
      <c r="H211" s="67" t="s">
        <v>81</v>
      </c>
      <c r="I211" s="67">
        <f>273.15+35</f>
        <v>308.14999999999998</v>
      </c>
      <c r="J211" s="68">
        <v>0.05</v>
      </c>
      <c r="K211" s="67">
        <v>7</v>
      </c>
      <c r="L211" s="68">
        <v>7.8850000000000003E-2</v>
      </c>
      <c r="M211" s="68">
        <v>0.1077</v>
      </c>
      <c r="N211" s="19">
        <f t="shared" si="59"/>
        <v>0.10756277849488277</v>
      </c>
      <c r="O211" s="67">
        <v>7.4</v>
      </c>
      <c r="P211" s="67">
        <v>82.5</v>
      </c>
      <c r="Q211" s="41">
        <v>0.27300000000000002</v>
      </c>
      <c r="R211" s="68">
        <v>1.099</v>
      </c>
      <c r="S211" s="68">
        <v>25280</v>
      </c>
      <c r="T211" s="69">
        <f t="shared" si="60"/>
        <v>4.3473101265822783E-5</v>
      </c>
      <c r="U211" s="68">
        <v>3.8770000000000003E-5</v>
      </c>
      <c r="V211" s="19">
        <f t="shared" si="63"/>
        <v>1.8859847545106509E-5</v>
      </c>
      <c r="W211" s="70">
        <f t="shared" si="61"/>
        <v>2.3831261868179658E-6</v>
      </c>
      <c r="X211" s="19">
        <f t="shared" si="62"/>
        <v>2.1147693118039576E-5</v>
      </c>
      <c r="AJ211" s="213"/>
      <c r="AK211" s="213"/>
      <c r="AL211" s="213"/>
      <c r="AM211" s="213"/>
      <c r="AN211" s="213"/>
      <c r="AP211" s="6">
        <v>3.3</v>
      </c>
      <c r="AQ211" s="11">
        <f t="shared" si="56"/>
        <v>9.7618802318094014E-7</v>
      </c>
      <c r="AR211" s="11">
        <f t="shared" si="57"/>
        <v>1.8486506469500922E-6</v>
      </c>
      <c r="AS211" s="11">
        <f t="shared" si="64"/>
        <v>3.6686060983198504E-6</v>
      </c>
      <c r="AT211" s="11">
        <f t="shared" si="65"/>
        <v>6.8711699164345407E-6</v>
      </c>
      <c r="AU211" s="11">
        <f t="shared" si="66"/>
        <v>1.1780837858805276E-5</v>
      </c>
      <c r="AV211" s="11">
        <f t="shared" si="67"/>
        <v>1.8470989761092147E-5</v>
      </c>
    </row>
    <row r="212" spans="3:48" x14ac:dyDescent="0.25">
      <c r="G212" s="40" t="s">
        <v>41</v>
      </c>
      <c r="H212" s="40" t="s">
        <v>81</v>
      </c>
      <c r="I212" s="40">
        <f>273.15+25</f>
        <v>298.14999999999998</v>
      </c>
      <c r="J212" s="41">
        <v>0.08</v>
      </c>
      <c r="K212" s="40">
        <v>7</v>
      </c>
      <c r="L212" s="41">
        <v>0.12620000000000001</v>
      </c>
      <c r="M212" s="41">
        <v>0.17230000000000001</v>
      </c>
      <c r="N212" s="19">
        <f t="shared" si="59"/>
        <v>0.12856447263079127</v>
      </c>
      <c r="O212" s="40">
        <v>1.85</v>
      </c>
      <c r="P212" s="40">
        <v>82.5</v>
      </c>
      <c r="Q212" s="41">
        <v>0.27300000000000002</v>
      </c>
      <c r="R212" s="41">
        <v>0.45090000000000002</v>
      </c>
      <c r="S212" s="41">
        <v>73680</v>
      </c>
      <c r="T212" s="2">
        <f t="shared" si="60"/>
        <v>6.1197068403908797E-6</v>
      </c>
      <c r="U212" s="41">
        <v>5.3809999999999998E-6</v>
      </c>
      <c r="V212" s="19">
        <f t="shared" si="63"/>
        <v>2.61761257777194E-6</v>
      </c>
      <c r="W212" s="45">
        <f t="shared" si="61"/>
        <v>2.8067134358617183E-7</v>
      </c>
      <c r="X212" s="19">
        <f t="shared" si="62"/>
        <v>2.9769599698353731E-6</v>
      </c>
      <c r="AJ212" s="213"/>
      <c r="AK212" s="213"/>
      <c r="AL212" s="213"/>
      <c r="AM212" s="213"/>
      <c r="AN212" s="213"/>
      <c r="AP212" s="6">
        <v>3.4</v>
      </c>
      <c r="AQ212" s="11">
        <f t="shared" si="56"/>
        <v>9.9298156389065493E-7</v>
      </c>
      <c r="AR212" s="11">
        <f t="shared" si="57"/>
        <v>1.8814850882531953E-6</v>
      </c>
      <c r="AS212" s="11">
        <f t="shared" si="64"/>
        <v>3.7218749999999998E-6</v>
      </c>
      <c r="AT212" s="11">
        <f t="shared" si="65"/>
        <v>6.9582477754962367E-6</v>
      </c>
      <c r="AU212" s="11">
        <f t="shared" si="66"/>
        <v>1.1982895072759766E-5</v>
      </c>
      <c r="AV212" s="11">
        <f t="shared" si="67"/>
        <v>1.8711409395973154E-5</v>
      </c>
    </row>
    <row r="213" spans="3:48" x14ac:dyDescent="0.25">
      <c r="G213" s="14" t="s">
        <v>41</v>
      </c>
      <c r="H213" s="14" t="s">
        <v>81</v>
      </c>
      <c r="I213" s="14">
        <f>273.15+25</f>
        <v>298.14999999999998</v>
      </c>
      <c r="J213" s="21">
        <v>7.0000000000000007E-2</v>
      </c>
      <c r="K213" s="14">
        <v>7</v>
      </c>
      <c r="L213" s="21">
        <v>0.1104</v>
      </c>
      <c r="M213" s="21">
        <v>0.15079999999999999</v>
      </c>
      <c r="N213" s="19">
        <f t="shared" si="59"/>
        <v>0.12027600784610752</v>
      </c>
      <c r="O213" s="14">
        <v>3.7</v>
      </c>
      <c r="P213" s="14">
        <v>82.5</v>
      </c>
      <c r="Q213" s="41">
        <v>0.27300000000000002</v>
      </c>
      <c r="R213" s="21">
        <v>17.39</v>
      </c>
      <c r="S213" s="21">
        <v>2089000</v>
      </c>
      <c r="T213" s="2">
        <f t="shared" si="60"/>
        <v>8.3245572044040212E-6</v>
      </c>
      <c r="U213" s="21">
        <v>8.2910000000000007E-6</v>
      </c>
      <c r="V213" s="19">
        <f t="shared" si="63"/>
        <v>4.033195666661802E-6</v>
      </c>
      <c r="W213" s="19">
        <f t="shared" si="61"/>
        <v>4.0810373124438186E-7</v>
      </c>
      <c r="X213" s="19">
        <f t="shared" si="62"/>
        <v>4.0495197254469397E-6</v>
      </c>
      <c r="AK213" s="2"/>
      <c r="AL213" s="2"/>
      <c r="AP213" s="6">
        <v>3.5</v>
      </c>
      <c r="AQ213" s="11">
        <f t="shared" si="56"/>
        <v>1.009353421217828E-6</v>
      </c>
      <c r="AR213" s="11">
        <f t="shared" si="57"/>
        <v>1.9135297654840648E-6</v>
      </c>
      <c r="AS213" s="11">
        <f t="shared" si="64"/>
        <v>3.7735365117682554E-6</v>
      </c>
      <c r="AT213" s="11">
        <f t="shared" si="65"/>
        <v>7.0423956931359361E-6</v>
      </c>
      <c r="AU213" s="11">
        <f t="shared" si="66"/>
        <v>1.2179858835391984E-5</v>
      </c>
      <c r="AV213" s="11">
        <f t="shared" si="67"/>
        <v>1.8943894389438943E-5</v>
      </c>
    </row>
    <row r="214" spans="3:48" ht="15.75" thickBot="1" x14ac:dyDescent="0.3">
      <c r="D214" s="13"/>
      <c r="G214" s="14" t="s">
        <v>41</v>
      </c>
      <c r="H214" s="14" t="s">
        <v>81</v>
      </c>
      <c r="I214" s="14">
        <f>273.15+25</f>
        <v>298.14999999999998</v>
      </c>
      <c r="J214" s="21">
        <v>0.06</v>
      </c>
      <c r="K214" s="14">
        <v>7</v>
      </c>
      <c r="L214" s="21">
        <v>9.4630000000000006E-2</v>
      </c>
      <c r="M214" s="21">
        <v>0.1293</v>
      </c>
      <c r="N214" s="19">
        <f t="shared" si="59"/>
        <v>0.11137240458910974</v>
      </c>
      <c r="O214" s="14">
        <v>5.55</v>
      </c>
      <c r="P214" s="14">
        <v>82.5</v>
      </c>
      <c r="Q214" s="41">
        <v>0.27300000000000002</v>
      </c>
      <c r="R214" s="21">
        <v>14.07</v>
      </c>
      <c r="S214" s="21">
        <v>1569000</v>
      </c>
      <c r="T214" s="2">
        <f t="shared" si="60"/>
        <v>8.9674952198852772E-6</v>
      </c>
      <c r="U214" s="21">
        <v>8.9199999999999993E-6</v>
      </c>
      <c r="V214" s="19">
        <f t="shared" si="63"/>
        <v>4.3391756539166891E-6</v>
      </c>
      <c r="W214" s="19">
        <f t="shared" si="61"/>
        <v>4.7476859733064911E-7</v>
      </c>
      <c r="X214" s="19">
        <f t="shared" si="62"/>
        <v>4.3622799254193377E-6</v>
      </c>
      <c r="AK214" s="2"/>
      <c r="AL214" s="2"/>
      <c r="AP214" s="6">
        <v>3.6</v>
      </c>
      <c r="AQ214" s="11">
        <f t="shared" si="56"/>
        <v>1.0253192808431495E-6</v>
      </c>
      <c r="AR214" s="11">
        <f t="shared" si="57"/>
        <v>1.944812834224599E-6</v>
      </c>
      <c r="AS214" s="11">
        <f t="shared" si="64"/>
        <v>3.8236623067776455E-6</v>
      </c>
      <c r="AT214" s="11">
        <f t="shared" si="65"/>
        <v>7.1237590999338185E-6</v>
      </c>
      <c r="AU214" s="11">
        <f t="shared" si="66"/>
        <v>1.2371919342793129E-5</v>
      </c>
      <c r="AV214" s="11">
        <f t="shared" si="67"/>
        <v>1.9168831168831166E-5</v>
      </c>
    </row>
    <row r="215" spans="3:48" x14ac:dyDescent="0.25">
      <c r="C215" s="51" t="s">
        <v>274</v>
      </c>
      <c r="D215" s="26"/>
      <c r="G215" s="14" t="s">
        <v>41</v>
      </c>
      <c r="H215" s="14" t="s">
        <v>81</v>
      </c>
      <c r="I215" s="14">
        <f>273.15+25</f>
        <v>298.14999999999998</v>
      </c>
      <c r="J215" s="21">
        <v>0.05</v>
      </c>
      <c r="K215" s="14">
        <v>7</v>
      </c>
      <c r="L215" s="21">
        <v>7.8850000000000003E-2</v>
      </c>
      <c r="M215" s="21">
        <v>0.1077</v>
      </c>
      <c r="N215" s="19">
        <f t="shared" si="59"/>
        <v>0.10164503871517848</v>
      </c>
      <c r="O215" s="14">
        <v>7.4</v>
      </c>
      <c r="P215" s="14">
        <v>82.5</v>
      </c>
      <c r="Q215" s="41">
        <v>0.27300000000000002</v>
      </c>
      <c r="R215" s="21">
        <v>4.5620000000000003</v>
      </c>
      <c r="S215" s="21">
        <v>423400</v>
      </c>
      <c r="T215" s="2">
        <f t="shared" si="60"/>
        <v>1.0774681152574398E-5</v>
      </c>
      <c r="U215" s="21">
        <v>1.0550000000000001E-5</v>
      </c>
      <c r="V215" s="19">
        <f t="shared" si="63"/>
        <v>5.1320967655629004E-6</v>
      </c>
      <c r="W215" s="19">
        <f t="shared" si="61"/>
        <v>6.2503835721260957E-7</v>
      </c>
      <c r="X215" s="19">
        <f t="shared" si="62"/>
        <v>5.2413939614311482E-6</v>
      </c>
      <c r="AE215" s="11"/>
      <c r="AK215" s="2"/>
      <c r="AL215" s="2"/>
      <c r="AP215" s="6">
        <v>3.7</v>
      </c>
      <c r="AQ215" s="11">
        <f t="shared" si="56"/>
        <v>1.0408940600122476E-6</v>
      </c>
      <c r="AR215" s="11">
        <f t="shared" si="57"/>
        <v>1.9753611274221963E-6</v>
      </c>
      <c r="AS215" s="11">
        <f t="shared" si="64"/>
        <v>3.8723198594024604E-6</v>
      </c>
      <c r="AT215" s="11">
        <f t="shared" si="65"/>
        <v>7.2024739583333336E-6</v>
      </c>
      <c r="AU215" s="11">
        <f t="shared" si="66"/>
        <v>1.2559257437914925E-5</v>
      </c>
      <c r="AV215" s="11">
        <f t="shared" si="67"/>
        <v>1.9386581469648564E-5</v>
      </c>
    </row>
    <row r="216" spans="3:48" x14ac:dyDescent="0.25">
      <c r="C216" s="136" t="s">
        <v>2</v>
      </c>
      <c r="D216" s="137">
        <v>8.5</v>
      </c>
      <c r="V216" s="15"/>
      <c r="W216" s="15"/>
      <c r="X216" s="15"/>
      <c r="AE216" s="11"/>
      <c r="AK216" s="2"/>
      <c r="AL216" s="2"/>
      <c r="AP216" s="6">
        <v>3.8</v>
      </c>
      <c r="AQ216" s="11">
        <f t="shared" si="56"/>
        <v>1.0560919540229884E-6</v>
      </c>
      <c r="AR216" s="11">
        <f t="shared" si="57"/>
        <v>2.0052002321532209E-6</v>
      </c>
      <c r="AS216" s="11">
        <f t="shared" si="64"/>
        <v>3.9195727482678983E-6</v>
      </c>
      <c r="AT216" s="11">
        <f t="shared" si="65"/>
        <v>7.2786675208199882E-6</v>
      </c>
      <c r="AU216" s="11">
        <f t="shared" si="66"/>
        <v>1.2742045178528054E-5</v>
      </c>
      <c r="AV216" s="11">
        <f t="shared" si="67"/>
        <v>1.9597484276729556E-5</v>
      </c>
    </row>
    <row r="217" spans="3:48" x14ac:dyDescent="0.25">
      <c r="C217" s="136" t="s">
        <v>260</v>
      </c>
      <c r="D217" s="137">
        <v>9.24</v>
      </c>
      <c r="AE217" s="11"/>
      <c r="AK217" s="2"/>
      <c r="AL217" s="2"/>
      <c r="AP217" s="6">
        <v>3.9</v>
      </c>
      <c r="AQ217" s="11">
        <f t="shared" si="56"/>
        <v>1.0709264793783622E-6</v>
      </c>
      <c r="AR217" s="11">
        <f t="shared" si="57"/>
        <v>2.0343545611015493E-6</v>
      </c>
      <c r="AS217" s="11">
        <f t="shared" si="64"/>
        <v>3.96548093340922E-6</v>
      </c>
      <c r="AT217" s="11">
        <f t="shared" si="65"/>
        <v>7.3524590163934433E-6</v>
      </c>
      <c r="AU217" s="11">
        <f t="shared" si="66"/>
        <v>1.2920446364290859E-5</v>
      </c>
      <c r="AV217" s="11">
        <f t="shared" si="67"/>
        <v>1.9801857585139315E-5</v>
      </c>
    </row>
    <row r="218" spans="3:48" x14ac:dyDescent="0.25">
      <c r="C218" s="136" t="s">
        <v>266</v>
      </c>
      <c r="D218" s="137">
        <v>11.75</v>
      </c>
      <c r="AE218" s="11"/>
      <c r="AK218" s="2"/>
      <c r="AL218" s="2"/>
      <c r="AP218" s="6">
        <v>4</v>
      </c>
      <c r="AQ218" s="11">
        <f t="shared" si="56"/>
        <v>1.0854105138806853E-6</v>
      </c>
      <c r="AR218" s="11">
        <f t="shared" si="57"/>
        <v>2.0628474191718661E-6</v>
      </c>
      <c r="AS218" s="11">
        <f t="shared" si="64"/>
        <v>4.0101010101010095E-6</v>
      </c>
      <c r="AT218" s="11">
        <f t="shared" si="65"/>
        <v>7.4239602731222851E-6</v>
      </c>
      <c r="AU218" s="11">
        <f t="shared" si="66"/>
        <v>1.309461702632203E-5</v>
      </c>
      <c r="AV218" s="11">
        <f t="shared" si="67"/>
        <v>1.9999999999999998E-5</v>
      </c>
    </row>
    <row r="219" spans="3:48" x14ac:dyDescent="0.25">
      <c r="C219" s="136" t="s">
        <v>276</v>
      </c>
      <c r="D219" s="172">
        <f>J30</f>
        <v>8.7499999999999994E-2</v>
      </c>
      <c r="F219" s="213"/>
      <c r="G219" s="15" t="s">
        <v>1058</v>
      </c>
      <c r="AE219" s="11"/>
      <c r="AK219" s="2"/>
      <c r="AL219" s="2"/>
      <c r="AP219" s="6">
        <v>4.0999999999999996</v>
      </c>
      <c r="AQ219" s="11">
        <f t="shared" si="56"/>
        <v>1.0995563339171045E-6</v>
      </c>
      <c r="AR219" s="11">
        <f t="shared" si="57"/>
        <v>2.0907010656197419E-6</v>
      </c>
      <c r="AS219" s="11">
        <f t="shared" si="64"/>
        <v>4.0534864416159374E-6</v>
      </c>
      <c r="AT219" s="11">
        <f t="shared" si="65"/>
        <v>7.4932762836185818E-6</v>
      </c>
      <c r="AU219" s="11">
        <f t="shared" si="66"/>
        <v>1.3264705882352943E-5</v>
      </c>
      <c r="AV219" s="11">
        <f t="shared" si="67"/>
        <v>2.0192192192192187E-5</v>
      </c>
    </row>
    <row r="220" spans="3:48" x14ac:dyDescent="0.25">
      <c r="C220" s="136" t="s">
        <v>268</v>
      </c>
      <c r="D220" s="137">
        <v>8.2500000000000004E-2</v>
      </c>
      <c r="F220" s="213"/>
      <c r="G220" s="66" t="s">
        <v>32</v>
      </c>
      <c r="H220" s="66" t="s">
        <v>80</v>
      </c>
      <c r="I220" s="66" t="s">
        <v>35</v>
      </c>
      <c r="J220" s="66" t="s">
        <v>82</v>
      </c>
      <c r="K220" s="74" t="s">
        <v>2</v>
      </c>
      <c r="L220" s="66" t="s">
        <v>89</v>
      </c>
      <c r="M220" s="66" t="s">
        <v>79</v>
      </c>
      <c r="N220" s="66" t="s">
        <v>21</v>
      </c>
      <c r="O220" s="66" t="s">
        <v>1</v>
      </c>
      <c r="P220" s="66" t="s">
        <v>34</v>
      </c>
      <c r="Q220" s="66" t="s">
        <v>11</v>
      </c>
      <c r="R220" s="66" t="s">
        <v>255</v>
      </c>
      <c r="T220" s="213"/>
      <c r="W220" s="213"/>
      <c r="X220" s="213"/>
      <c r="AE220" s="11"/>
      <c r="AK220" s="2"/>
      <c r="AL220" s="2"/>
      <c r="AP220" s="6">
        <v>4.2</v>
      </c>
      <c r="AQ220" s="11">
        <f t="shared" si="56"/>
        <v>1.113375649163301E-6</v>
      </c>
      <c r="AR220" s="11">
        <f t="shared" si="57"/>
        <v>2.117936772046589E-6</v>
      </c>
      <c r="AS220" s="11">
        <f t="shared" si="64"/>
        <v>4.0956877729257635E-6</v>
      </c>
      <c r="AT220" s="11">
        <f t="shared" si="65"/>
        <v>7.560505719446117E-6</v>
      </c>
      <c r="AU220" s="11">
        <f t="shared" si="66"/>
        <v>1.3430854760250174E-5</v>
      </c>
      <c r="AV220" s="11">
        <f t="shared" si="67"/>
        <v>2.0378698224852072E-5</v>
      </c>
    </row>
    <row r="221" spans="3:48" x14ac:dyDescent="0.25">
      <c r="C221" s="138" t="s">
        <v>275</v>
      </c>
      <c r="D221" s="139">
        <f>(10^(D216-D217)/(1+10^(D216-D217)))*D219</f>
        <v>1.34710537121917E-2</v>
      </c>
      <c r="F221" s="221"/>
      <c r="G221" s="14" t="s">
        <v>50</v>
      </c>
      <c r="H221" s="14" t="s">
        <v>83</v>
      </c>
      <c r="I221" s="14">
        <f>25+273.15</f>
        <v>298.14999999999998</v>
      </c>
      <c r="J221" s="38">
        <v>8.5000000000000006E-2</v>
      </c>
      <c r="K221" s="36">
        <v>8.4600000000000009</v>
      </c>
      <c r="L221" s="21">
        <v>1.21E-2</v>
      </c>
      <c r="M221" s="38">
        <v>1.2E-2</v>
      </c>
      <c r="N221" s="36">
        <v>1.528551784</v>
      </c>
      <c r="O221" s="14">
        <v>82.5</v>
      </c>
      <c r="P221" s="21">
        <v>0.27300000000000002</v>
      </c>
      <c r="Q221" s="21">
        <v>4.2209999999999997E-5</v>
      </c>
      <c r="R221" s="19">
        <f t="shared" ref="R221:R256" si="68">Q221/($C$3*P221)</f>
        <v>2.0533251608948816E-5</v>
      </c>
      <c r="AE221" s="11"/>
      <c r="AK221" s="2"/>
      <c r="AL221" s="2"/>
      <c r="AP221" s="6">
        <v>4.3</v>
      </c>
      <c r="AQ221" s="11">
        <f t="shared" si="56"/>
        <v>1.1268796349115802E-6</v>
      </c>
      <c r="AR221" s="11">
        <f t="shared" si="57"/>
        <v>2.1445748765770705E-6</v>
      </c>
      <c r="AS221" s="11">
        <f t="shared" si="64"/>
        <v>4.136752827140549E-6</v>
      </c>
      <c r="AT221" s="11">
        <f t="shared" si="65"/>
        <v>7.6257413997627528E-6</v>
      </c>
      <c r="AU221" s="11">
        <f t="shared" si="66"/>
        <v>1.3593198992443325E-5</v>
      </c>
      <c r="AV221" s="11">
        <f t="shared" si="67"/>
        <v>2.0559766763848396E-5</v>
      </c>
    </row>
    <row r="222" spans="3:48" x14ac:dyDescent="0.25">
      <c r="C222" s="138" t="s">
        <v>269</v>
      </c>
      <c r="D222" s="139">
        <f>(10^(D216-D218)/(1+10^(D216-D218)))*D220</f>
        <v>4.636708520006714E-5</v>
      </c>
      <c r="F222" s="221"/>
      <c r="G222" s="14" t="s">
        <v>50</v>
      </c>
      <c r="H222" s="14" t="s">
        <v>83</v>
      </c>
      <c r="I222" s="14">
        <f t="shared" ref="I222:I256" si="69">25+273.15</f>
        <v>298.14999999999998</v>
      </c>
      <c r="J222" s="38">
        <v>0.08</v>
      </c>
      <c r="K222" s="36">
        <v>8.4600000000000009</v>
      </c>
      <c r="L222" s="21">
        <v>1.1390000000000001E-2</v>
      </c>
      <c r="M222" s="38">
        <v>1.0999999999999999E-2</v>
      </c>
      <c r="N222" s="36">
        <v>3.057103568</v>
      </c>
      <c r="O222" s="14">
        <v>82.5</v>
      </c>
      <c r="P222" s="21">
        <v>0.27300000000000002</v>
      </c>
      <c r="Q222" s="21">
        <v>6.3629999999999999E-5</v>
      </c>
      <c r="R222" s="19">
        <f t="shared" si="68"/>
        <v>3.095311063438553E-5</v>
      </c>
      <c r="AE222" s="11"/>
      <c r="AK222" s="2"/>
      <c r="AL222" s="2"/>
      <c r="AP222" s="6">
        <v>4.4000000000000004</v>
      </c>
      <c r="AQ222" s="11">
        <f t="shared" si="56"/>
        <v>1.1400789622109419E-6</v>
      </c>
      <c r="AR222" s="11">
        <f t="shared" si="57"/>
        <v>2.1706348345089533E-6</v>
      </c>
      <c r="AS222" s="11">
        <f t="shared" si="64"/>
        <v>4.1767268862911799E-6</v>
      </c>
      <c r="AT222" s="11">
        <f t="shared" si="65"/>
        <v>7.6890707188778502E-6</v>
      </c>
      <c r="AU222" s="11">
        <f t="shared" si="66"/>
        <v>1.3751867783563507E-5</v>
      </c>
      <c r="AV222" s="11">
        <f t="shared" si="67"/>
        <v>2.0735632183908044E-5</v>
      </c>
    </row>
    <row r="223" spans="3:48" x14ac:dyDescent="0.25">
      <c r="C223" s="136" t="s">
        <v>271</v>
      </c>
      <c r="D223" s="137">
        <v>-1</v>
      </c>
      <c r="F223" s="221"/>
      <c r="G223" s="14" t="s">
        <v>50</v>
      </c>
      <c r="H223" s="14" t="s">
        <v>83</v>
      </c>
      <c r="I223" s="14">
        <f t="shared" si="69"/>
        <v>298.14999999999998</v>
      </c>
      <c r="J223" s="38">
        <v>7.4999999999999997E-2</v>
      </c>
      <c r="K223" s="36">
        <v>8.4600000000000009</v>
      </c>
      <c r="L223" s="21">
        <v>1.068E-2</v>
      </c>
      <c r="M223" s="38">
        <v>1.0999999999999999E-2</v>
      </c>
      <c r="N223" s="36">
        <v>4.5856553519999999</v>
      </c>
      <c r="O223" s="14">
        <v>82.5</v>
      </c>
      <c r="P223" s="21">
        <v>0.27300000000000002</v>
      </c>
      <c r="Q223" s="21">
        <v>7.4709999999999995E-5</v>
      </c>
      <c r="R223" s="19">
        <f t="shared" si="68"/>
        <v>3.6343028374900879E-5</v>
      </c>
      <c r="AE223" s="11"/>
      <c r="AK223" s="2"/>
      <c r="AL223" s="2"/>
      <c r="AP223" s="6">
        <v>4.5</v>
      </c>
      <c r="AQ223" s="11">
        <f t="shared" si="56"/>
        <v>1.1529838259899612E-6</v>
      </c>
      <c r="AR223" s="11">
        <f t="shared" si="57"/>
        <v>2.1961352657004831E-6</v>
      </c>
      <c r="AS223" s="11">
        <f t="shared" si="64"/>
        <v>4.2156528578919762E-6</v>
      </c>
      <c r="AT223" s="11">
        <f t="shared" si="65"/>
        <v>7.7505760368663595E-6</v>
      </c>
      <c r="AU223" s="11">
        <f t="shared" si="66"/>
        <v>1.3906984553391538E-5</v>
      </c>
      <c r="AV223" s="11">
        <f t="shared" si="67"/>
        <v>2.0906515580736541E-5</v>
      </c>
    </row>
    <row r="224" spans="3:48" ht="15.75" thickBot="1" x14ac:dyDescent="0.3">
      <c r="C224" s="140" t="s">
        <v>270</v>
      </c>
      <c r="D224" s="141">
        <f>0.5*((D223)^2*D221+(D223)^2*D222+ABS(D223)*D221+ABS(D223)*D222)</f>
        <v>1.3517420797391768E-2</v>
      </c>
      <c r="F224" s="221"/>
      <c r="G224" s="55" t="s">
        <v>50</v>
      </c>
      <c r="H224" s="55" t="s">
        <v>83</v>
      </c>
      <c r="I224" s="55">
        <f t="shared" si="69"/>
        <v>298.14999999999998</v>
      </c>
      <c r="J224" s="65">
        <v>7.0000000000000007E-2</v>
      </c>
      <c r="K224" s="57">
        <v>8.4600000000000009</v>
      </c>
      <c r="L224" s="56">
        <v>9.9640000000000006E-3</v>
      </c>
      <c r="M224" s="65">
        <v>0.01</v>
      </c>
      <c r="N224" s="57">
        <v>6.1142071360000001</v>
      </c>
      <c r="O224" s="55">
        <v>82.5</v>
      </c>
      <c r="P224" s="56">
        <v>0.27300000000000002</v>
      </c>
      <c r="Q224" s="56">
        <v>8.5229999999999995E-5</v>
      </c>
      <c r="R224" s="19">
        <f t="shared" si="68"/>
        <v>4.1460531500372129E-5</v>
      </c>
      <c r="AK224" s="2"/>
      <c r="AL224" s="2"/>
      <c r="AP224" s="6">
        <v>4.5999999999999996</v>
      </c>
      <c r="AQ224" s="11">
        <f t="shared" si="56"/>
        <v>1.1656039713182572E-6</v>
      </c>
      <c r="AR224" s="11">
        <f t="shared" si="57"/>
        <v>2.2210939989378652E-6</v>
      </c>
      <c r="AS224" s="11">
        <f t="shared" si="64"/>
        <v>4.2535714285714283E-6</v>
      </c>
      <c r="AT224" s="11">
        <f t="shared" si="65"/>
        <v>7.8103350369108459E-6</v>
      </c>
      <c r="AU224" s="11">
        <f t="shared" si="66"/>
        <v>1.4058667257029005E-5</v>
      </c>
      <c r="AV224" s="11">
        <f t="shared" si="67"/>
        <v>2.1072625698324018E-5</v>
      </c>
    </row>
    <row r="225" spans="6:48" x14ac:dyDescent="0.25">
      <c r="F225" s="221"/>
      <c r="G225" s="40" t="s">
        <v>51</v>
      </c>
      <c r="H225" s="40" t="s">
        <v>83</v>
      </c>
      <c r="I225" s="40">
        <f t="shared" si="69"/>
        <v>298.14999999999998</v>
      </c>
      <c r="J225" s="38">
        <v>8.5000000000000006E-2</v>
      </c>
      <c r="K225" s="42">
        <v>8.98</v>
      </c>
      <c r="L225" s="41">
        <v>3.015E-2</v>
      </c>
      <c r="M225" s="61">
        <v>0.03</v>
      </c>
      <c r="N225" s="42">
        <v>1.528551784</v>
      </c>
      <c r="O225" s="40">
        <v>82.5</v>
      </c>
      <c r="P225" s="41">
        <v>0.27300000000000002</v>
      </c>
      <c r="Q225" s="41">
        <v>7.4460000000000002E-5</v>
      </c>
      <c r="R225" s="19">
        <f t="shared" si="68"/>
        <v>3.6221414707470483E-5</v>
      </c>
      <c r="AE225" s="8"/>
      <c r="AK225" s="2"/>
      <c r="AL225" s="2"/>
      <c r="AP225" s="6">
        <v>4.7</v>
      </c>
      <c r="AQ225" s="11">
        <f t="shared" si="56"/>
        <v>1.1779487179487182E-6</v>
      </c>
      <c r="AR225" s="11">
        <f t="shared" si="57"/>
        <v>2.2455281135049923E-6</v>
      </c>
      <c r="AS225" s="11">
        <f t="shared" si="64"/>
        <v>4.2905212059274397E-6</v>
      </c>
      <c r="AT225" s="11">
        <f t="shared" si="65"/>
        <v>7.8684210526315796E-6</v>
      </c>
      <c r="AU225" s="11">
        <f t="shared" si="66"/>
        <v>1.4207028684037662E-5</v>
      </c>
      <c r="AV225" s="11">
        <f t="shared" si="67"/>
        <v>2.1234159779614327E-5</v>
      </c>
    </row>
    <row r="226" spans="6:48" x14ac:dyDescent="0.25">
      <c r="F226" s="221"/>
      <c r="G226" s="14" t="s">
        <v>51</v>
      </c>
      <c r="H226" s="14" t="s">
        <v>83</v>
      </c>
      <c r="I226" s="14">
        <f t="shared" si="69"/>
        <v>298.14999999999998</v>
      </c>
      <c r="J226" s="38">
        <v>0.08</v>
      </c>
      <c r="K226" s="36">
        <v>8.98</v>
      </c>
      <c r="L226" s="21">
        <v>2.8369999999999999E-2</v>
      </c>
      <c r="M226" s="38">
        <v>2.9000000000000001E-2</v>
      </c>
      <c r="N226" s="36">
        <v>3.057103568</v>
      </c>
      <c r="O226" s="14">
        <v>82.5</v>
      </c>
      <c r="P226" s="21">
        <v>0.27300000000000002</v>
      </c>
      <c r="Q226" s="21">
        <v>1.131E-4</v>
      </c>
      <c r="R226" s="19">
        <f t="shared" si="68"/>
        <v>5.5018023145513176E-5</v>
      </c>
      <c r="AK226" s="2"/>
      <c r="AL226" s="2"/>
      <c r="AP226" s="6">
        <v>4.8</v>
      </c>
      <c r="AQ226" s="11">
        <f t="shared" si="56"/>
        <v>1.1900269832703723E-6</v>
      </c>
      <c r="AR226" s="11">
        <f t="shared" si="57"/>
        <v>2.2694539781591263E-6</v>
      </c>
      <c r="AS226" s="11">
        <f t="shared" si="64"/>
        <v>4.3265388496468212E-6</v>
      </c>
      <c r="AT226" s="11">
        <f t="shared" si="65"/>
        <v>7.9249033683048053E-6</v>
      </c>
      <c r="AU226" s="11">
        <f t="shared" si="66"/>
        <v>1.4352176738141652E-5</v>
      </c>
      <c r="AV226" s="11">
        <f t="shared" si="67"/>
        <v>2.1391304347826088E-5</v>
      </c>
    </row>
    <row r="227" spans="6:48" x14ac:dyDescent="0.25">
      <c r="F227" s="221"/>
      <c r="G227" s="14" t="s">
        <v>51</v>
      </c>
      <c r="H227" s="14" t="s">
        <v>83</v>
      </c>
      <c r="I227" s="14">
        <f t="shared" si="69"/>
        <v>298.14999999999998</v>
      </c>
      <c r="J227" s="38">
        <v>7.4999999999999997E-2</v>
      </c>
      <c r="K227" s="36">
        <v>8.98</v>
      </c>
      <c r="L227" s="21">
        <v>2.6599999999999999E-2</v>
      </c>
      <c r="M227" s="38">
        <v>2.7E-2</v>
      </c>
      <c r="N227" s="36">
        <v>4.5856553519999999</v>
      </c>
      <c r="O227" s="14">
        <v>82.5</v>
      </c>
      <c r="P227" s="21">
        <v>0.27300000000000002</v>
      </c>
      <c r="Q227" s="21">
        <v>1.3999999999999999E-4</v>
      </c>
      <c r="R227" s="19">
        <f t="shared" si="68"/>
        <v>6.8103653761024261E-5</v>
      </c>
      <c r="AE227" s="75"/>
      <c r="AF227" s="75"/>
      <c r="AK227" s="2"/>
      <c r="AL227" s="2"/>
      <c r="AP227" s="6">
        <v>4.9000000000000004</v>
      </c>
      <c r="AQ227" s="11">
        <f t="shared" si="56"/>
        <v>1.2018473037907104E-6</v>
      </c>
      <c r="AR227" s="11">
        <f t="shared" si="57"/>
        <v>2.2928872876994343E-6</v>
      </c>
      <c r="AS227" s="11">
        <f t="shared" si="64"/>
        <v>4.361659192825112E-6</v>
      </c>
      <c r="AT227" s="11">
        <f t="shared" si="65"/>
        <v>7.9798474945533776E-6</v>
      </c>
      <c r="AU227" s="11">
        <f t="shared" si="66"/>
        <v>1.4494214698950078E-5</v>
      </c>
      <c r="AV227" s="11">
        <f t="shared" si="67"/>
        <v>2.1544235924932974E-5</v>
      </c>
    </row>
    <row r="228" spans="6:48" ht="15.75" thickBot="1" x14ac:dyDescent="0.3">
      <c r="F228" s="221"/>
      <c r="G228" s="55" t="s">
        <v>51</v>
      </c>
      <c r="H228" s="55" t="s">
        <v>83</v>
      </c>
      <c r="I228" s="55">
        <f t="shared" si="69"/>
        <v>298.14999999999998</v>
      </c>
      <c r="J228" s="65">
        <v>7.0000000000000007E-2</v>
      </c>
      <c r="K228" s="57">
        <v>8.98</v>
      </c>
      <c r="L228" s="56">
        <v>2.4830000000000001E-2</v>
      </c>
      <c r="M228" s="65">
        <v>2.5000000000000001E-2</v>
      </c>
      <c r="N228" s="57">
        <v>6.1142071360000001</v>
      </c>
      <c r="O228" s="55">
        <v>82.5</v>
      </c>
      <c r="P228" s="56">
        <v>0.27300000000000002</v>
      </c>
      <c r="Q228" s="56">
        <v>1.694E-4</v>
      </c>
      <c r="R228" s="19">
        <f t="shared" si="68"/>
        <v>8.2405421050839371E-5</v>
      </c>
      <c r="AE228" s="75"/>
      <c r="AF228" s="75"/>
      <c r="AK228" s="2"/>
      <c r="AL228" s="2"/>
      <c r="AP228" s="6">
        <v>5</v>
      </c>
      <c r="AQ228" s="11">
        <f t="shared" si="56"/>
        <v>1.2134178552562071E-6</v>
      </c>
      <c r="AR228" s="11">
        <f t="shared" si="57"/>
        <v>2.3158430973000507E-6</v>
      </c>
      <c r="AS228" s="11">
        <f t="shared" si="64"/>
        <v>4.3959153543307081E-6</v>
      </c>
      <c r="AT228" s="11">
        <f t="shared" si="65"/>
        <v>8.0333154218162286E-6</v>
      </c>
      <c r="AU228" s="11">
        <f t="shared" si="66"/>
        <v>1.4633241467034133E-5</v>
      </c>
      <c r="AV228" s="11">
        <f t="shared" si="67"/>
        <v>2.1693121693121689E-5</v>
      </c>
    </row>
    <row r="229" spans="6:48" x14ac:dyDescent="0.25">
      <c r="F229" s="221"/>
      <c r="G229" s="40" t="s">
        <v>52</v>
      </c>
      <c r="H229" s="40" t="s">
        <v>83</v>
      </c>
      <c r="I229" s="40">
        <f t="shared" si="69"/>
        <v>298.14999999999998</v>
      </c>
      <c r="J229" s="38">
        <v>8.5000000000000006E-2</v>
      </c>
      <c r="K229" s="42">
        <v>9.23</v>
      </c>
      <c r="L229" s="41">
        <v>4.2009999999999999E-2</v>
      </c>
      <c r="M229" s="61">
        <v>4.2000000000000003E-2</v>
      </c>
      <c r="N229" s="42">
        <v>1.528551784</v>
      </c>
      <c r="O229" s="40">
        <v>82.5</v>
      </c>
      <c r="P229" s="41">
        <v>0.27300000000000002</v>
      </c>
      <c r="Q229" s="41">
        <v>7.203E-5</v>
      </c>
      <c r="R229" s="19">
        <f t="shared" si="68"/>
        <v>3.5039329860046986E-5</v>
      </c>
      <c r="AE229" s="75"/>
      <c r="AF229" s="75"/>
      <c r="AK229" s="2"/>
      <c r="AL229" s="2"/>
      <c r="AP229" s="6">
        <v>5.0999999999999996</v>
      </c>
      <c r="AQ229" s="11">
        <f t="shared" si="56"/>
        <v>1.2247464715107162E-6</v>
      </c>
      <c r="AR229" s="11">
        <f t="shared" si="57"/>
        <v>2.3383358547655068E-6</v>
      </c>
      <c r="AS229" s="11">
        <f t="shared" si="64"/>
        <v>4.429338842975207E-6</v>
      </c>
      <c r="AT229" s="11">
        <f t="shared" si="65"/>
        <v>8.085365853658537E-6</v>
      </c>
      <c r="AU229" s="11">
        <f t="shared" si="66"/>
        <v>1.4769351793580869E-5</v>
      </c>
      <c r="AV229" s="11">
        <f t="shared" si="67"/>
        <v>2.1838120104438639E-5</v>
      </c>
    </row>
    <row r="230" spans="6:48" x14ac:dyDescent="0.25">
      <c r="F230" s="221"/>
      <c r="G230" s="14" t="s">
        <v>52</v>
      </c>
      <c r="H230" s="14" t="s">
        <v>83</v>
      </c>
      <c r="I230" s="14">
        <f t="shared" si="69"/>
        <v>298.14999999999998</v>
      </c>
      <c r="J230" s="38">
        <v>0.08</v>
      </c>
      <c r="K230" s="36">
        <v>9.23</v>
      </c>
      <c r="L230" s="21">
        <v>3.9539999999999999E-2</v>
      </c>
      <c r="M230" s="38">
        <v>0.04</v>
      </c>
      <c r="N230" s="36">
        <v>3.057103568</v>
      </c>
      <c r="O230" s="14">
        <v>82.5</v>
      </c>
      <c r="P230" s="21">
        <v>0.27300000000000002</v>
      </c>
      <c r="Q230" s="21">
        <v>1.087E-4</v>
      </c>
      <c r="R230" s="19">
        <f t="shared" si="68"/>
        <v>5.2877622598738131E-5</v>
      </c>
      <c r="AE230" s="6"/>
      <c r="AF230" s="6"/>
      <c r="AK230" s="2"/>
      <c r="AL230" s="2"/>
      <c r="AP230" s="6">
        <v>5.2</v>
      </c>
      <c r="AQ230" s="11">
        <f t="shared" si="56"/>
        <v>1.2358406621831353E-6</v>
      </c>
      <c r="AR230" s="11">
        <f t="shared" si="57"/>
        <v>2.3603794308537194E-6</v>
      </c>
      <c r="AS230" s="11">
        <f t="shared" si="64"/>
        <v>4.461959654178675E-6</v>
      </c>
      <c r="AT230" s="11">
        <f t="shared" si="65"/>
        <v>8.1360544217687083E-6</v>
      </c>
      <c r="AU230" s="11">
        <f t="shared" si="66"/>
        <v>1.4902636495744241E-5</v>
      </c>
      <c r="AV230" s="11">
        <f t="shared" si="67"/>
        <v>2.1979381443298968E-5</v>
      </c>
    </row>
    <row r="231" spans="6:48" x14ac:dyDescent="0.25">
      <c r="F231" s="221"/>
      <c r="G231" s="14" t="s">
        <v>52</v>
      </c>
      <c r="H231" s="14" t="s">
        <v>83</v>
      </c>
      <c r="I231" s="14">
        <f t="shared" si="69"/>
        <v>298.14999999999998</v>
      </c>
      <c r="J231" s="38">
        <v>7.4999999999999997E-2</v>
      </c>
      <c r="K231" s="36">
        <v>9.23</v>
      </c>
      <c r="L231" s="21">
        <v>3.7069999999999999E-2</v>
      </c>
      <c r="M231" s="38">
        <v>3.6999999999999998E-2</v>
      </c>
      <c r="N231" s="36">
        <v>4.5856553519999999</v>
      </c>
      <c r="O231" s="14">
        <v>82.5</v>
      </c>
      <c r="P231" s="21">
        <v>0.27300000000000002</v>
      </c>
      <c r="Q231" s="21">
        <v>1.4469999999999999E-4</v>
      </c>
      <c r="R231" s="19">
        <f t="shared" si="68"/>
        <v>7.0389990708715795E-5</v>
      </c>
      <c r="AE231" s="6"/>
      <c r="AF231" s="6"/>
      <c r="AK231" s="2"/>
      <c r="AL231" s="2"/>
      <c r="AP231" s="6">
        <v>5.3</v>
      </c>
      <c r="AQ231" s="11">
        <f t="shared" si="56"/>
        <v>1.2467076292882744E-6</v>
      </c>
      <c r="AR231" s="11">
        <f t="shared" si="57"/>
        <v>2.3819871478002965E-6</v>
      </c>
      <c r="AS231" s="11">
        <f t="shared" si="64"/>
        <v>4.4938063597532028E-6</v>
      </c>
      <c r="AT231" s="11">
        <f t="shared" si="65"/>
        <v>8.1854338842975213E-6</v>
      </c>
      <c r="AU231" s="11">
        <f t="shared" si="66"/>
        <v>1.5033182658722007E-5</v>
      </c>
      <c r="AV231" s="11">
        <f t="shared" si="67"/>
        <v>2.2117048346055978E-5</v>
      </c>
    </row>
    <row r="232" spans="6:48" ht="15.75" thickBot="1" x14ac:dyDescent="0.3">
      <c r="F232" s="221"/>
      <c r="G232" s="55" t="s">
        <v>52</v>
      </c>
      <c r="H232" s="55" t="s">
        <v>83</v>
      </c>
      <c r="I232" s="55">
        <f t="shared" si="69"/>
        <v>298.14999999999998</v>
      </c>
      <c r="J232" s="65">
        <v>7.0000000000000007E-2</v>
      </c>
      <c r="K232" s="57">
        <v>9.23</v>
      </c>
      <c r="L232" s="56">
        <v>3.4599999999999999E-2</v>
      </c>
      <c r="M232" s="65">
        <v>3.5000000000000003E-2</v>
      </c>
      <c r="N232" s="57">
        <v>6.1142071360000001</v>
      </c>
      <c r="O232" s="55">
        <v>82.5</v>
      </c>
      <c r="P232" s="56">
        <v>0.27300000000000002</v>
      </c>
      <c r="Q232" s="56">
        <v>1.7540000000000001E-4</v>
      </c>
      <c r="R232" s="19">
        <f t="shared" si="68"/>
        <v>8.5324149069168981E-5</v>
      </c>
      <c r="T232" s="213"/>
      <c r="W232" s="213"/>
      <c r="X232" s="213"/>
      <c r="Z232" s="10"/>
      <c r="AA232" s="13"/>
      <c r="AB232" s="142"/>
      <c r="AC232" s="13"/>
      <c r="AD232" s="75"/>
      <c r="AE232" s="6"/>
      <c r="AF232" s="6"/>
      <c r="AI232" s="213"/>
      <c r="AK232" s="2"/>
      <c r="AL232" s="2"/>
      <c r="AP232" s="6">
        <v>5.4</v>
      </c>
      <c r="AQ232" s="11">
        <f t="shared" si="56"/>
        <v>1.2573542828180437E-6</v>
      </c>
      <c r="AR232" s="11">
        <f t="shared" si="57"/>
        <v>2.4031718061674014E-6</v>
      </c>
      <c r="AS232" s="11">
        <f t="shared" si="64"/>
        <v>4.524906191369606E-6</v>
      </c>
      <c r="AT232" s="11">
        <f t="shared" si="65"/>
        <v>8.2335543090260077E-6</v>
      </c>
      <c r="AU232" s="11">
        <f t="shared" si="66"/>
        <v>1.5161073825503358E-5</v>
      </c>
      <c r="AV232" s="11">
        <f t="shared" si="67"/>
        <v>2.2251256281407033E-5</v>
      </c>
    </row>
    <row r="233" spans="6:48" x14ac:dyDescent="0.25">
      <c r="F233" s="221"/>
      <c r="G233" s="40" t="s">
        <v>53</v>
      </c>
      <c r="H233" s="40" t="s">
        <v>83</v>
      </c>
      <c r="I233" s="40">
        <f t="shared" si="69"/>
        <v>298.14999999999998</v>
      </c>
      <c r="J233" s="38">
        <v>8.5000000000000006E-2</v>
      </c>
      <c r="K233" s="42">
        <v>9.4</v>
      </c>
      <c r="L233" s="41">
        <v>5.024E-2</v>
      </c>
      <c r="M233" s="61">
        <v>5.0999999999999997E-2</v>
      </c>
      <c r="N233" s="42">
        <v>1.528551784</v>
      </c>
      <c r="O233" s="40">
        <v>82.5</v>
      </c>
      <c r="P233" s="41">
        <v>0.27300000000000002</v>
      </c>
      <c r="Q233" s="41">
        <v>6.5099999999999997E-5</v>
      </c>
      <c r="R233" s="19">
        <f t="shared" si="68"/>
        <v>3.1668198998876286E-5</v>
      </c>
      <c r="T233" s="213"/>
      <c r="W233" s="213"/>
      <c r="X233" s="213"/>
      <c r="Z233" s="10"/>
      <c r="AA233" s="13"/>
      <c r="AB233" s="142"/>
      <c r="AC233" s="13"/>
      <c r="AD233" s="75"/>
      <c r="AE233" s="6"/>
      <c r="AF233" s="6"/>
      <c r="AI233" s="213"/>
      <c r="AK233" s="2"/>
      <c r="AL233" s="2"/>
      <c r="AP233" s="6">
        <v>5.5</v>
      </c>
      <c r="AQ233" s="11">
        <f t="shared" si="56"/>
        <v>1.2677872553938786E-6</v>
      </c>
      <c r="AR233" s="11">
        <f t="shared" si="57"/>
        <v>2.423945710130877E-6</v>
      </c>
      <c r="AS233" s="11">
        <f t="shared" si="64"/>
        <v>4.5552851182197498E-6</v>
      </c>
      <c r="AT233" s="11">
        <f t="shared" si="65"/>
        <v>8.2804632426988937E-6</v>
      </c>
      <c r="AU233" s="11">
        <f t="shared" si="66"/>
        <v>1.5286390175156028E-5</v>
      </c>
      <c r="AV233" s="11">
        <f t="shared" si="67"/>
        <v>2.2382133995037217E-5</v>
      </c>
    </row>
    <row r="234" spans="6:48" x14ac:dyDescent="0.25">
      <c r="F234" s="221"/>
      <c r="G234" s="14" t="s">
        <v>53</v>
      </c>
      <c r="H234" s="14" t="s">
        <v>83</v>
      </c>
      <c r="I234" s="14">
        <f t="shared" si="69"/>
        <v>298.14999999999998</v>
      </c>
      <c r="J234" s="38">
        <v>0.08</v>
      </c>
      <c r="K234" s="36">
        <v>9.4</v>
      </c>
      <c r="L234" s="21">
        <v>4.7289999999999999E-2</v>
      </c>
      <c r="M234" s="61">
        <v>4.8000000000000001E-2</v>
      </c>
      <c r="N234" s="36">
        <v>3.057103568</v>
      </c>
      <c r="O234" s="14">
        <v>82.5</v>
      </c>
      <c r="P234" s="21">
        <v>0.27300000000000002</v>
      </c>
      <c r="Q234" s="21">
        <v>1.039E-4</v>
      </c>
      <c r="R234" s="19">
        <f t="shared" si="68"/>
        <v>5.0542640184074444E-5</v>
      </c>
      <c r="T234" s="213"/>
      <c r="W234" s="213"/>
      <c r="X234" s="213"/>
      <c r="Z234" s="10"/>
      <c r="AA234" s="13"/>
      <c r="AB234" s="142"/>
      <c r="AC234" s="13"/>
      <c r="AD234" s="75"/>
      <c r="AE234" s="6"/>
      <c r="AF234" s="6"/>
      <c r="AI234" s="213"/>
      <c r="AK234" s="2"/>
      <c r="AL234" s="2"/>
      <c r="AP234" s="6">
        <v>5.6</v>
      </c>
      <c r="AQ234" s="11">
        <f t="shared" si="56"/>
        <v>1.2780129160457031E-6</v>
      </c>
      <c r="AR234" s="11">
        <f t="shared" si="57"/>
        <v>2.4443206913106098E-6</v>
      </c>
      <c r="AS234" s="11">
        <f t="shared" si="64"/>
        <v>4.5849679193400544E-6</v>
      </c>
      <c r="AT234" s="11">
        <f t="shared" si="65"/>
        <v>8.326205867727499E-6</v>
      </c>
      <c r="AU234" s="11">
        <f t="shared" si="66"/>
        <v>1.5409208690452463E-5</v>
      </c>
      <c r="AV234" s="11">
        <f t="shared" si="67"/>
        <v>2.2509803921568625E-5</v>
      </c>
    </row>
    <row r="235" spans="6:48" ht="26.25" customHeight="1" x14ac:dyDescent="0.25">
      <c r="F235" s="221"/>
      <c r="G235" s="14" t="s">
        <v>53</v>
      </c>
      <c r="H235" s="14" t="s">
        <v>83</v>
      </c>
      <c r="I235" s="14">
        <f t="shared" si="69"/>
        <v>298.14999999999998</v>
      </c>
      <c r="J235" s="38">
        <v>7.4999999999999997E-2</v>
      </c>
      <c r="K235" s="36">
        <v>9.4</v>
      </c>
      <c r="L235" s="21">
        <v>4.4330000000000001E-2</v>
      </c>
      <c r="M235" s="61">
        <v>4.4999999999999998E-2</v>
      </c>
      <c r="N235" s="36">
        <v>4.5856553519999999</v>
      </c>
      <c r="O235" s="14">
        <v>82.5</v>
      </c>
      <c r="P235" s="21">
        <v>0.27300000000000002</v>
      </c>
      <c r="Q235" s="21">
        <v>1.3850000000000001E-4</v>
      </c>
      <c r="R235" s="19">
        <f t="shared" si="68"/>
        <v>6.7373971756441869E-5</v>
      </c>
      <c r="T235" s="213"/>
      <c r="W235" s="213"/>
      <c r="X235" s="213"/>
      <c r="Z235" s="10"/>
      <c r="AA235" s="13"/>
      <c r="AB235" s="142"/>
      <c r="AC235" s="13"/>
      <c r="AD235" s="75"/>
      <c r="AE235" s="6"/>
      <c r="AF235" s="6"/>
      <c r="AI235" s="213"/>
      <c r="AK235" s="2"/>
      <c r="AL235" s="2"/>
      <c r="AP235" s="6">
        <v>5.7</v>
      </c>
      <c r="AQ235" s="11">
        <f t="shared" si="56"/>
        <v>1.2880373831775703E-6</v>
      </c>
      <c r="AR235" s="11">
        <f t="shared" si="57"/>
        <v>2.4643081312410844E-6</v>
      </c>
      <c r="AS235" s="11">
        <f t="shared" si="64"/>
        <v>4.6139782510194845E-6</v>
      </c>
      <c r="AT235" s="11">
        <f t="shared" si="65"/>
        <v>8.370825147347742E-6</v>
      </c>
      <c r="AU235" s="11">
        <f t="shared" si="66"/>
        <v>1.5529603315571346E-5</v>
      </c>
      <c r="AV235" s="11">
        <f t="shared" si="67"/>
        <v>2.2634382566585955E-5</v>
      </c>
    </row>
    <row r="236" spans="6:48" ht="15.75" thickBot="1" x14ac:dyDescent="0.3">
      <c r="F236" s="221"/>
      <c r="G236" s="55" t="s">
        <v>53</v>
      </c>
      <c r="H236" s="55" t="s">
        <v>83</v>
      </c>
      <c r="I236" s="55">
        <f t="shared" si="69"/>
        <v>298.14999999999998</v>
      </c>
      <c r="J236" s="65">
        <v>7.0000000000000007E-2</v>
      </c>
      <c r="K236" s="57">
        <v>9.4</v>
      </c>
      <c r="L236" s="56">
        <v>4.138E-2</v>
      </c>
      <c r="M236" s="65">
        <v>4.2000000000000003E-2</v>
      </c>
      <c r="N236" s="57">
        <v>6.1142071360000001</v>
      </c>
      <c r="O236" s="55">
        <v>82.5</v>
      </c>
      <c r="P236" s="56">
        <v>0.27300000000000002</v>
      </c>
      <c r="Q236" s="56">
        <v>1.6579999999999999E-4</v>
      </c>
      <c r="R236" s="19">
        <f t="shared" si="68"/>
        <v>8.0654184239841594E-5</v>
      </c>
      <c r="T236" s="213"/>
      <c r="W236" s="213"/>
      <c r="X236" s="213"/>
      <c r="Z236" s="10"/>
      <c r="AA236" s="13"/>
      <c r="AB236" s="142"/>
      <c r="AC236" s="13"/>
      <c r="AD236" s="75"/>
      <c r="AE236" s="6"/>
      <c r="AF236" s="6"/>
      <c r="AI236" s="213"/>
      <c r="AK236" s="2"/>
      <c r="AL236" s="2"/>
      <c r="AP236" s="6">
        <v>5.8</v>
      </c>
      <c r="AQ236" s="11">
        <f t="shared" si="56"/>
        <v>1.2978665367754505E-6</v>
      </c>
      <c r="AR236" s="11">
        <f t="shared" si="57"/>
        <v>2.483918982571832E-6</v>
      </c>
      <c r="AS236" s="11">
        <f t="shared" si="64"/>
        <v>4.642338709677419E-6</v>
      </c>
      <c r="AT236" s="11">
        <f t="shared" si="65"/>
        <v>8.4143619602134899E-6</v>
      </c>
      <c r="AU236" s="11">
        <f t="shared" si="66"/>
        <v>1.564764510455345E-5</v>
      </c>
      <c r="AV236" s="11">
        <f t="shared" si="67"/>
        <v>2.2755980861244018E-5</v>
      </c>
    </row>
    <row r="237" spans="6:48" x14ac:dyDescent="0.25">
      <c r="F237" s="221"/>
      <c r="G237" s="40" t="s">
        <v>56</v>
      </c>
      <c r="H237" s="40" t="s">
        <v>83</v>
      </c>
      <c r="I237" s="40">
        <f t="shared" si="69"/>
        <v>298.14999999999998</v>
      </c>
      <c r="J237" s="38">
        <v>8.5000000000000006E-2</v>
      </c>
      <c r="K237" s="42">
        <v>9.5</v>
      </c>
      <c r="L237" s="41">
        <v>5.4850000000000003E-2</v>
      </c>
      <c r="M237" s="61">
        <v>5.5E-2</v>
      </c>
      <c r="N237" s="42">
        <v>1.528551784</v>
      </c>
      <c r="O237" s="40">
        <v>82.5</v>
      </c>
      <c r="P237" s="41">
        <v>0.27300000000000002</v>
      </c>
      <c r="Q237" s="41">
        <v>8.6669999999999995E-5</v>
      </c>
      <c r="R237" s="19">
        <f t="shared" si="68"/>
        <v>4.2161026224771241E-5</v>
      </c>
      <c r="T237" s="213"/>
      <c r="W237" s="213"/>
      <c r="X237" s="213"/>
      <c r="Z237" s="10"/>
      <c r="AA237" s="13"/>
      <c r="AB237" s="142"/>
      <c r="AC237" s="13"/>
      <c r="AD237" s="75"/>
      <c r="AE237" s="6"/>
      <c r="AF237" s="6"/>
      <c r="AI237" s="213"/>
      <c r="AK237" s="2"/>
      <c r="AL237" s="2"/>
      <c r="AP237" s="6">
        <v>5.9</v>
      </c>
      <c r="AQ237" s="11">
        <f t="shared" si="56"/>
        <v>1.3075060299083456E-6</v>
      </c>
      <c r="AR237" s="11">
        <f t="shared" si="57"/>
        <v>2.5031637890807284E-6</v>
      </c>
      <c r="AS237" s="11">
        <f t="shared" si="64"/>
        <v>4.6700708905626938E-6</v>
      </c>
      <c r="AT237" s="11">
        <f t="shared" si="65"/>
        <v>8.4568552253116014E-6</v>
      </c>
      <c r="AU237" s="11">
        <f t="shared" si="66"/>
        <v>1.5763402361137994E-5</v>
      </c>
      <c r="AV237" s="11">
        <f t="shared" si="67"/>
        <v>2.2874704491725767E-5</v>
      </c>
    </row>
    <row r="238" spans="6:48" x14ac:dyDescent="0.25">
      <c r="F238" s="221"/>
      <c r="G238" s="14" t="s">
        <v>56</v>
      </c>
      <c r="H238" s="14" t="s">
        <v>83</v>
      </c>
      <c r="I238" s="14">
        <f t="shared" si="69"/>
        <v>298.14999999999998</v>
      </c>
      <c r="J238" s="38">
        <v>0.08</v>
      </c>
      <c r="K238" s="36">
        <v>9.5</v>
      </c>
      <c r="L238" s="21">
        <v>5.1630000000000002E-2</v>
      </c>
      <c r="M238" s="38">
        <v>5.1999999999999998E-2</v>
      </c>
      <c r="N238" s="36">
        <v>3.057103568</v>
      </c>
      <c r="O238" s="14">
        <v>82.5</v>
      </c>
      <c r="P238" s="21">
        <v>0.27300000000000002</v>
      </c>
      <c r="Q238" s="21">
        <v>9.9069999999999998E-5</v>
      </c>
      <c r="R238" s="19">
        <f t="shared" si="68"/>
        <v>4.8193064129319101E-5</v>
      </c>
      <c r="T238" s="213"/>
      <c r="W238" s="213"/>
      <c r="X238" s="213"/>
      <c r="Z238" s="10"/>
      <c r="AA238" s="13"/>
      <c r="AB238" s="142"/>
      <c r="AC238" s="13"/>
      <c r="AD238" s="75"/>
      <c r="AE238" s="6"/>
      <c r="AF238" s="6"/>
      <c r="AI238" s="213"/>
      <c r="AK238" s="2"/>
      <c r="AL238" s="2"/>
      <c r="AP238" s="6">
        <v>6</v>
      </c>
      <c r="AQ238" s="11">
        <f t="shared" si="56"/>
        <v>1.3169612995699953E-6</v>
      </c>
      <c r="AR238" s="11">
        <f t="shared" si="57"/>
        <v>2.5220527045769763E-6</v>
      </c>
      <c r="AS238" s="11">
        <f t="shared" si="64"/>
        <v>4.6971954425942155E-6</v>
      </c>
      <c r="AT238" s="11">
        <f t="shared" si="65"/>
        <v>8.4983420180009489E-6</v>
      </c>
      <c r="AU238" s="11">
        <f t="shared" si="66"/>
        <v>1.5876940770557791E-5</v>
      </c>
      <c r="AV238" s="11">
        <f t="shared" si="67"/>
        <v>2.2990654205607474E-5</v>
      </c>
    </row>
    <row r="239" spans="6:48" x14ac:dyDescent="0.25">
      <c r="F239" s="221"/>
      <c r="G239" s="14" t="s">
        <v>56</v>
      </c>
      <c r="H239" s="14" t="s">
        <v>83</v>
      </c>
      <c r="I239" s="14">
        <f t="shared" si="69"/>
        <v>298.14999999999998</v>
      </c>
      <c r="J239" s="38">
        <v>7.4999999999999997E-2</v>
      </c>
      <c r="K239" s="36">
        <v>9.5</v>
      </c>
      <c r="L239" s="21">
        <v>4.8399999999999999E-2</v>
      </c>
      <c r="M239" s="38">
        <v>4.9000000000000002E-2</v>
      </c>
      <c r="N239" s="36">
        <v>4.5856553519999999</v>
      </c>
      <c r="O239" s="14">
        <v>82.5</v>
      </c>
      <c r="P239" s="21">
        <v>0.27300000000000002</v>
      </c>
      <c r="Q239" s="21">
        <v>1.238E-4</v>
      </c>
      <c r="R239" s="19">
        <f t="shared" si="68"/>
        <v>6.022308811153432E-5</v>
      </c>
      <c r="T239" s="213"/>
      <c r="W239" s="213"/>
      <c r="X239" s="213"/>
      <c r="Z239" s="10"/>
      <c r="AA239" s="13"/>
      <c r="AB239" s="142"/>
      <c r="AC239" s="13"/>
      <c r="AD239" s="75"/>
      <c r="AE239" s="6"/>
      <c r="AF239" s="6"/>
      <c r="AI239" s="213"/>
      <c r="AK239" s="2"/>
      <c r="AL239" s="2"/>
      <c r="AP239" s="6">
        <v>6.1</v>
      </c>
      <c r="AQ239" s="11">
        <f t="shared" si="56"/>
        <v>1.3262375769048748E-6</v>
      </c>
      <c r="AR239" s="11">
        <f t="shared" si="57"/>
        <v>2.5405955107650023E-6</v>
      </c>
      <c r="AS239" s="11">
        <f t="shared" si="64"/>
        <v>4.72373211963589E-6</v>
      </c>
      <c r="AT239" s="11">
        <f t="shared" si="65"/>
        <v>8.5388576779026205E-6</v>
      </c>
      <c r="AU239" s="11">
        <f t="shared" si="66"/>
        <v>1.5988323523827608E-5</v>
      </c>
      <c r="AV239" s="11">
        <f t="shared" si="67"/>
        <v>2.3103926096997685E-5</v>
      </c>
    </row>
    <row r="240" spans="6:48" ht="15.75" thickBot="1" x14ac:dyDescent="0.3">
      <c r="F240" s="221"/>
      <c r="G240" s="55" t="s">
        <v>56</v>
      </c>
      <c r="H240" s="55" t="s">
        <v>83</v>
      </c>
      <c r="I240" s="55">
        <f t="shared" si="69"/>
        <v>298.14999999999998</v>
      </c>
      <c r="J240" s="65">
        <v>7.0000000000000007E-2</v>
      </c>
      <c r="K240" s="57">
        <v>9.5</v>
      </c>
      <c r="L240" s="56">
        <v>4.5170000000000002E-2</v>
      </c>
      <c r="M240" s="65">
        <v>4.5999999999999999E-2</v>
      </c>
      <c r="N240" s="57">
        <v>6.1142071360000001</v>
      </c>
      <c r="O240" s="55">
        <v>82.5</v>
      </c>
      <c r="P240" s="56">
        <v>0.27300000000000002</v>
      </c>
      <c r="Q240" s="56">
        <v>1.5909999999999999E-4</v>
      </c>
      <c r="R240" s="19">
        <f t="shared" si="68"/>
        <v>7.7394937952706861E-5</v>
      </c>
      <c r="T240" s="213"/>
      <c r="W240" s="213"/>
      <c r="X240" s="213"/>
      <c r="Z240" s="1"/>
      <c r="AA240" s="13"/>
      <c r="AB240" s="142"/>
      <c r="AC240" s="13"/>
      <c r="AD240" s="6"/>
      <c r="AE240" s="6"/>
      <c r="AF240" s="6"/>
      <c r="AI240" s="213"/>
      <c r="AK240" s="2"/>
      <c r="AL240" s="2"/>
      <c r="AP240" s="6">
        <v>6.2</v>
      </c>
      <c r="AQ240" s="11">
        <f t="shared" si="56"/>
        <v>1.3353398968588845E-6</v>
      </c>
      <c r="AR240" s="11">
        <f t="shared" si="57"/>
        <v>2.5588016341352701E-6</v>
      </c>
      <c r="AS240" s="11">
        <f t="shared" si="64"/>
        <v>4.7496998284734137E-6</v>
      </c>
      <c r="AT240" s="11">
        <f t="shared" si="65"/>
        <v>8.5784359093012494E-6</v>
      </c>
      <c r="AU240" s="11">
        <f t="shared" si="66"/>
        <v>1.6097611435019747E-5</v>
      </c>
      <c r="AV240" s="11">
        <f t="shared" si="67"/>
        <v>2.3214611872146119E-5</v>
      </c>
    </row>
    <row r="241" spans="4:48" x14ac:dyDescent="0.25">
      <c r="F241" s="221"/>
      <c r="G241" s="40" t="s">
        <v>54</v>
      </c>
      <c r="H241" s="40" t="s">
        <v>83</v>
      </c>
      <c r="I241" s="40">
        <f t="shared" si="69"/>
        <v>298.14999999999998</v>
      </c>
      <c r="J241" s="61">
        <v>8.5000000000000006E-2</v>
      </c>
      <c r="K241" s="40">
        <v>9.51</v>
      </c>
      <c r="L241" s="40">
        <v>5.5300000000000002E-2</v>
      </c>
      <c r="M241" s="40">
        <v>5.6000000000000001E-2</v>
      </c>
      <c r="N241" s="42">
        <v>1.528551784</v>
      </c>
      <c r="O241" s="40">
        <v>82.5</v>
      </c>
      <c r="P241" s="41">
        <v>0.27300000000000002</v>
      </c>
      <c r="Q241" s="41">
        <v>5.7510000000000003E-5</v>
      </c>
      <c r="R241" s="19">
        <f t="shared" si="68"/>
        <v>2.7976008055689329E-5</v>
      </c>
      <c r="T241" s="213"/>
      <c r="W241" s="213"/>
      <c r="X241" s="213"/>
      <c r="Z241" s="1"/>
      <c r="AA241" s="13"/>
      <c r="AB241" s="142"/>
      <c r="AC241" s="13"/>
      <c r="AD241" s="6"/>
      <c r="AI241" s="213"/>
      <c r="AK241" s="2"/>
      <c r="AL241" s="2"/>
      <c r="AP241" s="6">
        <v>6.3</v>
      </c>
      <c r="AQ241" s="11">
        <f t="shared" si="56"/>
        <v>1.3442731072921505E-6</v>
      </c>
      <c r="AR241" s="11">
        <f t="shared" si="57"/>
        <v>2.5766801619433196E-6</v>
      </c>
      <c r="AS241" s="11">
        <f t="shared" si="64"/>
        <v>4.7751166737378013E-6</v>
      </c>
      <c r="AT241" s="11">
        <f t="shared" si="65"/>
        <v>8.6171088746569069E-6</v>
      </c>
      <c r="AU241" s="11">
        <f t="shared" si="66"/>
        <v>1.620486305198435E-5</v>
      </c>
      <c r="AV241" s="11">
        <f t="shared" si="67"/>
        <v>2.3322799097065463E-5</v>
      </c>
    </row>
    <row r="242" spans="4:48" x14ac:dyDescent="0.25">
      <c r="F242" s="221"/>
      <c r="G242" s="14" t="s">
        <v>54</v>
      </c>
      <c r="H242" s="14" t="s">
        <v>83</v>
      </c>
      <c r="I242" s="14">
        <f t="shared" si="69"/>
        <v>298.14999999999998</v>
      </c>
      <c r="J242" s="38">
        <v>0.08</v>
      </c>
      <c r="K242" s="36">
        <v>9.51</v>
      </c>
      <c r="L242" s="21">
        <v>5.2049999999999999E-2</v>
      </c>
      <c r="M242" s="38">
        <v>5.2999999999999999E-2</v>
      </c>
      <c r="N242" s="36">
        <v>3.057103568</v>
      </c>
      <c r="O242" s="14">
        <v>82.5</v>
      </c>
      <c r="P242" s="21">
        <v>0.27300000000000002</v>
      </c>
      <c r="Q242" s="21">
        <v>9.9720000000000001E-5</v>
      </c>
      <c r="R242" s="19">
        <f t="shared" si="68"/>
        <v>4.8509259664638145E-5</v>
      </c>
      <c r="T242" s="213"/>
      <c r="W242" s="213"/>
      <c r="X242" s="213"/>
      <c r="AF242" s="8"/>
      <c r="AI242" s="213"/>
      <c r="AK242" s="2"/>
      <c r="AL242" s="2"/>
      <c r="AP242" s="6">
        <v>6.4</v>
      </c>
      <c r="AQ242" s="11">
        <f t="shared" si="56"/>
        <v>1.3530418775885873E-6</v>
      </c>
      <c r="AR242" s="11">
        <f t="shared" si="57"/>
        <v>2.5942398573339281E-6</v>
      </c>
      <c r="AS242" s="11">
        <f t="shared" ref="AS242:AS254" si="70">($AR$171*AP242)/($AS$171+AP242)</f>
        <v>4.7999999999999998E-6</v>
      </c>
      <c r="AT242" s="11">
        <f t="shared" ref="AT242:AT254" si="71">($AR$172*AP242)/($AS$172+AP242)</f>
        <v>8.6549072817729535E-6</v>
      </c>
      <c r="AU242" s="11">
        <f t="shared" ref="AU242:AU254" si="72">($AR$173*AP242)/($AS$173+AP242)</f>
        <v>1.6310134760937792E-5</v>
      </c>
      <c r="AV242" s="11">
        <f t="shared" ref="AV242:AV254" si="73">($AR$174*AP242)/($AS$174+AP242)</f>
        <v>2.3428571428571426E-5</v>
      </c>
    </row>
    <row r="243" spans="4:48" x14ac:dyDescent="0.25">
      <c r="F243" s="221"/>
      <c r="G243" s="14" t="s">
        <v>54</v>
      </c>
      <c r="H243" s="14" t="s">
        <v>83</v>
      </c>
      <c r="I243" s="14">
        <f t="shared" si="69"/>
        <v>298.14999999999998</v>
      </c>
      <c r="J243" s="38">
        <v>7.4999999999999997E-2</v>
      </c>
      <c r="K243" s="36">
        <v>9.51</v>
      </c>
      <c r="L243" s="21">
        <v>4.8800000000000003E-2</v>
      </c>
      <c r="M243" s="38">
        <v>4.9000000000000002E-2</v>
      </c>
      <c r="N243" s="36">
        <v>4.5856553519999999</v>
      </c>
      <c r="O243" s="14">
        <v>82.5</v>
      </c>
      <c r="P243" s="21">
        <v>0.27300000000000002</v>
      </c>
      <c r="Q243" s="21">
        <v>1.3080000000000001E-4</v>
      </c>
      <c r="R243" s="19">
        <f t="shared" si="68"/>
        <v>6.3628270799585536E-5</v>
      </c>
      <c r="T243" s="213"/>
      <c r="W243" s="213"/>
      <c r="X243" s="213"/>
      <c r="Z243" s="6"/>
      <c r="AA243" s="6"/>
      <c r="AB243" s="11"/>
      <c r="AC243" s="11"/>
      <c r="AD243" s="11"/>
      <c r="AK243" s="2"/>
      <c r="AL243" s="2"/>
      <c r="AP243" s="6">
        <v>6.5</v>
      </c>
      <c r="AQ243" s="11">
        <f t="shared" ref="AQ243:AQ254" si="74">($AR$169*AP243)/($AS$169+AP243)</f>
        <v>1.3616507067943459E-6</v>
      </c>
      <c r="AR243" s="11">
        <f t="shared" ref="AR243:AR254" si="75">($AR$170*AP243)/($AS$170+AP243)</f>
        <v>2.6114891736632788E-6</v>
      </c>
      <c r="AS243" s="11">
        <f t="shared" si="70"/>
        <v>4.8243664312422106E-6</v>
      </c>
      <c r="AT243" s="11">
        <f t="shared" si="71"/>
        <v>8.6918604651162805E-6</v>
      </c>
      <c r="AU243" s="11">
        <f t="shared" si="72"/>
        <v>1.641348088531187E-5</v>
      </c>
      <c r="AV243" s="11">
        <f t="shared" si="73"/>
        <v>2.3532008830022072E-5</v>
      </c>
    </row>
    <row r="244" spans="4:48" ht="15.75" thickBot="1" x14ac:dyDescent="0.3">
      <c r="F244" s="221"/>
      <c r="G244" s="55" t="s">
        <v>54</v>
      </c>
      <c r="H244" s="55" t="s">
        <v>83</v>
      </c>
      <c r="I244" s="55">
        <f t="shared" si="69"/>
        <v>298.14999999999998</v>
      </c>
      <c r="J244" s="65">
        <v>7.0000000000000007E-2</v>
      </c>
      <c r="K244" s="57">
        <v>9.51</v>
      </c>
      <c r="L244" s="56">
        <v>4.5539999999999997E-2</v>
      </c>
      <c r="M244" s="65">
        <v>4.5999999999999999E-2</v>
      </c>
      <c r="N244" s="57">
        <v>6.1142071360000001</v>
      </c>
      <c r="O244" s="55">
        <v>82.5</v>
      </c>
      <c r="P244" s="56">
        <v>0.27300000000000002</v>
      </c>
      <c r="Q244" s="56">
        <v>1.6640000000000001E-4</v>
      </c>
      <c r="R244" s="19">
        <f t="shared" si="68"/>
        <v>8.0946057041674559E-5</v>
      </c>
      <c r="T244" s="213"/>
      <c r="W244" s="213"/>
      <c r="X244" s="213"/>
      <c r="Z244" s="6"/>
      <c r="AA244" s="6"/>
      <c r="AB244" s="11"/>
      <c r="AC244" s="11"/>
      <c r="AD244" s="11"/>
      <c r="AK244" s="2"/>
      <c r="AL244" s="2"/>
      <c r="AP244" s="6">
        <v>6.6</v>
      </c>
      <c r="AQ244" s="11">
        <f t="shared" si="74"/>
        <v>1.3701039313149571E-6</v>
      </c>
      <c r="AR244" s="11">
        <f t="shared" si="75"/>
        <v>2.6284362680683314E-6</v>
      </c>
      <c r="AS244" s="11">
        <f t="shared" si="70"/>
        <v>4.8482319078947364E-6</v>
      </c>
      <c r="AT244" s="11">
        <f t="shared" si="71"/>
        <v>8.727996461742592E-6</v>
      </c>
      <c r="AU244" s="11">
        <f t="shared" si="72"/>
        <v>1.6514953779227843E-5</v>
      </c>
      <c r="AV244" s="11">
        <f t="shared" si="73"/>
        <v>2.3633187772925761E-5</v>
      </c>
    </row>
    <row r="245" spans="4:48" x14ac:dyDescent="0.25">
      <c r="F245" s="221"/>
      <c r="G245" s="40" t="s">
        <v>57</v>
      </c>
      <c r="H245" s="40" t="s">
        <v>83</v>
      </c>
      <c r="I245" s="40">
        <f t="shared" si="69"/>
        <v>298.14999999999998</v>
      </c>
      <c r="J245" s="38">
        <v>8.5000000000000006E-2</v>
      </c>
      <c r="K245" s="42">
        <v>9.6999999999999993</v>
      </c>
      <c r="L245" s="41">
        <v>6.3119999999999996E-2</v>
      </c>
      <c r="M245" s="61">
        <v>6.4000000000000001E-2</v>
      </c>
      <c r="N245" s="42">
        <v>1.528551784</v>
      </c>
      <c r="O245" s="40">
        <v>82.5</v>
      </c>
      <c r="P245" s="41">
        <v>0.27300000000000002</v>
      </c>
      <c r="Q245" s="41">
        <v>5.3159999999999999E-5</v>
      </c>
      <c r="R245" s="19">
        <f t="shared" si="68"/>
        <v>2.585993024240036E-5</v>
      </c>
      <c r="T245" s="213"/>
      <c r="W245" s="213"/>
      <c r="X245" s="213"/>
      <c r="Z245" s="6"/>
      <c r="AA245" s="6"/>
      <c r="AB245" s="11"/>
      <c r="AC245" s="11"/>
      <c r="AD245" s="11"/>
      <c r="AK245" s="2"/>
      <c r="AL245" s="2"/>
      <c r="AP245" s="6">
        <v>6.7</v>
      </c>
      <c r="AQ245" s="11">
        <f t="shared" si="74"/>
        <v>1.378405732198836E-6</v>
      </c>
      <c r="AR245" s="11">
        <f t="shared" si="75"/>
        <v>2.6450890143291359E-6</v>
      </c>
      <c r="AS245" s="11">
        <f t="shared" si="70"/>
        <v>4.8716117216117218E-6</v>
      </c>
      <c r="AT245" s="11">
        <f t="shared" si="71"/>
        <v>8.7633420822397209E-6</v>
      </c>
      <c r="AU245" s="11">
        <f t="shared" si="72"/>
        <v>1.6614603915933179E-5</v>
      </c>
      <c r="AV245" s="11">
        <f t="shared" si="73"/>
        <v>2.3732181425485962E-5</v>
      </c>
    </row>
    <row r="246" spans="4:48" x14ac:dyDescent="0.25">
      <c r="F246" s="221"/>
      <c r="G246" s="14" t="s">
        <v>57</v>
      </c>
      <c r="H246" s="14" t="s">
        <v>83</v>
      </c>
      <c r="I246" s="14">
        <f t="shared" si="69"/>
        <v>298.14999999999998</v>
      </c>
      <c r="J246" s="38">
        <v>0.08</v>
      </c>
      <c r="K246" s="36">
        <v>9.6999999999999993</v>
      </c>
      <c r="L246" s="21">
        <v>5.9400000000000001E-2</v>
      </c>
      <c r="M246" s="38">
        <v>0.06</v>
      </c>
      <c r="N246" s="36">
        <v>3.057103568</v>
      </c>
      <c r="O246" s="14">
        <v>82.5</v>
      </c>
      <c r="P246" s="21">
        <v>0.27300000000000002</v>
      </c>
      <c r="Q246" s="21">
        <v>8.2769999999999995E-5</v>
      </c>
      <c r="R246" s="19">
        <f t="shared" si="68"/>
        <v>4.0263853012856988E-5</v>
      </c>
      <c r="T246" s="213"/>
      <c r="W246" s="213"/>
      <c r="X246" s="213"/>
      <c r="AA246" s="6"/>
      <c r="AB246" s="6"/>
      <c r="AC246" s="11"/>
      <c r="AD246" s="11"/>
      <c r="AE246" s="11"/>
      <c r="AK246" s="2"/>
      <c r="AL246" s="2"/>
      <c r="AP246" s="6">
        <v>6.8</v>
      </c>
      <c r="AQ246" s="11">
        <f t="shared" si="74"/>
        <v>1.3865601420328452E-6</v>
      </c>
      <c r="AR246" s="11">
        <f t="shared" si="75"/>
        <v>2.661455015066724E-6</v>
      </c>
      <c r="AS246" s="11">
        <f t="shared" si="70"/>
        <v>4.8945205479452053E-6</v>
      </c>
      <c r="AT246" s="11">
        <f t="shared" si="71"/>
        <v>8.7979229770662057E-6</v>
      </c>
      <c r="AU246" s="11">
        <f t="shared" si="72"/>
        <v>1.6712479971515043E-5</v>
      </c>
      <c r="AV246" s="11">
        <f t="shared" si="73"/>
        <v>2.3829059829059829E-5</v>
      </c>
    </row>
    <row r="247" spans="4:48" x14ac:dyDescent="0.25">
      <c r="F247" s="221"/>
      <c r="G247" s="14" t="s">
        <v>57</v>
      </c>
      <c r="H247" s="14" t="s">
        <v>83</v>
      </c>
      <c r="I247" s="14">
        <f t="shared" si="69"/>
        <v>298.14999999999998</v>
      </c>
      <c r="J247" s="38">
        <v>7.4999999999999997E-2</v>
      </c>
      <c r="K247" s="36">
        <v>9.6999999999999993</v>
      </c>
      <c r="L247" s="21">
        <v>5.5690000000000003E-2</v>
      </c>
      <c r="M247" s="38">
        <v>5.6000000000000001E-2</v>
      </c>
      <c r="N247" s="36">
        <v>4.5856553519999999</v>
      </c>
      <c r="O247" s="14">
        <v>82.5</v>
      </c>
      <c r="P247" s="21">
        <v>0.27300000000000002</v>
      </c>
      <c r="Q247" s="21">
        <v>1.2129999999999999E-4</v>
      </c>
      <c r="R247" s="19">
        <f t="shared" si="68"/>
        <v>5.9006951437230315E-5</v>
      </c>
      <c r="T247" s="213"/>
      <c r="W247" s="213"/>
      <c r="X247" s="213"/>
      <c r="AA247" s="6"/>
      <c r="AB247" s="6"/>
      <c r="AC247" s="11"/>
      <c r="AD247" s="11"/>
      <c r="AE247" s="11"/>
      <c r="AK247" s="2"/>
      <c r="AL247" s="2"/>
      <c r="AP247" s="6">
        <v>6.9</v>
      </c>
      <c r="AQ247" s="11">
        <f t="shared" si="74"/>
        <v>1.3945710514738231E-6</v>
      </c>
      <c r="AR247" s="11">
        <f t="shared" si="75"/>
        <v>2.6775416133162612E-6</v>
      </c>
      <c r="AS247" s="11">
        <f t="shared" si="70"/>
        <v>4.91697247706422E-6</v>
      </c>
      <c r="AT247" s="11">
        <f t="shared" si="71"/>
        <v>8.8317636986301367E-6</v>
      </c>
      <c r="AU247" s="11">
        <f t="shared" si="72"/>
        <v>1.6808628904182111E-5</v>
      </c>
      <c r="AV247" s="11">
        <f t="shared" si="73"/>
        <v>2.3923890063424945E-5</v>
      </c>
    </row>
    <row r="248" spans="4:48" ht="15.75" thickBot="1" x14ac:dyDescent="0.3">
      <c r="F248" s="221"/>
      <c r="G248" s="55" t="s">
        <v>57</v>
      </c>
      <c r="H248" s="55" t="s">
        <v>83</v>
      </c>
      <c r="I248" s="55">
        <f t="shared" si="69"/>
        <v>298.14999999999998</v>
      </c>
      <c r="J248" s="65">
        <v>7.0000000000000007E-2</v>
      </c>
      <c r="K248" s="57">
        <v>9.6999999999999993</v>
      </c>
      <c r="L248" s="56">
        <v>5.1979999999999998E-2</v>
      </c>
      <c r="M248" s="65">
        <v>5.2999999999999999E-2</v>
      </c>
      <c r="N248" s="57">
        <v>6.1142071360000001</v>
      </c>
      <c r="O248" s="55">
        <v>82.5</v>
      </c>
      <c r="P248" s="56">
        <v>0.27300000000000002</v>
      </c>
      <c r="Q248" s="56">
        <v>1.3689999999999999E-4</v>
      </c>
      <c r="R248" s="19">
        <f t="shared" si="68"/>
        <v>6.6595644284887304E-5</v>
      </c>
      <c r="T248" s="213"/>
      <c r="W248" s="213"/>
      <c r="X248" s="213"/>
      <c r="AA248" s="6"/>
      <c r="AB248" s="6"/>
      <c r="AC248" s="11"/>
      <c r="AD248" s="11"/>
      <c r="AE248" s="11"/>
      <c r="AP248" s="6">
        <v>7</v>
      </c>
      <c r="AQ248" s="11">
        <f t="shared" si="74"/>
        <v>1.4024422154382905E-6</v>
      </c>
      <c r="AR248" s="11">
        <f t="shared" si="75"/>
        <v>2.6933559035124839E-6</v>
      </c>
      <c r="AS248" s="11">
        <f t="shared" si="70"/>
        <v>4.9389810426540281E-6</v>
      </c>
      <c r="AT248" s="11">
        <f t="shared" si="71"/>
        <v>8.8648877594239736E-6</v>
      </c>
      <c r="AU248" s="11">
        <f t="shared" si="72"/>
        <v>1.6903096029386039E-5</v>
      </c>
      <c r="AV248" s="11">
        <f t="shared" si="73"/>
        <v>2.4016736401673637E-5</v>
      </c>
    </row>
    <row r="249" spans="4:48" x14ac:dyDescent="0.25">
      <c r="F249" s="221"/>
      <c r="G249" s="40" t="s">
        <v>58</v>
      </c>
      <c r="H249" s="40" t="s">
        <v>83</v>
      </c>
      <c r="I249" s="40">
        <f t="shared" si="69"/>
        <v>298.14999999999998</v>
      </c>
      <c r="J249" s="38">
        <v>8.5000000000000006E-2</v>
      </c>
      <c r="K249" s="42">
        <v>10.07</v>
      </c>
      <c r="L249" s="41">
        <v>7.4050000000000005E-2</v>
      </c>
      <c r="M249" s="61">
        <v>7.5999999999999998E-2</v>
      </c>
      <c r="N249" s="42">
        <v>1.528551784</v>
      </c>
      <c r="O249" s="40">
        <v>82.5</v>
      </c>
      <c r="P249" s="41">
        <v>0.27300000000000002</v>
      </c>
      <c r="Q249" s="41">
        <v>3.3720000000000002E-5</v>
      </c>
      <c r="R249" s="19">
        <f t="shared" si="68"/>
        <v>1.6403251463012419E-5</v>
      </c>
      <c r="T249" s="213"/>
      <c r="W249" s="213"/>
      <c r="X249" s="213"/>
      <c r="AA249" s="6"/>
      <c r="AB249" s="6"/>
      <c r="AC249" s="11"/>
      <c r="AD249" s="11"/>
      <c r="AE249" s="11"/>
      <c r="AP249" s="6">
        <v>7.1</v>
      </c>
      <c r="AQ249" s="11">
        <f t="shared" si="74"/>
        <v>1.4101772589710334E-6</v>
      </c>
      <c r="AR249" s="11">
        <f t="shared" si="75"/>
        <v>2.7089047419219477E-6</v>
      </c>
      <c r="AS249" s="11">
        <f t="shared" si="70"/>
        <v>4.9605592491200621E-6</v>
      </c>
      <c r="AT249" s="11">
        <f t="shared" si="71"/>
        <v>8.8973176865046101E-6</v>
      </c>
      <c r="AU249" s="11">
        <f t="shared" si="72"/>
        <v>1.6995925091035201E-5</v>
      </c>
      <c r="AV249" s="11">
        <f t="shared" si="73"/>
        <v>2.410766045548654E-5</v>
      </c>
    </row>
    <row r="250" spans="4:48" x14ac:dyDescent="0.25">
      <c r="D250" s="13"/>
      <c r="F250" s="221"/>
      <c r="G250" s="14" t="s">
        <v>58</v>
      </c>
      <c r="H250" s="14" t="s">
        <v>83</v>
      </c>
      <c r="I250" s="14">
        <f t="shared" si="69"/>
        <v>298.14999999999998</v>
      </c>
      <c r="J250" s="38">
        <v>0.08</v>
      </c>
      <c r="K250" s="36">
        <v>10.07</v>
      </c>
      <c r="L250" s="21">
        <v>6.9690000000000002E-2</v>
      </c>
      <c r="M250" s="38">
        <v>7.0999999999999994E-2</v>
      </c>
      <c r="N250" s="36">
        <v>3.057103568</v>
      </c>
      <c r="O250" s="14">
        <v>82.5</v>
      </c>
      <c r="P250" s="21">
        <v>0.27300000000000002</v>
      </c>
      <c r="Q250" s="21">
        <v>6.5560000000000002E-5</v>
      </c>
      <c r="R250" s="19">
        <f t="shared" si="68"/>
        <v>3.1891968146948227E-5</v>
      </c>
      <c r="T250" s="213"/>
      <c r="W250" s="213"/>
      <c r="X250" s="213"/>
      <c r="AA250" s="6"/>
      <c r="AB250" s="6"/>
      <c r="AC250" s="11"/>
      <c r="AD250" s="11"/>
      <c r="AE250" s="11"/>
      <c r="AP250" s="6">
        <v>7.2</v>
      </c>
      <c r="AQ250" s="11">
        <f t="shared" si="74"/>
        <v>1.4177796828118305E-6</v>
      </c>
      <c r="AR250" s="11">
        <f t="shared" si="75"/>
        <v>2.7241947565543074E-6</v>
      </c>
      <c r="AS250" s="11">
        <f t="shared" si="70"/>
        <v>4.9817195972114642E-6</v>
      </c>
      <c r="AT250" s="11">
        <f t="shared" si="71"/>
        <v>8.9290750725839902E-6</v>
      </c>
      <c r="AU250" s="11">
        <f t="shared" si="72"/>
        <v>1.7087158329035586E-5</v>
      </c>
      <c r="AV250" s="11">
        <f t="shared" si="73"/>
        <v>2.419672131147541E-5</v>
      </c>
    </row>
    <row r="251" spans="4:48" x14ac:dyDescent="0.25">
      <c r="F251" s="221"/>
      <c r="G251" s="14" t="s">
        <v>58</v>
      </c>
      <c r="H251" s="14" t="s">
        <v>83</v>
      </c>
      <c r="I251" s="14">
        <f t="shared" si="69"/>
        <v>298.14999999999998</v>
      </c>
      <c r="J251" s="38">
        <v>7.4999999999999997E-2</v>
      </c>
      <c r="K251" s="36">
        <v>10.07</v>
      </c>
      <c r="L251" s="21">
        <v>6.5339999999999995E-2</v>
      </c>
      <c r="M251" s="38">
        <v>6.7000000000000004E-2</v>
      </c>
      <c r="N251" s="36">
        <v>4.5856553519999999</v>
      </c>
      <c r="O251" s="14">
        <v>82.5</v>
      </c>
      <c r="P251" s="21">
        <v>0.27300000000000002</v>
      </c>
      <c r="Q251" s="21">
        <v>9.2739999999999996E-5</v>
      </c>
      <c r="R251" s="19">
        <f t="shared" si="68"/>
        <v>4.5113806069981359E-5</v>
      </c>
      <c r="T251" s="213"/>
      <c r="W251" s="213"/>
      <c r="X251" s="213"/>
      <c r="AA251" s="6"/>
      <c r="AB251" s="6"/>
      <c r="AC251" s="11"/>
      <c r="AD251" s="11"/>
      <c r="AE251" s="11"/>
      <c r="AP251" s="6">
        <v>7.3</v>
      </c>
      <c r="AQ251" s="11">
        <f t="shared" si="74"/>
        <v>1.4252528686782829E-6</v>
      </c>
      <c r="AR251" s="11">
        <f t="shared" si="75"/>
        <v>2.7392323565827489E-6</v>
      </c>
      <c r="AS251" s="11">
        <f t="shared" si="70"/>
        <v>5.00247410817031E-6</v>
      </c>
      <c r="AT251" s="11">
        <f t="shared" si="71"/>
        <v>8.960180623973727E-6</v>
      </c>
      <c r="AU251" s="11">
        <f t="shared" si="72"/>
        <v>1.7176836543378219E-5</v>
      </c>
      <c r="AV251" s="11">
        <f t="shared" si="73"/>
        <v>2.4283975659229207E-5</v>
      </c>
    </row>
    <row r="252" spans="4:48" ht="15.75" thickBot="1" x14ac:dyDescent="0.3">
      <c r="F252" s="221"/>
      <c r="G252" s="55" t="s">
        <v>58</v>
      </c>
      <c r="H252" s="55" t="s">
        <v>83</v>
      </c>
      <c r="I252" s="55">
        <f t="shared" si="69"/>
        <v>298.14999999999998</v>
      </c>
      <c r="J252" s="65">
        <v>7.0000000000000007E-2</v>
      </c>
      <c r="K252" s="57">
        <v>10.07</v>
      </c>
      <c r="L252" s="56">
        <v>6.0979999999999999E-2</v>
      </c>
      <c r="M252" s="65">
        <v>6.3E-2</v>
      </c>
      <c r="N252" s="57">
        <v>6.1142071360000001</v>
      </c>
      <c r="O252" s="55">
        <v>82.5</v>
      </c>
      <c r="P252" s="56">
        <v>0.27300000000000002</v>
      </c>
      <c r="Q252" s="56">
        <v>1.1959999999999999E-4</v>
      </c>
      <c r="R252" s="19">
        <f t="shared" si="68"/>
        <v>5.8179978498703585E-5</v>
      </c>
      <c r="T252" s="213"/>
      <c r="W252" s="213"/>
      <c r="X252" s="213"/>
      <c r="AA252" s="6"/>
      <c r="AB252" s="6"/>
      <c r="AC252" s="11"/>
      <c r="AD252" s="11"/>
      <c r="AE252" s="11"/>
      <c r="AP252" s="6">
        <v>7.4</v>
      </c>
      <c r="AQ252" s="11">
        <f t="shared" si="74"/>
        <v>1.4326000842815003E-6</v>
      </c>
      <c r="AR252" s="11">
        <f t="shared" si="75"/>
        <v>2.7540237413016787E-6</v>
      </c>
      <c r="AS252" s="11">
        <f t="shared" si="70"/>
        <v>5.0228343465045592E-6</v>
      </c>
      <c r="AT252" s="11">
        <f t="shared" si="71"/>
        <v>8.9906542056074759E-6</v>
      </c>
      <c r="AU252" s="11">
        <f t="shared" si="72"/>
        <v>1.7264999154977185E-5</v>
      </c>
      <c r="AV252" s="11">
        <f t="shared" si="73"/>
        <v>2.4369477911646584E-5</v>
      </c>
    </row>
    <row r="253" spans="4:48" x14ac:dyDescent="0.25">
      <c r="F253" s="221"/>
      <c r="G253" s="40" t="s">
        <v>55</v>
      </c>
      <c r="H253" s="40" t="s">
        <v>83</v>
      </c>
      <c r="I253" s="40">
        <f t="shared" si="69"/>
        <v>298.14999999999998</v>
      </c>
      <c r="J253" s="38">
        <v>8.5000000000000006E-2</v>
      </c>
      <c r="K253" s="42">
        <v>10.34</v>
      </c>
      <c r="L253" s="41">
        <v>7.8750000000000001E-2</v>
      </c>
      <c r="M253" s="61">
        <v>8.2000000000000003E-2</v>
      </c>
      <c r="N253" s="42">
        <v>1.528551784</v>
      </c>
      <c r="O253" s="40">
        <v>82.5</v>
      </c>
      <c r="P253" s="41">
        <v>0.27300000000000002</v>
      </c>
      <c r="Q253" s="41">
        <v>3.2450000000000003E-5</v>
      </c>
      <c r="R253" s="19">
        <f t="shared" si="68"/>
        <v>1.5785454032465984E-5</v>
      </c>
      <c r="T253" s="213"/>
      <c r="W253" s="213"/>
      <c r="X253" s="213"/>
      <c r="AA253" s="6"/>
      <c r="AB253" s="6"/>
      <c r="AC253" s="11"/>
      <c r="AD253" s="11"/>
      <c r="AE253" s="11"/>
      <c r="AP253" s="6">
        <v>7.5</v>
      </c>
      <c r="AQ253" s="11">
        <f t="shared" si="74"/>
        <v>1.4398244880902633E-6</v>
      </c>
      <c r="AR253" s="11">
        <f t="shared" si="75"/>
        <v>2.7685749086479905E-6</v>
      </c>
      <c r="AS253" s="11">
        <f t="shared" si="70"/>
        <v>5.0428114414753478E-6</v>
      </c>
      <c r="AT253" s="11">
        <f t="shared" si="71"/>
        <v>9.0205148833467433E-6</v>
      </c>
      <c r="AU253" s="11">
        <f t="shared" si="72"/>
        <v>1.7351684263448969E-5</v>
      </c>
      <c r="AV253" s="11">
        <f t="shared" si="73"/>
        <v>2.4453280318091447E-5</v>
      </c>
    </row>
    <row r="254" spans="4:48" x14ac:dyDescent="0.25">
      <c r="F254" s="221"/>
      <c r="G254" s="14" t="s">
        <v>55</v>
      </c>
      <c r="H254" s="14" t="s">
        <v>83</v>
      </c>
      <c r="I254" s="14">
        <f t="shared" si="69"/>
        <v>298.14999999999998</v>
      </c>
      <c r="J254" s="38">
        <v>0.08</v>
      </c>
      <c r="K254" s="36">
        <v>10.34</v>
      </c>
      <c r="L254" s="21">
        <v>7.4109999999999995E-2</v>
      </c>
      <c r="M254" s="38">
        <v>7.6999999999999999E-2</v>
      </c>
      <c r="N254" s="36">
        <v>3.057103568</v>
      </c>
      <c r="O254" s="14">
        <v>82.5</v>
      </c>
      <c r="P254" s="21">
        <v>0.27300000000000002</v>
      </c>
      <c r="Q254" s="21">
        <v>5.8350000000000002E-5</v>
      </c>
      <c r="R254" s="19">
        <f t="shared" si="68"/>
        <v>2.8384629978255473E-5</v>
      </c>
      <c r="T254" s="213"/>
      <c r="W254" s="213"/>
      <c r="X254" s="213"/>
      <c r="AA254" s="6"/>
      <c r="AB254" s="6"/>
      <c r="AC254" s="11"/>
      <c r="AD254" s="11"/>
      <c r="AE254" s="11"/>
      <c r="AP254" s="6">
        <v>7.6</v>
      </c>
      <c r="AQ254" s="11">
        <f t="shared" si="74"/>
        <v>1.4469291338582678E-6</v>
      </c>
      <c r="AR254" s="11">
        <f t="shared" si="75"/>
        <v>2.7828916633105117E-6</v>
      </c>
      <c r="AS254" s="11">
        <f t="shared" si="70"/>
        <v>5.0624161073825507E-6</v>
      </c>
      <c r="AT254" s="11">
        <f t="shared" si="71"/>
        <v>9.0497809637594589E-6</v>
      </c>
      <c r="AU254" s="11">
        <f t="shared" si="72"/>
        <v>1.7436928702010972E-5</v>
      </c>
      <c r="AV254" s="11">
        <f t="shared" si="73"/>
        <v>2.4535433070866137E-5</v>
      </c>
    </row>
    <row r="255" spans="4:48" x14ac:dyDescent="0.25">
      <c r="F255" s="221"/>
      <c r="G255" s="14" t="s">
        <v>55</v>
      </c>
      <c r="H255" s="14" t="s">
        <v>83</v>
      </c>
      <c r="I255" s="14">
        <f t="shared" si="69"/>
        <v>298.14999999999998</v>
      </c>
      <c r="J255" s="38">
        <v>7.4999999999999997E-2</v>
      </c>
      <c r="K255" s="36">
        <v>10.34</v>
      </c>
      <c r="L255" s="21">
        <v>6.948E-2</v>
      </c>
      <c r="M255" s="38">
        <v>7.2999999999999995E-2</v>
      </c>
      <c r="N255" s="36">
        <v>4.5856553519999999</v>
      </c>
      <c r="O255" s="14">
        <v>82.5</v>
      </c>
      <c r="P255" s="21">
        <v>0.27300000000000002</v>
      </c>
      <c r="Q255" s="228">
        <v>8.0179999999999995E-5</v>
      </c>
      <c r="R255" s="19">
        <f t="shared" si="68"/>
        <v>3.9003935418278039E-5</v>
      </c>
      <c r="T255" s="213"/>
      <c r="W255" s="213"/>
      <c r="X255" s="213"/>
      <c r="AA255" s="6"/>
      <c r="AB255" s="6"/>
      <c r="AC255" s="11"/>
      <c r="AD255" s="11"/>
      <c r="AE255" s="11"/>
      <c r="AN255" s="6"/>
      <c r="AP255" s="6"/>
      <c r="AQ255" s="11"/>
      <c r="AR255" s="11"/>
      <c r="AS255" s="11"/>
      <c r="AT255" s="11"/>
      <c r="AU255" s="11"/>
      <c r="AV255" s="11"/>
    </row>
    <row r="256" spans="4:48" ht="15.75" thickBot="1" x14ac:dyDescent="0.3">
      <c r="F256" s="221"/>
      <c r="G256" s="14" t="s">
        <v>55</v>
      </c>
      <c r="H256" s="14" t="s">
        <v>83</v>
      </c>
      <c r="I256" s="14">
        <f t="shared" si="69"/>
        <v>298.14999999999998</v>
      </c>
      <c r="J256" s="65">
        <v>7.0000000000000007E-2</v>
      </c>
      <c r="K256" s="36">
        <v>10.34</v>
      </c>
      <c r="L256" s="21">
        <v>6.4850000000000005E-2</v>
      </c>
      <c r="M256" s="38">
        <v>6.8000000000000005E-2</v>
      </c>
      <c r="N256" s="36">
        <v>6.1142071360000001</v>
      </c>
      <c r="O256" s="14">
        <v>82.5</v>
      </c>
      <c r="P256" s="21">
        <v>0.27300000000000002</v>
      </c>
      <c r="Q256" s="228">
        <v>1.01E-4</v>
      </c>
      <c r="R256" s="19">
        <f t="shared" si="68"/>
        <v>4.9131921641881798E-5</v>
      </c>
      <c r="T256" s="213"/>
      <c r="W256" s="213"/>
      <c r="X256" s="213"/>
      <c r="Z256" s="1"/>
      <c r="AA256" s="214"/>
      <c r="AB256" s="6"/>
      <c r="AC256" s="11"/>
      <c r="AD256" s="11"/>
      <c r="AE256" s="11"/>
      <c r="AP256" s="6"/>
      <c r="AQ256" s="11"/>
      <c r="AR256" s="11"/>
      <c r="AS256" s="11"/>
      <c r="AT256" s="11"/>
      <c r="AU256" s="11"/>
      <c r="AV256" s="11"/>
    </row>
    <row r="257" spans="3:50" x14ac:dyDescent="0.25">
      <c r="J257" s="13">
        <f>AVERAGE(J221:J256)</f>
        <v>7.7499999999999999E-2</v>
      </c>
      <c r="Z257" s="1"/>
      <c r="AA257" s="214"/>
      <c r="AB257" s="6"/>
      <c r="AC257" s="11"/>
      <c r="AD257" s="11"/>
      <c r="AE257" s="11"/>
      <c r="AP257" s="6"/>
      <c r="AQ257" s="11"/>
      <c r="AR257" s="11"/>
      <c r="AS257" s="11"/>
      <c r="AT257" s="11"/>
      <c r="AU257" s="11"/>
      <c r="AV257" s="11"/>
    </row>
    <row r="258" spans="3:50" x14ac:dyDescent="0.25">
      <c r="Z258" s="1"/>
      <c r="AA258" s="214"/>
      <c r="AB258" s="6"/>
      <c r="AC258" s="11"/>
      <c r="AD258" s="11"/>
      <c r="AE258" s="11"/>
      <c r="AP258" s="6"/>
      <c r="AQ258" s="11"/>
      <c r="AR258" s="11"/>
      <c r="AS258" s="11"/>
      <c r="AT258" s="11"/>
      <c r="AU258" s="11"/>
      <c r="AV258" s="11"/>
    </row>
    <row r="259" spans="3:50" ht="15.75" thickBot="1" x14ac:dyDescent="0.3">
      <c r="G259" s="15" t="s">
        <v>1058</v>
      </c>
      <c r="Z259" s="1"/>
      <c r="AA259" s="214"/>
      <c r="AB259" s="6"/>
    </row>
    <row r="260" spans="3:50" x14ac:dyDescent="0.25">
      <c r="C260" s="51" t="s">
        <v>265</v>
      </c>
      <c r="D260" s="26"/>
      <c r="G260" s="66" t="s">
        <v>32</v>
      </c>
      <c r="H260" s="66" t="s">
        <v>80</v>
      </c>
      <c r="I260" s="66" t="s">
        <v>35</v>
      </c>
      <c r="J260" s="66" t="s">
        <v>82</v>
      </c>
      <c r="K260" s="134" t="s">
        <v>2</v>
      </c>
      <c r="L260" s="66" t="s">
        <v>89</v>
      </c>
      <c r="M260" s="134" t="s">
        <v>79</v>
      </c>
      <c r="N260" s="66" t="s">
        <v>21</v>
      </c>
      <c r="O260" s="66" t="s">
        <v>1</v>
      </c>
      <c r="P260" s="66" t="s">
        <v>34</v>
      </c>
      <c r="Q260" s="66" t="s">
        <v>11</v>
      </c>
      <c r="R260" s="66" t="s">
        <v>1089</v>
      </c>
      <c r="Z260" s="1"/>
      <c r="AA260" s="214"/>
      <c r="AB260" s="6"/>
    </row>
    <row r="261" spans="3:50" x14ac:dyDescent="0.25">
      <c r="C261" s="136" t="s">
        <v>2</v>
      </c>
      <c r="D261" s="137">
        <v>5.64</v>
      </c>
      <c r="F261" s="221"/>
      <c r="G261" s="14" t="s">
        <v>63</v>
      </c>
      <c r="H261" s="14" t="s">
        <v>81</v>
      </c>
      <c r="I261" s="14">
        <f>25+273.15</f>
        <v>298.14999999999998</v>
      </c>
      <c r="J261" s="38">
        <v>0.08</v>
      </c>
      <c r="K261" s="36">
        <v>5.64</v>
      </c>
      <c r="L261" s="21">
        <v>8.4500000000000006E-2</v>
      </c>
      <c r="M261" s="36">
        <v>8.4000000000000005E-2</v>
      </c>
      <c r="N261" s="36">
        <v>1.849774432</v>
      </c>
      <c r="O261" s="14">
        <v>82.5</v>
      </c>
      <c r="P261" s="21">
        <f>0.17533</f>
        <v>0.17533000000000001</v>
      </c>
      <c r="Q261" s="21">
        <v>1.4479999999999999E-6</v>
      </c>
      <c r="R261" s="19">
        <f>Q261/($C$3)</f>
        <v>1.9229747675962814E-7</v>
      </c>
      <c r="Z261" s="1"/>
      <c r="AA261" s="214"/>
      <c r="AB261" s="6"/>
      <c r="AP261" t="s">
        <v>1082</v>
      </c>
      <c r="AU261" s="213" t="s">
        <v>1082</v>
      </c>
      <c r="AV261" s="213"/>
      <c r="AW261" s="213"/>
      <c r="AX261" s="213"/>
    </row>
    <row r="262" spans="3:50" x14ac:dyDescent="0.25">
      <c r="C262" s="136" t="s">
        <v>261</v>
      </c>
      <c r="D262" s="137">
        <v>7.2</v>
      </c>
      <c r="F262" s="221"/>
      <c r="G262" s="14" t="s">
        <v>63</v>
      </c>
      <c r="H262" s="14" t="s">
        <v>81</v>
      </c>
      <c r="I262" s="14">
        <f t="shared" ref="I262:I306" si="76">25+273.15</f>
        <v>298.14999999999998</v>
      </c>
      <c r="J262" s="38">
        <v>7.0000000000000007E-2</v>
      </c>
      <c r="K262" s="36">
        <v>5.64</v>
      </c>
      <c r="L262" s="21">
        <v>7.3940000000000006E-2</v>
      </c>
      <c r="M262" s="36">
        <v>7.3999999999999996E-2</v>
      </c>
      <c r="N262" s="36">
        <v>5.5493232969999999</v>
      </c>
      <c r="O262" s="14">
        <v>82.5</v>
      </c>
      <c r="P262" s="21">
        <f>0.17533</f>
        <v>0.17533000000000001</v>
      </c>
      <c r="Q262" s="21">
        <v>2.198E-6</v>
      </c>
      <c r="R262" s="19">
        <f t="shared" ref="R262:R306" si="77">Q262/($C$3)</f>
        <v>2.9189907038512616E-7</v>
      </c>
      <c r="T262" s="213"/>
      <c r="W262" s="213"/>
      <c r="X262" s="213"/>
      <c r="Z262" s="1"/>
      <c r="AA262" s="214"/>
      <c r="AP262" t="s">
        <v>1070</v>
      </c>
      <c r="AQ262" s="214">
        <v>1.235E-3</v>
      </c>
      <c r="AR262" t="s">
        <v>1080</v>
      </c>
      <c r="AU262" s="213" t="s">
        <v>1070</v>
      </c>
      <c r="AV262" s="214">
        <v>1.9249999999999999E-4</v>
      </c>
      <c r="AW262" s="213" t="s">
        <v>1086</v>
      </c>
      <c r="AX262" s="213"/>
    </row>
    <row r="263" spans="3:50" ht="15.75" thickBot="1" x14ac:dyDescent="0.3">
      <c r="C263" s="136" t="s">
        <v>1033</v>
      </c>
      <c r="D263" s="137">
        <v>12.37</v>
      </c>
      <c r="F263" s="221"/>
      <c r="G263" s="55" t="s">
        <v>63</v>
      </c>
      <c r="H263" s="55" t="s">
        <v>81</v>
      </c>
      <c r="I263" s="55">
        <f t="shared" si="76"/>
        <v>298.14999999999998</v>
      </c>
      <c r="J263" s="65">
        <v>0.06</v>
      </c>
      <c r="K263" s="57">
        <v>5.64</v>
      </c>
      <c r="L263" s="56">
        <v>6.3369999999999996E-2</v>
      </c>
      <c r="M263" s="57">
        <v>6.3E-2</v>
      </c>
      <c r="N263" s="57">
        <v>7.3990977300000003</v>
      </c>
      <c r="O263" s="55">
        <v>82.5</v>
      </c>
      <c r="P263" s="56">
        <f>0.17533</f>
        <v>0.17533000000000001</v>
      </c>
      <c r="Q263" s="56">
        <v>2.5830000000000001E-6</v>
      </c>
      <c r="R263" s="19">
        <f t="shared" si="77"/>
        <v>3.4302788844621514E-7</v>
      </c>
      <c r="T263" s="213"/>
      <c r="W263" s="213"/>
      <c r="X263" s="213"/>
      <c r="Y263" s="8"/>
      <c r="Z263" s="10"/>
      <c r="AA263" s="34"/>
      <c r="AB263" s="8"/>
      <c r="AC263" s="8"/>
      <c r="AD263" s="8"/>
      <c r="AE263" s="8"/>
      <c r="AF263" s="8"/>
      <c r="AG263" s="8"/>
      <c r="AP263" t="s">
        <v>1071</v>
      </c>
      <c r="AQ263" s="215">
        <v>8.36</v>
      </c>
      <c r="AR263" t="s">
        <v>1081</v>
      </c>
      <c r="AU263" s="213" t="s">
        <v>1071</v>
      </c>
      <c r="AV263" s="215">
        <v>7.7850000000000001</v>
      </c>
      <c r="AW263" s="213" t="s">
        <v>1085</v>
      </c>
      <c r="AX263" s="213"/>
    </row>
    <row r="264" spans="3:50" x14ac:dyDescent="0.25">
      <c r="C264" s="136" t="s">
        <v>266</v>
      </c>
      <c r="D264" s="137">
        <v>11.75</v>
      </c>
      <c r="F264" s="221"/>
      <c r="G264" s="40" t="s">
        <v>64</v>
      </c>
      <c r="H264" s="40" t="s">
        <v>81</v>
      </c>
      <c r="I264" s="40">
        <f t="shared" si="76"/>
        <v>298.14999999999998</v>
      </c>
      <c r="J264" s="61">
        <v>0.08</v>
      </c>
      <c r="K264" s="42">
        <v>5.64</v>
      </c>
      <c r="L264" s="21">
        <v>8.4500000000000006E-2</v>
      </c>
      <c r="M264" s="36">
        <v>8.4000000000000005E-2</v>
      </c>
      <c r="N264" s="42">
        <v>1.849774432</v>
      </c>
      <c r="O264" s="40">
        <v>82.5</v>
      </c>
      <c r="P264" s="41">
        <f>0.272695</f>
        <v>0.27269500000000002</v>
      </c>
      <c r="Q264" s="41">
        <v>1.144E-6</v>
      </c>
      <c r="R264" s="19">
        <f t="shared" si="77"/>
        <v>1.5192563081009295E-7</v>
      </c>
      <c r="T264" s="213"/>
      <c r="W264" s="213"/>
      <c r="X264" s="213"/>
      <c r="Y264" s="8"/>
      <c r="Z264" s="10"/>
      <c r="AA264" s="34"/>
      <c r="AB264" s="8"/>
      <c r="AC264" s="8"/>
      <c r="AD264" s="8"/>
      <c r="AE264" s="8"/>
      <c r="AF264" s="8"/>
      <c r="AG264" s="8"/>
      <c r="AP264" t="s">
        <v>1072</v>
      </c>
      <c r="AQ264">
        <v>0.97360000000000002</v>
      </c>
      <c r="AU264" s="213" t="s">
        <v>1072</v>
      </c>
      <c r="AV264" s="213">
        <v>0.52470000000000006</v>
      </c>
      <c r="AW264" s="213"/>
      <c r="AX264" s="213"/>
    </row>
    <row r="265" spans="3:50" x14ac:dyDescent="0.25">
      <c r="C265" s="136" t="s">
        <v>267</v>
      </c>
      <c r="D265" s="172">
        <v>0.08</v>
      </c>
      <c r="F265" s="221"/>
      <c r="G265" s="14" t="s">
        <v>64</v>
      </c>
      <c r="H265" s="14" t="s">
        <v>81</v>
      </c>
      <c r="I265" s="14">
        <f t="shared" si="76"/>
        <v>298.14999999999998</v>
      </c>
      <c r="J265" s="38">
        <v>7.0000000000000007E-2</v>
      </c>
      <c r="K265" s="36">
        <v>5.64</v>
      </c>
      <c r="L265" s="21">
        <v>7.3940000000000006E-2</v>
      </c>
      <c r="M265" s="36">
        <v>7.3999999999999996E-2</v>
      </c>
      <c r="N265" s="36">
        <v>3.6995488650000001</v>
      </c>
      <c r="O265" s="14">
        <v>82.5</v>
      </c>
      <c r="P265" s="21">
        <f t="shared" ref="P265:P271" si="78">0.272695</f>
        <v>0.27269500000000002</v>
      </c>
      <c r="Q265" s="21">
        <v>1.792E-6</v>
      </c>
      <c r="R265" s="19">
        <f t="shared" si="77"/>
        <v>2.3798140770252324E-7</v>
      </c>
      <c r="T265" s="213"/>
      <c r="W265" s="213"/>
      <c r="X265" s="213"/>
      <c r="Y265" s="8"/>
      <c r="Z265" s="10"/>
      <c r="AA265" s="34"/>
      <c r="AB265" s="8"/>
      <c r="AC265" s="8"/>
      <c r="AD265" s="8"/>
      <c r="AE265" s="8"/>
      <c r="AF265" s="8"/>
      <c r="AG265" s="8"/>
      <c r="AP265" t="s">
        <v>2</v>
      </c>
      <c r="AQ265" s="213" t="s">
        <v>1139</v>
      </c>
      <c r="AU265" s="213" t="s">
        <v>2</v>
      </c>
      <c r="AV265" s="213" t="s">
        <v>1088</v>
      </c>
      <c r="AW265" s="213"/>
      <c r="AX265" s="213"/>
    </row>
    <row r="266" spans="3:50" x14ac:dyDescent="0.25">
      <c r="C266" s="136" t="s">
        <v>268</v>
      </c>
      <c r="D266" s="172">
        <v>8.2500000000000004E-2</v>
      </c>
      <c r="F266" s="221"/>
      <c r="G266" s="14" t="s">
        <v>64</v>
      </c>
      <c r="H266" s="14" t="s">
        <v>81</v>
      </c>
      <c r="I266" s="14">
        <f t="shared" si="76"/>
        <v>298.14999999999998</v>
      </c>
      <c r="J266" s="38">
        <v>0.06</v>
      </c>
      <c r="K266" s="36">
        <v>5.64</v>
      </c>
      <c r="L266" s="21">
        <v>6.3369999999999996E-2</v>
      </c>
      <c r="M266" s="36">
        <v>6.3E-2</v>
      </c>
      <c r="N266" s="36">
        <v>5.5493232969999999</v>
      </c>
      <c r="O266" s="14">
        <v>82.5</v>
      </c>
      <c r="P266" s="21">
        <f t="shared" si="78"/>
        <v>0.27269500000000002</v>
      </c>
      <c r="Q266" s="21">
        <v>1.9240000000000001E-6</v>
      </c>
      <c r="R266" s="19">
        <f t="shared" si="77"/>
        <v>2.5551128818061088E-7</v>
      </c>
      <c r="T266" s="213"/>
      <c r="W266" s="213"/>
      <c r="X266" s="213"/>
      <c r="Y266" s="8"/>
      <c r="Z266" s="10"/>
      <c r="AA266" s="34"/>
      <c r="AB266" s="8"/>
      <c r="AC266" s="8"/>
      <c r="AD266" s="8"/>
      <c r="AE266" s="8"/>
      <c r="AF266" s="8"/>
      <c r="AG266" s="8"/>
      <c r="AP266">
        <v>6</v>
      </c>
      <c r="AQ266" s="213">
        <f t="shared" ref="AQ266:AQ297" si="79">LOG10($AQ$262/(1+10^($AQ$263-AP266)))</f>
        <v>-5.2702246809227216</v>
      </c>
      <c r="AR266" s="213"/>
      <c r="AU266" s="213">
        <v>6</v>
      </c>
      <c r="AV266" s="213">
        <f>LOG10($AV$262/(1+10^($AV$263-AU266)))</f>
        <v>-5.5076364425505675</v>
      </c>
    </row>
    <row r="267" spans="3:50" ht="15.75" thickBot="1" x14ac:dyDescent="0.3">
      <c r="C267" s="138" t="s">
        <v>262</v>
      </c>
      <c r="D267" s="139">
        <f>(1/(1+10^(D261-D262)+10^(2*D261-D262-D263)))*D265</f>
        <v>7.785567621910372E-2</v>
      </c>
      <c r="F267" s="221"/>
      <c r="G267" s="55" t="s">
        <v>64</v>
      </c>
      <c r="H267" s="55" t="s">
        <v>81</v>
      </c>
      <c r="I267" s="55">
        <f t="shared" si="76"/>
        <v>298.14999999999998</v>
      </c>
      <c r="J267" s="65">
        <v>0.05</v>
      </c>
      <c r="K267" s="57">
        <v>5.64</v>
      </c>
      <c r="L267" s="56">
        <v>5.2810000000000003E-2</v>
      </c>
      <c r="M267" s="57">
        <v>5.2999999999999999E-2</v>
      </c>
      <c r="N267" s="57">
        <v>7.3990977300000003</v>
      </c>
      <c r="O267" s="55">
        <v>82.5</v>
      </c>
      <c r="P267" s="56">
        <f t="shared" si="78"/>
        <v>0.27269500000000002</v>
      </c>
      <c r="Q267" s="56">
        <v>2.2910000000000002E-6</v>
      </c>
      <c r="R267" s="19">
        <f t="shared" si="77"/>
        <v>3.0424966799468794E-7</v>
      </c>
      <c r="T267" s="213"/>
      <c r="W267" s="213"/>
      <c r="X267" s="213"/>
      <c r="Y267" s="8"/>
      <c r="Z267" s="10"/>
      <c r="AA267" s="34"/>
      <c r="AB267" s="8"/>
      <c r="AC267" s="8"/>
      <c r="AD267" s="8"/>
      <c r="AE267" s="8"/>
      <c r="AF267" s="8"/>
      <c r="AG267" s="124"/>
      <c r="AP267">
        <v>6.1</v>
      </c>
      <c r="AQ267" s="213">
        <f t="shared" si="79"/>
        <v>-5.1707131342798371</v>
      </c>
      <c r="AU267" s="213">
        <v>6.1</v>
      </c>
      <c r="AV267" s="213">
        <f t="shared" ref="AV267:AV314" si="80">LOG10($AV$262/(1+10^($AV$263-AU267)))</f>
        <v>-5.4094477236495928</v>
      </c>
    </row>
    <row r="268" spans="3:50" x14ac:dyDescent="0.25">
      <c r="C268" s="138" t="s">
        <v>263</v>
      </c>
      <c r="D268" s="139">
        <f>(10^(D261-D262)/(1+10^(D261-D262)+10^(2*D261-D262-D263)))*D265</f>
        <v>2.1443233816045783E-3</v>
      </c>
      <c r="F268" s="221"/>
      <c r="G268" s="40" t="s">
        <v>65</v>
      </c>
      <c r="H268" s="40" t="s">
        <v>81</v>
      </c>
      <c r="I268" s="40">
        <f t="shared" si="76"/>
        <v>298.14999999999998</v>
      </c>
      <c r="J268" s="61">
        <v>0.08</v>
      </c>
      <c r="K268" s="42">
        <v>5.87</v>
      </c>
      <c r="L268" s="41">
        <v>0.98734999999999995</v>
      </c>
      <c r="M268" s="42">
        <v>8.6999999999999994E-2</v>
      </c>
      <c r="N268" s="42">
        <v>1.849774432</v>
      </c>
      <c r="O268" s="40">
        <v>82.5</v>
      </c>
      <c r="P268" s="41">
        <f t="shared" si="78"/>
        <v>0.27269500000000002</v>
      </c>
      <c r="Q268" s="41">
        <v>1.1039999999999999E-6</v>
      </c>
      <c r="R268" s="19">
        <f t="shared" si="77"/>
        <v>1.4661354581673305E-7</v>
      </c>
      <c r="T268" s="213"/>
      <c r="W268" s="213"/>
      <c r="X268" s="213"/>
      <c r="Y268" s="8"/>
      <c r="Z268" s="10"/>
      <c r="AA268" s="34"/>
      <c r="AB268" s="8"/>
      <c r="AC268" s="8"/>
      <c r="AD268" s="8"/>
      <c r="AE268" s="8"/>
      <c r="AF268" s="8"/>
      <c r="AG268" s="34"/>
      <c r="AP268">
        <v>6.2</v>
      </c>
      <c r="AQ268" s="213">
        <f t="shared" si="79"/>
        <v>-5.0713272805034961</v>
      </c>
      <c r="AR268" s="213"/>
      <c r="AU268" s="213">
        <v>6.2</v>
      </c>
      <c r="AV268" s="213">
        <f t="shared" si="80"/>
        <v>-5.3117173023440296</v>
      </c>
    </row>
    <row r="269" spans="3:50" x14ac:dyDescent="0.25">
      <c r="C269" s="138" t="s">
        <v>264</v>
      </c>
      <c r="D269" s="139">
        <f>(10^(2*D261-D262-D263)/(1+10^(D261-D262)+10^(2*D261-D262-D263)))*D265</f>
        <v>3.9929169857313174E-10</v>
      </c>
      <c r="F269" s="221"/>
      <c r="G269" s="14" t="s">
        <v>65</v>
      </c>
      <c r="H269" s="14" t="s">
        <v>81</v>
      </c>
      <c r="I269" s="14">
        <f t="shared" si="76"/>
        <v>298.14999999999998</v>
      </c>
      <c r="J269" s="38">
        <v>7.0000000000000007E-2</v>
      </c>
      <c r="K269" s="36">
        <v>5.87</v>
      </c>
      <c r="L269" s="21">
        <v>7.6429999999999998E-2</v>
      </c>
      <c r="M269" s="36">
        <v>7.5999999999999998E-2</v>
      </c>
      <c r="N269" s="36">
        <v>3.6995488650000001</v>
      </c>
      <c r="O269" s="14">
        <v>82.5</v>
      </c>
      <c r="P269" s="21">
        <f t="shared" si="78"/>
        <v>0.27269500000000002</v>
      </c>
      <c r="Q269" s="21">
        <v>1.671E-6</v>
      </c>
      <c r="R269" s="19">
        <f t="shared" si="77"/>
        <v>2.2191235059760955E-7</v>
      </c>
      <c r="T269" s="213"/>
      <c r="W269" s="213"/>
      <c r="X269" s="213"/>
      <c r="Y269" s="8"/>
      <c r="Z269" s="10"/>
      <c r="AA269" s="34"/>
      <c r="AB269" s="8"/>
      <c r="AC269" s="8"/>
      <c r="AD269" s="8"/>
      <c r="AE269" s="8"/>
      <c r="AF269" s="8"/>
      <c r="AG269" s="34"/>
      <c r="AP269">
        <v>6.3</v>
      </c>
      <c r="AQ269" s="213">
        <f t="shared" si="79"/>
        <v>-4.972099211936853</v>
      </c>
      <c r="AR269" s="213"/>
      <c r="AU269" s="213">
        <v>6.3</v>
      </c>
      <c r="AV269" s="213">
        <f t="shared" si="80"/>
        <v>-5.2145577706156594</v>
      </c>
    </row>
    <row r="270" spans="3:50" x14ac:dyDescent="0.25">
      <c r="C270" s="138" t="s">
        <v>269</v>
      </c>
      <c r="D270" s="139">
        <f>(10^(D261-D264)/(1+10^(D261-D264)))*D266</f>
        <v>6.4040337410739684E-8</v>
      </c>
      <c r="F270" s="221"/>
      <c r="G270" s="14" t="s">
        <v>65</v>
      </c>
      <c r="H270" s="14" t="s">
        <v>81</v>
      </c>
      <c r="I270" s="14">
        <f t="shared" si="76"/>
        <v>298.14999999999998</v>
      </c>
      <c r="J270" s="38">
        <v>0.06</v>
      </c>
      <c r="K270" s="36">
        <v>5.87</v>
      </c>
      <c r="L270" s="21">
        <v>6.5509999999999999E-2</v>
      </c>
      <c r="M270" s="36">
        <v>6.5000000000000002E-2</v>
      </c>
      <c r="N270" s="36">
        <v>5.5493232969999999</v>
      </c>
      <c r="O270" s="14">
        <v>82.5</v>
      </c>
      <c r="P270" s="21">
        <f t="shared" si="78"/>
        <v>0.27269500000000002</v>
      </c>
      <c r="Q270" s="21">
        <v>1.8300000000000001E-6</v>
      </c>
      <c r="R270" s="19">
        <f t="shared" si="77"/>
        <v>2.4302788844621514E-7</v>
      </c>
      <c r="T270" s="213"/>
      <c r="W270" s="213"/>
      <c r="X270" s="213"/>
      <c r="Y270" s="8"/>
      <c r="Z270" s="10"/>
      <c r="AA270" s="34"/>
      <c r="AB270" s="8"/>
      <c r="AC270" s="8"/>
      <c r="AD270" s="8"/>
      <c r="AE270" s="8"/>
      <c r="AF270" s="8"/>
      <c r="AG270" s="34"/>
      <c r="AJ270" s="124"/>
      <c r="AP270">
        <v>6.4</v>
      </c>
      <c r="AQ270" s="213">
        <f t="shared" si="79"/>
        <v>-4.8730690691464345</v>
      </c>
      <c r="AR270" s="213"/>
      <c r="AU270" s="213">
        <v>6.4</v>
      </c>
      <c r="AV270" s="213">
        <f t="shared" si="80"/>
        <v>-5.1181074931884831</v>
      </c>
    </row>
    <row r="271" spans="3:50" ht="15.75" thickBot="1" x14ac:dyDescent="0.3">
      <c r="C271" s="138" t="s">
        <v>1031</v>
      </c>
      <c r="D271" s="235">
        <f>D267+D268*2+D269*3+D270</f>
        <v>8.2144388220525374E-2</v>
      </c>
      <c r="F271" s="221"/>
      <c r="G271" s="55" t="s">
        <v>65</v>
      </c>
      <c r="H271" s="55" t="s">
        <v>81</v>
      </c>
      <c r="I271" s="55">
        <f t="shared" si="76"/>
        <v>298.14999999999998</v>
      </c>
      <c r="J271" s="65">
        <v>0.05</v>
      </c>
      <c r="K271" s="57">
        <v>5.87</v>
      </c>
      <c r="L271" s="56">
        <v>5.459E-2</v>
      </c>
      <c r="M271" s="57">
        <v>5.3999999999999999E-2</v>
      </c>
      <c r="N271" s="57">
        <v>7.3990977300000003</v>
      </c>
      <c r="O271" s="55">
        <v>82.5</v>
      </c>
      <c r="P271" s="56">
        <f t="shared" si="78"/>
        <v>0.27269500000000002</v>
      </c>
      <c r="Q271" s="56">
        <v>1.556E-6</v>
      </c>
      <c r="R271" s="19">
        <f t="shared" si="77"/>
        <v>2.0664010624169986E-7</v>
      </c>
      <c r="T271" s="15" t="s">
        <v>1059</v>
      </c>
      <c r="U271" s="15"/>
      <c r="V271" s="15"/>
      <c r="W271" s="15"/>
      <c r="X271" s="15"/>
      <c r="Y271" s="15"/>
      <c r="Z271" s="15" t="s">
        <v>1074</v>
      </c>
      <c r="AA271" s="15" t="s">
        <v>1074</v>
      </c>
      <c r="AB271" s="15"/>
      <c r="AD271" s="15"/>
      <c r="AE271" s="15" t="s">
        <v>1074</v>
      </c>
      <c r="AF271" s="15" t="s">
        <v>1074</v>
      </c>
      <c r="AG271" s="15"/>
      <c r="AH271" s="34"/>
      <c r="AP271">
        <v>6.5</v>
      </c>
      <c r="AQ271" s="213">
        <f t="shared" si="79"/>
        <v>-4.7742869754120409</v>
      </c>
      <c r="AU271" s="213">
        <v>6.5</v>
      </c>
      <c r="AV271" s="213">
        <f t="shared" si="80"/>
        <v>-5.0225354654603152</v>
      </c>
    </row>
    <row r="272" spans="3:50" x14ac:dyDescent="0.25">
      <c r="C272" s="136" t="s">
        <v>271</v>
      </c>
      <c r="D272" s="137">
        <v>-1</v>
      </c>
      <c r="F272" s="221"/>
      <c r="G272" s="40" t="s">
        <v>66</v>
      </c>
      <c r="H272" s="40" t="s">
        <v>81</v>
      </c>
      <c r="I272" s="40">
        <f t="shared" si="76"/>
        <v>298.14999999999998</v>
      </c>
      <c r="J272" s="61">
        <v>0.08</v>
      </c>
      <c r="K272" s="42">
        <v>6.5</v>
      </c>
      <c r="L272" s="41">
        <v>0.1041</v>
      </c>
      <c r="M272" s="42">
        <v>0.107</v>
      </c>
      <c r="N272" s="42">
        <v>1.849774432</v>
      </c>
      <c r="O272" s="40">
        <v>82.5</v>
      </c>
      <c r="P272" s="41">
        <f>0.240683</f>
        <v>0.24068300000000001</v>
      </c>
      <c r="Q272" s="41">
        <v>2.0789999999999999E-6</v>
      </c>
      <c r="R272" s="19">
        <f t="shared" si="77"/>
        <v>2.7609561752988044E-7</v>
      </c>
      <c r="T272" s="15" t="s">
        <v>1060</v>
      </c>
      <c r="U272" s="15" t="s">
        <v>80</v>
      </c>
      <c r="V272" s="15" t="s">
        <v>2</v>
      </c>
      <c r="W272" s="15" t="s">
        <v>1</v>
      </c>
      <c r="X272" s="15" t="s">
        <v>1062</v>
      </c>
      <c r="Y272" s="15" t="s">
        <v>16</v>
      </c>
      <c r="Z272" s="15" t="s">
        <v>1076</v>
      </c>
      <c r="AA272" s="15" t="s">
        <v>1075</v>
      </c>
      <c r="AB272" s="237" t="s">
        <v>1083</v>
      </c>
      <c r="AC272" s="15" t="s">
        <v>1087</v>
      </c>
      <c r="AD272" s="15" t="s">
        <v>1084</v>
      </c>
      <c r="AE272" s="15" t="s">
        <v>17</v>
      </c>
      <c r="AF272" s="15" t="s">
        <v>1077</v>
      </c>
      <c r="AG272" s="15" t="s">
        <v>1078</v>
      </c>
      <c r="AH272" s="15" t="s">
        <v>1083</v>
      </c>
      <c r="AI272" s="15" t="s">
        <v>1084</v>
      </c>
      <c r="AJ272" s="15" t="s">
        <v>256</v>
      </c>
      <c r="AK272" s="236" t="s">
        <v>1069</v>
      </c>
      <c r="AL272" s="15" t="s">
        <v>1073</v>
      </c>
      <c r="AM272" s="236" t="s">
        <v>1063</v>
      </c>
      <c r="AN272" s="236" t="s">
        <v>1064</v>
      </c>
      <c r="AP272">
        <v>6.6</v>
      </c>
      <c r="AQ272" s="213">
        <f t="shared" si="79"/>
        <v>-4.6758153880619329</v>
      </c>
      <c r="AR272" s="213"/>
      <c r="AU272" s="213">
        <v>6.6</v>
      </c>
      <c r="AV272" s="213">
        <f t="shared" si="80"/>
        <v>-4.9280465154284236</v>
      </c>
    </row>
    <row r="273" spans="3:48" x14ac:dyDescent="0.25">
      <c r="C273" s="136" t="s">
        <v>272</v>
      </c>
      <c r="D273" s="137">
        <v>-2</v>
      </c>
      <c r="F273" s="221"/>
      <c r="G273" s="14" t="s">
        <v>66</v>
      </c>
      <c r="H273" s="14" t="s">
        <v>81</v>
      </c>
      <c r="I273" s="14">
        <f t="shared" si="76"/>
        <v>298.14999999999998</v>
      </c>
      <c r="J273" s="38">
        <v>7.0000000000000007E-2</v>
      </c>
      <c r="K273" s="36">
        <v>6.5</v>
      </c>
      <c r="L273" s="21">
        <v>9.11E-2</v>
      </c>
      <c r="M273" s="36">
        <v>9.2999999999999999E-2</v>
      </c>
      <c r="N273" s="36">
        <v>3.6995488650000001</v>
      </c>
      <c r="O273" s="14">
        <v>82.5</v>
      </c>
      <c r="P273" s="21">
        <f>0.240683</f>
        <v>0.24068300000000001</v>
      </c>
      <c r="Q273" s="21">
        <v>2.402E-6</v>
      </c>
      <c r="R273" s="19">
        <f t="shared" si="77"/>
        <v>3.1899070385126164E-7</v>
      </c>
      <c r="T273" s="213" t="str">
        <f>G221</f>
        <v>data41</v>
      </c>
      <c r="U273" t="str">
        <f>H221</f>
        <v>Boric</v>
      </c>
      <c r="V273" s="215">
        <f>K221</f>
        <v>8.4600000000000009</v>
      </c>
      <c r="W273" s="213">
        <f>O221</f>
        <v>82.5</v>
      </c>
      <c r="X273" s="214">
        <f>P221</f>
        <v>0.27300000000000002</v>
      </c>
      <c r="Y273" s="216">
        <v>1.0849999999999999E-4</v>
      </c>
      <c r="Z273" s="216">
        <v>1.0849999999999999E-4</v>
      </c>
      <c r="AA273" s="216">
        <v>1.462E-4</v>
      </c>
      <c r="AB273" s="238">
        <f>(AA273-Z273)/3.92</f>
        <v>9.6173469387755121E-6</v>
      </c>
      <c r="AC273" s="216">
        <f>AB273/2</f>
        <v>4.808673469387756E-6</v>
      </c>
      <c r="AD273" s="127">
        <f t="shared" ref="AD273:AD293" si="81">(AB273/Y273)*100</f>
        <v>8.8639142292861859</v>
      </c>
      <c r="AE273" s="215">
        <v>3.105</v>
      </c>
      <c r="AF273" s="13">
        <v>2.0499999999999998</v>
      </c>
      <c r="AG273" s="13">
        <v>4.16</v>
      </c>
      <c r="AH273" s="13">
        <f>(AG273-AF273)/3.92</f>
        <v>0.53826530612244905</v>
      </c>
      <c r="AI273" s="13">
        <f>(AH273/AE273)*100</f>
        <v>17.335436590094979</v>
      </c>
      <c r="AJ273" s="1">
        <v>0.99650000000000005</v>
      </c>
      <c r="AK273" s="214">
        <f t="shared" ref="AK273:AK293" si="82">Y273/(X273)</f>
        <v>3.9743589743589737E-4</v>
      </c>
      <c r="AL273" s="214">
        <f t="shared" ref="AL273:AL293" si="83">Y273/(X273*AE273)</f>
        <v>1.2799867872331639E-4</v>
      </c>
      <c r="AM273">
        <f>LOG10(AK273)</f>
        <v>-3.4007329088562077</v>
      </c>
      <c r="AN273">
        <f>LOG10(AL273)</f>
        <v>-3.8927945133688069</v>
      </c>
      <c r="AP273">
        <v>6.7</v>
      </c>
      <c r="AQ273" s="213">
        <f t="shared" si="79"/>
        <v>-4.5777319286389302</v>
      </c>
      <c r="AR273" s="213"/>
      <c r="AU273" s="213">
        <v>6.7</v>
      </c>
      <c r="AV273" s="213">
        <f t="shared" si="80"/>
        <v>-4.8348865333561495</v>
      </c>
    </row>
    <row r="274" spans="3:48" x14ac:dyDescent="0.25">
      <c r="C274" s="136" t="s">
        <v>273</v>
      </c>
      <c r="D274" s="137">
        <v>-3</v>
      </c>
      <c r="F274" s="221"/>
      <c r="G274" s="14" t="s">
        <v>66</v>
      </c>
      <c r="H274" s="14" t="s">
        <v>81</v>
      </c>
      <c r="I274" s="14">
        <f t="shared" si="76"/>
        <v>298.14999999999998</v>
      </c>
      <c r="J274" s="38">
        <v>0.06</v>
      </c>
      <c r="K274" s="36">
        <v>6.5</v>
      </c>
      <c r="L274" s="21">
        <v>7.8090000000000007E-2</v>
      </c>
      <c r="M274" s="36">
        <v>0.08</v>
      </c>
      <c r="N274" s="36">
        <v>5.5493232969999999</v>
      </c>
      <c r="O274" s="14">
        <v>82.5</v>
      </c>
      <c r="P274" s="21">
        <f>0.240683</f>
        <v>0.24068300000000001</v>
      </c>
      <c r="Q274" s="21">
        <v>3.1470000000000001E-6</v>
      </c>
      <c r="R274" s="19">
        <f t="shared" si="77"/>
        <v>4.1792828685258966E-7</v>
      </c>
      <c r="T274" s="213" t="str">
        <f>G225</f>
        <v>data42</v>
      </c>
      <c r="U274" t="str">
        <f>H225</f>
        <v>Boric</v>
      </c>
      <c r="V274" s="215">
        <f>K225</f>
        <v>8.98</v>
      </c>
      <c r="W274" s="213">
        <f>O225</f>
        <v>82.5</v>
      </c>
      <c r="X274" s="214">
        <f>P225</f>
        <v>0.27300000000000002</v>
      </c>
      <c r="Y274" s="216">
        <v>2.9789999999999998E-4</v>
      </c>
      <c r="Z274" s="216">
        <v>1.6139999999999999E-4</v>
      </c>
      <c r="AA274" s="216">
        <v>4.3439999999999999E-4</v>
      </c>
      <c r="AB274" s="238">
        <f t="shared" ref="AB274:AB293" si="84">(AA274-Z274)/3.92</f>
        <v>6.9642857142857147E-5</v>
      </c>
      <c r="AC274" s="216">
        <f t="shared" ref="AC274:AC293" si="85">AB274/2</f>
        <v>3.4821428571428574E-5</v>
      </c>
      <c r="AD274" s="127">
        <f t="shared" si="81"/>
        <v>23.377931232916129</v>
      </c>
      <c r="AE274" s="215">
        <v>4.8869999999999996</v>
      </c>
      <c r="AF274" s="13">
        <v>0.68410000000000004</v>
      </c>
      <c r="AG274" s="13">
        <v>9.09</v>
      </c>
      <c r="AH274" s="13">
        <f t="shared" ref="AH274:AH293" si="86">(AG274-AF274)/3.92</f>
        <v>2.1443622448979589</v>
      </c>
      <c r="AI274" s="13">
        <f t="shared" ref="AI274:AI293" si="87">(AH274/AE274)*100</f>
        <v>43.878908223817461</v>
      </c>
      <c r="AJ274" s="1">
        <v>0.98599999999999999</v>
      </c>
      <c r="AK274" s="214">
        <f t="shared" si="82"/>
        <v>1.091208791208791E-3</v>
      </c>
      <c r="AL274" s="214">
        <f t="shared" si="83"/>
        <v>2.2328806859193596E-4</v>
      </c>
      <c r="AM274" s="213">
        <f t="shared" ref="AM274:AM293" si="88">LOG10(AK274)</f>
        <v>-2.9620921438257124</v>
      </c>
      <c r="AN274" s="213">
        <f t="shared" ref="AN274:AN293" si="89">LOG10(AL274)</f>
        <v>-3.6511344828538843</v>
      </c>
      <c r="AP274" s="213">
        <v>6.8</v>
      </c>
      <c r="AQ274" s="213">
        <f t="shared" si="79"/>
        <v>-4.4801327460885343</v>
      </c>
      <c r="AR274" s="213"/>
      <c r="AU274" s="213">
        <v>6.8</v>
      </c>
      <c r="AV274" s="213">
        <f t="shared" si="80"/>
        <v>-4.7433471987421107</v>
      </c>
    </row>
    <row r="275" spans="3:48" ht="15.75" thickBot="1" x14ac:dyDescent="0.3">
      <c r="C275" s="140" t="s">
        <v>270</v>
      </c>
      <c r="D275" s="141">
        <f>0.5*((D272)^2*D267+(D273)^2*D268+(D274)^2*D269+(-1)^2*D270+ABS(D272)*D267+ABS(D273)*D268+ABS(D274)*D269+ABS(D272)*D270)</f>
        <v>8.4288712800005064E-2</v>
      </c>
      <c r="F275" s="221"/>
      <c r="G275" s="55" t="s">
        <v>66</v>
      </c>
      <c r="H275" s="55" t="s">
        <v>81</v>
      </c>
      <c r="I275" s="55">
        <f t="shared" si="76"/>
        <v>298.14999999999998</v>
      </c>
      <c r="J275" s="65">
        <v>0.05</v>
      </c>
      <c r="K275" s="57">
        <v>6.5</v>
      </c>
      <c r="L275" s="56">
        <v>6.5070000000000003E-2</v>
      </c>
      <c r="M275" s="57">
        <v>6.7000000000000004E-2</v>
      </c>
      <c r="N275" s="57">
        <v>7.3990977300000003</v>
      </c>
      <c r="O275" s="55">
        <v>82.5</v>
      </c>
      <c r="P275" s="56">
        <f>0.240683</f>
        <v>0.24068300000000001</v>
      </c>
      <c r="Q275" s="56">
        <v>2.9280000000000002E-6</v>
      </c>
      <c r="R275" s="19">
        <f t="shared" si="77"/>
        <v>3.8884462151394424E-7</v>
      </c>
      <c r="T275" s="213" t="str">
        <f>G229</f>
        <v>data46</v>
      </c>
      <c r="U275" t="str">
        <f>H229</f>
        <v>Boric</v>
      </c>
      <c r="V275" s="215">
        <f>K229</f>
        <v>9.23</v>
      </c>
      <c r="W275" s="213">
        <f>O229</f>
        <v>82.5</v>
      </c>
      <c r="X275" s="214">
        <f>P229</f>
        <v>0.27300000000000002</v>
      </c>
      <c r="Y275" s="216">
        <v>3.6430000000000002E-4</v>
      </c>
      <c r="Z275" s="216">
        <v>1.4200000000000001E-4</v>
      </c>
      <c r="AA275" s="216">
        <v>5.865E-4</v>
      </c>
      <c r="AB275" s="238">
        <f t="shared" si="84"/>
        <v>1.1339285714285715E-4</v>
      </c>
      <c r="AC275" s="216">
        <f t="shared" si="85"/>
        <v>5.6696428571428577E-5</v>
      </c>
      <c r="AD275" s="127">
        <f t="shared" si="81"/>
        <v>31.126230343908084</v>
      </c>
      <c r="AE275" s="75">
        <v>6.7889999999999997</v>
      </c>
      <c r="AF275" s="13">
        <v>-7.3810000000000001E-2</v>
      </c>
      <c r="AG275" s="13">
        <v>13.65</v>
      </c>
      <c r="AH275" s="13">
        <f t="shared" si="86"/>
        <v>3.5009719387755105</v>
      </c>
      <c r="AI275" s="13">
        <f t="shared" si="87"/>
        <v>51.568300762638252</v>
      </c>
      <c r="AJ275" s="1">
        <v>0.9869</v>
      </c>
      <c r="AK275" s="214">
        <f t="shared" si="82"/>
        <v>1.3344322344322345E-3</v>
      </c>
      <c r="AL275" s="214">
        <f t="shared" si="83"/>
        <v>1.9655799593934814E-4</v>
      </c>
      <c r="AM275" s="213">
        <f t="shared" si="88"/>
        <v>-2.8747034757988401</v>
      </c>
      <c r="AN275" s="213">
        <f t="shared" si="89"/>
        <v>-3.7065092844732312</v>
      </c>
      <c r="AP275" s="213">
        <v>6.9</v>
      </c>
      <c r="AQ275" s="213">
        <f t="shared" si="79"/>
        <v>-4.3831364461787485</v>
      </c>
      <c r="AR275" s="213"/>
      <c r="AU275" s="213">
        <v>6.9</v>
      </c>
      <c r="AV275" s="213">
        <f t="shared" si="80"/>
        <v>-4.6537694018274083</v>
      </c>
    </row>
    <row r="276" spans="3:48" x14ac:dyDescent="0.25">
      <c r="F276" s="221"/>
      <c r="G276" s="40" t="s">
        <v>59</v>
      </c>
      <c r="H276" s="40" t="s">
        <v>81</v>
      </c>
      <c r="I276" s="40">
        <f t="shared" si="76"/>
        <v>298.14999999999998</v>
      </c>
      <c r="J276" s="61">
        <v>0.08</v>
      </c>
      <c r="K276" s="42">
        <v>6.71</v>
      </c>
      <c r="L276" s="41">
        <v>1.129E-2</v>
      </c>
      <c r="M276" s="42">
        <v>0.11899999999999999</v>
      </c>
      <c r="N276" s="42">
        <v>1.5198668310000001</v>
      </c>
      <c r="O276" s="40">
        <v>82.5</v>
      </c>
      <c r="P276" s="41">
        <f>0.17533</f>
        <v>0.17533000000000001</v>
      </c>
      <c r="Q276" s="41">
        <v>1.61E-6</v>
      </c>
      <c r="R276" s="19">
        <f t="shared" si="77"/>
        <v>2.1381142098273572E-7</v>
      </c>
      <c r="T276" s="213" t="str">
        <f>G233</f>
        <v>data47</v>
      </c>
      <c r="U276" t="str">
        <f>H233</f>
        <v>Boric</v>
      </c>
      <c r="V276" s="215">
        <f>K233</f>
        <v>9.4</v>
      </c>
      <c r="W276" s="213">
        <f>O233</f>
        <v>82.5</v>
      </c>
      <c r="X276" s="214">
        <f>P233</f>
        <v>0.27300000000000002</v>
      </c>
      <c r="Y276" s="216">
        <v>3.6660000000000002E-4</v>
      </c>
      <c r="Z276" s="216">
        <v>2.286E-4</v>
      </c>
      <c r="AA276" s="216">
        <v>5.0449999999999996E-4</v>
      </c>
      <c r="AB276" s="238">
        <f t="shared" si="84"/>
        <v>7.0382653061224474E-5</v>
      </c>
      <c r="AC276" s="216">
        <f t="shared" si="85"/>
        <v>3.5191326530612237E-5</v>
      </c>
      <c r="AD276" s="127">
        <f t="shared" si="81"/>
        <v>19.198759700279453</v>
      </c>
      <c r="AE276" s="75">
        <v>7.468</v>
      </c>
      <c r="AF276" s="13">
        <v>2.9630000000000001</v>
      </c>
      <c r="AG276" s="13">
        <v>11.97</v>
      </c>
      <c r="AH276" s="13">
        <f t="shared" si="86"/>
        <v>2.2977040816326535</v>
      </c>
      <c r="AI276" s="13">
        <f t="shared" si="87"/>
        <v>30.767328356088019</v>
      </c>
      <c r="AJ276" s="1">
        <v>0.99590000000000001</v>
      </c>
      <c r="AK276" s="214">
        <f t="shared" si="82"/>
        <v>1.3428571428571428E-3</v>
      </c>
      <c r="AL276" s="214">
        <f t="shared" si="83"/>
        <v>1.7981482898462011E-4</v>
      </c>
      <c r="AM276" s="213">
        <f t="shared" si="88"/>
        <v>-2.8719701864145581</v>
      </c>
      <c r="AN276" s="213">
        <f t="shared" si="89"/>
        <v>-3.7451744956915989</v>
      </c>
      <c r="AP276" s="213">
        <v>7</v>
      </c>
      <c r="AQ276" s="213">
        <f t="shared" si="79"/>
        <v>-4.2868885786775683</v>
      </c>
      <c r="AR276" s="213"/>
      <c r="AU276" s="213">
        <v>7</v>
      </c>
      <c r="AV276" s="213">
        <f t="shared" si="80"/>
        <v>-4.5665442506581346</v>
      </c>
    </row>
    <row r="277" spans="3:48" x14ac:dyDescent="0.25">
      <c r="F277" s="221"/>
      <c r="G277" s="14" t="s">
        <v>59</v>
      </c>
      <c r="H277" s="14" t="s">
        <v>81</v>
      </c>
      <c r="I277" s="14">
        <f t="shared" si="76"/>
        <v>298.14999999999998</v>
      </c>
      <c r="J277" s="38">
        <v>7.0000000000000007E-2</v>
      </c>
      <c r="K277" s="36">
        <v>6.71</v>
      </c>
      <c r="L277" s="21">
        <v>9.8820000000000005E-2</v>
      </c>
      <c r="M277" s="36">
        <v>0.104</v>
      </c>
      <c r="N277" s="36">
        <v>3.0397336610000001</v>
      </c>
      <c r="O277" s="14">
        <v>82.5</v>
      </c>
      <c r="P277" s="21">
        <f t="shared" ref="P277:P287" si="90">0.17533</f>
        <v>0.17533000000000001</v>
      </c>
      <c r="Q277" s="21">
        <v>3.0410000000000002E-6</v>
      </c>
      <c r="R277" s="19">
        <f t="shared" si="77"/>
        <v>4.0385126162018596E-7</v>
      </c>
      <c r="T277" s="213" t="str">
        <f>G237</f>
        <v>data43</v>
      </c>
      <c r="U277" t="str">
        <f>H237</f>
        <v>Boric</v>
      </c>
      <c r="V277" s="215">
        <f>K237</f>
        <v>9.5</v>
      </c>
      <c r="W277" s="213">
        <f>O237</f>
        <v>82.5</v>
      </c>
      <c r="X277" s="214">
        <f>P237</f>
        <v>0.27300000000000002</v>
      </c>
      <c r="Y277" s="216">
        <v>2.2029999999999999E-4</v>
      </c>
      <c r="Z277" s="216">
        <v>-4.8579999999999999E-5</v>
      </c>
      <c r="AA277" s="216">
        <v>4.8919999999999996E-4</v>
      </c>
      <c r="AB277" s="238">
        <f t="shared" si="84"/>
        <v>1.3718877551020407E-4</v>
      </c>
      <c r="AC277" s="216">
        <f t="shared" si="85"/>
        <v>6.8594387755102035E-5</v>
      </c>
      <c r="AD277" s="127">
        <f t="shared" si="81"/>
        <v>62.273615755880193</v>
      </c>
      <c r="AE277" s="75">
        <v>3</v>
      </c>
      <c r="AF277" s="13">
        <v>-5.5270000000000001</v>
      </c>
      <c r="AG277" s="13">
        <v>11.53</v>
      </c>
      <c r="AH277" s="13">
        <f t="shared" si="86"/>
        <v>4.351275510204081</v>
      </c>
      <c r="AI277" s="13">
        <f t="shared" si="87"/>
        <v>145.04251700680271</v>
      </c>
      <c r="AJ277" s="1">
        <v>0.74919999999999998</v>
      </c>
      <c r="AK277" s="214">
        <f t="shared" si="82"/>
        <v>8.0695970695970681E-4</v>
      </c>
      <c r="AL277" s="214">
        <f t="shared" si="83"/>
        <v>2.6898656898656894E-4</v>
      </c>
      <c r="AM277" s="213">
        <f t="shared" si="88"/>
        <v>-3.0931481498899887</v>
      </c>
      <c r="AN277" s="213">
        <f t="shared" si="89"/>
        <v>-3.5702694046096508</v>
      </c>
      <c r="AP277" s="213">
        <v>7.1</v>
      </c>
      <c r="AQ277" s="213">
        <f t="shared" si="79"/>
        <v>-4.1915666015366977</v>
      </c>
      <c r="AR277" s="213"/>
      <c r="AU277" s="213">
        <v>7.1</v>
      </c>
      <c r="AV277" s="213">
        <f t="shared" si="80"/>
        <v>-4.482110276359653</v>
      </c>
    </row>
    <row r="278" spans="3:48" x14ac:dyDescent="0.25">
      <c r="F278" s="221"/>
      <c r="G278" s="217" t="s">
        <v>1065</v>
      </c>
      <c r="H278" s="217" t="s">
        <v>81</v>
      </c>
      <c r="I278" s="217">
        <f t="shared" si="76"/>
        <v>298.14999999999998</v>
      </c>
      <c r="J278" s="38">
        <v>7.0000000000000007E-2</v>
      </c>
      <c r="K278" s="36">
        <v>6.71</v>
      </c>
      <c r="L278" s="21">
        <v>1.0988199999999999</v>
      </c>
      <c r="M278" s="36">
        <v>0.104</v>
      </c>
      <c r="N278" s="36">
        <v>4.5599999999999996</v>
      </c>
      <c r="O278" s="217">
        <v>82.5</v>
      </c>
      <c r="P278" s="21">
        <f t="shared" si="90"/>
        <v>0.17533000000000001</v>
      </c>
      <c r="Q278" s="21">
        <v>2.6579999999999998E-6</v>
      </c>
      <c r="R278" s="19">
        <f t="shared" si="77"/>
        <v>3.5298804780876489E-7</v>
      </c>
      <c r="T278" s="213" t="str">
        <f>G241</f>
        <v>data48</v>
      </c>
      <c r="U278" t="str">
        <f>H241</f>
        <v>Boric</v>
      </c>
      <c r="V278" s="215">
        <f>K241</f>
        <v>9.51</v>
      </c>
      <c r="W278" s="213">
        <f>O241</f>
        <v>82.5</v>
      </c>
      <c r="X278" s="214">
        <f>P241</f>
        <v>0.27300000000000002</v>
      </c>
      <c r="Y278" s="216">
        <v>4.7120000000000002E-4</v>
      </c>
      <c r="Z278" s="216">
        <v>1.5890000000000001E-4</v>
      </c>
      <c r="AA278" s="216">
        <v>7.8359999999999996E-4</v>
      </c>
      <c r="AB278" s="238">
        <f t="shared" si="84"/>
        <v>1.5936224489795917E-4</v>
      </c>
      <c r="AC278" s="216">
        <f t="shared" si="85"/>
        <v>7.9681122448979584E-5</v>
      </c>
      <c r="AD278" s="127">
        <f t="shared" si="81"/>
        <v>33.820510377325796</v>
      </c>
      <c r="AE278" s="75">
        <v>11.46</v>
      </c>
      <c r="AF278" s="13">
        <v>0.76329999999999998</v>
      </c>
      <c r="AG278" s="13">
        <v>22.16</v>
      </c>
      <c r="AH278" s="13">
        <f t="shared" si="86"/>
        <v>5.4583418367346939</v>
      </c>
      <c r="AI278" s="13">
        <f t="shared" si="87"/>
        <v>47.629509919150905</v>
      </c>
      <c r="AJ278" s="1">
        <v>0.99460000000000004</v>
      </c>
      <c r="AK278" s="214">
        <f t="shared" si="82"/>
        <v>1.7260073260073258E-3</v>
      </c>
      <c r="AL278" s="214">
        <f t="shared" si="83"/>
        <v>1.5061145951198306E-4</v>
      </c>
      <c r="AM278" s="213">
        <f t="shared" si="88"/>
        <v>-2.7629573652617108</v>
      </c>
      <c r="AN278" s="213">
        <f t="shared" si="89"/>
        <v>-3.8221419828930818</v>
      </c>
      <c r="AP278" s="213">
        <v>7.2</v>
      </c>
      <c r="AQ278" s="213">
        <f t="shared" si="79"/>
        <v>-4.0973851267034194</v>
      </c>
      <c r="AR278" s="213"/>
      <c r="AU278" s="213">
        <v>7.2</v>
      </c>
      <c r="AV278" s="213">
        <f t="shared" si="80"/>
        <v>-4.4009453110320447</v>
      </c>
    </row>
    <row r="279" spans="3:48" ht="15.75" thickBot="1" x14ac:dyDescent="0.3">
      <c r="F279" s="221"/>
      <c r="G279" s="55" t="s">
        <v>59</v>
      </c>
      <c r="H279" s="55" t="s">
        <v>81</v>
      </c>
      <c r="I279" s="55">
        <f t="shared" si="76"/>
        <v>298.14999999999998</v>
      </c>
      <c r="J279" s="65">
        <v>0.05</v>
      </c>
      <c r="K279" s="57">
        <v>6.71</v>
      </c>
      <c r="L279" s="56">
        <v>7.059E-2</v>
      </c>
      <c r="M279" s="57">
        <v>7.3999999999999996E-2</v>
      </c>
      <c r="N279" s="57">
        <v>6.0794673230000003</v>
      </c>
      <c r="O279" s="55">
        <v>82.5</v>
      </c>
      <c r="P279" s="56">
        <f t="shared" si="90"/>
        <v>0.17533000000000001</v>
      </c>
      <c r="Q279" s="56">
        <v>4.7350000000000004E-6</v>
      </c>
      <c r="R279" s="19">
        <f t="shared" si="77"/>
        <v>6.2881806108897742E-7</v>
      </c>
      <c r="T279" s="213" t="str">
        <f>G245</f>
        <v>data45</v>
      </c>
      <c r="U279" t="str">
        <f>H245</f>
        <v>Boric</v>
      </c>
      <c r="V279" s="215">
        <f>K245</f>
        <v>9.6999999999999993</v>
      </c>
      <c r="W279" s="213">
        <f>O245</f>
        <v>82.5</v>
      </c>
      <c r="X279" s="214">
        <f>P245</f>
        <v>0.27300000000000002</v>
      </c>
      <c r="Y279" s="216">
        <v>3.278E-4</v>
      </c>
      <c r="Z279" s="216">
        <v>1.9979999999999998E-5</v>
      </c>
      <c r="AA279" s="216">
        <v>6.357E-4</v>
      </c>
      <c r="AB279" s="238">
        <f t="shared" si="84"/>
        <v>1.5707142857142859E-4</v>
      </c>
      <c r="AC279" s="216">
        <f t="shared" si="85"/>
        <v>7.8535714285714295E-5</v>
      </c>
      <c r="AD279" s="127">
        <f t="shared" si="81"/>
        <v>47.916848252418724</v>
      </c>
      <c r="AE279" s="75">
        <v>8.3469999999999995</v>
      </c>
      <c r="AF279" s="13">
        <v>-3.7679999999999998</v>
      </c>
      <c r="AG279" s="13">
        <v>20.46</v>
      </c>
      <c r="AH279" s="13">
        <f t="shared" si="86"/>
        <v>6.1806122448979597</v>
      </c>
      <c r="AI279" s="13">
        <f t="shared" si="87"/>
        <v>74.045911643679887</v>
      </c>
      <c r="AJ279" s="1">
        <v>0.98019999999999996</v>
      </c>
      <c r="AK279" s="214">
        <f t="shared" si="82"/>
        <v>1.2007326007326007E-3</v>
      </c>
      <c r="AL279" s="214">
        <f t="shared" si="83"/>
        <v>1.4385199481641315E-4</v>
      </c>
      <c r="AM279" s="213">
        <f t="shared" si="88"/>
        <v>-2.9205536978062758</v>
      </c>
      <c r="AN279" s="213">
        <f t="shared" si="89"/>
        <v>-3.8420841113075181</v>
      </c>
      <c r="AP279" s="213">
        <v>7.3</v>
      </c>
      <c r="AQ279" s="213">
        <f t="shared" si="79"/>
        <v>-4.0046010835700319</v>
      </c>
      <c r="AR279" s="213"/>
      <c r="AU279" s="213">
        <v>7.3</v>
      </c>
      <c r="AV279" s="213">
        <f t="shared" si="80"/>
        <v>-4.3235516757683881</v>
      </c>
    </row>
    <row r="280" spans="3:48" x14ac:dyDescent="0.25">
      <c r="F280" s="221"/>
      <c r="G280" s="40" t="s">
        <v>60</v>
      </c>
      <c r="H280" s="40" t="s">
        <v>81</v>
      </c>
      <c r="I280" s="40">
        <f t="shared" si="76"/>
        <v>298.14999999999998</v>
      </c>
      <c r="J280" s="61">
        <v>0.08</v>
      </c>
      <c r="K280" s="42">
        <v>6.71</v>
      </c>
      <c r="L280" s="41">
        <v>1.129E-2</v>
      </c>
      <c r="M280" s="42">
        <v>0.11899999999999999</v>
      </c>
      <c r="N280" s="42">
        <v>1.6139538250000001</v>
      </c>
      <c r="O280" s="40">
        <v>82.5</v>
      </c>
      <c r="P280" s="41">
        <f t="shared" si="90"/>
        <v>0.17533000000000001</v>
      </c>
      <c r="Q280" s="41">
        <v>1.5200000000000001E-6</v>
      </c>
      <c r="R280" s="19">
        <f t="shared" si="77"/>
        <v>2.0185922974767597E-7</v>
      </c>
      <c r="T280" s="213" t="str">
        <f>G249</f>
        <v>data44</v>
      </c>
      <c r="U280" t="str">
        <f>H249</f>
        <v>Boric</v>
      </c>
      <c r="V280" s="215">
        <f>K249</f>
        <v>10.07</v>
      </c>
      <c r="W280" s="213">
        <f>O249</f>
        <v>82.5</v>
      </c>
      <c r="X280" s="214">
        <f>P249</f>
        <v>0.27300000000000002</v>
      </c>
      <c r="Y280" s="216">
        <v>7.8080000000000001E-4</v>
      </c>
      <c r="Z280" s="216">
        <v>3.3849999999999999E-4</v>
      </c>
      <c r="AA280" s="216">
        <v>1.2229999999999999E-3</v>
      </c>
      <c r="AB280" s="238">
        <f t="shared" si="84"/>
        <v>2.2563775510204079E-4</v>
      </c>
      <c r="AC280" s="216">
        <f t="shared" si="85"/>
        <v>1.1281887755102039E-4</v>
      </c>
      <c r="AD280" s="127">
        <f t="shared" si="81"/>
        <v>28.898278061224485</v>
      </c>
      <c r="AE280" s="75">
        <v>33.74</v>
      </c>
      <c r="AF280" s="13">
        <v>11.83</v>
      </c>
      <c r="AG280" s="13">
        <v>55.65</v>
      </c>
      <c r="AH280" s="13">
        <f t="shared" si="86"/>
        <v>11.178571428571429</v>
      </c>
      <c r="AI280" s="13">
        <f t="shared" si="87"/>
        <v>33.131509865356925</v>
      </c>
      <c r="AJ280" s="1">
        <v>0.99960000000000004</v>
      </c>
      <c r="AK280" s="214">
        <f t="shared" si="82"/>
        <v>2.8600732600732597E-3</v>
      </c>
      <c r="AL280" s="214">
        <f t="shared" si="83"/>
        <v>8.4768027862277995E-5</v>
      </c>
      <c r="AM280" s="213">
        <f t="shared" si="88"/>
        <v>-2.5436228423821206</v>
      </c>
      <c r="AN280" s="213">
        <f t="shared" si="89"/>
        <v>-4.0717679206352271</v>
      </c>
      <c r="AP280" s="213">
        <v>7.4</v>
      </c>
      <c r="AQ280" s="213">
        <f t="shared" si="79"/>
        <v>-3.913518206535811</v>
      </c>
      <c r="AR280" s="213"/>
      <c r="AU280" s="213">
        <v>7.4</v>
      </c>
      <c r="AV280" s="213">
        <f t="shared" si="80"/>
        <v>-4.2504339561739624</v>
      </c>
    </row>
    <row r="281" spans="3:48" x14ac:dyDescent="0.25">
      <c r="F281" s="221"/>
      <c r="G281" s="14" t="s">
        <v>60</v>
      </c>
      <c r="H281" s="14" t="s">
        <v>81</v>
      </c>
      <c r="I281" s="14">
        <f t="shared" si="76"/>
        <v>298.14999999999998</v>
      </c>
      <c r="J281" s="38">
        <v>7.0000000000000007E-2</v>
      </c>
      <c r="K281" s="36">
        <v>6.71</v>
      </c>
      <c r="L281" s="21">
        <v>9.8820000000000005E-2</v>
      </c>
      <c r="M281" s="36">
        <v>0.104</v>
      </c>
      <c r="N281" s="36">
        <v>3.2279076500000001</v>
      </c>
      <c r="O281" s="14">
        <v>82.5</v>
      </c>
      <c r="P281" s="21">
        <f t="shared" si="90"/>
        <v>0.17533000000000001</v>
      </c>
      <c r="Q281" s="21">
        <v>2.074E-6</v>
      </c>
      <c r="R281" s="19">
        <f t="shared" si="77"/>
        <v>2.7543160690571049E-7</v>
      </c>
      <c r="T281" s="213" t="str">
        <f>G253</f>
        <v>data49</v>
      </c>
      <c r="U281" s="1" t="str">
        <f>H253</f>
        <v>Boric</v>
      </c>
      <c r="V281" s="215">
        <f>K253</f>
        <v>10.34</v>
      </c>
      <c r="W281" s="213">
        <f>O253</f>
        <v>82.5</v>
      </c>
      <c r="X281" s="214">
        <f>P253</f>
        <v>0.27300000000000002</v>
      </c>
      <c r="Y281" s="216">
        <v>3.6049999999999998E-4</v>
      </c>
      <c r="Z281" s="216">
        <v>2.2379999999999999E-4</v>
      </c>
      <c r="AA281" s="216">
        <v>4.973E-4</v>
      </c>
      <c r="AB281" s="238">
        <f t="shared" si="84"/>
        <v>6.9770408163265303E-5</v>
      </c>
      <c r="AC281" s="216">
        <f t="shared" si="85"/>
        <v>3.4885204081632651E-5</v>
      </c>
      <c r="AD281" s="127">
        <f t="shared" si="81"/>
        <v>19.353788672195645</v>
      </c>
      <c r="AE281" s="75">
        <v>15.82</v>
      </c>
      <c r="AF281" s="13">
        <v>8.0030000000000001</v>
      </c>
      <c r="AG281" s="13">
        <v>23.63</v>
      </c>
      <c r="AH281" s="13">
        <f t="shared" si="86"/>
        <v>3.9864795918367344</v>
      </c>
      <c r="AI281" s="13">
        <f t="shared" si="87"/>
        <v>25.198986041951542</v>
      </c>
      <c r="AJ281" s="1">
        <v>0.99909999999999999</v>
      </c>
      <c r="AK281" s="214">
        <f t="shared" si="82"/>
        <v>1.3205128205128203E-3</v>
      </c>
      <c r="AL281" s="214">
        <f t="shared" si="83"/>
        <v>8.3471101170216194E-5</v>
      </c>
      <c r="AM281" s="213">
        <f t="shared" si="88"/>
        <v>-2.8792573779853083</v>
      </c>
      <c r="AN281" s="213">
        <f t="shared" si="89"/>
        <v>-4.078463857146966</v>
      </c>
      <c r="AP281" s="213">
        <v>7.5</v>
      </c>
      <c r="AQ281" s="213">
        <f t="shared" si="79"/>
        <v>-3.8244899688903558</v>
      </c>
      <c r="AR281" s="213"/>
      <c r="AU281" s="213">
        <v>7.5</v>
      </c>
      <c r="AV281" s="213">
        <f t="shared" si="80"/>
        <v>-4.182069865754813</v>
      </c>
    </row>
    <row r="282" spans="3:48" x14ac:dyDescent="0.25">
      <c r="F282" s="221"/>
      <c r="G282" s="217" t="s">
        <v>1066</v>
      </c>
      <c r="H282" s="217" t="s">
        <v>81</v>
      </c>
      <c r="I282" s="217">
        <f t="shared" si="76"/>
        <v>298.14999999999998</v>
      </c>
      <c r="J282" s="38">
        <v>7.0000000000000007E-2</v>
      </c>
      <c r="K282" s="36">
        <v>6.71</v>
      </c>
      <c r="L282" s="21">
        <v>1.0988199999999999</v>
      </c>
      <c r="M282" s="36">
        <v>0.104</v>
      </c>
      <c r="N282" s="36">
        <v>4.84</v>
      </c>
      <c r="O282" s="217">
        <v>82.5</v>
      </c>
      <c r="P282" s="21">
        <f t="shared" si="90"/>
        <v>0.17533000000000001</v>
      </c>
      <c r="Q282" s="21">
        <v>2.357E-6</v>
      </c>
      <c r="R282" s="19">
        <f t="shared" si="77"/>
        <v>3.1301460823373176E-7</v>
      </c>
      <c r="T282" s="213" t="str">
        <f>G261</f>
        <v>data9</v>
      </c>
      <c r="U282" t="str">
        <f>H261</f>
        <v>Phos</v>
      </c>
      <c r="V282" s="215">
        <f>K261</f>
        <v>5.64</v>
      </c>
      <c r="W282" s="213">
        <f>O261</f>
        <v>82.5</v>
      </c>
      <c r="X282" s="214">
        <f>P261</f>
        <v>0.17533000000000001</v>
      </c>
      <c r="Y282" s="239">
        <v>3.3519999999999998E-6</v>
      </c>
      <c r="Z282" s="216">
        <v>-1.5889999999999999E-6</v>
      </c>
      <c r="AA282" s="216">
        <v>8.2919999999999996E-6</v>
      </c>
      <c r="AB282" s="238">
        <f t="shared" si="84"/>
        <v>2.5206632653061223E-6</v>
      </c>
      <c r="AC282" s="216">
        <f t="shared" si="85"/>
        <v>1.2603316326530611E-6</v>
      </c>
      <c r="AD282" s="127">
        <f t="shared" si="81"/>
        <v>75.198784764502463</v>
      </c>
      <c r="AE282" s="75">
        <v>2.5190000000000001</v>
      </c>
      <c r="AF282" s="13">
        <v>-8.33</v>
      </c>
      <c r="AG282" s="13">
        <v>13.37</v>
      </c>
      <c r="AH282" s="13">
        <f t="shared" si="86"/>
        <v>5.5357142857142856</v>
      </c>
      <c r="AI282" s="13">
        <f t="shared" si="87"/>
        <v>219.75840753133329</v>
      </c>
      <c r="AJ282" s="1">
        <v>0.94450000000000001</v>
      </c>
      <c r="AK282" s="214">
        <f t="shared" si="82"/>
        <v>1.9118234186961726E-5</v>
      </c>
      <c r="AL282" s="214">
        <f t="shared" si="83"/>
        <v>7.5896126188811929E-6</v>
      </c>
      <c r="AM282" s="213">
        <f t="shared" si="88"/>
        <v>-4.7185522228482668</v>
      </c>
      <c r="AN282" s="213">
        <f t="shared" si="89"/>
        <v>-5.1197803903463797</v>
      </c>
      <c r="AP282" s="213">
        <v>7.6</v>
      </c>
      <c r="AQ282" s="213">
        <f t="shared" si="79"/>
        <v>-3.7379197783785161</v>
      </c>
      <c r="AR282" s="213"/>
      <c r="AU282" s="213">
        <v>7.6</v>
      </c>
      <c r="AV282" s="213">
        <f t="shared" si="80"/>
        <v>-4.11887641861109</v>
      </c>
    </row>
    <row r="283" spans="3:48" ht="15.75" thickBot="1" x14ac:dyDescent="0.3">
      <c r="F283" s="221"/>
      <c r="G283" s="55" t="s">
        <v>60</v>
      </c>
      <c r="H283" s="55" t="s">
        <v>81</v>
      </c>
      <c r="I283" s="55">
        <f t="shared" si="76"/>
        <v>298.14999999999998</v>
      </c>
      <c r="J283" s="65">
        <v>0.05</v>
      </c>
      <c r="K283" s="57">
        <v>6.71</v>
      </c>
      <c r="L283" s="56">
        <v>7.059E-2</v>
      </c>
      <c r="M283" s="57">
        <v>7.3999999999999996E-2</v>
      </c>
      <c r="N283" s="57">
        <v>6.4558153000000003</v>
      </c>
      <c r="O283" s="55">
        <v>82.5</v>
      </c>
      <c r="P283" s="56">
        <f t="shared" si="90"/>
        <v>0.17533000000000001</v>
      </c>
      <c r="Q283" s="56">
        <v>3.529E-6</v>
      </c>
      <c r="R283" s="19">
        <f t="shared" si="77"/>
        <v>4.686586985391766E-7</v>
      </c>
      <c r="T283" s="213" t="str">
        <f>G264</f>
        <v>data11</v>
      </c>
      <c r="U283" t="str">
        <f>H264</f>
        <v>Phos</v>
      </c>
      <c r="V283" s="215">
        <f>K264</f>
        <v>5.64</v>
      </c>
      <c r="W283" s="213">
        <f>O264</f>
        <v>82.5</v>
      </c>
      <c r="X283" s="214">
        <f>P264</f>
        <v>0.27269500000000002</v>
      </c>
      <c r="Y283" s="216">
        <v>3.2480000000000001E-6</v>
      </c>
      <c r="Z283" s="216">
        <v>1.6440000000000001E-6</v>
      </c>
      <c r="AA283" s="216">
        <v>4.853E-6</v>
      </c>
      <c r="AB283" s="238">
        <f t="shared" si="84"/>
        <v>8.186224489795919E-7</v>
      </c>
      <c r="AC283" s="216">
        <f t="shared" si="85"/>
        <v>4.0931122448979595E-7</v>
      </c>
      <c r="AD283" s="127">
        <f t="shared" si="81"/>
        <v>25.203893133608123</v>
      </c>
      <c r="AE283" s="215">
        <v>3.3290000000000002</v>
      </c>
      <c r="AF283" s="13">
        <v>-0.6643</v>
      </c>
      <c r="AG283" s="13">
        <v>7.3220000000000001</v>
      </c>
      <c r="AH283" s="13">
        <f t="shared" si="86"/>
        <v>2.0373214285714285</v>
      </c>
      <c r="AI283" s="13">
        <f t="shared" si="87"/>
        <v>61.199201819508211</v>
      </c>
      <c r="AJ283" s="1">
        <v>0.95320000000000005</v>
      </c>
      <c r="AK283" s="214">
        <f t="shared" si="82"/>
        <v>1.1910742771227928E-5</v>
      </c>
      <c r="AL283" s="214">
        <f t="shared" si="83"/>
        <v>3.5778740676563317E-6</v>
      </c>
      <c r="AM283" s="213">
        <f t="shared" si="88"/>
        <v>-4.9240611544377035</v>
      </c>
      <c r="AN283" s="213">
        <f t="shared" si="89"/>
        <v>-5.4463749495943707</v>
      </c>
      <c r="AP283" s="213">
        <v>7.7</v>
      </c>
      <c r="AQ283" s="213">
        <f t="shared" si="79"/>
        <v>-3.6542569938282909</v>
      </c>
      <c r="AR283" s="213"/>
      <c r="AU283" s="213">
        <v>7.7</v>
      </c>
      <c r="AV283" s="213">
        <f t="shared" si="80"/>
        <v>-4.0611754733239804</v>
      </c>
    </row>
    <row r="284" spans="3:48" x14ac:dyDescent="0.25">
      <c r="F284" s="221"/>
      <c r="G284" s="40" t="s">
        <v>61</v>
      </c>
      <c r="H284" s="40" t="s">
        <v>81</v>
      </c>
      <c r="I284" s="40">
        <f t="shared" si="76"/>
        <v>298.14999999999998</v>
      </c>
      <c r="J284" s="61">
        <v>0.08</v>
      </c>
      <c r="K284" s="42">
        <v>6.71</v>
      </c>
      <c r="L284" s="41">
        <v>1.129E-2</v>
      </c>
      <c r="M284" s="42">
        <v>0.11899999999999999</v>
      </c>
      <c r="N284" s="42">
        <v>1.5053919090000001</v>
      </c>
      <c r="O284" s="40">
        <v>82.5</v>
      </c>
      <c r="P284" s="41">
        <f t="shared" si="90"/>
        <v>0.17533000000000001</v>
      </c>
      <c r="Q284" s="41">
        <v>2.03E-6</v>
      </c>
      <c r="R284" s="19">
        <f t="shared" si="77"/>
        <v>2.6958831341301463E-7</v>
      </c>
      <c r="T284" s="213" t="str">
        <f>G268</f>
        <v>data10</v>
      </c>
      <c r="U284" t="str">
        <f>H268</f>
        <v>Phos</v>
      </c>
      <c r="V284" s="215">
        <f>K268</f>
        <v>5.87</v>
      </c>
      <c r="W284" s="213">
        <f>O268</f>
        <v>82.5</v>
      </c>
      <c r="X284" s="214">
        <f>P268</f>
        <v>0.27269500000000002</v>
      </c>
      <c r="Y284" s="216">
        <v>2.0710000000000002E-6</v>
      </c>
      <c r="Z284" s="216">
        <v>3.3010000000000002E-7</v>
      </c>
      <c r="AA284" s="216">
        <v>3.8120000000000001E-6</v>
      </c>
      <c r="AB284" s="238">
        <f t="shared" si="84"/>
        <v>8.8823979591836738E-7</v>
      </c>
      <c r="AC284" s="216">
        <f t="shared" si="85"/>
        <v>4.4411989795918369E-7</v>
      </c>
      <c r="AD284" s="127">
        <f t="shared" si="81"/>
        <v>42.889415544102718</v>
      </c>
      <c r="AE284" s="215">
        <v>1.319</v>
      </c>
      <c r="AF284" s="13">
        <v>-3.18</v>
      </c>
      <c r="AG284" s="13">
        <v>5.8170000000000002</v>
      </c>
      <c r="AH284" s="13">
        <f t="shared" si="86"/>
        <v>2.2951530612244899</v>
      </c>
      <c r="AI284" s="13">
        <f t="shared" si="87"/>
        <v>174.00705543779301</v>
      </c>
      <c r="AJ284" s="1">
        <v>0.51170000000000004</v>
      </c>
      <c r="AK284" s="214">
        <f t="shared" si="82"/>
        <v>7.5945653569005665E-6</v>
      </c>
      <c r="AL284" s="214">
        <f t="shared" si="83"/>
        <v>5.7578205890072534E-6</v>
      </c>
      <c r="AM284" s="213">
        <f t="shared" si="88"/>
        <v>-5.1194970761133884</v>
      </c>
      <c r="AN284" s="213">
        <f t="shared" si="89"/>
        <v>-5.2397418716597537</v>
      </c>
      <c r="AP284" s="213">
        <v>7.8</v>
      </c>
      <c r="AQ284" s="213">
        <f t="shared" si="79"/>
        <v>-3.5739872427070516</v>
      </c>
      <c r="AR284" s="213"/>
      <c r="AU284" s="213">
        <v>7.8</v>
      </c>
      <c r="AV284" s="213">
        <f t="shared" si="80"/>
        <v>-4.0091640188065334</v>
      </c>
    </row>
    <row r="285" spans="3:48" x14ac:dyDescent="0.25">
      <c r="F285" s="221"/>
      <c r="G285" s="14" t="s">
        <v>61</v>
      </c>
      <c r="H285" s="14" t="s">
        <v>81</v>
      </c>
      <c r="I285" s="14">
        <f t="shared" si="76"/>
        <v>298.14999999999998</v>
      </c>
      <c r="J285" s="38">
        <v>7.0000000000000007E-2</v>
      </c>
      <c r="K285" s="36">
        <v>6.71</v>
      </c>
      <c r="L285" s="21">
        <v>9.8820000000000005E-2</v>
      </c>
      <c r="M285" s="36">
        <v>0.104</v>
      </c>
      <c r="N285" s="36">
        <v>3.0107838170000001</v>
      </c>
      <c r="O285" s="14">
        <v>82.5</v>
      </c>
      <c r="P285" s="21">
        <f t="shared" si="90"/>
        <v>0.17533000000000001</v>
      </c>
      <c r="Q285" s="21">
        <v>1.7880000000000001E-6</v>
      </c>
      <c r="R285" s="19">
        <f t="shared" si="77"/>
        <v>2.3745019920318725E-7</v>
      </c>
      <c r="T285" s="213" t="str">
        <f>G272</f>
        <v>data22</v>
      </c>
      <c r="U285" t="str">
        <f>H272</f>
        <v>Phos</v>
      </c>
      <c r="V285" s="215">
        <f>K272</f>
        <v>6.5</v>
      </c>
      <c r="W285" s="213">
        <f>O272</f>
        <v>82.5</v>
      </c>
      <c r="X285" s="214">
        <f>P272</f>
        <v>0.24068300000000001</v>
      </c>
      <c r="Y285" s="216">
        <v>3.653E-6</v>
      </c>
      <c r="Z285" s="216">
        <v>1.491E-6</v>
      </c>
      <c r="AA285" s="216">
        <v>5.8159999999999999E-6</v>
      </c>
      <c r="AB285" s="238">
        <f t="shared" si="84"/>
        <v>1.1033163265306124E-6</v>
      </c>
      <c r="AC285" s="216">
        <f t="shared" si="85"/>
        <v>5.5165816326530619E-7</v>
      </c>
      <c r="AD285" s="127">
        <f t="shared" si="81"/>
        <v>30.203020162349091</v>
      </c>
      <c r="AE285" s="215">
        <v>1.486</v>
      </c>
      <c r="AF285" s="13">
        <v>-1.831</v>
      </c>
      <c r="AG285" s="13">
        <v>4.8029999999999999</v>
      </c>
      <c r="AH285" s="13">
        <f t="shared" si="86"/>
        <v>1.6923469387755103</v>
      </c>
      <c r="AI285" s="13">
        <f t="shared" si="87"/>
        <v>113.88606586645426</v>
      </c>
      <c r="AJ285" s="1">
        <v>0.72709999999999997</v>
      </c>
      <c r="AK285" s="214">
        <f t="shared" si="82"/>
        <v>1.5177640298650091E-5</v>
      </c>
      <c r="AL285" s="214">
        <f t="shared" si="83"/>
        <v>1.0213755248082161E-5</v>
      </c>
      <c r="AM285" s="213">
        <f t="shared" si="88"/>
        <v>-4.8187957439171818</v>
      </c>
      <c r="AN285" s="213">
        <f t="shared" si="89"/>
        <v>-4.990814553341739</v>
      </c>
      <c r="AP285" s="213">
        <v>7.9</v>
      </c>
      <c r="AQ285" s="213">
        <f t="shared" si="79"/>
        <v>-3.4976157861888306</v>
      </c>
      <c r="AR285" s="213"/>
      <c r="AU285" s="213">
        <v>7.9</v>
      </c>
      <c r="AV285" s="213">
        <f t="shared" si="80"/>
        <v>-3.9628946536807237</v>
      </c>
    </row>
    <row r="286" spans="3:48" x14ac:dyDescent="0.25">
      <c r="F286" s="221"/>
      <c r="G286" s="14" t="s">
        <v>61</v>
      </c>
      <c r="H286" s="14" t="s">
        <v>81</v>
      </c>
      <c r="I286" s="14">
        <f t="shared" si="76"/>
        <v>298.14999999999998</v>
      </c>
      <c r="J286" s="38">
        <v>0.06</v>
      </c>
      <c r="K286" s="36">
        <v>6.71</v>
      </c>
      <c r="L286" s="21">
        <v>8.4699999999999998E-2</v>
      </c>
      <c r="M286" s="36">
        <v>8.8999999999999996E-2</v>
      </c>
      <c r="N286" s="36">
        <v>4.5161757260000002</v>
      </c>
      <c r="O286" s="14">
        <v>82.5</v>
      </c>
      <c r="P286" s="21">
        <f t="shared" si="90"/>
        <v>0.17533000000000001</v>
      </c>
      <c r="Q286" s="21">
        <v>2.7250000000000002E-6</v>
      </c>
      <c r="R286" s="19">
        <f t="shared" si="77"/>
        <v>3.6188579017264278E-7</v>
      </c>
      <c r="T286" s="213" t="str">
        <f>G276</f>
        <v>data2</v>
      </c>
      <c r="U286" t="str">
        <f>H276</f>
        <v>Phos</v>
      </c>
      <c r="V286" s="215">
        <f>K276</f>
        <v>6.71</v>
      </c>
      <c r="W286" s="213">
        <f>O276</f>
        <v>82.5</v>
      </c>
      <c r="X286" s="214">
        <f>P276</f>
        <v>0.17533000000000001</v>
      </c>
      <c r="Y286" s="216">
        <v>1.1939999999999999E-5</v>
      </c>
      <c r="Z286" s="216">
        <v>-5.2899999999999998E-5</v>
      </c>
      <c r="AA286" s="216">
        <v>7.6790000000000002E-5</v>
      </c>
      <c r="AB286" s="238">
        <f t="shared" si="84"/>
        <v>3.3084183673469389E-5</v>
      </c>
      <c r="AC286" s="216">
        <f t="shared" si="85"/>
        <v>1.6542091836734694E-5</v>
      </c>
      <c r="AD286" s="127">
        <f t="shared" si="81"/>
        <v>277.08696543944217</v>
      </c>
      <c r="AE286" s="215">
        <v>10.78</v>
      </c>
      <c r="AF286" s="13">
        <v>-72.930000000000007</v>
      </c>
      <c r="AG286" s="13">
        <v>94.5</v>
      </c>
      <c r="AH286" s="13">
        <f t="shared" si="86"/>
        <v>42.711734693877553</v>
      </c>
      <c r="AI286" s="13">
        <f t="shared" si="87"/>
        <v>396.21275226231501</v>
      </c>
      <c r="AJ286" s="1">
        <v>0.65469999999999995</v>
      </c>
      <c r="AK286" s="214">
        <f t="shared" si="82"/>
        <v>6.8100153995323101E-5</v>
      </c>
      <c r="AL286" s="214">
        <f t="shared" si="83"/>
        <v>6.3172684596774668E-6</v>
      </c>
      <c r="AM286" s="213">
        <f t="shared" si="88"/>
        <v>-4.1668519060131555</v>
      </c>
      <c r="AN286" s="213">
        <f t="shared" si="89"/>
        <v>-5.199470666863875</v>
      </c>
      <c r="AP286" s="213">
        <v>7.9999999999999902</v>
      </c>
      <c r="AQ286" s="213">
        <f t="shared" si="79"/>
        <v>-3.4256434592388318</v>
      </c>
      <c r="AR286" s="213"/>
      <c r="AU286" s="213">
        <v>7.9999999999999902</v>
      </c>
      <c r="AV286" s="213">
        <f t="shared" si="80"/>
        <v>-3.9222702031163093</v>
      </c>
    </row>
    <row r="287" spans="3:48" ht="15.75" thickBot="1" x14ac:dyDescent="0.3">
      <c r="F287" s="221"/>
      <c r="G287" s="55" t="s">
        <v>61</v>
      </c>
      <c r="H287" s="55" t="s">
        <v>81</v>
      </c>
      <c r="I287" s="55">
        <f t="shared" si="76"/>
        <v>298.14999999999998</v>
      </c>
      <c r="J287" s="65">
        <v>0.05</v>
      </c>
      <c r="K287" s="57">
        <v>6.71</v>
      </c>
      <c r="L287" s="56">
        <v>7.059E-2</v>
      </c>
      <c r="M287" s="57">
        <v>7.3999999999999996E-2</v>
      </c>
      <c r="N287" s="57">
        <v>6.0215676340000002</v>
      </c>
      <c r="O287" s="55">
        <v>82.5</v>
      </c>
      <c r="P287" s="56">
        <f t="shared" si="90"/>
        <v>0.17533000000000001</v>
      </c>
      <c r="Q287" s="56">
        <v>3.3160000000000001E-6</v>
      </c>
      <c r="R287" s="19">
        <f t="shared" si="77"/>
        <v>4.403718459495352E-7</v>
      </c>
      <c r="T287" s="213" t="str">
        <f>G280</f>
        <v>data4</v>
      </c>
      <c r="U287" t="str">
        <f>H280</f>
        <v>Phos</v>
      </c>
      <c r="V287" s="215">
        <f>K280</f>
        <v>6.71</v>
      </c>
      <c r="W287" s="213">
        <f>O280</f>
        <v>82.5</v>
      </c>
      <c r="X287" s="214">
        <f>P280</f>
        <v>0.17533000000000001</v>
      </c>
      <c r="Y287" s="216">
        <v>6.9800000000000001E-6</v>
      </c>
      <c r="Z287" s="216">
        <v>-1.0910000000000001E-5</v>
      </c>
      <c r="AA287" s="216">
        <v>2.4870000000000001E-5</v>
      </c>
      <c r="AB287" s="238">
        <f t="shared" si="84"/>
        <v>9.1275510204081626E-6</v>
      </c>
      <c r="AC287" s="216">
        <f t="shared" si="85"/>
        <v>4.5637755102040813E-6</v>
      </c>
      <c r="AD287" s="127">
        <f t="shared" si="81"/>
        <v>130.76720659610547</v>
      </c>
      <c r="AE287" s="215">
        <v>7.3869999999999996</v>
      </c>
      <c r="AF287" s="13">
        <v>-23.66</v>
      </c>
      <c r="AG287" s="13">
        <v>38.44</v>
      </c>
      <c r="AH287" s="13">
        <f t="shared" si="86"/>
        <v>15.841836734693876</v>
      </c>
      <c r="AI287" s="13">
        <f t="shared" si="87"/>
        <v>214.45562115464841</v>
      </c>
      <c r="AJ287" s="1">
        <v>0.78210000000000002</v>
      </c>
      <c r="AK287" s="214">
        <f t="shared" si="82"/>
        <v>3.9810642787885697E-5</v>
      </c>
      <c r="AL287" s="214">
        <f t="shared" si="83"/>
        <v>5.3892842544856777E-6</v>
      </c>
      <c r="AM287" s="213">
        <f t="shared" si="88"/>
        <v>-4.4000008101833448</v>
      </c>
      <c r="AN287" s="213">
        <f t="shared" si="89"/>
        <v>-5.2684689092043309</v>
      </c>
      <c r="AP287" s="213">
        <v>8.0999999999999908</v>
      </c>
      <c r="AQ287" s="213">
        <f t="shared" si="79"/>
        <v>-3.3585360789697463</v>
      </c>
      <c r="AR287" s="213"/>
      <c r="AU287" s="213">
        <v>8.0999999999999908</v>
      </c>
      <c r="AV287" s="213">
        <f t="shared" si="80"/>
        <v>-3.8870536077612612</v>
      </c>
    </row>
    <row r="288" spans="3:48" x14ac:dyDescent="0.25">
      <c r="F288" s="221"/>
      <c r="G288" s="40" t="s">
        <v>41</v>
      </c>
      <c r="H288" s="40" t="s">
        <v>81</v>
      </c>
      <c r="I288" s="40">
        <f t="shared" si="76"/>
        <v>298.14999999999998</v>
      </c>
      <c r="J288" s="61">
        <v>0.08</v>
      </c>
      <c r="K288" s="42">
        <v>7</v>
      </c>
      <c r="L288" s="41">
        <v>0.12620000000000001</v>
      </c>
      <c r="M288" s="42">
        <v>0.14199999999999999</v>
      </c>
      <c r="N288" s="40">
        <v>1.85</v>
      </c>
      <c r="O288" s="40">
        <v>82.5</v>
      </c>
      <c r="P288" s="41">
        <v>0.27300000000000002</v>
      </c>
      <c r="Q288" s="41">
        <v>5.3229999999999997E-6</v>
      </c>
      <c r="R288" s="19">
        <f t="shared" si="77"/>
        <v>7.0690571049136775E-7</v>
      </c>
      <c r="T288" s="213" t="str">
        <f>G284</f>
        <v>data7</v>
      </c>
      <c r="U288" t="str">
        <f>H284</f>
        <v>Phos</v>
      </c>
      <c r="V288" s="215">
        <f>K284</f>
        <v>6.71</v>
      </c>
      <c r="W288" s="213">
        <f>O284</f>
        <v>82.5</v>
      </c>
      <c r="X288" s="214">
        <f>P284</f>
        <v>0.17533000000000001</v>
      </c>
      <c r="Y288" s="216">
        <v>4.3789999999999999E-6</v>
      </c>
      <c r="Z288" s="216">
        <v>-3.5039999999999998E-6</v>
      </c>
      <c r="AA288" s="216">
        <v>1.226E-5</v>
      </c>
      <c r="AB288" s="238">
        <f t="shared" si="84"/>
        <v>4.0214285714285713E-6</v>
      </c>
      <c r="AC288" s="216">
        <f t="shared" si="85"/>
        <v>2.0107142857142856E-6</v>
      </c>
      <c r="AD288" s="127">
        <f t="shared" si="81"/>
        <v>91.834404462858444</v>
      </c>
      <c r="AE288" s="215">
        <v>2.593</v>
      </c>
      <c r="AF288" s="13">
        <v>-8.9890000000000008</v>
      </c>
      <c r="AG288" s="13">
        <v>14.18</v>
      </c>
      <c r="AH288" s="13">
        <f t="shared" si="86"/>
        <v>5.9104591836734697</v>
      </c>
      <c r="AI288" s="13">
        <f t="shared" si="87"/>
        <v>227.9390352361539</v>
      </c>
      <c r="AJ288" s="1">
        <v>0.41760000000000003</v>
      </c>
      <c r="AK288" s="214">
        <f t="shared" si="82"/>
        <v>2.4975759995437172E-5</v>
      </c>
      <c r="AL288" s="214">
        <f t="shared" si="83"/>
        <v>9.6319938277814023E-6</v>
      </c>
      <c r="AM288" s="213">
        <f t="shared" si="88"/>
        <v>-4.6024812876143804</v>
      </c>
      <c r="AN288" s="213">
        <f t="shared" si="89"/>
        <v>-5.0162838043837317</v>
      </c>
      <c r="AP288" s="213">
        <v>8.1999999999999904</v>
      </c>
      <c r="AQ288" s="213">
        <f t="shared" si="79"/>
        <v>-3.2966900133625598</v>
      </c>
      <c r="AR288" s="213"/>
      <c r="AU288" s="213">
        <v>8.1999999999999904</v>
      </c>
      <c r="AV288" s="213">
        <f t="shared" si="80"/>
        <v>-3.8568910157745759</v>
      </c>
    </row>
    <row r="289" spans="1:48" x14ac:dyDescent="0.25">
      <c r="F289" s="221"/>
      <c r="G289" s="14" t="s">
        <v>41</v>
      </c>
      <c r="H289" s="14" t="s">
        <v>81</v>
      </c>
      <c r="I289" s="14">
        <f t="shared" si="76"/>
        <v>298.14999999999998</v>
      </c>
      <c r="J289" s="38">
        <v>7.0000000000000007E-2</v>
      </c>
      <c r="K289" s="36">
        <v>7</v>
      </c>
      <c r="L289" s="21">
        <v>0.1104</v>
      </c>
      <c r="M289" s="36">
        <v>0.124</v>
      </c>
      <c r="N289" s="14">
        <v>3.7</v>
      </c>
      <c r="O289" s="14">
        <v>82.5</v>
      </c>
      <c r="P289" s="21">
        <v>0.27300000000000002</v>
      </c>
      <c r="Q289" s="21">
        <v>8.5920000000000001E-6</v>
      </c>
      <c r="R289" s="19">
        <f t="shared" si="77"/>
        <v>1.1410358565737052E-6</v>
      </c>
      <c r="T289" s="213" t="str">
        <f>G288</f>
        <v>data14</v>
      </c>
      <c r="U289" t="str">
        <f>H288</f>
        <v>Phos</v>
      </c>
      <c r="V289" s="215">
        <f>K288</f>
        <v>7</v>
      </c>
      <c r="W289" s="213">
        <f>O288</f>
        <v>82.5</v>
      </c>
      <c r="X289" s="214">
        <f>P288</f>
        <v>0.27300000000000002</v>
      </c>
      <c r="Y289" s="216">
        <v>1.577E-5</v>
      </c>
      <c r="Z289" s="216">
        <v>8.0269999999999995E-6</v>
      </c>
      <c r="AA289" s="216">
        <v>2.3499999999999999E-5</v>
      </c>
      <c r="AB289" s="238">
        <f t="shared" si="84"/>
        <v>3.9471938775510201E-6</v>
      </c>
      <c r="AC289" s="216">
        <f t="shared" si="85"/>
        <v>1.9735969387755101E-6</v>
      </c>
      <c r="AD289" s="127">
        <f t="shared" si="81"/>
        <v>25.029764600830816</v>
      </c>
      <c r="AE289" s="215">
        <v>3.464</v>
      </c>
      <c r="AF289" s="13">
        <v>-0.5857</v>
      </c>
      <c r="AG289" s="13">
        <v>7.5129999999999999</v>
      </c>
      <c r="AH289" s="13">
        <f t="shared" si="86"/>
        <v>2.0659948979591833</v>
      </c>
      <c r="AI289" s="13">
        <f t="shared" si="87"/>
        <v>59.641885045011065</v>
      </c>
      <c r="AJ289" s="200">
        <v>0.9577</v>
      </c>
      <c r="AK289" s="214">
        <f t="shared" si="82"/>
        <v>5.7765567765567762E-5</v>
      </c>
      <c r="AL289" s="214">
        <f t="shared" si="83"/>
        <v>1.6675972218697389E-5</v>
      </c>
      <c r="AM289" s="213">
        <f t="shared" si="88"/>
        <v>-4.238330953711853</v>
      </c>
      <c r="AN289" s="213">
        <f t="shared" si="89"/>
        <v>-4.7779088370571623</v>
      </c>
      <c r="AP289" s="213">
        <v>8.2999999999999901</v>
      </c>
      <c r="AQ289" s="213">
        <f t="shared" si="79"/>
        <v>-3.2403983783623631</v>
      </c>
      <c r="AR289" s="213"/>
      <c r="AU289" s="213">
        <v>8.2999999999999901</v>
      </c>
      <c r="AV289" s="213">
        <f t="shared" si="80"/>
        <v>-3.831343518017341</v>
      </c>
    </row>
    <row r="290" spans="1:48" x14ac:dyDescent="0.25">
      <c r="F290" s="221"/>
      <c r="G290" s="14" t="s">
        <v>41</v>
      </c>
      <c r="H290" s="14" t="s">
        <v>81</v>
      </c>
      <c r="I290" s="14">
        <f t="shared" si="76"/>
        <v>298.14999999999998</v>
      </c>
      <c r="J290" s="38">
        <v>0.06</v>
      </c>
      <c r="K290" s="36">
        <v>7</v>
      </c>
      <c r="L290" s="21">
        <v>9.4630000000000006E-2</v>
      </c>
      <c r="M290" s="36">
        <v>0.106</v>
      </c>
      <c r="N290" s="14">
        <v>5.55</v>
      </c>
      <c r="O290" s="14">
        <v>82.5</v>
      </c>
      <c r="P290" s="21">
        <v>0.27300000000000002</v>
      </c>
      <c r="Q290" s="21">
        <v>9.2520000000000005E-6</v>
      </c>
      <c r="R290" s="19">
        <f t="shared" si="77"/>
        <v>1.2286852589641434E-6</v>
      </c>
      <c r="T290" s="213" t="str">
        <f>G292</f>
        <v>data20</v>
      </c>
      <c r="U290" t="str">
        <f>H292</f>
        <v>Phos</v>
      </c>
      <c r="V290" s="215">
        <f>K292</f>
        <v>7.5</v>
      </c>
      <c r="W290" s="213">
        <f>O292</f>
        <v>82.5</v>
      </c>
      <c r="X290" s="214">
        <f>P292</f>
        <v>0.24068300000000001</v>
      </c>
      <c r="Y290" s="216">
        <v>3.6990000000000003E-5</v>
      </c>
      <c r="Z290" s="216">
        <v>1.8240000000000002E-5</v>
      </c>
      <c r="AA290" s="216">
        <v>5.5739999999999998E-5</v>
      </c>
      <c r="AB290" s="238">
        <f t="shared" si="84"/>
        <v>9.5663265306122444E-6</v>
      </c>
      <c r="AC290" s="216">
        <f t="shared" si="85"/>
        <v>4.7831632653061222E-6</v>
      </c>
      <c r="AD290" s="127">
        <f t="shared" si="81"/>
        <v>25.861926279027426</v>
      </c>
      <c r="AE290" s="215">
        <v>2.6760000000000002</v>
      </c>
      <c r="AF290" s="13">
        <v>-1.0009999999999999</v>
      </c>
      <c r="AG290" s="13">
        <v>6.3529999999999998</v>
      </c>
      <c r="AH290" s="13">
        <f t="shared" si="86"/>
        <v>1.8760204081632652</v>
      </c>
      <c r="AI290" s="13">
        <f t="shared" si="87"/>
        <v>70.105396418657136</v>
      </c>
      <c r="AJ290" s="1">
        <v>0.92200000000000004</v>
      </c>
      <c r="AK290" s="214">
        <f t="shared" si="82"/>
        <v>1.5368763061786666E-4</v>
      </c>
      <c r="AL290" s="214">
        <f t="shared" si="83"/>
        <v>5.743185000667663E-5</v>
      </c>
      <c r="AM290" s="213">
        <f t="shared" si="88"/>
        <v>-3.8133610848137045</v>
      </c>
      <c r="AN290" s="213">
        <f t="shared" si="89"/>
        <v>-4.2408471939094898</v>
      </c>
      <c r="AP290" s="213">
        <v>8.3999999999999897</v>
      </c>
      <c r="AQ290" s="213">
        <f t="shared" si="79"/>
        <v>-3.189823392404608</v>
      </c>
      <c r="AR290" s="213"/>
      <c r="AU290" s="213">
        <v>8.3999999999999897</v>
      </c>
      <c r="AV290" s="213">
        <f t="shared" si="80"/>
        <v>-3.809921938016144</v>
      </c>
    </row>
    <row r="291" spans="1:48" ht="15.75" thickBot="1" x14ac:dyDescent="0.3">
      <c r="F291" s="221"/>
      <c r="G291" s="55" t="s">
        <v>41</v>
      </c>
      <c r="H291" s="55" t="s">
        <v>81</v>
      </c>
      <c r="I291" s="55">
        <f t="shared" si="76"/>
        <v>298.14999999999998</v>
      </c>
      <c r="J291" s="65">
        <v>0.05</v>
      </c>
      <c r="K291" s="57">
        <v>7</v>
      </c>
      <c r="L291" s="56">
        <v>7.8799999999999995E-2</v>
      </c>
      <c r="M291" s="57">
        <v>8.8999999999999996E-2</v>
      </c>
      <c r="N291" s="55">
        <v>7.4</v>
      </c>
      <c r="O291" s="55">
        <v>82.5</v>
      </c>
      <c r="P291" s="56">
        <v>0.27300000000000002</v>
      </c>
      <c r="Q291" s="56">
        <v>1.0910000000000001E-5</v>
      </c>
      <c r="R291" s="19">
        <f t="shared" si="77"/>
        <v>1.448871181938911E-6</v>
      </c>
      <c r="T291" s="213" t="str">
        <f>G296</f>
        <v>data8</v>
      </c>
      <c r="U291" t="str">
        <f>H296</f>
        <v>Phos</v>
      </c>
      <c r="V291" s="215">
        <f>K296</f>
        <v>8.01</v>
      </c>
      <c r="W291" s="213">
        <f>O296</f>
        <v>82.5</v>
      </c>
      <c r="X291" s="214">
        <f>P296</f>
        <v>0.17533000000000001</v>
      </c>
      <c r="Y291" s="216">
        <v>8.3289999999999997E-5</v>
      </c>
      <c r="Z291" s="216">
        <v>6.2399999999999999E-5</v>
      </c>
      <c r="AA291" s="216">
        <v>1.042E-4</v>
      </c>
      <c r="AB291" s="238">
        <f t="shared" si="84"/>
        <v>1.066326530612245E-5</v>
      </c>
      <c r="AC291" s="216">
        <f t="shared" si="85"/>
        <v>5.3316326530612249E-6</v>
      </c>
      <c r="AD291" s="127">
        <f t="shared" si="81"/>
        <v>12.80257570671443</v>
      </c>
      <c r="AE291" s="215">
        <v>1.51</v>
      </c>
      <c r="AF291" s="13">
        <v>0.21829999999999999</v>
      </c>
      <c r="AG291" s="13">
        <v>2.8010000000000002</v>
      </c>
      <c r="AH291" s="13">
        <f t="shared" si="86"/>
        <v>0.65885204081632653</v>
      </c>
      <c r="AI291" s="13">
        <f t="shared" si="87"/>
        <v>43.632585484524938</v>
      </c>
      <c r="AJ291" s="200">
        <v>0.95950000000000002</v>
      </c>
      <c r="AK291" s="214">
        <f t="shared" si="82"/>
        <v>4.7504705412650426E-4</v>
      </c>
      <c r="AL291" s="214">
        <f t="shared" si="83"/>
        <v>3.1460069809702263E-4</v>
      </c>
      <c r="AM291" s="213">
        <f t="shared" si="88"/>
        <v>-3.3232633707216972</v>
      </c>
      <c r="AN291" s="213">
        <f t="shared" si="89"/>
        <v>-3.5022403180148669</v>
      </c>
      <c r="AP291" s="213">
        <v>8.4999999999999893</v>
      </c>
      <c r="AQ291" s="213">
        <f t="shared" si="79"/>
        <v>-3.1449801131271702</v>
      </c>
      <c r="AR291" s="213"/>
      <c r="AU291" s="213">
        <v>8.4999999999999893</v>
      </c>
      <c r="AV291" s="213">
        <f t="shared" si="80"/>
        <v>-3.7921195985044549</v>
      </c>
    </row>
    <row r="292" spans="1:48" x14ac:dyDescent="0.25">
      <c r="F292" s="221"/>
      <c r="G292" s="40" t="s">
        <v>67</v>
      </c>
      <c r="H292" s="40" t="s">
        <v>81</v>
      </c>
      <c r="I292" s="40">
        <f t="shared" si="76"/>
        <v>298.14999999999998</v>
      </c>
      <c r="J292" s="61">
        <v>0.08</v>
      </c>
      <c r="K292" s="42">
        <v>7.5</v>
      </c>
      <c r="L292" s="41">
        <v>0.1449</v>
      </c>
      <c r="M292" s="42">
        <v>0.187</v>
      </c>
      <c r="N292" s="40">
        <v>1.85</v>
      </c>
      <c r="O292" s="40">
        <v>82.5</v>
      </c>
      <c r="P292" s="41">
        <f>0.240683</f>
        <v>0.24068300000000001</v>
      </c>
      <c r="Q292" s="41">
        <v>1.5670000000000001E-5</v>
      </c>
      <c r="R292" s="19">
        <f t="shared" si="77"/>
        <v>2.0810092961487385E-6</v>
      </c>
      <c r="T292" s="213" t="str">
        <f>G300</f>
        <v>data21</v>
      </c>
      <c r="U292" t="str">
        <f>H300</f>
        <v>Phos</v>
      </c>
      <c r="V292" s="215">
        <f>K300</f>
        <v>8.5</v>
      </c>
      <c r="W292" s="213">
        <f>O300</f>
        <v>82.5</v>
      </c>
      <c r="X292" s="214">
        <f>P300</f>
        <v>0.24068300000000001</v>
      </c>
      <c r="Y292" s="216">
        <v>2.43E-4</v>
      </c>
      <c r="Z292" s="216">
        <v>2.3120000000000001E-4</v>
      </c>
      <c r="AA292" s="216">
        <v>2.5480000000000001E-4</v>
      </c>
      <c r="AB292" s="238">
        <f t="shared" si="84"/>
        <v>6.0204081632653077E-6</v>
      </c>
      <c r="AC292" s="216">
        <f t="shared" si="85"/>
        <v>3.0102040816326539E-6</v>
      </c>
      <c r="AD292" s="127">
        <f t="shared" si="81"/>
        <v>2.4775342235659701</v>
      </c>
      <c r="AE292" s="215">
        <v>0.48970000000000002</v>
      </c>
      <c r="AF292" s="13">
        <v>0.31929999999999997</v>
      </c>
      <c r="AG292" s="13">
        <v>0.66020000000000001</v>
      </c>
      <c r="AH292" s="13">
        <f>(AG292-AF292)/3.92</f>
        <v>8.696428571428573E-2</v>
      </c>
      <c r="AI292" s="13">
        <f>(AH292/AE292)*100</f>
        <v>17.758686076023224</v>
      </c>
      <c r="AJ292" s="1">
        <v>0.999</v>
      </c>
      <c r="AK292" s="214">
        <f t="shared" si="82"/>
        <v>1.0096267704823357E-3</v>
      </c>
      <c r="AL292" s="214">
        <f t="shared" si="83"/>
        <v>2.0617250775624577E-3</v>
      </c>
      <c r="AM292" s="213">
        <f t="shared" si="88"/>
        <v>-2.9958391425307864</v>
      </c>
      <c r="AN292" s="213">
        <f t="shared" si="89"/>
        <v>-2.6857692465490048</v>
      </c>
      <c r="AP292" s="213">
        <v>8.5999999999999908</v>
      </c>
      <c r="AQ292" s="213">
        <f t="shared" si="79"/>
        <v>-3.1057348930242896</v>
      </c>
      <c r="AR292" s="213"/>
      <c r="AU292" s="213">
        <v>8.5999999999999908</v>
      </c>
      <c r="AV292" s="213">
        <f t="shared" si="80"/>
        <v>-3.7774395323693057</v>
      </c>
    </row>
    <row r="293" spans="1:48" x14ac:dyDescent="0.25">
      <c r="F293" s="221"/>
      <c r="G293" s="14" t="s">
        <v>67</v>
      </c>
      <c r="H293" s="14" t="s">
        <v>81</v>
      </c>
      <c r="I293" s="14">
        <f t="shared" si="76"/>
        <v>298.14999999999998</v>
      </c>
      <c r="J293" s="38">
        <v>7.0000000000000007E-2</v>
      </c>
      <c r="K293" s="36">
        <v>7.5</v>
      </c>
      <c r="L293" s="21">
        <v>0.1268</v>
      </c>
      <c r="M293" s="36">
        <v>0.16300000000000001</v>
      </c>
      <c r="N293" s="14">
        <v>3.7</v>
      </c>
      <c r="O293" s="14">
        <v>82.5</v>
      </c>
      <c r="P293" s="21">
        <f>0.240683</f>
        <v>0.24068300000000001</v>
      </c>
      <c r="Q293" s="21">
        <v>2.1310000000000001E-5</v>
      </c>
      <c r="R293" s="19">
        <f t="shared" si="77"/>
        <v>2.8300132802124836E-6</v>
      </c>
      <c r="T293" s="213" t="str">
        <f>G304</f>
        <v>data12</v>
      </c>
      <c r="U293" t="str">
        <f>H304</f>
        <v>Phos</v>
      </c>
      <c r="V293" s="215">
        <f>K304</f>
        <v>8.9499999999999993</v>
      </c>
      <c r="W293" s="213">
        <f>O304</f>
        <v>82.5</v>
      </c>
      <c r="X293" s="214">
        <f>P304</f>
        <v>0.27300000000000002</v>
      </c>
      <c r="Y293" s="216">
        <v>3.0160000000000001E-4</v>
      </c>
      <c r="Z293" s="216">
        <v>-9.7979999999999994E-5</v>
      </c>
      <c r="AA293" s="216">
        <v>7.0120000000000002E-4</v>
      </c>
      <c r="AB293" s="238">
        <f t="shared" si="84"/>
        <v>2.0387244897959186E-4</v>
      </c>
      <c r="AC293" s="216">
        <f t="shared" si="85"/>
        <v>1.0193622448979593E-4</v>
      </c>
      <c r="AD293" s="127">
        <f t="shared" si="81"/>
        <v>67.596965842039737</v>
      </c>
      <c r="AE293" s="215">
        <v>1.375</v>
      </c>
      <c r="AF293" s="13">
        <v>-7.37</v>
      </c>
      <c r="AG293" s="13">
        <v>10.119999999999999</v>
      </c>
      <c r="AH293" s="13">
        <f t="shared" si="86"/>
        <v>4.4617346938775508</v>
      </c>
      <c r="AI293" s="13">
        <f t="shared" si="87"/>
        <v>324.48979591836735</v>
      </c>
      <c r="AJ293" s="1">
        <v>0.73280000000000001</v>
      </c>
      <c r="AK293" s="214">
        <f t="shared" si="82"/>
        <v>1.1047619047619048E-3</v>
      </c>
      <c r="AL293" s="214">
        <f t="shared" si="83"/>
        <v>8.0346320346320345E-4</v>
      </c>
      <c r="AM293" s="213">
        <f t="shared" si="88"/>
        <v>-2.9567313098430197</v>
      </c>
      <c r="AN293" s="213">
        <f t="shared" si="89"/>
        <v>-3.0950340080093008</v>
      </c>
      <c r="AP293" s="213">
        <v>8.6999999999999904</v>
      </c>
      <c r="AQ293" s="213">
        <f t="shared" si="79"/>
        <v>-3.0718188804502349</v>
      </c>
      <c r="AR293" s="213"/>
      <c r="AU293" s="213">
        <v>8.6999999999999904</v>
      </c>
      <c r="AV293" s="213">
        <f t="shared" si="80"/>
        <v>-3.7654144688451616</v>
      </c>
    </row>
    <row r="294" spans="1:48" x14ac:dyDescent="0.25">
      <c r="F294" s="221"/>
      <c r="G294" s="14" t="s">
        <v>67</v>
      </c>
      <c r="H294" s="14" t="s">
        <v>81</v>
      </c>
      <c r="I294" s="14">
        <f t="shared" si="76"/>
        <v>298.14999999999998</v>
      </c>
      <c r="J294" s="38">
        <v>0.06</v>
      </c>
      <c r="K294" s="36">
        <v>7.5</v>
      </c>
      <c r="L294" s="21">
        <v>0.1087</v>
      </c>
      <c r="M294" s="36">
        <v>0.14000000000000001</v>
      </c>
      <c r="N294" s="14">
        <v>5.55</v>
      </c>
      <c r="O294" s="14">
        <v>82.5</v>
      </c>
      <c r="P294" s="21">
        <f>0.240683</f>
        <v>0.24068300000000001</v>
      </c>
      <c r="Q294" s="21">
        <v>2.3370000000000002E-5</v>
      </c>
      <c r="R294" s="19">
        <f t="shared" si="77"/>
        <v>3.1035856573705182E-6</v>
      </c>
      <c r="T294" s="213"/>
      <c r="U294" t="s">
        <v>1068</v>
      </c>
      <c r="W294" s="213"/>
      <c r="X294" s="213"/>
      <c r="AP294" s="213">
        <v>8.7999999999999901</v>
      </c>
      <c r="AQ294" s="213">
        <f t="shared" si="79"/>
        <v>-3.0428537682208989</v>
      </c>
      <c r="AR294" s="213"/>
      <c r="AU294" s="213">
        <v>8.7999999999999901</v>
      </c>
      <c r="AV294" s="213">
        <f t="shared" si="80"/>
        <v>-3.7556195226959455</v>
      </c>
    </row>
    <row r="295" spans="1:48" ht="15.75" thickBot="1" x14ac:dyDescent="0.3">
      <c r="F295" s="221"/>
      <c r="G295" s="55" t="s">
        <v>67</v>
      </c>
      <c r="H295" s="55" t="s">
        <v>81</v>
      </c>
      <c r="I295" s="55">
        <f t="shared" si="76"/>
        <v>298.14999999999998</v>
      </c>
      <c r="J295" s="65">
        <v>0.05</v>
      </c>
      <c r="K295" s="57">
        <v>7.5</v>
      </c>
      <c r="L295" s="56">
        <v>9.0590000000000004E-2</v>
      </c>
      <c r="M295" s="57">
        <v>0.11700000000000001</v>
      </c>
      <c r="N295" s="55">
        <v>7.4</v>
      </c>
      <c r="O295" s="55">
        <v>82.5</v>
      </c>
      <c r="P295" s="56">
        <f>0.240683</f>
        <v>0.24068300000000001</v>
      </c>
      <c r="Q295" s="56">
        <v>2.8399999999999999E-5</v>
      </c>
      <c r="R295" s="19">
        <f t="shared" si="77"/>
        <v>3.7715803452855244E-6</v>
      </c>
      <c r="T295" s="213"/>
      <c r="U295" t="s">
        <v>1067</v>
      </c>
      <c r="W295" s="213"/>
      <c r="X295" s="213"/>
      <c r="AP295" s="213">
        <v>8.8999999999999897</v>
      </c>
      <c r="AQ295" s="213">
        <f t="shared" si="79"/>
        <v>-3.018384820459556</v>
      </c>
      <c r="AR295" s="213"/>
      <c r="AU295" s="213">
        <v>8.8999999999999897</v>
      </c>
      <c r="AV295" s="213">
        <f t="shared" si="80"/>
        <v>-3.7476785598900721</v>
      </c>
    </row>
    <row r="296" spans="1:48" x14ac:dyDescent="0.25">
      <c r="F296" s="221"/>
      <c r="G296" s="40" t="s">
        <v>62</v>
      </c>
      <c r="H296" s="40" t="s">
        <v>81</v>
      </c>
      <c r="I296" s="40">
        <f t="shared" si="76"/>
        <v>298.14999999999998</v>
      </c>
      <c r="J296" s="61">
        <v>0.08</v>
      </c>
      <c r="K296" s="42">
        <v>8.01</v>
      </c>
      <c r="L296" s="41">
        <v>0.1547</v>
      </c>
      <c r="M296" s="42">
        <v>0.219</v>
      </c>
      <c r="N296" s="42">
        <v>1.5850039810000001</v>
      </c>
      <c r="O296" s="40">
        <v>82.5</v>
      </c>
      <c r="P296" s="41">
        <f>0.17533</f>
        <v>0.17533000000000001</v>
      </c>
      <c r="Q296" s="41">
        <v>4.2240000000000002E-5</v>
      </c>
      <c r="R296" s="19">
        <f t="shared" si="77"/>
        <v>5.6095617529880476E-6</v>
      </c>
      <c r="T296" s="213"/>
      <c r="W296" s="213"/>
      <c r="X296" s="213"/>
      <c r="AA296" s="1"/>
      <c r="AP296" s="213">
        <v>8.9999999999999893</v>
      </c>
      <c r="AQ296" s="213">
        <f t="shared" si="79"/>
        <v>-2.9979155846486698</v>
      </c>
      <c r="AR296" s="213"/>
      <c r="AU296" s="213">
        <v>8.9999999999999893</v>
      </c>
      <c r="AV296" s="213">
        <f t="shared" si="80"/>
        <v>-3.7412656936607274</v>
      </c>
    </row>
    <row r="297" spans="1:48" x14ac:dyDescent="0.25">
      <c r="F297" s="221"/>
      <c r="G297" s="14" t="s">
        <v>62</v>
      </c>
      <c r="H297" s="14" t="s">
        <v>81</v>
      </c>
      <c r="I297" s="14">
        <f t="shared" si="76"/>
        <v>298.14999999999998</v>
      </c>
      <c r="J297" s="38">
        <v>7.0000000000000007E-2</v>
      </c>
      <c r="K297" s="36">
        <v>8.01</v>
      </c>
      <c r="L297" s="21">
        <v>0.13500000000000001</v>
      </c>
      <c r="M297" s="36">
        <v>0.191</v>
      </c>
      <c r="N297" s="36">
        <v>3.170007961</v>
      </c>
      <c r="O297" s="14">
        <v>82.5</v>
      </c>
      <c r="P297" s="21">
        <f>0.17533</f>
        <v>0.17533000000000001</v>
      </c>
      <c r="Q297" s="21">
        <v>5.6280000000000003E-5</v>
      </c>
      <c r="R297" s="19">
        <f t="shared" si="77"/>
        <v>7.4741035856573703E-6</v>
      </c>
      <c r="T297" s="213"/>
      <c r="W297" s="213"/>
      <c r="X297" s="213"/>
      <c r="Y297" s="1"/>
      <c r="AA297" s="1"/>
      <c r="AP297" s="213">
        <v>9.0999999999999908</v>
      </c>
      <c r="AQ297" s="213">
        <f t="shared" si="79"/>
        <v>-2.9809395276552237</v>
      </c>
      <c r="AR297" s="213"/>
      <c r="AU297" s="213">
        <v>9.0999999999999908</v>
      </c>
      <c r="AV297" s="213">
        <f t="shared" si="80"/>
        <v>-3.7361034186127284</v>
      </c>
    </row>
    <row r="298" spans="1:48" x14ac:dyDescent="0.25">
      <c r="F298" s="221"/>
      <c r="G298" s="14" t="s">
        <v>62</v>
      </c>
      <c r="H298" s="14" t="s">
        <v>81</v>
      </c>
      <c r="I298" s="14">
        <f t="shared" si="76"/>
        <v>298.14999999999998</v>
      </c>
      <c r="J298" s="38">
        <v>0.06</v>
      </c>
      <c r="K298" s="36">
        <v>8.01</v>
      </c>
      <c r="L298" s="21">
        <v>0.11600000000000001</v>
      </c>
      <c r="M298" s="36">
        <v>0.16400000000000001</v>
      </c>
      <c r="N298" s="36">
        <v>4.7550119420000003</v>
      </c>
      <c r="O298" s="14">
        <v>82.5</v>
      </c>
      <c r="P298" s="21">
        <f>0.17533</f>
        <v>0.17533000000000001</v>
      </c>
      <c r="Q298" s="21">
        <v>6.5679999999999995E-5</v>
      </c>
      <c r="R298" s="19">
        <f t="shared" si="77"/>
        <v>8.7224435590969453E-6</v>
      </c>
      <c r="T298" s="213"/>
      <c r="W298" s="213"/>
      <c r="X298" s="213"/>
      <c r="Y298" s="1"/>
      <c r="AA298" s="1"/>
      <c r="AC298" s="213"/>
      <c r="AD298" s="216"/>
      <c r="AP298" s="213">
        <v>9.1999999999999904</v>
      </c>
      <c r="AQ298" s="213">
        <f t="shared" ref="AQ298:AQ329" si="91">LOG10($AQ$262/(1+10^($AQ$263-AP298)))</f>
        <v>-2.966965526731522</v>
      </c>
      <c r="AR298" s="213"/>
      <c r="AU298" s="213">
        <v>9.1999999999999904</v>
      </c>
      <c r="AV298" s="213">
        <f t="shared" si="80"/>
        <v>-3.7319586952606247</v>
      </c>
    </row>
    <row r="299" spans="1:48" ht="15.75" thickBot="1" x14ac:dyDescent="0.3">
      <c r="F299" s="221"/>
      <c r="G299" s="55" t="s">
        <v>62</v>
      </c>
      <c r="H299" s="55" t="s">
        <v>81</v>
      </c>
      <c r="I299" s="55">
        <f t="shared" si="76"/>
        <v>298.14999999999998</v>
      </c>
      <c r="J299" s="65">
        <v>0.05</v>
      </c>
      <c r="K299" s="57">
        <v>8.01</v>
      </c>
      <c r="L299" s="56">
        <v>3.6659999999999998E-2</v>
      </c>
      <c r="M299" s="57">
        <v>0.13700000000000001</v>
      </c>
      <c r="N299" s="57">
        <v>6.3400159220000001</v>
      </c>
      <c r="O299" s="55">
        <v>82.5</v>
      </c>
      <c r="P299" s="56">
        <f>0.17533</f>
        <v>0.17533000000000001</v>
      </c>
      <c r="Q299" s="56">
        <v>6.5389999999999996E-5</v>
      </c>
      <c r="R299" s="19">
        <f t="shared" si="77"/>
        <v>8.6839309428950849E-6</v>
      </c>
      <c r="T299" s="213"/>
      <c r="W299" s="213"/>
      <c r="X299" s="213"/>
      <c r="Y299" s="1"/>
      <c r="AA299" s="1"/>
      <c r="AC299" s="213"/>
      <c r="AD299" s="216"/>
      <c r="AP299" s="213">
        <v>9.2999999999999901</v>
      </c>
      <c r="AQ299" s="213">
        <f t="shared" si="91"/>
        <v>-2.9555359870624396</v>
      </c>
      <c r="AR299" s="213"/>
      <c r="AU299" s="213">
        <v>9.2999999999999901</v>
      </c>
      <c r="AV299" s="213">
        <f t="shared" si="80"/>
        <v>-3.728638001341892</v>
      </c>
    </row>
    <row r="300" spans="1:48" x14ac:dyDescent="0.25">
      <c r="F300" s="221"/>
      <c r="G300" s="40" t="s">
        <v>68</v>
      </c>
      <c r="H300" s="40" t="s">
        <v>81</v>
      </c>
      <c r="I300" s="40">
        <f t="shared" si="76"/>
        <v>298.14999999999998</v>
      </c>
      <c r="J300" s="61">
        <v>0.08</v>
      </c>
      <c r="K300" s="42">
        <v>8.5</v>
      </c>
      <c r="L300" s="41">
        <v>0.15820000000000001</v>
      </c>
      <c r="M300" s="42">
        <v>0.23200000000000001</v>
      </c>
      <c r="N300" s="40">
        <v>1.85</v>
      </c>
      <c r="O300" s="40">
        <v>82.5</v>
      </c>
      <c r="P300" s="41">
        <f>0.240683</f>
        <v>0.24068300000000001</v>
      </c>
      <c r="Q300" s="41">
        <v>1.917E-4</v>
      </c>
      <c r="R300" s="19">
        <f t="shared" si="77"/>
        <v>2.5458167330677291E-5</v>
      </c>
      <c r="T300" s="213"/>
      <c r="W300" s="213"/>
      <c r="X300" s="213"/>
      <c r="Y300" s="1"/>
      <c r="AA300" s="1"/>
      <c r="AC300" s="213"/>
      <c r="AD300" s="216"/>
      <c r="AP300" s="213">
        <v>9.3999999999999897</v>
      </c>
      <c r="AQ300" s="213">
        <f t="shared" si="91"/>
        <v>-2.9462378311197734</v>
      </c>
      <c r="AR300" s="213"/>
      <c r="AU300" s="213">
        <v>9.3999999999999897</v>
      </c>
      <c r="AV300" s="213">
        <f t="shared" si="80"/>
        <v>-3.7259820657263636</v>
      </c>
    </row>
    <row r="301" spans="1:48" x14ac:dyDescent="0.25">
      <c r="A301" t="s">
        <v>76</v>
      </c>
      <c r="F301" s="221"/>
      <c r="G301" s="14" t="s">
        <v>68</v>
      </c>
      <c r="H301" s="14" t="s">
        <v>81</v>
      </c>
      <c r="I301" s="14">
        <f t="shared" si="76"/>
        <v>298.14999999999998</v>
      </c>
      <c r="J301" s="38">
        <v>7.0000000000000007E-2</v>
      </c>
      <c r="K301" s="36">
        <v>8.5</v>
      </c>
      <c r="L301" s="21">
        <v>0.1384</v>
      </c>
      <c r="M301" s="36">
        <v>0.20300000000000001</v>
      </c>
      <c r="N301" s="14">
        <v>3.7</v>
      </c>
      <c r="O301" s="14">
        <v>82.5</v>
      </c>
      <c r="P301" s="21">
        <f>0.240683</f>
        <v>0.24068300000000001</v>
      </c>
      <c r="Q301" s="21">
        <v>2.1460000000000001E-4</v>
      </c>
      <c r="R301" s="19">
        <f t="shared" si="77"/>
        <v>2.849933598937583E-5</v>
      </c>
      <c r="T301" s="213"/>
      <c r="W301" s="213"/>
      <c r="X301" s="213"/>
      <c r="Y301" s="1"/>
      <c r="AA301" s="1"/>
      <c r="AC301" s="213"/>
      <c r="AD301" s="216"/>
      <c r="AP301" s="213">
        <v>9.4999999999999893</v>
      </c>
      <c r="AQ301" s="213">
        <f t="shared" si="91"/>
        <v>-2.9387075026206513</v>
      </c>
      <c r="AR301" s="213"/>
      <c r="AU301" s="213">
        <v>9.4999999999999893</v>
      </c>
      <c r="AV301" s="213">
        <f t="shared" si="80"/>
        <v>-3.7238607446047598</v>
      </c>
    </row>
    <row r="302" spans="1:48" x14ac:dyDescent="0.25">
      <c r="A302" t="s">
        <v>76</v>
      </c>
      <c r="F302" s="221"/>
      <c r="G302" s="14" t="s">
        <v>68</v>
      </c>
      <c r="H302" s="14" t="s">
        <v>81</v>
      </c>
      <c r="I302" s="14">
        <f t="shared" si="76"/>
        <v>298.14999999999998</v>
      </c>
      <c r="J302" s="38">
        <v>0.06</v>
      </c>
      <c r="K302" s="36">
        <v>8.5</v>
      </c>
      <c r="L302" s="21">
        <v>0.1186</v>
      </c>
      <c r="M302" s="36">
        <v>0.17399999999999999</v>
      </c>
      <c r="N302" s="14">
        <v>5.55</v>
      </c>
      <c r="O302" s="14">
        <v>82.5</v>
      </c>
      <c r="P302" s="21">
        <f>0.240683</f>
        <v>0.24068300000000001</v>
      </c>
      <c r="Q302" s="21">
        <v>2.2340000000000001E-4</v>
      </c>
      <c r="R302" s="19">
        <f t="shared" si="77"/>
        <v>2.9667994687915008E-5</v>
      </c>
      <c r="T302" s="213"/>
      <c r="W302" s="213"/>
      <c r="X302" s="213"/>
      <c r="Y302" s="1"/>
      <c r="AA302" s="1"/>
      <c r="AC302" s="213"/>
      <c r="AD302" s="216"/>
      <c r="AH302" s="214"/>
      <c r="AI302" s="6"/>
      <c r="AP302" s="213">
        <v>9.5999999999999908</v>
      </c>
      <c r="AQ302" s="213">
        <f t="shared" si="91"/>
        <v>-2.9326314854380406</v>
      </c>
      <c r="AR302" s="213"/>
      <c r="AS302" s="11"/>
      <c r="AU302" s="213">
        <v>9.5999999999999908</v>
      </c>
      <c r="AV302" s="213">
        <f t="shared" si="80"/>
        <v>-3.7221683039310545</v>
      </c>
    </row>
    <row r="303" spans="1:48" ht="15.75" thickBot="1" x14ac:dyDescent="0.3">
      <c r="A303" t="s">
        <v>76</v>
      </c>
      <c r="F303" s="221"/>
      <c r="G303" s="67" t="s">
        <v>68</v>
      </c>
      <c r="H303" s="67" t="s">
        <v>81</v>
      </c>
      <c r="I303" s="67">
        <f t="shared" si="76"/>
        <v>298.14999999999998</v>
      </c>
      <c r="J303" s="65">
        <v>0.05</v>
      </c>
      <c r="K303" s="135">
        <v>8.5</v>
      </c>
      <c r="L303" s="68">
        <v>9.887E-2</v>
      </c>
      <c r="M303" s="135">
        <v>0.14499999999999999</v>
      </c>
      <c r="N303" s="67">
        <v>7.4</v>
      </c>
      <c r="O303" s="67">
        <v>82.5</v>
      </c>
      <c r="P303" s="68">
        <f>0.240683</f>
        <v>0.24068300000000001</v>
      </c>
      <c r="Q303" s="68">
        <v>2.106E-4</v>
      </c>
      <c r="R303" s="19">
        <f t="shared" si="77"/>
        <v>2.7968127490039841E-5</v>
      </c>
      <c r="T303" s="213"/>
      <c r="W303" s="213"/>
      <c r="X303" s="213"/>
      <c r="Y303" s="1"/>
      <c r="AA303" s="1"/>
      <c r="AC303" s="213"/>
      <c r="AD303" s="216"/>
      <c r="AH303" s="214"/>
      <c r="AI303" s="6"/>
      <c r="AP303" s="213">
        <v>9.6999999999999904</v>
      </c>
      <c r="AQ303" s="213">
        <f t="shared" si="91"/>
        <v>-2.927743813051257</v>
      </c>
      <c r="AR303" s="213"/>
      <c r="AS303" s="11"/>
      <c r="AU303" s="213">
        <v>9.6999999999999904</v>
      </c>
      <c r="AV303" s="213">
        <f t="shared" si="80"/>
        <v>-3.7208192344761959</v>
      </c>
    </row>
    <row r="304" spans="1:48" x14ac:dyDescent="0.25">
      <c r="A304" t="s">
        <v>76</v>
      </c>
      <c r="F304" s="221"/>
      <c r="G304" s="40" t="s">
        <v>69</v>
      </c>
      <c r="H304" s="40" t="s">
        <v>81</v>
      </c>
      <c r="I304" s="40">
        <f t="shared" si="76"/>
        <v>298.14999999999998</v>
      </c>
      <c r="J304" s="38">
        <v>7.0000000000000007E-2</v>
      </c>
      <c r="K304" s="42">
        <v>8.9499999999999993</v>
      </c>
      <c r="L304" s="41">
        <v>0.1394</v>
      </c>
      <c r="M304" s="42">
        <v>0.20799999999999999</v>
      </c>
      <c r="N304" s="40">
        <v>3.7</v>
      </c>
      <c r="O304" s="40">
        <v>82.5</v>
      </c>
      <c r="P304" s="41">
        <v>0.27300000000000002</v>
      </c>
      <c r="Q304" s="41">
        <v>2.231E-4</v>
      </c>
      <c r="R304" s="19">
        <f t="shared" si="77"/>
        <v>2.9628154050464806E-5</v>
      </c>
      <c r="T304" s="213"/>
      <c r="W304" s="213"/>
      <c r="X304" s="213"/>
      <c r="Y304" s="1"/>
      <c r="AA304" s="1"/>
      <c r="AC304" s="213"/>
      <c r="AD304" s="216"/>
      <c r="AH304" s="214"/>
      <c r="AI304" s="6"/>
      <c r="AP304" s="213">
        <v>9.7999999999999901</v>
      </c>
      <c r="AQ304" s="213">
        <f t="shared" si="91"/>
        <v>-2.9238218116799013</v>
      </c>
      <c r="AR304" s="213"/>
      <c r="AS304" s="11"/>
      <c r="AU304" s="213">
        <v>9.7999999999999901</v>
      </c>
      <c r="AV304" s="213">
        <f t="shared" si="80"/>
        <v>-3.7197446360330622</v>
      </c>
    </row>
    <row r="305" spans="1:48" x14ac:dyDescent="0.25">
      <c r="A305" t="s">
        <v>76</v>
      </c>
      <c r="F305" s="221"/>
      <c r="G305" s="14" t="s">
        <v>69</v>
      </c>
      <c r="H305" s="14" t="s">
        <v>81</v>
      </c>
      <c r="I305" s="14">
        <f t="shared" si="76"/>
        <v>298.14999999999998</v>
      </c>
      <c r="J305" s="38">
        <v>0.06</v>
      </c>
      <c r="K305" s="36">
        <v>8.9499999999999993</v>
      </c>
      <c r="L305" s="21">
        <v>0.1195</v>
      </c>
      <c r="M305" s="36">
        <v>0.17799999999999999</v>
      </c>
      <c r="N305" s="14">
        <v>5.55</v>
      </c>
      <c r="O305" s="14">
        <v>82.5</v>
      </c>
      <c r="P305" s="21">
        <v>0.27300000000000002</v>
      </c>
      <c r="Q305" s="21">
        <v>2.3440000000000001E-4</v>
      </c>
      <c r="R305" s="19">
        <f t="shared" si="77"/>
        <v>3.112881806108898E-5</v>
      </c>
      <c r="T305" s="213"/>
      <c r="W305" s="213"/>
      <c r="X305" s="213"/>
      <c r="Y305" s="1"/>
      <c r="AA305" s="1"/>
      <c r="AC305" s="213"/>
      <c r="AD305" s="216"/>
      <c r="AH305" s="214"/>
      <c r="AI305" s="6"/>
      <c r="AP305" s="213">
        <v>9.8999999999999897</v>
      </c>
      <c r="AQ305" s="213">
        <f t="shared" si="91"/>
        <v>-2.920681016114882</v>
      </c>
      <c r="AR305" s="213"/>
      <c r="AS305" s="11"/>
      <c r="AU305" s="213">
        <v>9.8999999999999897</v>
      </c>
      <c r="AV305" s="213">
        <f t="shared" si="80"/>
        <v>-3.7188891532211978</v>
      </c>
    </row>
    <row r="306" spans="1:48" ht="15.75" thickBot="1" x14ac:dyDescent="0.3">
      <c r="F306" s="221"/>
      <c r="G306" s="14" t="s">
        <v>69</v>
      </c>
      <c r="H306" s="14" t="s">
        <v>81</v>
      </c>
      <c r="I306" s="14">
        <f t="shared" si="76"/>
        <v>298.14999999999998</v>
      </c>
      <c r="J306" s="65">
        <v>0.05</v>
      </c>
      <c r="K306" s="36">
        <v>8.9499999999999993</v>
      </c>
      <c r="L306" s="21">
        <v>9.9589999999999998E-2</v>
      </c>
      <c r="M306" s="36">
        <v>0.14799999999999999</v>
      </c>
      <c r="N306" s="14">
        <v>7.4</v>
      </c>
      <c r="O306" s="14">
        <v>82.5</v>
      </c>
      <c r="P306" s="21">
        <v>0.27300000000000002</v>
      </c>
      <c r="Q306" s="21">
        <v>2.5849999999999999E-4</v>
      </c>
      <c r="R306" s="19">
        <f t="shared" si="77"/>
        <v>3.4329349269588311E-5</v>
      </c>
      <c r="T306" s="213"/>
      <c r="W306" s="213"/>
      <c r="X306" s="213"/>
      <c r="Y306" s="1"/>
      <c r="AA306" s="1"/>
      <c r="AD306" s="216"/>
      <c r="AH306" s="214"/>
      <c r="AI306" s="6"/>
      <c r="AP306" s="213">
        <v>9.9999999999999893</v>
      </c>
      <c r="AQ306" s="213">
        <f t="shared" si="91"/>
        <v>-2.9181699048061245</v>
      </c>
      <c r="AR306" s="213"/>
      <c r="AS306" s="11"/>
      <c r="AU306" s="213">
        <v>9.9999999999999893</v>
      </c>
      <c r="AV306" s="213">
        <f t="shared" si="80"/>
        <v>-3.7182084161153055</v>
      </c>
    </row>
    <row r="307" spans="1:48" x14ac:dyDescent="0.25">
      <c r="J307" s="13">
        <f>AVERAGE(J261:J306)</f>
        <v>6.5434782608695646E-2</v>
      </c>
      <c r="Y307" s="1"/>
      <c r="AA307" s="1"/>
      <c r="AD307" s="216"/>
      <c r="AH307" s="214"/>
      <c r="AI307" s="6"/>
      <c r="AP307" s="213">
        <v>10.1</v>
      </c>
      <c r="AQ307" s="213">
        <f t="shared" si="91"/>
        <v>-2.9161648591711837</v>
      </c>
      <c r="AS307" s="11"/>
      <c r="AU307" s="213">
        <v>10.1</v>
      </c>
      <c r="AV307" s="213">
        <f t="shared" si="80"/>
        <v>-3.7176669259741337</v>
      </c>
    </row>
    <row r="308" spans="1:48" x14ac:dyDescent="0.25">
      <c r="Y308" s="1"/>
      <c r="AA308" s="1"/>
      <c r="AD308" s="216"/>
      <c r="AH308" s="214"/>
      <c r="AI308" s="6"/>
      <c r="AP308" s="213">
        <v>10.199999999999999</v>
      </c>
      <c r="AQ308" s="213">
        <f t="shared" si="91"/>
        <v>-2.9145655715763965</v>
      </c>
      <c r="AS308" s="11"/>
      <c r="AU308" s="213">
        <v>10.199999999999999</v>
      </c>
      <c r="AV308" s="213">
        <f t="shared" si="80"/>
        <v>-3.7172363234110106</v>
      </c>
    </row>
    <row r="309" spans="1:48" x14ac:dyDescent="0.25">
      <c r="Y309" s="1"/>
      <c r="AA309" s="1"/>
      <c r="AD309" s="216"/>
      <c r="AH309" s="214"/>
      <c r="AI309" s="6"/>
      <c r="AP309" s="213">
        <v>10.3</v>
      </c>
      <c r="AQ309" s="213">
        <f t="shared" si="91"/>
        <v>-2.9132910018856903</v>
      </c>
      <c r="AS309" s="11"/>
      <c r="AU309" s="213">
        <v>10.3</v>
      </c>
      <c r="AV309" s="213">
        <f t="shared" si="80"/>
        <v>-3.7168939791194728</v>
      </c>
    </row>
    <row r="310" spans="1:48" x14ac:dyDescent="0.25">
      <c r="Y310" s="1"/>
      <c r="AA310" s="1"/>
      <c r="AD310" s="216"/>
      <c r="AH310" s="214"/>
      <c r="AI310" s="6"/>
      <c r="AP310" s="213">
        <v>10.4</v>
      </c>
      <c r="AQ310" s="213">
        <f t="shared" si="91"/>
        <v>-2.9122759027028406</v>
      </c>
      <c r="AS310" s="11"/>
      <c r="AU310" s="213">
        <v>10.4</v>
      </c>
      <c r="AV310" s="213">
        <f t="shared" si="80"/>
        <v>-3.7166218529365329</v>
      </c>
    </row>
    <row r="311" spans="1:48" x14ac:dyDescent="0.25">
      <c r="G311" s="66" t="s">
        <v>32</v>
      </c>
      <c r="H311" s="66" t="s">
        <v>80</v>
      </c>
      <c r="I311" s="66" t="s">
        <v>35</v>
      </c>
      <c r="J311" s="66" t="s">
        <v>82</v>
      </c>
      <c r="K311" s="66" t="s">
        <v>2</v>
      </c>
      <c r="L311" s="66" t="s">
        <v>89</v>
      </c>
      <c r="M311" s="66" t="s">
        <v>79</v>
      </c>
      <c r="N311" s="66" t="s">
        <v>94</v>
      </c>
      <c r="O311" s="66" t="s">
        <v>21</v>
      </c>
      <c r="P311" s="66" t="s">
        <v>1</v>
      </c>
      <c r="Q311" s="66" t="s">
        <v>34</v>
      </c>
      <c r="R311" s="66" t="s">
        <v>16</v>
      </c>
      <c r="S311" s="66" t="s">
        <v>17</v>
      </c>
      <c r="T311" s="66" t="s">
        <v>18</v>
      </c>
      <c r="U311" s="66" t="s">
        <v>11</v>
      </c>
      <c r="V311" s="66" t="s">
        <v>255</v>
      </c>
      <c r="W311" s="66" t="s">
        <v>102</v>
      </c>
      <c r="X311" s="66" t="s">
        <v>103</v>
      </c>
      <c r="Y311" s="1"/>
      <c r="AA311" s="1"/>
      <c r="AC311" s="213"/>
      <c r="AD311" s="216"/>
      <c r="AH311" s="214"/>
      <c r="AI311" s="6"/>
      <c r="AP311" s="213">
        <v>10.5</v>
      </c>
      <c r="AQ311" s="213">
        <f t="shared" si="91"/>
        <v>-2.9114678864953798</v>
      </c>
      <c r="AS311" s="11"/>
      <c r="AU311" s="213">
        <v>10.5</v>
      </c>
      <c r="AV311" s="213">
        <f t="shared" si="80"/>
        <v>-3.7164055738457384</v>
      </c>
    </row>
    <row r="312" spans="1:48" x14ac:dyDescent="0.25">
      <c r="F312" s="213" t="s">
        <v>1046</v>
      </c>
      <c r="G312" s="14" t="s">
        <v>113</v>
      </c>
      <c r="H312" s="14" t="s">
        <v>81</v>
      </c>
      <c r="I312" s="14">
        <f>25+273.15</f>
        <v>298.14999999999998</v>
      </c>
      <c r="J312" s="36">
        <v>0.19364000000000001</v>
      </c>
      <c r="K312" s="33">
        <v>6.93</v>
      </c>
      <c r="L312" s="21">
        <v>0.30649999999999999</v>
      </c>
      <c r="M312" s="21">
        <v>0.42299999999999999</v>
      </c>
      <c r="N312" s="19">
        <f>10^(-(1.824*10^6)/(78.54*I312)^(3/2))*SQRT(M312)</f>
        <v>0.20144130100546703</v>
      </c>
      <c r="O312" s="36">
        <v>9.4700000000000006</v>
      </c>
      <c r="P312" s="33">
        <v>195.88200000000001</v>
      </c>
      <c r="Q312" s="21">
        <v>32.012</v>
      </c>
      <c r="R312" s="21">
        <v>0.29709999999999998</v>
      </c>
      <c r="S312" s="21">
        <v>90300</v>
      </c>
      <c r="T312" s="19">
        <f>R312/S312</f>
        <v>3.2901439645625691E-6</v>
      </c>
      <c r="U312" s="21">
        <v>1.7090000000000001E-6</v>
      </c>
      <c r="V312" s="19">
        <f>U312/($C$3*Q312)</f>
        <v>7.0898048026146897E-9</v>
      </c>
      <c r="W312" s="19">
        <f>T312/(Q312*N312*P312*$C$3)</f>
        <v>3.459107586314798E-10</v>
      </c>
      <c r="X312" s="20">
        <f>W312*P312</f>
        <v>6.7757691222251527E-8</v>
      </c>
      <c r="Y312" s="1"/>
      <c r="AA312" s="1"/>
      <c r="AC312" s="213"/>
      <c r="AD312" s="216"/>
      <c r="AH312" s="214"/>
      <c r="AI312" s="6"/>
      <c r="AP312" s="213">
        <v>10.6</v>
      </c>
      <c r="AQ312" s="213">
        <f t="shared" si="91"/>
        <v>-2.9108249833437618</v>
      </c>
      <c r="AS312" s="11"/>
      <c r="AU312" s="213">
        <v>10.6</v>
      </c>
      <c r="AV312" s="213">
        <f t="shared" si="80"/>
        <v>-3.7162337004675776</v>
      </c>
    </row>
    <row r="313" spans="1:48" x14ac:dyDescent="0.25">
      <c r="F313" t="s">
        <v>1046</v>
      </c>
      <c r="G313" s="14" t="s">
        <v>113</v>
      </c>
      <c r="H313" s="14" t="s">
        <v>81</v>
      </c>
      <c r="I313" s="14">
        <f t="shared" ref="I313:I327" si="92">25+273.15</f>
        <v>298.14999999999998</v>
      </c>
      <c r="J313" s="36">
        <v>0.19364000000000001</v>
      </c>
      <c r="K313" s="33">
        <v>6.93</v>
      </c>
      <c r="L313" s="21">
        <v>0.30649999999999999</v>
      </c>
      <c r="M313" s="21">
        <v>0.42299999999999999</v>
      </c>
      <c r="N313" s="19">
        <f>10^(-(1.824*10^6)/(78.54*I313)^(3/2))*SQRT(M313)</f>
        <v>0.20144130100546703</v>
      </c>
      <c r="O313" s="36">
        <v>9.4700000000000006</v>
      </c>
      <c r="P313" s="33">
        <v>195.88200000000001</v>
      </c>
      <c r="Q313" s="21">
        <v>32.012</v>
      </c>
      <c r="R313" s="21">
        <v>0.32669999999999999</v>
      </c>
      <c r="S313" s="21">
        <v>90310</v>
      </c>
      <c r="T313" s="19">
        <f>R313/S313</f>
        <v>3.6175395858708892E-6</v>
      </c>
      <c r="U313" s="21">
        <v>1.756E-6</v>
      </c>
      <c r="V313" s="19">
        <f>U313/($C$3*Q313)</f>
        <v>7.284784805963368E-9</v>
      </c>
      <c r="W313" s="19">
        <f>T313/(Q313*N313*P313*$C$3)</f>
        <v>3.8033164384476328E-10</v>
      </c>
      <c r="X313" s="20">
        <f>W313*P313</f>
        <v>7.450012305959992E-8</v>
      </c>
      <c r="AA313" s="1"/>
      <c r="AC313" s="213"/>
      <c r="AD313" s="216"/>
      <c r="AH313" s="214"/>
      <c r="AI313" s="6"/>
      <c r="AP313" s="213">
        <v>10.7</v>
      </c>
      <c r="AQ313" s="213">
        <f t="shared" si="91"/>
        <v>-2.9103136281180531</v>
      </c>
      <c r="AS313" s="11"/>
      <c r="AU313" s="213">
        <v>10.7</v>
      </c>
      <c r="AV313" s="213">
        <f t="shared" si="80"/>
        <v>-3.7160971281003996</v>
      </c>
    </row>
    <row r="314" spans="1:48" x14ac:dyDescent="0.25">
      <c r="F314" s="213" t="s">
        <v>1046</v>
      </c>
      <c r="G314" s="14" t="s">
        <v>113</v>
      </c>
      <c r="H314" s="14" t="s">
        <v>81</v>
      </c>
      <c r="I314" s="14">
        <f t="shared" si="92"/>
        <v>298.14999999999998</v>
      </c>
      <c r="J314" s="36">
        <v>0.19364000000000001</v>
      </c>
      <c r="K314" s="33">
        <v>6.93</v>
      </c>
      <c r="L314" s="21">
        <v>0.30649999999999999</v>
      </c>
      <c r="M314" s="21">
        <v>0.42299999999999999</v>
      </c>
      <c r="N314" s="19">
        <f>10^(-(1.824*10^6)/(78.54*I314)^(3/2))*SQRT(M314)</f>
        <v>0.20144130100546703</v>
      </c>
      <c r="O314" s="36">
        <v>9.4700000000000006</v>
      </c>
      <c r="P314" s="33">
        <v>3.879</v>
      </c>
      <c r="Q314" s="21">
        <v>32.012</v>
      </c>
      <c r="R314" s="21">
        <v>0.14419999999999999</v>
      </c>
      <c r="S314" s="21">
        <v>90360</v>
      </c>
      <c r="T314" s="19">
        <f>R314/S314</f>
        <v>1.5958388667552014E-6</v>
      </c>
      <c r="U314" s="21">
        <v>4.0909999999999998E-7</v>
      </c>
      <c r="V314" s="19">
        <f>U314/($C$3*Q314)</f>
        <v>1.6971557312754064E-9</v>
      </c>
      <c r="W314" s="19">
        <f>T314/(Q314*N314*P314*$C$3)</f>
        <v>8.472526901422202E-9</v>
      </c>
      <c r="X314" s="20">
        <f>W314*P314</f>
        <v>3.2864931850616722E-8</v>
      </c>
      <c r="AA314" s="1"/>
      <c r="AC314" s="213"/>
      <c r="AD314" s="216"/>
      <c r="AH314" s="214"/>
      <c r="AI314" s="6"/>
      <c r="AP314" s="213">
        <v>10.8</v>
      </c>
      <c r="AQ314" s="213">
        <f t="shared" si="91"/>
        <v>-2.9099070147131143</v>
      </c>
      <c r="AS314" s="11"/>
      <c r="AU314" s="213">
        <v>10.8</v>
      </c>
      <c r="AV314" s="213">
        <f t="shared" si="80"/>
        <v>-3.7159886141982885</v>
      </c>
    </row>
    <row r="315" spans="1:48" ht="15.75" thickBot="1" x14ac:dyDescent="0.3">
      <c r="F315" s="213" t="s">
        <v>1046</v>
      </c>
      <c r="G315" s="55" t="s">
        <v>113</v>
      </c>
      <c r="H315" s="55" t="s">
        <v>81</v>
      </c>
      <c r="I315" s="55">
        <f t="shared" si="92"/>
        <v>298.14999999999998</v>
      </c>
      <c r="J315" s="57">
        <v>0.19364000000000001</v>
      </c>
      <c r="K315" s="63">
        <v>6.93</v>
      </c>
      <c r="L315" s="56">
        <v>0.30649999999999999</v>
      </c>
      <c r="M315" s="56">
        <v>0.42299999999999999</v>
      </c>
      <c r="N315" s="60">
        <f>10^(-(1.824*10^6)/(78.54*I315)^(3/2))*SQRT(M315)</f>
        <v>0.20144130100546703</v>
      </c>
      <c r="O315" s="57">
        <v>9.4700000000000006</v>
      </c>
      <c r="P315" s="63">
        <v>3.879</v>
      </c>
      <c r="Q315" s="56">
        <v>32.012</v>
      </c>
      <c r="R315" s="56">
        <v>9.6280000000000004E-2</v>
      </c>
      <c r="S315" s="56">
        <v>100300</v>
      </c>
      <c r="T315" s="60">
        <f>R315/S315</f>
        <v>9.5992023928215361E-7</v>
      </c>
      <c r="U315" s="56">
        <v>4.5970000000000002E-7</v>
      </c>
      <c r="V315" s="19">
        <f>U315/($C$3*Q315)</f>
        <v>1.9070703731784513E-9</v>
      </c>
      <c r="W315" s="60">
        <f>T315/(Q315*N315*P315*$C$3)</f>
        <v>5.0963478957460821E-9</v>
      </c>
      <c r="X315" s="79">
        <f>W315*P315</f>
        <v>1.9768733487599053E-8</v>
      </c>
      <c r="AA315" s="1"/>
      <c r="AC315" s="213"/>
      <c r="AD315" s="216"/>
      <c r="AH315" s="214"/>
      <c r="AI315" s="6"/>
      <c r="AP315" s="11"/>
      <c r="AQ315" s="127"/>
    </row>
    <row r="316" spans="1:48" x14ac:dyDescent="0.25">
      <c r="F316" s="9" t="s">
        <v>1048</v>
      </c>
      <c r="G316" s="40" t="s">
        <v>114</v>
      </c>
      <c r="H316" s="40" t="s">
        <v>81</v>
      </c>
      <c r="I316" s="40">
        <f t="shared" si="92"/>
        <v>298.14999999999998</v>
      </c>
      <c r="J316" s="36">
        <v>0.19364000000000001</v>
      </c>
      <c r="K316" s="33">
        <v>8.1</v>
      </c>
      <c r="L316" s="41">
        <v>0.37269999999999998</v>
      </c>
      <c r="M316" s="41">
        <v>0.55549999999999999</v>
      </c>
      <c r="N316" s="45">
        <f t="shared" ref="N316:N327" si="93">10^(-(1.824*10^6)/(78.54*I316)^(3/2))*SQRT(M316)</f>
        <v>0.23084494325493163</v>
      </c>
      <c r="O316" s="36">
        <v>9.4700000000000006</v>
      </c>
      <c r="P316" s="33">
        <v>195.88200000000001</v>
      </c>
      <c r="Q316" s="21">
        <v>32.012</v>
      </c>
      <c r="R316" s="41">
        <v>1.446</v>
      </c>
      <c r="S316" s="41">
        <v>82790</v>
      </c>
      <c r="T316" s="45">
        <f t="shared" ref="T316:T327" si="94">R316/S316</f>
        <v>1.7465877521439786E-5</v>
      </c>
      <c r="U316" s="41">
        <v>1.787E-5</v>
      </c>
      <c r="V316" s="19">
        <f t="shared" ref="V316:V327" si="95">U316/($C$3*Q316)</f>
        <v>7.4133886379593042E-8</v>
      </c>
      <c r="W316" s="45">
        <f t="shared" ref="W316:W327" si="96">T316/(Q316*N316*P316*$C$3)</f>
        <v>1.6023881725906662E-9</v>
      </c>
      <c r="X316" s="78">
        <f t="shared" ref="X316:X327" si="97">W316*P316</f>
        <v>3.1387900002340487E-7</v>
      </c>
      <c r="AA316" s="1"/>
      <c r="AC316" s="213"/>
      <c r="AD316" s="216"/>
      <c r="AH316" s="214"/>
      <c r="AQ316" s="127"/>
    </row>
    <row r="317" spans="1:48" x14ac:dyDescent="0.25">
      <c r="F317" s="9" t="s">
        <v>1048</v>
      </c>
      <c r="G317" s="14" t="s">
        <v>114</v>
      </c>
      <c r="H317" s="14" t="s">
        <v>81</v>
      </c>
      <c r="I317" s="14">
        <f t="shared" si="92"/>
        <v>298.14999999999998</v>
      </c>
      <c r="J317" s="36">
        <v>0.19364000000000001</v>
      </c>
      <c r="K317" s="33">
        <v>8.1</v>
      </c>
      <c r="L317" s="21">
        <v>0.37269999999999998</v>
      </c>
      <c r="M317" s="21">
        <v>0.55549999999999999</v>
      </c>
      <c r="N317" s="19">
        <f t="shared" si="93"/>
        <v>0.23084494325493163</v>
      </c>
      <c r="O317" s="36">
        <v>9.4700000000000006</v>
      </c>
      <c r="P317" s="33">
        <v>195.88200000000001</v>
      </c>
      <c r="Q317" s="21">
        <v>32.012</v>
      </c>
      <c r="R317" s="21">
        <v>1.2250000000000001</v>
      </c>
      <c r="S317" s="21">
        <v>82790</v>
      </c>
      <c r="T317" s="19">
        <f t="shared" si="94"/>
        <v>1.4796473003985991E-5</v>
      </c>
      <c r="U317" s="21">
        <v>1.821E-5</v>
      </c>
      <c r="V317" s="19">
        <f t="shared" si="95"/>
        <v>7.5544380020838791E-8</v>
      </c>
      <c r="W317" s="19">
        <f t="shared" si="96"/>
        <v>1.3574865224229368E-9</v>
      </c>
      <c r="X317" s="20">
        <f t="shared" si="97"/>
        <v>2.6590717498524971E-7</v>
      </c>
      <c r="AA317" s="1"/>
      <c r="AC317" s="213"/>
      <c r="AD317" s="216"/>
      <c r="AM317" s="213"/>
    </row>
    <row r="318" spans="1:48" x14ac:dyDescent="0.25">
      <c r="A318" t="s">
        <v>76</v>
      </c>
      <c r="F318" t="s">
        <v>1047</v>
      </c>
      <c r="G318" s="14" t="s">
        <v>114</v>
      </c>
      <c r="H318" s="14" t="s">
        <v>81</v>
      </c>
      <c r="I318" s="14">
        <f t="shared" si="92"/>
        <v>298.14999999999998</v>
      </c>
      <c r="J318" s="36">
        <v>0.19364000000000001</v>
      </c>
      <c r="K318" s="33">
        <v>8.1</v>
      </c>
      <c r="L318" s="21">
        <v>0.37269999999999998</v>
      </c>
      <c r="M318" s="21">
        <v>0.55549999999999999</v>
      </c>
      <c r="N318" s="19">
        <f t="shared" si="93"/>
        <v>0.23084494325493163</v>
      </c>
      <c r="O318" s="36">
        <v>9.4700000000000006</v>
      </c>
      <c r="P318" s="33">
        <v>3.879</v>
      </c>
      <c r="Q318" s="21">
        <v>33.012</v>
      </c>
      <c r="R318" s="21">
        <v>4.4660000000000004E-3</v>
      </c>
      <c r="S318" s="21">
        <v>6016</v>
      </c>
      <c r="T318" s="19">
        <f t="shared" si="94"/>
        <v>7.423537234042554E-7</v>
      </c>
      <c r="U318" s="21">
        <v>4.0909999999999998E-7</v>
      </c>
      <c r="V318" s="19">
        <f t="shared" si="95"/>
        <v>1.6457454643641194E-9</v>
      </c>
      <c r="W318" s="19">
        <f t="shared" si="96"/>
        <v>3.3350621634759692E-9</v>
      </c>
      <c r="X318" s="20">
        <f t="shared" si="97"/>
        <v>1.2936706132123285E-8</v>
      </c>
      <c r="AA318" s="213"/>
      <c r="AC318" s="213"/>
      <c r="AD318" s="216"/>
      <c r="AM318" s="213"/>
    </row>
    <row r="319" spans="1:48" ht="15.75" thickBot="1" x14ac:dyDescent="0.3">
      <c r="F319" t="s">
        <v>1047</v>
      </c>
      <c r="G319" s="55" t="s">
        <v>114</v>
      </c>
      <c r="H319" s="55" t="s">
        <v>81</v>
      </c>
      <c r="I319" s="55">
        <f t="shared" si="92"/>
        <v>298.14999999999998</v>
      </c>
      <c r="J319" s="57">
        <v>0.19364000000000001</v>
      </c>
      <c r="K319" s="63">
        <v>8.1</v>
      </c>
      <c r="L319" s="56">
        <v>0.37269999999999998</v>
      </c>
      <c r="M319" s="56">
        <v>0.55549999999999999</v>
      </c>
      <c r="N319" s="60">
        <f t="shared" si="93"/>
        <v>0.23084494325493163</v>
      </c>
      <c r="O319" s="57">
        <v>9.4700000000000006</v>
      </c>
      <c r="P319" s="63">
        <v>3.879</v>
      </c>
      <c r="Q319" s="56">
        <v>34.012</v>
      </c>
      <c r="R319" s="56">
        <v>6.5009999999999998E-3</v>
      </c>
      <c r="S319" s="56">
        <v>5930</v>
      </c>
      <c r="T319" s="60">
        <f t="shared" si="94"/>
        <v>1.0962900505902192E-6</v>
      </c>
      <c r="U319" s="56">
        <v>5.75E-7</v>
      </c>
      <c r="V319" s="19">
        <f t="shared" si="95"/>
        <v>2.2451258902607453E-9</v>
      </c>
      <c r="W319" s="60">
        <f t="shared" si="96"/>
        <v>4.780333330880999E-9</v>
      </c>
      <c r="X319" s="79">
        <f t="shared" si="97"/>
        <v>1.8542912990487395E-8</v>
      </c>
      <c r="AM319" s="213"/>
    </row>
    <row r="320" spans="1:48" x14ac:dyDescent="0.25">
      <c r="F320" s="9" t="s">
        <v>1048</v>
      </c>
      <c r="G320" s="40" t="s">
        <v>1049</v>
      </c>
      <c r="H320" s="40" t="s">
        <v>81</v>
      </c>
      <c r="I320" s="40">
        <f t="shared" si="92"/>
        <v>298.14999999999998</v>
      </c>
      <c r="J320" s="42">
        <v>0.19364000000000001</v>
      </c>
      <c r="K320" s="62">
        <v>8.56</v>
      </c>
      <c r="L320" s="41">
        <v>0.37269999999999998</v>
      </c>
      <c r="M320" s="41">
        <v>0.55549999999999999</v>
      </c>
      <c r="N320" s="45">
        <f t="shared" si="93"/>
        <v>0.23084494325493163</v>
      </c>
      <c r="O320" s="42">
        <v>9.4700000000000006</v>
      </c>
      <c r="P320" s="62">
        <v>195.88200000000001</v>
      </c>
      <c r="Q320" s="41">
        <v>32.012</v>
      </c>
      <c r="R320" s="41">
        <v>1.446</v>
      </c>
      <c r="S320" s="41">
        <v>82790</v>
      </c>
      <c r="T320" s="45">
        <f t="shared" si="94"/>
        <v>1.7465877521439786E-5</v>
      </c>
      <c r="U320" s="41">
        <v>3.5209999999999997E-5</v>
      </c>
      <c r="V320" s="19">
        <f t="shared" si="95"/>
        <v>1.4606906208312651E-7</v>
      </c>
      <c r="W320" s="45">
        <f t="shared" si="96"/>
        <v>1.6023881725906662E-9</v>
      </c>
      <c r="X320" s="78">
        <f t="shared" si="97"/>
        <v>3.1387900002340487E-7</v>
      </c>
      <c r="AM320" s="213"/>
    </row>
    <row r="321" spans="3:39" x14ac:dyDescent="0.25">
      <c r="F321" s="9" t="s">
        <v>1048</v>
      </c>
      <c r="G321" s="217" t="s">
        <v>1049</v>
      </c>
      <c r="H321" s="217" t="s">
        <v>81</v>
      </c>
      <c r="I321" s="217">
        <f t="shared" si="92"/>
        <v>298.14999999999998</v>
      </c>
      <c r="J321" s="36">
        <v>0.19364000000000001</v>
      </c>
      <c r="K321" s="33">
        <v>8.56</v>
      </c>
      <c r="L321" s="21">
        <v>0.37269999999999998</v>
      </c>
      <c r="M321" s="21">
        <v>0.55549999999999999</v>
      </c>
      <c r="N321" s="19">
        <f t="shared" si="93"/>
        <v>0.23084494325493163</v>
      </c>
      <c r="O321" s="36">
        <v>9.4700000000000006</v>
      </c>
      <c r="P321" s="33">
        <v>195.88200000000001</v>
      </c>
      <c r="Q321" s="21">
        <v>32.012</v>
      </c>
      <c r="R321" s="21">
        <v>1.2250000000000001</v>
      </c>
      <c r="S321" s="21">
        <v>82790</v>
      </c>
      <c r="T321" s="19">
        <f t="shared" si="94"/>
        <v>1.4796473003985991E-5</v>
      </c>
      <c r="U321" s="21">
        <v>7.2899999999999997E-5</v>
      </c>
      <c r="V321" s="19">
        <f t="shared" si="95"/>
        <v>3.0242643072592794E-7</v>
      </c>
      <c r="W321" s="19">
        <f t="shared" si="96"/>
        <v>1.3574865224229368E-9</v>
      </c>
      <c r="X321" s="20">
        <f t="shared" si="97"/>
        <v>2.6590717498524971E-7</v>
      </c>
      <c r="AJ321" s="2"/>
      <c r="AM321" s="213"/>
    </row>
    <row r="322" spans="3:39" x14ac:dyDescent="0.25">
      <c r="F322" s="213" t="s">
        <v>1047</v>
      </c>
      <c r="G322" s="217" t="s">
        <v>1049</v>
      </c>
      <c r="H322" s="217" t="s">
        <v>81</v>
      </c>
      <c r="I322" s="217">
        <f t="shared" si="92"/>
        <v>298.14999999999998</v>
      </c>
      <c r="J322" s="36">
        <v>0.19364000000000001</v>
      </c>
      <c r="K322" s="33">
        <v>8.56</v>
      </c>
      <c r="L322" s="21">
        <v>0.37269999999999998</v>
      </c>
      <c r="M322" s="21">
        <v>0.55549999999999999</v>
      </c>
      <c r="N322" s="19">
        <f t="shared" si="93"/>
        <v>0.23084494325493163</v>
      </c>
      <c r="O322" s="36">
        <v>9.4700000000000006</v>
      </c>
      <c r="P322" s="33">
        <v>3.879</v>
      </c>
      <c r="Q322" s="21">
        <v>33.012</v>
      </c>
      <c r="R322" s="21">
        <v>4.4660000000000004E-3</v>
      </c>
      <c r="S322" s="21">
        <v>6016</v>
      </c>
      <c r="T322" s="19">
        <f t="shared" si="94"/>
        <v>7.423537234042554E-7</v>
      </c>
      <c r="U322" s="21">
        <v>7.9510000000000002E-7</v>
      </c>
      <c r="V322" s="19">
        <f t="shared" si="95"/>
        <v>3.1985632332337115E-9</v>
      </c>
      <c r="W322" s="19">
        <f t="shared" si="96"/>
        <v>3.3350621634759692E-9</v>
      </c>
      <c r="X322" s="20">
        <f t="shared" si="97"/>
        <v>1.2936706132123285E-8</v>
      </c>
      <c r="AM322" s="213"/>
    </row>
    <row r="323" spans="3:39" ht="15.75" thickBot="1" x14ac:dyDescent="0.3">
      <c r="F323" s="213" t="s">
        <v>1047</v>
      </c>
      <c r="G323" s="55" t="s">
        <v>1049</v>
      </c>
      <c r="H323" s="55" t="s">
        <v>81</v>
      </c>
      <c r="I323" s="55">
        <f t="shared" si="92"/>
        <v>298.14999999999998</v>
      </c>
      <c r="J323" s="57">
        <v>0.19364000000000001</v>
      </c>
      <c r="K323" s="63">
        <v>8.56</v>
      </c>
      <c r="L323" s="56">
        <v>0.37269999999999998</v>
      </c>
      <c r="M323" s="56">
        <v>0.55549999999999999</v>
      </c>
      <c r="N323" s="60">
        <f t="shared" si="93"/>
        <v>0.23084494325493163</v>
      </c>
      <c r="O323" s="57">
        <v>9.4700000000000006</v>
      </c>
      <c r="P323" s="63">
        <v>3.879</v>
      </c>
      <c r="Q323" s="56">
        <v>34.012</v>
      </c>
      <c r="R323" s="56">
        <v>6.5009999999999998E-3</v>
      </c>
      <c r="S323" s="56">
        <v>5930</v>
      </c>
      <c r="T323" s="60">
        <f t="shared" si="94"/>
        <v>1.0962900505902192E-6</v>
      </c>
      <c r="U323" s="56">
        <v>6.102E-7</v>
      </c>
      <c r="V323" s="19">
        <f t="shared" si="95"/>
        <v>2.3825666404123598E-9</v>
      </c>
      <c r="W323" s="60">
        <f t="shared" si="96"/>
        <v>4.780333330880999E-9</v>
      </c>
      <c r="X323" s="79">
        <f t="shared" si="97"/>
        <v>1.8542912990487395E-8</v>
      </c>
      <c r="AM323" s="213"/>
    </row>
    <row r="324" spans="3:39" x14ac:dyDescent="0.25">
      <c r="C324" s="214">
        <v>1.5009999999999999E-4</v>
      </c>
      <c r="F324" s="9" t="s">
        <v>1048</v>
      </c>
      <c r="G324" s="40" t="s">
        <v>1050</v>
      </c>
      <c r="H324" s="40" t="s">
        <v>81</v>
      </c>
      <c r="I324" s="40">
        <f t="shared" si="92"/>
        <v>298.14999999999998</v>
      </c>
      <c r="J324" s="42">
        <v>0.19364000000000001</v>
      </c>
      <c r="K324" s="62">
        <v>9.1</v>
      </c>
      <c r="L324" s="41">
        <v>0.37269999999999998</v>
      </c>
      <c r="M324" s="41">
        <v>0.55549999999999999</v>
      </c>
      <c r="N324" s="45">
        <f t="shared" si="93"/>
        <v>0.23084494325493163</v>
      </c>
      <c r="O324" s="42">
        <v>9.4700000000000006</v>
      </c>
      <c r="P324" s="62">
        <v>195.88200000000001</v>
      </c>
      <c r="Q324" s="41">
        <v>32.012</v>
      </c>
      <c r="R324" s="41">
        <v>1.446</v>
      </c>
      <c r="S324" s="41">
        <v>82790</v>
      </c>
      <c r="T324" s="45">
        <f t="shared" si="94"/>
        <v>1.7465877521439786E-5</v>
      </c>
      <c r="U324" s="41">
        <v>1.21E-4</v>
      </c>
      <c r="V324" s="19">
        <f>U324/($C$3*Q324)</f>
        <v>5.019697958551068E-7</v>
      </c>
      <c r="W324" s="45">
        <f t="shared" si="96"/>
        <v>1.6023881725906662E-9</v>
      </c>
      <c r="X324" s="78">
        <f t="shared" si="97"/>
        <v>3.1387900002340487E-7</v>
      </c>
      <c r="AM324" s="213"/>
    </row>
    <row r="325" spans="3:39" x14ac:dyDescent="0.25">
      <c r="C325" s="214">
        <v>2.352E-4</v>
      </c>
      <c r="F325" s="9" t="s">
        <v>1048</v>
      </c>
      <c r="G325" s="217" t="s">
        <v>1050</v>
      </c>
      <c r="H325" s="217" t="s">
        <v>81</v>
      </c>
      <c r="I325" s="217">
        <f t="shared" si="92"/>
        <v>298.14999999999998</v>
      </c>
      <c r="J325" s="36">
        <v>0.19364000000000001</v>
      </c>
      <c r="K325" s="33">
        <v>9.1</v>
      </c>
      <c r="L325" s="21">
        <v>0.37269999999999998</v>
      </c>
      <c r="M325" s="21">
        <v>0.55549999999999999</v>
      </c>
      <c r="N325" s="19">
        <f t="shared" si="93"/>
        <v>0.23084494325493163</v>
      </c>
      <c r="O325" s="36">
        <v>9.4700000000000006</v>
      </c>
      <c r="P325" s="33">
        <v>195.88200000000001</v>
      </c>
      <c r="Q325" s="21">
        <v>32.012</v>
      </c>
      <c r="R325" s="21">
        <v>1.2250000000000001</v>
      </c>
      <c r="S325" s="21">
        <v>82790</v>
      </c>
      <c r="T325" s="19">
        <f t="shared" si="94"/>
        <v>1.4796473003985991E-5</v>
      </c>
      <c r="U325" s="21">
        <v>2.0599999999999999E-4</v>
      </c>
      <c r="V325" s="19">
        <f t="shared" si="95"/>
        <v>8.5459320616654538E-7</v>
      </c>
      <c r="W325" s="19">
        <f t="shared" si="96"/>
        <v>1.3574865224229368E-9</v>
      </c>
      <c r="X325" s="20">
        <f t="shared" si="97"/>
        <v>2.6590717498524971E-7</v>
      </c>
      <c r="AM325" s="213"/>
    </row>
    <row r="326" spans="3:39" x14ac:dyDescent="0.25">
      <c r="C326" s="214">
        <v>2.3159999999999999E-4</v>
      </c>
      <c r="F326" s="213" t="s">
        <v>1047</v>
      </c>
      <c r="G326" s="217" t="s">
        <v>1050</v>
      </c>
      <c r="H326" s="217" t="s">
        <v>81</v>
      </c>
      <c r="I326" s="217">
        <f t="shared" si="92"/>
        <v>298.14999999999998</v>
      </c>
      <c r="J326" s="36">
        <v>0.19364000000000001</v>
      </c>
      <c r="K326" s="33">
        <v>9.1</v>
      </c>
      <c r="L326" s="21">
        <v>0.37269999999999998</v>
      </c>
      <c r="M326" s="21">
        <v>0.55549999999999999</v>
      </c>
      <c r="N326" s="19">
        <f t="shared" si="93"/>
        <v>0.23084494325493163</v>
      </c>
      <c r="O326" s="36">
        <v>9.4700000000000006</v>
      </c>
      <c r="P326" s="33">
        <v>3.879</v>
      </c>
      <c r="Q326" s="21">
        <v>33.012</v>
      </c>
      <c r="R326" s="21">
        <v>4.4660000000000004E-3</v>
      </c>
      <c r="S326" s="21">
        <v>6016</v>
      </c>
      <c r="T326" s="19">
        <f t="shared" si="94"/>
        <v>7.423537234042554E-7</v>
      </c>
      <c r="U326" s="21">
        <v>1.111E-6</v>
      </c>
      <c r="V326" s="19">
        <f t="shared" si="95"/>
        <v>4.4693796404510796E-9</v>
      </c>
      <c r="W326" s="19">
        <f t="shared" si="96"/>
        <v>3.3350621634759692E-9</v>
      </c>
      <c r="X326" s="20">
        <f t="shared" si="97"/>
        <v>1.2936706132123285E-8</v>
      </c>
      <c r="AM326" s="213"/>
    </row>
    <row r="327" spans="3:39" x14ac:dyDescent="0.25">
      <c r="C327" s="214">
        <f>SUM(C324:C326)/3</f>
        <v>2.0563333333333334E-4</v>
      </c>
      <c r="F327" s="213" t="s">
        <v>1047</v>
      </c>
      <c r="G327" s="217" t="s">
        <v>1050</v>
      </c>
      <c r="H327" s="217" t="s">
        <v>81</v>
      </c>
      <c r="I327" s="217">
        <f t="shared" si="92"/>
        <v>298.14999999999998</v>
      </c>
      <c r="J327" s="36">
        <v>0.19364000000000001</v>
      </c>
      <c r="K327" s="33">
        <v>9.1</v>
      </c>
      <c r="L327" s="21">
        <v>0.37269999999999998</v>
      </c>
      <c r="M327" s="21">
        <v>0.55549999999999999</v>
      </c>
      <c r="N327" s="19">
        <f t="shared" si="93"/>
        <v>0.23084494325493163</v>
      </c>
      <c r="O327" s="36">
        <v>9.4700000000000006</v>
      </c>
      <c r="P327" s="33">
        <v>3.879</v>
      </c>
      <c r="Q327" s="21">
        <v>34.012</v>
      </c>
      <c r="R327" s="21">
        <v>6.5009999999999998E-3</v>
      </c>
      <c r="S327" s="21">
        <v>5930</v>
      </c>
      <c r="T327" s="19">
        <f t="shared" si="94"/>
        <v>1.0962900505902192E-6</v>
      </c>
      <c r="U327" s="21">
        <v>1.043E-6</v>
      </c>
      <c r="V327" s="19">
        <f t="shared" si="95"/>
        <v>4.0724631365947081E-9</v>
      </c>
      <c r="W327" s="19">
        <f t="shared" si="96"/>
        <v>4.780333330880999E-9</v>
      </c>
      <c r="X327" s="20">
        <f t="shared" si="97"/>
        <v>1.8542912990487395E-8</v>
      </c>
      <c r="AM327" s="213"/>
    </row>
    <row r="328" spans="3:39" x14ac:dyDescent="0.25">
      <c r="U328" t="s">
        <v>16</v>
      </c>
      <c r="V328" t="s">
        <v>17</v>
      </c>
      <c r="W328" t="s">
        <v>1061</v>
      </c>
      <c r="AM328" s="213"/>
    </row>
    <row r="329" spans="3:39" x14ac:dyDescent="0.25">
      <c r="T329">
        <v>6.9</v>
      </c>
      <c r="U329" s="214">
        <v>6.4329999999999996E-9</v>
      </c>
      <c r="V329" s="214">
        <v>2.9159999999999999E-14</v>
      </c>
      <c r="W329" s="214">
        <f>U329/V329</f>
        <v>220610.42524005487</v>
      </c>
      <c r="AA329" s="2"/>
      <c r="AM329" s="213"/>
    </row>
    <row r="330" spans="3:39" x14ac:dyDescent="0.25">
      <c r="T330">
        <v>8.1</v>
      </c>
      <c r="U330" s="214">
        <v>6.9370000000000003E-9</v>
      </c>
      <c r="V330" s="214">
        <v>8.3390000000000001E-13</v>
      </c>
      <c r="W330" s="214">
        <f>U330/V330</f>
        <v>8318.7432545868814</v>
      </c>
      <c r="AA330" s="2"/>
      <c r="AM330" s="213"/>
    </row>
    <row r="331" spans="3:39" x14ac:dyDescent="0.25">
      <c r="T331">
        <v>8.6</v>
      </c>
      <c r="U331" s="214">
        <v>9.9010000000000004E-9</v>
      </c>
      <c r="V331" s="214">
        <v>2.7889999999999999E-12</v>
      </c>
      <c r="W331" s="214">
        <f>U331/V331</f>
        <v>3550.0179275726068</v>
      </c>
      <c r="AA331" s="2"/>
      <c r="AM331" s="213"/>
    </row>
    <row r="332" spans="3:39" ht="15.75" thickBot="1" x14ac:dyDescent="0.3">
      <c r="F332" s="15" t="s">
        <v>1034</v>
      </c>
      <c r="G332" s="15" t="s">
        <v>1052</v>
      </c>
      <c r="H332" s="15"/>
      <c r="I332" s="15" t="s">
        <v>111</v>
      </c>
      <c r="J332" s="15" t="s">
        <v>421</v>
      </c>
      <c r="K332" s="15" t="s">
        <v>112</v>
      </c>
      <c r="L332" s="15" t="s">
        <v>43</v>
      </c>
      <c r="M332" s="15" t="s">
        <v>1032</v>
      </c>
      <c r="T332">
        <v>9.1</v>
      </c>
      <c r="U332" s="214">
        <v>1.5069999999999999E-8</v>
      </c>
      <c r="V332" s="214">
        <v>9.8090000000000007E-12</v>
      </c>
      <c r="W332" s="214">
        <f>U332/V332</f>
        <v>1536.3441737180137</v>
      </c>
      <c r="AA332" s="2"/>
      <c r="AC332" s="214"/>
      <c r="AM332" s="213"/>
    </row>
    <row r="333" spans="3:39" x14ac:dyDescent="0.25">
      <c r="F333" s="229" t="s">
        <v>113</v>
      </c>
      <c r="G333" s="230">
        <v>6.9</v>
      </c>
      <c r="H333" s="230">
        <v>195.9</v>
      </c>
      <c r="I333" s="231">
        <f>(V312+V313)/2</f>
        <v>7.1872948042890289E-9</v>
      </c>
      <c r="J333">
        <f>(SQRT(((V312-I333)^2+(V313-I333)^2)))^-1</f>
        <v>7253121028.2322617</v>
      </c>
      <c r="K333" s="233">
        <v>6.2169999999999996E-5</v>
      </c>
      <c r="L333" s="233">
        <v>3.121</v>
      </c>
      <c r="M333" s="234">
        <f>K333/L333</f>
        <v>1.9919897468760011E-5</v>
      </c>
      <c r="AA333" s="2"/>
      <c r="AM333" s="213"/>
    </row>
    <row r="334" spans="3:39" x14ac:dyDescent="0.25">
      <c r="F334" s="131" t="s">
        <v>113</v>
      </c>
      <c r="G334" s="10">
        <v>6.9</v>
      </c>
      <c r="H334" s="10">
        <v>3.9</v>
      </c>
      <c r="I334" s="34">
        <f>(V314+V315)/2</f>
        <v>1.8021130522269289E-9</v>
      </c>
      <c r="J334" s="213">
        <f>(SQRT(((V314-I334)^2+(V315-I334)^2)))^-1</f>
        <v>6737088702.1129761</v>
      </c>
      <c r="K334" s="8" t="s">
        <v>1035</v>
      </c>
      <c r="L334" s="8" t="s">
        <v>1036</v>
      </c>
      <c r="M334" s="73"/>
      <c r="AA334" s="2"/>
      <c r="AM334" s="213"/>
    </row>
    <row r="335" spans="3:39" x14ac:dyDescent="0.25">
      <c r="F335" s="131" t="s">
        <v>113</v>
      </c>
      <c r="G335" s="10">
        <v>6.9</v>
      </c>
      <c r="H335" s="10"/>
      <c r="I335" s="34"/>
      <c r="K335" s="8" t="s">
        <v>1037</v>
      </c>
      <c r="L335" s="8"/>
      <c r="M335" s="73"/>
      <c r="AA335" s="2"/>
      <c r="AM335" s="213"/>
    </row>
    <row r="336" spans="3:39" ht="15.75" thickBot="1" x14ac:dyDescent="0.3">
      <c r="F336" s="132" t="s">
        <v>113</v>
      </c>
      <c r="G336" s="77">
        <v>6.9</v>
      </c>
      <c r="H336" s="77"/>
      <c r="I336" s="29"/>
      <c r="K336" s="28"/>
      <c r="L336" s="28"/>
      <c r="M336" s="30"/>
      <c r="AA336" s="2"/>
      <c r="AC336" s="1"/>
      <c r="AM336" s="213"/>
    </row>
    <row r="337" spans="6:39" x14ac:dyDescent="0.25">
      <c r="F337" s="229" t="s">
        <v>114</v>
      </c>
      <c r="G337" s="230">
        <v>8.1</v>
      </c>
      <c r="H337" s="230">
        <v>195.9</v>
      </c>
      <c r="I337" s="231">
        <f>(V316+V317)/2</f>
        <v>7.4839133200215909E-8</v>
      </c>
      <c r="J337" s="213">
        <f>(SQRT(((V316-I337)^2+(V317-I337)^2)))^-1</f>
        <v>1002637318.6085835</v>
      </c>
      <c r="K337" s="233">
        <v>1.46E-4</v>
      </c>
      <c r="L337" s="233">
        <v>4.9370000000000003</v>
      </c>
      <c r="M337" s="234">
        <f>K337/L337</f>
        <v>2.9572614948349198E-5</v>
      </c>
      <c r="AM337" s="213"/>
    </row>
    <row r="338" spans="6:39" x14ac:dyDescent="0.25">
      <c r="F338" s="131" t="s">
        <v>114</v>
      </c>
      <c r="G338" s="10">
        <v>8.1</v>
      </c>
      <c r="H338" s="10">
        <v>3.9</v>
      </c>
      <c r="I338" s="34">
        <f>(V318+V319)/2</f>
        <v>1.9454356773124323E-9</v>
      </c>
      <c r="J338" s="213">
        <f>(SQRT(((V318-I338)^2+(V319-I338)^2)))^-1</f>
        <v>2359459036.8171315</v>
      </c>
      <c r="K338" s="8" t="s">
        <v>1038</v>
      </c>
      <c r="L338" s="8"/>
      <c r="M338" s="73"/>
      <c r="AM338" s="213"/>
    </row>
    <row r="339" spans="6:39" x14ac:dyDescent="0.25">
      <c r="F339" s="131" t="s">
        <v>114</v>
      </c>
      <c r="G339" s="10">
        <v>8.1</v>
      </c>
      <c r="H339" s="10"/>
      <c r="I339" s="34"/>
      <c r="K339" s="8" t="s">
        <v>1039</v>
      </c>
      <c r="L339" s="8"/>
      <c r="M339" s="73"/>
      <c r="AM339" s="213"/>
    </row>
    <row r="340" spans="6:39" ht="15.75" thickBot="1" x14ac:dyDescent="0.3">
      <c r="F340" s="133" t="s">
        <v>114</v>
      </c>
      <c r="G340" s="77">
        <v>8.1</v>
      </c>
      <c r="H340" s="77"/>
      <c r="I340" s="29"/>
      <c r="K340" s="28"/>
      <c r="L340" s="28"/>
      <c r="M340" s="30"/>
      <c r="AM340" s="213"/>
    </row>
    <row r="341" spans="6:39" x14ac:dyDescent="0.25">
      <c r="F341" s="232" t="s">
        <v>1049</v>
      </c>
      <c r="G341" s="230">
        <v>8.6</v>
      </c>
      <c r="H341" s="230">
        <v>195.9</v>
      </c>
      <c r="I341" s="231">
        <f>(V320+V321)/2</f>
        <v>2.2424774640452723E-7</v>
      </c>
      <c r="J341" s="213">
        <f>(SQRT(((V320-I341)^2+(V321-I341)^2)))^-1</f>
        <v>9044751.6138741598</v>
      </c>
      <c r="K341" s="233">
        <v>1.783E-4</v>
      </c>
      <c r="L341" s="233">
        <v>6.86</v>
      </c>
      <c r="M341" s="234">
        <f>K341/L341</f>
        <v>2.5991253644314867E-5</v>
      </c>
      <c r="AM341" s="213"/>
    </row>
    <row r="342" spans="6:39" x14ac:dyDescent="0.25">
      <c r="F342" s="98" t="s">
        <v>1049</v>
      </c>
      <c r="G342" s="10">
        <v>8.6</v>
      </c>
      <c r="H342" s="10">
        <v>3.9</v>
      </c>
      <c r="I342" s="34">
        <f>(V322+V323)/2</f>
        <v>2.7905649368230354E-9</v>
      </c>
      <c r="J342" s="213">
        <f>(SQRT(((V322-I342)^2+(V323-I342)^2)))^-1</f>
        <v>1733112092.3965826</v>
      </c>
      <c r="K342" s="8" t="s">
        <v>1040</v>
      </c>
      <c r="L342" s="8" t="s">
        <v>1041</v>
      </c>
      <c r="M342" s="73"/>
      <c r="AM342" s="213"/>
    </row>
    <row r="343" spans="6:39" x14ac:dyDescent="0.25">
      <c r="F343" s="98" t="s">
        <v>1049</v>
      </c>
      <c r="G343" s="10">
        <v>8.6</v>
      </c>
      <c r="H343" s="10"/>
      <c r="I343" s="34"/>
      <c r="K343" s="8" t="s">
        <v>1042</v>
      </c>
      <c r="L343" s="8"/>
      <c r="M343" s="73"/>
      <c r="AM343" s="213"/>
    </row>
    <row r="344" spans="6:39" ht="15.75" thickBot="1" x14ac:dyDescent="0.3">
      <c r="F344" s="133" t="s">
        <v>1049</v>
      </c>
      <c r="G344" s="77">
        <v>8.6</v>
      </c>
      <c r="H344" s="77"/>
      <c r="I344" s="29"/>
      <c r="K344" s="28"/>
      <c r="L344" s="28"/>
      <c r="M344" s="30"/>
      <c r="AM344" s="213"/>
    </row>
    <row r="345" spans="6:39" x14ac:dyDescent="0.25">
      <c r="F345" s="232" t="s">
        <v>1050</v>
      </c>
      <c r="G345" s="230">
        <v>9.1</v>
      </c>
      <c r="H345" s="230">
        <v>195.9</v>
      </c>
      <c r="I345" s="231">
        <f>(V324+V325)/2</f>
        <v>6.7828150101082609E-7</v>
      </c>
      <c r="J345" s="213">
        <f>(SQRT(((V324-I345)^2+(V325-I345)^2)))^-1</f>
        <v>4010549.2744343183</v>
      </c>
      <c r="K345" s="233">
        <v>5.144E-7</v>
      </c>
      <c r="L345" s="233">
        <v>75.290000000000006</v>
      </c>
      <c r="M345" s="234">
        <f>K345/L345</f>
        <v>6.832248638597423E-9</v>
      </c>
      <c r="AM345" s="213"/>
    </row>
    <row r="346" spans="6:39" x14ac:dyDescent="0.25">
      <c r="F346" s="98" t="s">
        <v>1050</v>
      </c>
      <c r="G346" s="10">
        <v>9.1</v>
      </c>
      <c r="H346" s="10">
        <v>3.9</v>
      </c>
      <c r="I346" s="34">
        <f>(V326+V327)/2</f>
        <v>4.2709213885228942E-9</v>
      </c>
      <c r="J346" s="213">
        <f>(SQRT(((V326-I346)^2+(V327-I346)^2)))^-1</f>
        <v>3563000148.9805608</v>
      </c>
      <c r="K346" s="8" t="s">
        <v>1043</v>
      </c>
      <c r="L346" s="8" t="s">
        <v>1044</v>
      </c>
      <c r="M346" s="73"/>
      <c r="AM346" s="213"/>
    </row>
    <row r="347" spans="6:39" x14ac:dyDescent="0.25">
      <c r="F347" s="98" t="s">
        <v>1050</v>
      </c>
      <c r="G347" s="10">
        <v>9.1</v>
      </c>
      <c r="H347" s="10"/>
      <c r="I347" s="34"/>
      <c r="K347" s="8" t="s">
        <v>1045</v>
      </c>
      <c r="L347" s="8"/>
      <c r="M347" s="73"/>
      <c r="AM347" s="213"/>
    </row>
    <row r="348" spans="6:39" ht="15.75" thickBot="1" x14ac:dyDescent="0.3">
      <c r="F348" s="133" t="s">
        <v>1051</v>
      </c>
      <c r="G348" s="77">
        <v>9.1</v>
      </c>
      <c r="H348" s="77"/>
      <c r="I348" s="29"/>
      <c r="K348" s="28"/>
      <c r="L348" s="28"/>
      <c r="M348" s="30"/>
    </row>
    <row r="355" spans="6:24" x14ac:dyDescent="0.25">
      <c r="G355" s="15" t="s">
        <v>1058</v>
      </c>
    </row>
    <row r="356" spans="6:24" x14ac:dyDescent="0.25">
      <c r="G356" s="66" t="s">
        <v>32</v>
      </c>
      <c r="H356" s="66" t="s">
        <v>80</v>
      </c>
      <c r="I356" s="66" t="s">
        <v>35</v>
      </c>
      <c r="J356" s="66" t="s">
        <v>82</v>
      </c>
      <c r="K356" s="66" t="s">
        <v>2</v>
      </c>
      <c r="L356" s="66" t="s">
        <v>89</v>
      </c>
      <c r="M356" s="66" t="s">
        <v>79</v>
      </c>
      <c r="N356" s="66" t="s">
        <v>0</v>
      </c>
      <c r="O356" s="66" t="s">
        <v>1</v>
      </c>
      <c r="P356" s="66" t="s">
        <v>34</v>
      </c>
      <c r="Q356" s="66" t="s">
        <v>11</v>
      </c>
      <c r="R356" s="66" t="s">
        <v>255</v>
      </c>
      <c r="T356" s="213"/>
      <c r="W356" s="213"/>
      <c r="X356" s="213"/>
    </row>
    <row r="357" spans="6:24" x14ac:dyDescent="0.25">
      <c r="F357" s="221" t="s">
        <v>1090</v>
      </c>
      <c r="G357" s="14" t="s">
        <v>116</v>
      </c>
      <c r="H357" s="14" t="s">
        <v>83</v>
      </c>
      <c r="I357" s="14">
        <v>298.14999999999998</v>
      </c>
      <c r="J357" s="21">
        <v>9.1999999999999998E-2</v>
      </c>
      <c r="K357" s="33">
        <v>8.51</v>
      </c>
      <c r="L357" s="21">
        <v>1.444E-2</v>
      </c>
      <c r="M357" s="21">
        <v>1.444E-2</v>
      </c>
      <c r="N357" s="36">
        <v>0.59209999999999996</v>
      </c>
      <c r="O357" s="36">
        <v>122.426</v>
      </c>
      <c r="P357" s="21">
        <v>2.7980999999999999E-2</v>
      </c>
      <c r="Q357" s="21">
        <v>1.277E-5</v>
      </c>
      <c r="R357" s="19">
        <f>Q357/($C$2*P357)</f>
        <v>3.7104155752611459E-4</v>
      </c>
    </row>
    <row r="358" spans="6:24" x14ac:dyDescent="0.25">
      <c r="F358" s="221" t="s">
        <v>1090</v>
      </c>
      <c r="G358" s="14" t="s">
        <v>116</v>
      </c>
      <c r="H358" s="14" t="s">
        <v>83</v>
      </c>
      <c r="I358" s="14">
        <v>298.14999999999998</v>
      </c>
      <c r="J358" s="21">
        <v>8.2000000000000003E-2</v>
      </c>
      <c r="K358" s="33">
        <v>8.51</v>
      </c>
      <c r="L358" s="21">
        <v>1.2869999999999999E-2</v>
      </c>
      <c r="M358" s="21">
        <v>1.2869999999999999E-2</v>
      </c>
      <c r="N358" s="36">
        <v>2.9811000000000001</v>
      </c>
      <c r="O358" s="36">
        <v>122.426</v>
      </c>
      <c r="P358" s="21">
        <v>2.7980999999999999E-2</v>
      </c>
      <c r="Q358" s="21">
        <v>3.3099999999999998E-5</v>
      </c>
      <c r="R358" s="19">
        <f t="shared" ref="R358:R403" si="98">Q358/($C$2*P358)</f>
        <v>9.6174436602305339E-4</v>
      </c>
    </row>
    <row r="359" spans="6:24" x14ac:dyDescent="0.25">
      <c r="F359" s="221" t="s">
        <v>1090</v>
      </c>
      <c r="G359" s="14" t="s">
        <v>116</v>
      </c>
      <c r="H359" s="14" t="s">
        <v>83</v>
      </c>
      <c r="I359" s="14">
        <v>298.14999999999998</v>
      </c>
      <c r="J359" s="21">
        <v>7.1999999999999995E-2</v>
      </c>
      <c r="K359" s="33">
        <v>8.51</v>
      </c>
      <c r="L359" s="21">
        <v>1.1299999999999999E-2</v>
      </c>
      <c r="M359" s="21">
        <v>1.1299999999999999E-2</v>
      </c>
      <c r="N359" s="36">
        <v>5.3659600000000003</v>
      </c>
      <c r="O359" s="36">
        <v>122.426</v>
      </c>
      <c r="P359" s="21">
        <v>2.7980999999999999E-2</v>
      </c>
      <c r="Q359" s="21">
        <v>4.1100000000000003E-5</v>
      </c>
      <c r="R359" s="19">
        <f t="shared" si="98"/>
        <v>1.194190134246148E-3</v>
      </c>
    </row>
    <row r="360" spans="6:24" ht="15.75" thickBot="1" x14ac:dyDescent="0.3">
      <c r="F360" s="221" t="s">
        <v>1090</v>
      </c>
      <c r="G360" s="55" t="s">
        <v>116</v>
      </c>
      <c r="H360" s="55" t="s">
        <v>83</v>
      </c>
      <c r="I360" s="55">
        <v>298.14999999999998</v>
      </c>
      <c r="J360" s="56">
        <v>6.2E-2</v>
      </c>
      <c r="K360" s="63">
        <v>8.51</v>
      </c>
      <c r="L360" s="56">
        <v>9.7330000000000003E-3</v>
      </c>
      <c r="M360" s="56">
        <v>9.7330000000000003E-3</v>
      </c>
      <c r="N360" s="57">
        <v>7.7507999999999999</v>
      </c>
      <c r="O360" s="57">
        <v>122.426</v>
      </c>
      <c r="P360" s="56">
        <v>2.7980999999999999E-2</v>
      </c>
      <c r="Q360" s="56">
        <v>4.651E-5</v>
      </c>
      <c r="R360" s="19">
        <f t="shared" si="98"/>
        <v>1.3513815850070157E-3</v>
      </c>
    </row>
    <row r="361" spans="6:24" x14ac:dyDescent="0.25">
      <c r="F361" s="221" t="s">
        <v>1090</v>
      </c>
      <c r="G361" s="40" t="s">
        <v>117</v>
      </c>
      <c r="H361" s="40" t="s">
        <v>83</v>
      </c>
      <c r="I361" s="40">
        <v>298.14999999999998</v>
      </c>
      <c r="J361" s="41">
        <v>0.09</v>
      </c>
      <c r="K361" s="62">
        <v>8.51</v>
      </c>
      <c r="L361" s="41">
        <v>1.413E-2</v>
      </c>
      <c r="M361" s="41">
        <v>1.413E-2</v>
      </c>
      <c r="N361" s="42">
        <v>0.59209999999999996</v>
      </c>
      <c r="O361" s="42">
        <v>122.426</v>
      </c>
      <c r="P361" s="41">
        <v>1.3990000000000001E-2</v>
      </c>
      <c r="Q361" s="41">
        <v>7.7619999999999995E-6</v>
      </c>
      <c r="R361" s="19">
        <f t="shared" si="98"/>
        <v>4.5107713407369955E-4</v>
      </c>
    </row>
    <row r="362" spans="6:24" x14ac:dyDescent="0.25">
      <c r="F362" s="221" t="s">
        <v>1090</v>
      </c>
      <c r="G362" s="14" t="s">
        <v>117</v>
      </c>
      <c r="H362" s="14" t="s">
        <v>83</v>
      </c>
      <c r="I362" s="14">
        <v>298.14999999999998</v>
      </c>
      <c r="J362" s="21">
        <v>0.08</v>
      </c>
      <c r="K362" s="33">
        <v>8.51</v>
      </c>
      <c r="L362" s="21">
        <v>1.256E-2</v>
      </c>
      <c r="M362" s="21">
        <v>1.256E-2</v>
      </c>
      <c r="N362" s="36">
        <v>2.9811000000000001</v>
      </c>
      <c r="O362" s="36">
        <v>122.426</v>
      </c>
      <c r="P362" s="21">
        <v>1.3990000000000001E-2</v>
      </c>
      <c r="Q362" s="21">
        <v>2.599E-5</v>
      </c>
      <c r="R362" s="19">
        <f t="shared" si="98"/>
        <v>1.5103703574562552E-3</v>
      </c>
    </row>
    <row r="363" spans="6:24" x14ac:dyDescent="0.25">
      <c r="F363" s="221" t="s">
        <v>1090</v>
      </c>
      <c r="G363" s="14" t="s">
        <v>117</v>
      </c>
      <c r="H363" s="14" t="s">
        <v>83</v>
      </c>
      <c r="I363" s="14">
        <v>298.14999999999998</v>
      </c>
      <c r="J363" s="21">
        <v>7.0000000000000007E-2</v>
      </c>
      <c r="K363" s="33">
        <v>8.51</v>
      </c>
      <c r="L363" s="21">
        <v>1.099E-2</v>
      </c>
      <c r="M363" s="21">
        <v>1.099E-2</v>
      </c>
      <c r="N363" s="36">
        <v>5.3659600000000003</v>
      </c>
      <c r="O363" s="36">
        <v>122.426</v>
      </c>
      <c r="P363" s="21">
        <v>1.3990000000000001E-2</v>
      </c>
      <c r="Q363" s="21">
        <v>3.2780000000000001E-5</v>
      </c>
      <c r="R363" s="19">
        <f t="shared" si="98"/>
        <v>1.9049611511125835E-3</v>
      </c>
    </row>
    <row r="364" spans="6:24" ht="15.75" thickBot="1" x14ac:dyDescent="0.3">
      <c r="F364" s="221" t="s">
        <v>1090</v>
      </c>
      <c r="G364" s="55" t="s">
        <v>117</v>
      </c>
      <c r="H364" s="55" t="s">
        <v>83</v>
      </c>
      <c r="I364" s="55">
        <v>298.14999999999998</v>
      </c>
      <c r="J364" s="56">
        <v>0.06</v>
      </c>
      <c r="K364" s="63">
        <v>8.51</v>
      </c>
      <c r="L364" s="56">
        <v>9.4190000000000003E-3</v>
      </c>
      <c r="M364" s="56">
        <v>9.4190000000000003E-3</v>
      </c>
      <c r="N364" s="57">
        <v>7.7507999999999999</v>
      </c>
      <c r="O364" s="57">
        <v>122.426</v>
      </c>
      <c r="P364" s="56">
        <v>1.3990000000000001E-2</v>
      </c>
      <c r="Q364" s="56">
        <v>3.5309999999999999E-5</v>
      </c>
      <c r="R364" s="19">
        <f t="shared" si="98"/>
        <v>2.0519883540508028E-3</v>
      </c>
    </row>
    <row r="365" spans="6:24" x14ac:dyDescent="0.25">
      <c r="F365" s="221" t="s">
        <v>1091</v>
      </c>
      <c r="G365" s="40" t="s">
        <v>119</v>
      </c>
      <c r="H365" s="40" t="s">
        <v>83</v>
      </c>
      <c r="I365" s="40">
        <f t="shared" ref="I365:I376" si="99">25+273.15</f>
        <v>298.14999999999998</v>
      </c>
      <c r="J365" s="41">
        <v>0.09</v>
      </c>
      <c r="K365" s="62">
        <v>8.75</v>
      </c>
      <c r="L365" s="41">
        <v>2.1999999999999999E-2</v>
      </c>
      <c r="M365" s="41">
        <v>2.1999999999999999E-2</v>
      </c>
      <c r="N365" s="42">
        <v>0.59209999999999996</v>
      </c>
      <c r="O365" s="42">
        <v>122.426</v>
      </c>
      <c r="P365" s="41">
        <v>1.3990000000000001E-2</v>
      </c>
      <c r="Q365" s="41">
        <v>1.013E-5</v>
      </c>
      <c r="R365" s="19">
        <f t="shared" si="98"/>
        <v>5.886899469423572E-4</v>
      </c>
    </row>
    <row r="366" spans="6:24" x14ac:dyDescent="0.25">
      <c r="F366" s="221" t="s">
        <v>1091</v>
      </c>
      <c r="G366" s="14" t="s">
        <v>119</v>
      </c>
      <c r="H366" s="14" t="s">
        <v>83</v>
      </c>
      <c r="I366" s="14">
        <f t="shared" si="99"/>
        <v>298.14999999999998</v>
      </c>
      <c r="J366" s="21">
        <v>0.08</v>
      </c>
      <c r="K366" s="33">
        <v>8.75</v>
      </c>
      <c r="L366" s="21">
        <v>1.9560000000000001E-2</v>
      </c>
      <c r="M366" s="21">
        <v>1.9560000000000001E-2</v>
      </c>
      <c r="N366" s="36">
        <v>2.9811000000000001</v>
      </c>
      <c r="O366" s="36">
        <v>122.426</v>
      </c>
      <c r="P366" s="21">
        <v>1.3990000000000001E-2</v>
      </c>
      <c r="Q366" s="21">
        <v>3.0899999999999999E-5</v>
      </c>
      <c r="R366" s="19">
        <f t="shared" si="98"/>
        <v>1.7957077354905072E-3</v>
      </c>
    </row>
    <row r="367" spans="6:24" x14ac:dyDescent="0.25">
      <c r="F367" s="221" t="s">
        <v>1091</v>
      </c>
      <c r="G367" s="14" t="s">
        <v>119</v>
      </c>
      <c r="H367" s="14" t="s">
        <v>83</v>
      </c>
      <c r="I367" s="14">
        <f t="shared" si="99"/>
        <v>298.14999999999998</v>
      </c>
      <c r="J367" s="21">
        <v>7.0000000000000007E-2</v>
      </c>
      <c r="K367" s="33">
        <v>8.75</v>
      </c>
      <c r="L367" s="21">
        <v>1.711E-2</v>
      </c>
      <c r="M367" s="21">
        <v>1.711E-2</v>
      </c>
      <c r="N367" s="36">
        <v>5.3659600000000003</v>
      </c>
      <c r="O367" s="36">
        <v>122.426</v>
      </c>
      <c r="P367" s="21">
        <v>1.3990000000000001E-2</v>
      </c>
      <c r="Q367" s="21">
        <v>3.8529999999999999E-5</v>
      </c>
      <c r="R367" s="19">
        <f t="shared" si="98"/>
        <v>2.2391138850630823E-3</v>
      </c>
    </row>
    <row r="368" spans="6:24" ht="15.75" thickBot="1" x14ac:dyDescent="0.3">
      <c r="F368" s="221" t="s">
        <v>1091</v>
      </c>
      <c r="G368" s="55" t="s">
        <v>119</v>
      </c>
      <c r="H368" s="55" t="s">
        <v>83</v>
      </c>
      <c r="I368" s="55">
        <f t="shared" si="99"/>
        <v>298.14999999999998</v>
      </c>
      <c r="J368" s="56">
        <v>0.06</v>
      </c>
      <c r="K368" s="63">
        <v>8.75</v>
      </c>
      <c r="L368" s="56">
        <v>1.4670000000000001E-2</v>
      </c>
      <c r="M368" s="56">
        <v>1.4670000000000001E-2</v>
      </c>
      <c r="N368" s="57">
        <v>7.7507999999999999</v>
      </c>
      <c r="O368" s="57">
        <v>122.426</v>
      </c>
      <c r="P368" s="56">
        <v>1.3990000000000001E-2</v>
      </c>
      <c r="Q368" s="56">
        <v>4.5439999999999999E-5</v>
      </c>
      <c r="R368" s="19">
        <f t="shared" si="98"/>
        <v>2.6406783009931601E-3</v>
      </c>
    </row>
    <row r="369" spans="2:46" x14ac:dyDescent="0.25">
      <c r="F369" s="221" t="s">
        <v>1090</v>
      </c>
      <c r="G369" s="40" t="s">
        <v>120</v>
      </c>
      <c r="H369" s="40" t="s">
        <v>83</v>
      </c>
      <c r="I369" s="40">
        <f t="shared" si="99"/>
        <v>298.14999999999998</v>
      </c>
      <c r="J369" s="41">
        <v>0.09</v>
      </c>
      <c r="K369" s="62">
        <v>9</v>
      </c>
      <c r="L369" s="41">
        <v>3.2870000000000003E-2</v>
      </c>
      <c r="M369" s="41">
        <v>3.2870000000000003E-2</v>
      </c>
      <c r="N369" s="42">
        <v>0.59209999999999996</v>
      </c>
      <c r="O369" s="42">
        <v>122.426</v>
      </c>
      <c r="P369" s="41">
        <v>1.3990000000000001E-2</v>
      </c>
      <c r="Q369" s="41">
        <v>1.218E-5</v>
      </c>
      <c r="R369" s="19">
        <f t="shared" si="98"/>
        <v>7.0782266078557859E-4</v>
      </c>
    </row>
    <row r="370" spans="2:46" x14ac:dyDescent="0.25">
      <c r="F370" s="221" t="s">
        <v>1090</v>
      </c>
      <c r="G370" s="14" t="s">
        <v>120</v>
      </c>
      <c r="H370" s="14" t="s">
        <v>83</v>
      </c>
      <c r="I370" s="14">
        <f t="shared" si="99"/>
        <v>298.14999999999998</v>
      </c>
      <c r="J370" s="21">
        <v>0.08</v>
      </c>
      <c r="K370" s="33">
        <v>9</v>
      </c>
      <c r="L370" s="21">
        <v>2.9219999999999999E-2</v>
      </c>
      <c r="M370" s="21">
        <v>2.9219999999999999E-2</v>
      </c>
      <c r="N370" s="36">
        <v>2.9811000000000001</v>
      </c>
      <c r="O370" s="36">
        <v>122.426</v>
      </c>
      <c r="P370" s="21">
        <v>1.3990000000000001E-2</v>
      </c>
      <c r="Q370" s="21">
        <v>3.6789999999999998E-5</v>
      </c>
      <c r="R370" s="19">
        <f t="shared" si="98"/>
        <v>2.137996362093714E-3</v>
      </c>
      <c r="T370" s="213"/>
      <c r="W370" s="213"/>
      <c r="X370" s="213"/>
      <c r="Y370" s="214"/>
      <c r="Z370" s="215"/>
      <c r="AA370" s="1"/>
    </row>
    <row r="371" spans="2:46" x14ac:dyDescent="0.25">
      <c r="F371" s="221" t="s">
        <v>1090</v>
      </c>
      <c r="G371" s="14" t="s">
        <v>120</v>
      </c>
      <c r="H371" s="14" t="s">
        <v>83</v>
      </c>
      <c r="I371" s="14">
        <f t="shared" si="99"/>
        <v>298.14999999999998</v>
      </c>
      <c r="J371" s="21">
        <v>7.0000000000000007E-2</v>
      </c>
      <c r="K371" s="33">
        <v>9</v>
      </c>
      <c r="L371" s="21">
        <v>2.5569999999999999E-2</v>
      </c>
      <c r="M371" s="21">
        <v>2.5569999999999999E-2</v>
      </c>
      <c r="N371" s="36">
        <v>5.3659600000000003</v>
      </c>
      <c r="O371" s="36">
        <v>122.426</v>
      </c>
      <c r="P371" s="21">
        <v>1.3990000000000001E-2</v>
      </c>
      <c r="Q371" s="21">
        <v>4.5550000000000003E-5</v>
      </c>
      <c r="R371" s="19">
        <f t="shared" si="98"/>
        <v>2.6470707880774306E-3</v>
      </c>
      <c r="T371" s="213"/>
      <c r="W371" s="213"/>
      <c r="X371" s="213"/>
      <c r="Y371" s="214"/>
      <c r="Z371" s="215"/>
      <c r="AA371" s="1"/>
    </row>
    <row r="372" spans="2:46" ht="15.75" thickBot="1" x14ac:dyDescent="0.3">
      <c r="B372" s="21"/>
      <c r="F372" s="221" t="s">
        <v>1090</v>
      </c>
      <c r="G372" s="55" t="s">
        <v>120</v>
      </c>
      <c r="H372" s="55" t="s">
        <v>83</v>
      </c>
      <c r="I372" s="55">
        <f t="shared" si="99"/>
        <v>298.14999999999998</v>
      </c>
      <c r="J372" s="56">
        <v>0.06</v>
      </c>
      <c r="K372" s="63">
        <v>9</v>
      </c>
      <c r="L372" s="56">
        <v>2.1919999999999999E-2</v>
      </c>
      <c r="M372" s="56">
        <v>2.1919999999999999E-2</v>
      </c>
      <c r="N372" s="57">
        <v>7.7507999999999999</v>
      </c>
      <c r="O372" s="57">
        <v>122.426</v>
      </c>
      <c r="P372" s="56">
        <v>1.3990000000000001E-2</v>
      </c>
      <c r="Q372" s="56">
        <v>4.6999999999999997E-5</v>
      </c>
      <c r="R372" s="19">
        <f t="shared" si="98"/>
        <v>2.7313353905519039E-3</v>
      </c>
      <c r="T372" s="213"/>
      <c r="W372" s="213"/>
      <c r="X372" s="213"/>
      <c r="Y372" s="214"/>
      <c r="Z372" s="215"/>
      <c r="AA372" s="1"/>
    </row>
    <row r="373" spans="2:46" x14ac:dyDescent="0.25">
      <c r="B373" s="21"/>
      <c r="F373" s="221"/>
      <c r="G373" s="40" t="s">
        <v>121</v>
      </c>
      <c r="H373" s="40" t="s">
        <v>83</v>
      </c>
      <c r="I373" s="40">
        <f t="shared" si="99"/>
        <v>298.14999999999998</v>
      </c>
      <c r="J373" s="41">
        <v>8.5000000000000006E-2</v>
      </c>
      <c r="K373" s="62">
        <v>9.6999999999999993</v>
      </c>
      <c r="L373" s="41">
        <v>6.3119999999999996E-2</v>
      </c>
      <c r="M373" s="41">
        <v>6.3119999999999996E-2</v>
      </c>
      <c r="N373" s="42">
        <v>2.06</v>
      </c>
      <c r="O373" s="42">
        <v>82.5</v>
      </c>
      <c r="P373" s="41">
        <v>0.27980899999999997</v>
      </c>
      <c r="Q373" s="41"/>
      <c r="R373" s="19">
        <f t="shared" si="98"/>
        <v>0</v>
      </c>
      <c r="T373" s="213"/>
      <c r="W373" s="213"/>
      <c r="X373" s="213"/>
      <c r="Y373" s="214"/>
      <c r="Z373" s="215"/>
      <c r="AA373" s="1"/>
    </row>
    <row r="374" spans="2:46" x14ac:dyDescent="0.25">
      <c r="B374" s="21"/>
      <c r="F374" s="221"/>
      <c r="G374" s="14" t="s">
        <v>121</v>
      </c>
      <c r="H374" s="14" t="s">
        <v>83</v>
      </c>
      <c r="I374" s="14">
        <f t="shared" si="99"/>
        <v>298.14999999999998</v>
      </c>
      <c r="J374" s="21">
        <v>0.08</v>
      </c>
      <c r="K374" s="33">
        <v>9.6999999999999993</v>
      </c>
      <c r="L374" s="21">
        <v>5.9400000000000001E-2</v>
      </c>
      <c r="M374" s="21">
        <v>5.9400000000000001E-2</v>
      </c>
      <c r="N374" s="36">
        <v>4.12</v>
      </c>
      <c r="O374" s="36">
        <v>82.5</v>
      </c>
      <c r="P374" s="41">
        <v>0.27980899999999997</v>
      </c>
      <c r="Q374" s="21"/>
      <c r="R374" s="19">
        <f t="shared" si="98"/>
        <v>0</v>
      </c>
      <c r="T374" s="213"/>
      <c r="W374" s="213"/>
      <c r="X374" s="213"/>
      <c r="Y374" s="214"/>
      <c r="Z374" s="215"/>
      <c r="AA374" s="1"/>
    </row>
    <row r="375" spans="2:46" ht="15.75" thickBot="1" x14ac:dyDescent="0.3">
      <c r="B375" s="56"/>
      <c r="F375" s="221"/>
      <c r="G375" s="14" t="s">
        <v>121</v>
      </c>
      <c r="H375" s="14" t="s">
        <v>83</v>
      </c>
      <c r="I375" s="14">
        <f t="shared" si="99"/>
        <v>298.14999999999998</v>
      </c>
      <c r="J375" s="21">
        <v>7.4999999999999997E-2</v>
      </c>
      <c r="K375" s="33">
        <v>9.6999999999999993</v>
      </c>
      <c r="L375" s="21">
        <v>5.5690000000000003E-2</v>
      </c>
      <c r="M375" s="21">
        <v>5.5690000000000003E-2</v>
      </c>
      <c r="N375" s="36">
        <v>6.19</v>
      </c>
      <c r="O375" s="36">
        <v>82.5</v>
      </c>
      <c r="P375" s="41">
        <v>0.27980899999999997</v>
      </c>
      <c r="Q375" s="21"/>
      <c r="R375" s="19">
        <f t="shared" si="98"/>
        <v>0</v>
      </c>
      <c r="T375" s="213"/>
      <c r="W375" s="213"/>
      <c r="X375" s="213"/>
      <c r="Y375" s="214"/>
      <c r="Z375" s="215"/>
      <c r="AA375" s="1"/>
    </row>
    <row r="376" spans="2:46" ht="15.75" thickBot="1" x14ac:dyDescent="0.3">
      <c r="B376" s="21"/>
      <c r="F376" s="221"/>
      <c r="G376" s="55" t="s">
        <v>121</v>
      </c>
      <c r="H376" s="55" t="s">
        <v>83</v>
      </c>
      <c r="I376" s="55">
        <f t="shared" si="99"/>
        <v>298.14999999999998</v>
      </c>
      <c r="J376" s="56">
        <v>7.0000000000000007E-2</v>
      </c>
      <c r="K376" s="63">
        <v>9.6999999999999993</v>
      </c>
      <c r="L376" s="56">
        <v>5.1979999999999998E-2</v>
      </c>
      <c r="M376" s="56">
        <v>5.1979999999999998E-2</v>
      </c>
      <c r="N376" s="57">
        <v>8.25</v>
      </c>
      <c r="O376" s="57">
        <v>82.5</v>
      </c>
      <c r="P376" s="56">
        <v>0.27980899999999997</v>
      </c>
      <c r="Q376" s="56"/>
      <c r="R376" s="19">
        <f t="shared" si="98"/>
        <v>0</v>
      </c>
      <c r="T376" s="213"/>
      <c r="W376" s="213"/>
      <c r="X376" s="213"/>
      <c r="Y376" s="214"/>
      <c r="AA376" s="1"/>
    </row>
    <row r="377" spans="2:46" x14ac:dyDescent="0.25">
      <c r="B377" s="21"/>
      <c r="F377" s="221" t="s">
        <v>1092</v>
      </c>
      <c r="G377" s="40" t="s">
        <v>118</v>
      </c>
      <c r="H377" s="40" t="s">
        <v>83</v>
      </c>
      <c r="I377" s="40">
        <v>298.14999999999998</v>
      </c>
      <c r="J377" s="41">
        <v>8.5000000000000006E-2</v>
      </c>
      <c r="K377" s="62">
        <v>8.51</v>
      </c>
      <c r="L377" s="41">
        <v>1.3339999999999999E-2</v>
      </c>
      <c r="M377" s="41">
        <v>1.3339999999999999E-2</v>
      </c>
      <c r="N377" s="42">
        <v>0.37</v>
      </c>
      <c r="O377" s="42">
        <v>122.43</v>
      </c>
      <c r="P377" s="41">
        <v>2.7980999999999999E-2</v>
      </c>
      <c r="Q377" s="41">
        <v>2.0039999999999999E-7</v>
      </c>
      <c r="R377" s="19">
        <f t="shared" si="98"/>
        <v>5.822766493988517E-6</v>
      </c>
      <c r="T377" s="213"/>
      <c r="W377" s="213"/>
      <c r="X377" s="213"/>
      <c r="Y377" s="214"/>
    </row>
    <row r="378" spans="2:46" x14ac:dyDescent="0.25">
      <c r="B378" s="21"/>
      <c r="F378" s="221" t="s">
        <v>1092</v>
      </c>
      <c r="G378" s="14" t="s">
        <v>118</v>
      </c>
      <c r="H378" s="14" t="s">
        <v>83</v>
      </c>
      <c r="I378" s="14">
        <v>298.14999999999998</v>
      </c>
      <c r="J378" s="21">
        <v>8.5000000000000006E-2</v>
      </c>
      <c r="K378" s="33">
        <v>8.51</v>
      </c>
      <c r="L378" s="21">
        <v>1.3339999999999999E-2</v>
      </c>
      <c r="M378" s="21">
        <v>1.3339999999999999E-2</v>
      </c>
      <c r="N378" s="36">
        <v>1.83</v>
      </c>
      <c r="O378" s="36">
        <v>122.43</v>
      </c>
      <c r="P378" s="21">
        <v>2.7980999999999999E-2</v>
      </c>
      <c r="Q378" s="21">
        <v>1.0560000000000001E-5</v>
      </c>
      <c r="R378" s="19">
        <f t="shared" si="98"/>
        <v>3.0682841405448475E-4</v>
      </c>
      <c r="T378" s="213"/>
      <c r="W378" s="213"/>
      <c r="X378" s="213"/>
      <c r="Y378" s="214"/>
    </row>
    <row r="379" spans="2:46" ht="15.75" thickBot="1" x14ac:dyDescent="0.3">
      <c r="B379" s="56"/>
      <c r="F379" s="221" t="s">
        <v>1092</v>
      </c>
      <c r="G379" s="14" t="s">
        <v>118</v>
      </c>
      <c r="H379" s="14" t="s">
        <v>83</v>
      </c>
      <c r="I379" s="14">
        <v>298.14999999999998</v>
      </c>
      <c r="J379" s="21">
        <v>8.5000000000000006E-2</v>
      </c>
      <c r="K379" s="33">
        <v>8.51</v>
      </c>
      <c r="L379" s="21">
        <v>1.3339999999999999E-2</v>
      </c>
      <c r="M379" s="21">
        <v>1.3339999999999999E-2</v>
      </c>
      <c r="N379" s="36">
        <v>3.65</v>
      </c>
      <c r="O379" s="36">
        <v>122.43</v>
      </c>
      <c r="P379" s="21">
        <v>2.7980999999999999E-2</v>
      </c>
      <c r="Q379" s="21">
        <v>6.2149999999999998E-6</v>
      </c>
      <c r="R379" s="19">
        <f t="shared" si="98"/>
        <v>1.8058130618831653E-4</v>
      </c>
      <c r="T379" s="213"/>
      <c r="W379" s="213"/>
      <c r="X379" s="213"/>
    </row>
    <row r="380" spans="2:46" ht="15.75" thickBot="1" x14ac:dyDescent="0.3">
      <c r="F380" s="221" t="s">
        <v>1092</v>
      </c>
      <c r="G380" s="55" t="s">
        <v>118</v>
      </c>
      <c r="H380" s="55" t="s">
        <v>83</v>
      </c>
      <c r="I380" s="55">
        <v>298.14999999999998</v>
      </c>
      <c r="J380" s="56">
        <v>8.5000000000000006E-2</v>
      </c>
      <c r="K380" s="63">
        <v>8.51</v>
      </c>
      <c r="L380" s="56">
        <v>1.3339999999999999E-2</v>
      </c>
      <c r="M380" s="56">
        <v>1.3339999999999999E-2</v>
      </c>
      <c r="N380" s="57">
        <v>7.31</v>
      </c>
      <c r="O380" s="57">
        <v>122.43</v>
      </c>
      <c r="P380" s="56">
        <v>2.7980999999999999E-2</v>
      </c>
      <c r="Q380" s="56">
        <v>1.8300000000000001E-5</v>
      </c>
      <c r="R380" s="19">
        <f t="shared" si="98"/>
        <v>5.3171969481032868E-4</v>
      </c>
      <c r="T380" s="213"/>
      <c r="W380" s="213"/>
      <c r="X380" s="213"/>
    </row>
    <row r="381" spans="2:46" x14ac:dyDescent="0.25">
      <c r="F381" s="221" t="s">
        <v>1093</v>
      </c>
      <c r="G381" s="40" t="s">
        <v>128</v>
      </c>
      <c r="H381" s="40" t="s">
        <v>81</v>
      </c>
      <c r="I381" s="40">
        <v>298.14999999999998</v>
      </c>
      <c r="J381" s="41">
        <v>7.4999999999999997E-2</v>
      </c>
      <c r="K381" s="62">
        <v>8</v>
      </c>
      <c r="L381" s="41">
        <v>0.14480000000000001</v>
      </c>
      <c r="M381" s="41">
        <v>0.21460000000000001</v>
      </c>
      <c r="N381" s="42">
        <v>6.33</v>
      </c>
      <c r="O381" s="42">
        <v>122.43</v>
      </c>
      <c r="P381" s="41">
        <v>2.7980999999999999E-2</v>
      </c>
      <c r="Q381" s="41">
        <v>1.6969999999999998E-5</v>
      </c>
      <c r="R381" s="19">
        <f t="shared" si="98"/>
        <v>4.930755858432392E-4</v>
      </c>
      <c r="T381" s="15" t="s">
        <v>1059</v>
      </c>
      <c r="U381" s="15"/>
      <c r="V381" s="15"/>
      <c r="W381" s="15"/>
      <c r="X381" s="15"/>
      <c r="Y381" s="15"/>
      <c r="Z381" s="15" t="s">
        <v>1074</v>
      </c>
      <c r="AA381" s="15" t="s">
        <v>1074</v>
      </c>
      <c r="AB381" s="15"/>
      <c r="AC381" s="213"/>
      <c r="AD381" s="15"/>
      <c r="AE381" s="15" t="s">
        <v>1074</v>
      </c>
      <c r="AF381" s="15" t="s">
        <v>1074</v>
      </c>
      <c r="AG381" s="15"/>
      <c r="AH381" s="34"/>
      <c r="AI381" s="213"/>
      <c r="AJ381" s="213"/>
      <c r="AK381" s="213"/>
      <c r="AL381" s="213"/>
      <c r="AM381" s="213"/>
      <c r="AN381" s="213"/>
    </row>
    <row r="382" spans="2:46" x14ac:dyDescent="0.25">
      <c r="F382" s="221" t="s">
        <v>1093</v>
      </c>
      <c r="G382" s="14" t="s">
        <v>128</v>
      </c>
      <c r="H382" s="14" t="s">
        <v>81</v>
      </c>
      <c r="I382" s="14">
        <v>298.14999999999998</v>
      </c>
      <c r="J382" s="21">
        <v>7.4999999999999997E-2</v>
      </c>
      <c r="K382" s="33">
        <v>8</v>
      </c>
      <c r="L382" s="41">
        <v>0.14480000000000001</v>
      </c>
      <c r="M382" s="41">
        <v>0.21460000000000001</v>
      </c>
      <c r="N382" s="36">
        <v>3.16</v>
      </c>
      <c r="O382" s="36">
        <v>122.43</v>
      </c>
      <c r="P382" s="21">
        <v>2.7980999999999999E-2</v>
      </c>
      <c r="Q382" s="21">
        <v>1.7200000000000001E-5</v>
      </c>
      <c r="R382" s="19">
        <f t="shared" si="98"/>
        <v>4.9975840167965318E-4</v>
      </c>
      <c r="T382" s="15" t="s">
        <v>1060</v>
      </c>
      <c r="U382" s="15" t="s">
        <v>80</v>
      </c>
      <c r="V382" s="15" t="s">
        <v>2</v>
      </c>
      <c r="W382" s="15" t="s">
        <v>1</v>
      </c>
      <c r="X382" s="15" t="s">
        <v>1062</v>
      </c>
      <c r="Y382" s="15" t="s">
        <v>16</v>
      </c>
      <c r="Z382" s="15" t="s">
        <v>1076</v>
      </c>
      <c r="AA382" s="15" t="s">
        <v>1075</v>
      </c>
      <c r="AB382" s="237" t="s">
        <v>1083</v>
      </c>
      <c r="AC382" s="15" t="s">
        <v>1087</v>
      </c>
      <c r="AD382" s="15" t="s">
        <v>1084</v>
      </c>
      <c r="AE382" s="15" t="s">
        <v>17</v>
      </c>
      <c r="AF382" s="15" t="s">
        <v>1077</v>
      </c>
      <c r="AG382" s="15" t="s">
        <v>1078</v>
      </c>
      <c r="AH382" s="15" t="s">
        <v>1083</v>
      </c>
      <c r="AI382" s="15" t="s">
        <v>1084</v>
      </c>
      <c r="AJ382" s="15" t="s">
        <v>256</v>
      </c>
      <c r="AK382" s="236" t="s">
        <v>1069</v>
      </c>
      <c r="AL382" s="15" t="s">
        <v>1073</v>
      </c>
      <c r="AM382" s="236" t="s">
        <v>1063</v>
      </c>
      <c r="AN382" s="236" t="s">
        <v>1064</v>
      </c>
      <c r="AQ382" s="213" t="s">
        <v>1082</v>
      </c>
      <c r="AR382" s="213"/>
      <c r="AS382" s="213"/>
      <c r="AT382" s="213"/>
    </row>
    <row r="383" spans="2:46" x14ac:dyDescent="0.25">
      <c r="F383" s="221" t="s">
        <v>1093</v>
      </c>
      <c r="G383" s="14" t="s">
        <v>128</v>
      </c>
      <c r="H383" s="14" t="s">
        <v>81</v>
      </c>
      <c r="I383" s="14">
        <v>298.14999999999998</v>
      </c>
      <c r="J383" s="21">
        <v>7.4999999999999997E-2</v>
      </c>
      <c r="K383" s="33">
        <v>8</v>
      </c>
      <c r="L383" s="41">
        <v>0.14480000000000001</v>
      </c>
      <c r="M383" s="41">
        <v>0.21460000000000001</v>
      </c>
      <c r="N383" s="36">
        <v>1.27</v>
      </c>
      <c r="O383" s="36">
        <v>122.43</v>
      </c>
      <c r="P383" s="21">
        <v>2.7980999999999999E-2</v>
      </c>
      <c r="Q383" s="21">
        <v>1.3360000000000001E-5</v>
      </c>
      <c r="R383" s="19">
        <f t="shared" si="98"/>
        <v>3.8818443293256786E-4</v>
      </c>
      <c r="T383" s="213" t="str">
        <f>G357</f>
        <v>data59</v>
      </c>
      <c r="U383" t="str">
        <f>H357</f>
        <v>Boric</v>
      </c>
      <c r="V383" s="215">
        <f>K357</f>
        <v>8.51</v>
      </c>
      <c r="W383" s="1">
        <f>O357</f>
        <v>122.426</v>
      </c>
      <c r="X383" s="214">
        <f>P357</f>
        <v>2.7980999999999999E-2</v>
      </c>
      <c r="Y383" s="216">
        <v>5.9530000000000001E-5</v>
      </c>
      <c r="Z383" s="216">
        <v>5.0880000000000001E-5</v>
      </c>
      <c r="AA383" s="216">
        <v>6.8180000000000001E-5</v>
      </c>
      <c r="AB383" s="216">
        <f>(AA383-Z383)/3.92</f>
        <v>4.4132653061224495E-6</v>
      </c>
      <c r="AC383" s="216">
        <f>AB383/2</f>
        <v>2.2066326530612248E-6</v>
      </c>
      <c r="AD383" s="127">
        <f>(AB383/Y383)*100</f>
        <v>7.4135147087560043</v>
      </c>
      <c r="AE383" s="215">
        <v>2.3079999999999998</v>
      </c>
      <c r="AF383" s="215">
        <v>1.3080000000000001</v>
      </c>
      <c r="AG383" s="215">
        <v>3.3090000000000002</v>
      </c>
      <c r="AH383" s="215">
        <f>(AG383-AF383)/3.92</f>
        <v>0.51045918367346943</v>
      </c>
      <c r="AI383" s="127">
        <f>(AH383/AE383)*100</f>
        <v>22.116949032645991</v>
      </c>
      <c r="AJ383" s="1">
        <v>0.99690000000000001</v>
      </c>
      <c r="AK383" s="216">
        <f>Y383/X383</f>
        <v>2.1275150995318255E-3</v>
      </c>
      <c r="AL383" s="216">
        <f>Y383/(AE383*X383)</f>
        <v>9.2180030309004575E-4</v>
      </c>
      <c r="AM383" s="215">
        <f>LOG10(AK383)</f>
        <v>-2.6721273489307631</v>
      </c>
      <c r="AN383" s="215">
        <f>LOG10(AL383)</f>
        <v>-3.0353631534144569</v>
      </c>
      <c r="AQ383" s="213" t="s">
        <v>1070</v>
      </c>
      <c r="AR383" s="214">
        <v>3.4620000000000001E-4</v>
      </c>
      <c r="AS383" s="213" t="s">
        <v>1133</v>
      </c>
      <c r="AT383" s="213"/>
    </row>
    <row r="384" spans="2:46" ht="15.75" thickBot="1" x14ac:dyDescent="0.3">
      <c r="F384" s="221" t="s">
        <v>1093</v>
      </c>
      <c r="G384" s="55" t="s">
        <v>128</v>
      </c>
      <c r="H384" s="55" t="s">
        <v>81</v>
      </c>
      <c r="I384" s="55">
        <v>298.14999999999998</v>
      </c>
      <c r="J384" s="56">
        <v>7.4999999999999997E-2</v>
      </c>
      <c r="K384" s="63">
        <v>8</v>
      </c>
      <c r="L384" s="56">
        <v>0.14480000000000001</v>
      </c>
      <c r="M384" s="56">
        <v>0.21460000000000001</v>
      </c>
      <c r="N384" s="57">
        <v>0.32</v>
      </c>
      <c r="O384" s="57">
        <v>122.43</v>
      </c>
      <c r="P384" s="56">
        <v>2.7980999999999999E-2</v>
      </c>
      <c r="Q384" s="56">
        <v>7.7540000000000006E-6</v>
      </c>
      <c r="R384" s="19">
        <f t="shared" si="98"/>
        <v>2.2529806085023435E-4</v>
      </c>
      <c r="T384" s="213" t="str">
        <f>G361</f>
        <v>data60</v>
      </c>
      <c r="U384" s="215" t="str">
        <f>H361</f>
        <v>Boric</v>
      </c>
      <c r="V384" s="215">
        <f>K361</f>
        <v>8.51</v>
      </c>
      <c r="W384" s="1">
        <f>O361</f>
        <v>122.426</v>
      </c>
      <c r="X384" s="214">
        <f>P361</f>
        <v>1.3990000000000001E-2</v>
      </c>
      <c r="Y384" s="216">
        <v>4.8539999999999999E-5</v>
      </c>
      <c r="Z384" s="216">
        <v>3.6520000000000003E-5</v>
      </c>
      <c r="AA384" s="216">
        <v>6.0550000000000001E-5</v>
      </c>
      <c r="AB384" s="216">
        <f t="shared" ref="AB384:AB392" si="100">(AA384-Z384)/3.92</f>
        <v>6.1301020408163261E-6</v>
      </c>
      <c r="AC384" s="216">
        <f t="shared" ref="AC384:AC392" si="101">AB384/2</f>
        <v>3.065051020408163E-6</v>
      </c>
      <c r="AD384" s="127">
        <f t="shared" ref="AD384:AD392" si="102">(AB384/Y384)*100</f>
        <v>12.628970005802072</v>
      </c>
      <c r="AE384" s="215">
        <v>2.7090000000000001</v>
      </c>
      <c r="AF384" s="215">
        <v>0.85770000000000002</v>
      </c>
      <c r="AG384" s="215">
        <v>4.5599999999999996</v>
      </c>
      <c r="AH384" s="215">
        <f t="shared" ref="AH384:AH392" si="103">(AG384-AF384)/3.92</f>
        <v>0.94446428571428565</v>
      </c>
      <c r="AI384" s="127">
        <f t="shared" ref="AI384:AI392" si="104">(AH384/AE384)*100</f>
        <v>34.863945578231288</v>
      </c>
      <c r="AJ384" s="1">
        <v>0.99380000000000002</v>
      </c>
      <c r="AK384" s="216">
        <f t="shared" ref="AK384:AK392" si="105">Y384/X384</f>
        <v>3.4696211579699782E-3</v>
      </c>
      <c r="AL384" s="216">
        <f t="shared" ref="AL384:AL392" si="106">Y384/(AE384*X384)</f>
        <v>1.2807756212513764E-3</v>
      </c>
      <c r="AM384" s="215">
        <f t="shared" ref="AM384:AM392" si="107">LOG10(AK384)</f>
        <v>-2.4597179424959119</v>
      </c>
      <c r="AN384" s="215">
        <f t="shared" ref="AN384:AN392" si="108">LOG10(AL384)</f>
        <v>-2.8925269475290798</v>
      </c>
      <c r="AQ384" s="213" t="s">
        <v>1071</v>
      </c>
      <c r="AR384" s="213">
        <v>7.9329999999999998</v>
      </c>
      <c r="AS384" s="213" t="s">
        <v>1134</v>
      </c>
      <c r="AT384" s="213"/>
    </row>
    <row r="385" spans="6:46" x14ac:dyDescent="0.25">
      <c r="F385" s="221" t="s">
        <v>1094</v>
      </c>
      <c r="G385" s="40" t="s">
        <v>122</v>
      </c>
      <c r="H385" s="40" t="s">
        <v>81</v>
      </c>
      <c r="I385" s="40">
        <v>298.14999999999998</v>
      </c>
      <c r="J385" s="41">
        <v>8.5000000000000006E-2</v>
      </c>
      <c r="K385" s="62">
        <v>8.01</v>
      </c>
      <c r="L385" s="41">
        <v>1.6410000000000001E-2</v>
      </c>
      <c r="M385" s="41">
        <v>0.24329999999999999</v>
      </c>
      <c r="N385" s="42">
        <v>7.31</v>
      </c>
      <c r="O385" s="42">
        <v>122.43</v>
      </c>
      <c r="P385" s="41">
        <v>2.7980999999999999E-2</v>
      </c>
      <c r="Q385" s="41">
        <v>1.8810000000000001E-5</v>
      </c>
      <c r="R385" s="19">
        <f t="shared" si="98"/>
        <v>5.4653811253455096E-4</v>
      </c>
      <c r="T385" s="213" t="str">
        <f>G365</f>
        <v>data61</v>
      </c>
      <c r="U385" t="str">
        <f>H365</f>
        <v>Boric</v>
      </c>
      <c r="V385" s="215">
        <f>K365</f>
        <v>8.75</v>
      </c>
      <c r="W385" s="1">
        <f>O365</f>
        <v>122.426</v>
      </c>
      <c r="X385" s="214">
        <f>P365</f>
        <v>1.3990000000000001E-2</v>
      </c>
      <c r="Y385" s="216">
        <v>6.2929999999999995E-5</v>
      </c>
      <c r="Z385" s="216">
        <v>4.8940000000000002E-5</v>
      </c>
      <c r="AA385" s="216">
        <v>7.6920000000000002E-5</v>
      </c>
      <c r="AB385" s="216">
        <f t="shared" si="100"/>
        <v>7.1377551020408165E-6</v>
      </c>
      <c r="AC385" s="216">
        <f t="shared" si="101"/>
        <v>3.5688775510204082E-6</v>
      </c>
      <c r="AD385" s="127">
        <f t="shared" si="102"/>
        <v>11.342372639505509</v>
      </c>
      <c r="AE385" s="215">
        <v>3.161</v>
      </c>
      <c r="AF385" s="215">
        <v>1.36</v>
      </c>
      <c r="AG385" s="215">
        <v>4.9619999999999997</v>
      </c>
      <c r="AH385" s="215">
        <f t="shared" si="103"/>
        <v>0.91887755102040802</v>
      </c>
      <c r="AI385" s="127">
        <f t="shared" si="104"/>
        <v>29.06920439798823</v>
      </c>
      <c r="AJ385" s="1">
        <v>0.99590000000000001</v>
      </c>
      <c r="AK385" s="216">
        <f t="shared" si="105"/>
        <v>4.4982130092923508E-3</v>
      </c>
      <c r="AL385" s="216">
        <f t="shared" si="106"/>
        <v>1.4230348020538915E-3</v>
      </c>
      <c r="AM385" s="215">
        <f t="shared" si="107"/>
        <v>-2.3469599827443419</v>
      </c>
      <c r="AN385" s="215">
        <f t="shared" si="108"/>
        <v>-2.8467844785839218</v>
      </c>
      <c r="AQ385" s="213" t="s">
        <v>1072</v>
      </c>
      <c r="AR385" s="213">
        <v>0.66769999999999996</v>
      </c>
      <c r="AS385" s="213"/>
      <c r="AT385" s="213"/>
    </row>
    <row r="386" spans="6:46" x14ac:dyDescent="0.25">
      <c r="F386" s="221" t="s">
        <v>1094</v>
      </c>
      <c r="G386" s="14" t="s">
        <v>122</v>
      </c>
      <c r="H386" s="14" t="s">
        <v>81</v>
      </c>
      <c r="I386" s="14">
        <v>298.14999999999998</v>
      </c>
      <c r="J386" s="21">
        <v>8.5000000000000006E-2</v>
      </c>
      <c r="K386" s="33">
        <v>8.01</v>
      </c>
      <c r="L386" s="41">
        <v>1.6410000000000001E-2</v>
      </c>
      <c r="M386" s="41">
        <v>0.24329999999999999</v>
      </c>
      <c r="N386" s="36">
        <v>3.65</v>
      </c>
      <c r="O386" s="36">
        <v>122.43</v>
      </c>
      <c r="P386" s="41">
        <v>2.7980999999999999E-2</v>
      </c>
      <c r="Q386" s="21">
        <v>2.0409999999999999E-5</v>
      </c>
      <c r="R386" s="19">
        <f t="shared" si="98"/>
        <v>5.9302726617916984E-4</v>
      </c>
      <c r="T386" s="213" t="str">
        <f>G369</f>
        <v>data62</v>
      </c>
      <c r="U386" t="str">
        <f>H369</f>
        <v>Boric</v>
      </c>
      <c r="V386" s="215">
        <f>K369</f>
        <v>9</v>
      </c>
      <c r="W386" s="1">
        <f>O369</f>
        <v>122.426</v>
      </c>
      <c r="X386" s="214">
        <f>P369</f>
        <v>1.3990000000000001E-2</v>
      </c>
      <c r="Y386" s="216">
        <v>6.1690000000000001E-5</v>
      </c>
      <c r="Z386" s="216">
        <v>4.477E-5</v>
      </c>
      <c r="AA386" s="216">
        <v>7.86E-5</v>
      </c>
      <c r="AB386" s="216">
        <f t="shared" si="100"/>
        <v>8.6301020408163267E-6</v>
      </c>
      <c r="AC386" s="216">
        <f t="shared" si="101"/>
        <v>4.3150510204081633E-6</v>
      </c>
      <c r="AD386" s="127">
        <f t="shared" si="102"/>
        <v>13.989466754443713</v>
      </c>
      <c r="AE386" s="215">
        <v>2.1179999999999999</v>
      </c>
      <c r="AF386" s="215">
        <v>0.31419999999999998</v>
      </c>
      <c r="AG386" s="215">
        <v>3.9220000000000002</v>
      </c>
      <c r="AH386" s="215">
        <f t="shared" si="103"/>
        <v>0.92035714285714287</v>
      </c>
      <c r="AI386" s="127">
        <f t="shared" si="104"/>
        <v>43.454067179279647</v>
      </c>
      <c r="AJ386" s="1">
        <v>0.98839999999999995</v>
      </c>
      <c r="AK386" s="216">
        <f t="shared" si="105"/>
        <v>4.4095782701929946E-3</v>
      </c>
      <c r="AL386" s="216">
        <f t="shared" si="106"/>
        <v>2.0819538575037747E-3</v>
      </c>
      <c r="AM386" s="215">
        <f t="shared" si="107"/>
        <v>-2.3556029442478486</v>
      </c>
      <c r="AN386" s="215">
        <f t="shared" si="108"/>
        <v>-2.6815289000193143</v>
      </c>
      <c r="AQ386" s="213" t="s">
        <v>2</v>
      </c>
      <c r="AR386" s="213" t="s">
        <v>1088</v>
      </c>
      <c r="AS386" s="213"/>
      <c r="AT386" s="213"/>
    </row>
    <row r="387" spans="6:46" x14ac:dyDescent="0.25">
      <c r="F387" s="221" t="s">
        <v>1094</v>
      </c>
      <c r="G387" s="14" t="s">
        <v>122</v>
      </c>
      <c r="H387" s="14" t="s">
        <v>81</v>
      </c>
      <c r="I387" s="14">
        <v>298.14999999999998</v>
      </c>
      <c r="J387" s="21">
        <v>8.5000000000000006E-2</v>
      </c>
      <c r="K387" s="33">
        <v>8.01</v>
      </c>
      <c r="L387" s="41">
        <v>1.6410000000000001E-2</v>
      </c>
      <c r="M387" s="41">
        <v>0.24329999999999999</v>
      </c>
      <c r="N387" s="36">
        <v>1.83</v>
      </c>
      <c r="O387" s="36">
        <v>122.43</v>
      </c>
      <c r="P387" s="41">
        <v>2.7980999999999999E-2</v>
      </c>
      <c r="Q387" s="21">
        <v>1.6929999999999999E-5</v>
      </c>
      <c r="R387" s="19">
        <f t="shared" si="98"/>
        <v>4.9191335700212368E-4</v>
      </c>
      <c r="T387" s="213" t="str">
        <f>G377</f>
        <v>data66</v>
      </c>
      <c r="U387" s="215" t="str">
        <f>H377</f>
        <v>Boric</v>
      </c>
      <c r="V387" s="215">
        <f>K377</f>
        <v>8.51</v>
      </c>
      <c r="W387" s="1">
        <f>O377</f>
        <v>122.43</v>
      </c>
      <c r="X387" s="214">
        <f>P377</f>
        <v>2.7980999999999999E-2</v>
      </c>
      <c r="Y387" s="216">
        <v>5.2500000000000002E-5</v>
      </c>
      <c r="Z387" s="216">
        <v>-4.191E-4</v>
      </c>
      <c r="AA387" s="216">
        <v>5.241E-4</v>
      </c>
      <c r="AB387" s="216">
        <f t="shared" si="100"/>
        <v>2.4061224489795916E-4</v>
      </c>
      <c r="AC387" s="216">
        <f t="shared" si="101"/>
        <v>1.2030612244897958E-4</v>
      </c>
      <c r="AD387" s="127">
        <f t="shared" si="102"/>
        <v>458.30903790087456</v>
      </c>
      <c r="AE387" s="215">
        <v>14.82</v>
      </c>
      <c r="AF387" s="215">
        <v>-169.2</v>
      </c>
      <c r="AG387" s="215">
        <v>198.8</v>
      </c>
      <c r="AH387" s="215">
        <f t="shared" si="103"/>
        <v>93.877551020408163</v>
      </c>
      <c r="AI387" s="127">
        <f t="shared" si="104"/>
        <v>633.45176127131015</v>
      </c>
      <c r="AJ387" s="1"/>
      <c r="AK387" s="216">
        <f t="shared" si="105"/>
        <v>1.8762731853757908E-3</v>
      </c>
      <c r="AL387" s="216">
        <f t="shared" si="106"/>
        <v>1.2660412856786712E-4</v>
      </c>
      <c r="AM387" s="215">
        <f t="shared" si="107"/>
        <v>-2.7267039280765597</v>
      </c>
      <c r="AN387" s="215">
        <f t="shared" si="108"/>
        <v>-3.8975521317198694</v>
      </c>
      <c r="AQ387" s="213">
        <v>6</v>
      </c>
      <c r="AR387" s="213">
        <f t="shared" ref="AR387:AR396" si="109">LOG10($AR$383/(1+10^($AR$384-AQ387)))</f>
        <v>-5.3987109908180404</v>
      </c>
      <c r="AS387" s="213"/>
      <c r="AT387" s="213"/>
    </row>
    <row r="388" spans="6:46" ht="15.75" thickBot="1" x14ac:dyDescent="0.3">
      <c r="F388" s="221" t="s">
        <v>1094</v>
      </c>
      <c r="G388" s="55" t="s">
        <v>122</v>
      </c>
      <c r="H388" s="55" t="s">
        <v>81</v>
      </c>
      <c r="I388" s="55">
        <v>298.14999999999998</v>
      </c>
      <c r="J388" s="56">
        <v>8.5000000000000006E-2</v>
      </c>
      <c r="K388" s="63">
        <v>8.01</v>
      </c>
      <c r="L388" s="56">
        <v>1.6410000000000001E-2</v>
      </c>
      <c r="M388" s="56">
        <v>0.24329999999999999</v>
      </c>
      <c r="N388" s="57">
        <v>0.37</v>
      </c>
      <c r="O388" s="57">
        <v>122.43</v>
      </c>
      <c r="P388" s="56">
        <v>2.7980999999999999E-2</v>
      </c>
      <c r="Q388" s="56">
        <v>1.3869999999999999E-5</v>
      </c>
      <c r="R388" s="19">
        <f t="shared" si="98"/>
        <v>4.0300285065679009E-4</v>
      </c>
      <c r="T388" t="str">
        <f>G381</f>
        <v>data74</v>
      </c>
      <c r="U388" t="str">
        <f>H381</f>
        <v>Phos</v>
      </c>
      <c r="V388" s="215">
        <f>K381</f>
        <v>8</v>
      </c>
      <c r="W388" s="1">
        <f>O381</f>
        <v>122.43</v>
      </c>
      <c r="X388" s="214">
        <f>P381</f>
        <v>2.7980999999999999E-2</v>
      </c>
      <c r="Y388" s="216">
        <v>1.8770000000000002E-5</v>
      </c>
      <c r="Z388" s="216">
        <v>1.5529999999999999E-5</v>
      </c>
      <c r="AA388" s="216">
        <v>2.2010000000000001E-5</v>
      </c>
      <c r="AB388" s="216">
        <f t="shared" si="100"/>
        <v>1.6530612244897966E-6</v>
      </c>
      <c r="AC388" s="216">
        <f t="shared" si="101"/>
        <v>8.2653061224489832E-7</v>
      </c>
      <c r="AD388" s="127">
        <f t="shared" si="102"/>
        <v>8.8069324693116489</v>
      </c>
      <c r="AE388" s="215">
        <v>0.46060000000000001</v>
      </c>
      <c r="AF388" s="215">
        <v>9.8820000000000005E-2</v>
      </c>
      <c r="AG388" s="215">
        <v>0.82250000000000001</v>
      </c>
      <c r="AH388" s="215">
        <f t="shared" si="103"/>
        <v>0.18461224489795919</v>
      </c>
      <c r="AI388" s="127">
        <f t="shared" si="104"/>
        <v>40.080817389917321</v>
      </c>
      <c r="AJ388" s="1">
        <v>0.97289999999999999</v>
      </c>
      <c r="AK388" s="216">
        <f t="shared" si="105"/>
        <v>6.7081233694292561E-4</v>
      </c>
      <c r="AL388" s="216">
        <f t="shared" si="106"/>
        <v>1.4563880524162518E-3</v>
      </c>
      <c r="AM388" s="215">
        <f t="shared" si="107"/>
        <v>-3.1733989588611702</v>
      </c>
      <c r="AN388" s="215">
        <f t="shared" si="108"/>
        <v>-2.8367228924893828</v>
      </c>
      <c r="AQ388" s="213">
        <v>6.1</v>
      </c>
      <c r="AR388" s="213">
        <f t="shared" si="109"/>
        <v>-5.3000060012486818</v>
      </c>
    </row>
    <row r="389" spans="6:46" x14ac:dyDescent="0.25">
      <c r="F389" s="221" t="s">
        <v>1095</v>
      </c>
      <c r="G389" s="40" t="s">
        <v>126</v>
      </c>
      <c r="H389" s="40" t="s">
        <v>81</v>
      </c>
      <c r="I389" s="40">
        <v>298.14999999999998</v>
      </c>
      <c r="J389" s="41">
        <v>8.5000000000000006E-2</v>
      </c>
      <c r="K389" s="62">
        <v>8.01</v>
      </c>
      <c r="L389" s="41">
        <v>1.6410000000000001E-2</v>
      </c>
      <c r="M389" s="41">
        <v>0.24329999999999999</v>
      </c>
      <c r="N389" s="42">
        <v>2.11</v>
      </c>
      <c r="O389" s="42">
        <v>122.43</v>
      </c>
      <c r="P389" s="41">
        <v>2.7980999999999999E-2</v>
      </c>
      <c r="Q389" s="41">
        <v>2.6089999999999999E-5</v>
      </c>
      <c r="R389" s="19">
        <f t="shared" si="98"/>
        <v>7.5806376161756687E-4</v>
      </c>
      <c r="T389" s="213" t="str">
        <f>G385</f>
        <v>data68</v>
      </c>
      <c r="U389" t="str">
        <f>H385</f>
        <v>Phos</v>
      </c>
      <c r="V389" s="215">
        <f>K385</f>
        <v>8.01</v>
      </c>
      <c r="W389" s="1">
        <f>O385</f>
        <v>122.43</v>
      </c>
      <c r="X389" s="214">
        <f>P385</f>
        <v>2.7980999999999999E-2</v>
      </c>
      <c r="Y389" s="216">
        <v>1.9709999999999999E-5</v>
      </c>
      <c r="Z389" s="216">
        <v>1.509E-5</v>
      </c>
      <c r="AA389" s="216">
        <v>2.4340000000000001E-5</v>
      </c>
      <c r="AB389" s="216">
        <f t="shared" si="100"/>
        <v>2.3596938775510209E-6</v>
      </c>
      <c r="AC389" s="216">
        <f t="shared" si="101"/>
        <v>1.1798469387755105E-6</v>
      </c>
      <c r="AD389" s="127">
        <f t="shared" si="102"/>
        <v>11.972064320400918</v>
      </c>
      <c r="AE389" s="215">
        <v>0.16170000000000001</v>
      </c>
      <c r="AF389" s="215">
        <v>-0.1348</v>
      </c>
      <c r="AG389" s="215">
        <v>0.4582</v>
      </c>
      <c r="AH389" s="215">
        <f t="shared" si="103"/>
        <v>0.15127551020408161</v>
      </c>
      <c r="AI389" s="127">
        <f t="shared" si="104"/>
        <v>93.553191220829689</v>
      </c>
      <c r="AJ389" s="1"/>
      <c r="AK389" s="216">
        <f t="shared" si="105"/>
        <v>7.0440656159536828E-4</v>
      </c>
      <c r="AL389" s="216">
        <f t="shared" si="106"/>
        <v>4.3562557921791476E-3</v>
      </c>
      <c r="AM389" s="215">
        <f t="shared" si="107"/>
        <v>-3.1521766072030735</v>
      </c>
      <c r="AN389" s="215">
        <f t="shared" si="108"/>
        <v>-2.3608866271094748</v>
      </c>
      <c r="AQ389" s="213">
        <v>6.2</v>
      </c>
      <c r="AR389" s="213">
        <f t="shared" si="109"/>
        <v>-5.2016308511332587</v>
      </c>
    </row>
    <row r="390" spans="6:46" x14ac:dyDescent="0.25">
      <c r="F390" s="221" t="s">
        <v>1095</v>
      </c>
      <c r="G390" s="14" t="s">
        <v>126</v>
      </c>
      <c r="H390" s="14" t="s">
        <v>81</v>
      </c>
      <c r="I390" s="14">
        <v>298.14999999999998</v>
      </c>
      <c r="J390" s="21">
        <v>8.5000000000000006E-2</v>
      </c>
      <c r="K390" s="33">
        <v>8.01</v>
      </c>
      <c r="L390" s="41">
        <v>1.6410000000000001E-2</v>
      </c>
      <c r="M390" s="41">
        <v>0.24329999999999999</v>
      </c>
      <c r="N390" s="36">
        <v>1.05</v>
      </c>
      <c r="O390" s="42">
        <v>122.43</v>
      </c>
      <c r="P390" s="41">
        <v>2.7980999999999999E-2</v>
      </c>
      <c r="Q390" s="21">
        <v>1.6010000000000001E-5</v>
      </c>
      <c r="R390" s="19">
        <f t="shared" si="98"/>
        <v>4.6518209365646791E-4</v>
      </c>
      <c r="T390" s="213" t="str">
        <f>G392</f>
        <v>data73</v>
      </c>
      <c r="U390" t="str">
        <f>H392</f>
        <v>Phos</v>
      </c>
      <c r="V390" s="215">
        <f>K392</f>
        <v>7.5</v>
      </c>
      <c r="W390" s="1">
        <f>O392</f>
        <v>122.43</v>
      </c>
      <c r="X390" s="214">
        <f>P392</f>
        <v>2.7961E-2</v>
      </c>
      <c r="Y390" s="216">
        <v>6.8430000000000004E-6</v>
      </c>
      <c r="Z390" s="216">
        <v>3.613E-6</v>
      </c>
      <c r="AA390" s="216">
        <v>1.007E-5</v>
      </c>
      <c r="AB390" s="216">
        <f t="shared" si="100"/>
        <v>1.6471938775510206E-6</v>
      </c>
      <c r="AC390" s="216">
        <f t="shared" si="101"/>
        <v>8.2359693877551028E-7</v>
      </c>
      <c r="AD390" s="127">
        <f t="shared" si="102"/>
        <v>24.071224281032009</v>
      </c>
      <c r="AE390" s="215">
        <v>0.31</v>
      </c>
      <c r="AF390" s="215">
        <v>-0.45789999999999997</v>
      </c>
      <c r="AG390" s="215">
        <v>1.0780000000000001</v>
      </c>
      <c r="AH390" s="215">
        <f t="shared" si="103"/>
        <v>0.39181122448979594</v>
      </c>
      <c r="AI390" s="127">
        <f t="shared" si="104"/>
        <v>126.39071757735354</v>
      </c>
      <c r="AJ390" s="1">
        <v>0.73350000000000004</v>
      </c>
      <c r="AK390" s="216">
        <f t="shared" si="105"/>
        <v>2.4473373627552662E-4</v>
      </c>
      <c r="AL390" s="216">
        <f t="shared" si="106"/>
        <v>7.8946366540492475E-4</v>
      </c>
      <c r="AM390" s="215">
        <f t="shared" si="107"/>
        <v>-3.6113061595063649</v>
      </c>
      <c r="AN390" s="215">
        <f t="shared" si="108"/>
        <v>-3.1026678533406375</v>
      </c>
      <c r="AQ390" s="213">
        <v>6.3</v>
      </c>
      <c r="AR390" s="213">
        <f t="shared" si="109"/>
        <v>-5.1036678096984565</v>
      </c>
    </row>
    <row r="391" spans="6:46" ht="15.75" thickBot="1" x14ac:dyDescent="0.3">
      <c r="F391" s="221" t="s">
        <v>1095</v>
      </c>
      <c r="G391" s="55" t="s">
        <v>126</v>
      </c>
      <c r="H391" s="55" t="s">
        <v>81</v>
      </c>
      <c r="I391" s="55">
        <v>298.14999999999998</v>
      </c>
      <c r="J391" s="56">
        <v>8.5000000000000006E-2</v>
      </c>
      <c r="K391" s="63">
        <v>8.01</v>
      </c>
      <c r="L391" s="56">
        <v>1.6410000000000001E-2</v>
      </c>
      <c r="M391" s="56">
        <v>0.24329999999999999</v>
      </c>
      <c r="N391" s="57">
        <v>0.42</v>
      </c>
      <c r="O391" s="57">
        <v>122.43</v>
      </c>
      <c r="P391" s="56">
        <v>2.7980999999999999E-2</v>
      </c>
      <c r="Q391" s="56">
        <v>1.3329999999999999E-5</v>
      </c>
      <c r="R391" s="19">
        <f t="shared" si="98"/>
        <v>3.8731276130173119E-4</v>
      </c>
      <c r="T391" s="213" t="str">
        <f>G396</f>
        <v>data82</v>
      </c>
      <c r="U391" t="str">
        <f>H396</f>
        <v>Phos</v>
      </c>
      <c r="V391" s="215">
        <f>K396</f>
        <v>7.5</v>
      </c>
      <c r="W391" s="1">
        <f>O396</f>
        <v>122.43</v>
      </c>
      <c r="X391" s="214">
        <f>P396</f>
        <v>1.3990000000000001E-2</v>
      </c>
      <c r="Y391" s="216">
        <v>2.0770000000000002E-6</v>
      </c>
      <c r="Z391" s="216">
        <v>-5.1030000000000001E-6</v>
      </c>
      <c r="AA391" s="216">
        <v>9.2569999999999996E-6</v>
      </c>
      <c r="AB391" s="216">
        <f t="shared" si="100"/>
        <v>3.6632653061224491E-6</v>
      </c>
      <c r="AC391" s="216">
        <f t="shared" si="101"/>
        <v>1.8316326530612245E-6</v>
      </c>
      <c r="AD391" s="127">
        <f t="shared" si="102"/>
        <v>176.37290833521661</v>
      </c>
      <c r="AE391" s="215">
        <v>2.0870000000000002</v>
      </c>
      <c r="AF391" s="215">
        <v>-29.23</v>
      </c>
      <c r="AG391" s="215">
        <v>33.409999999999997</v>
      </c>
      <c r="AH391" s="215">
        <f t="shared" si="103"/>
        <v>15.979591836734695</v>
      </c>
      <c r="AI391" s="127">
        <f t="shared" si="104"/>
        <v>765.67282399303758</v>
      </c>
      <c r="AJ391" s="1">
        <v>-0.36559999999999998</v>
      </c>
      <c r="AK391" s="216">
        <f t="shared" si="105"/>
        <v>1.4846318799142244E-4</v>
      </c>
      <c r="AL391" s="216">
        <f t="shared" si="106"/>
        <v>7.1137128889038067E-5</v>
      </c>
      <c r="AM391" s="215">
        <f t="shared" si="107"/>
        <v>-3.8283812179567285</v>
      </c>
      <c r="AN391" s="215">
        <f t="shared" si="108"/>
        <v>-4.1479036670221827</v>
      </c>
      <c r="AQ391" s="213">
        <v>6.4</v>
      </c>
      <c r="AR391" s="213">
        <f t="shared" si="109"/>
        <v>-5.0062186781065661</v>
      </c>
    </row>
    <row r="392" spans="6:46" x14ac:dyDescent="0.25">
      <c r="F392" s="221" t="s">
        <v>1096</v>
      </c>
      <c r="G392" s="40" t="s">
        <v>127</v>
      </c>
      <c r="H392" s="40" t="s">
        <v>81</v>
      </c>
      <c r="I392" s="40">
        <v>298.14999999999998</v>
      </c>
      <c r="J392" s="41">
        <v>7.4999999999999997E-2</v>
      </c>
      <c r="K392" s="62">
        <v>7.5</v>
      </c>
      <c r="L392" s="41">
        <v>0.1358</v>
      </c>
      <c r="M392" s="41">
        <v>0.19650000000000001</v>
      </c>
      <c r="N392" s="42">
        <v>6.33</v>
      </c>
      <c r="O392" s="42">
        <v>122.43</v>
      </c>
      <c r="P392" s="41">
        <v>2.7961E-2</v>
      </c>
      <c r="Q392" s="41">
        <v>5.7189999999999998E-6</v>
      </c>
      <c r="R392" s="19">
        <f t="shared" si="98"/>
        <v>1.6628852673133864E-4</v>
      </c>
      <c r="T392" s="213" t="str">
        <f>G400</f>
        <v>data83</v>
      </c>
      <c r="U392" t="str">
        <f>H400</f>
        <v>Phos</v>
      </c>
      <c r="V392" s="215">
        <f>K400</f>
        <v>7.5</v>
      </c>
      <c r="W392" s="1">
        <f>O400</f>
        <v>122.43</v>
      </c>
      <c r="X392" s="214">
        <f>P400</f>
        <v>2.7980999999999999E-2</v>
      </c>
      <c r="Y392" s="216">
        <v>9.7000000000000003E-6</v>
      </c>
      <c r="Z392" s="216">
        <v>8.1920000000000005E-6</v>
      </c>
      <c r="AA392" s="216">
        <v>1.1209999999999999E-5</v>
      </c>
      <c r="AB392" s="216">
        <f t="shared" si="100"/>
        <v>7.698979591836732E-7</v>
      </c>
      <c r="AC392" s="216">
        <f t="shared" si="101"/>
        <v>3.849489795918366E-7</v>
      </c>
      <c r="AD392" s="127">
        <f t="shared" si="102"/>
        <v>7.9370923627182801</v>
      </c>
      <c r="AE392" s="215">
        <v>2.2210000000000001E-14</v>
      </c>
      <c r="AF392" s="215"/>
      <c r="AG392" s="215"/>
      <c r="AH392" s="215">
        <f t="shared" si="103"/>
        <v>0</v>
      </c>
      <c r="AI392" s="127">
        <f t="shared" si="104"/>
        <v>0</v>
      </c>
      <c r="AJ392" s="1"/>
      <c r="AK392" s="216">
        <f t="shared" si="105"/>
        <v>3.4666380758371755E-4</v>
      </c>
      <c r="AL392" s="216">
        <f t="shared" si="106"/>
        <v>15608455992.062923</v>
      </c>
      <c r="AM392" s="215">
        <f t="shared" si="107"/>
        <v>-3.460091497216272</v>
      </c>
      <c r="AN392" s="215">
        <f t="shared" si="108"/>
        <v>10.193359944235254</v>
      </c>
      <c r="AQ392" s="213">
        <v>6.5</v>
      </c>
      <c r="AR392" s="213">
        <f t="shared" si="109"/>
        <v>-4.9094088726771163</v>
      </c>
    </row>
    <row r="393" spans="6:46" x14ac:dyDescent="0.25">
      <c r="F393" s="221" t="s">
        <v>1096</v>
      </c>
      <c r="G393" s="14" t="s">
        <v>127</v>
      </c>
      <c r="H393" s="14" t="s">
        <v>81</v>
      </c>
      <c r="I393" s="14">
        <v>298.14999999999998</v>
      </c>
      <c r="J393" s="21">
        <v>7.4999999999999997E-2</v>
      </c>
      <c r="K393" s="33">
        <v>7.5</v>
      </c>
      <c r="L393" s="41">
        <v>0.1358</v>
      </c>
      <c r="M393" s="41">
        <v>0.19650000000000001</v>
      </c>
      <c r="N393" s="36">
        <v>3.16</v>
      </c>
      <c r="O393" s="42">
        <v>122.43</v>
      </c>
      <c r="P393" s="41">
        <v>2.7961E-2</v>
      </c>
      <c r="Q393" s="21">
        <v>6.8850000000000001E-6</v>
      </c>
      <c r="R393" s="19">
        <f t="shared" si="98"/>
        <v>2.0019173046778571E-4</v>
      </c>
      <c r="AI393" s="127"/>
      <c r="AQ393" s="213">
        <v>6.6</v>
      </c>
      <c r="AR393" s="213">
        <f t="shared" si="109"/>
        <v>-4.8133920527309826</v>
      </c>
    </row>
    <row r="394" spans="6:46" x14ac:dyDescent="0.25">
      <c r="F394" s="221" t="s">
        <v>1096</v>
      </c>
      <c r="G394" s="14" t="s">
        <v>127</v>
      </c>
      <c r="H394" s="14" t="s">
        <v>81</v>
      </c>
      <c r="I394" s="14">
        <v>298.14999999999998</v>
      </c>
      <c r="J394" s="21">
        <v>7.4999999999999997E-2</v>
      </c>
      <c r="K394" s="33">
        <v>7.5</v>
      </c>
      <c r="L394" s="41">
        <v>0.1358</v>
      </c>
      <c r="M394" s="41">
        <v>0.19650000000000001</v>
      </c>
      <c r="N394" s="36">
        <v>1.27</v>
      </c>
      <c r="O394" s="42">
        <v>122.43</v>
      </c>
      <c r="P394" s="41">
        <v>2.7961E-2</v>
      </c>
      <c r="Q394" s="21">
        <v>5.9159999999999998E-6</v>
      </c>
      <c r="R394" s="19">
        <f t="shared" si="98"/>
        <v>1.7201659803157884E-4</v>
      </c>
      <c r="T394" s="213"/>
      <c r="W394" s="213"/>
      <c r="X394" s="213"/>
      <c r="AQ394" s="213">
        <v>6.7</v>
      </c>
      <c r="AR394" s="213">
        <f t="shared" si="109"/>
        <v>-4.7183551860431034</v>
      </c>
    </row>
    <row r="395" spans="6:46" ht="15.75" thickBot="1" x14ac:dyDescent="0.3">
      <c r="F395" s="221" t="s">
        <v>1096</v>
      </c>
      <c r="G395" s="55" t="s">
        <v>127</v>
      </c>
      <c r="H395" s="55" t="s">
        <v>81</v>
      </c>
      <c r="I395" s="55">
        <v>298.14999999999998</v>
      </c>
      <c r="J395" s="56">
        <v>7.4999999999999997E-2</v>
      </c>
      <c r="K395" s="63">
        <v>7.5</v>
      </c>
      <c r="L395" s="56">
        <v>0.1358</v>
      </c>
      <c r="M395" s="56">
        <v>0.19650000000000001</v>
      </c>
      <c r="N395" s="57">
        <v>0.32</v>
      </c>
      <c r="O395" s="57">
        <v>122.43</v>
      </c>
      <c r="P395" s="56">
        <v>2.7961E-2</v>
      </c>
      <c r="Q395" s="56">
        <v>3.1350000000000001E-6</v>
      </c>
      <c r="R395" s="19">
        <f t="shared" si="98"/>
        <v>9.1154840234786968E-5</v>
      </c>
      <c r="T395" s="213"/>
      <c r="W395" s="213"/>
      <c r="X395" s="213"/>
      <c r="AQ395" s="213">
        <v>6.8</v>
      </c>
      <c r="AR395" s="213">
        <f t="shared" si="109"/>
        <v>-4.6245238167475113</v>
      </c>
    </row>
    <row r="396" spans="6:46" x14ac:dyDescent="0.25">
      <c r="F396" s="221" t="s">
        <v>1097</v>
      </c>
      <c r="G396" s="40" t="s">
        <v>129</v>
      </c>
      <c r="H396" s="40" t="s">
        <v>81</v>
      </c>
      <c r="I396" s="40">
        <v>298.14999999999998</v>
      </c>
      <c r="J396" s="41">
        <v>8.7499999999999994E-2</v>
      </c>
      <c r="K396" s="62">
        <v>7.5</v>
      </c>
      <c r="L396" s="41">
        <v>0.15840000000000001</v>
      </c>
      <c r="M396" s="41">
        <v>0.2293</v>
      </c>
      <c r="N396" s="42">
        <v>9.5399999999999991</v>
      </c>
      <c r="O396" s="42">
        <v>122.43</v>
      </c>
      <c r="P396" s="41">
        <v>1.3990000000000001E-2</v>
      </c>
      <c r="Q396" s="41">
        <v>1.257E-6</v>
      </c>
      <c r="R396" s="19">
        <f t="shared" si="98"/>
        <v>7.304869331752646E-5</v>
      </c>
      <c r="T396" s="213"/>
      <c r="W396" s="213"/>
      <c r="X396" s="213"/>
      <c r="AQ396" s="213">
        <v>6.9</v>
      </c>
      <c r="AR396" s="213">
        <f t="shared" si="109"/>
        <v>-4.5321671158013404</v>
      </c>
    </row>
    <row r="397" spans="6:46" x14ac:dyDescent="0.25">
      <c r="F397" s="221" t="s">
        <v>1097</v>
      </c>
      <c r="G397" s="40" t="s">
        <v>129</v>
      </c>
      <c r="H397" s="40" t="s">
        <v>81</v>
      </c>
      <c r="I397" s="40">
        <v>298.14999999999998</v>
      </c>
      <c r="J397" s="41">
        <v>8.7499999999999994E-2</v>
      </c>
      <c r="K397" s="62">
        <v>7.5</v>
      </c>
      <c r="L397" s="41">
        <v>0.15840000000000001</v>
      </c>
      <c r="M397" s="41">
        <v>0.2293</v>
      </c>
      <c r="N397" s="36">
        <v>7.95</v>
      </c>
      <c r="O397" s="42">
        <v>122.43</v>
      </c>
      <c r="P397" s="41">
        <v>1.3990000000000001E-2</v>
      </c>
      <c r="Q397" s="21">
        <v>2.103E-6</v>
      </c>
      <c r="R397" s="19">
        <f t="shared" si="98"/>
        <v>1.2221273034746075E-4</v>
      </c>
      <c r="T397" s="213"/>
      <c r="W397" s="213"/>
      <c r="X397" s="213"/>
    </row>
    <row r="398" spans="6:46" x14ac:dyDescent="0.25">
      <c r="F398" s="221" t="s">
        <v>1097</v>
      </c>
      <c r="G398" s="40" t="s">
        <v>129</v>
      </c>
      <c r="H398" s="40" t="s">
        <v>81</v>
      </c>
      <c r="I398" s="40">
        <v>298.14999999999998</v>
      </c>
      <c r="J398" s="41">
        <v>8.7499999999999994E-2</v>
      </c>
      <c r="K398" s="62">
        <v>7.5</v>
      </c>
      <c r="L398" s="41">
        <v>0.15840000000000001</v>
      </c>
      <c r="M398" s="41">
        <v>0.2293</v>
      </c>
      <c r="N398" s="36">
        <v>6.82</v>
      </c>
      <c r="O398" s="42">
        <v>122.43</v>
      </c>
      <c r="P398" s="41">
        <v>1.3990000000000001E-2</v>
      </c>
      <c r="Q398" s="21">
        <v>1.7880000000000001E-6</v>
      </c>
      <c r="R398" s="19">
        <f t="shared" si="98"/>
        <v>1.0390697187886819E-4</v>
      </c>
      <c r="T398" s="213"/>
      <c r="W398" s="213"/>
      <c r="X398" s="213"/>
      <c r="AB398" s="213"/>
    </row>
    <row r="399" spans="6:46" ht="15.75" thickBot="1" x14ac:dyDescent="0.3">
      <c r="F399" s="221" t="s">
        <v>1097</v>
      </c>
      <c r="G399" s="55" t="s">
        <v>129</v>
      </c>
      <c r="H399" s="55" t="s">
        <v>81</v>
      </c>
      <c r="I399" s="55">
        <v>298.14999999999998</v>
      </c>
      <c r="J399" s="56">
        <v>8.7499999999999994E-2</v>
      </c>
      <c r="K399" s="63">
        <v>7.5</v>
      </c>
      <c r="L399" s="56">
        <v>0.15840000000000001</v>
      </c>
      <c r="M399" s="56">
        <v>0.2293</v>
      </c>
      <c r="N399" s="57">
        <v>4.7699999999999996</v>
      </c>
      <c r="O399" s="57">
        <v>122.43</v>
      </c>
      <c r="P399" s="56">
        <v>1.3990000000000001E-2</v>
      </c>
      <c r="Q399" s="56">
        <v>1.2309999999999999E-6</v>
      </c>
      <c r="R399" s="19">
        <f t="shared" si="98"/>
        <v>7.1537741824880715E-5</v>
      </c>
      <c r="T399" s="213"/>
      <c r="W399" s="213"/>
      <c r="X399" s="213"/>
      <c r="AB399" s="213"/>
    </row>
    <row r="400" spans="6:46" x14ac:dyDescent="0.25">
      <c r="F400" s="221"/>
      <c r="G400" s="40" t="s">
        <v>130</v>
      </c>
      <c r="H400" s="40" t="s">
        <v>81</v>
      </c>
      <c r="I400" s="40">
        <v>298.14999999999998</v>
      </c>
      <c r="J400" s="41">
        <v>7.4999999999999997E-2</v>
      </c>
      <c r="K400" s="62">
        <v>7.5</v>
      </c>
      <c r="L400" s="41">
        <v>0.1358</v>
      </c>
      <c r="M400" s="41">
        <v>0.19650000000000001</v>
      </c>
      <c r="N400" s="42">
        <v>14.31</v>
      </c>
      <c r="O400" s="42">
        <v>122.43</v>
      </c>
      <c r="P400" s="41">
        <v>2.7980999999999999E-2</v>
      </c>
      <c r="Q400" s="41">
        <v>8.585E-6</v>
      </c>
      <c r="R400" s="19">
        <f t="shared" si="98"/>
        <v>2.4944336502440829E-4</v>
      </c>
      <c r="T400" s="213"/>
      <c r="W400" s="213"/>
      <c r="X400" s="213"/>
      <c r="AB400" s="213"/>
    </row>
    <row r="401" spans="2:28" x14ac:dyDescent="0.25">
      <c r="F401" s="221"/>
      <c r="G401" s="14" t="s">
        <v>130</v>
      </c>
      <c r="H401" s="14" t="s">
        <v>81</v>
      </c>
      <c r="I401" s="40">
        <v>298.14999999999998</v>
      </c>
      <c r="J401" s="41">
        <v>7.4999999999999997E-2</v>
      </c>
      <c r="K401" s="62">
        <v>7.5</v>
      </c>
      <c r="L401" s="41">
        <v>0.1358</v>
      </c>
      <c r="M401" s="41">
        <v>0.19650000000000001</v>
      </c>
      <c r="N401" s="36">
        <v>11.45</v>
      </c>
      <c r="O401" s="42">
        <v>122.43</v>
      </c>
      <c r="P401" s="41">
        <v>2.7980999999999999E-2</v>
      </c>
      <c r="Q401" s="21">
        <v>1.0910000000000001E-5</v>
      </c>
      <c r="R401" s="19">
        <f t="shared" si="98"/>
        <v>3.1699791641424512E-4</v>
      </c>
      <c r="T401" s="213"/>
      <c r="W401" s="213"/>
      <c r="X401" s="213"/>
      <c r="AB401" s="213"/>
    </row>
    <row r="402" spans="2:28" x14ac:dyDescent="0.25">
      <c r="F402" s="221"/>
      <c r="G402" s="14" t="s">
        <v>130</v>
      </c>
      <c r="H402" s="14" t="s">
        <v>81</v>
      </c>
      <c r="I402" s="40">
        <v>298.14999999999998</v>
      </c>
      <c r="J402" s="41">
        <v>7.4999999999999997E-2</v>
      </c>
      <c r="K402" s="62">
        <v>7.5</v>
      </c>
      <c r="L402" s="41">
        <v>0.1358</v>
      </c>
      <c r="M402" s="41">
        <v>0.19650000000000001</v>
      </c>
      <c r="N402" s="36">
        <v>9.5399999999999991</v>
      </c>
      <c r="O402" s="42">
        <v>122.43</v>
      </c>
      <c r="P402" s="41">
        <v>2.7980999999999999E-2</v>
      </c>
      <c r="Q402" s="21">
        <v>9.747E-6</v>
      </c>
      <c r="R402" s="19">
        <f t="shared" si="98"/>
        <v>2.8320611285881278E-4</v>
      </c>
      <c r="T402" s="213"/>
      <c r="W402" s="213"/>
      <c r="X402" s="213"/>
      <c r="AB402" s="213"/>
    </row>
    <row r="403" spans="2:28" ht="15.75" thickBot="1" x14ac:dyDescent="0.3">
      <c r="F403" s="221"/>
      <c r="G403" s="55" t="s">
        <v>130</v>
      </c>
      <c r="H403" s="55" t="s">
        <v>81</v>
      </c>
      <c r="I403" s="55">
        <v>298.14999999999998</v>
      </c>
      <c r="J403" s="56">
        <v>7.4999999999999997E-2</v>
      </c>
      <c r="K403" s="63">
        <v>7.5</v>
      </c>
      <c r="L403" s="56">
        <v>0.1358</v>
      </c>
      <c r="M403" s="56">
        <v>0.19650000000000001</v>
      </c>
      <c r="N403" s="57">
        <v>6.36</v>
      </c>
      <c r="O403" s="57">
        <v>122.43</v>
      </c>
      <c r="P403" s="56">
        <v>2.7980999999999999E-2</v>
      </c>
      <c r="Q403" s="56">
        <v>9.5629999999999998E-6</v>
      </c>
      <c r="R403" s="19">
        <f t="shared" si="98"/>
        <v>2.7785986018968157E-4</v>
      </c>
      <c r="T403" s="213"/>
      <c r="W403" s="213"/>
      <c r="X403" s="213"/>
      <c r="AB403" s="213"/>
    </row>
    <row r="404" spans="2:28" x14ac:dyDescent="0.25">
      <c r="G404" s="40" t="s">
        <v>131</v>
      </c>
      <c r="H404" s="40" t="s">
        <v>83</v>
      </c>
      <c r="I404" s="40">
        <v>298.14999999999998</v>
      </c>
      <c r="J404" s="41">
        <v>8.5000000000000006E-2</v>
      </c>
      <c r="K404" s="62">
        <v>9.01</v>
      </c>
      <c r="L404" s="41">
        <v>3.1050000000000001E-2</v>
      </c>
      <c r="M404" s="41">
        <v>3.1050000000000001E-2</v>
      </c>
      <c r="N404" s="42">
        <v>2.06</v>
      </c>
      <c r="O404" s="42">
        <v>82.5</v>
      </c>
      <c r="P404" s="41">
        <v>0.27980899999999997</v>
      </c>
      <c r="Q404" s="41"/>
      <c r="R404" s="19">
        <f t="shared" ref="R404:R411" si="110">Q404/($C$2*P404)</f>
        <v>0</v>
      </c>
      <c r="T404" s="213"/>
      <c r="W404" s="213"/>
      <c r="X404" s="213"/>
      <c r="AB404" s="213"/>
    </row>
    <row r="405" spans="2:28" x14ac:dyDescent="0.25">
      <c r="G405" s="14" t="s">
        <v>131</v>
      </c>
      <c r="H405" s="40" t="s">
        <v>83</v>
      </c>
      <c r="I405" s="14">
        <v>298.14999999999998</v>
      </c>
      <c r="J405" s="21">
        <v>0.08</v>
      </c>
      <c r="K405" s="62">
        <v>9.01</v>
      </c>
      <c r="L405" s="21">
        <v>2.9219999999999999E-2</v>
      </c>
      <c r="M405" s="21">
        <v>2.9219999999999999E-2</v>
      </c>
      <c r="N405" s="36">
        <v>4.12</v>
      </c>
      <c r="O405" s="42">
        <v>82.5</v>
      </c>
      <c r="P405" s="41">
        <v>0.27980899999999997</v>
      </c>
      <c r="Q405" s="21"/>
      <c r="R405" s="19">
        <f t="shared" si="110"/>
        <v>0</v>
      </c>
      <c r="T405" s="213"/>
      <c r="W405" s="213"/>
      <c r="X405" s="213"/>
      <c r="AB405" s="213"/>
    </row>
    <row r="406" spans="2:28" x14ac:dyDescent="0.25">
      <c r="G406" s="14" t="s">
        <v>131</v>
      </c>
      <c r="H406" s="40" t="s">
        <v>83</v>
      </c>
      <c r="I406" s="14">
        <v>298.14999999999998</v>
      </c>
      <c r="J406" s="21">
        <v>7.4999999999999997E-2</v>
      </c>
      <c r="K406" s="62">
        <v>9.01</v>
      </c>
      <c r="L406" s="21">
        <v>2.7390000000000001E-2</v>
      </c>
      <c r="M406" s="21">
        <v>2.7390000000000001E-2</v>
      </c>
      <c r="N406" s="36">
        <v>6.19</v>
      </c>
      <c r="O406" s="42">
        <v>82.5</v>
      </c>
      <c r="P406" s="41">
        <v>0.27980899999999997</v>
      </c>
      <c r="Q406" s="21"/>
      <c r="R406" s="19">
        <f t="shared" si="110"/>
        <v>0</v>
      </c>
      <c r="T406" s="213"/>
      <c r="W406" s="213"/>
      <c r="X406" s="213"/>
      <c r="AB406" s="213"/>
    </row>
    <row r="407" spans="2:28" ht="15.75" thickBot="1" x14ac:dyDescent="0.3">
      <c r="G407" s="55" t="s">
        <v>131</v>
      </c>
      <c r="H407" s="55" t="s">
        <v>83</v>
      </c>
      <c r="I407" s="55">
        <v>298.14999999999998</v>
      </c>
      <c r="J407" s="56">
        <v>7.0000000000000007E-2</v>
      </c>
      <c r="K407" s="63">
        <v>9.01</v>
      </c>
      <c r="L407" s="56">
        <v>2.5569999999999999E-2</v>
      </c>
      <c r="M407" s="56">
        <v>2.5569999999999999E-2</v>
      </c>
      <c r="N407" s="57">
        <v>8.25</v>
      </c>
      <c r="O407" s="57">
        <v>82.5</v>
      </c>
      <c r="P407" s="56">
        <v>0.27980899999999997</v>
      </c>
      <c r="Q407" s="56"/>
      <c r="R407" s="19">
        <f t="shared" si="110"/>
        <v>0</v>
      </c>
      <c r="T407" s="213"/>
      <c r="W407" s="213"/>
      <c r="X407" s="213"/>
      <c r="AB407" s="213"/>
    </row>
    <row r="408" spans="2:28" x14ac:dyDescent="0.25">
      <c r="G408" s="40" t="s">
        <v>132</v>
      </c>
      <c r="H408" s="40" t="s">
        <v>83</v>
      </c>
      <c r="I408" s="40">
        <v>298.14999999999998</v>
      </c>
      <c r="J408" s="41">
        <v>8.5000000000000006E-2</v>
      </c>
      <c r="K408" s="62">
        <v>9.6999999999999993</v>
      </c>
      <c r="L408" s="41">
        <v>6.3119999999999996E-2</v>
      </c>
      <c r="M408" s="41">
        <v>6.3119999999999996E-2</v>
      </c>
      <c r="N408" s="42">
        <v>2.06</v>
      </c>
      <c r="O408" s="42">
        <v>82.5</v>
      </c>
      <c r="P408" s="41">
        <v>0.27980899999999997</v>
      </c>
      <c r="Q408" s="41"/>
      <c r="R408" s="19">
        <f t="shared" si="110"/>
        <v>0</v>
      </c>
      <c r="T408" s="213"/>
      <c r="W408" s="213"/>
      <c r="X408" s="213"/>
      <c r="AB408" s="213"/>
    </row>
    <row r="409" spans="2:28" x14ac:dyDescent="0.25">
      <c r="G409" s="14" t="s">
        <v>132</v>
      </c>
      <c r="H409" s="40" t="s">
        <v>83</v>
      </c>
      <c r="I409" s="40">
        <v>298.14999999999998</v>
      </c>
      <c r="J409" s="21">
        <v>0.08</v>
      </c>
      <c r="K409" s="62">
        <v>9.6999999999999993</v>
      </c>
      <c r="L409" s="41">
        <v>6.3119999999999996E-2</v>
      </c>
      <c r="M409" s="41">
        <v>6.3119999999999996E-2</v>
      </c>
      <c r="N409" s="36">
        <v>4.12</v>
      </c>
      <c r="O409" s="42">
        <v>82.5</v>
      </c>
      <c r="P409" s="41">
        <v>0.27980899999999997</v>
      </c>
      <c r="Q409" s="21"/>
      <c r="R409" s="19">
        <f t="shared" si="110"/>
        <v>0</v>
      </c>
      <c r="T409" s="213"/>
      <c r="W409" s="213"/>
      <c r="X409" s="213"/>
    </row>
    <row r="410" spans="2:28" x14ac:dyDescent="0.25">
      <c r="G410" s="14" t="s">
        <v>132</v>
      </c>
      <c r="H410" s="40" t="s">
        <v>83</v>
      </c>
      <c r="I410" s="40">
        <v>298.14999999999998</v>
      </c>
      <c r="J410" s="21">
        <v>7.4999999999999997E-2</v>
      </c>
      <c r="K410" s="62">
        <v>9.6999999999999993</v>
      </c>
      <c r="L410" s="41">
        <v>6.3119999999999996E-2</v>
      </c>
      <c r="M410" s="41">
        <v>6.3119999999999996E-2</v>
      </c>
      <c r="N410" s="36">
        <v>6.19</v>
      </c>
      <c r="O410" s="42">
        <v>82.5</v>
      </c>
      <c r="P410" s="41">
        <v>0.27980899999999997</v>
      </c>
      <c r="Q410" s="21"/>
      <c r="R410" s="19">
        <f t="shared" si="110"/>
        <v>0</v>
      </c>
      <c r="T410" s="213"/>
      <c r="W410" s="213"/>
      <c r="X410" s="213"/>
    </row>
    <row r="411" spans="2:28" ht="15.75" thickBot="1" x14ac:dyDescent="0.3">
      <c r="G411" s="14" t="s">
        <v>132</v>
      </c>
      <c r="H411" s="40" t="s">
        <v>83</v>
      </c>
      <c r="I411" s="40">
        <v>298.14999999999998</v>
      </c>
      <c r="J411" s="56">
        <v>7.0000000000000007E-2</v>
      </c>
      <c r="K411" s="63">
        <v>9.6999999999999993</v>
      </c>
      <c r="L411" s="56">
        <v>6.3119999999999996E-2</v>
      </c>
      <c r="M411" s="56">
        <v>6.3119999999999996E-2</v>
      </c>
      <c r="N411" s="57">
        <v>8.25</v>
      </c>
      <c r="O411" s="42">
        <v>82.5</v>
      </c>
      <c r="P411" s="41">
        <v>0.27980899999999997</v>
      </c>
      <c r="Q411" s="21"/>
      <c r="R411" s="19">
        <f t="shared" si="110"/>
        <v>0</v>
      </c>
      <c r="T411" s="213"/>
      <c r="W411" s="213"/>
      <c r="X411" s="213"/>
    </row>
    <row r="412" spans="2:28" x14ac:dyDescent="0.25">
      <c r="F412" s="15"/>
      <c r="T412" s="213"/>
      <c r="W412" s="213"/>
      <c r="X412" s="213"/>
    </row>
    <row r="413" spans="2:28" x14ac:dyDescent="0.25">
      <c r="F413" s="15"/>
      <c r="T413" s="213"/>
      <c r="W413" s="213"/>
      <c r="X413" s="213"/>
    </row>
    <row r="414" spans="2:28" ht="15.75" thickBot="1" x14ac:dyDescent="0.3">
      <c r="F414" s="15"/>
      <c r="T414" s="213"/>
      <c r="W414" s="213"/>
      <c r="X414" s="213"/>
    </row>
    <row r="415" spans="2:28" x14ac:dyDescent="0.25">
      <c r="B415" s="51" t="s">
        <v>361</v>
      </c>
      <c r="C415" s="26"/>
      <c r="F415" s="15"/>
      <c r="T415" s="213"/>
      <c r="W415" s="213"/>
      <c r="X415" s="213"/>
    </row>
    <row r="416" spans="2:28" x14ac:dyDescent="0.25">
      <c r="B416" s="136" t="s">
        <v>2</v>
      </c>
      <c r="C416" s="137">
        <v>9.73</v>
      </c>
      <c r="W416" s="213"/>
      <c r="X416" s="213"/>
    </row>
    <row r="417" spans="2:24" x14ac:dyDescent="0.25">
      <c r="B417" s="136" t="s">
        <v>260</v>
      </c>
      <c r="C417" s="137">
        <v>6.6</v>
      </c>
    </row>
    <row r="418" spans="2:24" x14ac:dyDescent="0.25">
      <c r="B418" s="136" t="s">
        <v>261</v>
      </c>
      <c r="C418" s="137">
        <v>9.4</v>
      </c>
    </row>
    <row r="419" spans="2:24" x14ac:dyDescent="0.25">
      <c r="B419" s="136" t="s">
        <v>266</v>
      </c>
      <c r="C419" s="137">
        <v>11.75</v>
      </c>
      <c r="G419" s="66" t="s">
        <v>32</v>
      </c>
      <c r="H419" s="66" t="s">
        <v>80</v>
      </c>
      <c r="I419" s="66" t="s">
        <v>35</v>
      </c>
      <c r="J419" s="66" t="s">
        <v>82</v>
      </c>
      <c r="K419" s="66" t="s">
        <v>2</v>
      </c>
      <c r="L419" s="66" t="s">
        <v>89</v>
      </c>
      <c r="M419" s="66" t="s">
        <v>79</v>
      </c>
      <c r="N419" s="66" t="s">
        <v>94</v>
      </c>
      <c r="O419" s="66" t="s">
        <v>21</v>
      </c>
      <c r="P419" s="66" t="s">
        <v>1</v>
      </c>
      <c r="Q419" s="66" t="s">
        <v>34</v>
      </c>
      <c r="R419" s="66" t="s">
        <v>16</v>
      </c>
      <c r="S419" s="66" t="s">
        <v>17</v>
      </c>
      <c r="T419" s="66" t="s">
        <v>18</v>
      </c>
      <c r="U419" s="66" t="s">
        <v>11</v>
      </c>
      <c r="V419" s="66" t="s">
        <v>110</v>
      </c>
      <c r="W419" s="66" t="s">
        <v>71</v>
      </c>
      <c r="X419" s="66" t="s">
        <v>133</v>
      </c>
    </row>
    <row r="420" spans="2:24" x14ac:dyDescent="0.25">
      <c r="B420" s="136" t="s">
        <v>365</v>
      </c>
      <c r="C420" s="137">
        <v>3.7999999999999999E-2</v>
      </c>
      <c r="G420" s="14" t="s">
        <v>49</v>
      </c>
      <c r="H420" s="14" t="s">
        <v>81</v>
      </c>
      <c r="I420" s="14">
        <v>313.14999999999998</v>
      </c>
      <c r="J420" s="21">
        <f>0.00625/2</f>
        <v>3.1250000000000002E-3</v>
      </c>
      <c r="K420" s="33">
        <v>7</v>
      </c>
      <c r="L420" s="21">
        <v>5.7999999999999996E-3</v>
      </c>
      <c r="M420" s="21">
        <v>6.7250000000000001E-3</v>
      </c>
      <c r="N420" s="19">
        <f t="shared" ref="N420:N431" si="111">10^(-(1.824*10^6)/(78.54*I420)^(3/2))*SQRT(M420)</f>
        <v>2.7603009423908628E-2</v>
      </c>
      <c r="O420" s="36">
        <v>8.2509999999999994</v>
      </c>
      <c r="P420" s="36">
        <v>82.5</v>
      </c>
      <c r="Q420" s="21">
        <v>0.24099999999999999</v>
      </c>
      <c r="R420" s="21">
        <v>0.1598</v>
      </c>
      <c r="S420" s="21">
        <v>10240</v>
      </c>
      <c r="T420" s="19">
        <f t="shared" ref="T420:T431" si="112">R420/S420</f>
        <v>1.5605468750000001E-5</v>
      </c>
      <c r="U420" s="21"/>
      <c r="V420" s="19">
        <f>T420/($C$3*N420*Q420)</f>
        <v>3.115360906981847E-4</v>
      </c>
      <c r="W420" s="19">
        <f>T420/(Q420*$C$3)</f>
        <v>8.5993336474296462E-6</v>
      </c>
      <c r="X420" s="19">
        <f t="shared" ref="X420:X431" si="113">T420/($C$3*L420*Q420)</f>
        <v>1.4826437323154564E-3</v>
      </c>
    </row>
    <row r="421" spans="2:24" x14ac:dyDescent="0.25">
      <c r="B421" s="136" t="s">
        <v>268</v>
      </c>
      <c r="C421" s="137">
        <v>3.6712000000000002E-2</v>
      </c>
      <c r="G421" s="14" t="s">
        <v>49</v>
      </c>
      <c r="H421" s="14" t="s">
        <v>81</v>
      </c>
      <c r="I421" s="14">
        <v>313.14999999999998</v>
      </c>
      <c r="J421" s="21">
        <f>0.0125/2</f>
        <v>6.2500000000000003E-3</v>
      </c>
      <c r="K421" s="33">
        <v>7</v>
      </c>
      <c r="L421" s="21">
        <v>1.01E-2</v>
      </c>
      <c r="M421" s="21">
        <v>1.3429999999999999E-2</v>
      </c>
      <c r="N421" s="19">
        <f t="shared" si="111"/>
        <v>3.9007516034720836E-2</v>
      </c>
      <c r="O421" s="36">
        <v>8.2509999999999994</v>
      </c>
      <c r="P421" s="36">
        <v>82.5</v>
      </c>
      <c r="Q421" s="21">
        <v>0.24099999999999999</v>
      </c>
      <c r="R421" s="21">
        <v>0.24890000000000001</v>
      </c>
      <c r="S421" s="21">
        <v>5118</v>
      </c>
      <c r="T421" s="19">
        <f t="shared" si="112"/>
        <v>4.8632278233685038E-5</v>
      </c>
      <c r="U421" s="21"/>
      <c r="V421" s="19">
        <f t="shared" ref="V421:V431" si="114">T421/($C$3*N421*Q421)</f>
        <v>6.8701196467268078E-4</v>
      </c>
      <c r="W421" s="71">
        <f t="shared" ref="W421:W427" si="115">T421/(Q421*$C$3)</f>
        <v>2.6798630228014659E-5</v>
      </c>
      <c r="X421" s="19">
        <f t="shared" si="113"/>
        <v>2.6533297255460055E-3</v>
      </c>
    </row>
    <row r="422" spans="2:24" x14ac:dyDescent="0.25">
      <c r="B422" s="138" t="s">
        <v>364</v>
      </c>
      <c r="C422" s="139">
        <f>(1/(1+10^(C416-C417)+10^(2*C416-C417-C418)))*C420</f>
        <v>8.9749764733222589E-6</v>
      </c>
      <c r="G422" s="14" t="s">
        <v>49</v>
      </c>
      <c r="H422" s="14" t="s">
        <v>81</v>
      </c>
      <c r="I422" s="14">
        <v>313.14999999999998</v>
      </c>
      <c r="J422" s="21">
        <f>0.025/2</f>
        <v>1.2500000000000001E-2</v>
      </c>
      <c r="K422" s="33">
        <v>7</v>
      </c>
      <c r="L422" s="21">
        <v>1.968E-2</v>
      </c>
      <c r="M422" s="21">
        <v>1.8800000000000001E-2</v>
      </c>
      <c r="N422" s="19">
        <f t="shared" si="111"/>
        <v>4.6151860579474228E-2</v>
      </c>
      <c r="O422" s="36">
        <v>8.2509999999999994</v>
      </c>
      <c r="P422" s="36">
        <v>82.5</v>
      </c>
      <c r="Q422" s="21">
        <v>0.24099999999999999</v>
      </c>
      <c r="R422" s="21">
        <v>0.37330000000000002</v>
      </c>
      <c r="S422" s="21">
        <v>5678</v>
      </c>
      <c r="T422" s="19">
        <f t="shared" si="112"/>
        <v>6.5744980626981336E-5</v>
      </c>
      <c r="U422" s="21"/>
      <c r="V422" s="19">
        <f t="shared" si="114"/>
        <v>7.8498501975089523E-4</v>
      </c>
      <c r="W422" s="71">
        <f t="shared" si="115"/>
        <v>3.6228519188519142E-5</v>
      </c>
      <c r="X422" s="19">
        <f t="shared" si="113"/>
        <v>1.8408800400670294E-3</v>
      </c>
    </row>
    <row r="423" spans="2:24" ht="15.75" thickBot="1" x14ac:dyDescent="0.3">
      <c r="B423" s="138" t="s">
        <v>363</v>
      </c>
      <c r="C423" s="139">
        <f>(10^(C416-C417)/(1+10^(C416-C417)+10^(2*C416-C417-C418)))*C420</f>
        <v>1.2106910134645092E-2</v>
      </c>
      <c r="G423" s="55" t="s">
        <v>49</v>
      </c>
      <c r="H423" s="55" t="s">
        <v>81</v>
      </c>
      <c r="I423" s="55">
        <v>313.14999999999998</v>
      </c>
      <c r="J423" s="56">
        <f>0.05/2</f>
        <v>2.5000000000000001E-2</v>
      </c>
      <c r="K423" s="63">
        <v>7</v>
      </c>
      <c r="L423" s="56">
        <v>3.9359999999999999E-2</v>
      </c>
      <c r="M423" s="56">
        <v>3.61E-2</v>
      </c>
      <c r="N423" s="60">
        <f t="shared" si="111"/>
        <v>6.3953437134851715E-2</v>
      </c>
      <c r="O423" s="57">
        <v>8.2509999999999994</v>
      </c>
      <c r="P423" s="57">
        <v>82.5</v>
      </c>
      <c r="Q423" s="56">
        <v>0.24099999999999999</v>
      </c>
      <c r="R423" s="56">
        <v>0.43269999999999997</v>
      </c>
      <c r="S423" s="56">
        <v>4782</v>
      </c>
      <c r="T423" s="60">
        <f t="shared" si="112"/>
        <v>9.0485152655792546E-5</v>
      </c>
      <c r="U423" s="56"/>
      <c r="V423" s="19">
        <f t="shared" si="114"/>
        <v>7.7965310770905039E-4</v>
      </c>
      <c r="W423" s="71">
        <f t="shared" si="115"/>
        <v>4.9861496010862526E-5</v>
      </c>
      <c r="X423" s="19">
        <f t="shared" si="113"/>
        <v>1.266806301088987E-3</v>
      </c>
    </row>
    <row r="424" spans="2:24" x14ac:dyDescent="0.25">
      <c r="B424" s="138" t="s">
        <v>362</v>
      </c>
      <c r="C424" s="139">
        <f>(10^(2*C416-C417-C418)/(1+10^(C416-C417)+10^(2*C416-C417-C418)))*C420</f>
        <v>2.5884114888881583E-2</v>
      </c>
      <c r="G424" s="14" t="s">
        <v>33</v>
      </c>
      <c r="H424" s="14" t="s">
        <v>81</v>
      </c>
      <c r="I424" s="14">
        <v>313.14999999999998</v>
      </c>
      <c r="J424" s="21">
        <v>0.05</v>
      </c>
      <c r="K424" s="33">
        <v>7</v>
      </c>
      <c r="L424" s="21">
        <v>7.0800000000000002E-2</v>
      </c>
      <c r="M424" s="21">
        <v>0.1074</v>
      </c>
      <c r="N424" s="19">
        <f t="shared" si="111"/>
        <v>0.11030937655052031</v>
      </c>
      <c r="O424" s="36">
        <v>8.2509999999999994</v>
      </c>
      <c r="P424" s="36">
        <v>82.5</v>
      </c>
      <c r="Q424" s="21">
        <f t="shared" ref="Q424:Q431" si="116">0.35*0.241</f>
        <v>8.4349999999999994E-2</v>
      </c>
      <c r="R424" s="21">
        <v>1.0009999999999999</v>
      </c>
      <c r="S424" s="21">
        <v>23870</v>
      </c>
      <c r="T424" s="19">
        <f t="shared" si="112"/>
        <v>4.1935483870967739E-5</v>
      </c>
      <c r="U424" s="21"/>
      <c r="V424" s="19">
        <f t="shared" si="114"/>
        <v>5.9853446798287572E-4</v>
      </c>
      <c r="W424" s="19">
        <f t="shared" si="115"/>
        <v>6.6023964007188381E-5</v>
      </c>
      <c r="X424" s="19">
        <f t="shared" si="113"/>
        <v>9.3254186450831037E-4</v>
      </c>
    </row>
    <row r="425" spans="2:24" x14ac:dyDescent="0.25">
      <c r="B425" s="138" t="s">
        <v>269</v>
      </c>
      <c r="C425" s="139">
        <f>(10^(C416-C419)/(1+10^(C416-C419)))*C421</f>
        <v>3.4728037633349756E-4</v>
      </c>
      <c r="G425" s="14" t="s">
        <v>33</v>
      </c>
      <c r="H425" s="14" t="s">
        <v>81</v>
      </c>
      <c r="I425" s="14">
        <v>313.14999999999998</v>
      </c>
      <c r="J425" s="21">
        <f>0.2/2</f>
        <v>0.1</v>
      </c>
      <c r="K425" s="33">
        <v>7</v>
      </c>
      <c r="L425" s="21">
        <v>0.14000000000000001</v>
      </c>
      <c r="M425" s="21">
        <v>0.21490000000000001</v>
      </c>
      <c r="N425" s="19">
        <f t="shared" si="111"/>
        <v>0.15603732523501493</v>
      </c>
      <c r="O425" s="36">
        <v>8.2509999999999994</v>
      </c>
      <c r="P425" s="36">
        <v>82.5</v>
      </c>
      <c r="Q425" s="21">
        <f t="shared" si="116"/>
        <v>8.4349999999999994E-2</v>
      </c>
      <c r="R425" s="21">
        <v>1.383</v>
      </c>
      <c r="S425" s="21">
        <v>24510</v>
      </c>
      <c r="T425" s="19">
        <f t="shared" si="112"/>
        <v>5.6425948592411261E-5</v>
      </c>
      <c r="U425" s="21"/>
      <c r="V425" s="19">
        <f t="shared" si="114"/>
        <v>5.6933817988788981E-4</v>
      </c>
      <c r="W425" s="71">
        <f t="shared" si="115"/>
        <v>8.8838006743878099E-5</v>
      </c>
      <c r="X425" s="19">
        <f t="shared" si="113"/>
        <v>6.3455719102770071E-4</v>
      </c>
    </row>
    <row r="426" spans="2:24" x14ac:dyDescent="0.25">
      <c r="B426" s="136" t="s">
        <v>271</v>
      </c>
      <c r="C426" s="137">
        <v>-2</v>
      </c>
      <c r="G426" s="14" t="s">
        <v>33</v>
      </c>
      <c r="H426" s="14" t="s">
        <v>81</v>
      </c>
      <c r="I426" s="14">
        <v>313.14999999999998</v>
      </c>
      <c r="J426" s="21">
        <f>0.3/2</f>
        <v>0.15</v>
      </c>
      <c r="K426" s="33">
        <v>7</v>
      </c>
      <c r="L426" s="21">
        <v>0.20899999999999999</v>
      </c>
      <c r="M426" s="21">
        <v>0.32229999999999998</v>
      </c>
      <c r="N426" s="19">
        <f t="shared" si="111"/>
        <v>0.19109109194690971</v>
      </c>
      <c r="O426" s="36">
        <v>8.2509999999999994</v>
      </c>
      <c r="P426" s="36">
        <v>82.5</v>
      </c>
      <c r="Q426" s="21">
        <f t="shared" si="116"/>
        <v>8.4349999999999994E-2</v>
      </c>
      <c r="R426" s="21">
        <v>1.401</v>
      </c>
      <c r="S426" s="21">
        <v>21630</v>
      </c>
      <c r="T426" s="19">
        <f t="shared" si="112"/>
        <v>6.4771151178918173E-5</v>
      </c>
      <c r="U426" s="21"/>
      <c r="V426" s="19">
        <f t="shared" si="114"/>
        <v>5.3365564851699148E-4</v>
      </c>
      <c r="W426" s="71">
        <f t="shared" si="115"/>
        <v>1.0197684059874813E-4</v>
      </c>
      <c r="X426" s="19">
        <f t="shared" si="113"/>
        <v>4.8792746697965626E-4</v>
      </c>
    </row>
    <row r="427" spans="2:24" ht="15.75" thickBot="1" x14ac:dyDescent="0.3">
      <c r="B427" s="136" t="s">
        <v>272</v>
      </c>
      <c r="C427" s="137">
        <v>-3</v>
      </c>
      <c r="G427" s="55" t="s">
        <v>33</v>
      </c>
      <c r="H427" s="55" t="s">
        <v>81</v>
      </c>
      <c r="I427" s="55">
        <v>313.14999999999998</v>
      </c>
      <c r="J427" s="56">
        <f>0.4/2</f>
        <v>0.2</v>
      </c>
      <c r="K427" s="63">
        <v>7</v>
      </c>
      <c r="L427" s="56">
        <v>0.31490000000000001</v>
      </c>
      <c r="M427" s="56">
        <v>0.42970000000000003</v>
      </c>
      <c r="N427" s="60">
        <f t="shared" si="111"/>
        <v>0.22064442883614077</v>
      </c>
      <c r="O427" s="57">
        <v>8.2509999999999994</v>
      </c>
      <c r="P427" s="57">
        <v>82.5</v>
      </c>
      <c r="Q427" s="56">
        <f t="shared" si="116"/>
        <v>8.4349999999999994E-2</v>
      </c>
      <c r="R427" s="56">
        <v>2.3069999999999999</v>
      </c>
      <c r="S427" s="56">
        <v>31550</v>
      </c>
      <c r="T427" s="60">
        <f t="shared" si="112"/>
        <v>7.3122028526148968E-5</v>
      </c>
      <c r="U427" s="56"/>
      <c r="V427" s="19">
        <f t="shared" si="114"/>
        <v>5.2176531038674971E-4</v>
      </c>
      <c r="W427" s="71">
        <f t="shared" si="115"/>
        <v>1.1512460889679609E-4</v>
      </c>
      <c r="X427" s="19">
        <f t="shared" si="113"/>
        <v>3.6559100951665956E-4</v>
      </c>
    </row>
    <row r="428" spans="2:24" x14ac:dyDescent="0.25">
      <c r="B428" s="136" t="s">
        <v>273</v>
      </c>
      <c r="C428" s="137">
        <v>-4</v>
      </c>
      <c r="G428" s="14" t="s">
        <v>33</v>
      </c>
      <c r="H428" s="14" t="s">
        <v>81</v>
      </c>
      <c r="I428" s="14">
        <v>313.14999999999998</v>
      </c>
      <c r="J428" s="21">
        <v>0.05</v>
      </c>
      <c r="K428" s="33">
        <v>7.5</v>
      </c>
      <c r="L428" s="21">
        <v>9.0499999999999997E-2</v>
      </c>
      <c r="M428" s="21">
        <v>0.13100000000000001</v>
      </c>
      <c r="N428" s="19">
        <f t="shared" si="111"/>
        <v>0.1218276697028117</v>
      </c>
      <c r="O428" s="36">
        <v>8.2509999999999994</v>
      </c>
      <c r="P428" s="36">
        <v>82.5</v>
      </c>
      <c r="Q428" s="21">
        <f t="shared" si="116"/>
        <v>8.4349999999999994E-2</v>
      </c>
      <c r="R428" s="21">
        <v>0.80020000000000002</v>
      </c>
      <c r="S428" s="21">
        <v>2581</v>
      </c>
      <c r="T428" s="19">
        <f t="shared" si="112"/>
        <v>3.1003487020534679E-4</v>
      </c>
      <c r="U428" s="21"/>
      <c r="V428" s="19">
        <f t="shared" si="114"/>
        <v>4.006678929859283E-3</v>
      </c>
      <c r="W428" s="19">
        <f>T428/(Q428*$C$3)</f>
        <v>4.8812435727211179E-4</v>
      </c>
      <c r="X428" s="19">
        <f t="shared" si="113"/>
        <v>5.3936393068741637E-3</v>
      </c>
    </row>
    <row r="429" spans="2:24" ht="15.75" thickBot="1" x14ac:dyDescent="0.3">
      <c r="B429" s="140" t="s">
        <v>270</v>
      </c>
      <c r="C429" s="141">
        <f>0.5*((C426)^2*C422+(C427)^2*C423+(C428)^2*C424+(-1)^2*C425+(1)^2*ABS(C426)*C422+(1)^2*ABS(C427)*C423+(1)^2*ABS(C428)*C424+(1)^2*ABS(C426)*C425)</f>
        <v>0.33203045519060664</v>
      </c>
      <c r="G429" s="14" t="s">
        <v>33</v>
      </c>
      <c r="H429" s="14" t="s">
        <v>81</v>
      </c>
      <c r="I429" s="14">
        <v>313.14999999999998</v>
      </c>
      <c r="J429" s="21">
        <f>0.2/2</f>
        <v>0.1</v>
      </c>
      <c r="K429" s="33">
        <v>7.5</v>
      </c>
      <c r="L429" s="21">
        <v>0.18099999999999999</v>
      </c>
      <c r="M429" s="21">
        <v>0.26200000000000001</v>
      </c>
      <c r="N429" s="19">
        <f t="shared" si="111"/>
        <v>0.17229034276602609</v>
      </c>
      <c r="O429" s="36">
        <v>8.2509999999999994</v>
      </c>
      <c r="P429" s="36">
        <v>82.5</v>
      </c>
      <c r="Q429" s="21">
        <f t="shared" si="116"/>
        <v>8.4349999999999994E-2</v>
      </c>
      <c r="R429" s="21">
        <v>0.46660000000000001</v>
      </c>
      <c r="S429" s="21">
        <v>2711</v>
      </c>
      <c r="T429" s="19">
        <f t="shared" si="112"/>
        <v>1.7211361121357432E-4</v>
      </c>
      <c r="U429" s="21"/>
      <c r="V429" s="19">
        <f t="shared" si="114"/>
        <v>1.5728026011375858E-3</v>
      </c>
      <c r="W429" s="71">
        <f>T429/(Q429*$C$3)</f>
        <v>2.7097869925329205E-4</v>
      </c>
      <c r="X429" s="19">
        <f t="shared" si="113"/>
        <v>1.4971198853773041E-3</v>
      </c>
    </row>
    <row r="430" spans="2:24" x14ac:dyDescent="0.25">
      <c r="G430" s="14" t="s">
        <v>33</v>
      </c>
      <c r="H430" s="14" t="s">
        <v>81</v>
      </c>
      <c r="I430" s="14">
        <v>313.14999999999998</v>
      </c>
      <c r="J430" s="21">
        <f>0.3/2</f>
        <v>0.15</v>
      </c>
      <c r="K430" s="33">
        <v>7.5</v>
      </c>
      <c r="L430" s="21">
        <v>0.27150000000000002</v>
      </c>
      <c r="M430" s="21">
        <v>0.39300000000000002</v>
      </c>
      <c r="N430" s="19">
        <f t="shared" si="111"/>
        <v>0.21101171369298946</v>
      </c>
      <c r="O430" s="36">
        <v>8.2509999999999994</v>
      </c>
      <c r="P430" s="36">
        <v>82.5</v>
      </c>
      <c r="Q430" s="21">
        <f t="shared" si="116"/>
        <v>8.4349999999999994E-2</v>
      </c>
      <c r="R430" s="21">
        <v>0.60319999999999996</v>
      </c>
      <c r="S430" s="21">
        <v>1686</v>
      </c>
      <c r="T430" s="19">
        <f t="shared" si="112"/>
        <v>3.5776986951364172E-4</v>
      </c>
      <c r="U430" s="21"/>
      <c r="V430" s="19">
        <f t="shared" si="114"/>
        <v>2.66942138242467E-3</v>
      </c>
      <c r="W430" s="71">
        <f>T430/(Q430*$C$3)</f>
        <v>5.6327918047413853E-4</v>
      </c>
      <c r="X430" s="19">
        <f t="shared" si="113"/>
        <v>2.0746931140852246E-3</v>
      </c>
    </row>
    <row r="431" spans="2:24" ht="15.75" thickBot="1" x14ac:dyDescent="0.3">
      <c r="G431" s="55" t="s">
        <v>33</v>
      </c>
      <c r="H431" s="55" t="s">
        <v>81</v>
      </c>
      <c r="I431" s="55">
        <v>313.14999999999998</v>
      </c>
      <c r="J431" s="56">
        <f>0.4/2</f>
        <v>0.2</v>
      </c>
      <c r="K431" s="63">
        <v>7.5</v>
      </c>
      <c r="L431" s="56">
        <v>0.36199999999999999</v>
      </c>
      <c r="M431" s="56">
        <v>0.52400000000000002</v>
      </c>
      <c r="N431" s="60">
        <f t="shared" si="111"/>
        <v>0.24365533940562339</v>
      </c>
      <c r="O431" s="57">
        <v>8.2509999999999994</v>
      </c>
      <c r="P431" s="57">
        <v>82.5</v>
      </c>
      <c r="Q431" s="56">
        <f t="shared" si="116"/>
        <v>8.4349999999999994E-2</v>
      </c>
      <c r="R431" s="56">
        <v>0.41670000000000001</v>
      </c>
      <c r="S431" s="56">
        <v>1090</v>
      </c>
      <c r="T431" s="60">
        <f t="shared" si="112"/>
        <v>3.8229357798165138E-4</v>
      </c>
      <c r="U431" s="56"/>
      <c r="V431" s="19">
        <f t="shared" si="114"/>
        <v>2.4702505606951299E-3</v>
      </c>
      <c r="W431" s="71">
        <f>T431/(Q431*$C$3)</f>
        <v>6.0188973878310336E-4</v>
      </c>
      <c r="X431" s="19">
        <f t="shared" si="113"/>
        <v>1.6626788364174127E-3</v>
      </c>
    </row>
    <row r="433" spans="5:24" x14ac:dyDescent="0.25">
      <c r="E433" s="213"/>
      <c r="F433" s="213"/>
    </row>
    <row r="434" spans="5:24" x14ac:dyDescent="0.25">
      <c r="E434" s="213"/>
      <c r="F434" s="213"/>
    </row>
    <row r="435" spans="5:24" x14ac:dyDescent="0.25">
      <c r="E435" s="213"/>
      <c r="F435" s="213"/>
      <c r="G435" s="15" t="s">
        <v>1103</v>
      </c>
    </row>
    <row r="436" spans="5:24" x14ac:dyDescent="0.25">
      <c r="E436" s="213"/>
      <c r="F436" s="213"/>
      <c r="G436" s="66" t="s">
        <v>32</v>
      </c>
      <c r="H436" s="66" t="s">
        <v>80</v>
      </c>
      <c r="I436" s="66" t="s">
        <v>35</v>
      </c>
      <c r="J436" s="66" t="s">
        <v>367</v>
      </c>
      <c r="K436" s="66" t="s">
        <v>368</v>
      </c>
      <c r="L436" s="134" t="s">
        <v>2</v>
      </c>
      <c r="M436" s="66" t="s">
        <v>89</v>
      </c>
      <c r="N436" s="134" t="s">
        <v>79</v>
      </c>
      <c r="O436" s="66" t="s">
        <v>0</v>
      </c>
      <c r="P436" s="66" t="s">
        <v>1</v>
      </c>
      <c r="Q436" s="66" t="s">
        <v>34</v>
      </c>
      <c r="R436" s="66" t="s">
        <v>11</v>
      </c>
      <c r="S436" s="66" t="s">
        <v>255</v>
      </c>
      <c r="T436" s="213"/>
    </row>
    <row r="437" spans="5:24" x14ac:dyDescent="0.25">
      <c r="E437" s="213"/>
      <c r="G437" s="217" t="s">
        <v>1098</v>
      </c>
      <c r="H437" s="217" t="s">
        <v>366</v>
      </c>
      <c r="I437" s="217">
        <f t="shared" ref="I437:I468" si="117">25+273.15</f>
        <v>298.14999999999998</v>
      </c>
      <c r="J437" s="38">
        <f t="shared" ref="J437:K440" si="118">0.075/2</f>
        <v>3.7499999999999999E-2</v>
      </c>
      <c r="K437" s="38">
        <f t="shared" si="118"/>
        <v>3.7499999999999999E-2</v>
      </c>
      <c r="L437" s="62">
        <v>7.1</v>
      </c>
      <c r="M437" s="21"/>
      <c r="N437" s="38">
        <f>0.092+0.22</f>
        <v>0.312</v>
      </c>
      <c r="O437" s="36">
        <v>10.816000000000001</v>
      </c>
      <c r="P437" s="36">
        <v>35.244</v>
      </c>
      <c r="Q437" s="38">
        <v>2.1000000000000001E-2</v>
      </c>
      <c r="R437" s="21">
        <v>2.6459999999999997E-7</v>
      </c>
      <c r="S437" s="19">
        <f t="shared" ref="S437:S468" si="119">R437/($C$2*Q437)</f>
        <v>1.0243902439024389E-5</v>
      </c>
      <c r="T437" s="213"/>
    </row>
    <row r="438" spans="5:24" x14ac:dyDescent="0.25">
      <c r="E438" s="213"/>
      <c r="G438" s="40" t="s">
        <v>1098</v>
      </c>
      <c r="H438" s="217" t="s">
        <v>1053</v>
      </c>
      <c r="I438" s="217">
        <f t="shared" si="117"/>
        <v>298.14999999999998</v>
      </c>
      <c r="J438" s="38">
        <f t="shared" si="118"/>
        <v>3.7499999999999999E-2</v>
      </c>
      <c r="K438" s="38">
        <f t="shared" si="118"/>
        <v>3.7499999999999999E-2</v>
      </c>
      <c r="L438" s="33">
        <v>7.1</v>
      </c>
      <c r="M438" s="21"/>
      <c r="N438" s="38">
        <f>0.092+0.22</f>
        <v>0.312</v>
      </c>
      <c r="O438" s="36">
        <v>10.816000000000001</v>
      </c>
      <c r="P438" s="36">
        <v>24.963999999999999</v>
      </c>
      <c r="Q438" s="38">
        <v>2.1000000000000001E-2</v>
      </c>
      <c r="R438" s="21">
        <v>3.1240000000000002E-7</v>
      </c>
      <c r="S438" s="19">
        <f t="shared" si="119"/>
        <v>1.2094463801780874E-5</v>
      </c>
      <c r="T438" s="213"/>
    </row>
    <row r="439" spans="5:24" x14ac:dyDescent="0.25">
      <c r="E439" s="213"/>
      <c r="G439" s="217" t="s">
        <v>1098</v>
      </c>
      <c r="H439" s="217" t="s">
        <v>1099</v>
      </c>
      <c r="I439" s="217">
        <f t="shared" si="117"/>
        <v>298.14999999999998</v>
      </c>
      <c r="J439" s="38">
        <f t="shared" si="118"/>
        <v>3.7499999999999999E-2</v>
      </c>
      <c r="K439" s="38">
        <f t="shared" si="118"/>
        <v>3.7499999999999999E-2</v>
      </c>
      <c r="L439" s="33">
        <v>7.1</v>
      </c>
      <c r="M439" s="21"/>
      <c r="N439" s="38">
        <f>0.092+0.22</f>
        <v>0.312</v>
      </c>
      <c r="O439" s="36">
        <v>10.816000000000001</v>
      </c>
      <c r="P439" s="36">
        <v>14.685</v>
      </c>
      <c r="Q439" s="38">
        <v>2.1000000000000001E-2</v>
      </c>
      <c r="R439" s="21">
        <v>2.6100000000000002E-7</v>
      </c>
      <c r="S439" s="19">
        <f t="shared" si="119"/>
        <v>1.0104529616724739E-5</v>
      </c>
      <c r="T439" s="213"/>
    </row>
    <row r="440" spans="5:24" ht="15.75" thickBot="1" x14ac:dyDescent="0.3">
      <c r="E440" s="213"/>
      <c r="G440" s="55" t="s">
        <v>1098</v>
      </c>
      <c r="H440" s="55" t="s">
        <v>1100</v>
      </c>
      <c r="I440" s="55">
        <f t="shared" si="117"/>
        <v>298.14999999999998</v>
      </c>
      <c r="J440" s="65">
        <f t="shared" si="118"/>
        <v>3.7499999999999999E-2</v>
      </c>
      <c r="K440" s="65">
        <f t="shared" si="118"/>
        <v>3.7499999999999999E-2</v>
      </c>
      <c r="L440" s="63">
        <v>7.1</v>
      </c>
      <c r="M440" s="56"/>
      <c r="N440" s="65">
        <f>0.092+0.22</f>
        <v>0.312</v>
      </c>
      <c r="O440" s="57">
        <v>10.816000000000001</v>
      </c>
      <c r="P440" s="57">
        <v>5.14</v>
      </c>
      <c r="Q440" s="38">
        <v>2.1000000000000001E-2</v>
      </c>
      <c r="R440" s="56">
        <v>7.6829999999999994E-8</v>
      </c>
      <c r="S440" s="19">
        <f t="shared" si="119"/>
        <v>2.97444831591173E-6</v>
      </c>
      <c r="T440" s="213"/>
    </row>
    <row r="441" spans="5:24" x14ac:dyDescent="0.25">
      <c r="E441" s="213"/>
      <c r="F441" s="221" t="s">
        <v>1104</v>
      </c>
      <c r="G441" s="14" t="s">
        <v>369</v>
      </c>
      <c r="H441" s="14" t="s">
        <v>366</v>
      </c>
      <c r="I441" s="14">
        <f t="shared" si="117"/>
        <v>298.14999999999998</v>
      </c>
      <c r="J441" s="38">
        <f>0.075/2</f>
        <v>3.7499999999999999E-2</v>
      </c>
      <c r="K441" s="38">
        <f>0.075/2</f>
        <v>3.7499999999999999E-2</v>
      </c>
      <c r="L441" s="33">
        <v>7.53</v>
      </c>
      <c r="M441" s="21"/>
      <c r="N441" s="38">
        <f t="shared" ref="N441:N446" si="120">0.09+0.218</f>
        <v>0.308</v>
      </c>
      <c r="O441" s="36">
        <v>0.216</v>
      </c>
      <c r="P441" s="36">
        <v>73.424000000000007</v>
      </c>
      <c r="Q441" s="61">
        <v>3.4000000000000002E-2</v>
      </c>
      <c r="R441" s="21">
        <v>6.6670000000000001E-7</v>
      </c>
      <c r="S441" s="19">
        <f t="shared" si="119"/>
        <v>1.5942132950741271E-5</v>
      </c>
      <c r="T441" s="213"/>
    </row>
    <row r="442" spans="5:24" x14ac:dyDescent="0.25">
      <c r="E442" s="213"/>
      <c r="F442" s="221" t="s">
        <v>1104</v>
      </c>
      <c r="G442" s="217" t="s">
        <v>369</v>
      </c>
      <c r="H442" s="217" t="s">
        <v>1053</v>
      </c>
      <c r="I442" s="217">
        <f t="shared" si="117"/>
        <v>298.14999999999998</v>
      </c>
      <c r="J442" s="38">
        <f>0.075/2</f>
        <v>3.7499999999999999E-2</v>
      </c>
      <c r="K442" s="38">
        <f>0.075/2</f>
        <v>3.7499999999999999E-2</v>
      </c>
      <c r="L442" s="33">
        <v>7.53</v>
      </c>
      <c r="M442" s="21"/>
      <c r="N442" s="38">
        <f t="shared" si="120"/>
        <v>0.308</v>
      </c>
      <c r="O442" s="36">
        <v>0.86499999999999999</v>
      </c>
      <c r="P442" s="36">
        <v>73.424000000000007</v>
      </c>
      <c r="Q442" s="38">
        <v>3.4000000000000002E-2</v>
      </c>
      <c r="R442" s="21">
        <v>1.4100000000000001E-6</v>
      </c>
      <c r="S442" s="19">
        <f t="shared" si="119"/>
        <v>3.3715925394548064E-5</v>
      </c>
      <c r="T442" s="213"/>
    </row>
    <row r="443" spans="5:24" x14ac:dyDescent="0.25">
      <c r="E443" s="213"/>
      <c r="F443" s="221" t="s">
        <v>1104</v>
      </c>
      <c r="G443" s="217" t="s">
        <v>369</v>
      </c>
      <c r="H443" s="217" t="s">
        <v>366</v>
      </c>
      <c r="I443" s="217">
        <f t="shared" si="117"/>
        <v>298.14999999999998</v>
      </c>
      <c r="J443" s="38">
        <f t="shared" ref="J443:K473" si="121">0.075/2</f>
        <v>3.7499999999999999E-2</v>
      </c>
      <c r="K443" s="38">
        <f t="shared" si="121"/>
        <v>3.7499999999999999E-2</v>
      </c>
      <c r="L443" s="33">
        <v>7.53</v>
      </c>
      <c r="M443" s="21"/>
      <c r="N443" s="38">
        <f t="shared" si="120"/>
        <v>0.308</v>
      </c>
      <c r="O443" s="36">
        <v>3.028</v>
      </c>
      <c r="P443" s="36">
        <v>73.424000000000007</v>
      </c>
      <c r="Q443" s="38">
        <v>3.4000000000000002E-2</v>
      </c>
      <c r="R443" s="21">
        <v>1.7230000000000001E-6</v>
      </c>
      <c r="S443" s="19">
        <f t="shared" si="119"/>
        <v>4.1200382592061214E-5</v>
      </c>
      <c r="T443" s="213"/>
    </row>
    <row r="444" spans="5:24" x14ac:dyDescent="0.25">
      <c r="E444" s="213"/>
      <c r="F444" s="221" t="s">
        <v>1104</v>
      </c>
      <c r="G444" s="217" t="s">
        <v>369</v>
      </c>
      <c r="H444" s="217" t="s">
        <v>366</v>
      </c>
      <c r="I444" s="217">
        <f t="shared" si="117"/>
        <v>298.14999999999998</v>
      </c>
      <c r="J444" s="38">
        <f t="shared" si="121"/>
        <v>3.7499999999999999E-2</v>
      </c>
      <c r="K444" s="38">
        <f t="shared" si="121"/>
        <v>3.7499999999999999E-2</v>
      </c>
      <c r="L444" s="33">
        <v>7.53</v>
      </c>
      <c r="M444" s="21"/>
      <c r="N444" s="38">
        <f t="shared" si="120"/>
        <v>0.308</v>
      </c>
      <c r="O444" s="36">
        <v>10.816000000000001</v>
      </c>
      <c r="P444" s="36">
        <v>73.424000000000007</v>
      </c>
      <c r="Q444" s="38">
        <v>3.4000000000000002E-2</v>
      </c>
      <c r="R444" s="21">
        <v>3.2540000000000001E-6</v>
      </c>
      <c r="S444" s="19">
        <f t="shared" si="119"/>
        <v>7.7809660449545666E-5</v>
      </c>
      <c r="T444" s="213"/>
    </row>
    <row r="445" spans="5:24" x14ac:dyDescent="0.25">
      <c r="E445" s="213"/>
      <c r="F445" s="221" t="s">
        <v>1104</v>
      </c>
      <c r="G445" s="217" t="s">
        <v>369</v>
      </c>
      <c r="H445" s="217" t="s">
        <v>366</v>
      </c>
      <c r="I445" s="217">
        <f t="shared" si="117"/>
        <v>298.14999999999998</v>
      </c>
      <c r="J445" s="38">
        <f>0.075/2</f>
        <v>3.7499999999999999E-2</v>
      </c>
      <c r="K445" s="38">
        <f>0.075/2</f>
        <v>3.7499999999999999E-2</v>
      </c>
      <c r="L445" s="33">
        <v>7.53</v>
      </c>
      <c r="M445" s="21"/>
      <c r="N445" s="38">
        <f t="shared" si="120"/>
        <v>0.308</v>
      </c>
      <c r="O445" s="36">
        <v>10.816000000000001</v>
      </c>
      <c r="P445" s="36">
        <v>36.712000000000003</v>
      </c>
      <c r="Q445" s="38">
        <v>3.4000000000000002E-2</v>
      </c>
      <c r="R445" s="21">
        <v>2.0679999999999999E-6</v>
      </c>
      <c r="S445" s="19">
        <f t="shared" si="119"/>
        <v>4.9450023912003822E-5</v>
      </c>
      <c r="T445" s="213"/>
      <c r="X445" s="213"/>
    </row>
    <row r="446" spans="5:24" ht="15.75" thickBot="1" x14ac:dyDescent="0.3">
      <c r="E446" s="213"/>
      <c r="F446" s="221" t="s">
        <v>1104</v>
      </c>
      <c r="G446" s="55" t="s">
        <v>369</v>
      </c>
      <c r="H446" s="55" t="s">
        <v>366</v>
      </c>
      <c r="I446" s="55">
        <f t="shared" si="117"/>
        <v>298.14999999999998</v>
      </c>
      <c r="J446" s="65">
        <f t="shared" si="121"/>
        <v>3.7499999999999999E-2</v>
      </c>
      <c r="K446" s="65">
        <f t="shared" si="121"/>
        <v>3.7499999999999999E-2</v>
      </c>
      <c r="L446" s="63">
        <v>7.53</v>
      </c>
      <c r="M446" s="56"/>
      <c r="N446" s="65">
        <f t="shared" si="120"/>
        <v>0.308</v>
      </c>
      <c r="O446" s="57">
        <v>10.816000000000001</v>
      </c>
      <c r="P446" s="57">
        <v>3.6709999999999998</v>
      </c>
      <c r="Q446" s="65">
        <v>3.4000000000000002E-2</v>
      </c>
      <c r="R446" s="56">
        <v>1.0890000000000001E-6</v>
      </c>
      <c r="S446" s="19">
        <f t="shared" si="119"/>
        <v>2.6040172166427546E-5</v>
      </c>
      <c r="T446" s="213"/>
      <c r="X446" s="213"/>
    </row>
    <row r="447" spans="5:24" x14ac:dyDescent="0.25">
      <c r="E447" s="213"/>
      <c r="F447" s="213"/>
      <c r="G447" s="40" t="s">
        <v>370</v>
      </c>
      <c r="H447" s="40" t="s">
        <v>366</v>
      </c>
      <c r="I447" s="40">
        <f t="shared" si="117"/>
        <v>298.14999999999998</v>
      </c>
      <c r="J447" s="61">
        <f t="shared" si="121"/>
        <v>3.7499999999999999E-2</v>
      </c>
      <c r="K447" s="61">
        <f t="shared" si="121"/>
        <v>3.7499999999999999E-2</v>
      </c>
      <c r="L447" s="62">
        <v>7.6</v>
      </c>
      <c r="M447" s="41"/>
      <c r="N447" s="61">
        <f t="shared" ref="N447:N453" si="122">0.092+0.22</f>
        <v>0.312</v>
      </c>
      <c r="O447" s="42">
        <v>0.216</v>
      </c>
      <c r="P447" s="42">
        <v>35.244</v>
      </c>
      <c r="Q447" s="61">
        <v>2.1000000000000001E-2</v>
      </c>
      <c r="R447" s="41"/>
      <c r="S447" s="19">
        <f t="shared" si="119"/>
        <v>0</v>
      </c>
      <c r="T447" s="213"/>
      <c r="X447" s="213"/>
    </row>
    <row r="448" spans="5:24" x14ac:dyDescent="0.25">
      <c r="E448" s="213"/>
      <c r="F448" s="213"/>
      <c r="G448" s="14" t="s">
        <v>370</v>
      </c>
      <c r="H448" s="14" t="s">
        <v>366</v>
      </c>
      <c r="I448" s="14">
        <f t="shared" si="117"/>
        <v>298.14999999999998</v>
      </c>
      <c r="J448" s="38">
        <f t="shared" si="121"/>
        <v>3.7499999999999999E-2</v>
      </c>
      <c r="K448" s="38">
        <f t="shared" si="121"/>
        <v>3.7499999999999999E-2</v>
      </c>
      <c r="L448" s="33">
        <v>7.6</v>
      </c>
      <c r="M448" s="21"/>
      <c r="N448" s="38">
        <f t="shared" si="122"/>
        <v>0.312</v>
      </c>
      <c r="O448" s="36">
        <v>0.86499999999999999</v>
      </c>
      <c r="P448" s="36">
        <v>35.244</v>
      </c>
      <c r="Q448" s="38">
        <v>2.1000000000000001E-2</v>
      </c>
      <c r="R448" s="21"/>
      <c r="S448" s="19">
        <f t="shared" si="119"/>
        <v>0</v>
      </c>
      <c r="T448" s="213"/>
      <c r="X448" s="213"/>
    </row>
    <row r="449" spans="5:51" x14ac:dyDescent="0.25">
      <c r="E449" s="213"/>
      <c r="F449" s="213"/>
      <c r="G449" s="217" t="s">
        <v>370</v>
      </c>
      <c r="H449" s="217" t="s">
        <v>366</v>
      </c>
      <c r="I449" s="217">
        <f t="shared" si="117"/>
        <v>298.14999999999998</v>
      </c>
      <c r="J449" s="38">
        <f t="shared" si="121"/>
        <v>3.7499999999999999E-2</v>
      </c>
      <c r="K449" s="38">
        <f t="shared" si="121"/>
        <v>3.7499999999999999E-2</v>
      </c>
      <c r="L449" s="33">
        <v>7.6</v>
      </c>
      <c r="M449" s="21"/>
      <c r="N449" s="38">
        <f t="shared" si="122"/>
        <v>0.312</v>
      </c>
      <c r="O449" s="36">
        <v>3.028</v>
      </c>
      <c r="P449" s="36">
        <v>35.244</v>
      </c>
      <c r="Q449" s="38">
        <v>2.1000000000000001E-2</v>
      </c>
      <c r="R449" s="21"/>
      <c r="S449" s="19">
        <f t="shared" si="119"/>
        <v>0</v>
      </c>
      <c r="T449" s="213"/>
      <c r="X449" s="213"/>
    </row>
    <row r="450" spans="5:51" x14ac:dyDescent="0.25">
      <c r="E450" s="213"/>
      <c r="F450" s="162" t="s">
        <v>1106</v>
      </c>
      <c r="G450" s="217" t="s">
        <v>370</v>
      </c>
      <c r="H450" s="217" t="s">
        <v>366</v>
      </c>
      <c r="I450" s="217">
        <f t="shared" si="117"/>
        <v>298.14999999999998</v>
      </c>
      <c r="J450" s="38">
        <f t="shared" si="121"/>
        <v>3.7499999999999999E-2</v>
      </c>
      <c r="K450" s="38">
        <f t="shared" si="121"/>
        <v>3.7499999999999999E-2</v>
      </c>
      <c r="L450" s="62">
        <v>7.6</v>
      </c>
      <c r="M450" s="21"/>
      <c r="N450" s="38">
        <f t="shared" si="122"/>
        <v>0.312</v>
      </c>
      <c r="O450" s="36">
        <v>10.816000000000001</v>
      </c>
      <c r="P450" s="36">
        <v>35.244</v>
      </c>
      <c r="Q450" s="38">
        <v>2.1000000000000001E-2</v>
      </c>
      <c r="R450" s="21">
        <v>1.203E-6</v>
      </c>
      <c r="S450" s="19">
        <f t="shared" si="119"/>
        <v>4.6573751451800229E-5</v>
      </c>
      <c r="T450" s="213"/>
      <c r="X450" s="213"/>
    </row>
    <row r="451" spans="5:51" x14ac:dyDescent="0.25">
      <c r="E451" s="213"/>
      <c r="F451" s="221" t="s">
        <v>1105</v>
      </c>
      <c r="G451" s="40" t="s">
        <v>370</v>
      </c>
      <c r="H451" s="217" t="s">
        <v>1053</v>
      </c>
      <c r="I451" s="217">
        <f t="shared" si="117"/>
        <v>298.14999999999998</v>
      </c>
      <c r="J451" s="38">
        <f t="shared" si="121"/>
        <v>3.7499999999999999E-2</v>
      </c>
      <c r="K451" s="38">
        <f t="shared" si="121"/>
        <v>3.7499999999999999E-2</v>
      </c>
      <c r="L451" s="33">
        <v>7.6</v>
      </c>
      <c r="M451" s="21"/>
      <c r="N451" s="38">
        <f t="shared" si="122"/>
        <v>0.312</v>
      </c>
      <c r="O451" s="36">
        <v>10.816000000000001</v>
      </c>
      <c r="P451" s="36">
        <v>24.963999999999999</v>
      </c>
      <c r="Q451" s="61">
        <v>2.1000000000000001E-2</v>
      </c>
      <c r="R451" s="21">
        <v>1.3289999999999999E-6</v>
      </c>
      <c r="S451" s="19">
        <f t="shared" si="119"/>
        <v>5.1451800232288026E-5</v>
      </c>
      <c r="T451" s="213"/>
      <c r="X451" s="213"/>
    </row>
    <row r="452" spans="5:51" x14ac:dyDescent="0.25">
      <c r="E452" s="213"/>
      <c r="F452" s="221" t="s">
        <v>1105</v>
      </c>
      <c r="G452" s="217" t="s">
        <v>370</v>
      </c>
      <c r="H452" s="217" t="s">
        <v>1099</v>
      </c>
      <c r="I452" s="217">
        <f t="shared" si="117"/>
        <v>298.14999999999998</v>
      </c>
      <c r="J452" s="38">
        <f t="shared" si="121"/>
        <v>3.7499999999999999E-2</v>
      </c>
      <c r="K452" s="38">
        <f t="shared" si="121"/>
        <v>3.7499999999999999E-2</v>
      </c>
      <c r="L452" s="33">
        <v>7.6</v>
      </c>
      <c r="M452" s="21"/>
      <c r="N452" s="38">
        <f t="shared" si="122"/>
        <v>0.312</v>
      </c>
      <c r="O452" s="36">
        <v>10.816000000000001</v>
      </c>
      <c r="P452" s="36">
        <v>14.685</v>
      </c>
      <c r="Q452" s="38">
        <v>2.1000000000000001E-2</v>
      </c>
      <c r="R452" s="21">
        <v>6.0610000000000001E-7</v>
      </c>
      <c r="S452" s="19">
        <f t="shared" si="119"/>
        <v>2.3464963221060782E-5</v>
      </c>
      <c r="T452" s="213"/>
      <c r="X452" s="213"/>
    </row>
    <row r="453" spans="5:51" ht="15.75" thickBot="1" x14ac:dyDescent="0.3">
      <c r="E453" s="213"/>
      <c r="F453" s="221" t="s">
        <v>1105</v>
      </c>
      <c r="G453" s="55" t="s">
        <v>370</v>
      </c>
      <c r="H453" s="55" t="s">
        <v>1100</v>
      </c>
      <c r="I453" s="55">
        <f t="shared" si="117"/>
        <v>298.14999999999998</v>
      </c>
      <c r="J453" s="65">
        <f t="shared" si="121"/>
        <v>3.7499999999999999E-2</v>
      </c>
      <c r="K453" s="65">
        <f t="shared" si="121"/>
        <v>3.7499999999999999E-2</v>
      </c>
      <c r="L453" s="63">
        <v>7.6</v>
      </c>
      <c r="M453" s="56"/>
      <c r="N453" s="65">
        <f t="shared" si="122"/>
        <v>0.312</v>
      </c>
      <c r="O453" s="57">
        <v>10.816000000000001</v>
      </c>
      <c r="P453" s="57">
        <v>5.14</v>
      </c>
      <c r="Q453" s="65">
        <v>2.1000000000000001E-2</v>
      </c>
      <c r="R453" s="56">
        <v>4.7869999999999997E-7</v>
      </c>
      <c r="S453" s="19">
        <f t="shared" si="119"/>
        <v>1.8532713898567555E-5</v>
      </c>
      <c r="T453" s="213"/>
      <c r="X453" s="213"/>
    </row>
    <row r="454" spans="5:51" x14ac:dyDescent="0.25">
      <c r="E454" s="213"/>
      <c r="F454" s="213"/>
      <c r="G454" s="241" t="s">
        <v>374</v>
      </c>
      <c r="H454" s="40" t="s">
        <v>1101</v>
      </c>
      <c r="I454" s="40">
        <f t="shared" si="117"/>
        <v>298.14999999999998</v>
      </c>
      <c r="J454" s="61">
        <f t="shared" si="121"/>
        <v>3.7499999999999999E-2</v>
      </c>
      <c r="K454" s="61">
        <f t="shared" si="121"/>
        <v>3.7499999999999999E-2</v>
      </c>
      <c r="L454" s="62">
        <v>8.02</v>
      </c>
      <c r="M454" s="41"/>
      <c r="N454" s="61">
        <f t="shared" ref="N454:N460" si="123">0.104+0.23</f>
        <v>0.33400000000000002</v>
      </c>
      <c r="O454" s="42">
        <v>0.216</v>
      </c>
      <c r="P454" s="36">
        <v>35.244</v>
      </c>
      <c r="Q454" s="61">
        <v>2.1000000000000001E-2</v>
      </c>
      <c r="R454" s="41"/>
      <c r="S454" s="19">
        <f t="shared" si="119"/>
        <v>0</v>
      </c>
      <c r="T454" s="213"/>
    </row>
    <row r="455" spans="5:51" x14ac:dyDescent="0.25">
      <c r="E455" s="213"/>
      <c r="F455" s="213"/>
      <c r="G455" s="217" t="s">
        <v>374</v>
      </c>
      <c r="H455" s="240" t="s">
        <v>1102</v>
      </c>
      <c r="I455" s="40">
        <f t="shared" si="117"/>
        <v>298.14999999999998</v>
      </c>
      <c r="J455" s="61">
        <f t="shared" si="121"/>
        <v>3.7499999999999999E-2</v>
      </c>
      <c r="K455" s="61">
        <f t="shared" si="121"/>
        <v>3.7499999999999999E-2</v>
      </c>
      <c r="L455" s="33">
        <v>8.02</v>
      </c>
      <c r="M455" s="41"/>
      <c r="N455" s="61">
        <f t="shared" si="123"/>
        <v>0.33400000000000002</v>
      </c>
      <c r="O455" s="36">
        <v>0.86499999999999999</v>
      </c>
      <c r="P455" s="36">
        <v>35.244</v>
      </c>
      <c r="Q455" s="61">
        <v>2.1000000000000001E-2</v>
      </c>
      <c r="R455" s="41"/>
      <c r="S455" s="19">
        <f t="shared" si="119"/>
        <v>0</v>
      </c>
      <c r="T455" s="213"/>
    </row>
    <row r="456" spans="5:51" x14ac:dyDescent="0.25">
      <c r="E456" s="213"/>
      <c r="F456" s="213"/>
      <c r="G456" s="40" t="s">
        <v>374</v>
      </c>
      <c r="H456" s="40" t="s">
        <v>1101</v>
      </c>
      <c r="I456" s="40">
        <f t="shared" si="117"/>
        <v>298.14999999999998</v>
      </c>
      <c r="J456" s="61">
        <f t="shared" si="121"/>
        <v>3.7499999999999999E-2</v>
      </c>
      <c r="K456" s="61">
        <f t="shared" si="121"/>
        <v>3.7499999999999999E-2</v>
      </c>
      <c r="L456" s="33">
        <v>8.02</v>
      </c>
      <c r="M456" s="41"/>
      <c r="N456" s="61">
        <f t="shared" si="123"/>
        <v>0.33400000000000002</v>
      </c>
      <c r="O456" s="36">
        <v>3.028</v>
      </c>
      <c r="P456" s="36">
        <v>35.244</v>
      </c>
      <c r="Q456" s="61">
        <v>2.1000000000000001E-2</v>
      </c>
      <c r="R456" s="41"/>
      <c r="S456" s="19">
        <f t="shared" si="119"/>
        <v>0</v>
      </c>
      <c r="T456" s="213"/>
      <c r="V456" s="15" t="s">
        <v>1059</v>
      </c>
      <c r="W456" s="15"/>
      <c r="X456" s="15"/>
      <c r="Y456" s="15"/>
      <c r="Z456" s="15"/>
      <c r="AA456" s="15"/>
      <c r="AB456" s="15" t="s">
        <v>1074</v>
      </c>
      <c r="AC456" s="15" t="s">
        <v>1074</v>
      </c>
      <c r="AD456" s="15"/>
      <c r="AE456" s="15"/>
      <c r="AF456" s="15" t="s">
        <v>1074</v>
      </c>
      <c r="AG456" s="15" t="s">
        <v>1074</v>
      </c>
      <c r="AH456" s="15"/>
      <c r="AI456" s="34"/>
      <c r="AJ456" s="213"/>
      <c r="AK456" s="213"/>
      <c r="AL456" s="213"/>
      <c r="AM456" s="213"/>
      <c r="AN456" s="213"/>
      <c r="AO456" s="213"/>
      <c r="AR456" s="213" t="s">
        <v>1079</v>
      </c>
      <c r="AS456" s="213"/>
      <c r="AT456" s="213"/>
      <c r="AW456" s="213" t="s">
        <v>1079</v>
      </c>
      <c r="AX456" s="213"/>
    </row>
    <row r="457" spans="5:51" x14ac:dyDescent="0.25">
      <c r="E457" s="213"/>
      <c r="F457" s="162" t="s">
        <v>1111</v>
      </c>
      <c r="G457" s="217" t="s">
        <v>374</v>
      </c>
      <c r="H457" s="40" t="s">
        <v>366</v>
      </c>
      <c r="I457" s="40">
        <f t="shared" si="117"/>
        <v>298.14999999999998</v>
      </c>
      <c r="J457" s="61">
        <f t="shared" si="121"/>
        <v>3.7499999999999999E-2</v>
      </c>
      <c r="K457" s="61">
        <f t="shared" si="121"/>
        <v>3.7499999999999999E-2</v>
      </c>
      <c r="L457" s="62">
        <v>8.02</v>
      </c>
      <c r="M457" s="41"/>
      <c r="N457" s="61">
        <f t="shared" si="123"/>
        <v>0.33400000000000002</v>
      </c>
      <c r="O457" s="36">
        <v>10.816000000000001</v>
      </c>
      <c r="P457" s="36">
        <v>35.244</v>
      </c>
      <c r="Q457" s="61">
        <v>2.1000000000000001E-2</v>
      </c>
      <c r="R457" s="41">
        <v>4.9620000000000001E-6</v>
      </c>
      <c r="S457" s="19">
        <f t="shared" si="119"/>
        <v>1.9210220673635306E-4</v>
      </c>
      <c r="T457" s="213"/>
      <c r="U457" s="15" t="s">
        <v>1107</v>
      </c>
      <c r="V457" s="15" t="s">
        <v>1060</v>
      </c>
      <c r="W457" s="15" t="s">
        <v>80</v>
      </c>
      <c r="X457" s="15" t="s">
        <v>2</v>
      </c>
      <c r="Y457" s="15" t="s">
        <v>0</v>
      </c>
      <c r="Z457" s="15" t="s">
        <v>1062</v>
      </c>
      <c r="AA457" s="15" t="s">
        <v>16</v>
      </c>
      <c r="AB457" s="15" t="s">
        <v>1076</v>
      </c>
      <c r="AC457" s="15" t="s">
        <v>1075</v>
      </c>
      <c r="AD457" s="237" t="s">
        <v>1083</v>
      </c>
      <c r="AE457" s="15" t="s">
        <v>1084</v>
      </c>
      <c r="AF457" s="15" t="s">
        <v>17</v>
      </c>
      <c r="AG457" s="15" t="s">
        <v>1077</v>
      </c>
      <c r="AH457" s="15" t="s">
        <v>1078</v>
      </c>
      <c r="AI457" s="15" t="s">
        <v>1083</v>
      </c>
      <c r="AJ457" s="15" t="s">
        <v>1084</v>
      </c>
      <c r="AK457" s="15" t="s">
        <v>256</v>
      </c>
      <c r="AL457" s="236" t="s">
        <v>1069</v>
      </c>
      <c r="AM457" s="15" t="s">
        <v>1073</v>
      </c>
      <c r="AN457" s="236" t="s">
        <v>1063</v>
      </c>
      <c r="AO457" s="236" t="s">
        <v>1064</v>
      </c>
      <c r="AR457" s="213" t="s">
        <v>1070</v>
      </c>
      <c r="AS457" s="214">
        <v>3.4620000000000001E-4</v>
      </c>
      <c r="AT457" s="213" t="s">
        <v>1133</v>
      </c>
      <c r="AW457" s="213" t="s">
        <v>1070</v>
      </c>
      <c r="AX457" s="214">
        <v>2.5299999999999998E-5</v>
      </c>
      <c r="AY457" t="s">
        <v>1135</v>
      </c>
    </row>
    <row r="458" spans="5:51" x14ac:dyDescent="0.25">
      <c r="F458" s="221" t="s">
        <v>1110</v>
      </c>
      <c r="G458" s="217" t="s">
        <v>374</v>
      </c>
      <c r="H458" s="14" t="s">
        <v>366</v>
      </c>
      <c r="I458" s="14">
        <f t="shared" si="117"/>
        <v>298.14999999999998</v>
      </c>
      <c r="J458" s="38">
        <f t="shared" si="121"/>
        <v>3.7499999999999999E-2</v>
      </c>
      <c r="K458" s="38">
        <f t="shared" si="121"/>
        <v>3.7499999999999999E-2</v>
      </c>
      <c r="L458" s="33">
        <v>8.02</v>
      </c>
      <c r="M458" s="21"/>
      <c r="N458" s="38">
        <f t="shared" si="123"/>
        <v>0.33400000000000002</v>
      </c>
      <c r="O458" s="36">
        <v>10.816000000000001</v>
      </c>
      <c r="P458" s="36">
        <v>24.963999999999999</v>
      </c>
      <c r="Q458" s="38">
        <v>2.1000000000000001E-2</v>
      </c>
      <c r="R458" s="21">
        <v>2.7180000000000001E-6</v>
      </c>
      <c r="S458" s="19">
        <f t="shared" si="119"/>
        <v>1.0522648083623693E-4</v>
      </c>
      <c r="T458" s="213"/>
      <c r="U458" s="213" t="s">
        <v>1109</v>
      </c>
      <c r="V458" s="213" t="str">
        <f>G437</f>
        <v>data149</v>
      </c>
      <c r="W458" s="213" t="s">
        <v>115</v>
      </c>
      <c r="X458" s="215">
        <f>L437</f>
        <v>7.1</v>
      </c>
      <c r="Y458" s="1">
        <v>10.82</v>
      </c>
      <c r="Z458" s="257">
        <f>Q440</f>
        <v>2.1000000000000001E-2</v>
      </c>
      <c r="AA458" s="216">
        <v>5.6570000000000004E-7</v>
      </c>
      <c r="AB458" s="216"/>
      <c r="AC458" s="216"/>
      <c r="AD458" s="216">
        <f t="shared" ref="AD458:AD470" si="124">(AC458-AB458)/3.92</f>
        <v>0</v>
      </c>
      <c r="AE458" s="127">
        <f t="shared" ref="AE458:AE470" si="125">(AD458/AA458)*100</f>
        <v>0</v>
      </c>
      <c r="AF458" s="258">
        <v>20</v>
      </c>
      <c r="AG458" s="215">
        <v>7.5359999999999996</v>
      </c>
      <c r="AH458" s="215">
        <v>32.46</v>
      </c>
      <c r="AI458" s="215">
        <f t="shared" ref="AI458:AI470" si="126">(AH458-AG458)/3.92</f>
        <v>6.3581632653061222</v>
      </c>
      <c r="AJ458" s="127">
        <f t="shared" ref="AJ458:AJ470" si="127">(AI458/AF458)*100</f>
        <v>31.790816326530614</v>
      </c>
      <c r="AK458" s="1">
        <v>0.9355</v>
      </c>
      <c r="AL458" s="216">
        <f t="shared" ref="AL458:AL470" si="128">AA458/Z458</f>
        <v>2.6938095238095237E-5</v>
      </c>
      <c r="AM458" s="216">
        <f t="shared" ref="AM458:AM470" si="129">(AA458/(Z458*AF458))</f>
        <v>1.3469047619047618E-6</v>
      </c>
      <c r="AN458" s="215">
        <f t="shared" ref="AN458:AN470" si="130">LOG10(AL458)</f>
        <v>-4.5696331159935104</v>
      </c>
      <c r="AO458" s="215">
        <f t="shared" ref="AO458:AO470" si="131">LOG10(AM458)</f>
        <v>-5.8706631116574917</v>
      </c>
      <c r="AR458" s="213" t="s">
        <v>1071</v>
      </c>
      <c r="AS458" s="215">
        <v>7.9329999999999998</v>
      </c>
      <c r="AT458" s="213" t="s">
        <v>1132</v>
      </c>
      <c r="AW458" s="213" t="s">
        <v>1071</v>
      </c>
      <c r="AX458" s="215">
        <v>8.2420000000000009</v>
      </c>
      <c r="AY458" t="s">
        <v>1136</v>
      </c>
    </row>
    <row r="459" spans="5:51" x14ac:dyDescent="0.25">
      <c r="F459" s="221" t="s">
        <v>1110</v>
      </c>
      <c r="G459" s="14" t="s">
        <v>374</v>
      </c>
      <c r="H459" s="14" t="s">
        <v>366</v>
      </c>
      <c r="I459" s="14">
        <f t="shared" si="117"/>
        <v>298.14999999999998</v>
      </c>
      <c r="J459" s="38">
        <f t="shared" si="121"/>
        <v>3.7499999999999999E-2</v>
      </c>
      <c r="K459" s="38">
        <f t="shared" si="121"/>
        <v>3.7499999999999999E-2</v>
      </c>
      <c r="L459" s="33">
        <v>8.02</v>
      </c>
      <c r="M459" s="21"/>
      <c r="N459" s="38">
        <f t="shared" si="123"/>
        <v>0.33400000000000002</v>
      </c>
      <c r="O459" s="36">
        <v>10.816000000000001</v>
      </c>
      <c r="P459" s="36">
        <v>14.685</v>
      </c>
      <c r="Q459" s="38">
        <v>2.1000000000000001E-2</v>
      </c>
      <c r="R459" s="21">
        <v>1.7680000000000001E-6</v>
      </c>
      <c r="S459" s="19">
        <f t="shared" si="119"/>
        <v>6.844754161827332E-5</v>
      </c>
      <c r="T459" s="213"/>
      <c r="U459" t="s">
        <v>1108</v>
      </c>
      <c r="V459" s="213" t="str">
        <f>G441</f>
        <v>data137</v>
      </c>
      <c r="W459" s="213" t="s">
        <v>115</v>
      </c>
      <c r="X459" s="215">
        <f>L441</f>
        <v>7.53</v>
      </c>
      <c r="Y459" s="1">
        <v>10.82</v>
      </c>
      <c r="Z459" s="257">
        <f>Q441</f>
        <v>3.4000000000000002E-2</v>
      </c>
      <c r="AA459" s="216">
        <v>3.287E-6</v>
      </c>
      <c r="AB459" s="216">
        <v>-9.1779999999999992E-6</v>
      </c>
      <c r="AC459" s="216">
        <v>1.575E-5</v>
      </c>
      <c r="AD459" s="216">
        <f t="shared" si="124"/>
        <v>6.359183673469388E-6</v>
      </c>
      <c r="AE459" s="127">
        <f t="shared" si="125"/>
        <v>193.4646691046361</v>
      </c>
      <c r="AF459" s="258">
        <v>10.37</v>
      </c>
      <c r="AG459" s="215">
        <v>-158.30000000000001</v>
      </c>
      <c r="AH459" s="215">
        <v>179</v>
      </c>
      <c r="AI459" s="215">
        <f t="shared" si="126"/>
        <v>86.045918367346943</v>
      </c>
      <c r="AJ459" s="127">
        <f t="shared" si="127"/>
        <v>829.75813276130134</v>
      </c>
      <c r="AK459" s="1">
        <v>0.62980000000000003</v>
      </c>
      <c r="AL459" s="216">
        <f t="shared" si="128"/>
        <v>9.6676470588235284E-5</v>
      </c>
      <c r="AM459" s="216">
        <f t="shared" si="129"/>
        <v>9.3227069033978106E-6</v>
      </c>
      <c r="AN459" s="215">
        <f t="shared" si="130"/>
        <v>-4.0146792129606306</v>
      </c>
      <c r="AO459" s="215">
        <f t="shared" si="131"/>
        <v>-5.0304579693496718</v>
      </c>
      <c r="AP459" s="215"/>
      <c r="AR459" s="213" t="s">
        <v>1072</v>
      </c>
      <c r="AS459" s="213">
        <v>0.66769999999999996</v>
      </c>
      <c r="AT459" s="213"/>
      <c r="AW459" s="213" t="s">
        <v>1072</v>
      </c>
      <c r="AX459" s="213">
        <v>0.67800000000000005</v>
      </c>
    </row>
    <row r="460" spans="5:51" ht="15.75" thickBot="1" x14ac:dyDescent="0.3">
      <c r="F460" s="221" t="s">
        <v>1110</v>
      </c>
      <c r="G460" s="55" t="s">
        <v>374</v>
      </c>
      <c r="H460" s="55" t="s">
        <v>366</v>
      </c>
      <c r="I460" s="55">
        <f t="shared" si="117"/>
        <v>298.14999999999998</v>
      </c>
      <c r="J460" s="65">
        <f t="shared" si="121"/>
        <v>3.7499999999999999E-2</v>
      </c>
      <c r="K460" s="65">
        <f t="shared" si="121"/>
        <v>3.7499999999999999E-2</v>
      </c>
      <c r="L460" s="63">
        <v>8.02</v>
      </c>
      <c r="M460" s="56"/>
      <c r="N460" s="65">
        <f t="shared" si="123"/>
        <v>0.33400000000000002</v>
      </c>
      <c r="O460" s="57">
        <v>10.816000000000001</v>
      </c>
      <c r="P460" s="57">
        <v>5.14</v>
      </c>
      <c r="Q460" s="65">
        <v>2.1000000000000001E-2</v>
      </c>
      <c r="R460" s="56">
        <v>7.0240000000000004E-7</v>
      </c>
      <c r="S460" s="19">
        <f t="shared" si="119"/>
        <v>2.719318621757646E-5</v>
      </c>
      <c r="T460" s="213"/>
      <c r="U460" t="s">
        <v>1108</v>
      </c>
      <c r="V460" s="213" t="str">
        <f>G447</f>
        <v>data148</v>
      </c>
      <c r="W460" s="213" t="s">
        <v>115</v>
      </c>
      <c r="X460" s="215">
        <f>L447</f>
        <v>7.6</v>
      </c>
      <c r="Y460" s="1">
        <v>10.82</v>
      </c>
      <c r="Z460" s="257">
        <f>Q447</f>
        <v>2.1000000000000001E-2</v>
      </c>
      <c r="AA460" s="216">
        <v>2.2120000000000002E-6</v>
      </c>
      <c r="AB460" s="216">
        <v>-3.709E-6</v>
      </c>
      <c r="AC460" s="216">
        <v>8.1329999999999999E-6</v>
      </c>
      <c r="AD460" s="216">
        <f t="shared" si="124"/>
        <v>3.0209183673469387E-6</v>
      </c>
      <c r="AE460" s="127">
        <f t="shared" si="125"/>
        <v>136.56954644425582</v>
      </c>
      <c r="AF460" s="258">
        <v>25.12</v>
      </c>
      <c r="AG460" s="215">
        <v>-106.9</v>
      </c>
      <c r="AH460" s="215">
        <v>157.19999999999999</v>
      </c>
      <c r="AI460" s="215">
        <f t="shared" si="126"/>
        <v>67.372448979591837</v>
      </c>
      <c r="AJ460" s="127">
        <f t="shared" si="127"/>
        <v>268.20242428181461</v>
      </c>
      <c r="AK460" s="1"/>
      <c r="AL460" s="216">
        <f t="shared" si="128"/>
        <v>1.0533333333333334E-4</v>
      </c>
      <c r="AM460" s="216">
        <f t="shared" si="129"/>
        <v>4.1932059447983009E-6</v>
      </c>
      <c r="AN460" s="215">
        <f t="shared" si="130"/>
        <v>-3.9774341721012587</v>
      </c>
      <c r="AO460" s="215">
        <f t="shared" si="131"/>
        <v>-5.3774538071664173</v>
      </c>
      <c r="AP460" s="215"/>
      <c r="AR460" s="213" t="s">
        <v>2</v>
      </c>
      <c r="AS460" s="213" t="s">
        <v>1088</v>
      </c>
      <c r="AT460" s="213"/>
      <c r="AW460" s="213" t="s">
        <v>2</v>
      </c>
      <c r="AX460" s="213" t="s">
        <v>1088</v>
      </c>
    </row>
    <row r="461" spans="5:51" x14ac:dyDescent="0.25">
      <c r="F461" s="213"/>
      <c r="G461" s="241" t="s">
        <v>371</v>
      </c>
      <c r="H461" s="40" t="s">
        <v>366</v>
      </c>
      <c r="I461" s="40">
        <f t="shared" si="117"/>
        <v>298.14999999999998</v>
      </c>
      <c r="J461" s="61">
        <f t="shared" si="121"/>
        <v>3.7499999999999999E-2</v>
      </c>
      <c r="K461" s="61">
        <f t="shared" si="121"/>
        <v>3.7499999999999999E-2</v>
      </c>
      <c r="L461" s="255">
        <v>8.16</v>
      </c>
      <c r="M461" s="247"/>
      <c r="N461" s="61">
        <f>0.107+0.233</f>
        <v>0.34</v>
      </c>
      <c r="O461" s="42">
        <v>0.216</v>
      </c>
      <c r="P461" s="36">
        <v>73.424000000000007</v>
      </c>
      <c r="Q461" s="61">
        <v>3.4000000000000002E-2</v>
      </c>
      <c r="R461" s="41"/>
      <c r="S461" s="19">
        <f t="shared" si="119"/>
        <v>0</v>
      </c>
      <c r="T461" s="213"/>
      <c r="U461" t="s">
        <v>1109</v>
      </c>
      <c r="V461" s="213" t="str">
        <f>G454</f>
        <v>data147</v>
      </c>
      <c r="W461" s="213" t="s">
        <v>115</v>
      </c>
      <c r="X461" s="215">
        <f>L454</f>
        <v>8.02</v>
      </c>
      <c r="Y461" s="1">
        <v>10.82</v>
      </c>
      <c r="Z461" s="257">
        <f>Q454</f>
        <v>2.1000000000000001E-2</v>
      </c>
      <c r="AA461" s="216">
        <v>1.0329999999999999E-5</v>
      </c>
      <c r="AB461" s="216">
        <v>-1.4980000000000001E-6</v>
      </c>
      <c r="AC461" s="216">
        <v>2.2160000000000001E-5</v>
      </c>
      <c r="AD461" s="216">
        <f t="shared" si="124"/>
        <v>6.0352040816326541E-6</v>
      </c>
      <c r="AE461" s="127">
        <f t="shared" si="125"/>
        <v>58.424047256850479</v>
      </c>
      <c r="AF461" s="258">
        <v>70.27</v>
      </c>
      <c r="AG461" s="215">
        <v>-33.64</v>
      </c>
      <c r="AH461" s="215">
        <v>174.2</v>
      </c>
      <c r="AI461" s="215">
        <f t="shared" si="126"/>
        <v>53.020408163265301</v>
      </c>
      <c r="AJ461" s="127">
        <f t="shared" si="127"/>
        <v>75.452409510837199</v>
      </c>
      <c r="AK461" s="1">
        <v>0.99960000000000004</v>
      </c>
      <c r="AL461" s="216">
        <f t="shared" si="128"/>
        <v>4.9190476190476187E-4</v>
      </c>
      <c r="AM461" s="216">
        <f t="shared" si="129"/>
        <v>7.00021007406805E-6</v>
      </c>
      <c r="AN461" s="215">
        <f t="shared" si="130"/>
        <v>-3.3081189732142988</v>
      </c>
      <c r="AO461" s="215">
        <f t="shared" si="131"/>
        <v>-5.1548889267515179</v>
      </c>
      <c r="AP461" s="215"/>
      <c r="AR461" s="213">
        <v>7</v>
      </c>
      <c r="AS461" s="213">
        <f>LOG10($AS$457/(1+10^($AS$458-AR461)))</f>
        <v>-4.4416020483751257</v>
      </c>
      <c r="AW461" s="213">
        <v>7</v>
      </c>
      <c r="AX461" s="213">
        <f>LOG10($AX$457/(1+10^($AX$458-AW461)))</f>
        <v>-5.8630693327588688</v>
      </c>
    </row>
    <row r="462" spans="5:51" x14ac:dyDescent="0.25">
      <c r="F462" s="213"/>
      <c r="G462" s="217" t="s">
        <v>371</v>
      </c>
      <c r="H462" s="240" t="s">
        <v>1101</v>
      </c>
      <c r="I462" s="40">
        <f t="shared" si="117"/>
        <v>298.14999999999998</v>
      </c>
      <c r="J462" s="61">
        <f t="shared" si="121"/>
        <v>3.7499999999999999E-2</v>
      </c>
      <c r="K462" s="242">
        <f t="shared" si="121"/>
        <v>3.7499999999999999E-2</v>
      </c>
      <c r="L462" s="33">
        <v>8.16</v>
      </c>
      <c r="M462" s="21"/>
      <c r="N462" s="244">
        <f>0.107+0.233</f>
        <v>0.34</v>
      </c>
      <c r="O462" s="36">
        <v>0.86499999999999999</v>
      </c>
      <c r="P462" s="36">
        <v>73.424000000000007</v>
      </c>
      <c r="Q462" s="61">
        <v>3.4000000000000002E-2</v>
      </c>
      <c r="R462" s="41"/>
      <c r="S462" s="19">
        <f t="shared" si="119"/>
        <v>0</v>
      </c>
      <c r="T462" s="213"/>
      <c r="U462" t="s">
        <v>1108</v>
      </c>
      <c r="V462" s="213" t="str">
        <f>G461</f>
        <v>data138</v>
      </c>
      <c r="W462" s="213" t="s">
        <v>115</v>
      </c>
      <c r="X462" s="215">
        <f>L461</f>
        <v>8.16</v>
      </c>
      <c r="Y462" s="1">
        <v>10.82</v>
      </c>
      <c r="Z462" s="257">
        <f>Q461</f>
        <v>3.4000000000000002E-2</v>
      </c>
      <c r="AA462" s="216">
        <v>1.13E-5</v>
      </c>
      <c r="AB462" s="216">
        <v>4.1670000000000001E-6</v>
      </c>
      <c r="AC462" s="216">
        <v>1.844E-5</v>
      </c>
      <c r="AD462" s="216">
        <f t="shared" si="124"/>
        <v>3.6410714285714286E-6</v>
      </c>
      <c r="AE462" s="127">
        <f t="shared" si="125"/>
        <v>32.221871049304681</v>
      </c>
      <c r="AF462" s="258">
        <v>28</v>
      </c>
      <c r="AG462" s="215">
        <v>-17.239999999999998</v>
      </c>
      <c r="AH462" s="215"/>
      <c r="AI462" s="215">
        <f t="shared" si="126"/>
        <v>4.3979591836734695</v>
      </c>
      <c r="AJ462" s="127">
        <f t="shared" si="127"/>
        <v>15.706997084548105</v>
      </c>
      <c r="AK462" s="1"/>
      <c r="AL462" s="216">
        <f t="shared" si="128"/>
        <v>3.3235294117647059E-4</v>
      </c>
      <c r="AM462" s="216">
        <f t="shared" si="129"/>
        <v>1.1869747899159663E-5</v>
      </c>
      <c r="AN462" s="215">
        <f t="shared" si="130"/>
        <v>-3.4784004735588354</v>
      </c>
      <c r="AO462" s="215">
        <f t="shared" si="131"/>
        <v>-4.9255585049010548</v>
      </c>
      <c r="AP462" s="215"/>
      <c r="AR462" s="213">
        <v>7.1</v>
      </c>
      <c r="AS462" s="213">
        <f t="shared" ref="AS462:AS488" si="132">LOG10($AS$457/(1+10^($AS$458-AR462)))</f>
        <v>-4.3531956975596469</v>
      </c>
      <c r="AW462" s="213">
        <v>7.1</v>
      </c>
      <c r="AX462" s="213">
        <f t="shared" ref="AX462:AX488" si="133">LOG10($AX$457/(1+10^($AX$458-AW462)))</f>
        <v>-5.7691191286636903</v>
      </c>
    </row>
    <row r="463" spans="5:51" x14ac:dyDescent="0.25">
      <c r="F463" s="213"/>
      <c r="G463" s="217" t="s">
        <v>371</v>
      </c>
      <c r="H463" s="240" t="s">
        <v>1102</v>
      </c>
      <c r="I463" s="40">
        <f t="shared" si="117"/>
        <v>298.14999999999998</v>
      </c>
      <c r="J463" s="61">
        <f t="shared" si="121"/>
        <v>3.7499999999999999E-2</v>
      </c>
      <c r="K463" s="242">
        <f t="shared" si="121"/>
        <v>3.7499999999999999E-2</v>
      </c>
      <c r="L463" s="33">
        <v>8.16</v>
      </c>
      <c r="M463" s="21"/>
      <c r="N463" s="244">
        <f>0.107+0.233</f>
        <v>0.34</v>
      </c>
      <c r="O463" s="36">
        <v>3.028</v>
      </c>
      <c r="P463" s="36">
        <v>73.424000000000007</v>
      </c>
      <c r="Q463" s="61">
        <v>3.4000000000000002E-2</v>
      </c>
      <c r="R463" s="41"/>
      <c r="S463" s="19">
        <f t="shared" si="119"/>
        <v>0</v>
      </c>
      <c r="T463" s="213"/>
      <c r="U463" s="213" t="s">
        <v>1109</v>
      </c>
      <c r="V463" s="213" t="str">
        <f>G468</f>
        <v>data139</v>
      </c>
      <c r="W463" s="213" t="s">
        <v>115</v>
      </c>
      <c r="X463" s="215">
        <f>L468</f>
        <v>8.51</v>
      </c>
      <c r="Y463" s="1">
        <v>10.82</v>
      </c>
      <c r="Z463" s="257">
        <f>Q468</f>
        <v>3.4000000000000002E-2</v>
      </c>
      <c r="AA463" s="216">
        <v>8.8140000000000007E-6</v>
      </c>
      <c r="AB463" s="216">
        <v>1.739E-6</v>
      </c>
      <c r="AC463" s="216">
        <v>1.5889999999999999E-5</v>
      </c>
      <c r="AD463" s="216">
        <f t="shared" si="124"/>
        <v>3.6099489795918366E-6</v>
      </c>
      <c r="AE463" s="127">
        <f t="shared" si="125"/>
        <v>40.956988649782581</v>
      </c>
      <c r="AF463" s="258">
        <v>16.489999999999998</v>
      </c>
      <c r="AG463" s="215">
        <v>-14.07</v>
      </c>
      <c r="AH463" s="215">
        <v>47.06</v>
      </c>
      <c r="AI463" s="215">
        <f t="shared" si="126"/>
        <v>15.594387755102042</v>
      </c>
      <c r="AJ463" s="127">
        <f t="shared" si="127"/>
        <v>94.568755337186445</v>
      </c>
      <c r="AK463" s="1">
        <v>0.99480000000000002</v>
      </c>
      <c r="AL463" s="216">
        <f t="shared" si="128"/>
        <v>2.5923529411764703E-4</v>
      </c>
      <c r="AM463" s="216">
        <f t="shared" si="129"/>
        <v>1.5720757678450402E-5</v>
      </c>
      <c r="AN463" s="215">
        <f t="shared" si="130"/>
        <v>-3.5863058708683551</v>
      </c>
      <c r="AO463" s="215">
        <f t="shared" si="131"/>
        <v>-4.8035265265128739</v>
      </c>
      <c r="AP463" s="215"/>
      <c r="AR463" s="213">
        <v>7.2</v>
      </c>
      <c r="AS463" s="213">
        <f t="shared" si="132"/>
        <v>-4.2673644813599463</v>
      </c>
      <c r="AW463" s="213">
        <v>7.2</v>
      </c>
      <c r="AX463" s="213">
        <f t="shared" si="133"/>
        <v>-5.6766174625680614</v>
      </c>
    </row>
    <row r="464" spans="5:51" x14ac:dyDescent="0.25">
      <c r="F464" s="221" t="s">
        <v>1112</v>
      </c>
      <c r="G464" s="217" t="s">
        <v>371</v>
      </c>
      <c r="H464" s="240" t="s">
        <v>1101</v>
      </c>
      <c r="I464" s="40">
        <f t="shared" si="117"/>
        <v>298.14999999999998</v>
      </c>
      <c r="J464" s="61">
        <f t="shared" si="121"/>
        <v>3.7499999999999999E-2</v>
      </c>
      <c r="K464" s="242">
        <f t="shared" si="121"/>
        <v>3.7499999999999999E-2</v>
      </c>
      <c r="L464" s="33">
        <v>8.16</v>
      </c>
      <c r="M464" s="21"/>
      <c r="N464" s="244">
        <f>0.107+0.233</f>
        <v>0.34</v>
      </c>
      <c r="O464" s="36">
        <v>10.816000000000001</v>
      </c>
      <c r="P464" s="36">
        <v>73.424000000000007</v>
      </c>
      <c r="Q464" s="61">
        <v>3.4000000000000002E-2</v>
      </c>
      <c r="R464" s="41">
        <v>7.8569999999999995E-6</v>
      </c>
      <c r="S464" s="19">
        <f t="shared" si="119"/>
        <v>1.8787661406025822E-4</v>
      </c>
      <c r="T464" s="213"/>
      <c r="U464" s="213" t="s">
        <v>1109</v>
      </c>
      <c r="V464" s="213" t="str">
        <f>G475</f>
        <v>data146</v>
      </c>
      <c r="W464" s="213" t="s">
        <v>115</v>
      </c>
      <c r="X464" s="215">
        <f>L475</f>
        <v>8.67</v>
      </c>
      <c r="Y464" s="1">
        <v>10.82</v>
      </c>
      <c r="Z464" s="257">
        <f>Q475</f>
        <v>2.1000000000000001E-2</v>
      </c>
      <c r="AA464" s="216">
        <v>4.566E-6</v>
      </c>
      <c r="AB464" s="216">
        <v>-2.3430000000000001E-5</v>
      </c>
      <c r="AC464" s="216">
        <v>3.2570000000000002E-5</v>
      </c>
      <c r="AD464" s="216">
        <f t="shared" si="124"/>
        <v>1.4285714285714287E-5</v>
      </c>
      <c r="AE464" s="127">
        <f t="shared" si="125"/>
        <v>312.87153494775049</v>
      </c>
      <c r="AF464" s="258">
        <v>29.32</v>
      </c>
      <c r="AG464" s="215">
        <v>-266.7</v>
      </c>
      <c r="AH464" s="215">
        <v>325.39999999999998</v>
      </c>
      <c r="AI464" s="215">
        <f t="shared" si="126"/>
        <v>151.04591836734693</v>
      </c>
      <c r="AJ464" s="127">
        <f t="shared" si="127"/>
        <v>515.16343235793624</v>
      </c>
      <c r="AK464" s="1">
        <v>0.92549999999999999</v>
      </c>
      <c r="AL464" s="216">
        <f t="shared" si="128"/>
        <v>2.174285714285714E-4</v>
      </c>
      <c r="AM464" s="216">
        <f t="shared" si="129"/>
        <v>7.4157084389007987E-6</v>
      </c>
      <c r="AN464" s="215">
        <f t="shared" si="130"/>
        <v>-3.6626833875797029</v>
      </c>
      <c r="AO464" s="215">
        <f t="shared" si="131"/>
        <v>-5.1298473535487927</v>
      </c>
      <c r="AP464" s="215"/>
      <c r="AR464" s="213">
        <v>7.3</v>
      </c>
      <c r="AS464" s="213">
        <f t="shared" si="132"/>
        <v>-4.1845687770114859</v>
      </c>
      <c r="AW464" s="213">
        <v>7.3</v>
      </c>
      <c r="AX464" s="213">
        <f t="shared" si="133"/>
        <v>-5.5858768674582855</v>
      </c>
    </row>
    <row r="465" spans="5:50" x14ac:dyDescent="0.25">
      <c r="E465" s="213"/>
      <c r="F465" s="221" t="s">
        <v>1095</v>
      </c>
      <c r="G465" s="40" t="s">
        <v>371</v>
      </c>
      <c r="H465" s="40" t="s">
        <v>366</v>
      </c>
      <c r="I465" s="40">
        <f t="shared" si="117"/>
        <v>298.14999999999998</v>
      </c>
      <c r="J465" s="61">
        <f t="shared" si="121"/>
        <v>3.7499999999999999E-2</v>
      </c>
      <c r="K465" s="242">
        <f t="shared" si="121"/>
        <v>3.7499999999999999E-2</v>
      </c>
      <c r="L465" s="33">
        <v>8.16</v>
      </c>
      <c r="M465" s="21"/>
      <c r="N465" s="244">
        <f>0.107+0.233</f>
        <v>0.34</v>
      </c>
      <c r="O465" s="42">
        <v>10.816000000000001</v>
      </c>
      <c r="P465" s="36">
        <v>36.712000000000003</v>
      </c>
      <c r="Q465" s="61">
        <v>3.4000000000000002E-2</v>
      </c>
      <c r="R465" s="41">
        <v>6.9779999999999999E-6</v>
      </c>
      <c r="S465" s="19">
        <f t="shared" si="119"/>
        <v>1.6685796269727402E-4</v>
      </c>
      <c r="T465" s="213"/>
      <c r="U465" s="213" t="s">
        <v>1109</v>
      </c>
      <c r="V465" s="213" t="str">
        <f>G482</f>
        <v>data145</v>
      </c>
      <c r="W465" s="213" t="s">
        <v>115</v>
      </c>
      <c r="X465" s="215">
        <f>L482</f>
        <v>9.0399999999999991</v>
      </c>
      <c r="Y465" s="1">
        <v>10.82</v>
      </c>
      <c r="Z465" s="257">
        <f>Q482</f>
        <v>2.1000000000000001E-2</v>
      </c>
      <c r="AA465" s="216">
        <v>9.6220000000000004E-6</v>
      </c>
      <c r="AB465" s="216">
        <v>-2.8700000000000001E-6</v>
      </c>
      <c r="AC465" s="216">
        <v>2.211E-5</v>
      </c>
      <c r="AD465" s="216">
        <f t="shared" si="124"/>
        <v>6.3724489795918372E-6</v>
      </c>
      <c r="AE465" s="127">
        <f t="shared" si="125"/>
        <v>66.227904589397596</v>
      </c>
      <c r="AF465" s="258">
        <v>20.38</v>
      </c>
      <c r="AG465" s="215">
        <v>-29.45</v>
      </c>
      <c r="AH465" s="215">
        <v>70.209999999999994</v>
      </c>
      <c r="AI465" s="215">
        <f t="shared" si="126"/>
        <v>25.423469387755102</v>
      </c>
      <c r="AJ465" s="127">
        <f t="shared" si="127"/>
        <v>124.74715106847449</v>
      </c>
      <c r="AK465" s="1">
        <v>0.99390000000000001</v>
      </c>
      <c r="AL465" s="216">
        <f t="shared" si="128"/>
        <v>4.5819047619047619E-4</v>
      </c>
      <c r="AM465" s="216">
        <f t="shared" si="129"/>
        <v>2.248235898873779E-5</v>
      </c>
      <c r="AN465" s="215">
        <f t="shared" si="130"/>
        <v>-3.338953942167374</v>
      </c>
      <c r="AO465" s="215">
        <f t="shared" si="131"/>
        <v>-4.6481581218377812</v>
      </c>
      <c r="AP465" s="215"/>
      <c r="AR465" s="213">
        <v>7.4</v>
      </c>
      <c r="AS465" s="213">
        <f t="shared" si="132"/>
        <v>-4.1053014627396305</v>
      </c>
      <c r="AW465" s="213">
        <v>7.4</v>
      </c>
      <c r="AX465" s="213">
        <f t="shared" si="133"/>
        <v>-5.4972598915474586</v>
      </c>
    </row>
    <row r="466" spans="5:50" x14ac:dyDescent="0.25">
      <c r="E466" s="213"/>
      <c r="F466" s="221" t="s">
        <v>1113</v>
      </c>
      <c r="G466" s="217" t="s">
        <v>371</v>
      </c>
      <c r="H466" s="14" t="s">
        <v>366</v>
      </c>
      <c r="I466" s="14">
        <f t="shared" si="117"/>
        <v>298.14999999999998</v>
      </c>
      <c r="J466" s="38">
        <f t="shared" si="121"/>
        <v>3.7499999999999999E-2</v>
      </c>
      <c r="K466" s="243">
        <f t="shared" si="121"/>
        <v>3.7499999999999999E-2</v>
      </c>
      <c r="L466" s="33">
        <v>8.16</v>
      </c>
      <c r="M466" s="21"/>
      <c r="N466" s="245">
        <v>0.34</v>
      </c>
      <c r="O466" s="36">
        <v>10.816000000000001</v>
      </c>
      <c r="P466" s="36">
        <v>7.3419999999999996</v>
      </c>
      <c r="Q466" s="38">
        <v>3.4000000000000002E-2</v>
      </c>
      <c r="R466" s="21">
        <v>2.1210000000000001E-6</v>
      </c>
      <c r="S466" s="19">
        <f t="shared" si="119"/>
        <v>5.071736011477762E-5</v>
      </c>
      <c r="T466" s="213"/>
      <c r="U466" s="213" t="s">
        <v>1109</v>
      </c>
      <c r="V466" s="213" t="str">
        <f>G489</f>
        <v>data141</v>
      </c>
      <c r="W466" s="213" t="s">
        <v>115</v>
      </c>
      <c r="X466" s="215">
        <f>L489</f>
        <v>9.15</v>
      </c>
      <c r="Y466" s="1">
        <v>10.82</v>
      </c>
      <c r="Z466" s="257">
        <f>Q489</f>
        <v>1.4E-2</v>
      </c>
      <c r="AA466" s="216">
        <v>2.4279999999999999E-6</v>
      </c>
      <c r="AB466" s="216">
        <v>-9.4530000000000008E-6</v>
      </c>
      <c r="AC466" s="216">
        <v>1.431E-5</v>
      </c>
      <c r="AD466" s="216">
        <f t="shared" si="124"/>
        <v>6.0619897959183685E-6</v>
      </c>
      <c r="AE466" s="127">
        <f t="shared" si="125"/>
        <v>249.67009044144848</v>
      </c>
      <c r="AF466" s="258">
        <v>4.8</v>
      </c>
      <c r="AG466" s="215">
        <v>-71.09</v>
      </c>
      <c r="AH466" s="215">
        <v>80.69</v>
      </c>
      <c r="AI466" s="215">
        <f t="shared" si="126"/>
        <v>38.719387755102041</v>
      </c>
      <c r="AJ466" s="127">
        <f t="shared" si="127"/>
        <v>806.6539115646259</v>
      </c>
      <c r="AK466" s="1">
        <v>0.35880000000000001</v>
      </c>
      <c r="AL466" s="216">
        <f t="shared" si="128"/>
        <v>1.7342857142857142E-4</v>
      </c>
      <c r="AM466" s="216">
        <f t="shared" si="129"/>
        <v>3.6130952380952382E-5</v>
      </c>
      <c r="AN466" s="215">
        <f t="shared" si="130"/>
        <v>-3.7608793532750182</v>
      </c>
      <c r="AO466" s="215">
        <f t="shared" si="131"/>
        <v>-4.4421205906506049</v>
      </c>
      <c r="AP466" s="215"/>
      <c r="AR466" s="213">
        <v>7.5</v>
      </c>
      <c r="AS466" s="213">
        <f t="shared" si="132"/>
        <v>-4.0300692780226868</v>
      </c>
      <c r="AW466" s="213">
        <v>7.5</v>
      </c>
      <c r="AX466" s="213">
        <f t="shared" si="133"/>
        <v>-5.4111786534751793</v>
      </c>
    </row>
    <row r="467" spans="5:50" ht="15.75" thickBot="1" x14ac:dyDescent="0.3">
      <c r="E467" s="213"/>
      <c r="F467" s="221" t="s">
        <v>1114</v>
      </c>
      <c r="G467" s="55" t="s">
        <v>371</v>
      </c>
      <c r="H467" s="55" t="s">
        <v>366</v>
      </c>
      <c r="I467" s="55">
        <f t="shared" si="117"/>
        <v>298.14999999999998</v>
      </c>
      <c r="J467" s="65">
        <f t="shared" si="121"/>
        <v>3.7499999999999999E-2</v>
      </c>
      <c r="K467" s="65">
        <f t="shared" si="121"/>
        <v>3.7499999999999999E-2</v>
      </c>
      <c r="L467" s="175">
        <v>8.16</v>
      </c>
      <c r="M467" s="174"/>
      <c r="N467" s="65">
        <v>0.34</v>
      </c>
      <c r="O467" s="57">
        <v>10.816000000000001</v>
      </c>
      <c r="P467" s="57">
        <v>3.6709999999999998</v>
      </c>
      <c r="Q467" s="65">
        <v>3.4000000000000002E-2</v>
      </c>
      <c r="R467" s="56">
        <v>9.3780000000000005E-7</v>
      </c>
      <c r="S467" s="19">
        <f t="shared" si="119"/>
        <v>2.242467718794835E-5</v>
      </c>
      <c r="T467" s="213"/>
      <c r="U467" s="213" t="s">
        <v>1108</v>
      </c>
      <c r="V467" s="213" t="str">
        <f>G496</f>
        <v>data140</v>
      </c>
      <c r="W467" s="213" t="s">
        <v>115</v>
      </c>
      <c r="X467" s="215">
        <f>L496</f>
        <v>9.23</v>
      </c>
      <c r="Y467" s="1">
        <v>10.82</v>
      </c>
      <c r="Z467" s="257">
        <f>Q496</f>
        <v>3.4000000000000002E-2</v>
      </c>
      <c r="AA467" s="216">
        <v>1.5840000000000001E-5</v>
      </c>
      <c r="AB467" s="216">
        <v>9.1260000000000004E-6</v>
      </c>
      <c r="AC467" s="216">
        <v>2.2549999999999999E-5</v>
      </c>
      <c r="AD467" s="216">
        <f t="shared" si="124"/>
        <v>3.424489795918367E-6</v>
      </c>
      <c r="AE467" s="127">
        <f t="shared" si="125"/>
        <v>21.619253762110901</v>
      </c>
      <c r="AF467" s="258">
        <v>38.770000000000003</v>
      </c>
      <c r="AG467" s="215">
        <v>1.798</v>
      </c>
      <c r="AH467" s="215">
        <v>75.75</v>
      </c>
      <c r="AI467" s="215">
        <f t="shared" si="126"/>
        <v>18.865306122448981</v>
      </c>
      <c r="AJ467" s="127">
        <f t="shared" si="127"/>
        <v>48.659546356587512</v>
      </c>
      <c r="AK467" s="1">
        <v>0.99229999999999996</v>
      </c>
      <c r="AL467" s="216">
        <f t="shared" si="128"/>
        <v>4.6588235294117648E-4</v>
      </c>
      <c r="AM467" s="216">
        <f t="shared" si="129"/>
        <v>1.2016568298714894E-5</v>
      </c>
      <c r="AN467" s="215">
        <f t="shared" si="130"/>
        <v>-3.3317237397887802</v>
      </c>
      <c r="AO467" s="215">
        <f t="shared" si="131"/>
        <v>-4.9202195407959906</v>
      </c>
      <c r="AP467" s="215"/>
      <c r="AR467" s="213">
        <v>7.6</v>
      </c>
      <c r="AS467" s="213">
        <f t="shared" si="132"/>
        <v>-3.9593668422907062</v>
      </c>
      <c r="AW467" s="213">
        <v>7.6</v>
      </c>
      <c r="AX467" s="213">
        <f t="shared" si="133"/>
        <v>-5.3280899431792577</v>
      </c>
    </row>
    <row r="468" spans="5:50" x14ac:dyDescent="0.25">
      <c r="E468" s="213"/>
      <c r="F468" s="213"/>
      <c r="G468" s="168" t="s">
        <v>372</v>
      </c>
      <c r="H468" s="40" t="s">
        <v>1101</v>
      </c>
      <c r="I468" s="40">
        <f t="shared" si="117"/>
        <v>298.14999999999998</v>
      </c>
      <c r="J468" s="61">
        <f t="shared" si="121"/>
        <v>3.7499999999999999E-2</v>
      </c>
      <c r="K468" s="61">
        <f t="shared" si="121"/>
        <v>3.7499999999999999E-2</v>
      </c>
      <c r="L468" s="255">
        <v>8.51</v>
      </c>
      <c r="M468" s="41"/>
      <c r="N468" s="61">
        <f t="shared" ref="N468:N474" si="134">0.11+0.244</f>
        <v>0.35399999999999998</v>
      </c>
      <c r="O468" s="42">
        <v>0.216</v>
      </c>
      <c r="P468" s="36">
        <v>73.424000000000007</v>
      </c>
      <c r="Q468" s="61">
        <v>3.4000000000000002E-2</v>
      </c>
      <c r="R468" s="41"/>
      <c r="S468" s="19">
        <f t="shared" si="119"/>
        <v>0</v>
      </c>
      <c r="T468" s="213"/>
      <c r="U468" s="213" t="s">
        <v>1109</v>
      </c>
      <c r="V468" s="213" t="str">
        <f>G500</f>
        <v>data144</v>
      </c>
      <c r="W468" s="213" t="s">
        <v>115</v>
      </c>
      <c r="X468" s="215">
        <f>L500</f>
        <v>9.32</v>
      </c>
      <c r="Y468" s="1">
        <v>10.82</v>
      </c>
      <c r="Z468" s="257">
        <f>Q500</f>
        <v>2.1000000000000001E-2</v>
      </c>
      <c r="AA468" s="216">
        <v>6.3430000000000001E-6</v>
      </c>
      <c r="AB468" s="216">
        <v>-9.8169999999999994E-6</v>
      </c>
      <c r="AC468" s="216">
        <v>2.2500000000000001E-5</v>
      </c>
      <c r="AD468" s="216">
        <f t="shared" si="124"/>
        <v>8.2441326530612254E-6</v>
      </c>
      <c r="AE468" s="127">
        <f t="shared" si="125"/>
        <v>129.97213704968036</v>
      </c>
      <c r="AF468" s="258">
        <v>13.59</v>
      </c>
      <c r="AG468" s="215">
        <v>-63.53</v>
      </c>
      <c r="AH468" s="215">
        <v>90.72</v>
      </c>
      <c r="AI468" s="215">
        <f t="shared" si="126"/>
        <v>39.349489795918366</v>
      </c>
      <c r="AJ468" s="127">
        <f t="shared" si="127"/>
        <v>289.54738628343171</v>
      </c>
      <c r="AK468" s="1">
        <v>0.94279999999999997</v>
      </c>
      <c r="AL468" s="216">
        <f t="shared" si="128"/>
        <v>3.0204761904761905E-4</v>
      </c>
      <c r="AM468" s="216">
        <f t="shared" si="129"/>
        <v>2.2225726199236129E-5</v>
      </c>
      <c r="AN468" s="215">
        <f t="shared" si="130"/>
        <v>-3.5199245833364556</v>
      </c>
      <c r="AO468" s="215">
        <f t="shared" si="131"/>
        <v>-4.6531440400689501</v>
      </c>
      <c r="AR468" s="213">
        <v>7.7</v>
      </c>
      <c r="AS468" s="213">
        <f t="shared" si="132"/>
        <v>-3.8936446816672841</v>
      </c>
      <c r="AW468" s="213">
        <v>7.7</v>
      </c>
      <c r="AX468" s="213">
        <f t="shared" si="133"/>
        <v>-5.2484843654477569</v>
      </c>
    </row>
    <row r="469" spans="5:50" x14ac:dyDescent="0.25">
      <c r="E469" s="213"/>
      <c r="F469" s="213"/>
      <c r="G469" s="168" t="s">
        <v>372</v>
      </c>
      <c r="H469" s="40" t="s">
        <v>1102</v>
      </c>
      <c r="I469" s="40">
        <f t="shared" ref="I469:I500" si="135">25+273.15</f>
        <v>298.14999999999998</v>
      </c>
      <c r="J469" s="61">
        <f t="shared" si="121"/>
        <v>3.7499999999999999E-2</v>
      </c>
      <c r="K469" s="242">
        <f t="shared" si="121"/>
        <v>3.7499999999999999E-2</v>
      </c>
      <c r="L469" s="33">
        <v>8.51</v>
      </c>
      <c r="M469" s="248"/>
      <c r="N469" s="61">
        <f t="shared" si="134"/>
        <v>0.35399999999999998</v>
      </c>
      <c r="O469" s="36">
        <v>0.86499999999999999</v>
      </c>
      <c r="P469" s="36">
        <v>73.424000000000007</v>
      </c>
      <c r="Q469" s="61">
        <v>3.4000000000000002E-2</v>
      </c>
      <c r="R469" s="41"/>
      <c r="S469" s="19">
        <f t="shared" ref="S469:S500" si="136">R469/($C$2*Q469)</f>
        <v>0</v>
      </c>
      <c r="T469" s="213"/>
      <c r="U469" s="213" t="s">
        <v>1109</v>
      </c>
      <c r="V469" t="str">
        <f>G504</f>
        <v>data142</v>
      </c>
      <c r="W469" s="213" t="s">
        <v>115</v>
      </c>
      <c r="X469" s="215">
        <f>L504</f>
        <v>9.43</v>
      </c>
      <c r="Y469" s="1">
        <v>10.82</v>
      </c>
      <c r="Z469" s="257">
        <f>Q504</f>
        <v>1.4E-2</v>
      </c>
      <c r="AA469" s="214">
        <v>3.4929999999999998E-6</v>
      </c>
      <c r="AB469" s="214">
        <v>-2.7E-6</v>
      </c>
      <c r="AC469" s="214">
        <v>9.6870000000000006E-6</v>
      </c>
      <c r="AD469" s="216">
        <f t="shared" si="124"/>
        <v>3.1599489795918367E-6</v>
      </c>
      <c r="AE469" s="127">
        <f t="shared" si="125"/>
        <v>90.46518693363403</v>
      </c>
      <c r="AF469" s="258">
        <v>4.1150000000000002</v>
      </c>
      <c r="AG469">
        <v>-20.83</v>
      </c>
      <c r="AH469">
        <v>29.06</v>
      </c>
      <c r="AI469" s="215">
        <f t="shared" si="126"/>
        <v>12.727040816326531</v>
      </c>
      <c r="AJ469" s="127">
        <f t="shared" si="127"/>
        <v>309.28410246237013</v>
      </c>
      <c r="AK469" s="1">
        <v>0.83720000000000006</v>
      </c>
      <c r="AL469" s="216">
        <f t="shared" si="128"/>
        <v>2.4949999999999999E-4</v>
      </c>
      <c r="AM469" s="216">
        <f t="shared" si="129"/>
        <v>6.0631834750911293E-5</v>
      </c>
      <c r="AN469" s="215">
        <f t="shared" si="130"/>
        <v>-3.6029294500405915</v>
      </c>
      <c r="AO469" s="215">
        <f t="shared" si="131"/>
        <v>-4.2172992895888797</v>
      </c>
      <c r="AR469" s="213">
        <v>7.8</v>
      </c>
      <c r="AS469" s="213">
        <f t="shared" si="132"/>
        <v>-3.8332744637151519</v>
      </c>
      <c r="AW469" s="213">
        <v>7.8</v>
      </c>
      <c r="AX469" s="213">
        <f t="shared" si="133"/>
        <v>-5.1728683713205035</v>
      </c>
    </row>
    <row r="470" spans="5:50" x14ac:dyDescent="0.25">
      <c r="E470" s="213"/>
      <c r="F470" s="213"/>
      <c r="G470" s="217" t="s">
        <v>372</v>
      </c>
      <c r="H470" s="40" t="s">
        <v>1101</v>
      </c>
      <c r="I470" s="40">
        <f t="shared" si="135"/>
        <v>298.14999999999998</v>
      </c>
      <c r="J470" s="61">
        <f t="shared" si="121"/>
        <v>3.7499999999999999E-2</v>
      </c>
      <c r="K470" s="61">
        <f t="shared" si="121"/>
        <v>3.7499999999999999E-2</v>
      </c>
      <c r="L470" s="62">
        <v>8.51</v>
      </c>
      <c r="M470" s="21"/>
      <c r="N470" s="61">
        <f t="shared" si="134"/>
        <v>0.35399999999999998</v>
      </c>
      <c r="O470" s="36">
        <v>3.028</v>
      </c>
      <c r="P470" s="36">
        <v>73.424000000000007</v>
      </c>
      <c r="Q470" s="61">
        <v>3.4000000000000002E-2</v>
      </c>
      <c r="R470" s="41"/>
      <c r="S470" s="19">
        <f t="shared" si="136"/>
        <v>0</v>
      </c>
      <c r="T470" s="213"/>
      <c r="U470" s="213" t="s">
        <v>1109</v>
      </c>
      <c r="V470" t="str">
        <f>G508</f>
        <v>data143</v>
      </c>
      <c r="W470" s="213" t="s">
        <v>115</v>
      </c>
      <c r="X470" s="215">
        <f>L508</f>
        <v>9.73</v>
      </c>
      <c r="Y470" s="1">
        <v>10.82</v>
      </c>
      <c r="Z470" s="257">
        <f>Q508</f>
        <v>2.1000000000000001E-2</v>
      </c>
      <c r="AA470" s="214">
        <v>7.1339999999999998E-6</v>
      </c>
      <c r="AB470" s="214">
        <v>-1.872E-5</v>
      </c>
      <c r="AC470" s="214">
        <v>3.2979999999999999E-5</v>
      </c>
      <c r="AD470" s="216">
        <f t="shared" si="124"/>
        <v>1.3188775510204082E-5</v>
      </c>
      <c r="AE470" s="127">
        <f t="shared" si="125"/>
        <v>184.87209854505301</v>
      </c>
      <c r="AF470" s="258">
        <v>16.59</v>
      </c>
      <c r="AG470">
        <v>-106.5</v>
      </c>
      <c r="AH470">
        <v>139.6</v>
      </c>
      <c r="AI470" s="215">
        <f t="shared" si="126"/>
        <v>62.780612244897959</v>
      </c>
      <c r="AJ470" s="127">
        <f t="shared" si="127"/>
        <v>378.42442582819746</v>
      </c>
      <c r="AK470" s="1">
        <v>0.92059999999999997</v>
      </c>
      <c r="AL470" s="216">
        <f t="shared" si="128"/>
        <v>3.3971428571428569E-4</v>
      </c>
      <c r="AM470" s="216">
        <f t="shared" si="129"/>
        <v>2.047705158012572E-5</v>
      </c>
      <c r="AN470" s="215">
        <f t="shared" si="130"/>
        <v>-3.4688861897315841</v>
      </c>
      <c r="AO470" s="215">
        <f t="shared" si="131"/>
        <v>-4.688732575755945</v>
      </c>
      <c r="AR470" s="213">
        <v>7.9</v>
      </c>
      <c r="AS470" s="213">
        <f t="shared" si="132"/>
        <v>-3.7785162961441494</v>
      </c>
      <c r="AW470" s="213">
        <v>7.9</v>
      </c>
      <c r="AX470" s="213">
        <f t="shared" si="133"/>
        <v>-5.1017389082751636</v>
      </c>
    </row>
    <row r="471" spans="5:50" x14ac:dyDescent="0.25">
      <c r="E471" s="213"/>
      <c r="F471" s="162" t="s">
        <v>1117</v>
      </c>
      <c r="G471" s="217" t="s">
        <v>372</v>
      </c>
      <c r="H471" s="40" t="s">
        <v>366</v>
      </c>
      <c r="I471" s="40">
        <f t="shared" si="135"/>
        <v>298.14999999999998</v>
      </c>
      <c r="J471" s="61">
        <f t="shared" si="121"/>
        <v>3.7499999999999999E-2</v>
      </c>
      <c r="K471" s="61">
        <f t="shared" si="121"/>
        <v>3.7499999999999999E-2</v>
      </c>
      <c r="L471" s="33">
        <v>8.51</v>
      </c>
      <c r="M471" s="21"/>
      <c r="N471" s="61">
        <f t="shared" si="134"/>
        <v>0.35399999999999998</v>
      </c>
      <c r="O471" s="36">
        <v>10.816000000000001</v>
      </c>
      <c r="P471" s="36">
        <v>73.424000000000007</v>
      </c>
      <c r="Q471" s="61">
        <v>3.4000000000000002E-2</v>
      </c>
      <c r="R471" s="41">
        <v>1.148E-5</v>
      </c>
      <c r="S471" s="19">
        <f t="shared" si="136"/>
        <v>2.7450980392156862E-4</v>
      </c>
      <c r="T471" s="213"/>
      <c r="W471" s="213"/>
      <c r="Y471" s="1"/>
      <c r="AD471" s="216"/>
      <c r="AE471" s="127"/>
      <c r="AF471" s="258">
        <f>AVERAGE(AF458:AF470)</f>
        <v>22.908846153846149</v>
      </c>
      <c r="AI471" s="215"/>
      <c r="AJ471" s="127"/>
      <c r="AK471" s="1"/>
      <c r="AL471" s="216"/>
      <c r="AM471" s="216"/>
      <c r="AN471" s="215"/>
      <c r="AO471" s="215"/>
      <c r="AR471" s="213">
        <v>7.9999999999999902</v>
      </c>
      <c r="AS471" s="213">
        <f t="shared" si="132"/>
        <v>-3.7294936909312861</v>
      </c>
      <c r="AW471" s="213">
        <v>8</v>
      </c>
      <c r="AX471" s="213">
        <f t="shared" si="133"/>
        <v>-5.0355518833539978</v>
      </c>
    </row>
    <row r="472" spans="5:50" x14ac:dyDescent="0.25">
      <c r="E472" s="213"/>
      <c r="F472" s="162" t="s">
        <v>1116</v>
      </c>
      <c r="G472" s="217" t="s">
        <v>372</v>
      </c>
      <c r="H472" s="14" t="s">
        <v>366</v>
      </c>
      <c r="I472" s="14">
        <f t="shared" si="135"/>
        <v>298.14999999999998</v>
      </c>
      <c r="J472" s="38">
        <f t="shared" si="121"/>
        <v>3.7499999999999999E-2</v>
      </c>
      <c r="K472" s="38">
        <f t="shared" si="121"/>
        <v>3.7499999999999999E-2</v>
      </c>
      <c r="L472" s="33">
        <v>8.51</v>
      </c>
      <c r="M472" s="21"/>
      <c r="N472" s="61">
        <f t="shared" si="134"/>
        <v>0.35399999999999998</v>
      </c>
      <c r="O472" s="36">
        <v>10.816000000000001</v>
      </c>
      <c r="P472" s="36">
        <v>36.712000000000003</v>
      </c>
      <c r="Q472" s="38">
        <v>3.4000000000000002E-2</v>
      </c>
      <c r="R472" s="21">
        <v>6.0680000000000002E-6</v>
      </c>
      <c r="S472" s="19">
        <f t="shared" si="136"/>
        <v>1.4509803921568628E-4</v>
      </c>
      <c r="T472" s="213"/>
      <c r="W472" s="213"/>
      <c r="Y472" s="1"/>
      <c r="AD472" s="216"/>
      <c r="AE472" s="127"/>
      <c r="AI472" s="215"/>
      <c r="AJ472" s="127"/>
      <c r="AK472" s="1"/>
      <c r="AL472" s="216"/>
      <c r="AM472" s="216"/>
      <c r="AN472" s="215"/>
      <c r="AO472" s="215"/>
      <c r="AR472" s="213">
        <v>8.0999999999999908</v>
      </c>
      <c r="AS472" s="213">
        <f t="shared" si="132"/>
        <v>-3.686181058514685</v>
      </c>
      <c r="AW472" s="213">
        <v>8.1</v>
      </c>
      <c r="AX472" s="213">
        <f t="shared" si="133"/>
        <v>-4.9746874706849029</v>
      </c>
    </row>
    <row r="473" spans="5:50" x14ac:dyDescent="0.25">
      <c r="E473" s="213"/>
      <c r="F473" s="221" t="s">
        <v>1115</v>
      </c>
      <c r="G473" s="168" t="s">
        <v>372</v>
      </c>
      <c r="H473" s="14" t="s">
        <v>366</v>
      </c>
      <c r="I473" s="14">
        <f t="shared" si="135"/>
        <v>298.14999999999998</v>
      </c>
      <c r="J473" s="38">
        <f t="shared" si="121"/>
        <v>3.7499999999999999E-2</v>
      </c>
      <c r="K473" s="38">
        <f t="shared" si="121"/>
        <v>3.7499999999999999E-2</v>
      </c>
      <c r="L473" s="33">
        <v>8.51</v>
      </c>
      <c r="M473" s="21"/>
      <c r="N473" s="61">
        <f t="shared" si="134"/>
        <v>0.35399999999999998</v>
      </c>
      <c r="O473" s="36">
        <v>10.816000000000001</v>
      </c>
      <c r="P473" s="36">
        <v>7.3419999999999996</v>
      </c>
      <c r="Q473" s="38">
        <v>3.4000000000000002E-2</v>
      </c>
      <c r="R473" s="21">
        <v>2.8150000000000002E-6</v>
      </c>
      <c r="S473" s="19">
        <f t="shared" si="136"/>
        <v>6.7312290769966517E-5</v>
      </c>
      <c r="T473" s="213"/>
      <c r="W473" s="213"/>
      <c r="Y473" s="1"/>
      <c r="AD473" s="216"/>
      <c r="AE473" s="127"/>
      <c r="AI473" s="215"/>
      <c r="AJ473" s="127"/>
      <c r="AL473" s="216"/>
      <c r="AM473" s="216"/>
      <c r="AN473" s="215"/>
      <c r="AO473" s="215"/>
      <c r="AR473" s="213">
        <v>8.1999999999999904</v>
      </c>
      <c r="AS473" s="213">
        <f t="shared" si="132"/>
        <v>-3.6484063313795039</v>
      </c>
      <c r="AW473" s="213">
        <v>8.1999999999999993</v>
      </c>
      <c r="AX473" s="213">
        <f t="shared" si="133"/>
        <v>-4.9194169967712806</v>
      </c>
    </row>
    <row r="474" spans="5:50" ht="15.75" thickBot="1" x14ac:dyDescent="0.3">
      <c r="E474" s="213"/>
      <c r="F474" s="221" t="s">
        <v>1115</v>
      </c>
      <c r="G474" s="170" t="s">
        <v>372</v>
      </c>
      <c r="H474" s="55" t="s">
        <v>366</v>
      </c>
      <c r="I474" s="55">
        <f t="shared" si="135"/>
        <v>298.14999999999998</v>
      </c>
      <c r="J474" s="65">
        <f t="shared" ref="J474:K500" si="137">0.075/2</f>
        <v>3.7499999999999999E-2</v>
      </c>
      <c r="K474" s="65">
        <f t="shared" si="137"/>
        <v>3.7499999999999999E-2</v>
      </c>
      <c r="L474" s="63">
        <v>8.51</v>
      </c>
      <c r="M474" s="56"/>
      <c r="N474" s="55">
        <f t="shared" si="134"/>
        <v>0.35399999999999998</v>
      </c>
      <c r="O474" s="57">
        <v>10.816000000000001</v>
      </c>
      <c r="P474" s="57">
        <v>3.6709999999999998</v>
      </c>
      <c r="Q474" s="65">
        <v>3.4000000000000002E-2</v>
      </c>
      <c r="R474" s="56">
        <v>1.466E-6</v>
      </c>
      <c r="S474" s="19">
        <f t="shared" si="136"/>
        <v>3.5054997608799612E-5</v>
      </c>
      <c r="W474" s="213"/>
      <c r="Y474" s="1"/>
      <c r="AR474" s="213">
        <v>8.2999999999999901</v>
      </c>
      <c r="AS474" s="213">
        <f t="shared" si="132"/>
        <v>-3.615868162780326</v>
      </c>
      <c r="AW474" s="213">
        <v>8.3000000000000007</v>
      </c>
      <c r="AX474" s="213">
        <f t="shared" si="133"/>
        <v>-4.8698769928294228</v>
      </c>
    </row>
    <row r="475" spans="5:50" x14ac:dyDescent="0.25">
      <c r="E475" s="213"/>
      <c r="F475" s="213"/>
      <c r="G475" s="249" t="s">
        <v>378</v>
      </c>
      <c r="H475" s="241" t="s">
        <v>1101</v>
      </c>
      <c r="I475" s="241">
        <f t="shared" si="135"/>
        <v>298.14999999999998</v>
      </c>
      <c r="J475" s="250">
        <f t="shared" si="137"/>
        <v>3.7499999999999999E-2</v>
      </c>
      <c r="K475" s="250">
        <f t="shared" si="137"/>
        <v>3.7499999999999999E-2</v>
      </c>
      <c r="L475" s="62">
        <v>8.67</v>
      </c>
      <c r="M475" s="254"/>
      <c r="N475" s="40">
        <f t="shared" ref="N475:N481" si="138">0.112+0.251</f>
        <v>0.36299999999999999</v>
      </c>
      <c r="O475" s="42">
        <v>0.216</v>
      </c>
      <c r="P475" s="42">
        <v>35.244</v>
      </c>
      <c r="Q475" s="61">
        <v>2.1000000000000001E-2</v>
      </c>
      <c r="R475" s="41"/>
      <c r="S475" s="19">
        <f t="shared" si="136"/>
        <v>0</v>
      </c>
      <c r="T475" s="213"/>
      <c r="AR475" s="213">
        <v>8.3999999999999897</v>
      </c>
      <c r="AS475" s="213">
        <f t="shared" si="132"/>
        <v>-3.5881641859209461</v>
      </c>
      <c r="AW475" s="213">
        <v>8.4</v>
      </c>
      <c r="AX475" s="213">
        <f t="shared" si="133"/>
        <v>-4.8260554119938854</v>
      </c>
    </row>
    <row r="476" spans="5:50" x14ac:dyDescent="0.25">
      <c r="E476" s="213"/>
      <c r="F476" s="213"/>
      <c r="G476" s="168" t="s">
        <v>378</v>
      </c>
      <c r="H476" s="241" t="s">
        <v>1102</v>
      </c>
      <c r="I476" s="241">
        <f t="shared" si="135"/>
        <v>298.14999999999998</v>
      </c>
      <c r="J476" s="250">
        <f t="shared" si="137"/>
        <v>3.7499999999999999E-2</v>
      </c>
      <c r="K476" s="250">
        <f t="shared" si="137"/>
        <v>3.7499999999999999E-2</v>
      </c>
      <c r="L476" s="62">
        <v>8.67</v>
      </c>
      <c r="M476" s="254"/>
      <c r="N476" s="217">
        <f t="shared" si="138"/>
        <v>0.36299999999999999</v>
      </c>
      <c r="O476" s="36">
        <v>0.86499999999999999</v>
      </c>
      <c r="P476" s="36">
        <v>35.244</v>
      </c>
      <c r="Q476" s="38">
        <v>2.1000000000000001E-2</v>
      </c>
      <c r="R476" s="21"/>
      <c r="S476" s="19">
        <f t="shared" si="136"/>
        <v>0</v>
      </c>
      <c r="T476" s="213"/>
      <c r="AR476" s="213">
        <v>8.4999999999999893</v>
      </c>
      <c r="AS476" s="213">
        <f t="shared" si="132"/>
        <v>-3.5648250349332313</v>
      </c>
      <c r="AW476" s="213">
        <v>8.4999999999999893</v>
      </c>
      <c r="AX476" s="213">
        <f t="shared" si="133"/>
        <v>-4.7877928649559554</v>
      </c>
    </row>
    <row r="477" spans="5:50" x14ac:dyDescent="0.25">
      <c r="E477" s="213"/>
      <c r="F477" s="213"/>
      <c r="G477" s="169" t="s">
        <v>378</v>
      </c>
      <c r="H477" s="241" t="s">
        <v>1101</v>
      </c>
      <c r="I477" s="241">
        <f t="shared" si="135"/>
        <v>298.14999999999998</v>
      </c>
      <c r="J477" s="250">
        <f t="shared" si="137"/>
        <v>3.7499999999999999E-2</v>
      </c>
      <c r="K477" s="250">
        <f t="shared" si="137"/>
        <v>3.7499999999999999E-2</v>
      </c>
      <c r="L477" s="62">
        <v>8.67</v>
      </c>
      <c r="M477" s="254"/>
      <c r="N477" s="217">
        <f t="shared" si="138"/>
        <v>0.36299999999999999</v>
      </c>
      <c r="O477" s="36">
        <v>3.028</v>
      </c>
      <c r="P477" s="36">
        <v>35.244</v>
      </c>
      <c r="Q477" s="38">
        <v>2.1000000000000001E-2</v>
      </c>
      <c r="R477" s="21"/>
      <c r="S477" s="19">
        <f t="shared" si="136"/>
        <v>0</v>
      </c>
      <c r="T477" s="213"/>
      <c r="AR477" s="213">
        <v>8.5999999999999908</v>
      </c>
      <c r="AS477" s="213">
        <f t="shared" si="132"/>
        <v>-3.5453486344580085</v>
      </c>
      <c r="AW477" s="213">
        <v>8.5999999999999908</v>
      </c>
      <c r="AX477" s="213">
        <f t="shared" si="133"/>
        <v>-4.7547986128517348</v>
      </c>
    </row>
    <row r="478" spans="5:50" x14ac:dyDescent="0.25">
      <c r="E478" s="213"/>
      <c r="F478" s="162" t="s">
        <v>1118</v>
      </c>
      <c r="G478" s="169" t="s">
        <v>378</v>
      </c>
      <c r="H478" s="241" t="s">
        <v>366</v>
      </c>
      <c r="I478" s="241">
        <f t="shared" si="135"/>
        <v>298.14999999999998</v>
      </c>
      <c r="J478" s="250">
        <f t="shared" si="137"/>
        <v>3.7499999999999999E-2</v>
      </c>
      <c r="K478" s="250">
        <f t="shared" si="137"/>
        <v>3.7499999999999999E-2</v>
      </c>
      <c r="L478" s="62">
        <v>8.67</v>
      </c>
      <c r="M478" s="254"/>
      <c r="N478" s="217">
        <f t="shared" si="138"/>
        <v>0.36299999999999999</v>
      </c>
      <c r="O478" s="36">
        <v>10.816000000000001</v>
      </c>
      <c r="P478" s="36">
        <v>35.244</v>
      </c>
      <c r="Q478" s="38">
        <v>2.1000000000000001E-2</v>
      </c>
      <c r="R478" s="21">
        <v>3.1659999999999998E-6</v>
      </c>
      <c r="S478" s="19">
        <f t="shared" si="136"/>
        <v>1.2257065427797133E-4</v>
      </c>
      <c r="T478" s="213"/>
      <c r="AR478" s="213">
        <v>8.6999999999999904</v>
      </c>
      <c r="AS478" s="213">
        <f t="shared" si="132"/>
        <v>-3.5292303995308418</v>
      </c>
      <c r="AW478" s="213">
        <v>8.6999999999999904</v>
      </c>
      <c r="AX478" s="213">
        <f t="shared" si="133"/>
        <v>-4.726678032546471</v>
      </c>
    </row>
    <row r="479" spans="5:50" x14ac:dyDescent="0.25">
      <c r="E479" s="213"/>
      <c r="F479" s="162" t="s">
        <v>1118</v>
      </c>
      <c r="G479" s="168" t="s">
        <v>378</v>
      </c>
      <c r="H479" s="217" t="s">
        <v>366</v>
      </c>
      <c r="I479" s="217">
        <f t="shared" si="135"/>
        <v>298.14999999999998</v>
      </c>
      <c r="J479" s="38">
        <f t="shared" si="137"/>
        <v>3.7499999999999999E-2</v>
      </c>
      <c r="K479" s="38">
        <f t="shared" si="137"/>
        <v>3.7499999999999999E-2</v>
      </c>
      <c r="L479" s="62">
        <v>8.67</v>
      </c>
      <c r="M479" s="21"/>
      <c r="N479" s="61">
        <f t="shared" si="138"/>
        <v>0.36299999999999999</v>
      </c>
      <c r="O479" s="42">
        <v>10.816000000000001</v>
      </c>
      <c r="P479" s="42">
        <v>24.963999999999999</v>
      </c>
      <c r="Q479" s="61">
        <v>2.1000000000000001E-2</v>
      </c>
      <c r="R479" s="41">
        <v>2.1560000000000002E-6</v>
      </c>
      <c r="S479" s="19">
        <f t="shared" si="136"/>
        <v>8.346883468834689E-5</v>
      </c>
      <c r="T479" s="213"/>
      <c r="AR479" s="213">
        <v>8.7999999999999901</v>
      </c>
      <c r="AS479" s="213">
        <f t="shared" si="132"/>
        <v>-3.5159867858621996</v>
      </c>
      <c r="AW479" s="213">
        <v>8.7999999999999901</v>
      </c>
      <c r="AX479" s="213">
        <f t="shared" si="133"/>
        <v>-4.7029663521565999</v>
      </c>
    </row>
    <row r="480" spans="5:50" x14ac:dyDescent="0.25">
      <c r="E480" s="213"/>
      <c r="F480" s="162" t="s">
        <v>1118</v>
      </c>
      <c r="G480" s="169" t="s">
        <v>378</v>
      </c>
      <c r="H480" s="40" t="s">
        <v>366</v>
      </c>
      <c r="I480" s="40">
        <f t="shared" si="135"/>
        <v>298.14999999999998</v>
      </c>
      <c r="J480" s="61">
        <f t="shared" si="137"/>
        <v>3.7499999999999999E-2</v>
      </c>
      <c r="K480" s="61">
        <f t="shared" si="137"/>
        <v>3.7499999999999999E-2</v>
      </c>
      <c r="L480" s="62">
        <v>8.67</v>
      </c>
      <c r="M480" s="41"/>
      <c r="N480" s="61">
        <f t="shared" si="138"/>
        <v>0.36299999999999999</v>
      </c>
      <c r="O480" s="42">
        <v>10.816000000000001</v>
      </c>
      <c r="P480" s="42">
        <v>14.685</v>
      </c>
      <c r="Q480" s="61">
        <v>2.1000000000000001E-2</v>
      </c>
      <c r="R480" s="41">
        <v>1.3850000000000001E-6</v>
      </c>
      <c r="S480" s="19">
        <f t="shared" si="136"/>
        <v>5.3619821912504835E-5</v>
      </c>
      <c r="T480" s="213"/>
      <c r="AR480" s="213">
        <v>8.8999999999999897</v>
      </c>
      <c r="AS480" s="213">
        <f t="shared" si="132"/>
        <v>-3.5051714103488023</v>
      </c>
      <c r="AW480" s="213">
        <v>8.8999999999999897</v>
      </c>
      <c r="AX480" s="213">
        <f t="shared" si="133"/>
        <v>-4.6831631187635683</v>
      </c>
    </row>
    <row r="481" spans="5:50" ht="15.75" thickBot="1" x14ac:dyDescent="0.3">
      <c r="E481" s="213"/>
      <c r="F481" s="162" t="s">
        <v>1118</v>
      </c>
      <c r="G481" s="170" t="s">
        <v>378</v>
      </c>
      <c r="H481" s="55" t="s">
        <v>366</v>
      </c>
      <c r="I481" s="55">
        <f t="shared" si="135"/>
        <v>298.14999999999998</v>
      </c>
      <c r="J481" s="65">
        <f t="shared" si="137"/>
        <v>3.7499999999999999E-2</v>
      </c>
      <c r="K481" s="65">
        <f t="shared" si="137"/>
        <v>3.7499999999999999E-2</v>
      </c>
      <c r="L481" s="63">
        <v>8.67</v>
      </c>
      <c r="M481" s="56"/>
      <c r="N481" s="65">
        <f t="shared" si="138"/>
        <v>0.36299999999999999</v>
      </c>
      <c r="O481" s="57">
        <v>10.816000000000001</v>
      </c>
      <c r="P481" s="57">
        <v>5.14</v>
      </c>
      <c r="Q481" s="65">
        <v>2.1000000000000001E-2</v>
      </c>
      <c r="R481" s="56">
        <v>7.9550000000000005E-7</v>
      </c>
      <c r="S481" s="19">
        <f t="shared" si="136"/>
        <v>3.0797522260936893E-5</v>
      </c>
      <c r="T481" s="213"/>
      <c r="AR481" s="213">
        <v>8.9999999999999893</v>
      </c>
      <c r="AS481" s="213">
        <f t="shared" si="132"/>
        <v>-3.4963842881455447</v>
      </c>
      <c r="AW481" s="213">
        <v>8.9999999999999893</v>
      </c>
      <c r="AX481" s="213">
        <f t="shared" si="133"/>
        <v>-4.6667628995955539</v>
      </c>
    </row>
    <row r="482" spans="5:50" x14ac:dyDescent="0.25">
      <c r="E482" s="213"/>
      <c r="F482" s="213"/>
      <c r="G482" s="169" t="s">
        <v>379</v>
      </c>
      <c r="H482" s="241" t="s">
        <v>1101</v>
      </c>
      <c r="I482" s="241">
        <f t="shared" si="135"/>
        <v>298.14999999999998</v>
      </c>
      <c r="J482" s="61">
        <f t="shared" si="137"/>
        <v>3.7499999999999999E-2</v>
      </c>
      <c r="K482" s="61">
        <f t="shared" si="137"/>
        <v>3.7499999999999999E-2</v>
      </c>
      <c r="L482" s="62">
        <v>9.0399999999999991</v>
      </c>
      <c r="M482" s="251"/>
      <c r="N482" s="252">
        <f t="shared" ref="N482:N488" si="139">0.113+0.274</f>
        <v>0.38700000000000001</v>
      </c>
      <c r="O482" s="42">
        <v>0.216</v>
      </c>
      <c r="P482" s="246">
        <v>35.244</v>
      </c>
      <c r="Q482" s="250">
        <v>2.1000000000000001E-2</v>
      </c>
      <c r="R482" s="251"/>
      <c r="S482" s="19">
        <f t="shared" si="136"/>
        <v>0</v>
      </c>
      <c r="T482" s="213"/>
      <c r="AR482" s="213">
        <v>9.0999999999999908</v>
      </c>
      <c r="AS482" s="213">
        <f t="shared" si="132"/>
        <v>-3.4892754734416482</v>
      </c>
      <c r="AW482" s="213">
        <v>9.0999999999999908</v>
      </c>
      <c r="AX482" s="213">
        <f t="shared" si="133"/>
        <v>-4.6532794868096135</v>
      </c>
    </row>
    <row r="483" spans="5:50" x14ac:dyDescent="0.25">
      <c r="E483" s="213"/>
      <c r="F483" s="213"/>
      <c r="G483" s="169" t="s">
        <v>379</v>
      </c>
      <c r="H483" s="217" t="s">
        <v>1102</v>
      </c>
      <c r="I483" s="217">
        <f t="shared" si="135"/>
        <v>298.14999999999998</v>
      </c>
      <c r="J483" s="61">
        <f t="shared" si="137"/>
        <v>3.7499999999999999E-2</v>
      </c>
      <c r="K483" s="61">
        <f t="shared" si="137"/>
        <v>3.7499999999999999E-2</v>
      </c>
      <c r="L483" s="62">
        <v>9.0399999999999991</v>
      </c>
      <c r="M483" s="217"/>
      <c r="N483" s="217">
        <f t="shared" si="139"/>
        <v>0.38700000000000001</v>
      </c>
      <c r="O483" s="36">
        <v>0.86499999999999999</v>
      </c>
      <c r="P483" s="36">
        <v>35.244</v>
      </c>
      <c r="Q483" s="38">
        <v>2.1000000000000001E-2</v>
      </c>
      <c r="R483" s="21"/>
      <c r="S483" s="19">
        <f t="shared" si="136"/>
        <v>0</v>
      </c>
      <c r="T483" s="213"/>
      <c r="AR483" s="213">
        <v>9.1999999999999904</v>
      </c>
      <c r="AS483" s="213">
        <f t="shared" si="132"/>
        <v>-3.4835446276569519</v>
      </c>
      <c r="AW483" s="213">
        <v>9.1999999999999904</v>
      </c>
      <c r="AX483" s="213">
        <f t="shared" si="133"/>
        <v>-4.6422626798892628</v>
      </c>
    </row>
    <row r="484" spans="5:50" x14ac:dyDescent="0.25">
      <c r="E484" s="213"/>
      <c r="F484" s="213"/>
      <c r="G484" s="168" t="s">
        <v>379</v>
      </c>
      <c r="H484" s="217" t="s">
        <v>1101</v>
      </c>
      <c r="I484" s="217">
        <f t="shared" si="135"/>
        <v>298.14999999999998</v>
      </c>
      <c r="J484" s="38">
        <f t="shared" si="137"/>
        <v>3.7499999999999999E-2</v>
      </c>
      <c r="K484" s="38">
        <f t="shared" si="137"/>
        <v>3.7499999999999999E-2</v>
      </c>
      <c r="L484" s="62">
        <v>9.0399999999999991</v>
      </c>
      <c r="M484" s="217"/>
      <c r="N484" s="217">
        <f t="shared" si="139"/>
        <v>0.38700000000000001</v>
      </c>
      <c r="O484" s="36">
        <v>3.028</v>
      </c>
      <c r="P484" s="36">
        <v>35.244</v>
      </c>
      <c r="Q484" s="38">
        <v>2.1000000000000001E-2</v>
      </c>
      <c r="R484" s="21"/>
      <c r="S484" s="19">
        <f t="shared" si="136"/>
        <v>0</v>
      </c>
      <c r="T484" s="213"/>
      <c r="AR484" s="213">
        <v>9.2999999999999901</v>
      </c>
      <c r="AS484" s="213">
        <f t="shared" si="132"/>
        <v>-3.4789379417450457</v>
      </c>
      <c r="AW484" s="213">
        <v>9.2999999999999901</v>
      </c>
      <c r="AX484" s="213">
        <f t="shared" si="133"/>
        <v>-4.6333080965120574</v>
      </c>
    </row>
    <row r="485" spans="5:50" x14ac:dyDescent="0.25">
      <c r="E485" s="213"/>
      <c r="F485" s="213"/>
      <c r="G485" s="169" t="s">
        <v>379</v>
      </c>
      <c r="H485" s="217" t="s">
        <v>366</v>
      </c>
      <c r="I485" s="217">
        <f t="shared" si="135"/>
        <v>298.14999999999998</v>
      </c>
      <c r="J485" s="61">
        <f t="shared" si="137"/>
        <v>3.7499999999999999E-2</v>
      </c>
      <c r="K485" s="61">
        <f t="shared" si="137"/>
        <v>3.7499999999999999E-2</v>
      </c>
      <c r="L485" s="62">
        <v>9.0399999999999991</v>
      </c>
      <c r="M485" s="217"/>
      <c r="N485" s="217">
        <f t="shared" si="139"/>
        <v>0.38700000000000001</v>
      </c>
      <c r="O485" s="36">
        <v>10.816000000000001</v>
      </c>
      <c r="P485" s="36">
        <v>35.244</v>
      </c>
      <c r="Q485" s="38">
        <v>2.1000000000000001E-2</v>
      </c>
      <c r="R485" s="21">
        <v>7.277E-6</v>
      </c>
      <c r="S485" s="19">
        <f t="shared" si="136"/>
        <v>2.8172667440960124E-4</v>
      </c>
      <c r="T485" s="213"/>
      <c r="AR485" s="213">
        <v>9.3999999999999897</v>
      </c>
      <c r="AS485" s="213">
        <f t="shared" si="132"/>
        <v>-3.4752435762874372</v>
      </c>
      <c r="AW485" s="213">
        <v>9.3999999999999897</v>
      </c>
      <c r="AX485" s="213">
        <f t="shared" si="133"/>
        <v>-4.6260612552008853</v>
      </c>
    </row>
    <row r="486" spans="5:50" x14ac:dyDescent="0.25">
      <c r="E486" s="213"/>
      <c r="F486" s="213"/>
      <c r="G486" s="169" t="s">
        <v>379</v>
      </c>
      <c r="H486" s="40" t="s">
        <v>366</v>
      </c>
      <c r="I486" s="40">
        <f t="shared" si="135"/>
        <v>298.14999999999998</v>
      </c>
      <c r="J486" s="61">
        <f t="shared" si="137"/>
        <v>3.7499999999999999E-2</v>
      </c>
      <c r="K486" s="61">
        <f t="shared" si="137"/>
        <v>3.7499999999999999E-2</v>
      </c>
      <c r="L486" s="62">
        <v>9.0399999999999991</v>
      </c>
      <c r="M486" s="41"/>
      <c r="N486" s="61">
        <f t="shared" si="139"/>
        <v>0.38700000000000001</v>
      </c>
      <c r="O486" s="42">
        <v>10.816000000000001</v>
      </c>
      <c r="P486" s="42">
        <v>24.963999999999999</v>
      </c>
      <c r="Q486" s="61">
        <v>2.1000000000000001E-2</v>
      </c>
      <c r="R486" s="41">
        <v>5.2510000000000002E-6</v>
      </c>
      <c r="S486" s="19">
        <f t="shared" si="136"/>
        <v>2.0329074719318622E-4</v>
      </c>
      <c r="T486" s="213"/>
      <c r="AR486" s="213">
        <v>9.4999999999999893</v>
      </c>
      <c r="AS486" s="213">
        <f t="shared" si="132"/>
        <v>-3.4722864759672176</v>
      </c>
      <c r="AW486" s="213">
        <v>9.4999999999999893</v>
      </c>
      <c r="AX486" s="213">
        <f t="shared" si="133"/>
        <v>-4.6202174485619709</v>
      </c>
    </row>
    <row r="487" spans="5:50" x14ac:dyDescent="0.25">
      <c r="E487" s="213"/>
      <c r="F487" s="213"/>
      <c r="G487" s="168" t="s">
        <v>379</v>
      </c>
      <c r="H487" s="14" t="s">
        <v>366</v>
      </c>
      <c r="I487" s="14">
        <f t="shared" si="135"/>
        <v>298.14999999999998</v>
      </c>
      <c r="J487" s="38">
        <f t="shared" si="137"/>
        <v>3.7499999999999999E-2</v>
      </c>
      <c r="K487" s="38">
        <f t="shared" si="137"/>
        <v>3.7499999999999999E-2</v>
      </c>
      <c r="L487" s="62">
        <v>9.0399999999999991</v>
      </c>
      <c r="M487" s="21"/>
      <c r="N487" s="61">
        <f t="shared" si="139"/>
        <v>0.38700000000000001</v>
      </c>
      <c r="O487" s="36">
        <v>10.816000000000001</v>
      </c>
      <c r="P487" s="36">
        <v>14.685</v>
      </c>
      <c r="Q487" s="38">
        <v>2.1000000000000001E-2</v>
      </c>
      <c r="R487" s="21">
        <v>4.1339999999999997E-6</v>
      </c>
      <c r="S487" s="19">
        <f t="shared" si="136"/>
        <v>1.6004645760743318E-4</v>
      </c>
      <c r="AR487" s="213">
        <v>9.5999999999999908</v>
      </c>
      <c r="AS487" s="213">
        <f t="shared" si="132"/>
        <v>-3.4699231339155516</v>
      </c>
      <c r="AW487" s="213">
        <v>9.5999999999999908</v>
      </c>
      <c r="AX487" s="213">
        <f t="shared" si="133"/>
        <v>-4.6155188515559562</v>
      </c>
    </row>
    <row r="488" spans="5:50" ht="15.75" thickBot="1" x14ac:dyDescent="0.3">
      <c r="E488" s="213"/>
      <c r="F488" s="213"/>
      <c r="G488" s="170" t="s">
        <v>379</v>
      </c>
      <c r="H488" s="55" t="s">
        <v>366</v>
      </c>
      <c r="I488" s="55">
        <f t="shared" si="135"/>
        <v>298.14999999999998</v>
      </c>
      <c r="J488" s="65">
        <f t="shared" si="137"/>
        <v>3.7499999999999999E-2</v>
      </c>
      <c r="K488" s="65">
        <f t="shared" si="137"/>
        <v>3.7499999999999999E-2</v>
      </c>
      <c r="L488" s="63">
        <v>9.0399999999999991</v>
      </c>
      <c r="M488" s="56"/>
      <c r="N488" s="65">
        <f t="shared" si="139"/>
        <v>0.38700000000000001</v>
      </c>
      <c r="O488" s="57">
        <v>10.816000000000001</v>
      </c>
      <c r="P488" s="57">
        <v>5.14</v>
      </c>
      <c r="Q488" s="65">
        <v>2.1000000000000001E-2</v>
      </c>
      <c r="R488" s="56">
        <v>1.8610000000000001E-6</v>
      </c>
      <c r="S488" s="19">
        <f t="shared" si="136"/>
        <v>7.2048006194347659E-5</v>
      </c>
      <c r="AR488" s="213">
        <v>9.6999999999999904</v>
      </c>
      <c r="AS488" s="213">
        <f t="shared" si="132"/>
        <v>-3.4680366561672473</v>
      </c>
      <c r="AW488" s="213">
        <v>9.6999999999999904</v>
      </c>
      <c r="AX488" s="213">
        <f t="shared" si="133"/>
        <v>-4.6117500553889057</v>
      </c>
    </row>
    <row r="489" spans="5:50" x14ac:dyDescent="0.25">
      <c r="E489" s="213"/>
      <c r="F489" s="213"/>
      <c r="G489" s="169" t="s">
        <v>375</v>
      </c>
      <c r="H489" s="256" t="s">
        <v>1102</v>
      </c>
      <c r="I489" s="256">
        <f t="shared" si="135"/>
        <v>298.14999999999998</v>
      </c>
      <c r="J489" s="252">
        <f t="shared" si="137"/>
        <v>3.7499999999999999E-2</v>
      </c>
      <c r="K489" s="252">
        <f t="shared" si="137"/>
        <v>3.7499999999999999E-2</v>
      </c>
      <c r="L489" s="62">
        <v>9.15</v>
      </c>
      <c r="M489" s="247"/>
      <c r="N489" s="252">
        <f t="shared" ref="N489:N495" si="140">0.113+0.283</f>
        <v>0.39599999999999996</v>
      </c>
      <c r="O489" s="42">
        <v>0.216</v>
      </c>
      <c r="P489" s="253">
        <v>73.424000000000007</v>
      </c>
      <c r="Q489" s="252">
        <v>1.4E-2</v>
      </c>
      <c r="R489" s="247"/>
      <c r="S489" s="19">
        <f t="shared" si="136"/>
        <v>0</v>
      </c>
      <c r="X489" s="124"/>
      <c r="AR489" s="213"/>
      <c r="AS489" s="213"/>
      <c r="AW489" s="213"/>
      <c r="AX489" s="213"/>
    </row>
    <row r="490" spans="5:50" x14ac:dyDescent="0.25">
      <c r="E490" s="213"/>
      <c r="F490" s="213"/>
      <c r="G490" s="217" t="s">
        <v>375</v>
      </c>
      <c r="H490" s="217" t="s">
        <v>1101</v>
      </c>
      <c r="I490" s="217">
        <f t="shared" si="135"/>
        <v>298.14999999999998</v>
      </c>
      <c r="J490" s="217">
        <f t="shared" si="137"/>
        <v>3.7499999999999999E-2</v>
      </c>
      <c r="K490" s="217">
        <f t="shared" si="137"/>
        <v>3.7499999999999999E-2</v>
      </c>
      <c r="L490" s="33">
        <v>9.15</v>
      </c>
      <c r="M490" s="217"/>
      <c r="N490" s="217">
        <f t="shared" si="140"/>
        <v>0.39599999999999996</v>
      </c>
      <c r="O490" s="36">
        <v>0.86499999999999999</v>
      </c>
      <c r="P490" s="36">
        <v>73.424000000000007</v>
      </c>
      <c r="Q490" s="38">
        <v>1.4E-2</v>
      </c>
      <c r="R490" s="217"/>
      <c r="S490" s="19">
        <f t="shared" si="136"/>
        <v>0</v>
      </c>
      <c r="T490" s="6"/>
      <c r="U490" s="2"/>
      <c r="V490" s="2"/>
      <c r="W490" s="6"/>
      <c r="X490" s="10"/>
      <c r="AR490" s="213"/>
      <c r="AS490" s="213"/>
      <c r="AW490" s="213"/>
      <c r="AX490" s="213"/>
    </row>
    <row r="491" spans="5:50" x14ac:dyDescent="0.25">
      <c r="E491" s="213"/>
      <c r="F491" s="213"/>
      <c r="G491" s="168" t="s">
        <v>375</v>
      </c>
      <c r="H491" s="40" t="s">
        <v>366</v>
      </c>
      <c r="I491" s="40">
        <f t="shared" si="135"/>
        <v>298.14999999999998</v>
      </c>
      <c r="J491" s="40">
        <f t="shared" si="137"/>
        <v>3.7499999999999999E-2</v>
      </c>
      <c r="K491" s="40">
        <f t="shared" si="137"/>
        <v>3.7499999999999999E-2</v>
      </c>
      <c r="L491" s="62">
        <v>9.15</v>
      </c>
      <c r="M491" s="40"/>
      <c r="N491" s="40">
        <f t="shared" si="140"/>
        <v>0.39599999999999996</v>
      </c>
      <c r="O491" s="36">
        <v>3.028</v>
      </c>
      <c r="P491" s="42">
        <v>73.424000000000007</v>
      </c>
      <c r="Q491" s="61">
        <v>1.4E-2</v>
      </c>
      <c r="R491" s="40"/>
      <c r="S491" s="19">
        <f t="shared" si="136"/>
        <v>0</v>
      </c>
      <c r="T491" s="6"/>
      <c r="U491" s="2"/>
      <c r="V491" s="2"/>
      <c r="W491" s="6"/>
      <c r="X491" s="10"/>
      <c r="AR491" s="213"/>
      <c r="AS491" s="213"/>
      <c r="AW491" s="213"/>
      <c r="AX491" s="213"/>
    </row>
    <row r="492" spans="5:50" x14ac:dyDescent="0.25">
      <c r="F492" s="162" t="s">
        <v>1117</v>
      </c>
      <c r="G492" s="169" t="s">
        <v>375</v>
      </c>
      <c r="H492" s="40" t="s">
        <v>1053</v>
      </c>
      <c r="I492" s="40">
        <f t="shared" si="135"/>
        <v>298.14999999999998</v>
      </c>
      <c r="J492" s="40">
        <f t="shared" si="137"/>
        <v>3.7499999999999999E-2</v>
      </c>
      <c r="K492" s="40">
        <f t="shared" si="137"/>
        <v>3.7499999999999999E-2</v>
      </c>
      <c r="L492" s="33">
        <v>9.15</v>
      </c>
      <c r="M492" s="40"/>
      <c r="N492" s="40">
        <f t="shared" si="140"/>
        <v>0.39599999999999996</v>
      </c>
      <c r="O492" s="36">
        <v>10.816000000000001</v>
      </c>
      <c r="P492" s="42">
        <v>73.424000000000007</v>
      </c>
      <c r="Q492" s="61">
        <v>1.4E-2</v>
      </c>
      <c r="R492" s="41">
        <v>6.8299999999999998E-6</v>
      </c>
      <c r="S492" s="19">
        <f t="shared" si="136"/>
        <v>3.9663182346109179E-4</v>
      </c>
      <c r="T492" s="6"/>
      <c r="U492" s="2"/>
      <c r="V492" s="2"/>
      <c r="W492" s="6"/>
      <c r="X492" s="10"/>
      <c r="AR492" s="213"/>
      <c r="AS492" s="213"/>
      <c r="AW492" s="213"/>
      <c r="AX492" s="213"/>
    </row>
    <row r="493" spans="5:50" x14ac:dyDescent="0.25">
      <c r="F493" s="150" t="s">
        <v>1119</v>
      </c>
      <c r="G493" s="217" t="s">
        <v>375</v>
      </c>
      <c r="H493" s="217" t="s">
        <v>366</v>
      </c>
      <c r="I493" s="217">
        <f t="shared" si="135"/>
        <v>298.14999999999998</v>
      </c>
      <c r="J493" s="217">
        <f t="shared" si="137"/>
        <v>3.7499999999999999E-2</v>
      </c>
      <c r="K493" s="217">
        <f t="shared" si="137"/>
        <v>3.7499999999999999E-2</v>
      </c>
      <c r="L493" s="62">
        <v>9.15</v>
      </c>
      <c r="M493" s="217"/>
      <c r="N493" s="217">
        <f t="shared" si="140"/>
        <v>0.39599999999999996</v>
      </c>
      <c r="O493" s="36">
        <v>10.816000000000001</v>
      </c>
      <c r="P493" s="36">
        <v>36.712000000000003</v>
      </c>
      <c r="Q493" s="38">
        <v>1.4E-2</v>
      </c>
      <c r="R493" s="21">
        <v>2.0320000000000002E-6</v>
      </c>
      <c r="S493" s="19">
        <f t="shared" si="136"/>
        <v>1.1800232288037168E-4</v>
      </c>
      <c r="T493" s="6"/>
      <c r="U493" s="2"/>
      <c r="V493" s="2"/>
      <c r="W493" s="6"/>
      <c r="X493" s="10"/>
      <c r="AR493" s="213"/>
      <c r="AS493" s="213"/>
      <c r="AW493" s="213"/>
      <c r="AX493" s="213"/>
    </row>
    <row r="494" spans="5:50" x14ac:dyDescent="0.25">
      <c r="F494" s="150" t="s">
        <v>1119</v>
      </c>
      <c r="G494" s="168" t="s">
        <v>375</v>
      </c>
      <c r="H494" s="14" t="s">
        <v>366</v>
      </c>
      <c r="I494" s="14">
        <f t="shared" si="135"/>
        <v>298.14999999999998</v>
      </c>
      <c r="J494" s="38">
        <f t="shared" si="137"/>
        <v>3.7499999999999999E-2</v>
      </c>
      <c r="K494" s="38">
        <f t="shared" si="137"/>
        <v>3.7499999999999999E-2</v>
      </c>
      <c r="L494" s="33">
        <v>9.15</v>
      </c>
      <c r="M494" s="21"/>
      <c r="N494" s="61">
        <f t="shared" si="140"/>
        <v>0.39599999999999996</v>
      </c>
      <c r="O494" s="36">
        <v>10.816000000000001</v>
      </c>
      <c r="P494" s="36">
        <v>7.3419999999999996</v>
      </c>
      <c r="Q494" s="38">
        <v>1.4E-2</v>
      </c>
      <c r="R494" s="21">
        <v>1.9240000000000001E-6</v>
      </c>
      <c r="S494" s="19">
        <f t="shared" si="136"/>
        <v>1.1173054587688736E-4</v>
      </c>
      <c r="U494" s="2"/>
      <c r="V494" s="2"/>
      <c r="W494" s="6"/>
      <c r="X494" s="10"/>
      <c r="AR494" s="213"/>
      <c r="AS494" s="213"/>
      <c r="AW494" s="213"/>
      <c r="AX494" s="213"/>
    </row>
    <row r="495" spans="5:50" ht="15.75" thickBot="1" x14ac:dyDescent="0.3">
      <c r="F495" s="150" t="s">
        <v>1119</v>
      </c>
      <c r="G495" s="170" t="s">
        <v>375</v>
      </c>
      <c r="H495" s="55" t="s">
        <v>366</v>
      </c>
      <c r="I495" s="55">
        <f t="shared" si="135"/>
        <v>298.14999999999998</v>
      </c>
      <c r="J495" s="65">
        <f t="shared" si="137"/>
        <v>3.7499999999999999E-2</v>
      </c>
      <c r="K495" s="65">
        <f t="shared" si="137"/>
        <v>3.7499999999999999E-2</v>
      </c>
      <c r="L495" s="63">
        <v>9.15</v>
      </c>
      <c r="M495" s="56"/>
      <c r="N495" s="65">
        <f t="shared" si="140"/>
        <v>0.39599999999999996</v>
      </c>
      <c r="O495" s="57">
        <v>10.816000000000001</v>
      </c>
      <c r="P495" s="57">
        <v>3.6709999999999998</v>
      </c>
      <c r="Q495" s="65">
        <v>1.4E-2</v>
      </c>
      <c r="R495" s="56">
        <v>6.61E-7</v>
      </c>
      <c r="S495" s="60">
        <f t="shared" si="136"/>
        <v>3.8385598141695705E-5</v>
      </c>
      <c r="U495" s="2"/>
      <c r="V495" s="2"/>
      <c r="W495" s="6"/>
      <c r="X495" s="10"/>
      <c r="AR495" s="213"/>
      <c r="AS495" s="213"/>
      <c r="AW495" s="213"/>
      <c r="AX495" s="213"/>
    </row>
    <row r="496" spans="5:50" x14ac:dyDescent="0.25">
      <c r="F496" s="150" t="s">
        <v>1123</v>
      </c>
      <c r="G496" s="169" t="s">
        <v>373</v>
      </c>
      <c r="H496" s="40" t="s">
        <v>366</v>
      </c>
      <c r="I496" s="40">
        <f t="shared" si="135"/>
        <v>298.14999999999998</v>
      </c>
      <c r="J496" s="61">
        <f t="shared" si="137"/>
        <v>3.7499999999999999E-2</v>
      </c>
      <c r="K496" s="61">
        <f t="shared" si="137"/>
        <v>3.7499999999999999E-2</v>
      </c>
      <c r="L496" s="62">
        <v>9.23</v>
      </c>
      <c r="M496" s="41"/>
      <c r="N496" s="61">
        <f>0.113+0.289</f>
        <v>0.40199999999999997</v>
      </c>
      <c r="O496" s="42">
        <v>10.816000000000001</v>
      </c>
      <c r="P496" s="42">
        <v>3.6709999999999998</v>
      </c>
      <c r="Q496" s="61">
        <v>3.4000000000000002E-2</v>
      </c>
      <c r="R496" s="41">
        <v>1.7859999999999999E-6</v>
      </c>
      <c r="S496" s="45">
        <f t="shared" si="136"/>
        <v>4.2706838833094207E-5</v>
      </c>
      <c r="U496" s="2"/>
      <c r="V496" s="2"/>
      <c r="W496" s="6"/>
      <c r="X496" s="1"/>
      <c r="AR496" s="213"/>
      <c r="AS496" s="213"/>
      <c r="AW496" s="213"/>
      <c r="AX496" s="213"/>
    </row>
    <row r="497" spans="6:50" x14ac:dyDescent="0.25">
      <c r="F497" s="150" t="s">
        <v>1122</v>
      </c>
      <c r="G497" s="168" t="s">
        <v>373</v>
      </c>
      <c r="H497" s="14" t="s">
        <v>366</v>
      </c>
      <c r="I497" s="14">
        <f t="shared" si="135"/>
        <v>298.14999999999998</v>
      </c>
      <c r="J497" s="38">
        <f t="shared" si="137"/>
        <v>3.7499999999999999E-2</v>
      </c>
      <c r="K497" s="38">
        <f t="shared" si="137"/>
        <v>3.7499999999999999E-2</v>
      </c>
      <c r="L497" s="33">
        <v>9.23</v>
      </c>
      <c r="M497" s="21"/>
      <c r="N497" s="61">
        <f>0.113+0.289</f>
        <v>0.40199999999999997</v>
      </c>
      <c r="O497" s="36">
        <v>10.816000000000001</v>
      </c>
      <c r="P497" s="36">
        <v>7.3419999999999996</v>
      </c>
      <c r="Q497" s="38">
        <v>3.4000000000000002E-2</v>
      </c>
      <c r="R497" s="21">
        <v>2.531E-6</v>
      </c>
      <c r="S497" s="19">
        <f t="shared" si="136"/>
        <v>6.0521281683405068E-5</v>
      </c>
      <c r="U497" s="2"/>
      <c r="V497" s="2"/>
      <c r="W497" s="6"/>
      <c r="X497" s="10"/>
      <c r="AR497" s="213"/>
      <c r="AS497" s="213"/>
      <c r="AW497" s="213"/>
      <c r="AX497" s="213"/>
    </row>
    <row r="498" spans="6:50" x14ac:dyDescent="0.25">
      <c r="F498" s="150" t="s">
        <v>1121</v>
      </c>
      <c r="G498" s="168" t="s">
        <v>373</v>
      </c>
      <c r="H498" s="14" t="s">
        <v>366</v>
      </c>
      <c r="I498" s="14">
        <f t="shared" si="135"/>
        <v>298.14999999999998</v>
      </c>
      <c r="J498" s="38">
        <f t="shared" si="137"/>
        <v>3.7499999999999999E-2</v>
      </c>
      <c r="K498" s="38">
        <f t="shared" si="137"/>
        <v>3.7499999999999999E-2</v>
      </c>
      <c r="L498" s="33">
        <v>9.23</v>
      </c>
      <c r="M498" s="21"/>
      <c r="N498" s="61">
        <f>0.113+0.289</f>
        <v>0.40199999999999997</v>
      </c>
      <c r="O498" s="36">
        <v>10.816000000000001</v>
      </c>
      <c r="P498" s="36">
        <v>36.712000000000003</v>
      </c>
      <c r="Q498" s="38">
        <v>3.4000000000000002E-2</v>
      </c>
      <c r="R498" s="21">
        <v>7.4440000000000002E-6</v>
      </c>
      <c r="S498" s="19">
        <f t="shared" si="136"/>
        <v>1.7800095648015302E-4</v>
      </c>
      <c r="U498" s="2"/>
      <c r="V498" s="2"/>
      <c r="W498" s="6"/>
      <c r="X498" s="10"/>
      <c r="AR498" s="213"/>
      <c r="AS498" s="213"/>
      <c r="AW498" s="213"/>
      <c r="AX498" s="213"/>
    </row>
    <row r="499" spans="6:50" ht="15.75" thickBot="1" x14ac:dyDescent="0.3">
      <c r="F499" s="162" t="s">
        <v>1120</v>
      </c>
      <c r="G499" s="170" t="s">
        <v>373</v>
      </c>
      <c r="H499" s="55" t="s">
        <v>366</v>
      </c>
      <c r="I499" s="55">
        <f t="shared" si="135"/>
        <v>298.14999999999998</v>
      </c>
      <c r="J499" s="65">
        <f t="shared" si="137"/>
        <v>3.7499999999999999E-2</v>
      </c>
      <c r="K499" s="65">
        <f t="shared" si="137"/>
        <v>3.7499999999999999E-2</v>
      </c>
      <c r="L499" s="63">
        <v>9.23</v>
      </c>
      <c r="M499" s="56"/>
      <c r="N499" s="65">
        <f>0.113+0.289</f>
        <v>0.40199999999999997</v>
      </c>
      <c r="O499" s="57">
        <v>10.816000000000001</v>
      </c>
      <c r="P499" s="57">
        <v>73.424000000000007</v>
      </c>
      <c r="Q499" s="65">
        <v>3.4000000000000002E-2</v>
      </c>
      <c r="R499" s="56">
        <v>1.046E-5</v>
      </c>
      <c r="S499" s="19">
        <f t="shared" si="136"/>
        <v>2.5011956001912958E-4</v>
      </c>
      <c r="U499" s="2"/>
      <c r="V499" s="2"/>
      <c r="W499" s="6"/>
      <c r="X499" s="10"/>
      <c r="AR499" s="213"/>
      <c r="AS499" s="213"/>
      <c r="AW499" s="213"/>
      <c r="AX499" s="213"/>
    </row>
    <row r="500" spans="6:50" x14ac:dyDescent="0.25">
      <c r="F500" s="221" t="s">
        <v>1124</v>
      </c>
      <c r="G500" s="169" t="s">
        <v>380</v>
      </c>
      <c r="H500" s="40" t="s">
        <v>366</v>
      </c>
      <c r="I500" s="40">
        <f t="shared" si="135"/>
        <v>298.14999999999998</v>
      </c>
      <c r="J500" s="61">
        <f t="shared" si="137"/>
        <v>3.7499999999999999E-2</v>
      </c>
      <c r="K500" s="61">
        <f t="shared" si="137"/>
        <v>3.7499999999999999E-2</v>
      </c>
      <c r="L500" s="62">
        <v>9.32</v>
      </c>
      <c r="M500" s="41"/>
      <c r="N500" s="61">
        <f>0.114+0.297</f>
        <v>0.41099999999999998</v>
      </c>
      <c r="O500" s="42">
        <v>10.816000000000001</v>
      </c>
      <c r="P500" s="36">
        <v>5.14</v>
      </c>
      <c r="Q500" s="61">
        <v>2.1000000000000001E-2</v>
      </c>
      <c r="R500" s="41">
        <v>1.8819999999999999E-6</v>
      </c>
      <c r="S500" s="19">
        <f t="shared" si="136"/>
        <v>7.2861014324428951E-5</v>
      </c>
      <c r="U500" s="2"/>
      <c r="V500" s="2"/>
      <c r="W500" s="6"/>
      <c r="X500" s="10"/>
    </row>
    <row r="501" spans="6:50" x14ac:dyDescent="0.25">
      <c r="F501" s="221" t="s">
        <v>1125</v>
      </c>
      <c r="G501" s="168" t="s">
        <v>380</v>
      </c>
      <c r="H501" s="14" t="s">
        <v>366</v>
      </c>
      <c r="I501" s="14">
        <f t="shared" ref="I501:I511" si="141">25+273.15</f>
        <v>298.14999999999998</v>
      </c>
      <c r="J501" s="38">
        <f t="shared" ref="J501:K511" si="142">0.075/2</f>
        <v>3.7499999999999999E-2</v>
      </c>
      <c r="K501" s="38">
        <f t="shared" si="142"/>
        <v>3.7499999999999999E-2</v>
      </c>
      <c r="L501" s="33">
        <v>9.32</v>
      </c>
      <c r="M501" s="21"/>
      <c r="N501" s="61">
        <f>0.114+0.297</f>
        <v>0.41099999999999998</v>
      </c>
      <c r="O501" s="36">
        <v>10.816000000000001</v>
      </c>
      <c r="P501" s="36">
        <v>14.685</v>
      </c>
      <c r="Q501" s="38">
        <v>2.1000000000000001E-2</v>
      </c>
      <c r="R501" s="21">
        <v>3.0750000000000002E-6</v>
      </c>
      <c r="S501" s="19">
        <f t="shared" ref="S501:S532" si="143">R501/($C$2*Q501)</f>
        <v>1.1904761904761905E-4</v>
      </c>
    </row>
    <row r="502" spans="6:50" x14ac:dyDescent="0.25">
      <c r="F502" s="162" t="s">
        <v>1126</v>
      </c>
      <c r="G502" s="168" t="s">
        <v>380</v>
      </c>
      <c r="H502" s="14" t="s">
        <v>366</v>
      </c>
      <c r="I502" s="14">
        <f t="shared" si="141"/>
        <v>298.14999999999998</v>
      </c>
      <c r="J502" s="38">
        <f t="shared" si="142"/>
        <v>3.7499999999999999E-2</v>
      </c>
      <c r="K502" s="38">
        <f t="shared" si="142"/>
        <v>3.7499999999999999E-2</v>
      </c>
      <c r="L502" s="33">
        <v>9.32</v>
      </c>
      <c r="M502" s="21"/>
      <c r="N502" s="61">
        <f>0.114+0.297</f>
        <v>0.41099999999999998</v>
      </c>
      <c r="O502" s="36">
        <v>10.816000000000001</v>
      </c>
      <c r="P502" s="36">
        <v>24.963999999999999</v>
      </c>
      <c r="Q502" s="38">
        <v>2.1000000000000001E-2</v>
      </c>
      <c r="R502" s="21">
        <v>4.2220000000000004E-6</v>
      </c>
      <c r="S502" s="19">
        <f t="shared" si="143"/>
        <v>1.6345334881920248E-4</v>
      </c>
      <c r="U502" s="6"/>
      <c r="V502" s="10"/>
      <c r="W502" s="11"/>
    </row>
    <row r="503" spans="6:50" ht="15.75" thickBot="1" x14ac:dyDescent="0.3">
      <c r="F503" s="162" t="s">
        <v>1127</v>
      </c>
      <c r="G503" s="170" t="s">
        <v>380</v>
      </c>
      <c r="H503" s="55" t="s">
        <v>366</v>
      </c>
      <c r="I503" s="55">
        <f t="shared" si="141"/>
        <v>298.14999999999998</v>
      </c>
      <c r="J503" s="65">
        <f t="shared" si="142"/>
        <v>3.7499999999999999E-2</v>
      </c>
      <c r="K503" s="65">
        <f t="shared" si="142"/>
        <v>3.7499999999999999E-2</v>
      </c>
      <c r="L503" s="63">
        <v>9.32</v>
      </c>
      <c r="M503" s="56"/>
      <c r="N503" s="65">
        <f>0.114+0.297</f>
        <v>0.41099999999999998</v>
      </c>
      <c r="O503" s="57">
        <v>10.816000000000001</v>
      </c>
      <c r="P503" s="57">
        <v>35.244</v>
      </c>
      <c r="Q503" s="65">
        <v>2.1000000000000001E-2</v>
      </c>
      <c r="R503" s="56">
        <v>7.5240000000000003E-6</v>
      </c>
      <c r="S503" s="19">
        <f t="shared" si="143"/>
        <v>2.9128919860627175E-4</v>
      </c>
      <c r="U503" s="6"/>
      <c r="V503" s="10"/>
      <c r="W503" s="11"/>
    </row>
    <row r="504" spans="6:50" x14ac:dyDescent="0.25">
      <c r="F504" s="162" t="s">
        <v>1128</v>
      </c>
      <c r="G504" s="169" t="s">
        <v>376</v>
      </c>
      <c r="H504" s="40" t="s">
        <v>366</v>
      </c>
      <c r="I504" s="40">
        <f t="shared" si="141"/>
        <v>298.14999999999998</v>
      </c>
      <c r="J504" s="61">
        <f t="shared" si="142"/>
        <v>3.7499999999999999E-2</v>
      </c>
      <c r="K504" s="61">
        <f t="shared" si="142"/>
        <v>3.7499999999999999E-2</v>
      </c>
      <c r="L504" s="62">
        <v>9.43</v>
      </c>
      <c r="M504" s="41"/>
      <c r="N504" s="61">
        <f>0.114+0.307</f>
        <v>0.42099999999999999</v>
      </c>
      <c r="O504" s="42">
        <v>10.816000000000001</v>
      </c>
      <c r="P504" s="42">
        <v>3.6709999999999998</v>
      </c>
      <c r="Q504" s="61">
        <v>1.4E-2</v>
      </c>
      <c r="R504" s="41">
        <v>1.4389999999999999E-6</v>
      </c>
      <c r="S504" s="19">
        <f t="shared" si="143"/>
        <v>8.3565621370499424E-5</v>
      </c>
      <c r="V504" s="11"/>
    </row>
    <row r="505" spans="6:50" x14ac:dyDescent="0.25">
      <c r="G505" s="168" t="s">
        <v>376</v>
      </c>
      <c r="H505" s="14" t="s">
        <v>366</v>
      </c>
      <c r="I505" s="14">
        <f t="shared" si="141"/>
        <v>298.14999999999998</v>
      </c>
      <c r="J505" s="38">
        <f t="shared" si="142"/>
        <v>3.7499999999999999E-2</v>
      </c>
      <c r="K505" s="38">
        <f t="shared" si="142"/>
        <v>3.7499999999999999E-2</v>
      </c>
      <c r="L505" s="33">
        <v>9.43</v>
      </c>
      <c r="M505" s="21"/>
      <c r="N505" s="61">
        <f>0.114+0.307</f>
        <v>0.42099999999999999</v>
      </c>
      <c r="O505" s="36">
        <v>10.816000000000001</v>
      </c>
      <c r="P505" s="36">
        <v>7.3419999999999996</v>
      </c>
      <c r="Q505" s="38">
        <v>1.4E-2</v>
      </c>
      <c r="R505" s="21">
        <v>2.491E-6</v>
      </c>
      <c r="S505" s="19">
        <f t="shared" si="143"/>
        <v>1.4465737514518002E-4</v>
      </c>
    </row>
    <row r="506" spans="6:50" x14ac:dyDescent="0.25">
      <c r="G506" s="168" t="s">
        <v>376</v>
      </c>
      <c r="H506" s="14" t="s">
        <v>366</v>
      </c>
      <c r="I506" s="14">
        <f t="shared" si="141"/>
        <v>298.14999999999998</v>
      </c>
      <c r="J506" s="38">
        <f t="shared" si="142"/>
        <v>3.7499999999999999E-2</v>
      </c>
      <c r="K506" s="38">
        <f t="shared" si="142"/>
        <v>3.7499999999999999E-2</v>
      </c>
      <c r="L506" s="33">
        <v>9.43</v>
      </c>
      <c r="M506" s="21"/>
      <c r="N506" s="61">
        <f>0.114+0.307</f>
        <v>0.42099999999999999</v>
      </c>
      <c r="O506" s="36">
        <v>10.816000000000001</v>
      </c>
      <c r="P506" s="36">
        <v>36.712000000000003</v>
      </c>
      <c r="Q506" s="38">
        <v>1.4E-2</v>
      </c>
      <c r="R506" s="21">
        <v>3.0680000000000001E-6</v>
      </c>
      <c r="S506" s="19">
        <f t="shared" si="143"/>
        <v>1.7816492450638795E-4</v>
      </c>
    </row>
    <row r="507" spans="6:50" ht="15.75" thickBot="1" x14ac:dyDescent="0.3">
      <c r="G507" s="170" t="s">
        <v>376</v>
      </c>
      <c r="H507" s="55" t="s">
        <v>366</v>
      </c>
      <c r="I507" s="55">
        <f t="shared" si="141"/>
        <v>298.14999999999998</v>
      </c>
      <c r="J507" s="65">
        <f t="shared" si="142"/>
        <v>3.7499999999999999E-2</v>
      </c>
      <c r="K507" s="65">
        <f t="shared" si="142"/>
        <v>3.7499999999999999E-2</v>
      </c>
      <c r="L507" s="63">
        <v>9.43</v>
      </c>
      <c r="M507" s="56"/>
      <c r="N507" s="65">
        <f>0.114+0.307</f>
        <v>0.42099999999999999</v>
      </c>
      <c r="O507" s="57">
        <v>10.816000000000001</v>
      </c>
      <c r="P507" s="57">
        <v>73.424000000000007</v>
      </c>
      <c r="Q507" s="65">
        <v>1.4E-2</v>
      </c>
      <c r="R507" s="56">
        <v>7.3329999999999999E-6</v>
      </c>
      <c r="S507" s="19">
        <f t="shared" si="143"/>
        <v>4.2584204413472708E-4</v>
      </c>
    </row>
    <row r="508" spans="6:50" x14ac:dyDescent="0.25">
      <c r="F508" s="221" t="s">
        <v>1129</v>
      </c>
      <c r="G508" s="169" t="s">
        <v>377</v>
      </c>
      <c r="H508" s="40" t="s">
        <v>366</v>
      </c>
      <c r="I508" s="40">
        <f t="shared" si="141"/>
        <v>298.14999999999998</v>
      </c>
      <c r="J508" s="61">
        <f t="shared" si="142"/>
        <v>3.7499999999999999E-2</v>
      </c>
      <c r="K508" s="61">
        <f t="shared" si="142"/>
        <v>3.7499999999999999E-2</v>
      </c>
      <c r="L508" s="62">
        <v>9.73</v>
      </c>
      <c r="M508" s="41"/>
      <c r="N508" s="61">
        <f>0.114+0.332</f>
        <v>0.44600000000000001</v>
      </c>
      <c r="O508" s="42">
        <v>10.816000000000001</v>
      </c>
      <c r="P508" s="36">
        <v>5.14</v>
      </c>
      <c r="Q508" s="61">
        <v>2.1000000000000001E-2</v>
      </c>
      <c r="R508" s="41">
        <v>1.8819999999999999E-6</v>
      </c>
      <c r="S508" s="19">
        <f t="shared" si="143"/>
        <v>7.2861014324428951E-5</v>
      </c>
    </row>
    <row r="509" spans="6:50" x14ac:dyDescent="0.25">
      <c r="F509" s="221" t="s">
        <v>1129</v>
      </c>
      <c r="G509" s="168" t="s">
        <v>377</v>
      </c>
      <c r="H509" s="14" t="s">
        <v>366</v>
      </c>
      <c r="I509" s="14">
        <f t="shared" si="141"/>
        <v>298.14999999999998</v>
      </c>
      <c r="J509" s="38">
        <f t="shared" si="142"/>
        <v>3.7499999999999999E-2</v>
      </c>
      <c r="K509" s="38">
        <f t="shared" si="142"/>
        <v>3.7499999999999999E-2</v>
      </c>
      <c r="L509" s="33">
        <v>9.73</v>
      </c>
      <c r="M509" s="21"/>
      <c r="N509" s="61">
        <f>0.114+0.332</f>
        <v>0.44600000000000001</v>
      </c>
      <c r="O509" s="36">
        <v>10.816000000000001</v>
      </c>
      <c r="P509" s="36">
        <v>14.685</v>
      </c>
      <c r="Q509" s="38">
        <v>2.1000000000000001E-2</v>
      </c>
      <c r="R509" s="21">
        <v>3.0750000000000002E-6</v>
      </c>
      <c r="S509" s="19">
        <f t="shared" si="143"/>
        <v>1.1904761904761905E-4</v>
      </c>
      <c r="T509" s="6"/>
    </row>
    <row r="510" spans="6:50" x14ac:dyDescent="0.25">
      <c r="F510" s="162" t="s">
        <v>1130</v>
      </c>
      <c r="G510" s="168" t="s">
        <v>377</v>
      </c>
      <c r="H510" s="14" t="s">
        <v>366</v>
      </c>
      <c r="I510" s="14">
        <f t="shared" si="141"/>
        <v>298.14999999999998</v>
      </c>
      <c r="J510" s="38">
        <f t="shared" si="142"/>
        <v>3.7499999999999999E-2</v>
      </c>
      <c r="K510" s="38">
        <f t="shared" si="142"/>
        <v>3.7499999999999999E-2</v>
      </c>
      <c r="L510" s="33">
        <v>9.73</v>
      </c>
      <c r="M510" s="21"/>
      <c r="N510" s="61">
        <f>0.114+0.332</f>
        <v>0.44600000000000001</v>
      </c>
      <c r="O510" s="36">
        <v>10.816000000000001</v>
      </c>
      <c r="P510" s="36">
        <v>24.963999999999999</v>
      </c>
      <c r="Q510" s="38">
        <v>2.1000000000000001E-2</v>
      </c>
      <c r="R510" s="21">
        <v>4.4240000000000003E-6</v>
      </c>
      <c r="S510" s="19">
        <f t="shared" si="143"/>
        <v>1.7127371273712737E-4</v>
      </c>
      <c r="T510" s="6"/>
    </row>
    <row r="511" spans="6:50" ht="15.75" thickBot="1" x14ac:dyDescent="0.3">
      <c r="F511" s="162" t="s">
        <v>1131</v>
      </c>
      <c r="G511" s="170" t="s">
        <v>377</v>
      </c>
      <c r="H511" s="55" t="s">
        <v>366</v>
      </c>
      <c r="I511" s="55">
        <f t="shared" si="141"/>
        <v>298.14999999999998</v>
      </c>
      <c r="J511" s="65">
        <f t="shared" si="142"/>
        <v>3.7499999999999999E-2</v>
      </c>
      <c r="K511" s="65">
        <f t="shared" si="142"/>
        <v>3.7499999999999999E-2</v>
      </c>
      <c r="L511" s="63">
        <v>9.73</v>
      </c>
      <c r="M511" s="56"/>
      <c r="N511" s="61">
        <f>0.114+0.332</f>
        <v>0.44600000000000001</v>
      </c>
      <c r="O511" s="57">
        <v>10.816000000000001</v>
      </c>
      <c r="P511" s="57">
        <v>35.244</v>
      </c>
      <c r="Q511" s="65">
        <v>2.1000000000000001E-2</v>
      </c>
      <c r="R511" s="56">
        <v>7.3189999999999997E-6</v>
      </c>
      <c r="S511" s="19">
        <f t="shared" si="143"/>
        <v>2.8335269066976379E-4</v>
      </c>
      <c r="T511" s="6"/>
    </row>
    <row r="512" spans="6:50" x14ac:dyDescent="0.25">
      <c r="F512" s="8"/>
      <c r="T512" s="6"/>
    </row>
    <row r="513" spans="5:20" x14ac:dyDescent="0.25">
      <c r="F513" s="8"/>
      <c r="T513" s="6"/>
    </row>
    <row r="514" spans="5:20" x14ac:dyDescent="0.25">
      <c r="F514" s="8"/>
      <c r="T514" s="6"/>
    </row>
    <row r="515" spans="5:20" x14ac:dyDescent="0.25">
      <c r="E515" s="11"/>
      <c r="F515" s="8"/>
      <c r="T515" s="6"/>
    </row>
    <row r="516" spans="5:20" x14ac:dyDescent="0.25">
      <c r="E516" s="11"/>
    </row>
    <row r="517" spans="5:20" x14ac:dyDescent="0.25">
      <c r="E517" s="11"/>
      <c r="T517" s="2"/>
    </row>
    <row r="518" spans="5:20" x14ac:dyDescent="0.25">
      <c r="E518" s="11"/>
      <c r="T518" s="2"/>
    </row>
    <row r="519" spans="5:20" x14ac:dyDescent="0.25">
      <c r="E519" s="11"/>
      <c r="T519" s="143"/>
    </row>
    <row r="520" spans="5:20" x14ac:dyDescent="0.25">
      <c r="E520" s="11"/>
    </row>
    <row r="521" spans="5:20" x14ac:dyDescent="0.25">
      <c r="E521" s="11"/>
    </row>
    <row r="522" spans="5:20" x14ac:dyDescent="0.25">
      <c r="E522" s="11"/>
    </row>
    <row r="523" spans="5:20" x14ac:dyDescent="0.25">
      <c r="E523" s="11"/>
    </row>
    <row r="524" spans="5:20" x14ac:dyDescent="0.25">
      <c r="E524" s="11"/>
    </row>
    <row r="525" spans="5:20" x14ac:dyDescent="0.25">
      <c r="E525" s="11"/>
    </row>
    <row r="526" spans="5:20" x14ac:dyDescent="0.25">
      <c r="E526" s="11"/>
      <c r="O526" s="1"/>
      <c r="P526" s="1"/>
      <c r="Q526" s="13"/>
    </row>
    <row r="527" spans="5:20" x14ac:dyDescent="0.25">
      <c r="E527" s="11"/>
      <c r="F527" s="11"/>
      <c r="G527" s="1"/>
      <c r="H527" s="12"/>
      <c r="I527" s="6"/>
      <c r="J527" s="2"/>
      <c r="K527" s="2"/>
      <c r="L527" s="2"/>
      <c r="M527" s="2"/>
      <c r="N527" s="11"/>
      <c r="O527" s="1"/>
      <c r="P527" s="1"/>
      <c r="Q527" s="13"/>
    </row>
    <row r="528" spans="5:20" x14ac:dyDescent="0.25">
      <c r="E528" s="11"/>
      <c r="F528" s="11"/>
      <c r="G528" s="1"/>
      <c r="H528" s="12"/>
      <c r="I528" s="6"/>
      <c r="J528" s="2"/>
      <c r="K528" s="2"/>
      <c r="L528" s="2"/>
      <c r="M528" s="2"/>
      <c r="N528" s="11"/>
      <c r="O528" s="1"/>
      <c r="P528" s="1"/>
      <c r="Q528" s="13"/>
    </row>
    <row r="529" spans="5:18" x14ac:dyDescent="0.25">
      <c r="E529" s="11"/>
      <c r="F529" s="11"/>
      <c r="G529" s="1"/>
      <c r="H529" s="12"/>
      <c r="I529" s="6"/>
      <c r="J529" s="2"/>
      <c r="K529" s="2"/>
      <c r="L529" s="2"/>
      <c r="M529" s="2"/>
      <c r="N529" s="11"/>
      <c r="O529" s="1"/>
      <c r="P529" s="1"/>
      <c r="Q529" s="13"/>
    </row>
    <row r="530" spans="5:18" x14ac:dyDescent="0.25">
      <c r="E530" s="11"/>
      <c r="F530" s="11"/>
      <c r="G530" s="1"/>
      <c r="H530" s="1"/>
      <c r="I530" s="6"/>
      <c r="J530" s="2"/>
      <c r="K530" s="2"/>
      <c r="L530" s="2"/>
      <c r="M530" s="2"/>
      <c r="N530" s="11"/>
      <c r="O530" s="1"/>
      <c r="P530" s="1"/>
      <c r="Q530" s="13"/>
    </row>
    <row r="531" spans="5:18" x14ac:dyDescent="0.25">
      <c r="E531" s="11"/>
      <c r="F531" s="11"/>
      <c r="G531" s="1"/>
      <c r="H531" s="1"/>
      <c r="I531" s="6"/>
      <c r="J531" s="2"/>
      <c r="K531" s="2"/>
      <c r="L531" s="2"/>
      <c r="M531" s="2"/>
      <c r="N531" s="11"/>
      <c r="O531" s="1"/>
      <c r="P531" s="1"/>
      <c r="Q531" s="13"/>
    </row>
    <row r="532" spans="5:18" x14ac:dyDescent="0.25">
      <c r="E532" s="11"/>
      <c r="F532" s="11"/>
      <c r="G532" s="1"/>
      <c r="H532" s="1"/>
      <c r="I532" s="6"/>
      <c r="J532" s="2"/>
      <c r="K532" s="2"/>
      <c r="L532" s="2"/>
      <c r="M532" s="2"/>
      <c r="N532" s="11"/>
      <c r="O532" s="1"/>
      <c r="P532" s="1"/>
      <c r="Q532" s="13"/>
    </row>
    <row r="533" spans="5:18" x14ac:dyDescent="0.25">
      <c r="E533" s="11"/>
      <c r="F533" s="11"/>
      <c r="G533" s="1"/>
      <c r="H533" s="1"/>
      <c r="I533" s="6"/>
      <c r="J533" s="2"/>
      <c r="K533" s="2"/>
      <c r="L533" s="2"/>
      <c r="M533" s="2"/>
      <c r="N533" s="11"/>
      <c r="O533" s="1"/>
      <c r="P533" s="1"/>
      <c r="Q533" s="13"/>
      <c r="R533" s="7"/>
    </row>
    <row r="534" spans="5:18" x14ac:dyDescent="0.25">
      <c r="E534" s="11"/>
      <c r="F534" s="11"/>
      <c r="G534" s="1"/>
      <c r="H534" s="1"/>
      <c r="I534" s="6"/>
      <c r="J534" s="2"/>
      <c r="K534" s="2"/>
      <c r="L534" s="2"/>
      <c r="M534" s="2"/>
      <c r="N534" s="11"/>
      <c r="O534" s="1"/>
      <c r="P534" s="1"/>
      <c r="Q534" s="13"/>
      <c r="R534" s="7"/>
    </row>
    <row r="535" spans="5:18" x14ac:dyDescent="0.25">
      <c r="E535" s="11"/>
      <c r="F535" s="11"/>
      <c r="G535" s="1"/>
      <c r="H535" s="1"/>
      <c r="I535" s="6"/>
      <c r="J535" s="2"/>
      <c r="K535" s="2"/>
      <c r="L535" s="2"/>
      <c r="M535" s="2"/>
      <c r="N535" s="11"/>
      <c r="O535" s="1"/>
      <c r="P535" s="1"/>
      <c r="Q535" s="13"/>
      <c r="R535" s="7"/>
    </row>
    <row r="536" spans="5:18" x14ac:dyDescent="0.25">
      <c r="E536" s="11"/>
      <c r="F536" s="11"/>
      <c r="G536" s="1"/>
      <c r="H536" s="1"/>
      <c r="I536" s="6"/>
      <c r="J536" s="2"/>
      <c r="K536" s="2"/>
      <c r="L536" s="2"/>
      <c r="M536" s="2"/>
      <c r="N536" s="11"/>
      <c r="O536" s="1"/>
      <c r="P536" s="1"/>
      <c r="Q536" s="13"/>
      <c r="R536" s="7"/>
    </row>
    <row r="537" spans="5:18" x14ac:dyDescent="0.25">
      <c r="E537" s="11"/>
      <c r="F537" s="11"/>
      <c r="G537" s="1"/>
      <c r="H537" s="1"/>
      <c r="I537" s="6"/>
      <c r="J537" s="2"/>
      <c r="K537" s="2"/>
      <c r="L537" s="2"/>
      <c r="M537" s="2"/>
      <c r="N537" s="11"/>
      <c r="O537" s="1"/>
      <c r="P537" s="1"/>
      <c r="Q537" s="13"/>
      <c r="R537" s="7"/>
    </row>
    <row r="538" spans="5:18" x14ac:dyDescent="0.25">
      <c r="E538" s="11"/>
      <c r="F538" s="11"/>
      <c r="G538" s="1"/>
      <c r="H538" s="1"/>
      <c r="I538" s="6"/>
      <c r="J538" s="2"/>
      <c r="K538" s="2"/>
      <c r="L538" s="2"/>
      <c r="M538" s="2"/>
      <c r="N538" s="11"/>
      <c r="O538" s="1"/>
      <c r="P538" s="1"/>
      <c r="Q538" s="13"/>
      <c r="R538" s="7"/>
    </row>
    <row r="539" spans="5:18" x14ac:dyDescent="0.25">
      <c r="E539" s="11"/>
      <c r="F539" s="11"/>
      <c r="G539" s="1"/>
      <c r="H539" s="1"/>
      <c r="I539" s="6"/>
      <c r="J539" s="2"/>
      <c r="K539" s="2"/>
      <c r="L539" s="2"/>
      <c r="M539" s="2"/>
      <c r="N539" s="11"/>
      <c r="O539" s="1"/>
      <c r="P539" s="1"/>
      <c r="Q539" s="13"/>
      <c r="R539" s="7"/>
    </row>
    <row r="540" spans="5:18" x14ac:dyDescent="0.25">
      <c r="J540" s="1"/>
      <c r="L540" s="1"/>
      <c r="M540" s="2"/>
      <c r="N540" s="2"/>
      <c r="O540" s="1"/>
      <c r="P540" s="1"/>
      <c r="Q540" s="13"/>
      <c r="R540" s="7"/>
    </row>
    <row r="541" spans="5:18" x14ac:dyDescent="0.25">
      <c r="J541" s="1"/>
      <c r="L541" s="1"/>
      <c r="M541" s="2"/>
      <c r="N541" s="2"/>
      <c r="O541" s="5"/>
      <c r="P541" s="1"/>
      <c r="Q541" s="13"/>
      <c r="R541" s="7"/>
    </row>
    <row r="542" spans="5:18" x14ac:dyDescent="0.25">
      <c r="J542" s="1"/>
      <c r="L542" s="1"/>
      <c r="M542" s="2"/>
      <c r="N542" s="2"/>
      <c r="O542" s="5"/>
      <c r="P542" s="1"/>
      <c r="Q542" s="13"/>
      <c r="R542" s="7"/>
    </row>
    <row r="543" spans="5:18" x14ac:dyDescent="0.25">
      <c r="J543" s="1"/>
      <c r="L543" s="1"/>
      <c r="M543" s="2"/>
      <c r="N543" s="2"/>
      <c r="O543" s="5"/>
      <c r="P543" s="1"/>
      <c r="Q543" s="13"/>
      <c r="R543" s="7"/>
    </row>
    <row r="544" spans="5:18" x14ac:dyDescent="0.25">
      <c r="J544" s="1"/>
      <c r="L544" s="1"/>
      <c r="M544" s="2"/>
      <c r="N544" s="2"/>
      <c r="O544" s="5"/>
      <c r="P544" s="1"/>
      <c r="Q544" s="13"/>
      <c r="R544" s="7"/>
    </row>
    <row r="545" spans="10:18" x14ac:dyDescent="0.25">
      <c r="J545" s="1"/>
      <c r="L545" s="1"/>
      <c r="M545" s="2"/>
      <c r="N545" s="2"/>
      <c r="O545" s="5"/>
      <c r="P545" s="1"/>
      <c r="Q545" s="13"/>
      <c r="R545" s="7"/>
    </row>
    <row r="546" spans="10:18" x14ac:dyDescent="0.25">
      <c r="J546" s="1"/>
      <c r="L546" s="1"/>
      <c r="M546" s="2"/>
      <c r="N546" s="2"/>
      <c r="O546" s="5"/>
      <c r="P546" s="1"/>
      <c r="Q546" s="13"/>
      <c r="R546" s="7"/>
    </row>
    <row r="547" spans="10:18" x14ac:dyDescent="0.25">
      <c r="J547" s="1"/>
      <c r="L547" s="1"/>
      <c r="M547" s="2"/>
      <c r="N547" s="2"/>
      <c r="O547" s="5"/>
      <c r="P547" s="1"/>
      <c r="Q547" s="13"/>
      <c r="R547" s="7"/>
    </row>
    <row r="548" spans="10:18" x14ac:dyDescent="0.25">
      <c r="J548" s="1"/>
      <c r="L548" s="1"/>
      <c r="M548" s="2"/>
      <c r="N548" s="2"/>
      <c r="O548" s="5"/>
      <c r="P548" s="1"/>
      <c r="Q548" s="13"/>
      <c r="R548" s="7"/>
    </row>
    <row r="549" spans="10:18" x14ac:dyDescent="0.25">
      <c r="P549" s="1"/>
      <c r="Q549" s="13"/>
    </row>
    <row r="550" spans="10:18" x14ac:dyDescent="0.25">
      <c r="P550" s="1"/>
      <c r="Q550" s="13"/>
    </row>
    <row r="551" spans="10:18" x14ac:dyDescent="0.25">
      <c r="P551" s="1"/>
      <c r="Q551" s="13"/>
    </row>
    <row r="552" spans="10:18" x14ac:dyDescent="0.25">
      <c r="P552" s="1"/>
      <c r="Q552" s="13"/>
    </row>
    <row r="553" spans="10:18" x14ac:dyDescent="0.25">
      <c r="P553" s="1"/>
      <c r="Q553" s="13"/>
    </row>
    <row r="554" spans="10:18" x14ac:dyDescent="0.25">
      <c r="P554" s="1"/>
      <c r="Q554" s="13"/>
    </row>
    <row r="555" spans="10:18" x14ac:dyDescent="0.25">
      <c r="P555" s="1"/>
      <c r="Q555" s="13"/>
    </row>
    <row r="556" spans="10:18" x14ac:dyDescent="0.25">
      <c r="P556" s="1"/>
      <c r="Q556" s="13"/>
    </row>
    <row r="557" spans="10:18" x14ac:dyDescent="0.25">
      <c r="P557" s="1"/>
      <c r="Q557" s="13"/>
    </row>
    <row r="558" spans="10:18" x14ac:dyDescent="0.25">
      <c r="P558" s="1"/>
      <c r="Q558" s="13"/>
    </row>
    <row r="559" spans="10:18" x14ac:dyDescent="0.25">
      <c r="P559" s="1"/>
      <c r="Q559" s="13"/>
    </row>
    <row r="560" spans="10:18" x14ac:dyDescent="0.25">
      <c r="P560" s="1"/>
      <c r="Q560" s="13"/>
    </row>
    <row r="561" spans="16:17" x14ac:dyDescent="0.25">
      <c r="P561" s="1"/>
      <c r="Q561" s="13"/>
    </row>
    <row r="562" spans="16:17" x14ac:dyDescent="0.25">
      <c r="P562" s="1"/>
      <c r="Q562" s="13"/>
    </row>
    <row r="563" spans="16:17" x14ac:dyDescent="0.25">
      <c r="P563" s="1"/>
      <c r="Q563" s="13"/>
    </row>
    <row r="564" spans="16:17" x14ac:dyDescent="0.25">
      <c r="P564" s="1"/>
      <c r="Q564" s="13"/>
    </row>
    <row r="565" spans="16:17" x14ac:dyDescent="0.25">
      <c r="P565" s="1"/>
      <c r="Q565" s="13"/>
    </row>
    <row r="566" spans="16:17" x14ac:dyDescent="0.25">
      <c r="P566" s="1"/>
      <c r="Q566" s="13"/>
    </row>
    <row r="567" spans="16:17" x14ac:dyDescent="0.25">
      <c r="P567" s="1"/>
      <c r="Q567" s="13"/>
    </row>
    <row r="568" spans="16:17" x14ac:dyDescent="0.25">
      <c r="P568" s="1"/>
      <c r="Q568" s="13"/>
    </row>
    <row r="569" spans="16:17" x14ac:dyDescent="0.25">
      <c r="P569" s="1"/>
      <c r="Q569" s="13"/>
    </row>
    <row r="570" spans="16:17" x14ac:dyDescent="0.25">
      <c r="P570" s="1"/>
      <c r="Q570" s="13"/>
    </row>
    <row r="571" spans="16:17" x14ac:dyDescent="0.25">
      <c r="P571" s="1"/>
      <c r="Q571" s="13"/>
    </row>
    <row r="572" spans="16:17" x14ac:dyDescent="0.25">
      <c r="P572" s="1"/>
      <c r="Q572" s="13"/>
    </row>
    <row r="573" spans="16:17" x14ac:dyDescent="0.25">
      <c r="P573" s="1"/>
      <c r="Q573" s="13"/>
    </row>
    <row r="574" spans="16:17" x14ac:dyDescent="0.25">
      <c r="P574" s="1"/>
      <c r="Q574" s="13"/>
    </row>
    <row r="575" spans="16:17" x14ac:dyDescent="0.25">
      <c r="P575" s="1"/>
      <c r="Q575" s="13"/>
    </row>
    <row r="576" spans="16:17" x14ac:dyDescent="0.25">
      <c r="P576" s="1"/>
      <c r="Q576" s="13"/>
    </row>
    <row r="577" spans="16:40" x14ac:dyDescent="0.25">
      <c r="P577" s="1"/>
      <c r="Q577" s="13"/>
    </row>
    <row r="578" spans="16:40" x14ac:dyDescent="0.25">
      <c r="P578" s="1"/>
      <c r="Q578" s="13"/>
    </row>
    <row r="579" spans="16:40" x14ac:dyDescent="0.25">
      <c r="P579" s="1"/>
      <c r="Q579" s="13"/>
    </row>
    <row r="580" spans="16:40" x14ac:dyDescent="0.25">
      <c r="P580" s="1"/>
      <c r="Q580" s="13"/>
    </row>
    <row r="581" spans="16:40" x14ac:dyDescent="0.25">
      <c r="P581" s="1"/>
      <c r="Q581" s="13"/>
    </row>
    <row r="582" spans="16:40" x14ac:dyDescent="0.25">
      <c r="P582" s="1"/>
      <c r="Q582" s="13"/>
    </row>
    <row r="583" spans="16:40" x14ac:dyDescent="0.25">
      <c r="P583" s="1"/>
      <c r="Q583" s="13"/>
    </row>
    <row r="584" spans="16:40" x14ac:dyDescent="0.25">
      <c r="P584" s="1"/>
      <c r="Q584" s="13"/>
      <c r="AM584">
        <v>12740</v>
      </c>
      <c r="AN584">
        <v>1.7999999999999999E-2</v>
      </c>
    </row>
    <row r="585" spans="16:40" x14ac:dyDescent="0.25">
      <c r="P585" s="1"/>
      <c r="Q585" s="13"/>
      <c r="AM585">
        <v>12789</v>
      </c>
      <c r="AN585">
        <v>1.7999999999999999E-2</v>
      </c>
    </row>
    <row r="586" spans="16:40" x14ac:dyDescent="0.25">
      <c r="P586" s="1"/>
      <c r="Q586" s="13"/>
      <c r="AM586">
        <v>12838</v>
      </c>
      <c r="AN586">
        <v>1.7999999999999999E-2</v>
      </c>
    </row>
    <row r="587" spans="16:40" x14ac:dyDescent="0.25">
      <c r="P587" s="1"/>
      <c r="Q587" s="13"/>
      <c r="AM587">
        <v>12887</v>
      </c>
      <c r="AN587">
        <v>1.9E-2</v>
      </c>
    </row>
    <row r="588" spans="16:40" x14ac:dyDescent="0.25">
      <c r="P588" s="1"/>
      <c r="Q588" s="13"/>
      <c r="AM588">
        <v>12936</v>
      </c>
      <c r="AN588">
        <v>1.9E-2</v>
      </c>
    </row>
    <row r="589" spans="16:40" x14ac:dyDescent="0.25">
      <c r="P589" s="1"/>
      <c r="Q589" s="13"/>
      <c r="AM589">
        <v>12985</v>
      </c>
      <c r="AN589">
        <v>1.9E-2</v>
      </c>
    </row>
    <row r="590" spans="16:40" x14ac:dyDescent="0.25">
      <c r="P590" s="1"/>
      <c r="Q590" s="13"/>
      <c r="AM590">
        <v>13034</v>
      </c>
      <c r="AN590">
        <v>1.7999999999999999E-2</v>
      </c>
    </row>
    <row r="591" spans="16:40" x14ac:dyDescent="0.25">
      <c r="P591" s="1"/>
      <c r="Q591" s="13"/>
      <c r="AM591">
        <v>13083</v>
      </c>
      <c r="AN591">
        <v>0.02</v>
      </c>
    </row>
    <row r="592" spans="16:40" x14ac:dyDescent="0.25">
      <c r="P592" s="1"/>
      <c r="Q592" s="13"/>
      <c r="AM592">
        <v>13132</v>
      </c>
      <c r="AN592">
        <v>1.9E-2</v>
      </c>
    </row>
    <row r="593" spans="16:40" x14ac:dyDescent="0.25">
      <c r="P593" s="1"/>
      <c r="Q593" s="13"/>
      <c r="AM593">
        <v>13181</v>
      </c>
      <c r="AN593">
        <v>1.9E-2</v>
      </c>
    </row>
    <row r="594" spans="16:40" x14ac:dyDescent="0.25">
      <c r="P594" s="1"/>
      <c r="Q594" s="13"/>
      <c r="AM594">
        <v>13230</v>
      </c>
      <c r="AN594">
        <v>1.9E-2</v>
      </c>
    </row>
    <row r="595" spans="16:40" x14ac:dyDescent="0.25">
      <c r="P595" s="1"/>
      <c r="Q595" s="13"/>
      <c r="AM595">
        <v>13279</v>
      </c>
      <c r="AN595">
        <v>1.9E-2</v>
      </c>
    </row>
    <row r="596" spans="16:40" x14ac:dyDescent="0.25">
      <c r="P596" s="1"/>
      <c r="Q596" s="13"/>
      <c r="AM596">
        <v>13328</v>
      </c>
      <c r="AN596">
        <v>0.02</v>
      </c>
    </row>
    <row r="597" spans="16:40" x14ac:dyDescent="0.25">
      <c r="P597" s="1"/>
      <c r="Q597" s="13"/>
      <c r="AM597">
        <v>13377</v>
      </c>
      <c r="AN597">
        <v>0.02</v>
      </c>
    </row>
    <row r="598" spans="16:40" x14ac:dyDescent="0.25">
      <c r="P598" s="1"/>
      <c r="Q598" s="13"/>
      <c r="AM598">
        <v>13426</v>
      </c>
      <c r="AN598">
        <v>1.9E-2</v>
      </c>
    </row>
    <row r="599" spans="16:40" x14ac:dyDescent="0.25">
      <c r="P599" s="1"/>
      <c r="Q599" s="13"/>
      <c r="AM599">
        <v>13475</v>
      </c>
      <c r="AN599">
        <v>0.02</v>
      </c>
    </row>
    <row r="600" spans="16:40" x14ac:dyDescent="0.25">
      <c r="P600" s="1"/>
      <c r="Q600" s="13"/>
      <c r="AM600">
        <v>13524</v>
      </c>
      <c r="AN600">
        <v>1.9E-2</v>
      </c>
    </row>
    <row r="601" spans="16:40" x14ac:dyDescent="0.25">
      <c r="P601" s="1"/>
      <c r="Q601" s="13"/>
      <c r="AM601">
        <v>13573</v>
      </c>
      <c r="AN601">
        <v>1.9E-2</v>
      </c>
    </row>
    <row r="602" spans="16:40" x14ac:dyDescent="0.25">
      <c r="P602" s="1"/>
      <c r="Q602" s="13"/>
      <c r="AM602">
        <v>13622</v>
      </c>
      <c r="AN602">
        <v>1.9E-2</v>
      </c>
    </row>
    <row r="603" spans="16:40" x14ac:dyDescent="0.25">
      <c r="P603" s="1"/>
      <c r="Q603" s="13"/>
      <c r="AM603">
        <v>13671</v>
      </c>
      <c r="AN603">
        <v>0.02</v>
      </c>
    </row>
    <row r="604" spans="16:40" x14ac:dyDescent="0.25">
      <c r="P604" s="1"/>
      <c r="Q604" s="13"/>
      <c r="AM604">
        <v>13720</v>
      </c>
      <c r="AN604">
        <v>0.02</v>
      </c>
    </row>
    <row r="605" spans="16:40" x14ac:dyDescent="0.25">
      <c r="P605" s="1"/>
      <c r="Q605" s="13"/>
      <c r="AM605">
        <v>13769</v>
      </c>
      <c r="AN605">
        <v>0.02</v>
      </c>
    </row>
    <row r="606" spans="16:40" x14ac:dyDescent="0.25">
      <c r="P606" s="1"/>
      <c r="Q606" s="13"/>
      <c r="AM606">
        <v>13818</v>
      </c>
      <c r="AN606">
        <v>2.1000000000000001E-2</v>
      </c>
    </row>
    <row r="607" spans="16:40" x14ac:dyDescent="0.25">
      <c r="P607" s="1"/>
      <c r="Q607" s="13"/>
      <c r="AM607">
        <v>13867</v>
      </c>
      <c r="AN607">
        <v>1.9E-2</v>
      </c>
    </row>
    <row r="608" spans="16:40" x14ac:dyDescent="0.25">
      <c r="P608" s="1"/>
      <c r="Q608" s="13"/>
      <c r="AM608">
        <v>13916</v>
      </c>
      <c r="AN608">
        <v>0.02</v>
      </c>
    </row>
    <row r="609" spans="16:40" x14ac:dyDescent="0.25">
      <c r="P609" s="1"/>
      <c r="Q609" s="13"/>
      <c r="AM609">
        <v>13965</v>
      </c>
      <c r="AN609">
        <v>0.02</v>
      </c>
    </row>
    <row r="610" spans="16:40" x14ac:dyDescent="0.25">
      <c r="P610" s="1"/>
      <c r="Q610" s="13"/>
      <c r="AM610">
        <v>14014</v>
      </c>
      <c r="AN610">
        <v>2.1000000000000001E-2</v>
      </c>
    </row>
    <row r="611" spans="16:40" x14ac:dyDescent="0.25">
      <c r="P611" s="1"/>
      <c r="Q611" s="13"/>
      <c r="AM611">
        <v>14063</v>
      </c>
      <c r="AN611">
        <v>2.1000000000000001E-2</v>
      </c>
    </row>
    <row r="612" spans="16:40" x14ac:dyDescent="0.25">
      <c r="P612" s="1"/>
      <c r="Q612" s="13"/>
      <c r="AM612">
        <v>14112</v>
      </c>
      <c r="AN612">
        <v>0.02</v>
      </c>
    </row>
    <row r="613" spans="16:40" x14ac:dyDescent="0.25">
      <c r="P613" s="1"/>
      <c r="Q613" s="13"/>
      <c r="AM613">
        <v>14161</v>
      </c>
      <c r="AN613">
        <v>2.1000000000000001E-2</v>
      </c>
    </row>
    <row r="614" spans="16:40" x14ac:dyDescent="0.25">
      <c r="P614" s="1"/>
      <c r="Q614" s="13"/>
      <c r="AM614">
        <v>14210</v>
      </c>
      <c r="AN614">
        <v>2.1000000000000001E-2</v>
      </c>
    </row>
    <row r="615" spans="16:40" x14ac:dyDescent="0.25">
      <c r="P615" s="1"/>
      <c r="Q615" s="13"/>
      <c r="AM615">
        <v>14259</v>
      </c>
      <c r="AN615">
        <v>0.02</v>
      </c>
    </row>
    <row r="616" spans="16:40" x14ac:dyDescent="0.25">
      <c r="P616" s="1"/>
      <c r="Q616" s="13"/>
      <c r="AM616">
        <v>14308</v>
      </c>
      <c r="AN616">
        <v>2.1000000000000001E-2</v>
      </c>
    </row>
    <row r="617" spans="16:40" x14ac:dyDescent="0.25">
      <c r="P617" s="1"/>
      <c r="Q617" s="13"/>
      <c r="AM617">
        <v>14357</v>
      </c>
      <c r="AN617">
        <v>2.1000000000000001E-2</v>
      </c>
    </row>
    <row r="618" spans="16:40" x14ac:dyDescent="0.25">
      <c r="P618" s="1"/>
      <c r="Q618" s="13"/>
      <c r="AM618">
        <v>14406</v>
      </c>
      <c r="AN618">
        <v>2.1000000000000001E-2</v>
      </c>
    </row>
    <row r="619" spans="16:40" x14ac:dyDescent="0.25">
      <c r="P619" s="1"/>
      <c r="Q619" s="13"/>
      <c r="AM619">
        <v>14455</v>
      </c>
      <c r="AN619">
        <v>2.1999999999999999E-2</v>
      </c>
    </row>
    <row r="620" spans="16:40" x14ac:dyDescent="0.25">
      <c r="P620" s="1"/>
      <c r="Q620" s="13"/>
      <c r="AM620">
        <v>14504</v>
      </c>
      <c r="AN620">
        <v>2.1000000000000001E-2</v>
      </c>
    </row>
    <row r="621" spans="16:40" x14ac:dyDescent="0.25">
      <c r="P621" s="1"/>
      <c r="Q621" s="13"/>
      <c r="AM621">
        <v>14553</v>
      </c>
      <c r="AN621">
        <v>2.1000000000000001E-2</v>
      </c>
    </row>
    <row r="622" spans="16:40" x14ac:dyDescent="0.25">
      <c r="P622" s="1"/>
      <c r="Q622" s="13"/>
      <c r="AM622">
        <v>14602</v>
      </c>
      <c r="AN622">
        <v>2.1000000000000001E-2</v>
      </c>
    </row>
    <row r="623" spans="16:40" x14ac:dyDescent="0.25">
      <c r="P623" s="1"/>
      <c r="Q623" s="13"/>
      <c r="AM623">
        <v>14651</v>
      </c>
      <c r="AN623">
        <v>2.1000000000000001E-2</v>
      </c>
    </row>
    <row r="624" spans="16:40" x14ac:dyDescent="0.25">
      <c r="P624" s="1"/>
      <c r="Q624" s="13"/>
      <c r="AM624">
        <v>14700</v>
      </c>
      <c r="AN624">
        <v>2.1999999999999999E-2</v>
      </c>
    </row>
    <row r="625" spans="16:40" x14ac:dyDescent="0.25">
      <c r="P625" s="1"/>
      <c r="Q625" s="13"/>
      <c r="AM625">
        <v>14749</v>
      </c>
      <c r="AN625">
        <v>2.1000000000000001E-2</v>
      </c>
    </row>
    <row r="626" spans="16:40" x14ac:dyDescent="0.25">
      <c r="P626" s="1"/>
      <c r="Q626" s="13"/>
      <c r="AM626">
        <v>14798</v>
      </c>
      <c r="AN626">
        <v>2.1999999999999999E-2</v>
      </c>
    </row>
    <row r="627" spans="16:40" x14ac:dyDescent="0.25">
      <c r="P627" s="1"/>
      <c r="Q627" s="13"/>
      <c r="AM627">
        <v>14847</v>
      </c>
      <c r="AN627">
        <v>2.1000000000000001E-2</v>
      </c>
    </row>
    <row r="628" spans="16:40" x14ac:dyDescent="0.25">
      <c r="P628" s="1"/>
      <c r="Q628" s="13"/>
      <c r="AM628">
        <v>14896</v>
      </c>
      <c r="AN628">
        <v>2.1999999999999999E-2</v>
      </c>
    </row>
    <row r="629" spans="16:40" x14ac:dyDescent="0.25">
      <c r="P629" s="1"/>
      <c r="Q629" s="13"/>
      <c r="AM629">
        <v>14945</v>
      </c>
      <c r="AN629">
        <v>2.1999999999999999E-2</v>
      </c>
    </row>
    <row r="630" spans="16:40" x14ac:dyDescent="0.25">
      <c r="P630" s="1"/>
      <c r="Q630" s="13"/>
      <c r="AM630">
        <v>14994</v>
      </c>
      <c r="AN630">
        <v>2.1999999999999999E-2</v>
      </c>
    </row>
    <row r="631" spans="16:40" x14ac:dyDescent="0.25">
      <c r="P631" s="1"/>
      <c r="Q631" s="13"/>
      <c r="AM631">
        <v>15043</v>
      </c>
      <c r="AN631">
        <v>2.1999999999999999E-2</v>
      </c>
    </row>
    <row r="632" spans="16:40" x14ac:dyDescent="0.25">
      <c r="P632" s="1"/>
      <c r="Q632" s="13"/>
      <c r="AM632">
        <v>15092</v>
      </c>
      <c r="AN632">
        <v>2.1999999999999999E-2</v>
      </c>
    </row>
    <row r="633" spans="16:40" x14ac:dyDescent="0.25">
      <c r="P633" s="1"/>
      <c r="Q633" s="13"/>
      <c r="AM633">
        <v>15141</v>
      </c>
      <c r="AN633">
        <v>2.1000000000000001E-2</v>
      </c>
    </row>
    <row r="634" spans="16:40" x14ac:dyDescent="0.25">
      <c r="P634" s="1"/>
      <c r="Q634" s="13"/>
      <c r="AM634">
        <v>15190</v>
      </c>
      <c r="AN634">
        <v>2.1999999999999999E-2</v>
      </c>
    </row>
    <row r="635" spans="16:40" x14ac:dyDescent="0.25">
      <c r="P635" s="1"/>
      <c r="Q635" s="13"/>
      <c r="AM635">
        <v>15239</v>
      </c>
      <c r="AN635">
        <v>2.1999999999999999E-2</v>
      </c>
    </row>
    <row r="636" spans="16:40" x14ac:dyDescent="0.25">
      <c r="P636" s="1"/>
      <c r="Q636" s="13"/>
      <c r="AM636">
        <v>15288</v>
      </c>
      <c r="AN636">
        <v>2.3E-2</v>
      </c>
    </row>
    <row r="637" spans="16:40" x14ac:dyDescent="0.25">
      <c r="P637" s="1"/>
      <c r="Q637" s="13"/>
      <c r="AM637">
        <v>15337</v>
      </c>
      <c r="AN637">
        <v>2.1999999999999999E-2</v>
      </c>
    </row>
    <row r="638" spans="16:40" x14ac:dyDescent="0.25">
      <c r="P638" s="1"/>
      <c r="Q638" s="13"/>
      <c r="AM638">
        <v>15386</v>
      </c>
      <c r="AN638">
        <v>2.3E-2</v>
      </c>
    </row>
    <row r="639" spans="16:40" x14ac:dyDescent="0.25">
      <c r="P639" s="1"/>
      <c r="Q639" s="13"/>
      <c r="AM639">
        <v>15435</v>
      </c>
      <c r="AN639">
        <v>2.1999999999999999E-2</v>
      </c>
    </row>
    <row r="640" spans="16:40" x14ac:dyDescent="0.25">
      <c r="P640" s="1"/>
      <c r="Q640" s="13"/>
      <c r="AM640">
        <v>15484</v>
      </c>
      <c r="AN640">
        <v>2.3E-2</v>
      </c>
    </row>
    <row r="641" spans="16:40" x14ac:dyDescent="0.25">
      <c r="P641" s="1"/>
      <c r="Q641" s="13"/>
      <c r="AM641">
        <v>15533</v>
      </c>
      <c r="AN641">
        <v>2.3E-2</v>
      </c>
    </row>
    <row r="642" spans="16:40" x14ac:dyDescent="0.25">
      <c r="P642" s="1"/>
      <c r="Q642" s="13"/>
      <c r="AM642">
        <v>15582</v>
      </c>
      <c r="AN642">
        <v>2.3E-2</v>
      </c>
    </row>
    <row r="643" spans="16:40" x14ac:dyDescent="0.25">
      <c r="P643" s="1"/>
      <c r="Q643" s="13"/>
      <c r="AM643">
        <v>15631</v>
      </c>
      <c r="AN643">
        <v>2.3E-2</v>
      </c>
    </row>
    <row r="644" spans="16:40" x14ac:dyDescent="0.25">
      <c r="P644" s="1"/>
      <c r="Q644" s="13"/>
      <c r="AM644">
        <v>15680</v>
      </c>
      <c r="AN644">
        <v>2.1999999999999999E-2</v>
      </c>
    </row>
    <row r="645" spans="16:40" x14ac:dyDescent="0.25">
      <c r="P645" s="1"/>
      <c r="Q645" s="13"/>
      <c r="AM645">
        <v>15729</v>
      </c>
      <c r="AN645">
        <v>2.3E-2</v>
      </c>
    </row>
    <row r="646" spans="16:40" x14ac:dyDescent="0.25">
      <c r="P646" s="1"/>
      <c r="Q646" s="13"/>
      <c r="AM646">
        <v>15778</v>
      </c>
      <c r="AN646">
        <v>2.3E-2</v>
      </c>
    </row>
    <row r="647" spans="16:40" x14ac:dyDescent="0.25">
      <c r="P647" s="1"/>
      <c r="Q647" s="13"/>
      <c r="AM647">
        <v>15827</v>
      </c>
      <c r="AN647">
        <v>2.3E-2</v>
      </c>
    </row>
    <row r="648" spans="16:40" x14ac:dyDescent="0.25">
      <c r="P648" s="1"/>
      <c r="Q648" s="13"/>
      <c r="AM648">
        <v>15876</v>
      </c>
      <c r="AN648">
        <v>2.4E-2</v>
      </c>
    </row>
    <row r="649" spans="16:40" x14ac:dyDescent="0.25">
      <c r="P649" s="1"/>
      <c r="Q649" s="13"/>
      <c r="AM649">
        <v>15925</v>
      </c>
      <c r="AN649">
        <v>2.3E-2</v>
      </c>
    </row>
    <row r="650" spans="16:40" x14ac:dyDescent="0.25">
      <c r="P650" s="1"/>
      <c r="Q650" s="13"/>
      <c r="AM650">
        <v>15974</v>
      </c>
      <c r="AN650">
        <v>2.3E-2</v>
      </c>
    </row>
    <row r="651" spans="16:40" x14ac:dyDescent="0.25">
      <c r="P651" s="1"/>
      <c r="Q651" s="13"/>
      <c r="AM651">
        <v>16023</v>
      </c>
      <c r="AN651">
        <v>2.3E-2</v>
      </c>
    </row>
    <row r="652" spans="16:40" x14ac:dyDescent="0.25">
      <c r="P652" s="1"/>
      <c r="Q652" s="13"/>
      <c r="AM652">
        <v>16072</v>
      </c>
      <c r="AN652">
        <v>2.3E-2</v>
      </c>
    </row>
    <row r="653" spans="16:40" x14ac:dyDescent="0.25">
      <c r="P653" s="1"/>
      <c r="Q653" s="13"/>
      <c r="AM653">
        <v>16121</v>
      </c>
      <c r="AN653">
        <v>2.3E-2</v>
      </c>
    </row>
    <row r="654" spans="16:40" x14ac:dyDescent="0.25">
      <c r="P654" s="1"/>
      <c r="Q654" s="13"/>
      <c r="AM654">
        <v>16170</v>
      </c>
      <c r="AN654">
        <v>2.3E-2</v>
      </c>
    </row>
    <row r="655" spans="16:40" x14ac:dyDescent="0.25">
      <c r="P655" s="1"/>
      <c r="Q655" s="13"/>
      <c r="AM655">
        <v>16219</v>
      </c>
      <c r="AN655">
        <v>2.3E-2</v>
      </c>
    </row>
    <row r="656" spans="16:40" x14ac:dyDescent="0.25">
      <c r="P656" s="1"/>
      <c r="Q656" s="13"/>
      <c r="AM656">
        <v>16268</v>
      </c>
      <c r="AN656">
        <v>2.3E-2</v>
      </c>
    </row>
    <row r="657" spans="16:40" x14ac:dyDescent="0.25">
      <c r="P657" s="1"/>
      <c r="Q657" s="13"/>
      <c r="AM657">
        <v>16317</v>
      </c>
      <c r="AN657">
        <v>2.3E-2</v>
      </c>
    </row>
    <row r="658" spans="16:40" x14ac:dyDescent="0.25">
      <c r="P658" s="1"/>
      <c r="Q658" s="13"/>
      <c r="AM658">
        <v>16366</v>
      </c>
      <c r="AN658">
        <v>2.3E-2</v>
      </c>
    </row>
    <row r="659" spans="16:40" x14ac:dyDescent="0.25">
      <c r="P659" s="1"/>
      <c r="Q659" s="13"/>
      <c r="AM659">
        <v>16415</v>
      </c>
      <c r="AN659">
        <v>2.4E-2</v>
      </c>
    </row>
    <row r="660" spans="16:40" x14ac:dyDescent="0.25">
      <c r="P660" s="1"/>
      <c r="Q660" s="13"/>
      <c r="AM660">
        <v>16464</v>
      </c>
      <c r="AN660">
        <v>2.4E-2</v>
      </c>
    </row>
    <row r="661" spans="16:40" x14ac:dyDescent="0.25">
      <c r="P661" s="1"/>
      <c r="Q661" s="13"/>
      <c r="AM661">
        <v>16513</v>
      </c>
      <c r="AN661">
        <v>2.4E-2</v>
      </c>
    </row>
    <row r="662" spans="16:40" x14ac:dyDescent="0.25">
      <c r="P662" s="1"/>
      <c r="Q662" s="13"/>
      <c r="AM662">
        <v>16562</v>
      </c>
      <c r="AN662">
        <v>2.4E-2</v>
      </c>
    </row>
    <row r="663" spans="16:40" x14ac:dyDescent="0.25">
      <c r="P663" s="1"/>
      <c r="Q663" s="13"/>
      <c r="AM663">
        <v>16611</v>
      </c>
      <c r="AN663">
        <v>2.5000000000000001E-2</v>
      </c>
    </row>
    <row r="664" spans="16:40" x14ac:dyDescent="0.25">
      <c r="P664" s="1"/>
      <c r="Q664" s="13"/>
      <c r="AM664">
        <v>16660</v>
      </c>
      <c r="AN664">
        <v>2.4E-2</v>
      </c>
    </row>
    <row r="665" spans="16:40" x14ac:dyDescent="0.25">
      <c r="P665" s="1"/>
      <c r="Q665" s="13"/>
      <c r="AM665">
        <v>16709</v>
      </c>
      <c r="AN665">
        <v>2.4E-2</v>
      </c>
    </row>
    <row r="666" spans="16:40" x14ac:dyDescent="0.25">
      <c r="P666" s="1"/>
      <c r="Q666" s="13"/>
      <c r="AM666">
        <v>16758</v>
      </c>
      <c r="AN666">
        <v>2.4E-2</v>
      </c>
    </row>
    <row r="667" spans="16:40" x14ac:dyDescent="0.25">
      <c r="P667" s="1"/>
      <c r="Q667" s="13"/>
      <c r="AM667">
        <v>16807</v>
      </c>
      <c r="AN667">
        <v>2.4E-2</v>
      </c>
    </row>
    <row r="668" spans="16:40" x14ac:dyDescent="0.25">
      <c r="P668" s="1"/>
      <c r="Q668" s="13"/>
      <c r="AM668">
        <v>16856</v>
      </c>
      <c r="AN668">
        <v>2.4E-2</v>
      </c>
    </row>
    <row r="669" spans="16:40" x14ac:dyDescent="0.25">
      <c r="P669" s="1"/>
      <c r="Q669" s="13"/>
      <c r="AM669">
        <v>16905</v>
      </c>
      <c r="AN669">
        <v>2.4E-2</v>
      </c>
    </row>
    <row r="670" spans="16:40" x14ac:dyDescent="0.25">
      <c r="P670" s="1"/>
      <c r="Q670" s="13"/>
      <c r="AM670">
        <v>16954</v>
      </c>
      <c r="AN670">
        <v>2.5000000000000001E-2</v>
      </c>
    </row>
    <row r="671" spans="16:40" x14ac:dyDescent="0.25">
      <c r="P671" s="1"/>
      <c r="Q671" s="13"/>
      <c r="AM671">
        <v>17003</v>
      </c>
      <c r="AN671">
        <v>2.5000000000000001E-2</v>
      </c>
    </row>
    <row r="672" spans="16:40" x14ac:dyDescent="0.25">
      <c r="P672" s="1"/>
      <c r="Q672" s="13"/>
      <c r="AM672">
        <v>17052</v>
      </c>
      <c r="AN672">
        <v>2.5000000000000001E-2</v>
      </c>
    </row>
    <row r="673" spans="16:40" x14ac:dyDescent="0.25">
      <c r="P673" s="1"/>
      <c r="Q673" s="13"/>
      <c r="AM673">
        <v>17101</v>
      </c>
      <c r="AN673">
        <v>2.4E-2</v>
      </c>
    </row>
    <row r="674" spans="16:40" x14ac:dyDescent="0.25">
      <c r="P674" s="1"/>
      <c r="Q674" s="13"/>
      <c r="AM674">
        <v>17150</v>
      </c>
      <c r="AN674">
        <v>2.5000000000000001E-2</v>
      </c>
    </row>
    <row r="675" spans="16:40" x14ac:dyDescent="0.25">
      <c r="P675" s="1"/>
      <c r="Q675" s="13"/>
      <c r="AM675">
        <v>17199</v>
      </c>
      <c r="AN675">
        <v>2.5000000000000001E-2</v>
      </c>
    </row>
    <row r="676" spans="16:40" x14ac:dyDescent="0.25">
      <c r="P676" s="1"/>
      <c r="Q676" s="13"/>
      <c r="AM676">
        <v>17248</v>
      </c>
      <c r="AN676">
        <v>2.5999999999999999E-2</v>
      </c>
    </row>
    <row r="677" spans="16:40" x14ac:dyDescent="0.25">
      <c r="P677" s="1"/>
      <c r="Q677" s="13"/>
      <c r="AM677">
        <v>17297</v>
      </c>
      <c r="AN677">
        <v>2.5000000000000001E-2</v>
      </c>
    </row>
    <row r="678" spans="16:40" x14ac:dyDescent="0.25">
      <c r="P678" s="1"/>
      <c r="Q678" s="13"/>
      <c r="AM678">
        <v>17346</v>
      </c>
      <c r="AN678">
        <v>2.5999999999999999E-2</v>
      </c>
    </row>
    <row r="679" spans="16:40" x14ac:dyDescent="0.25">
      <c r="P679" s="1"/>
      <c r="Q679" s="13"/>
      <c r="AM679">
        <v>17395</v>
      </c>
      <c r="AN679">
        <v>2.5000000000000001E-2</v>
      </c>
    </row>
    <row r="680" spans="16:40" x14ac:dyDescent="0.25">
      <c r="P680" s="1"/>
      <c r="Q680" s="13"/>
      <c r="AM680">
        <v>17444</v>
      </c>
      <c r="AN680">
        <v>2.5999999999999999E-2</v>
      </c>
    </row>
    <row r="681" spans="16:40" x14ac:dyDescent="0.25">
      <c r="P681" s="1"/>
      <c r="Q681" s="13"/>
      <c r="AM681">
        <v>17493</v>
      </c>
      <c r="AN681">
        <v>2.5000000000000001E-2</v>
      </c>
    </row>
    <row r="682" spans="16:40" x14ac:dyDescent="0.25">
      <c r="P682" s="1"/>
      <c r="Q682" s="13"/>
      <c r="AM682">
        <v>17542</v>
      </c>
      <c r="AN682">
        <v>2.5999999999999999E-2</v>
      </c>
    </row>
    <row r="683" spans="16:40" x14ac:dyDescent="0.25">
      <c r="P683" s="1"/>
      <c r="Q683" s="13"/>
      <c r="AM683">
        <v>17591</v>
      </c>
      <c r="AN683">
        <v>2.5999999999999999E-2</v>
      </c>
    </row>
    <row r="684" spans="16:40" x14ac:dyDescent="0.25">
      <c r="P684" s="1"/>
      <c r="Q684" s="13"/>
      <c r="AM684">
        <v>17640</v>
      </c>
      <c r="AN684">
        <v>2.5000000000000001E-2</v>
      </c>
    </row>
    <row r="685" spans="16:40" x14ac:dyDescent="0.25">
      <c r="P685" s="1"/>
      <c r="Q685" s="13"/>
      <c r="AM685">
        <v>17689</v>
      </c>
      <c r="AN685">
        <v>2.5999999999999999E-2</v>
      </c>
    </row>
    <row r="686" spans="16:40" x14ac:dyDescent="0.25">
      <c r="P686" s="1"/>
      <c r="Q686" s="13"/>
      <c r="AM686">
        <v>17738</v>
      </c>
      <c r="AN686">
        <v>2.5000000000000001E-2</v>
      </c>
    </row>
    <row r="687" spans="16:40" x14ac:dyDescent="0.25">
      <c r="P687" s="1"/>
      <c r="Q687" s="13"/>
      <c r="AM687">
        <v>17787</v>
      </c>
      <c r="AN687">
        <v>2.5000000000000001E-2</v>
      </c>
    </row>
    <row r="688" spans="16:40" x14ac:dyDescent="0.25">
      <c r="P688" s="1"/>
      <c r="Q688" s="13"/>
      <c r="AM688">
        <v>17836</v>
      </c>
      <c r="AN688">
        <v>2.5999999999999999E-2</v>
      </c>
    </row>
    <row r="689" spans="16:40" x14ac:dyDescent="0.25">
      <c r="P689" s="1"/>
      <c r="Q689" s="13"/>
      <c r="AM689">
        <v>17885</v>
      </c>
      <c r="AN689">
        <v>2.5999999999999999E-2</v>
      </c>
    </row>
    <row r="690" spans="16:40" x14ac:dyDescent="0.25">
      <c r="P690" s="1"/>
      <c r="Q690" s="13"/>
    </row>
    <row r="691" spans="16:40" x14ac:dyDescent="0.25">
      <c r="P691" s="1"/>
      <c r="Q691" s="13"/>
    </row>
    <row r="692" spans="16:40" x14ac:dyDescent="0.25">
      <c r="P692" s="1"/>
      <c r="Q692" s="13"/>
    </row>
    <row r="693" spans="16:40" x14ac:dyDescent="0.25">
      <c r="P693" s="1"/>
      <c r="Q693" s="13"/>
    </row>
    <row r="694" spans="16:40" x14ac:dyDescent="0.25">
      <c r="P694" s="1"/>
      <c r="Q694" s="13"/>
    </row>
    <row r="695" spans="16:40" x14ac:dyDescent="0.25">
      <c r="P695" s="1"/>
      <c r="Q695" s="13"/>
    </row>
    <row r="696" spans="16:40" x14ac:dyDescent="0.25">
      <c r="P696" s="1"/>
      <c r="Q696" s="13"/>
    </row>
    <row r="697" spans="16:40" x14ac:dyDescent="0.25">
      <c r="P697" s="1"/>
      <c r="Q697" s="13"/>
    </row>
    <row r="698" spans="16:40" x14ac:dyDescent="0.25">
      <c r="P698" s="1"/>
      <c r="Q698" s="13"/>
    </row>
    <row r="699" spans="16:40" x14ac:dyDescent="0.25">
      <c r="P699" s="1"/>
      <c r="Q699" s="13"/>
    </row>
    <row r="700" spans="16:40" x14ac:dyDescent="0.25">
      <c r="P700" s="1"/>
      <c r="Q700" s="13"/>
    </row>
    <row r="701" spans="16:40" x14ac:dyDescent="0.25">
      <c r="P701" s="1"/>
      <c r="Q701" s="13"/>
    </row>
    <row r="702" spans="16:40" x14ac:dyDescent="0.25">
      <c r="P702" s="1"/>
      <c r="Q702" s="13"/>
    </row>
    <row r="703" spans="16:40" x14ac:dyDescent="0.25">
      <c r="P703" s="1"/>
      <c r="Q703" s="13"/>
    </row>
    <row r="704" spans="16:40" x14ac:dyDescent="0.25">
      <c r="P704" s="1"/>
      <c r="Q704" s="13"/>
    </row>
    <row r="705" spans="16:17" x14ac:dyDescent="0.25">
      <c r="P705" s="1"/>
      <c r="Q705" s="13"/>
    </row>
    <row r="706" spans="16:17" x14ac:dyDescent="0.25">
      <c r="P706" s="1"/>
      <c r="Q706" s="13"/>
    </row>
    <row r="707" spans="16:17" x14ac:dyDescent="0.25">
      <c r="P707" s="1"/>
      <c r="Q707" s="13"/>
    </row>
    <row r="708" spans="16:17" x14ac:dyDescent="0.25">
      <c r="P708" s="1"/>
      <c r="Q708" s="13"/>
    </row>
    <row r="709" spans="16:17" x14ac:dyDescent="0.25">
      <c r="P709" s="1"/>
      <c r="Q709" s="13"/>
    </row>
    <row r="710" spans="16:17" x14ac:dyDescent="0.25">
      <c r="P710" s="1"/>
      <c r="Q710" s="13"/>
    </row>
    <row r="711" spans="16:17" x14ac:dyDescent="0.25">
      <c r="P711" s="1"/>
      <c r="Q711" s="13"/>
    </row>
    <row r="712" spans="16:17" x14ac:dyDescent="0.25">
      <c r="P712" s="1"/>
      <c r="Q712" s="13"/>
    </row>
    <row r="713" spans="16:17" x14ac:dyDescent="0.25">
      <c r="P713" s="1"/>
      <c r="Q713" s="13"/>
    </row>
    <row r="714" spans="16:17" x14ac:dyDescent="0.25">
      <c r="P714" s="1"/>
      <c r="Q714" s="13"/>
    </row>
    <row r="715" spans="16:17" x14ac:dyDescent="0.25">
      <c r="P715" s="1"/>
      <c r="Q715" s="13"/>
    </row>
    <row r="716" spans="16:17" x14ac:dyDescent="0.25">
      <c r="P716" s="1"/>
      <c r="Q716" s="13"/>
    </row>
    <row r="717" spans="16:17" x14ac:dyDescent="0.25">
      <c r="P717" s="1"/>
      <c r="Q717" s="13"/>
    </row>
    <row r="718" spans="16:17" x14ac:dyDescent="0.25">
      <c r="P718" s="1"/>
      <c r="Q718" s="13"/>
    </row>
    <row r="719" spans="16:17" x14ac:dyDescent="0.25">
      <c r="P719" s="1"/>
      <c r="Q719" s="13"/>
    </row>
    <row r="720" spans="16:17" x14ac:dyDescent="0.25">
      <c r="P720" s="1"/>
      <c r="Q720" s="13"/>
    </row>
    <row r="721" spans="16:17" x14ac:dyDescent="0.25">
      <c r="P721" s="1"/>
      <c r="Q721" s="13"/>
    </row>
    <row r="722" spans="16:17" x14ac:dyDescent="0.25">
      <c r="P722" s="1"/>
      <c r="Q722" s="13"/>
    </row>
    <row r="723" spans="16:17" x14ac:dyDescent="0.25">
      <c r="P723" s="1"/>
      <c r="Q723" s="13"/>
    </row>
    <row r="724" spans="16:17" x14ac:dyDescent="0.25">
      <c r="P724" s="1"/>
      <c r="Q724" s="13"/>
    </row>
    <row r="725" spans="16:17" x14ac:dyDescent="0.25">
      <c r="P725" s="1"/>
      <c r="Q725" s="13"/>
    </row>
    <row r="726" spans="16:17" x14ac:dyDescent="0.25">
      <c r="P726" s="1"/>
      <c r="Q726" s="13"/>
    </row>
    <row r="727" spans="16:17" x14ac:dyDescent="0.25">
      <c r="P727" s="1"/>
      <c r="Q727" s="13"/>
    </row>
    <row r="728" spans="16:17" x14ac:dyDescent="0.25">
      <c r="P728" s="1"/>
      <c r="Q728" s="13"/>
    </row>
    <row r="729" spans="16:17" x14ac:dyDescent="0.25">
      <c r="P729" s="1"/>
      <c r="Q729" s="13"/>
    </row>
    <row r="730" spans="16:17" x14ac:dyDescent="0.25">
      <c r="P730" s="1"/>
      <c r="Q730" s="13"/>
    </row>
    <row r="731" spans="16:17" x14ac:dyDescent="0.25">
      <c r="P731" s="1"/>
      <c r="Q731" s="13"/>
    </row>
    <row r="732" spans="16:17" x14ac:dyDescent="0.25">
      <c r="P732" s="1"/>
      <c r="Q732" s="13"/>
    </row>
    <row r="733" spans="16:17" x14ac:dyDescent="0.25">
      <c r="P733" s="1"/>
      <c r="Q733" s="13"/>
    </row>
    <row r="734" spans="16:17" x14ac:dyDescent="0.25">
      <c r="P734" s="1"/>
      <c r="Q734" s="13"/>
    </row>
    <row r="735" spans="16:17" x14ac:dyDescent="0.25">
      <c r="P735" s="1"/>
      <c r="Q735" s="13"/>
    </row>
    <row r="736" spans="16:17" x14ac:dyDescent="0.25">
      <c r="P736" s="1"/>
      <c r="Q736" s="13"/>
    </row>
    <row r="737" spans="16:17" x14ac:dyDescent="0.25">
      <c r="P737" s="1"/>
      <c r="Q737" s="13"/>
    </row>
    <row r="738" spans="16:17" x14ac:dyDescent="0.25">
      <c r="P738" s="1"/>
      <c r="Q738" s="13"/>
    </row>
    <row r="739" spans="16:17" x14ac:dyDescent="0.25">
      <c r="P739" s="1"/>
      <c r="Q739" s="13"/>
    </row>
    <row r="740" spans="16:17" x14ac:dyDescent="0.25">
      <c r="P740" s="1"/>
      <c r="Q740" s="13"/>
    </row>
    <row r="741" spans="16:17" x14ac:dyDescent="0.25">
      <c r="P741" s="1"/>
      <c r="Q741" s="13"/>
    </row>
    <row r="742" spans="16:17" x14ac:dyDescent="0.25">
      <c r="P742" s="1"/>
      <c r="Q742" s="13"/>
    </row>
    <row r="743" spans="16:17" x14ac:dyDescent="0.25">
      <c r="P743" s="1"/>
      <c r="Q743" s="13"/>
    </row>
    <row r="744" spans="16:17" x14ac:dyDescent="0.25">
      <c r="P744" s="1"/>
      <c r="Q744" s="13"/>
    </row>
    <row r="745" spans="16:17" x14ac:dyDescent="0.25">
      <c r="P745" s="1"/>
      <c r="Q745" s="13"/>
    </row>
    <row r="746" spans="16:17" x14ac:dyDescent="0.25">
      <c r="P746" s="1"/>
    </row>
    <row r="747" spans="16:17" x14ac:dyDescent="0.25">
      <c r="P747" s="1"/>
    </row>
    <row r="748" spans="16:17" x14ac:dyDescent="0.25">
      <c r="P748" s="1"/>
    </row>
    <row r="749" spans="16:17" x14ac:dyDescent="0.25">
      <c r="P749" s="1"/>
    </row>
    <row r="750" spans="16:17" x14ac:dyDescent="0.25">
      <c r="P750" s="1"/>
    </row>
    <row r="751" spans="16:17" x14ac:dyDescent="0.25">
      <c r="P751" s="1"/>
    </row>
    <row r="752" spans="16:17" x14ac:dyDescent="0.25">
      <c r="P752" s="1"/>
    </row>
    <row r="753" spans="16:16" x14ac:dyDescent="0.25">
      <c r="P753" s="1"/>
    </row>
    <row r="754" spans="16:16" x14ac:dyDescent="0.25">
      <c r="P754" s="1"/>
    </row>
    <row r="755" spans="16:16" x14ac:dyDescent="0.25">
      <c r="P755" s="1"/>
    </row>
    <row r="756" spans="16:16" x14ac:dyDescent="0.25">
      <c r="P756" s="1"/>
    </row>
    <row r="757" spans="16:16" x14ac:dyDescent="0.25">
      <c r="P757" s="1"/>
    </row>
    <row r="758" spans="16:16" x14ac:dyDescent="0.25">
      <c r="P758" s="1"/>
    </row>
    <row r="759" spans="16:16" x14ac:dyDescent="0.25">
      <c r="P759" s="1"/>
    </row>
    <row r="760" spans="16:16" x14ac:dyDescent="0.25">
      <c r="P760" s="1"/>
    </row>
    <row r="761" spans="16:16" x14ac:dyDescent="0.25">
      <c r="P761" s="1"/>
    </row>
    <row r="762" spans="16:16" x14ac:dyDescent="0.25">
      <c r="P762" s="1"/>
    </row>
    <row r="763" spans="16:16" x14ac:dyDescent="0.25">
      <c r="P763" s="1"/>
    </row>
    <row r="764" spans="16:16" x14ac:dyDescent="0.25">
      <c r="P764" s="1"/>
    </row>
    <row r="765" spans="16:16" x14ac:dyDescent="0.25">
      <c r="P765" s="1"/>
    </row>
    <row r="766" spans="16:16" x14ac:dyDescent="0.25">
      <c r="P766" s="1"/>
    </row>
    <row r="767" spans="16:16" x14ac:dyDescent="0.25">
      <c r="P767" s="1"/>
    </row>
    <row r="768" spans="16:16" x14ac:dyDescent="0.25">
      <c r="P768" s="1"/>
    </row>
    <row r="769" spans="16:16" x14ac:dyDescent="0.25">
      <c r="P769" s="1"/>
    </row>
    <row r="770" spans="16:16" x14ac:dyDescent="0.25">
      <c r="P770" s="1"/>
    </row>
    <row r="771" spans="16:16" x14ac:dyDescent="0.25">
      <c r="P771" s="1"/>
    </row>
    <row r="772" spans="16:16" x14ac:dyDescent="0.25">
      <c r="P772" s="1"/>
    </row>
    <row r="773" spans="16:16" x14ac:dyDescent="0.25">
      <c r="P773" s="1"/>
    </row>
    <row r="774" spans="16:16" x14ac:dyDescent="0.25">
      <c r="P774" s="1"/>
    </row>
    <row r="775" spans="16:16" x14ac:dyDescent="0.25">
      <c r="P775" s="1"/>
    </row>
    <row r="776" spans="16:16" x14ac:dyDescent="0.25">
      <c r="P776" s="1"/>
    </row>
    <row r="777" spans="16:16" x14ac:dyDescent="0.25">
      <c r="P777" s="1"/>
    </row>
    <row r="778" spans="16:16" x14ac:dyDescent="0.25">
      <c r="P778" s="1"/>
    </row>
    <row r="779" spans="16:16" x14ac:dyDescent="0.25">
      <c r="P779" s="1"/>
    </row>
    <row r="780" spans="16:16" x14ac:dyDescent="0.25">
      <c r="P780" s="1"/>
    </row>
    <row r="781" spans="16:16" x14ac:dyDescent="0.25">
      <c r="P781" s="1"/>
    </row>
    <row r="782" spans="16:16" x14ac:dyDescent="0.25">
      <c r="P782" s="1"/>
    </row>
    <row r="783" spans="16:16" x14ac:dyDescent="0.25">
      <c r="P783" s="1"/>
    </row>
    <row r="784" spans="16:16" x14ac:dyDescent="0.25">
      <c r="P784" s="1"/>
    </row>
    <row r="785" spans="16:16" x14ac:dyDescent="0.25">
      <c r="P785" s="1"/>
    </row>
    <row r="786" spans="16:16" x14ac:dyDescent="0.25">
      <c r="P786" s="1"/>
    </row>
    <row r="787" spans="16:16" x14ac:dyDescent="0.25">
      <c r="P787" s="1"/>
    </row>
    <row r="788" spans="16:16" x14ac:dyDescent="0.25">
      <c r="P788" s="1"/>
    </row>
    <row r="789" spans="16:16" x14ac:dyDescent="0.25">
      <c r="P789" s="1"/>
    </row>
    <row r="790" spans="16:16" x14ac:dyDescent="0.25">
      <c r="P790" s="1"/>
    </row>
    <row r="791" spans="16:16" x14ac:dyDescent="0.25">
      <c r="P791" s="1"/>
    </row>
    <row r="792" spans="16:16" x14ac:dyDescent="0.25">
      <c r="P792" s="1"/>
    </row>
    <row r="1048576" spans="6:6" x14ac:dyDescent="0.25">
      <c r="F1048576" s="221"/>
    </row>
  </sheetData>
  <sortState ref="AA13:AA20">
    <sortCondition ref="AA13"/>
  </sortState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4"/>
  <sheetViews>
    <sheetView topLeftCell="CO145" zoomScale="60" zoomScaleNormal="60" workbookViewId="0">
      <selection activeCell="DT182" sqref="DT182"/>
    </sheetView>
  </sheetViews>
  <sheetFormatPr defaultRowHeight="15" x14ac:dyDescent="0.25"/>
  <cols>
    <col min="1" max="1" width="25.42578125" customWidth="1"/>
    <col min="2" max="2" width="13.140625" customWidth="1"/>
    <col min="3" max="3" width="13.85546875" customWidth="1"/>
    <col min="4" max="4" width="12.42578125" customWidth="1"/>
    <col min="5" max="5" width="14" customWidth="1"/>
    <col min="6" max="6" width="14.42578125" customWidth="1"/>
    <col min="7" max="7" width="14.7109375" customWidth="1"/>
    <col min="8" max="8" width="13.28515625" customWidth="1"/>
    <col min="9" max="9" width="12.5703125" customWidth="1"/>
    <col min="10" max="10" width="12.140625" customWidth="1"/>
    <col min="11" max="11" width="11.5703125" customWidth="1"/>
    <col min="12" max="12" width="12.5703125" customWidth="1"/>
    <col min="13" max="13" width="11.7109375" customWidth="1"/>
    <col min="14" max="14" width="12.42578125" customWidth="1"/>
    <col min="15" max="15" width="12.5703125" customWidth="1"/>
    <col min="16" max="16" width="10.7109375" customWidth="1"/>
    <col min="17" max="17" width="10.5703125" customWidth="1"/>
    <col min="18" max="18" width="10.85546875" customWidth="1"/>
    <col min="19" max="19" width="11" customWidth="1"/>
    <col min="20" max="20" width="11.5703125" customWidth="1"/>
    <col min="21" max="21" width="10.85546875" customWidth="1"/>
    <col min="22" max="22" width="14.7109375" customWidth="1"/>
    <col min="23" max="23" width="14" customWidth="1"/>
    <col min="24" max="24" width="16.28515625" customWidth="1"/>
    <col min="25" max="25" width="14.5703125" customWidth="1"/>
    <col min="26" max="26" width="15.42578125" customWidth="1"/>
    <col min="27" max="27" width="14.7109375" customWidth="1"/>
    <col min="28" max="28" width="11.140625" bestFit="1" customWidth="1"/>
    <col min="30" max="30" width="14" customWidth="1"/>
    <col min="31" max="31" width="19.140625" customWidth="1"/>
    <col min="32" max="32" width="20.85546875" customWidth="1"/>
    <col min="33" max="33" width="34.5703125" customWidth="1"/>
    <col min="34" max="34" width="14.85546875" customWidth="1"/>
    <col min="36" max="36" width="18.85546875" customWidth="1"/>
    <col min="37" max="37" width="11.7109375" customWidth="1"/>
    <col min="38" max="38" width="9.7109375" customWidth="1"/>
    <col min="39" max="39" width="7.5703125" customWidth="1"/>
    <col min="42" max="42" width="22" customWidth="1"/>
    <col min="43" max="43" width="14.85546875" customWidth="1"/>
    <col min="44" max="44" width="27.140625" customWidth="1"/>
    <col min="45" max="45" width="15.85546875" customWidth="1"/>
    <col min="46" max="46" width="13.85546875" customWidth="1"/>
    <col min="47" max="47" width="14.85546875" bestFit="1" customWidth="1"/>
    <col min="50" max="50" width="19" customWidth="1"/>
    <col min="52" max="52" width="14.42578125" customWidth="1"/>
    <col min="53" max="53" width="14.85546875" bestFit="1" customWidth="1"/>
    <col min="56" max="56" width="15.7109375" customWidth="1"/>
    <col min="61" max="61" width="20.140625" customWidth="1"/>
    <col min="62" max="62" width="16.140625" customWidth="1"/>
  </cols>
  <sheetData>
    <row r="1" spans="1:66" ht="18" customHeight="1" x14ac:dyDescent="0.25">
      <c r="A1" s="15" t="s">
        <v>280</v>
      </c>
    </row>
    <row r="2" spans="1:66" ht="60.75" thickBot="1" x14ac:dyDescent="0.3">
      <c r="A2" s="105" t="s">
        <v>149</v>
      </c>
      <c r="B2" s="105" t="s">
        <v>149</v>
      </c>
      <c r="C2" s="105" t="s">
        <v>150</v>
      </c>
      <c r="D2" s="105" t="s">
        <v>226</v>
      </c>
      <c r="E2" s="105" t="s">
        <v>282</v>
      </c>
      <c r="F2" s="105" t="s">
        <v>287</v>
      </c>
      <c r="G2" s="105" t="s">
        <v>281</v>
      </c>
      <c r="H2" s="105" t="s">
        <v>283</v>
      </c>
      <c r="I2" s="105" t="s">
        <v>284</v>
      </c>
      <c r="J2" s="105" t="s">
        <v>285</v>
      </c>
      <c r="K2" s="167" t="s">
        <v>151</v>
      </c>
      <c r="L2" s="105" t="s">
        <v>286</v>
      </c>
      <c r="M2" s="103" t="s">
        <v>312</v>
      </c>
      <c r="N2" s="103" t="s">
        <v>313</v>
      </c>
      <c r="O2" s="103" t="s">
        <v>314</v>
      </c>
      <c r="P2" s="103" t="s">
        <v>315</v>
      </c>
      <c r="Q2" s="103" t="s">
        <v>320</v>
      </c>
      <c r="R2" s="103" t="s">
        <v>322</v>
      </c>
      <c r="S2" s="103" t="s">
        <v>321</v>
      </c>
      <c r="T2" s="103" t="s">
        <v>323</v>
      </c>
      <c r="U2" s="103" t="s">
        <v>324</v>
      </c>
      <c r="V2" s="103" t="s">
        <v>325</v>
      </c>
      <c r="W2" s="103" t="s">
        <v>326</v>
      </c>
      <c r="X2" s="105" t="s">
        <v>327</v>
      </c>
      <c r="Y2" s="105" t="s">
        <v>329</v>
      </c>
      <c r="Z2" s="105" t="s">
        <v>330</v>
      </c>
      <c r="AA2" s="105" t="s">
        <v>331</v>
      </c>
      <c r="AB2" s="105" t="s">
        <v>328</v>
      </c>
      <c r="AF2" s="129"/>
      <c r="AG2" s="129"/>
      <c r="AH2" s="129" t="s">
        <v>336</v>
      </c>
      <c r="AI2" s="129" t="s">
        <v>337</v>
      </c>
      <c r="AJ2" s="129" t="s">
        <v>338</v>
      </c>
      <c r="AK2" t="s">
        <v>345</v>
      </c>
      <c r="AL2" t="s">
        <v>346</v>
      </c>
      <c r="AN2" s="129" t="s">
        <v>339</v>
      </c>
      <c r="AO2" s="129" t="s">
        <v>340</v>
      </c>
      <c r="AP2" s="129" t="s">
        <v>341</v>
      </c>
      <c r="AQ2" t="s">
        <v>345</v>
      </c>
      <c r="AR2" s="129" t="s">
        <v>347</v>
      </c>
      <c r="AS2" s="129" t="s">
        <v>348</v>
      </c>
      <c r="AT2" s="129" t="s">
        <v>349</v>
      </c>
      <c r="AU2" t="s">
        <v>345</v>
      </c>
    </row>
    <row r="3" spans="1:66" x14ac:dyDescent="0.25">
      <c r="A3" s="17" t="s">
        <v>73</v>
      </c>
      <c r="B3" s="17">
        <v>-346.53390714300002</v>
      </c>
      <c r="C3" s="17">
        <v>-346.54976438300002</v>
      </c>
      <c r="D3" s="14"/>
      <c r="E3" s="14">
        <v>-346.60330969900002</v>
      </c>
      <c r="F3" s="14"/>
      <c r="G3" s="17">
        <v>-346.615318699</v>
      </c>
      <c r="H3" s="17"/>
      <c r="I3" s="17">
        <v>-6.93</v>
      </c>
      <c r="J3" s="17">
        <v>-5.05</v>
      </c>
      <c r="K3" s="14">
        <v>-4.2300000000000004</v>
      </c>
      <c r="L3" s="17">
        <v>-4.4000000000000004</v>
      </c>
      <c r="M3" s="17"/>
      <c r="N3" s="17">
        <v>0.13431000000000001</v>
      </c>
      <c r="O3" s="17">
        <v>0.142321</v>
      </c>
      <c r="P3" s="17">
        <v>0.102271</v>
      </c>
      <c r="Q3" s="16">
        <f t="shared" ref="Q3:Q8" si="0">O3-P3</f>
        <v>4.0050000000000002E-2</v>
      </c>
      <c r="R3" s="82">
        <f t="shared" ref="R3:R8" si="1">((B3+N3)*$BJ$3*$BJ$4*10^-3)/$BJ$5</f>
        <v>-217368.96258724225</v>
      </c>
      <c r="S3" s="82">
        <f t="shared" ref="S3:S8" si="2">((C3+N3)*$BJ$3*$BJ$4*10^-3)/$BJ$5</f>
        <v>-217378.91315253367</v>
      </c>
      <c r="T3" s="82">
        <f t="shared" ref="T3:T8" si="3">((G3+N3)*$BJ$3*$BJ$4*10^-3)/$BJ$5</f>
        <v>-217420.04909431754</v>
      </c>
      <c r="U3" s="82">
        <f t="shared" ref="U3:U8" si="4">((G3+N3)*$BJ$3*$BJ$4*10^-3)/$BJ$5</f>
        <v>-217420.04909431754</v>
      </c>
      <c r="V3" s="82">
        <f t="shared" ref="V3:V8" si="5">((G3+P3)*$BJ$3*$BJ$4*10^-3)/$BJ$5</f>
        <v>-217440.15386421271</v>
      </c>
      <c r="W3" s="82">
        <f t="shared" ref="W3:W8" si="6">((G3+P3)*$BJ$3*$BJ$4*10^-3)/$BJ$5+I3</f>
        <v>-217447.08386421271</v>
      </c>
      <c r="X3" s="82">
        <f t="shared" ref="X3:X8" si="7">((G3+P3)*$BJ$3*$BJ$4*10^-3)/$BJ$5+J3</f>
        <v>-217445.2038642127</v>
      </c>
      <c r="Y3" s="82"/>
      <c r="Z3" s="82"/>
      <c r="AA3" s="149"/>
      <c r="AB3" s="82">
        <f t="shared" ref="AB3:AB8" si="8">((G3+P3)*$BJ$3*$BJ$4*10^-3)/$BJ$5+L3</f>
        <v>-217444.55386421271</v>
      </c>
      <c r="AF3" s="144" t="s">
        <v>300</v>
      </c>
      <c r="AG3" s="144" t="s">
        <v>254</v>
      </c>
      <c r="AH3" s="145">
        <f>S93-(S81+S83)-2.3</f>
        <v>1.8916057557682509</v>
      </c>
      <c r="AI3" s="145">
        <f>S91-(S93)-0.6</f>
        <v>31.251636982988565</v>
      </c>
      <c r="AJ3" s="145">
        <f t="shared" ref="AJ3:AJ8" si="9">AH3+AI3</f>
        <v>33.143242738756818</v>
      </c>
      <c r="AK3" s="144"/>
      <c r="AL3" s="145">
        <f t="shared" ref="AL3:AL29" si="10">ABS($AJ$29-AJ3)</f>
        <v>3.443242738756819</v>
      </c>
      <c r="AN3" s="6"/>
      <c r="AO3" s="6"/>
      <c r="AP3" s="6"/>
      <c r="AQ3" s="6"/>
      <c r="AR3" s="6"/>
      <c r="AS3" s="6"/>
      <c r="AT3" s="6"/>
      <c r="AU3" s="6"/>
      <c r="AZ3" s="22" t="s">
        <v>230</v>
      </c>
      <c r="BA3" s="25" t="s">
        <v>239</v>
      </c>
      <c r="BB3" s="25" t="s">
        <v>231</v>
      </c>
      <c r="BC3" s="25" t="s">
        <v>232</v>
      </c>
      <c r="BD3" s="26" t="s">
        <v>233</v>
      </c>
      <c r="BI3" s="22" t="s">
        <v>134</v>
      </c>
      <c r="BJ3" s="83">
        <v>4.35974394E-18</v>
      </c>
    </row>
    <row r="4" spans="1:66" x14ac:dyDescent="0.25">
      <c r="A4" s="17" t="s">
        <v>318</v>
      </c>
      <c r="B4" s="17">
        <v>-115.61156208</v>
      </c>
      <c r="C4" s="17">
        <v>-346.54908264800002</v>
      </c>
      <c r="D4" s="14"/>
      <c r="E4" s="14">
        <v>-346.602799017</v>
      </c>
      <c r="F4" s="14"/>
      <c r="G4" s="17">
        <v>-346.61467487099998</v>
      </c>
      <c r="H4" s="17"/>
      <c r="I4" s="17">
        <v>-7.02</v>
      </c>
      <c r="J4" s="17">
        <v>-5.38</v>
      </c>
      <c r="K4" s="14">
        <v>-4.54</v>
      </c>
      <c r="L4" s="17">
        <v>-4.4800000000000004</v>
      </c>
      <c r="M4" s="17"/>
      <c r="N4" s="17">
        <v>0.13239600000000001</v>
      </c>
      <c r="O4" s="17">
        <v>0.140518</v>
      </c>
      <c r="P4" s="17">
        <v>9.9672999999999998E-2</v>
      </c>
      <c r="Q4" s="16">
        <f t="shared" si="0"/>
        <v>4.0845000000000006E-2</v>
      </c>
      <c r="R4" s="82">
        <f t="shared" si="1"/>
        <v>-72464.248625806184</v>
      </c>
      <c r="S4" s="82">
        <f t="shared" si="2"/>
        <v>-217379.6864102594</v>
      </c>
      <c r="T4" s="82">
        <f t="shared" si="3"/>
        <v>-217420.84613903763</v>
      </c>
      <c r="U4" s="82">
        <f t="shared" si="4"/>
        <v>-217420.84613903763</v>
      </c>
      <c r="V4" s="82">
        <f t="shared" si="5"/>
        <v>-217441.3801252819</v>
      </c>
      <c r="W4" s="82">
        <f t="shared" si="6"/>
        <v>-217448.40012528189</v>
      </c>
      <c r="X4" s="82">
        <f t="shared" si="7"/>
        <v>-217446.7601252819</v>
      </c>
      <c r="Y4" s="82">
        <f>((G4+P4)*$BJ$3*$BJ$4*10^-3)/$BJ$5+K4</f>
        <v>-217445.9201252819</v>
      </c>
      <c r="Z4" s="82">
        <f>((E4+P4)*$BJ$3*$BJ$4*10^-3)/$BJ$5+K4</f>
        <v>-217438.46791666182</v>
      </c>
      <c r="AA4" s="82">
        <f>((C4+P4)*$BJ$3*$BJ$4*10^-3)/$BJ$5+K4</f>
        <v>-217404.76039650367</v>
      </c>
      <c r="AB4" s="82">
        <f t="shared" si="8"/>
        <v>-217445.86012528191</v>
      </c>
      <c r="AF4" s="144" t="s">
        <v>299</v>
      </c>
      <c r="AG4" s="144" t="s">
        <v>254</v>
      </c>
      <c r="AH4" s="145">
        <f>S93-(S81+S83)-2.3</f>
        <v>1.8916057557682509</v>
      </c>
      <c r="AI4" s="145">
        <f>-312722.33-(S93)-0.6</f>
        <v>25.353979739919303</v>
      </c>
      <c r="AJ4" s="145">
        <f t="shared" si="9"/>
        <v>27.245585495687553</v>
      </c>
      <c r="AK4" s="144"/>
      <c r="AL4" s="145">
        <f t="shared" si="10"/>
        <v>2.4544145043124459</v>
      </c>
      <c r="AN4" s="6"/>
      <c r="AO4" s="6"/>
      <c r="AP4" s="6"/>
      <c r="AQ4" s="6"/>
      <c r="AR4" s="6"/>
      <c r="AS4" s="6"/>
      <c r="AT4" s="6"/>
      <c r="AU4" s="6"/>
      <c r="AZ4" s="72" t="s">
        <v>234</v>
      </c>
      <c r="BA4" s="125">
        <f>-805.51122605*627.509469</f>
        <v>-505465.92173217447</v>
      </c>
      <c r="BB4" s="125">
        <v>0.92420000000000002</v>
      </c>
      <c r="BC4" s="125">
        <f>(BB4-BB6)/(BB5-BB4)</f>
        <v>0.85908161368284064</v>
      </c>
      <c r="BD4" s="80">
        <f>BA4+BC4*(BA4-BA5)</f>
        <v>-505446.06075477001</v>
      </c>
      <c r="BI4" s="72" t="s">
        <v>135</v>
      </c>
      <c r="BJ4" s="84">
        <v>6.0221399999999997E+23</v>
      </c>
    </row>
    <row r="5" spans="1:66" ht="15.75" thickBot="1" x14ac:dyDescent="0.3">
      <c r="A5" s="17" t="s">
        <v>319</v>
      </c>
      <c r="B5" s="17"/>
      <c r="C5" s="17">
        <v>-346.54911248600001</v>
      </c>
      <c r="D5" s="14"/>
      <c r="E5" s="14">
        <v>-346.60285969300003</v>
      </c>
      <c r="F5" s="14"/>
      <c r="G5" s="17">
        <v>-346.61473471099998</v>
      </c>
      <c r="H5" s="17"/>
      <c r="I5" s="17">
        <v>-7</v>
      </c>
      <c r="J5" s="17">
        <v>-5.3</v>
      </c>
      <c r="K5" s="14">
        <v>-4.49</v>
      </c>
      <c r="L5" s="17">
        <v>-4.3099999999999996</v>
      </c>
      <c r="M5" s="17"/>
      <c r="N5" s="17">
        <v>0.13256399999999999</v>
      </c>
      <c r="O5" s="17">
        <v>0.14066600000000001</v>
      </c>
      <c r="P5" s="17">
        <v>0.100018</v>
      </c>
      <c r="Q5" s="16">
        <f t="shared" si="0"/>
        <v>4.0648000000000017E-2</v>
      </c>
      <c r="R5" s="82">
        <f t="shared" si="1"/>
        <v>83.185140496914912</v>
      </c>
      <c r="S5" s="82">
        <f t="shared" si="2"/>
        <v>-217379.59971232197</v>
      </c>
      <c r="T5" s="82">
        <f t="shared" si="3"/>
        <v>-217420.77826763366</v>
      </c>
      <c r="U5" s="82">
        <f t="shared" si="4"/>
        <v>-217420.77826763366</v>
      </c>
      <c r="V5" s="82">
        <f t="shared" si="5"/>
        <v>-217441.20118473496</v>
      </c>
      <c r="W5" s="82">
        <f t="shared" si="6"/>
        <v>-217448.20118473496</v>
      </c>
      <c r="X5" s="82">
        <f t="shared" si="7"/>
        <v>-217446.50118473495</v>
      </c>
      <c r="Y5" s="82">
        <f>((G5+P5)*$BJ$3*$BJ$4*10^-3)/$BJ$5+K5</f>
        <v>-217445.69118473495</v>
      </c>
      <c r="Z5" s="82">
        <f>((E5+P5)*$BJ$3*$BJ$4*10^-3)/$BJ$5+K5</f>
        <v>-217438.23950071269</v>
      </c>
      <c r="AA5" s="82">
        <f>((C5+P5)*$BJ$3*$BJ$4*10^-3)/$BJ$5+K5</f>
        <v>-217404.5126294232</v>
      </c>
      <c r="AB5" s="82">
        <f t="shared" si="8"/>
        <v>-217445.51118473496</v>
      </c>
      <c r="AF5" s="144" t="s">
        <v>300</v>
      </c>
      <c r="AG5" s="144" t="s">
        <v>301</v>
      </c>
      <c r="AH5" s="145">
        <f>U93-(U81+U83)-2.3</f>
        <v>8.9316057557472952</v>
      </c>
      <c r="AI5" s="145">
        <f>U91-U93-0.6</f>
        <v>23.481636983028146</v>
      </c>
      <c r="AJ5" s="145">
        <f t="shared" si="9"/>
        <v>32.413242738775438</v>
      </c>
      <c r="AK5" s="144"/>
      <c r="AL5" s="145">
        <f t="shared" si="10"/>
        <v>2.7132427387754383</v>
      </c>
      <c r="AN5" s="6"/>
      <c r="AO5" s="6"/>
      <c r="AP5" s="6"/>
      <c r="AQ5" s="6"/>
      <c r="AR5" s="6"/>
      <c r="AS5" s="6"/>
      <c r="AT5" s="6"/>
      <c r="AU5" s="6"/>
      <c r="AZ5" s="72" t="s">
        <v>235</v>
      </c>
      <c r="BA5" s="125">
        <f>-805.54806828*627.509469</f>
        <v>-505489.04058035853</v>
      </c>
      <c r="BB5" s="125">
        <v>2</v>
      </c>
      <c r="BC5" s="125"/>
      <c r="BD5" s="73" t="s">
        <v>236</v>
      </c>
      <c r="BI5" s="23" t="s">
        <v>136</v>
      </c>
      <c r="BJ5" s="85">
        <v>4.1840000000000002</v>
      </c>
    </row>
    <row r="6" spans="1:66" ht="43.5" customHeight="1" thickBot="1" x14ac:dyDescent="0.3">
      <c r="A6" s="17" t="s">
        <v>19</v>
      </c>
      <c r="B6" s="17">
        <v>-461.001865845</v>
      </c>
      <c r="C6" s="17">
        <v>-461.02010343199998</v>
      </c>
      <c r="D6" s="14"/>
      <c r="E6" s="14"/>
      <c r="F6" s="14"/>
      <c r="G6" s="17">
        <v>-461.11334474699999</v>
      </c>
      <c r="H6" s="17"/>
      <c r="I6" s="17">
        <v>-8.3699999999999992</v>
      </c>
      <c r="J6" s="17">
        <v>-6.77</v>
      </c>
      <c r="K6" s="14"/>
      <c r="L6" s="17">
        <v>-4.42</v>
      </c>
      <c r="M6" s="17"/>
      <c r="N6" s="17">
        <v>0.167382</v>
      </c>
      <c r="O6" s="17">
        <v>0.17796200000000001</v>
      </c>
      <c r="P6" s="17">
        <v>0.13172</v>
      </c>
      <c r="Q6" s="16">
        <f t="shared" si="0"/>
        <v>4.6242000000000005E-2</v>
      </c>
      <c r="R6" s="82">
        <f t="shared" si="1"/>
        <v>-289177.91621005401</v>
      </c>
      <c r="S6" s="82">
        <f t="shared" si="2"/>
        <v>-289189.36046518292</v>
      </c>
      <c r="T6" s="82">
        <f t="shared" si="3"/>
        <v>-289247.87025583797</v>
      </c>
      <c r="U6" s="82">
        <f t="shared" si="4"/>
        <v>-289247.87025583797</v>
      </c>
      <c r="V6" s="82">
        <f t="shared" si="5"/>
        <v>-289270.24849186279</v>
      </c>
      <c r="W6" s="82">
        <f t="shared" si="6"/>
        <v>-289278.61849186278</v>
      </c>
      <c r="X6" s="82">
        <f t="shared" si="7"/>
        <v>-289277.01849186281</v>
      </c>
      <c r="Y6" s="82"/>
      <c r="Z6" s="82"/>
      <c r="AA6" s="82"/>
      <c r="AB6" s="82">
        <f t="shared" si="8"/>
        <v>-289274.66849186277</v>
      </c>
      <c r="AF6" s="158" t="s">
        <v>299</v>
      </c>
      <c r="AG6" s="158" t="s">
        <v>302</v>
      </c>
      <c r="AH6" s="159">
        <f>T93-(T81+T83)-2.3</f>
        <v>11.25160575575428</v>
      </c>
      <c r="AI6" s="159">
        <f>-312736.8-T93-0.6</f>
        <v>20.503979739942586</v>
      </c>
      <c r="AJ6" s="159">
        <f t="shared" si="9"/>
        <v>31.755585495696867</v>
      </c>
      <c r="AK6" s="144"/>
      <c r="AL6" s="145">
        <f t="shared" si="10"/>
        <v>2.0555854956968673</v>
      </c>
      <c r="AN6" s="6"/>
      <c r="AO6" s="6"/>
      <c r="AP6" s="6"/>
      <c r="AQ6" s="6"/>
      <c r="AR6" s="6"/>
      <c r="AS6" s="6"/>
      <c r="AT6" s="6"/>
      <c r="AU6" s="6"/>
      <c r="AZ6" s="23" t="s">
        <v>237</v>
      </c>
      <c r="BA6" s="126"/>
      <c r="BB6" s="126">
        <v>0</v>
      </c>
      <c r="BC6" s="126"/>
      <c r="BD6" s="104">
        <f>(BA4-BD4)</f>
        <v>-19.860977404459845</v>
      </c>
    </row>
    <row r="7" spans="1:66" ht="33.75" customHeight="1" thickBot="1" x14ac:dyDescent="0.3">
      <c r="A7" s="17" t="s">
        <v>332</v>
      </c>
      <c r="B7" s="17">
        <v>-150.87591878999999</v>
      </c>
      <c r="C7" s="17">
        <v>-150.88124489500001</v>
      </c>
      <c r="D7" s="14"/>
      <c r="E7" s="14">
        <v>-150.91664757699999</v>
      </c>
      <c r="F7" s="14"/>
      <c r="G7" s="17">
        <v>-150.92076219500001</v>
      </c>
      <c r="H7" s="17"/>
      <c r="I7" s="17"/>
      <c r="J7" s="17">
        <v>-89.26</v>
      </c>
      <c r="K7" s="14">
        <v>-96.33</v>
      </c>
      <c r="L7" s="17"/>
      <c r="M7" s="17"/>
      <c r="N7" s="17">
        <v>1.3388000000000001E-2</v>
      </c>
      <c r="O7" s="17">
        <v>1.7243999999999999E-2</v>
      </c>
      <c r="P7" s="17">
        <v>-8.3459999999999993E-3</v>
      </c>
      <c r="Q7" s="16">
        <f t="shared" si="0"/>
        <v>2.5589999999999998E-2</v>
      </c>
      <c r="R7" s="82">
        <f t="shared" si="1"/>
        <v>-94667.638419829687</v>
      </c>
      <c r="S7" s="82">
        <f t="shared" si="2"/>
        <v>-94670.980600155614</v>
      </c>
      <c r="T7" s="82">
        <f t="shared" si="3"/>
        <v>-94695.778072716494</v>
      </c>
      <c r="U7" s="82">
        <f t="shared" si="4"/>
        <v>-94695.778072716494</v>
      </c>
      <c r="V7" s="82">
        <f t="shared" si="5"/>
        <v>-94709.416359457668</v>
      </c>
      <c r="W7" s="82">
        <f t="shared" si="6"/>
        <v>-94709.416359457668</v>
      </c>
      <c r="X7" s="82">
        <f t="shared" si="7"/>
        <v>-94798.676359457662</v>
      </c>
      <c r="Y7" s="82">
        <f>((G7+P7)*$BJ$3*$BJ$4*10^-3)/$BJ$5+K7</f>
        <v>-94805.746359457669</v>
      </c>
      <c r="Z7" s="82">
        <f>((E7+P7)*$BJ$3*$BJ$4*10^-3)/$BJ$5+K7</f>
        <v>-94803.164398469598</v>
      </c>
      <c r="AA7" s="82">
        <f>((C7+P7)*$BJ$3*$BJ$4*10^-3)/$BJ$5+K7</f>
        <v>-94780.948886896804</v>
      </c>
      <c r="AB7" s="82">
        <f t="shared" si="8"/>
        <v>-94709.416359457668</v>
      </c>
      <c r="AF7" s="144" t="s">
        <v>299</v>
      </c>
      <c r="AG7" s="144" t="s">
        <v>301</v>
      </c>
      <c r="AH7" s="145">
        <f>U93-(U81+U83)-2.3</f>
        <v>8.9316057557472952</v>
      </c>
      <c r="AI7" s="145">
        <f>-312738.27-U93-0.6</f>
        <v>17.443979739944915</v>
      </c>
      <c r="AJ7" s="145">
        <f t="shared" si="9"/>
        <v>26.37558549569221</v>
      </c>
      <c r="AK7" s="144"/>
      <c r="AL7" s="145">
        <f t="shared" si="10"/>
        <v>3.3244145043077893</v>
      </c>
      <c r="AN7" s="6"/>
      <c r="AO7" s="6"/>
      <c r="AP7" s="6"/>
      <c r="AQ7" s="6"/>
      <c r="AR7" s="6"/>
      <c r="AS7" s="6"/>
      <c r="AT7" s="6"/>
      <c r="AU7" s="6"/>
      <c r="AZ7" s="9" t="s">
        <v>238</v>
      </c>
      <c r="BA7" s="127">
        <f>(BA5-BA4)</f>
        <v>-23.118848184065428</v>
      </c>
      <c r="BI7" s="86" t="s">
        <v>137</v>
      </c>
      <c r="BJ7" s="32"/>
    </row>
    <row r="8" spans="1:66" x14ac:dyDescent="0.25">
      <c r="A8" s="17" t="s">
        <v>162</v>
      </c>
      <c r="B8" s="17">
        <v>-151.47880612</v>
      </c>
      <c r="C8" s="17">
        <v>-151.48877311499999</v>
      </c>
      <c r="D8" s="14"/>
      <c r="E8" s="14">
        <v>-151.526562867</v>
      </c>
      <c r="F8" s="14"/>
      <c r="G8" s="17">
        <v>-151.53157458999999</v>
      </c>
      <c r="H8" s="17"/>
      <c r="I8" s="17">
        <v>-12.15</v>
      </c>
      <c r="J8" s="17">
        <v>-10</v>
      </c>
      <c r="K8" s="14">
        <v>-9.18</v>
      </c>
      <c r="L8" s="17">
        <v>-10.51</v>
      </c>
      <c r="M8" s="17"/>
      <c r="N8" s="17">
        <v>2.7012000000000001E-2</v>
      </c>
      <c r="O8" s="17">
        <v>3.1109999999999999E-2</v>
      </c>
      <c r="P8" s="17">
        <v>4.8009999999999997E-3</v>
      </c>
      <c r="Q8" s="16">
        <f t="shared" si="0"/>
        <v>2.6308999999999999E-2</v>
      </c>
      <c r="R8" s="82">
        <f t="shared" si="1"/>
        <v>-95037.406629115227</v>
      </c>
      <c r="S8" s="82">
        <f t="shared" si="2"/>
        <v>-95043.661010994212</v>
      </c>
      <c r="T8" s="82">
        <f t="shared" si="3"/>
        <v>-95070.519333852237</v>
      </c>
      <c r="U8" s="82">
        <f t="shared" si="4"/>
        <v>-95070.519333852237</v>
      </c>
      <c r="V8" s="82">
        <f t="shared" si="5"/>
        <v>-95084.456942521108</v>
      </c>
      <c r="W8" s="82">
        <f t="shared" si="6"/>
        <v>-95096.606942521103</v>
      </c>
      <c r="X8" s="82">
        <f t="shared" si="7"/>
        <v>-95094.456942521108</v>
      </c>
      <c r="Y8" s="82">
        <f>((G8+P8)*$BJ$3*$BJ$4*10^-3)/$BJ$5+K8</f>
        <v>-95093.636942521101</v>
      </c>
      <c r="Z8" s="82">
        <f>((E8+P8)*$BJ$3*$BJ$4*10^-3)/$BJ$5+K8</f>
        <v>-95090.492039818346</v>
      </c>
      <c r="AA8" s="82">
        <f>((C8+P8)*$BJ$3*$BJ$4*10^-3)/$BJ$5+K8</f>
        <v>-95066.778619663062</v>
      </c>
      <c r="AB8" s="82">
        <f t="shared" si="8"/>
        <v>-95094.966942521103</v>
      </c>
      <c r="AF8" s="160" t="s">
        <v>299</v>
      </c>
      <c r="AG8" s="160" t="s">
        <v>303</v>
      </c>
      <c r="AH8" s="161">
        <f>V93-(V81+V83)-2.3</f>
        <v>9.1616057557868764</v>
      </c>
      <c r="AI8" s="161">
        <f>-312738.15-V93-0.6</f>
        <v>17.053979739930945</v>
      </c>
      <c r="AJ8" s="161">
        <f t="shared" si="9"/>
        <v>26.215585495717821</v>
      </c>
      <c r="AK8" s="165"/>
      <c r="AL8" s="166">
        <f t="shared" si="10"/>
        <v>3.4844145042821779</v>
      </c>
      <c r="AN8" s="6"/>
      <c r="AO8" s="6"/>
      <c r="AP8" s="6"/>
      <c r="AQ8" s="6"/>
      <c r="AR8" s="6"/>
      <c r="AS8" s="6"/>
      <c r="AT8" s="6"/>
      <c r="AU8" s="6"/>
      <c r="BI8" s="87" t="s">
        <v>138</v>
      </c>
      <c r="BJ8" s="106">
        <v>2030</v>
      </c>
    </row>
    <row r="9" spans="1:66" x14ac:dyDescent="0.25">
      <c r="A9" s="17" t="s">
        <v>394</v>
      </c>
      <c r="B9" s="17">
        <v>-151.40366030000001</v>
      </c>
      <c r="C9" s="17">
        <v>-151.41275962099999</v>
      </c>
      <c r="D9" s="14"/>
      <c r="E9" s="14">
        <v>-151.450711888</v>
      </c>
      <c r="F9" s="14"/>
      <c r="G9" s="17">
        <v>-151.45574039100001</v>
      </c>
      <c r="H9" s="17"/>
      <c r="I9" s="17"/>
      <c r="J9" s="17">
        <v>-26.73</v>
      </c>
      <c r="K9" s="14">
        <v>-25.25</v>
      </c>
      <c r="L9" s="17"/>
      <c r="M9" s="17"/>
      <c r="N9" s="17">
        <v>2.6577E-2</v>
      </c>
      <c r="O9" s="17">
        <v>3.0581000000000001E-2</v>
      </c>
      <c r="P9" s="17">
        <v>4.3039999999999997E-3</v>
      </c>
      <c r="Q9" s="16">
        <f>O9-P9</f>
        <v>2.6277000000000002E-2</v>
      </c>
      <c r="R9" s="82">
        <f>((B9+N9)*$BJ$3*$BJ$4*10^-3)/$BJ$5</f>
        <v>-94990.524896078059</v>
      </c>
      <c r="S9" s="82">
        <f>((C9+N9)*$BJ$3*$BJ$4*10^-3)/$BJ$5</f>
        <v>-94996.234804468069</v>
      </c>
      <c r="T9" s="82">
        <f>((G9+N9)*$BJ$3*$BJ$4*10^-3)/$BJ$5</f>
        <v>-95023.205636602856</v>
      </c>
      <c r="U9" s="82">
        <f>((G9+N9)*$BJ$3*$BJ$4*10^-3)/$BJ$5</f>
        <v>-95023.205636602856</v>
      </c>
      <c r="V9" s="82">
        <f>((G9+P9)*$BJ$3*$BJ$4*10^-3)/$BJ$5</f>
        <v>-95037.182150847191</v>
      </c>
      <c r="W9" s="82">
        <f>((G9+P9)*$BJ$3*$BJ$4*10^-3)/$BJ$5+I9</f>
        <v>-95037.182150847191</v>
      </c>
      <c r="X9" s="82">
        <f>((G9+P9)*$BJ$3*$BJ$4*10^-3)/$BJ$5+J9</f>
        <v>-95063.912150847187</v>
      </c>
      <c r="Y9" s="82">
        <f>((G9+P9)*$BJ$3*$BJ$4*10^-3)/$BJ$5+K9</f>
        <v>-95062.432150847191</v>
      </c>
      <c r="Z9" s="82">
        <f>((E9+P9)*$BJ$3*$BJ$4*10^-3)/$BJ$5+K9</f>
        <v>-95059.276718538706</v>
      </c>
      <c r="AA9" s="82">
        <f>((C9+P9)*$BJ$3*$BJ$4*10^-3)/$BJ$5+K9</f>
        <v>-95035.461318712405</v>
      </c>
      <c r="AB9" s="82">
        <f>((G9+P9)*$BJ$3*$BJ$4*10^-3)/$BJ$5+L9</f>
        <v>-95037.182150847191</v>
      </c>
      <c r="AF9" s="144" t="s">
        <v>298</v>
      </c>
      <c r="AG9" s="144" t="s">
        <v>288</v>
      </c>
      <c r="AH9" s="145">
        <f>S76-(S66+S68)-2.3</f>
        <v>0.59043764863163251</v>
      </c>
      <c r="AI9" s="145">
        <f>S74-S76-0.7</f>
        <v>43.481826031941452</v>
      </c>
      <c r="AJ9" s="145">
        <f t="shared" ref="AJ9:AJ28" si="11">AH9+AI9</f>
        <v>44.072263680573087</v>
      </c>
      <c r="AK9" s="144"/>
      <c r="AL9" s="145">
        <f t="shared" si="10"/>
        <v>14.372263680573088</v>
      </c>
      <c r="AN9" s="6"/>
      <c r="AO9" s="6"/>
      <c r="AP9" s="6"/>
      <c r="AQ9" s="6"/>
      <c r="AR9" s="6"/>
      <c r="AS9" s="6"/>
      <c r="AT9" s="6"/>
      <c r="AU9" s="6"/>
      <c r="BI9" s="88" t="s">
        <v>139</v>
      </c>
      <c r="BJ9" s="89">
        <v>100</v>
      </c>
    </row>
    <row r="10" spans="1:66" x14ac:dyDescent="0.25">
      <c r="A10" s="17" t="s">
        <v>389</v>
      </c>
      <c r="B10" s="17"/>
      <c r="C10" s="17">
        <v>-313.61187275999998</v>
      </c>
      <c r="D10" s="14"/>
      <c r="E10" s="14">
        <v>-313.65340435500002</v>
      </c>
      <c r="F10" s="14"/>
      <c r="G10" s="17">
        <v>-313.657854117</v>
      </c>
      <c r="H10" s="17"/>
      <c r="I10" s="17"/>
      <c r="J10" s="17">
        <v>-62.52</v>
      </c>
      <c r="K10" s="14">
        <v>-61.77</v>
      </c>
      <c r="L10" s="17"/>
      <c r="M10" s="17"/>
      <c r="N10" s="17">
        <v>2.8972999999999999E-2</v>
      </c>
      <c r="O10" s="17">
        <v>3.4321999999999998E-2</v>
      </c>
      <c r="P10" s="17">
        <v>2.6440000000000001E-3</v>
      </c>
      <c r="Q10" s="16">
        <f t="shared" ref="Q10:Q19" si="12">O10-P10</f>
        <v>3.1677999999999998E-2</v>
      </c>
      <c r="R10" s="82">
        <f t="shared" ref="R10:R32" si="13">((B10+N10)*$BJ$3*$BJ$4*10^-3)/$BJ$5</f>
        <v>18.180826435662141</v>
      </c>
      <c r="S10" s="82">
        <f t="shared" ref="S10:S32" si="14">((C10+N10)*$BJ$3*$BJ$4*10^-3)/$BJ$5</f>
        <v>-196776.18036545053</v>
      </c>
      <c r="T10" s="82">
        <f t="shared" ref="T10:T38" si="15">((G10+N10)*$BJ$3*$BJ$4*10^-3)/$BJ$5</f>
        <v>-196805.03409378015</v>
      </c>
      <c r="U10" s="82">
        <f t="shared" ref="U10:U38" si="16">((G10+N10)*$BJ$3*$BJ$4*10^-3)/$BJ$5</f>
        <v>-196805.03409378015</v>
      </c>
      <c r="V10" s="82">
        <f t="shared" ref="V10:V38" si="17">((G10+P10)*$BJ$3*$BJ$4*10^-3)/$BJ$5</f>
        <v>-196821.55578567344</v>
      </c>
      <c r="W10" s="82">
        <f t="shared" ref="W10:W38" si="18">((G10+P10)*$BJ$3*$BJ$4*10^-3)/$BJ$5+I10</f>
        <v>-196821.55578567344</v>
      </c>
      <c r="X10" s="82">
        <f t="shared" ref="X10:X38" si="19">((G10+P10)*$BJ$3*$BJ$4*10^-3)/$BJ$5+J10</f>
        <v>-196884.07578567343</v>
      </c>
      <c r="Y10" s="82">
        <f t="shared" ref="Y10:Y38" si="20">((G10+P10)*$BJ$3*$BJ$4*10^-3)/$BJ$5+K10</f>
        <v>-196883.32578567343</v>
      </c>
      <c r="Z10" s="82">
        <f t="shared" ref="Z10:Z19" si="21">((E10+P10)*$BJ$3*$BJ$4*10^-3)/$BJ$5+K10</f>
        <v>-196880.53351871448</v>
      </c>
      <c r="AA10" s="82">
        <f t="shared" ref="AA10:AA19" si="22">((C10+P10)*$BJ$3*$BJ$4*10^-3)/$BJ$5+K10</f>
        <v>-196854.47205734384</v>
      </c>
      <c r="AB10" s="82">
        <f t="shared" ref="AB10:AB38" si="23">((G10+P10)*$BJ$3*$BJ$4*10^-3)/$BJ$5+L10</f>
        <v>-196821.55578567344</v>
      </c>
      <c r="AF10" s="144" t="s">
        <v>297</v>
      </c>
      <c r="AG10" s="144" t="s">
        <v>288</v>
      </c>
      <c r="AH10" s="145">
        <f>S76-(S66+S68)-2.3</f>
        <v>0.59043764863163251</v>
      </c>
      <c r="AI10" s="145">
        <f>-312665.13-S76-0.7</f>
        <v>34.395164163503793</v>
      </c>
      <c r="AJ10" s="145">
        <f t="shared" si="11"/>
        <v>34.985601812135428</v>
      </c>
      <c r="AK10" s="144"/>
      <c r="AL10" s="145">
        <f t="shared" si="10"/>
        <v>5.2856018121354289</v>
      </c>
      <c r="AN10" s="6"/>
      <c r="AO10" s="6"/>
      <c r="AP10" s="6"/>
      <c r="AQ10" s="6"/>
      <c r="AR10" s="6"/>
      <c r="AS10" s="6"/>
      <c r="AT10" s="6"/>
      <c r="AU10" s="6"/>
      <c r="AZ10" s="142">
        <f>BA4-BA5</f>
        <v>23.118848184065428</v>
      </c>
      <c r="BI10" s="88" t="s">
        <v>140</v>
      </c>
      <c r="BJ10" s="107">
        <v>700</v>
      </c>
    </row>
    <row r="11" spans="1:66" x14ac:dyDescent="0.25">
      <c r="A11" s="17" t="s">
        <v>390</v>
      </c>
      <c r="B11" s="17"/>
      <c r="C11" s="17">
        <v>-313.55656729499998</v>
      </c>
      <c r="D11" s="14"/>
      <c r="E11" s="14">
        <v>-313.59854094999997</v>
      </c>
      <c r="F11" s="14"/>
      <c r="G11" s="17">
        <v>-313.60320017700002</v>
      </c>
      <c r="H11" s="17"/>
      <c r="I11" s="17"/>
      <c r="J11" s="17">
        <v>-68.73</v>
      </c>
      <c r="K11" s="14">
        <v>-67.2</v>
      </c>
      <c r="L11" s="17"/>
      <c r="M11" s="17"/>
      <c r="N11" s="17">
        <v>2.8555000000000001E-2</v>
      </c>
      <c r="O11" s="17">
        <v>3.4098999999999997E-2</v>
      </c>
      <c r="P11" s="17">
        <v>1.817E-3</v>
      </c>
      <c r="Q11" s="16">
        <f t="shared" si="12"/>
        <v>3.2281999999999998E-2</v>
      </c>
      <c r="R11" s="82">
        <f t="shared" si="13"/>
        <v>17.918527555666738</v>
      </c>
      <c r="S11" s="82">
        <f t="shared" si="14"/>
        <v>-196741.7379716819</v>
      </c>
      <c r="T11" s="82">
        <f t="shared" si="15"/>
        <v>-196771.00053799668</v>
      </c>
      <c r="U11" s="82">
        <f t="shared" si="16"/>
        <v>-196771.00053799668</v>
      </c>
      <c r="V11" s="82">
        <f t="shared" si="17"/>
        <v>-196787.77888118639</v>
      </c>
      <c r="W11" s="82">
        <f t="shared" si="18"/>
        <v>-196787.77888118639</v>
      </c>
      <c r="X11" s="82">
        <f t="shared" si="19"/>
        <v>-196856.5088811864</v>
      </c>
      <c r="Y11" s="82">
        <f t="shared" si="20"/>
        <v>-196854.9788811864</v>
      </c>
      <c r="Z11" s="82">
        <f t="shared" si="21"/>
        <v>-196852.05517299561</v>
      </c>
      <c r="AA11" s="82">
        <f t="shared" si="22"/>
        <v>-196825.71631487165</v>
      </c>
      <c r="AB11" s="82">
        <f t="shared" si="23"/>
        <v>-196787.77888118639</v>
      </c>
      <c r="AF11" s="144" t="s">
        <v>298</v>
      </c>
      <c r="AG11" s="144" t="s">
        <v>290</v>
      </c>
      <c r="AH11" s="145">
        <f>U76-(U66+U68)-2.3</f>
        <v>8.9304376485990353</v>
      </c>
      <c r="AI11" s="145">
        <f>U74-U76-0.7</f>
        <v>37.881826031964735</v>
      </c>
      <c r="AJ11" s="145">
        <f t="shared" si="11"/>
        <v>46.812263680563774</v>
      </c>
      <c r="AK11" s="144"/>
      <c r="AL11" s="145">
        <f t="shared" si="10"/>
        <v>17.112263680563775</v>
      </c>
      <c r="AN11" s="6"/>
      <c r="AO11" s="6"/>
      <c r="AP11" s="6"/>
      <c r="AQ11" s="6"/>
      <c r="AR11" s="6"/>
      <c r="AS11" s="6"/>
      <c r="AT11" s="6"/>
      <c r="AU11" s="6"/>
      <c r="BI11" s="88" t="s">
        <v>152</v>
      </c>
      <c r="BJ11" s="108">
        <f>6.62606896E-34/(2*BJ14)</f>
        <v>1.0545716294567979E-34</v>
      </c>
      <c r="BN11" s="2">
        <f>BJ10*BJ13/BJ12</f>
        <v>14585649739449.74</v>
      </c>
    </row>
    <row r="12" spans="1:66" x14ac:dyDescent="0.25">
      <c r="A12" s="17" t="s">
        <v>353</v>
      </c>
      <c r="B12" s="17">
        <v>-304.28985757999999</v>
      </c>
      <c r="C12" s="17">
        <v>-304.31996411799997</v>
      </c>
      <c r="D12" s="14"/>
      <c r="E12" s="14">
        <v>-304.394552535</v>
      </c>
      <c r="F12" s="14"/>
      <c r="G12" s="17">
        <v>-304.40421965799999</v>
      </c>
      <c r="H12" s="17"/>
      <c r="I12" s="17"/>
      <c r="J12" s="17">
        <v>-15.46</v>
      </c>
      <c r="K12" s="14">
        <v>-14.27</v>
      </c>
      <c r="L12" s="17"/>
      <c r="M12" s="17"/>
      <c r="N12" s="17">
        <v>7.8830999999999998E-2</v>
      </c>
      <c r="O12" s="17">
        <v>8.7912000000000004E-2</v>
      </c>
      <c r="P12" s="17">
        <v>4.7461999999999997E-2</v>
      </c>
      <c r="Q12" s="16">
        <f t="shared" si="12"/>
        <v>4.0450000000000007E-2</v>
      </c>
      <c r="R12" s="82">
        <f t="shared" si="13"/>
        <v>-190895.2429525966</v>
      </c>
      <c r="S12" s="82">
        <f t="shared" si="14"/>
        <v>-190914.13508464908</v>
      </c>
      <c r="T12" s="82">
        <f t="shared" si="15"/>
        <v>-190967.00621808312</v>
      </c>
      <c r="U12" s="82">
        <f t="shared" si="16"/>
        <v>-190967.00621808312</v>
      </c>
      <c r="V12" s="82">
        <f t="shared" si="17"/>
        <v>-190986.69055675907</v>
      </c>
      <c r="W12" s="82">
        <f t="shared" si="18"/>
        <v>-190986.69055675907</v>
      </c>
      <c r="X12" s="82">
        <f t="shared" si="19"/>
        <v>-191002.15055675906</v>
      </c>
      <c r="Y12" s="82">
        <f t="shared" si="20"/>
        <v>-191000.96055675906</v>
      </c>
      <c r="Z12" s="82">
        <f t="shared" si="21"/>
        <v>-190994.89434734362</v>
      </c>
      <c r="AA12" s="82">
        <f t="shared" si="22"/>
        <v>-190948.08942332512</v>
      </c>
      <c r="AB12" s="82">
        <f t="shared" si="23"/>
        <v>-190986.69055675907</v>
      </c>
      <c r="AF12" s="158" t="s">
        <v>297</v>
      </c>
      <c r="AG12" s="158" t="s">
        <v>289</v>
      </c>
      <c r="AH12" s="159">
        <f>T76-(T66+T68)-2.3</f>
        <v>13.230437648587394</v>
      </c>
      <c r="AI12" s="159">
        <f>-312677.43-U76-0.7</f>
        <v>30.125164163543378</v>
      </c>
      <c r="AJ12" s="159">
        <f t="shared" si="11"/>
        <v>43.355601812130772</v>
      </c>
      <c r="AK12" s="144"/>
      <c r="AL12" s="145">
        <f t="shared" si="10"/>
        <v>13.655601812130772</v>
      </c>
      <c r="AN12" s="6"/>
      <c r="AO12" s="6"/>
      <c r="AP12" s="6"/>
      <c r="AQ12" s="6"/>
      <c r="AR12" s="6"/>
      <c r="AS12" s="6"/>
      <c r="AT12" s="6"/>
      <c r="AU12" s="6"/>
      <c r="BA12" s="6">
        <f>-414300.37-X39</f>
        <v>29.974539370392449</v>
      </c>
      <c r="BI12" s="88" t="s">
        <v>141</v>
      </c>
      <c r="BJ12" s="109">
        <v>6.6260689599999996E-34</v>
      </c>
    </row>
    <row r="13" spans="1:66" x14ac:dyDescent="0.25">
      <c r="A13" s="17" t="s">
        <v>354</v>
      </c>
      <c r="B13" s="17">
        <v>-304.23209408999998</v>
      </c>
      <c r="C13" s="17">
        <v>-304.26507660599998</v>
      </c>
      <c r="D13" s="14"/>
      <c r="E13" s="14">
        <v>-304.33947788799998</v>
      </c>
      <c r="F13" s="14"/>
      <c r="G13" s="17">
        <v>-304.34760781300002</v>
      </c>
      <c r="H13" s="17"/>
      <c r="I13" s="17"/>
      <c r="J13" s="17">
        <v>-23.32</v>
      </c>
      <c r="K13" s="14">
        <v>-21.54</v>
      </c>
      <c r="L13" s="17"/>
      <c r="M13" s="17">
        <v>953.33</v>
      </c>
      <c r="N13" s="17">
        <v>7.2533E-2</v>
      </c>
      <c r="O13" s="17">
        <v>7.9238000000000003E-2</v>
      </c>
      <c r="P13" s="17">
        <v>4.3482E-2</v>
      </c>
      <c r="Q13" s="16">
        <f t="shared" si="12"/>
        <v>3.5756000000000003E-2</v>
      </c>
      <c r="R13" s="82">
        <f t="shared" si="13"/>
        <v>-190862.94787990418</v>
      </c>
      <c r="S13" s="82">
        <f t="shared" si="14"/>
        <v>-190883.64471484729</v>
      </c>
      <c r="T13" s="82">
        <f t="shared" si="15"/>
        <v>-190935.43381331812</v>
      </c>
      <c r="U13" s="82">
        <f t="shared" si="16"/>
        <v>-190935.43381331812</v>
      </c>
      <c r="V13" s="82">
        <f t="shared" si="17"/>
        <v>-190953.6635854778</v>
      </c>
      <c r="W13" s="82">
        <f t="shared" si="18"/>
        <v>-190953.6635854778</v>
      </c>
      <c r="X13" s="82">
        <f t="shared" si="19"/>
        <v>-190976.98358547781</v>
      </c>
      <c r="Y13" s="82">
        <f t="shared" si="20"/>
        <v>-190975.20358547781</v>
      </c>
      <c r="Z13" s="82">
        <f t="shared" si="21"/>
        <v>-190970.10198207598</v>
      </c>
      <c r="AA13" s="82">
        <f t="shared" si="22"/>
        <v>-190923.41448700704</v>
      </c>
      <c r="AB13" s="82">
        <f t="shared" si="23"/>
        <v>-190953.6635854778</v>
      </c>
      <c r="AF13" s="144" t="s">
        <v>297</v>
      </c>
      <c r="AG13" s="144" t="s">
        <v>290</v>
      </c>
      <c r="AH13" s="145">
        <f>U76-(U66+U68)-2.3</f>
        <v>8.9304376485990353</v>
      </c>
      <c r="AI13" s="145">
        <f>-312678.34-U76-0.7</f>
        <v>29.215164163510781</v>
      </c>
      <c r="AJ13" s="145">
        <f t="shared" si="11"/>
        <v>38.145601812109817</v>
      </c>
      <c r="AK13" s="144"/>
      <c r="AL13" s="145">
        <f t="shared" si="10"/>
        <v>8.4456018121098175</v>
      </c>
      <c r="AN13" s="6"/>
      <c r="AO13" s="6"/>
      <c r="AP13" s="6"/>
      <c r="AQ13" s="6"/>
      <c r="AR13" s="6"/>
      <c r="AS13" s="6"/>
      <c r="AT13" s="6"/>
      <c r="AU13" s="6"/>
      <c r="AZ13" s="128"/>
      <c r="BE13">
        <f>1.89+0.4</f>
        <v>2.29</v>
      </c>
      <c r="BI13" s="88" t="s">
        <v>142</v>
      </c>
      <c r="BJ13" s="110">
        <v>1.3806503000000001E-23</v>
      </c>
    </row>
    <row r="14" spans="1:66" x14ac:dyDescent="0.25">
      <c r="A14" s="17" t="s">
        <v>355</v>
      </c>
      <c r="B14" s="17">
        <v>-304.23834049999999</v>
      </c>
      <c r="C14" s="17">
        <v>-304.2677458</v>
      </c>
      <c r="D14" s="14"/>
      <c r="E14" s="14">
        <v>-304.342777646</v>
      </c>
      <c r="F14" s="14"/>
      <c r="G14" s="17">
        <v>-304.35177378200001</v>
      </c>
      <c r="H14" s="17"/>
      <c r="I14" s="17"/>
      <c r="J14" s="17">
        <v>-23.99</v>
      </c>
      <c r="K14" s="14">
        <v>-22.01</v>
      </c>
      <c r="L14" s="17"/>
      <c r="M14" s="17"/>
      <c r="N14" s="17">
        <v>7.8827999999999995E-2</v>
      </c>
      <c r="O14" s="17">
        <v>8.6980000000000002E-2</v>
      </c>
      <c r="P14" s="17">
        <v>4.8176999999999998E-2</v>
      </c>
      <c r="Q14" s="16">
        <f t="shared" si="12"/>
        <v>3.8803000000000004E-2</v>
      </c>
      <c r="R14" s="82">
        <f t="shared" si="13"/>
        <v>-190862.91738922818</v>
      </c>
      <c r="S14" s="82">
        <f t="shared" si="14"/>
        <v>-190881.3694879266</v>
      </c>
      <c r="T14" s="82">
        <f t="shared" si="15"/>
        <v>-190934.09782660333</v>
      </c>
      <c r="U14" s="82">
        <f t="shared" si="16"/>
        <v>-190934.09782660333</v>
      </c>
      <c r="V14" s="82">
        <f t="shared" si="17"/>
        <v>-190953.33161361469</v>
      </c>
      <c r="W14" s="82">
        <f t="shared" si="18"/>
        <v>-190953.33161361469</v>
      </c>
      <c r="X14" s="82">
        <f t="shared" si="19"/>
        <v>-190977.32161361468</v>
      </c>
      <c r="Y14" s="82">
        <f t="shared" si="20"/>
        <v>-190975.3416136147</v>
      </c>
      <c r="Z14" s="82">
        <f t="shared" si="21"/>
        <v>-190969.69645476996</v>
      </c>
      <c r="AA14" s="82">
        <f t="shared" si="22"/>
        <v>-190922.61327493793</v>
      </c>
      <c r="AB14" s="82">
        <f t="shared" si="23"/>
        <v>-190953.33161361469</v>
      </c>
      <c r="AF14" s="160" t="s">
        <v>297</v>
      </c>
      <c r="AG14" s="160" t="s">
        <v>304</v>
      </c>
      <c r="AH14" s="161">
        <f>V76-(V66+V68)-2.3</f>
        <v>8.6404376486199901</v>
      </c>
      <c r="AI14" s="161">
        <f>-312677.79-V76-0.7</f>
        <v>29.205164163501468</v>
      </c>
      <c r="AJ14" s="161">
        <f t="shared" si="11"/>
        <v>37.845601812121458</v>
      </c>
      <c r="AK14" s="165"/>
      <c r="AL14" s="166">
        <f t="shared" si="10"/>
        <v>8.1456018121214591</v>
      </c>
      <c r="AN14" s="6"/>
      <c r="AO14" s="6"/>
      <c r="AP14" s="6"/>
      <c r="AQ14" s="6"/>
      <c r="AR14" s="6"/>
      <c r="AS14" s="6"/>
      <c r="AT14" s="6"/>
      <c r="AU14" s="6"/>
      <c r="BA14" s="127">
        <f>BD4-(X3+X8)-2.89</f>
        <v>-192909.2899480362</v>
      </c>
      <c r="BI14" s="91" t="s">
        <v>143</v>
      </c>
      <c r="BJ14" s="110">
        <v>3.1415926500000002</v>
      </c>
      <c r="BM14" s="18"/>
    </row>
    <row r="15" spans="1:66" x14ac:dyDescent="0.25">
      <c r="A15" s="17" t="s">
        <v>358</v>
      </c>
      <c r="B15" s="17">
        <v>-457.10375650999998</v>
      </c>
      <c r="C15" s="17">
        <v>-457.15388792099998</v>
      </c>
      <c r="D15" s="14"/>
      <c r="E15" s="14">
        <v>-457.26536118899998</v>
      </c>
      <c r="F15" s="14"/>
      <c r="G15" s="17">
        <v>-457.27953860000002</v>
      </c>
      <c r="H15" s="17"/>
      <c r="I15" s="17"/>
      <c r="J15" s="17">
        <v>-19.12</v>
      </c>
      <c r="K15" s="14">
        <v>-17.5</v>
      </c>
      <c r="L15" s="17"/>
      <c r="M15" s="17"/>
      <c r="N15" s="17">
        <v>0.13046199999999999</v>
      </c>
      <c r="O15" s="17">
        <v>0.144709</v>
      </c>
      <c r="P15" s="17">
        <v>9.0952000000000005E-2</v>
      </c>
      <c r="Q15" s="16">
        <f t="shared" si="12"/>
        <v>5.3756999999999999E-2</v>
      </c>
      <c r="R15" s="82">
        <f t="shared" si="13"/>
        <v>-286754.98406167905</v>
      </c>
      <c r="S15" s="82">
        <f t="shared" si="14"/>
        <v>-286786.4419874156</v>
      </c>
      <c r="T15" s="82">
        <f t="shared" si="15"/>
        <v>-286865.28895481367</v>
      </c>
      <c r="U15" s="82">
        <f t="shared" si="16"/>
        <v>-286865.28895481367</v>
      </c>
      <c r="V15" s="82">
        <f t="shared" si="17"/>
        <v>-286890.08184655674</v>
      </c>
      <c r="W15" s="82">
        <f t="shared" si="18"/>
        <v>-286890.08184655674</v>
      </c>
      <c r="X15" s="82">
        <f t="shared" si="19"/>
        <v>-286909.20184655674</v>
      </c>
      <c r="Y15" s="82">
        <f t="shared" si="20"/>
        <v>-286907.58184655674</v>
      </c>
      <c r="Z15" s="82">
        <f t="shared" si="21"/>
        <v>-286898.68538955547</v>
      </c>
      <c r="AA15" s="82">
        <f t="shared" si="22"/>
        <v>-286828.73487915873</v>
      </c>
      <c r="AB15" s="82">
        <f t="shared" si="23"/>
        <v>-286890.08184655674</v>
      </c>
      <c r="AF15" s="144" t="s">
        <v>278</v>
      </c>
      <c r="AG15" s="144" t="s">
        <v>288</v>
      </c>
      <c r="AH15" s="145">
        <f>V27-(V3+V8)-2.3</f>
        <v>2.7524932703701781</v>
      </c>
      <c r="AI15" s="145">
        <f>V25-V27-0.6</f>
        <v>33.414478246273937</v>
      </c>
      <c r="AJ15" s="145">
        <f t="shared" si="11"/>
        <v>36.166971516644118</v>
      </c>
      <c r="AK15" s="144"/>
      <c r="AL15" s="145">
        <f t="shared" si="10"/>
        <v>6.4669715166441186</v>
      </c>
      <c r="AN15" s="6"/>
      <c r="AO15" s="6"/>
      <c r="AP15" s="6"/>
      <c r="AQ15" s="6"/>
      <c r="AR15" s="6"/>
      <c r="AS15" s="6"/>
      <c r="AT15" s="6"/>
      <c r="AU15" s="6"/>
      <c r="BC15" s="1"/>
      <c r="BI15" s="92" t="s">
        <v>144</v>
      </c>
      <c r="BJ15" s="111">
        <v>8.3144720000000003</v>
      </c>
    </row>
    <row r="16" spans="1:66" x14ac:dyDescent="0.25">
      <c r="A16" s="17" t="s">
        <v>385</v>
      </c>
      <c r="B16" s="17">
        <v>-533.50813094</v>
      </c>
      <c r="C16" s="17">
        <v>-533.56792271100005</v>
      </c>
      <c r="D16" s="14"/>
      <c r="E16" s="14">
        <v>-533.698060725</v>
      </c>
      <c r="F16" s="14"/>
      <c r="G16" s="17">
        <v>-533.71446119699999</v>
      </c>
      <c r="H16" s="17"/>
      <c r="I16" s="17"/>
      <c r="J16" s="17">
        <v>-20.47</v>
      </c>
      <c r="K16" s="14">
        <v>-18.37</v>
      </c>
      <c r="L16" s="17"/>
      <c r="M16" s="17"/>
      <c r="N16" s="17">
        <v>0.15590000000000001</v>
      </c>
      <c r="O16" s="17">
        <v>0.17299100000000001</v>
      </c>
      <c r="P16" s="17">
        <v>0.112566</v>
      </c>
      <c r="Q16" s="16">
        <f t="shared" si="12"/>
        <v>6.0425000000000006E-2</v>
      </c>
      <c r="R16" s="82">
        <f t="shared" si="13"/>
        <v>-334683.47564260964</v>
      </c>
      <c r="S16" s="82">
        <f t="shared" si="14"/>
        <v>-334720.99553391658</v>
      </c>
      <c r="T16" s="82">
        <f t="shared" si="15"/>
        <v>-334812.94979409355</v>
      </c>
      <c r="U16" s="82">
        <f t="shared" si="16"/>
        <v>-334812.94979409355</v>
      </c>
      <c r="V16" s="82">
        <f t="shared" si="17"/>
        <v>-334840.14228133217</v>
      </c>
      <c r="W16" s="82">
        <f t="shared" si="18"/>
        <v>-334840.14228133217</v>
      </c>
      <c r="X16" s="82">
        <f t="shared" si="19"/>
        <v>-334860.61228133214</v>
      </c>
      <c r="Y16" s="82">
        <f t="shared" si="20"/>
        <v>-334858.51228133217</v>
      </c>
      <c r="Z16" s="82">
        <f t="shared" si="21"/>
        <v>-334848.22083291819</v>
      </c>
      <c r="AA16" s="82">
        <f t="shared" si="22"/>
        <v>-334766.55802115507</v>
      </c>
      <c r="AB16" s="82">
        <f t="shared" si="23"/>
        <v>-334840.14228133217</v>
      </c>
      <c r="AF16" s="162" t="s">
        <v>259</v>
      </c>
      <c r="AG16" s="162" t="s">
        <v>288</v>
      </c>
      <c r="AH16" s="148">
        <f>V27-(V3+V8)-2.3</f>
        <v>2.7524932703701781</v>
      </c>
      <c r="AI16" s="148">
        <f>-312493.14-V27-0.6</f>
        <v>25.818313463451339</v>
      </c>
      <c r="AJ16" s="148">
        <f t="shared" si="11"/>
        <v>28.570806733821517</v>
      </c>
      <c r="AK16" s="162"/>
      <c r="AL16" s="148">
        <f t="shared" si="10"/>
        <v>1.1291932661784827</v>
      </c>
      <c r="AN16" s="6"/>
      <c r="AO16" s="6"/>
      <c r="AP16" s="6"/>
      <c r="AQ16" s="6"/>
      <c r="AR16" s="6"/>
      <c r="AS16" s="6"/>
      <c r="AT16" s="6"/>
      <c r="AU16" s="6"/>
      <c r="BI16" s="88" t="s">
        <v>145</v>
      </c>
      <c r="BJ16" s="110">
        <v>6.0221399999999997E+23</v>
      </c>
    </row>
    <row r="17" spans="1:62" ht="15.75" thickBot="1" x14ac:dyDescent="0.3">
      <c r="A17" s="17" t="s">
        <v>359</v>
      </c>
      <c r="B17" s="17">
        <v>-457.05612854999998</v>
      </c>
      <c r="C17" s="17">
        <v>-457.10979098400003</v>
      </c>
      <c r="D17" s="14"/>
      <c r="E17" s="14">
        <v>-457.22086782299999</v>
      </c>
      <c r="F17" s="14"/>
      <c r="G17" s="17">
        <v>-457.23319800000002</v>
      </c>
      <c r="H17" s="17"/>
      <c r="I17" s="17"/>
      <c r="J17" s="17">
        <v>-22.47</v>
      </c>
      <c r="K17" s="14">
        <v>-20.78</v>
      </c>
      <c r="L17" s="17"/>
      <c r="M17" s="17">
        <v>1119.76</v>
      </c>
      <c r="N17" s="17">
        <v>0.123908</v>
      </c>
      <c r="O17" s="17">
        <v>0.135634</v>
      </c>
      <c r="P17" s="17">
        <v>8.7053000000000005E-2</v>
      </c>
      <c r="Q17" s="16">
        <f t="shared" si="12"/>
        <v>4.8580999999999999E-2</v>
      </c>
      <c r="R17" s="82">
        <f t="shared" si="13"/>
        <v>-286729.20977051888</v>
      </c>
      <c r="S17" s="82">
        <f t="shared" si="14"/>
        <v>-286762.8834459639</v>
      </c>
      <c r="T17" s="82">
        <f t="shared" si="15"/>
        <v>-286840.32249400311</v>
      </c>
      <c r="U17" s="82">
        <f t="shared" si="16"/>
        <v>-286840.32249400311</v>
      </c>
      <c r="V17" s="82">
        <f t="shared" si="17"/>
        <v>-286863.44934860169</v>
      </c>
      <c r="W17" s="82">
        <f t="shared" si="18"/>
        <v>-286863.44934860169</v>
      </c>
      <c r="X17" s="82">
        <f t="shared" si="19"/>
        <v>-286885.91934860166</v>
      </c>
      <c r="Y17" s="82">
        <f t="shared" si="20"/>
        <v>-286884.22934860172</v>
      </c>
      <c r="Z17" s="82">
        <f t="shared" si="21"/>
        <v>-286876.49204808206</v>
      </c>
      <c r="AA17" s="82">
        <f t="shared" si="22"/>
        <v>-286806.79030056257</v>
      </c>
      <c r="AB17" s="82">
        <f t="shared" si="23"/>
        <v>-286863.44934860169</v>
      </c>
      <c r="AF17" s="144" t="s">
        <v>278</v>
      </c>
      <c r="AG17" s="144" t="s">
        <v>290</v>
      </c>
      <c r="AH17" s="145">
        <f>X27-(X3+X8)-2.3</f>
        <v>9.3324932703864754</v>
      </c>
      <c r="AI17" s="145">
        <f>X25-X27-0.6</f>
        <v>27.304478246229699</v>
      </c>
      <c r="AJ17" s="145">
        <f t="shared" si="11"/>
        <v>36.636971516616171</v>
      </c>
      <c r="AK17" s="144"/>
      <c r="AL17" s="145">
        <f t="shared" si="10"/>
        <v>6.9369715166161718</v>
      </c>
      <c r="AN17" s="6"/>
      <c r="AO17" s="6"/>
      <c r="AP17" s="6"/>
      <c r="AQ17" s="6"/>
      <c r="AU17" s="6"/>
      <c r="BA17" t="s">
        <v>246</v>
      </c>
      <c r="BB17" t="s">
        <v>168</v>
      </c>
      <c r="BC17" t="s">
        <v>96</v>
      </c>
      <c r="BI17" s="90" t="s">
        <v>153</v>
      </c>
      <c r="BJ17" s="112">
        <v>29979245800</v>
      </c>
    </row>
    <row r="18" spans="1:62" x14ac:dyDescent="0.25">
      <c r="A18" s="17" t="s">
        <v>360</v>
      </c>
      <c r="B18" s="17">
        <v>-457.06760642</v>
      </c>
      <c r="C18" s="17">
        <v>-457.11700935699997</v>
      </c>
      <c r="D18" s="14"/>
      <c r="E18" s="14">
        <v>-457.22893715700002</v>
      </c>
      <c r="F18" s="14"/>
      <c r="G18" s="17">
        <v>-457.242186301</v>
      </c>
      <c r="H18" s="17"/>
      <c r="I18" s="17"/>
      <c r="J18" s="17">
        <v>-22.43</v>
      </c>
      <c r="K18" s="14">
        <v>-20.52</v>
      </c>
      <c r="L18" s="17"/>
      <c r="M18" s="17"/>
      <c r="N18" s="17">
        <v>0.130855</v>
      </c>
      <c r="O18" s="17">
        <v>0.14394100000000001</v>
      </c>
      <c r="P18" s="17">
        <v>9.1984999999999997E-2</v>
      </c>
      <c r="Q18" s="16">
        <f t="shared" si="12"/>
        <v>5.1956000000000016E-2</v>
      </c>
      <c r="R18" s="82">
        <f t="shared" si="13"/>
        <v>-286732.05293350067</v>
      </c>
      <c r="S18" s="82">
        <f t="shared" si="14"/>
        <v>-286763.0537350403</v>
      </c>
      <c r="T18" s="82">
        <f t="shared" si="15"/>
        <v>-286841.60342932853</v>
      </c>
      <c r="U18" s="82">
        <f t="shared" si="16"/>
        <v>-286841.60342932853</v>
      </c>
      <c r="V18" s="82">
        <f t="shared" si="17"/>
        <v>-286865.99471513095</v>
      </c>
      <c r="W18" s="82">
        <f t="shared" si="18"/>
        <v>-286865.99471513095</v>
      </c>
      <c r="X18" s="82">
        <f t="shared" si="19"/>
        <v>-286888.42471513094</v>
      </c>
      <c r="Y18" s="82">
        <f t="shared" si="20"/>
        <v>-286886.51471513096</v>
      </c>
      <c r="Z18" s="82">
        <f t="shared" si="21"/>
        <v>-286878.20075428864</v>
      </c>
      <c r="AA18" s="82">
        <f t="shared" si="22"/>
        <v>-286807.96502084273</v>
      </c>
      <c r="AB18" s="82">
        <f t="shared" si="23"/>
        <v>-286865.99471513095</v>
      </c>
      <c r="AF18" s="146" t="s">
        <v>259</v>
      </c>
      <c r="AG18" s="146" t="s">
        <v>290</v>
      </c>
      <c r="AH18" s="147">
        <f>X27-(X3+X8)-2.3</f>
        <v>9.3324932703864754</v>
      </c>
      <c r="AI18" s="147">
        <f>-312507.3-X27-0.6</f>
        <v>20.128313463449011</v>
      </c>
      <c r="AJ18" s="147">
        <f t="shared" si="11"/>
        <v>29.460806733835486</v>
      </c>
      <c r="AK18" s="146"/>
      <c r="AL18" s="147">
        <f t="shared" si="10"/>
        <v>0.23919326616451286</v>
      </c>
      <c r="AM18" s="146"/>
      <c r="AN18" s="147">
        <f>X30-(X3+X7)-1.9</f>
        <v>9.5194904175819826</v>
      </c>
      <c r="AO18" s="147">
        <f>-312210.94-X30-0.2</f>
        <v>21.320733252807987</v>
      </c>
      <c r="AP18" s="147">
        <f>AN18+AO18</f>
        <v>30.840223670389967</v>
      </c>
      <c r="AQ18" s="147"/>
      <c r="AR18" s="147">
        <f>X21-(X3+X20)-1.9</f>
        <v>-0.49738848812412462</v>
      </c>
      <c r="AS18" s="147">
        <f>X22-X21-0.1</f>
        <v>28.359468196262604</v>
      </c>
      <c r="AT18" s="147">
        <f>AR18+AS18</f>
        <v>27.862079708138481</v>
      </c>
      <c r="AU18" s="147"/>
      <c r="AZ18" t="s">
        <v>243</v>
      </c>
      <c r="BA18" s="6">
        <f>X27-(X3+X8)-1.89+0.4</f>
        <v>10.142493270386476</v>
      </c>
      <c r="BB18" s="6">
        <f>-312507.3-X27</f>
        <v>20.728313463449012</v>
      </c>
      <c r="BC18" s="6">
        <f>BB18+BA18-0.6</f>
        <v>30.270806733835485</v>
      </c>
      <c r="BI18" s="87" t="s">
        <v>154</v>
      </c>
      <c r="BJ18" s="93">
        <f>((2*BJ14)/(BJ12*BJ8*BJ17))</f>
        <v>1.5581425072054174E+20</v>
      </c>
    </row>
    <row r="19" spans="1:62" ht="15.75" thickBot="1" x14ac:dyDescent="0.3">
      <c r="A19" s="17" t="s">
        <v>386</v>
      </c>
      <c r="B19" s="17">
        <v>-533.47366899999997</v>
      </c>
      <c r="C19" s="17">
        <v>-533.53327192899997</v>
      </c>
      <c r="D19" s="14"/>
      <c r="E19" s="14">
        <v>-533.66372247100003</v>
      </c>
      <c r="F19" s="14"/>
      <c r="G19" s="17">
        <v>-533.67931252799997</v>
      </c>
      <c r="H19" s="17"/>
      <c r="I19" s="17"/>
      <c r="J19" s="17">
        <v>-22.86</v>
      </c>
      <c r="K19" s="14">
        <v>-20.83</v>
      </c>
      <c r="L19" s="17"/>
      <c r="M19" s="17"/>
      <c r="N19" s="17">
        <v>0.155833</v>
      </c>
      <c r="O19" s="17">
        <v>0.17193800000000001</v>
      </c>
      <c r="P19" s="17">
        <v>0.113207</v>
      </c>
      <c r="Q19" s="16">
        <f t="shared" si="12"/>
        <v>5.8731000000000005E-2</v>
      </c>
      <c r="R19" s="82">
        <f t="shared" si="13"/>
        <v>-334661.89249849599</v>
      </c>
      <c r="S19" s="82">
        <f t="shared" si="14"/>
        <v>-334699.29388969491</v>
      </c>
      <c r="T19" s="82">
        <f t="shared" si="15"/>
        <v>-334790.93572115793</v>
      </c>
      <c r="U19" s="82">
        <f t="shared" si="16"/>
        <v>-334790.93572115793</v>
      </c>
      <c r="V19" s="82">
        <f t="shared" si="17"/>
        <v>-334817.68393182469</v>
      </c>
      <c r="W19" s="82">
        <f t="shared" si="18"/>
        <v>-334817.68393182469</v>
      </c>
      <c r="X19" s="82">
        <f t="shared" si="19"/>
        <v>-334840.54393182468</v>
      </c>
      <c r="Y19" s="82">
        <f t="shared" si="20"/>
        <v>-334838.51393182471</v>
      </c>
      <c r="Z19" s="82">
        <f t="shared" si="21"/>
        <v>-334828.73102634586</v>
      </c>
      <c r="AA19" s="82">
        <f t="shared" si="22"/>
        <v>-334746.87210036156</v>
      </c>
      <c r="AB19" s="82">
        <f t="shared" si="23"/>
        <v>-334817.68393182469</v>
      </c>
      <c r="AF19" s="158" t="s">
        <v>259</v>
      </c>
      <c r="AG19" s="158" t="s">
        <v>289</v>
      </c>
      <c r="AH19" s="159">
        <f>W27-(W3+W8)-2.3</f>
        <v>11.222493270342238</v>
      </c>
      <c r="AI19" s="159">
        <f>-312506.46-W27-0.6</f>
        <v>23.108313463430385</v>
      </c>
      <c r="AJ19" s="159">
        <f t="shared" si="11"/>
        <v>34.330806733772619</v>
      </c>
      <c r="AK19" s="144"/>
      <c r="AL19" s="145">
        <f t="shared" si="10"/>
        <v>4.6308067337726193</v>
      </c>
      <c r="AN19" s="6"/>
      <c r="AO19" s="6"/>
      <c r="AP19" s="6"/>
      <c r="AQ19" s="6"/>
      <c r="AR19" s="6"/>
      <c r="AS19" s="6"/>
      <c r="AT19" s="6"/>
      <c r="AU19" s="6"/>
      <c r="AZ19" t="s">
        <v>244</v>
      </c>
      <c r="BA19" s="6">
        <f>X48-(X4+X8)-1.89+0.4</f>
        <v>9.0425075477012431</v>
      </c>
      <c r="BB19" s="6">
        <f>-312509.16-X48</f>
        <v>21.524560255347751</v>
      </c>
      <c r="BC19" s="6">
        <f>BB19+BA19-0.7</f>
        <v>29.867067803048993</v>
      </c>
      <c r="BI19" s="90" t="s">
        <v>155</v>
      </c>
      <c r="BJ19" s="94">
        <f>(1/(BJ13*BJ10))</f>
        <v>1.0347090994522137E+20</v>
      </c>
    </row>
    <row r="20" spans="1:62" x14ac:dyDescent="0.25">
      <c r="A20" s="17" t="s">
        <v>163</v>
      </c>
      <c r="B20" s="17">
        <v>-313.203128789</v>
      </c>
      <c r="C20" s="17">
        <v>-313.20815126100001</v>
      </c>
      <c r="D20" s="14"/>
      <c r="E20" s="14"/>
      <c r="F20" s="14"/>
      <c r="G20" s="17">
        <v>-313.25238997899999</v>
      </c>
      <c r="H20" s="17"/>
      <c r="I20" s="17">
        <v>-32.659999999999997</v>
      </c>
      <c r="J20" s="17">
        <v>-22.81</v>
      </c>
      <c r="K20" s="14"/>
      <c r="L20" s="17">
        <v>-43.76</v>
      </c>
      <c r="M20" s="17"/>
      <c r="N20" s="17">
        <v>1.5633000000000001E-2</v>
      </c>
      <c r="O20" s="17">
        <v>2.0764999999999999E-2</v>
      </c>
      <c r="P20" s="17">
        <v>-1.0347E-2</v>
      </c>
      <c r="Q20" s="16">
        <f t="shared" ref="Q20:Q26" si="24">O20-P20</f>
        <v>3.1112000000000001E-2</v>
      </c>
      <c r="R20" s="82">
        <f t="shared" si="13"/>
        <v>-196528.06070339543</v>
      </c>
      <c r="S20" s="82">
        <f t="shared" si="14"/>
        <v>-196531.21235119549</v>
      </c>
      <c r="T20" s="82">
        <f t="shared" si="15"/>
        <v>-196558.9725573769</v>
      </c>
      <c r="U20" s="82">
        <f t="shared" si="16"/>
        <v>-196558.9725573769</v>
      </c>
      <c r="V20" s="82">
        <f t="shared" si="17"/>
        <v>-196575.27524853064</v>
      </c>
      <c r="W20" s="82">
        <f t="shared" si="18"/>
        <v>-196607.93524853064</v>
      </c>
      <c r="X20" s="82">
        <f t="shared" si="19"/>
        <v>-196598.08524853064</v>
      </c>
      <c r="Y20" s="82">
        <f t="shared" si="20"/>
        <v>-196575.27524853064</v>
      </c>
      <c r="Z20" s="82"/>
      <c r="AA20" s="82"/>
      <c r="AB20" s="82">
        <f t="shared" si="23"/>
        <v>-196619.03524853065</v>
      </c>
      <c r="AF20" s="163" t="s">
        <v>259</v>
      </c>
      <c r="AG20" s="163" t="s">
        <v>291</v>
      </c>
      <c r="AH20" s="164">
        <f>AB27-(AB3+AB8)-2.3</f>
        <v>9.9324932703631923</v>
      </c>
      <c r="AI20" s="164">
        <f>-312506.87-AB27-0.6</f>
        <v>19.818313463451339</v>
      </c>
      <c r="AJ20" s="164">
        <f t="shared" si="11"/>
        <v>29.750806733814532</v>
      </c>
      <c r="AK20" s="157"/>
      <c r="AL20" s="157">
        <f t="shared" si="10"/>
        <v>5.0806733814532379E-2</v>
      </c>
      <c r="AM20" s="129"/>
      <c r="AN20" s="130"/>
      <c r="AO20" s="130"/>
      <c r="AP20" s="130"/>
      <c r="AQ20" s="130"/>
      <c r="AR20" s="130"/>
      <c r="AS20" s="130"/>
      <c r="AT20" s="130"/>
      <c r="AU20" s="130"/>
      <c r="AZ20" t="s">
        <v>245</v>
      </c>
      <c r="BA20" s="6">
        <f>X51-(X5+X8)-1.89+0.4</f>
        <v>10.539945185175165</v>
      </c>
      <c r="BB20" s="6">
        <f>-312507.36-X51</f>
        <v>21.56818207091419</v>
      </c>
      <c r="BC20" s="6">
        <f>BB20+BA20-0.8</f>
        <v>31.308127256089353</v>
      </c>
      <c r="BI20" s="22" t="s">
        <v>146</v>
      </c>
      <c r="BJ20" s="203">
        <f>((BJ19*BJ14)/BJ18)/SIN((BJ19*BJ14)/BJ18)-(BJ19/(BJ18-BJ19))*EXP((BJ19-BJ18)*((BJ9*1000/BJ16)))</f>
        <v>2.3974009573296793</v>
      </c>
    </row>
    <row r="21" spans="1:62" ht="15.75" thickBot="1" x14ac:dyDescent="0.3">
      <c r="A21" s="17" t="s">
        <v>164</v>
      </c>
      <c r="B21" s="17">
        <v>-659.77672956000004</v>
      </c>
      <c r="C21" s="17">
        <v>-659.79723243599994</v>
      </c>
      <c r="D21" s="14"/>
      <c r="E21" s="14"/>
      <c r="F21" s="14"/>
      <c r="G21" s="17">
        <v>-659.90536134599995</v>
      </c>
      <c r="H21" s="17"/>
      <c r="I21" s="17">
        <v>-20.27</v>
      </c>
      <c r="J21" s="17">
        <v>-15.18</v>
      </c>
      <c r="K21" s="14"/>
      <c r="L21" s="17">
        <v>-26.66</v>
      </c>
      <c r="M21" s="17"/>
      <c r="N21" s="17">
        <v>0.15182599999999999</v>
      </c>
      <c r="O21" s="17">
        <v>0.16505500000000001</v>
      </c>
      <c r="P21" s="17">
        <v>0.111605</v>
      </c>
      <c r="Q21" s="16">
        <f t="shared" si="24"/>
        <v>5.3450000000000011E-2</v>
      </c>
      <c r="R21" s="82">
        <f t="shared" si="13"/>
        <v>-413920.74981067673</v>
      </c>
      <c r="S21" s="82">
        <f t="shared" si="14"/>
        <v>-413933.61555568024</v>
      </c>
      <c r="T21" s="82">
        <f t="shared" si="15"/>
        <v>-414001.46745038871</v>
      </c>
      <c r="U21" s="82">
        <f t="shared" si="16"/>
        <v>-414001.46745038871</v>
      </c>
      <c r="V21" s="82">
        <f t="shared" si="17"/>
        <v>-414026.70650123147</v>
      </c>
      <c r="W21" s="82">
        <f t="shared" si="18"/>
        <v>-414046.97650123149</v>
      </c>
      <c r="X21" s="82">
        <f t="shared" si="19"/>
        <v>-414041.88650123146</v>
      </c>
      <c r="Y21" s="82">
        <f t="shared" si="20"/>
        <v>-414026.70650123147</v>
      </c>
      <c r="Z21" s="82"/>
      <c r="AA21" s="82"/>
      <c r="AB21" s="82">
        <f t="shared" si="23"/>
        <v>-414053.36650123144</v>
      </c>
      <c r="AF21" s="150" t="s">
        <v>259</v>
      </c>
      <c r="AG21" s="150" t="s">
        <v>311</v>
      </c>
      <c r="AH21" s="151">
        <f>X48-(X4+X8)-2.3</f>
        <v>8.2325075477012426</v>
      </c>
      <c r="AI21" s="151">
        <f>-312509.68-X48-0.7</f>
        <v>20.304560255329125</v>
      </c>
      <c r="AJ21" s="151">
        <f t="shared" si="11"/>
        <v>28.537067803030368</v>
      </c>
      <c r="AK21" s="147">
        <f>ABS($AI$18-AI21)</f>
        <v>0.17624679188011427</v>
      </c>
      <c r="AL21" s="148">
        <f t="shared" si="10"/>
        <v>1.1629321969696313</v>
      </c>
      <c r="AN21" s="6">
        <f>X54-(X4+X7)-1.9</f>
        <v>9.8240116329630833</v>
      </c>
      <c r="AO21" s="6">
        <f>-312213.33-X54-0.1</f>
        <v>20.282473106554242</v>
      </c>
      <c r="AP21" s="6">
        <f t="shared" ref="AP21:AP28" si="25">AN21+AO21</f>
        <v>30.106484739517327</v>
      </c>
      <c r="AQ21" s="6">
        <f>ABS($AO$18-AO21)</f>
        <v>1.0382601462537444</v>
      </c>
      <c r="AR21" s="6"/>
      <c r="AS21" s="6"/>
      <c r="AT21" s="6"/>
      <c r="AU21" s="6"/>
      <c r="BI21" s="72" t="s">
        <v>156</v>
      </c>
      <c r="BJ21" s="204">
        <f>(BJ15*BJ10*LN(BJ20)/1000)/BJ5</f>
        <v>1.2163087900565777</v>
      </c>
    </row>
    <row r="22" spans="1:62" x14ac:dyDescent="0.25">
      <c r="A22" s="17" t="s">
        <v>165</v>
      </c>
      <c r="B22" s="17">
        <v>-659.73065785999995</v>
      </c>
      <c r="C22" s="17">
        <v>-659.75134695999998</v>
      </c>
      <c r="D22" s="14"/>
      <c r="E22" s="14"/>
      <c r="F22" s="14"/>
      <c r="G22" s="17">
        <v>-659.85949968800003</v>
      </c>
      <c r="H22" s="17"/>
      <c r="I22" s="17">
        <v>-21.75</v>
      </c>
      <c r="J22" s="17">
        <v>-12.43</v>
      </c>
      <c r="K22" s="14"/>
      <c r="L22" s="17">
        <v>-25.08</v>
      </c>
      <c r="M22" s="17">
        <v>504.28</v>
      </c>
      <c r="N22" s="17">
        <v>0.146509</v>
      </c>
      <c r="O22" s="17">
        <v>0.159354</v>
      </c>
      <c r="P22" s="17">
        <v>0.106714</v>
      </c>
      <c r="Q22" s="16">
        <f t="shared" si="24"/>
        <v>5.2639999999999992E-2</v>
      </c>
      <c r="R22" s="82">
        <f t="shared" si="13"/>
        <v>-413895.17585812992</v>
      </c>
      <c r="S22" s="82">
        <f t="shared" si="14"/>
        <v>-413908.15846042207</v>
      </c>
      <c r="T22" s="82">
        <f t="shared" si="15"/>
        <v>-413976.02530114661</v>
      </c>
      <c r="U22" s="82">
        <f t="shared" si="16"/>
        <v>-413976.02530114661</v>
      </c>
      <c r="V22" s="82">
        <f t="shared" si="17"/>
        <v>-414000.99703303521</v>
      </c>
      <c r="W22" s="82">
        <f t="shared" si="18"/>
        <v>-414022.74703303521</v>
      </c>
      <c r="X22" s="82">
        <f t="shared" si="19"/>
        <v>-414013.4270330352</v>
      </c>
      <c r="Y22" s="82">
        <f t="shared" si="20"/>
        <v>-414000.99703303521</v>
      </c>
      <c r="Z22" s="82"/>
      <c r="AA22" s="82"/>
      <c r="AB22" s="82">
        <f t="shared" si="23"/>
        <v>-414026.07703303522</v>
      </c>
      <c r="AF22" s="146" t="s">
        <v>259</v>
      </c>
      <c r="AG22" s="147" t="s">
        <v>305</v>
      </c>
      <c r="AH22" s="147">
        <f>Y48-(Y4+Y8)-2.3</f>
        <v>7.5525075476500207</v>
      </c>
      <c r="AI22" s="147">
        <f>-312507.68-Y48-0.7</f>
        <v>21.324560255347752</v>
      </c>
      <c r="AJ22" s="153">
        <f t="shared" si="11"/>
        <v>28.877067802997772</v>
      </c>
      <c r="AK22" s="148">
        <f t="shared" ref="AK22:AK28" si="26">ABS($AI$18-AI22)</f>
        <v>1.1962467918987407</v>
      </c>
      <c r="AL22" s="147">
        <f t="shared" si="10"/>
        <v>0.82293219700222764</v>
      </c>
      <c r="AN22" s="6">
        <f>Y54-(Y4+Y7)-1.9</f>
        <v>14.404011633037589</v>
      </c>
      <c r="AO22" s="6">
        <f>-312214.28-Y54-0.1</f>
        <v>20.982473106507676</v>
      </c>
      <c r="AP22" s="6">
        <f t="shared" si="25"/>
        <v>35.386484739545267</v>
      </c>
      <c r="AQ22" s="6">
        <f t="shared" ref="AQ22:AQ28" si="27">ABS($AO$18-AO22)</f>
        <v>0.33826014630031054</v>
      </c>
      <c r="AR22" s="6"/>
      <c r="AS22" s="6"/>
      <c r="AT22" s="6"/>
      <c r="AU22" s="6"/>
      <c r="BI22" s="22" t="s">
        <v>147</v>
      </c>
      <c r="BJ22" s="203">
        <f>(BJ19/(BJ19-BJ18))*(EXP((BJ19-BJ18)*((BJ9)*1000/BJ16))-1)</f>
        <v>1.9764411290094355</v>
      </c>
    </row>
    <row r="23" spans="1:62" ht="15.75" thickBot="1" x14ac:dyDescent="0.3">
      <c r="A23" s="17" t="s">
        <v>166</v>
      </c>
      <c r="B23" s="17">
        <v>-774.24477835000005</v>
      </c>
      <c r="C23" s="17">
        <v>-774.26770668300003</v>
      </c>
      <c r="D23" s="14"/>
      <c r="E23" s="14"/>
      <c r="F23" s="14"/>
      <c r="G23" s="17">
        <v>-774.40352731600001</v>
      </c>
      <c r="H23" s="17"/>
      <c r="I23" s="17">
        <v>-21.67</v>
      </c>
      <c r="J23" s="17">
        <v>-16.38</v>
      </c>
      <c r="K23" s="14"/>
      <c r="L23" s="17">
        <v>-28.18</v>
      </c>
      <c r="M23" s="17"/>
      <c r="N23" s="17">
        <v>0.18504899999999999</v>
      </c>
      <c r="O23" s="17">
        <v>0.200798</v>
      </c>
      <c r="P23" s="17">
        <v>0.14147799999999999</v>
      </c>
      <c r="Q23" s="16">
        <f t="shared" si="24"/>
        <v>5.9320000000000012E-2</v>
      </c>
      <c r="R23" s="82">
        <f t="shared" si="13"/>
        <v>-485729.66521064297</v>
      </c>
      <c r="S23" s="82">
        <f t="shared" si="14"/>
        <v>-485744.05295242777</v>
      </c>
      <c r="T23" s="82">
        <f t="shared" si="15"/>
        <v>-485829.28166036122</v>
      </c>
      <c r="U23" s="82">
        <f t="shared" si="16"/>
        <v>-485829.28166036122</v>
      </c>
      <c r="V23" s="82">
        <f t="shared" si="17"/>
        <v>-485856.62286729977</v>
      </c>
      <c r="W23" s="82">
        <f t="shared" si="18"/>
        <v>-485878.29286729975</v>
      </c>
      <c r="X23" s="82">
        <f t="shared" si="19"/>
        <v>-485873.00286729977</v>
      </c>
      <c r="Y23" s="82">
        <f t="shared" si="20"/>
        <v>-485856.62286729977</v>
      </c>
      <c r="Z23" s="82"/>
      <c r="AA23" s="82"/>
      <c r="AB23" s="82">
        <f t="shared" si="23"/>
        <v>-485884.80286729976</v>
      </c>
      <c r="AF23" s="150" t="s">
        <v>259</v>
      </c>
      <c r="AG23" s="151" t="s">
        <v>316</v>
      </c>
      <c r="AH23" s="148">
        <f>Z48-(Z4+Z8)-2.3</f>
        <v>7.3208901064237581</v>
      </c>
      <c r="AI23" s="148">
        <f>-312497.81-Z48-0.7</f>
        <v>20.829066373768729</v>
      </c>
      <c r="AJ23" s="151">
        <f t="shared" si="11"/>
        <v>28.149956480192486</v>
      </c>
      <c r="AK23" s="147">
        <f t="shared" si="26"/>
        <v>0.70075291031971787</v>
      </c>
      <c r="AL23" s="148">
        <f t="shared" si="10"/>
        <v>1.5500435198075131</v>
      </c>
      <c r="AN23" s="6">
        <f>Z54-(Z4+Z7)-1.9</f>
        <v>14.063132275617681</v>
      </c>
      <c r="AO23" s="6">
        <f>-312205.07-Z54-0.1</f>
        <v>20.499182855803518</v>
      </c>
      <c r="AP23" s="6">
        <f t="shared" si="25"/>
        <v>34.562315131421201</v>
      </c>
      <c r="AQ23" s="6">
        <f t="shared" si="27"/>
        <v>0.82155039700446864</v>
      </c>
      <c r="AR23" s="6"/>
      <c r="AS23" s="6"/>
      <c r="AT23" s="6"/>
      <c r="AU23" s="6"/>
      <c r="BI23" s="72" t="s">
        <v>157</v>
      </c>
      <c r="BJ23" s="205">
        <f>(BJ15*BJ10*LN(BJ22)/1000)/BJ5</f>
        <v>0.94771561688414996</v>
      </c>
    </row>
    <row r="24" spans="1:62" ht="15.75" thickBot="1" x14ac:dyDescent="0.3">
      <c r="A24" s="17" t="s">
        <v>167</v>
      </c>
      <c r="B24" s="17">
        <v>-774.19798085000002</v>
      </c>
      <c r="C24" s="17">
        <v>-774.22102494000001</v>
      </c>
      <c r="D24" s="14"/>
      <c r="E24" s="14"/>
      <c r="F24" s="14"/>
      <c r="G24" s="17">
        <v>-774.35691378900003</v>
      </c>
      <c r="H24" s="17"/>
      <c r="I24" s="17">
        <v>-23.71</v>
      </c>
      <c r="J24" s="17">
        <v>-14.32</v>
      </c>
      <c r="K24" s="14"/>
      <c r="L24" s="17">
        <v>-27.08</v>
      </c>
      <c r="M24" s="17">
        <v>500.6</v>
      </c>
      <c r="N24" s="17">
        <v>0.179645</v>
      </c>
      <c r="O24" s="17">
        <v>0.19514599999999999</v>
      </c>
      <c r="P24" s="17">
        <v>0.13614699999999999</v>
      </c>
      <c r="Q24" s="16">
        <f t="shared" si="24"/>
        <v>5.8998999999999996E-2</v>
      </c>
      <c r="R24" s="82">
        <f t="shared" si="13"/>
        <v>-485703.69040516677</v>
      </c>
      <c r="S24" s="82">
        <f t="shared" si="14"/>
        <v>-485718.15078554355</v>
      </c>
      <c r="T24" s="82">
        <f t="shared" si="15"/>
        <v>-485803.42229965021</v>
      </c>
      <c r="U24" s="82">
        <f t="shared" si="16"/>
        <v>-485803.42229965021</v>
      </c>
      <c r="V24" s="82">
        <f t="shared" si="17"/>
        <v>-485830.71769841103</v>
      </c>
      <c r="W24" s="82">
        <f t="shared" si="18"/>
        <v>-485854.42769841105</v>
      </c>
      <c r="X24" s="82">
        <f t="shared" si="19"/>
        <v>-485845.03769841103</v>
      </c>
      <c r="Y24" s="82">
        <f t="shared" si="20"/>
        <v>-485830.71769841103</v>
      </c>
      <c r="Z24" s="82"/>
      <c r="AA24" s="82"/>
      <c r="AB24" s="82">
        <f t="shared" si="23"/>
        <v>-485857.79769841104</v>
      </c>
      <c r="AF24" s="154" t="s">
        <v>259</v>
      </c>
      <c r="AG24" s="155" t="s">
        <v>317</v>
      </c>
      <c r="AH24" s="155">
        <f>AA48-(AA4+AA8)-2.3</f>
        <v>6.7834265236626381</v>
      </c>
      <c r="AI24" s="155">
        <f>-312440.82-AA48-0.7</f>
        <v>20.935589643032291</v>
      </c>
      <c r="AJ24" s="155">
        <f t="shared" si="11"/>
        <v>27.719016166694928</v>
      </c>
      <c r="AK24" s="147">
        <f t="shared" si="26"/>
        <v>0.80727617958327968</v>
      </c>
      <c r="AL24" s="155">
        <f t="shared" si="10"/>
        <v>1.9809838333050713</v>
      </c>
      <c r="AM24" s="129"/>
      <c r="AN24" s="130">
        <f>AA54-(AA4+AA7)-1.9</f>
        <v>14.925309321749955</v>
      </c>
      <c r="AO24" s="130">
        <f>-312148.72-AA54-0.1</f>
        <v>20.063974078721365</v>
      </c>
      <c r="AP24" s="130">
        <f t="shared" si="25"/>
        <v>34.989283400471322</v>
      </c>
      <c r="AQ24" s="130">
        <f t="shared" si="27"/>
        <v>1.2567591740866213</v>
      </c>
      <c r="AR24" s="130"/>
      <c r="AS24" s="130"/>
      <c r="AT24" s="130"/>
      <c r="AU24" s="130"/>
      <c r="BI24" s="96" t="s">
        <v>158</v>
      </c>
      <c r="BJ24" s="97"/>
    </row>
    <row r="25" spans="1:62" x14ac:dyDescent="0.25">
      <c r="A25" s="17" t="s">
        <v>225</v>
      </c>
      <c r="B25" s="17"/>
      <c r="C25" s="17">
        <v>-497.985519684</v>
      </c>
      <c r="D25" s="14">
        <v>0.57630000000000003</v>
      </c>
      <c r="E25" s="14"/>
      <c r="F25" s="14"/>
      <c r="G25" s="17">
        <v>-498.09183608799998</v>
      </c>
      <c r="H25" s="17">
        <v>0.58040000000000003</v>
      </c>
      <c r="I25" s="17">
        <v>-13.43</v>
      </c>
      <c r="J25" s="17">
        <v>-14.58</v>
      </c>
      <c r="K25" s="14"/>
      <c r="L25" s="17">
        <v>-14.34</v>
      </c>
      <c r="M25" s="17">
        <v>1391.38</v>
      </c>
      <c r="N25" s="17">
        <v>0.15327399999999999</v>
      </c>
      <c r="O25" s="17">
        <v>0.16583600000000001</v>
      </c>
      <c r="P25" s="17">
        <v>0.114272</v>
      </c>
      <c r="Q25" s="16">
        <f t="shared" si="24"/>
        <v>5.1564000000000013E-2</v>
      </c>
      <c r="R25" s="82">
        <f t="shared" si="13"/>
        <v>96.180857733050729</v>
      </c>
      <c r="S25" s="82">
        <f t="shared" si="14"/>
        <v>-312394.35518782027</v>
      </c>
      <c r="T25" s="82">
        <f t="shared" si="15"/>
        <v>-312461.06971818954</v>
      </c>
      <c r="U25" s="82">
        <f t="shared" si="16"/>
        <v>-312461.06971818954</v>
      </c>
      <c r="V25" s="82">
        <f t="shared" si="17"/>
        <v>-312485.54383521719</v>
      </c>
      <c r="W25" s="82">
        <f t="shared" si="18"/>
        <v>-312498.97383521718</v>
      </c>
      <c r="X25" s="82">
        <f t="shared" si="19"/>
        <v>-312500.12383521721</v>
      </c>
      <c r="Y25" s="82">
        <f t="shared" si="20"/>
        <v>-312485.54383521719</v>
      </c>
      <c r="Z25" s="82"/>
      <c r="AA25" s="82"/>
      <c r="AB25" s="82">
        <f t="shared" si="23"/>
        <v>-312499.88383521722</v>
      </c>
      <c r="AF25" s="146" t="s">
        <v>259</v>
      </c>
      <c r="AG25" s="147" t="s">
        <v>309</v>
      </c>
      <c r="AH25" s="147">
        <f>X51-(X5+X8)-2.3</f>
        <v>9.7299451851751648</v>
      </c>
      <c r="AI25" s="147">
        <f>-312508.25-X51-0.8</f>
        <v>19.87818207090022</v>
      </c>
      <c r="AJ25" s="147">
        <f t="shared" si="11"/>
        <v>29.608127256075385</v>
      </c>
      <c r="AK25" s="147">
        <f t="shared" si="26"/>
        <v>0.25013139254879135</v>
      </c>
      <c r="AL25" s="147">
        <f t="shared" si="10"/>
        <v>9.1872743924614753E-2</v>
      </c>
      <c r="AN25" s="6">
        <f>X57-(X5+X7)-1.9</f>
        <v>10.509689541265834</v>
      </c>
      <c r="AO25" s="6">
        <f>-312213.97-X57-0.1</f>
        <v>18.69785465140594</v>
      </c>
      <c r="AP25" s="6">
        <f t="shared" si="25"/>
        <v>29.207544192671776</v>
      </c>
      <c r="AQ25" s="6">
        <f t="shared" si="27"/>
        <v>2.6228786014020464</v>
      </c>
      <c r="AR25" s="6"/>
      <c r="AS25" s="6"/>
      <c r="AT25" s="6"/>
      <c r="AU25" s="6"/>
      <c r="BI25" s="98" t="s">
        <v>148</v>
      </c>
      <c r="BJ25" s="99">
        <f>1+(1/24)*(BJ12*BJ8*BJ17/(BJ10*BJ13))^2</f>
        <v>1.7253885224272205</v>
      </c>
    </row>
    <row r="26" spans="1:62" x14ac:dyDescent="0.25">
      <c r="A26" s="17" t="s">
        <v>242</v>
      </c>
      <c r="B26" s="17"/>
      <c r="C26" s="17">
        <v>-497.95624104299998</v>
      </c>
      <c r="D26" s="14"/>
      <c r="E26" s="14">
        <v>-498.04654894399999</v>
      </c>
      <c r="F26" s="14"/>
      <c r="G26" s="17">
        <v>-498.06222511999999</v>
      </c>
      <c r="H26" s="17"/>
      <c r="I26" s="17">
        <v>-13.69</v>
      </c>
      <c r="J26" s="17">
        <v>-15.61</v>
      </c>
      <c r="K26" s="14">
        <v>-12.83</v>
      </c>
      <c r="L26" s="17">
        <v>-15.83</v>
      </c>
      <c r="M26" s="17"/>
      <c r="N26" s="17">
        <v>0.15327399999999999</v>
      </c>
      <c r="O26" s="17">
        <v>0.16583600000000001</v>
      </c>
      <c r="P26" s="17">
        <v>0.114272</v>
      </c>
      <c r="Q26" s="16">
        <f t="shared" si="24"/>
        <v>5.1564000000000013E-2</v>
      </c>
      <c r="R26" s="82">
        <f t="shared" si="13"/>
        <v>96.180857733050729</v>
      </c>
      <c r="S26" s="82">
        <f t="shared" si="14"/>
        <v>-312375.98256881995</v>
      </c>
      <c r="T26" s="82">
        <f t="shared" si="15"/>
        <v>-312442.48856091202</v>
      </c>
      <c r="U26" s="82">
        <f t="shared" si="16"/>
        <v>-312442.48856091202</v>
      </c>
      <c r="V26" s="82">
        <f t="shared" si="17"/>
        <v>-312466.96267793968</v>
      </c>
      <c r="W26" s="82">
        <f t="shared" si="18"/>
        <v>-312480.65267793968</v>
      </c>
      <c r="X26" s="82">
        <f t="shared" si="19"/>
        <v>-312482.57267793966</v>
      </c>
      <c r="Y26" s="82">
        <f t="shared" si="20"/>
        <v>-312479.79267793969</v>
      </c>
      <c r="Z26" s="82"/>
      <c r="AA26" s="82"/>
      <c r="AB26" s="82">
        <f t="shared" si="23"/>
        <v>-312482.79267793969</v>
      </c>
      <c r="AF26" s="146" t="s">
        <v>259</v>
      </c>
      <c r="AG26" s="147" t="s">
        <v>310</v>
      </c>
      <c r="AH26" s="147">
        <f>Y51-(Y5+Y8)-2.3</f>
        <v>9.2199451851658516</v>
      </c>
      <c r="AI26" s="147">
        <f>-312506-Y51-0.8</f>
        <v>21.008182070904876</v>
      </c>
      <c r="AJ26" s="147">
        <f t="shared" si="11"/>
        <v>30.228127256070728</v>
      </c>
      <c r="AK26" s="147">
        <f t="shared" si="26"/>
        <v>0.87986860745586526</v>
      </c>
      <c r="AL26" s="147">
        <f t="shared" si="10"/>
        <v>0.52812725607072863</v>
      </c>
      <c r="AN26" s="6">
        <f>Y57-(Y5+Y7)-1.9</f>
        <v>15.149689541279804</v>
      </c>
      <c r="AO26" s="6">
        <f>-312215.05-Y57-0.1</f>
        <v>19.237854651384986</v>
      </c>
      <c r="AP26" s="6">
        <f t="shared" si="25"/>
        <v>34.387544192664791</v>
      </c>
      <c r="AQ26" s="6">
        <f t="shared" si="27"/>
        <v>2.0828786014230012</v>
      </c>
      <c r="AR26" s="6"/>
      <c r="AS26" s="6"/>
      <c r="AT26" s="6"/>
      <c r="AU26" s="6"/>
      <c r="BI26" s="98" t="s">
        <v>159</v>
      </c>
      <c r="BJ26" s="99">
        <f>(BJ10*BJ13)/(BJ8*BJ12*BJ17)</f>
        <v>0.23966744129146375</v>
      </c>
    </row>
    <row r="27" spans="1:62" ht="25.5" customHeight="1" thickBot="1" x14ac:dyDescent="0.3">
      <c r="A27" s="17" t="s">
        <v>241</v>
      </c>
      <c r="B27" s="17">
        <v>-498.02731131000002</v>
      </c>
      <c r="C27" s="17">
        <v>-498.05064853699997</v>
      </c>
      <c r="D27" s="14"/>
      <c r="E27" s="14"/>
      <c r="F27" s="14"/>
      <c r="G27" s="17">
        <v>-498.157816626</v>
      </c>
      <c r="H27" s="17"/>
      <c r="I27" s="17">
        <v>-10.61</v>
      </c>
      <c r="J27" s="17">
        <v>-8.4700000000000006</v>
      </c>
      <c r="K27" s="14"/>
      <c r="L27" s="17">
        <v>-7.73</v>
      </c>
      <c r="M27" s="17"/>
      <c r="N27" s="17">
        <v>0.164328</v>
      </c>
      <c r="O27" s="17">
        <v>0.17624699999999999</v>
      </c>
      <c r="P27" s="17">
        <v>0.12604699999999999</v>
      </c>
      <c r="Q27" s="16">
        <f t="shared" ref="Q27:Q38" si="28">O27-P27</f>
        <v>5.0199999999999995E-2</v>
      </c>
      <c r="R27" s="82">
        <f t="shared" si="13"/>
        <v>-312413.64333345072</v>
      </c>
      <c r="S27" s="82">
        <f t="shared" si="14"/>
        <v>-312428.28766001598</v>
      </c>
      <c r="T27" s="82">
        <f t="shared" si="15"/>
        <v>-312495.53663062822</v>
      </c>
      <c r="U27" s="82">
        <f t="shared" si="16"/>
        <v>-312495.53663062822</v>
      </c>
      <c r="V27" s="82">
        <f t="shared" si="17"/>
        <v>-312519.55831346347</v>
      </c>
      <c r="W27" s="82">
        <f t="shared" si="18"/>
        <v>-312530.16831346345</v>
      </c>
      <c r="X27" s="82">
        <f t="shared" si="19"/>
        <v>-312528.02831346344</v>
      </c>
      <c r="Y27" s="82">
        <f t="shared" si="20"/>
        <v>-312519.55831346347</v>
      </c>
      <c r="Z27" s="82"/>
      <c r="AA27" s="82"/>
      <c r="AB27" s="82">
        <f t="shared" si="23"/>
        <v>-312527.28831346345</v>
      </c>
      <c r="AF27" s="152" t="s">
        <v>259</v>
      </c>
      <c r="AG27" s="153" t="s">
        <v>306</v>
      </c>
      <c r="AH27" s="147">
        <f>Z51-(Z5+Z8)-2.3</f>
        <v>8.9327875248738557</v>
      </c>
      <c r="AI27" s="147">
        <f>-312496.19-Z51-0.8</f>
        <v>20.508753006160259</v>
      </c>
      <c r="AJ27" s="147">
        <f t="shared" si="11"/>
        <v>29.441540531034114</v>
      </c>
      <c r="AK27" s="147">
        <f t="shared" si="26"/>
        <v>0.38043954271124747</v>
      </c>
      <c r="AL27" s="147">
        <f t="shared" si="10"/>
        <v>0.25845946896588501</v>
      </c>
      <c r="AN27" s="6">
        <f>Z57-(Z5+Z7)-1.9</f>
        <v>14.696363658027257</v>
      </c>
      <c r="AO27" s="6">
        <f>-312205.87-Z57-0.1</f>
        <v>18.837535524251869</v>
      </c>
      <c r="AP27" s="6">
        <f t="shared" si="25"/>
        <v>33.533899182279129</v>
      </c>
      <c r="AQ27" s="6">
        <f t="shared" si="27"/>
        <v>2.4831977285561173</v>
      </c>
      <c r="AR27" s="6"/>
      <c r="AS27" s="6"/>
      <c r="AT27" s="6"/>
      <c r="AU27" s="6"/>
      <c r="AX27" s="128">
        <f>X39</f>
        <v>-414330.34453937039</v>
      </c>
      <c r="BI27" s="98" t="s">
        <v>240</v>
      </c>
      <c r="BJ27" s="115">
        <f>(BJ15*BJ10*LN(BJ25)/1000)/BJ5</f>
        <v>0.75874838768487107</v>
      </c>
    </row>
    <row r="28" spans="1:62" x14ac:dyDescent="0.25">
      <c r="A28" s="17" t="s">
        <v>342</v>
      </c>
      <c r="B28" s="17">
        <v>-497.41632369000001</v>
      </c>
      <c r="C28" s="17">
        <v>-497.43781628400001</v>
      </c>
      <c r="D28" s="14">
        <v>0.16850000000000001</v>
      </c>
      <c r="E28" s="14">
        <v>-497.52800655700003</v>
      </c>
      <c r="F28" s="14">
        <v>0.15379999999999999</v>
      </c>
      <c r="G28" s="17">
        <v>-497.54288994199999</v>
      </c>
      <c r="H28" s="17">
        <v>0.1482</v>
      </c>
      <c r="I28" s="17"/>
      <c r="J28" s="17">
        <v>-61.91</v>
      </c>
      <c r="K28" s="14">
        <v>-62.96</v>
      </c>
      <c r="L28" s="17"/>
      <c r="M28" s="17">
        <v>720.41</v>
      </c>
      <c r="N28" s="17">
        <v>0.143397</v>
      </c>
      <c r="O28" s="17">
        <v>0.15520600000000001</v>
      </c>
      <c r="P28" s="17">
        <v>0.104862</v>
      </c>
      <c r="Q28" s="16">
        <f t="shared" si="28"/>
        <v>5.0344000000000014E-2</v>
      </c>
      <c r="R28" s="82">
        <f t="shared" si="13"/>
        <v>-312043.37732732657</v>
      </c>
      <c r="S28" s="82">
        <f t="shared" si="14"/>
        <v>-312056.86412956199</v>
      </c>
      <c r="T28" s="82">
        <f t="shared" si="15"/>
        <v>-312122.79882528062</v>
      </c>
      <c r="U28" s="82">
        <f t="shared" si="16"/>
        <v>-312122.79882528062</v>
      </c>
      <c r="V28" s="82">
        <f t="shared" si="17"/>
        <v>-312146.97989547357</v>
      </c>
      <c r="W28" s="82">
        <f t="shared" si="18"/>
        <v>-312146.97989547357</v>
      </c>
      <c r="X28" s="82">
        <f t="shared" si="19"/>
        <v>-312208.88989547355</v>
      </c>
      <c r="Y28" s="82">
        <f t="shared" si="20"/>
        <v>-312209.9398954736</v>
      </c>
      <c r="Z28" s="82"/>
      <c r="AA28" s="82"/>
      <c r="AB28" s="82">
        <f t="shared" si="23"/>
        <v>-312146.97989547357</v>
      </c>
      <c r="AF28" s="156" t="s">
        <v>259</v>
      </c>
      <c r="AG28" s="157" t="s">
        <v>307</v>
      </c>
      <c r="AH28" s="157">
        <f>AA51-(AA5+AA8)-2.3</f>
        <v>8.5947288217023008</v>
      </c>
      <c r="AI28" s="157">
        <f>-312439.23-AA51-0.8</f>
        <v>20.366520264581776</v>
      </c>
      <c r="AJ28" s="157">
        <f t="shared" si="11"/>
        <v>28.961249086284077</v>
      </c>
      <c r="AK28" s="147">
        <f t="shared" si="26"/>
        <v>0.23820680113276538</v>
      </c>
      <c r="AL28" s="157">
        <f t="shared" si="10"/>
        <v>0.73875091371592205</v>
      </c>
      <c r="AM28" s="129"/>
      <c r="AN28" s="130"/>
      <c r="AO28" s="130"/>
      <c r="AP28" s="130">
        <f t="shared" si="25"/>
        <v>0</v>
      </c>
      <c r="AQ28" s="130">
        <f t="shared" si="27"/>
        <v>21.320733252807987</v>
      </c>
      <c r="AR28" s="130"/>
      <c r="AS28" s="130"/>
      <c r="AT28" s="130"/>
      <c r="AU28" s="130"/>
      <c r="BI28" s="116" t="s">
        <v>160</v>
      </c>
      <c r="BJ28" s="26">
        <v>2</v>
      </c>
    </row>
    <row r="29" spans="1:62" ht="18" customHeight="1" thickBot="1" x14ac:dyDescent="0.3">
      <c r="A29" s="17" t="s">
        <v>343</v>
      </c>
      <c r="B29" s="17"/>
      <c r="C29" s="17">
        <v>-497.392326465</v>
      </c>
      <c r="D29" s="14"/>
      <c r="E29" s="14">
        <v>-497.48223919600002</v>
      </c>
      <c r="F29" s="14"/>
      <c r="G29" s="17">
        <v>-497.49723480199998</v>
      </c>
      <c r="H29" s="17"/>
      <c r="I29" s="17"/>
      <c r="J29" s="17">
        <v>-64.95</v>
      </c>
      <c r="K29" s="14">
        <v>-65.81</v>
      </c>
      <c r="L29" s="17"/>
      <c r="M29" s="17"/>
      <c r="N29" s="17">
        <v>0.143397</v>
      </c>
      <c r="O29" s="17">
        <v>0.15520600000000001</v>
      </c>
      <c r="P29" s="17">
        <v>0.104862</v>
      </c>
      <c r="Q29" s="16">
        <f t="shared" si="28"/>
        <v>5.0344000000000014E-2</v>
      </c>
      <c r="R29" s="82">
        <f t="shared" si="13"/>
        <v>89.982948551915371</v>
      </c>
      <c r="S29" s="82">
        <f t="shared" si="14"/>
        <v>-312028.31884588994</v>
      </c>
      <c r="T29" s="82">
        <f t="shared" si="15"/>
        <v>-312094.14980114653</v>
      </c>
      <c r="U29" s="82">
        <f t="shared" si="16"/>
        <v>-312094.14980114653</v>
      </c>
      <c r="V29" s="82">
        <f t="shared" si="17"/>
        <v>-312118.33087133948</v>
      </c>
      <c r="W29" s="82">
        <f t="shared" si="18"/>
        <v>-312118.33087133948</v>
      </c>
      <c r="X29" s="82">
        <f t="shared" si="19"/>
        <v>-312183.28087133949</v>
      </c>
      <c r="Y29" s="82">
        <f t="shared" si="20"/>
        <v>-312184.14087133948</v>
      </c>
      <c r="Z29" s="82"/>
      <c r="AA29" s="82"/>
      <c r="AB29" s="82">
        <f t="shared" si="23"/>
        <v>-312118.33087133948</v>
      </c>
      <c r="AF29" s="156" t="s">
        <v>253</v>
      </c>
      <c r="AG29" s="157"/>
      <c r="AH29" s="157"/>
      <c r="AI29" s="157"/>
      <c r="AJ29" s="157">
        <v>29.7</v>
      </c>
      <c r="AK29" s="6"/>
      <c r="AL29" s="6">
        <f t="shared" si="10"/>
        <v>0</v>
      </c>
      <c r="AM29" s="6"/>
      <c r="AN29" s="6"/>
      <c r="AO29" s="6"/>
      <c r="BI29" s="102" t="s">
        <v>161</v>
      </c>
      <c r="BJ29" s="104">
        <f>($BJ$10*$BJ$15*LN(BJ28)*10^-3)/BJ5</f>
        <v>0.9641986083296431</v>
      </c>
    </row>
    <row r="30" spans="1:62" x14ac:dyDescent="0.25">
      <c r="A30" s="17" t="s">
        <v>344</v>
      </c>
      <c r="B30" s="17">
        <v>-497.47013283000001</v>
      </c>
      <c r="C30" s="17">
        <v>-497.49097494799997</v>
      </c>
      <c r="D30" s="14"/>
      <c r="E30" s="14">
        <v>-497.58132351500001</v>
      </c>
      <c r="F30" s="14"/>
      <c r="G30" s="17">
        <v>-497.59686475900003</v>
      </c>
      <c r="H30" s="17"/>
      <c r="I30" s="17"/>
      <c r="J30" s="17">
        <v>-55.39</v>
      </c>
      <c r="K30" s="14">
        <v>-57.24</v>
      </c>
      <c r="L30" s="17"/>
      <c r="M30" s="17"/>
      <c r="N30" s="17">
        <v>0.149286</v>
      </c>
      <c r="O30" s="17">
        <v>0.16062299999999999</v>
      </c>
      <c r="P30" s="17">
        <v>0.110884</v>
      </c>
      <c r="Q30" s="16">
        <f t="shared" si="28"/>
        <v>4.9738999999999992E-2</v>
      </c>
      <c r="R30" s="82">
        <f t="shared" si="13"/>
        <v>-312073.44765998499</v>
      </c>
      <c r="S30" s="82">
        <f t="shared" si="14"/>
        <v>-312086.5262824925</v>
      </c>
      <c r="T30" s="82">
        <f t="shared" si="15"/>
        <v>-312152.97312179446</v>
      </c>
      <c r="U30" s="82">
        <f t="shared" si="16"/>
        <v>-312152.97312179446</v>
      </c>
      <c r="V30" s="82">
        <f t="shared" si="17"/>
        <v>-312177.0707332528</v>
      </c>
      <c r="W30" s="82">
        <f t="shared" si="18"/>
        <v>-312177.0707332528</v>
      </c>
      <c r="X30" s="82">
        <f t="shared" si="19"/>
        <v>-312232.46073325281</v>
      </c>
      <c r="Y30" s="82">
        <f t="shared" si="20"/>
        <v>-312234.31073325279</v>
      </c>
      <c r="Z30" s="82"/>
      <c r="AA30" s="82"/>
      <c r="AB30" s="82">
        <f t="shared" si="23"/>
        <v>-312177.0707332528</v>
      </c>
    </row>
    <row r="31" spans="1:62" x14ac:dyDescent="0.25">
      <c r="A31" s="17" t="s">
        <v>356</v>
      </c>
      <c r="B31" s="17">
        <v>-497.97003182999998</v>
      </c>
      <c r="C31" s="17">
        <v>-497.99430292400001</v>
      </c>
      <c r="D31" s="14"/>
      <c r="E31" s="14">
        <v>-498.08540839800003</v>
      </c>
      <c r="F31" s="14"/>
      <c r="G31" s="17">
        <v>-498.10115978499999</v>
      </c>
      <c r="H31" s="17"/>
      <c r="I31" s="17"/>
      <c r="J31" s="17">
        <v>-13.7</v>
      </c>
      <c r="K31" s="14">
        <v>-11.83</v>
      </c>
      <c r="L31" s="17"/>
      <c r="M31" s="17"/>
      <c r="N31" s="17">
        <v>0.164436</v>
      </c>
      <c r="O31" s="17">
        <v>0.175654</v>
      </c>
      <c r="P31" s="17">
        <v>0.12742800000000001</v>
      </c>
      <c r="Q31" s="16">
        <f t="shared" si="28"/>
        <v>4.8225999999999991E-2</v>
      </c>
      <c r="R31" s="82">
        <f t="shared" si="13"/>
        <v>-312377.63215706364</v>
      </c>
      <c r="S31" s="82">
        <f t="shared" si="14"/>
        <v>-312392.86249383993</v>
      </c>
      <c r="T31" s="82">
        <f t="shared" si="15"/>
        <v>-312459.91616599332</v>
      </c>
      <c r="U31" s="82">
        <f t="shared" si="16"/>
        <v>-312459.91616599332</v>
      </c>
      <c r="V31" s="82">
        <f t="shared" si="17"/>
        <v>-312483.13902951207</v>
      </c>
      <c r="W31" s="82">
        <f t="shared" si="18"/>
        <v>-312483.13902951207</v>
      </c>
      <c r="X31" s="82">
        <f t="shared" si="19"/>
        <v>-312496.83902951208</v>
      </c>
      <c r="Y31" s="82">
        <f t="shared" si="20"/>
        <v>-312494.96902951208</v>
      </c>
      <c r="Z31" s="82"/>
      <c r="AA31" s="82"/>
      <c r="AB31" s="82">
        <f t="shared" si="23"/>
        <v>-312483.13902951207</v>
      </c>
    </row>
    <row r="32" spans="1:62" x14ac:dyDescent="0.25">
      <c r="A32" s="17" t="s">
        <v>383</v>
      </c>
      <c r="B32" s="17">
        <v>-497.90859790000002</v>
      </c>
      <c r="C32" s="17">
        <v>-497.966005107</v>
      </c>
      <c r="D32" s="14">
        <v>0.76049999999999995</v>
      </c>
      <c r="E32" s="14">
        <v>-498.05736907199997</v>
      </c>
      <c r="F32" s="14">
        <v>0.76519999999999999</v>
      </c>
      <c r="G32" s="17">
        <v>-498.07267802199999</v>
      </c>
      <c r="H32" s="17">
        <v>0.76390000000000002</v>
      </c>
      <c r="I32" s="17"/>
      <c r="J32" s="17">
        <v>-14.46</v>
      </c>
      <c r="K32" s="14">
        <v>-13.38</v>
      </c>
      <c r="L32" s="17"/>
      <c r="M32" s="17">
        <v>52.45</v>
      </c>
      <c r="N32" s="17">
        <v>0.15897900000000001</v>
      </c>
      <c r="O32" s="17">
        <v>0.17168</v>
      </c>
      <c r="P32" s="17">
        <v>0.11858399999999999</v>
      </c>
      <c r="Q32" s="16">
        <f t="shared" si="28"/>
        <v>5.3096000000000004E-2</v>
      </c>
      <c r="R32" s="82">
        <f t="shared" si="13"/>
        <v>-312342.50611389487</v>
      </c>
      <c r="S32" s="82">
        <f t="shared" si="14"/>
        <v>-312378.5296691574</v>
      </c>
      <c r="T32" s="82">
        <f t="shared" si="15"/>
        <v>-312445.46791348839</v>
      </c>
      <c r="U32" s="82">
        <f t="shared" si="16"/>
        <v>-312445.46791348839</v>
      </c>
      <c r="V32" s="82">
        <f t="shared" si="17"/>
        <v>-312470.81615094631</v>
      </c>
      <c r="W32" s="82">
        <f t="shared" si="18"/>
        <v>-312470.81615094631</v>
      </c>
      <c r="X32" s="82">
        <f t="shared" si="19"/>
        <v>-312485.27615094633</v>
      </c>
      <c r="Y32" s="82">
        <f t="shared" si="20"/>
        <v>-312484.19615094631</v>
      </c>
      <c r="Z32" s="82"/>
      <c r="AA32" s="82"/>
      <c r="AB32" s="82">
        <f t="shared" si="23"/>
        <v>-312470.81615094631</v>
      </c>
    </row>
    <row r="33" spans="1:57" x14ac:dyDescent="0.25">
      <c r="A33" s="17" t="s">
        <v>384</v>
      </c>
      <c r="B33" s="14"/>
      <c r="C33" s="17">
        <v>-497.98397428800001</v>
      </c>
      <c r="D33" s="14"/>
      <c r="E33" s="14">
        <v>-498.07535865699998</v>
      </c>
      <c r="F33" s="14"/>
      <c r="G33" s="17">
        <v>-498.09053268500003</v>
      </c>
      <c r="H33" s="17"/>
      <c r="I33" s="17"/>
      <c r="J33" s="17">
        <v>-12.28</v>
      </c>
      <c r="K33" s="14">
        <v>-11.28</v>
      </c>
      <c r="L33" s="17"/>
      <c r="M33" s="17"/>
      <c r="N33" s="17">
        <v>0.15897900000000001</v>
      </c>
      <c r="O33" s="17">
        <v>0.17168</v>
      </c>
      <c r="P33" s="17">
        <v>0.11858399999999999</v>
      </c>
      <c r="Q33" s="16">
        <f t="shared" si="28"/>
        <v>5.3096000000000004E-2</v>
      </c>
      <c r="R33" s="82">
        <f>((C33+N33)*$BJ$3*$BJ$4*10^-3)/$BJ$5</f>
        <v>-312389.80549703003</v>
      </c>
      <c r="S33" s="82" t="e">
        <f>((#REF!+N33)*$BJ$3*$BJ$4*10^-3)/$BJ$5</f>
        <v>#REF!</v>
      </c>
      <c r="T33" s="82">
        <f t="shared" si="15"/>
        <v>-312456.67188025295</v>
      </c>
      <c r="U33" s="82">
        <f t="shared" si="16"/>
        <v>-312456.67188025295</v>
      </c>
      <c r="V33" s="82">
        <f t="shared" si="17"/>
        <v>-312482.02011771093</v>
      </c>
      <c r="W33" s="82">
        <f t="shared" si="18"/>
        <v>-312482.02011771093</v>
      </c>
      <c r="X33" s="82">
        <f t="shared" si="19"/>
        <v>-312494.30011771095</v>
      </c>
      <c r="Y33" s="82">
        <f t="shared" si="20"/>
        <v>-312493.30011771095</v>
      </c>
      <c r="Z33" s="82"/>
      <c r="AA33" s="82"/>
      <c r="AB33" s="82">
        <f t="shared" si="23"/>
        <v>-312482.02011771093</v>
      </c>
    </row>
    <row r="34" spans="1:57" x14ac:dyDescent="0.25">
      <c r="A34" s="17" t="s">
        <v>357</v>
      </c>
      <c r="B34" s="14">
        <v>-497.94102548000001</v>
      </c>
      <c r="C34" s="17">
        <v>-497.96676215100001</v>
      </c>
      <c r="D34" s="14"/>
      <c r="E34" s="14">
        <v>-498.05747670900001</v>
      </c>
      <c r="F34" s="14"/>
      <c r="G34" s="17">
        <v>-498.07350501100001</v>
      </c>
      <c r="H34" s="17"/>
      <c r="I34" s="17"/>
      <c r="J34" s="17">
        <v>-18.649999999999999</v>
      </c>
      <c r="K34" s="14">
        <v>-18.02</v>
      </c>
      <c r="L34" s="17"/>
      <c r="M34" s="17">
        <v>376.29</v>
      </c>
      <c r="N34" s="17">
        <v>0.159914</v>
      </c>
      <c r="O34" s="17">
        <v>0.17179900000000001</v>
      </c>
      <c r="P34" s="17">
        <v>0.121721</v>
      </c>
      <c r="Q34" s="16">
        <f t="shared" si="28"/>
        <v>5.0078000000000011E-2</v>
      </c>
      <c r="R34" s="82">
        <f>((C34+N34)*$BJ$3*$BJ$4*10^-3)/$BJ$5</f>
        <v>-312378.41800011561</v>
      </c>
      <c r="S34" s="82" t="e">
        <f>((#REF!+N34)*$BJ$3*$BJ$4*10^-3)/$BJ$5</f>
        <v>#REF!</v>
      </c>
      <c r="T34" s="82">
        <f t="shared" si="15"/>
        <v>-312445.4001355833</v>
      </c>
      <c r="U34" s="82">
        <f t="shared" si="16"/>
        <v>-312445.4001355833</v>
      </c>
      <c r="V34" s="82">
        <f t="shared" si="17"/>
        <v>-312469.36659760168</v>
      </c>
      <c r="W34" s="82">
        <f t="shared" si="18"/>
        <v>-312469.36659760168</v>
      </c>
      <c r="X34" s="82">
        <f t="shared" si="19"/>
        <v>-312488.0165976017</v>
      </c>
      <c r="Y34" s="82">
        <f t="shared" si="20"/>
        <v>-312487.3865976017</v>
      </c>
      <c r="Z34" s="82"/>
      <c r="AA34" s="82"/>
      <c r="AB34" s="82">
        <f t="shared" si="23"/>
        <v>-312469.36659760168</v>
      </c>
    </row>
    <row r="35" spans="1:57" x14ac:dyDescent="0.25">
      <c r="A35" s="17" t="s">
        <v>382</v>
      </c>
      <c r="B35" s="17"/>
      <c r="C35" s="17">
        <v>-574.41517697300003</v>
      </c>
      <c r="D35" s="14"/>
      <c r="E35" s="14">
        <v>-574.52567152100005</v>
      </c>
      <c r="F35" s="14"/>
      <c r="G35" s="17">
        <v>-574.543446324</v>
      </c>
      <c r="H35" s="17"/>
      <c r="I35" s="17"/>
      <c r="J35" s="17">
        <v>-14.97</v>
      </c>
      <c r="K35" s="14">
        <v>-13.1</v>
      </c>
      <c r="L35" s="17"/>
      <c r="M35" s="17"/>
      <c r="N35" s="17">
        <v>0.19095000000000001</v>
      </c>
      <c r="O35" s="17">
        <v>0.204397</v>
      </c>
      <c r="P35" s="17">
        <v>0.14924799999999999</v>
      </c>
      <c r="Q35" s="16">
        <f t="shared" si="28"/>
        <v>5.5149000000000004E-2</v>
      </c>
      <c r="R35" s="82">
        <f t="shared" ref="R35:R43" si="29">((B35+N35)*$BJ$3*$BJ$4*10^-3)/$BJ$5</f>
        <v>119.82289745244488</v>
      </c>
      <c r="S35" s="82">
        <f t="shared" ref="S35:S43" si="30">((C35+N35)*$BJ$3*$BJ$4*10^-3)/$BJ$5</f>
        <v>-360331.03253885941</v>
      </c>
      <c r="T35" s="82">
        <f t="shared" si="15"/>
        <v>-360411.52274724463</v>
      </c>
      <c r="U35" s="82">
        <f t="shared" si="16"/>
        <v>-360411.52274724463</v>
      </c>
      <c r="V35" s="82">
        <f t="shared" si="17"/>
        <v>-360437.69113933458</v>
      </c>
      <c r="W35" s="82">
        <f t="shared" si="18"/>
        <v>-360437.69113933458</v>
      </c>
      <c r="X35" s="82">
        <f t="shared" si="19"/>
        <v>-360452.66113933455</v>
      </c>
      <c r="Y35" s="82">
        <f t="shared" si="20"/>
        <v>-360450.79113933456</v>
      </c>
      <c r="Z35" s="82"/>
      <c r="AA35" s="82"/>
      <c r="AB35" s="82">
        <f t="shared" si="23"/>
        <v>-360437.69113933458</v>
      </c>
    </row>
    <row r="36" spans="1:57" x14ac:dyDescent="0.25">
      <c r="A36" s="17" t="s">
        <v>381</v>
      </c>
      <c r="B36" s="17"/>
      <c r="C36" s="17">
        <v>-574.38721546900001</v>
      </c>
      <c r="D36" s="14"/>
      <c r="E36" s="14">
        <v>-574.49700384100004</v>
      </c>
      <c r="F36" s="14"/>
      <c r="G36" s="17">
        <v>-574.51491758400005</v>
      </c>
      <c r="H36" s="17"/>
      <c r="I36" s="17"/>
      <c r="J36" s="17">
        <v>-14.94</v>
      </c>
      <c r="K36" s="14">
        <v>-13.2</v>
      </c>
      <c r="L36" s="17"/>
      <c r="M36" s="17">
        <v>539.04999999999995</v>
      </c>
      <c r="N36" s="17">
        <v>0.18590400000000001</v>
      </c>
      <c r="O36" s="17">
        <v>0.19881399999999999</v>
      </c>
      <c r="P36" s="17">
        <v>0.146866</v>
      </c>
      <c r="Q36" s="16">
        <f t="shared" si="28"/>
        <v>5.1947999999999994E-2</v>
      </c>
      <c r="R36" s="82">
        <f t="shared" si="29"/>
        <v>116.6564856140315</v>
      </c>
      <c r="S36" s="82">
        <f t="shared" si="30"/>
        <v>-360316.65284739115</v>
      </c>
      <c r="T36" s="82">
        <f t="shared" si="15"/>
        <v>-360396.78710992116</v>
      </c>
      <c r="U36" s="82">
        <f t="shared" si="16"/>
        <v>-360396.78710992116</v>
      </c>
      <c r="V36" s="82">
        <f t="shared" si="17"/>
        <v>-360421.28381728311</v>
      </c>
      <c r="W36" s="82">
        <f t="shared" si="18"/>
        <v>-360421.28381728311</v>
      </c>
      <c r="X36" s="82">
        <f t="shared" si="19"/>
        <v>-360436.22381728311</v>
      </c>
      <c r="Y36" s="82">
        <f t="shared" si="20"/>
        <v>-360434.48381728312</v>
      </c>
      <c r="Z36" s="82"/>
      <c r="AA36" s="82"/>
      <c r="AB36" s="82">
        <f t="shared" si="23"/>
        <v>-360421.28381728311</v>
      </c>
    </row>
    <row r="37" spans="1:57" x14ac:dyDescent="0.25">
      <c r="A37" s="17" t="s">
        <v>387</v>
      </c>
      <c r="B37" s="17"/>
      <c r="C37" s="17">
        <v>-660.13177097000005</v>
      </c>
      <c r="D37" s="14"/>
      <c r="E37" s="14">
        <v>-660.22542696100004</v>
      </c>
      <c r="F37" s="14"/>
      <c r="G37" s="17">
        <v>-660.24103022199995</v>
      </c>
      <c r="H37" s="17"/>
      <c r="I37" s="17"/>
      <c r="J37" s="17">
        <v>-54.17</v>
      </c>
      <c r="K37" s="14">
        <v>-52.86</v>
      </c>
      <c r="L37" s="17"/>
      <c r="M37" s="17">
        <v>413.1</v>
      </c>
      <c r="N37" s="17">
        <v>0.16136500000000001</v>
      </c>
      <c r="O37" s="17">
        <v>0.17473</v>
      </c>
      <c r="P37" s="17">
        <v>0.12148100000000001</v>
      </c>
      <c r="Q37" s="16">
        <f t="shared" si="28"/>
        <v>5.3248999999999991E-2</v>
      </c>
      <c r="R37" s="82">
        <f t="shared" si="29"/>
        <v>101.25803533602392</v>
      </c>
      <c r="S37" s="82">
        <f t="shared" si="30"/>
        <v>-414137.55578000384</v>
      </c>
      <c r="T37" s="82">
        <f t="shared" si="15"/>
        <v>-414206.11697480932</v>
      </c>
      <c r="U37" s="82">
        <f t="shared" si="16"/>
        <v>-414206.11697480932</v>
      </c>
      <c r="V37" s="82">
        <f t="shared" si="17"/>
        <v>-414231.14455502405</v>
      </c>
      <c r="W37" s="82">
        <f t="shared" si="18"/>
        <v>-414231.14455502405</v>
      </c>
      <c r="X37" s="82">
        <f t="shared" si="19"/>
        <v>-414285.31455502403</v>
      </c>
      <c r="Y37" s="82">
        <f t="shared" si="20"/>
        <v>-414284.00455502403</v>
      </c>
      <c r="Z37" s="82"/>
      <c r="AA37" s="82"/>
      <c r="AB37" s="82">
        <f t="shared" si="23"/>
        <v>-414231.14455502405</v>
      </c>
    </row>
    <row r="38" spans="1:57" x14ac:dyDescent="0.25">
      <c r="A38" s="17" t="s">
        <v>388</v>
      </c>
      <c r="B38" s="17"/>
      <c r="C38" s="17">
        <v>-660.15656700299996</v>
      </c>
      <c r="D38" s="14"/>
      <c r="E38" s="14">
        <v>-660.25072278499999</v>
      </c>
      <c r="F38" s="14"/>
      <c r="G38" s="17">
        <v>-660.26695736399995</v>
      </c>
      <c r="H38" s="17"/>
      <c r="I38" s="17"/>
      <c r="J38" s="17">
        <v>-55.92</v>
      </c>
      <c r="K38" s="14">
        <v>-53.99</v>
      </c>
      <c r="L38" s="17"/>
      <c r="M38" s="17"/>
      <c r="N38" s="17">
        <v>0.16511300000000001</v>
      </c>
      <c r="O38" s="17">
        <v>0.17881</v>
      </c>
      <c r="P38" s="17">
        <v>0.124292</v>
      </c>
      <c r="Q38" s="16">
        <f t="shared" si="28"/>
        <v>5.4517999999999997E-2</v>
      </c>
      <c r="R38" s="82">
        <f t="shared" si="29"/>
        <v>103.60994012603054</v>
      </c>
      <c r="S38" s="82">
        <f t="shared" si="30"/>
        <v>-414150.76361608505</v>
      </c>
      <c r="T38" s="82">
        <f t="shared" si="15"/>
        <v>-414220.0345922875</v>
      </c>
      <c r="U38" s="82">
        <f t="shared" si="16"/>
        <v>-414220.0345922875</v>
      </c>
      <c r="V38" s="82">
        <f t="shared" si="17"/>
        <v>-414245.65014869964</v>
      </c>
      <c r="W38" s="82">
        <f t="shared" si="18"/>
        <v>-414245.65014869964</v>
      </c>
      <c r="X38" s="82">
        <f t="shared" si="19"/>
        <v>-414301.57014869963</v>
      </c>
      <c r="Y38" s="82">
        <f t="shared" si="20"/>
        <v>-414299.64014869963</v>
      </c>
      <c r="Z38" s="82"/>
      <c r="AA38" s="82"/>
      <c r="AB38" s="82">
        <f t="shared" si="23"/>
        <v>-414245.65014869964</v>
      </c>
      <c r="BE38" t="e">
        <f>LN(Sheet1!V2)</f>
        <v>#VALUE!</v>
      </c>
    </row>
    <row r="39" spans="1:57" x14ac:dyDescent="0.25">
      <c r="A39" s="17" t="s">
        <v>391</v>
      </c>
      <c r="B39" s="17"/>
      <c r="C39" s="17">
        <v>-660.21467233500005</v>
      </c>
      <c r="D39" s="14"/>
      <c r="E39" s="14">
        <v>-660.30832335900004</v>
      </c>
      <c r="F39" s="14"/>
      <c r="G39" s="17">
        <v>-660.32441392600003</v>
      </c>
      <c r="H39" s="17"/>
      <c r="I39" s="17"/>
      <c r="J39" s="17">
        <v>-48.83</v>
      </c>
      <c r="K39" s="14">
        <v>-47.54</v>
      </c>
      <c r="L39" s="17"/>
      <c r="M39" s="17"/>
      <c r="N39" s="17">
        <v>0.165524</v>
      </c>
      <c r="O39" s="17">
        <v>0.17936199999999999</v>
      </c>
      <c r="P39" s="17">
        <v>0.124595</v>
      </c>
      <c r="Q39" s="16">
        <f t="shared" ref="Q39:Q45" si="31">O39-P39</f>
        <v>5.4766999999999996E-2</v>
      </c>
      <c r="R39" s="82">
        <f t="shared" si="29"/>
        <v>103.86784644104995</v>
      </c>
      <c r="S39" s="82">
        <f t="shared" si="30"/>
        <v>-414186.96734495042</v>
      </c>
      <c r="T39" s="82">
        <f t="shared" ref="T39:T45" si="32">((G39+N39)*$BJ$3*$BJ$4*10^-3)/$BJ$5</f>
        <v>-414255.83121195581</v>
      </c>
      <c r="U39" s="82">
        <f t="shared" ref="U39:U45" si="33">((G39+N39)*$BJ$3*$BJ$4*10^-3)/$BJ$5</f>
        <v>-414255.83121195581</v>
      </c>
      <c r="V39" s="82">
        <f t="shared" ref="V39:V45" si="34">((G39+P39)*$BJ$3*$BJ$4*10^-3)/$BJ$5</f>
        <v>-414281.51453937037</v>
      </c>
      <c r="W39" s="82">
        <f t="shared" ref="W39:W45" si="35">((G39+P39)*$BJ$3*$BJ$4*10^-3)/$BJ$5+I39</f>
        <v>-414281.51453937037</v>
      </c>
      <c r="X39" s="82">
        <f t="shared" ref="X39:X45" si="36">((G39+P39)*$BJ$3*$BJ$4*10^-3)/$BJ$5+J39</f>
        <v>-414330.34453937039</v>
      </c>
      <c r="Y39" s="82">
        <f t="shared" ref="Y39:Y45" si="37">((G39+P39)*$BJ$3*$BJ$4*10^-3)/$BJ$5+K39</f>
        <v>-414329.05453937035</v>
      </c>
      <c r="Z39" s="82"/>
      <c r="AA39" s="82"/>
      <c r="AB39" s="82">
        <f t="shared" ref="AB39:AB45" si="38">((G39+P39)*$BJ$3*$BJ$4*10^-3)/$BJ$5+L39</f>
        <v>-414281.51453937037</v>
      </c>
    </row>
    <row r="40" spans="1:57" x14ac:dyDescent="0.25">
      <c r="A40" s="17" t="s">
        <v>392</v>
      </c>
      <c r="B40" s="17"/>
      <c r="C40" s="17">
        <v>-660.14878958899999</v>
      </c>
      <c r="D40" s="14">
        <v>0.67879999999999996</v>
      </c>
      <c r="E40" s="14">
        <v>-660.24200560899999</v>
      </c>
      <c r="F40" s="14">
        <v>0.68489999999999995</v>
      </c>
      <c r="G40" s="17">
        <v>-660.25706389499999</v>
      </c>
      <c r="H40" s="17">
        <v>0.68469999999999998</v>
      </c>
      <c r="I40" s="17"/>
      <c r="J40" s="17">
        <v>-49.77</v>
      </c>
      <c r="K40" s="14">
        <v>-49.77</v>
      </c>
      <c r="L40" s="17"/>
      <c r="M40" s="17">
        <v>870.67</v>
      </c>
      <c r="N40" s="17">
        <v>0.15590699999999999</v>
      </c>
      <c r="O40" s="17">
        <v>0.16966600000000001</v>
      </c>
      <c r="P40" s="17">
        <v>0.11594400000000001</v>
      </c>
      <c r="Q40" s="16">
        <f t="shared" si="31"/>
        <v>5.3722000000000006E-2</v>
      </c>
      <c r="R40" s="82">
        <f t="shared" si="29"/>
        <v>97.833089673308834</v>
      </c>
      <c r="S40" s="82">
        <f t="shared" si="30"/>
        <v>-414151.66006706073</v>
      </c>
      <c r="T40" s="82">
        <f t="shared" si="32"/>
        <v>-414219.60319910874</v>
      </c>
      <c r="U40" s="82">
        <f t="shared" si="33"/>
        <v>-414219.60319910874</v>
      </c>
      <c r="V40" s="82">
        <f t="shared" si="34"/>
        <v>-414244.68035255664</v>
      </c>
      <c r="W40" s="82">
        <f t="shared" si="35"/>
        <v>-414244.68035255664</v>
      </c>
      <c r="X40" s="82">
        <f t="shared" si="36"/>
        <v>-414294.45035255665</v>
      </c>
      <c r="Y40" s="82">
        <f t="shared" si="37"/>
        <v>-414294.45035255665</v>
      </c>
      <c r="Z40" s="82"/>
      <c r="AA40" s="82"/>
      <c r="AB40" s="82">
        <f t="shared" si="38"/>
        <v>-414244.68035255664</v>
      </c>
    </row>
    <row r="41" spans="1:57" x14ac:dyDescent="0.25">
      <c r="A41" s="17" t="s">
        <v>393</v>
      </c>
      <c r="B41" s="17"/>
      <c r="C41" s="17">
        <v>-660.12986678599998</v>
      </c>
      <c r="D41" s="14"/>
      <c r="E41" s="14">
        <v>-660.22297659699996</v>
      </c>
      <c r="F41" s="14"/>
      <c r="G41" s="17">
        <v>-660.23806365799999</v>
      </c>
      <c r="H41" s="17"/>
      <c r="I41" s="17"/>
      <c r="J41" s="17">
        <v>-50.33</v>
      </c>
      <c r="K41" s="14"/>
      <c r="L41" s="17"/>
      <c r="M41" s="17">
        <v>870.67</v>
      </c>
      <c r="N41" s="17">
        <v>0.15590699999999999</v>
      </c>
      <c r="O41" s="17">
        <v>0.16966600000000001</v>
      </c>
      <c r="P41" s="17">
        <v>0.11594400000000001</v>
      </c>
      <c r="Q41" s="16">
        <f t="shared" si="31"/>
        <v>5.3722000000000006E-2</v>
      </c>
      <c r="R41" s="82">
        <f t="shared" si="29"/>
        <v>97.833089673308834</v>
      </c>
      <c r="S41" s="82">
        <f t="shared" si="30"/>
        <v>-414139.78583253128</v>
      </c>
      <c r="T41" s="82">
        <f t="shared" si="32"/>
        <v>-414207.6803740256</v>
      </c>
      <c r="U41" s="82">
        <f t="shared" si="33"/>
        <v>-414207.6803740256</v>
      </c>
      <c r="V41" s="82">
        <f t="shared" si="34"/>
        <v>-414232.75752747356</v>
      </c>
      <c r="W41" s="82">
        <f t="shared" si="35"/>
        <v>-414232.75752747356</v>
      </c>
      <c r="X41" s="82">
        <f t="shared" si="36"/>
        <v>-414283.08752747357</v>
      </c>
      <c r="Y41" s="82">
        <f t="shared" si="37"/>
        <v>-414232.75752747356</v>
      </c>
      <c r="Z41" s="82"/>
      <c r="AA41" s="82"/>
      <c r="AB41" s="82">
        <f t="shared" si="38"/>
        <v>-414232.75752747356</v>
      </c>
    </row>
    <row r="42" spans="1:57" ht="24.75" customHeight="1" x14ac:dyDescent="0.25">
      <c r="A42" s="17" t="s">
        <v>395</v>
      </c>
      <c r="B42" s="17"/>
      <c r="C42" s="17">
        <v>-496.74304516799998</v>
      </c>
      <c r="D42" s="14"/>
      <c r="E42" s="14">
        <v>-496.83328055999999</v>
      </c>
      <c r="F42" s="14"/>
      <c r="G42" s="17">
        <v>-496.84897980800002</v>
      </c>
      <c r="H42" s="17"/>
      <c r="I42" s="17"/>
      <c r="J42" s="17">
        <v>-5.45</v>
      </c>
      <c r="K42" s="14">
        <v>-4.3499999999999996</v>
      </c>
      <c r="L42" s="17"/>
      <c r="M42" s="17">
        <v>78.33</v>
      </c>
      <c r="N42" s="17">
        <v>0.13541600000000001</v>
      </c>
      <c r="O42" s="17">
        <v>0.146203</v>
      </c>
      <c r="P42" s="17">
        <v>9.6892000000000006E-2</v>
      </c>
      <c r="Q42" s="16">
        <f t="shared" si="31"/>
        <v>4.9310999999999994E-2</v>
      </c>
      <c r="R42" s="82">
        <f t="shared" si="29"/>
        <v>84.974796969993605</v>
      </c>
      <c r="S42" s="82">
        <f t="shared" si="30"/>
        <v>-311625.89695678989</v>
      </c>
      <c r="T42" s="82">
        <f t="shared" si="32"/>
        <v>-311692.37192670553</v>
      </c>
      <c r="U42" s="82">
        <f t="shared" si="33"/>
        <v>-311692.37192670553</v>
      </c>
      <c r="V42" s="82">
        <f t="shared" si="34"/>
        <v>-311716.54609429627</v>
      </c>
      <c r="W42" s="82">
        <f t="shared" si="35"/>
        <v>-311716.54609429627</v>
      </c>
      <c r="X42" s="82">
        <f t="shared" si="36"/>
        <v>-311721.99609429628</v>
      </c>
      <c r="Y42" s="82">
        <f t="shared" si="37"/>
        <v>-311720.89609429624</v>
      </c>
      <c r="Z42" s="82"/>
      <c r="AA42" s="82"/>
      <c r="AB42" s="82">
        <f t="shared" si="38"/>
        <v>-311716.54609429627</v>
      </c>
    </row>
    <row r="43" spans="1:57" x14ac:dyDescent="0.25">
      <c r="A43" s="17" t="s">
        <v>396</v>
      </c>
      <c r="B43" s="17"/>
      <c r="C43" s="17">
        <v>-496.82315331299998</v>
      </c>
      <c r="D43" s="14"/>
      <c r="E43" s="14">
        <v>-496.91411506600002</v>
      </c>
      <c r="F43" s="14"/>
      <c r="G43" s="17">
        <v>-496.93069436000002</v>
      </c>
      <c r="H43" s="17"/>
      <c r="I43" s="17"/>
      <c r="J43" s="17">
        <v>-0.83</v>
      </c>
      <c r="K43" s="14">
        <v>0.02</v>
      </c>
      <c r="L43" s="17"/>
      <c r="M43" s="17"/>
      <c r="N43" s="17">
        <v>0.13964399999999999</v>
      </c>
      <c r="O43" s="17">
        <v>0.15146200000000001</v>
      </c>
      <c r="P43" s="17">
        <v>9.9681000000000006E-2</v>
      </c>
      <c r="Q43" s="16">
        <f t="shared" si="31"/>
        <v>5.1781000000000008E-2</v>
      </c>
      <c r="R43" s="82">
        <f t="shared" si="29"/>
        <v>87.627906215497305</v>
      </c>
      <c r="S43" s="82">
        <f t="shared" si="30"/>
        <v>-311673.51245211862</v>
      </c>
      <c r="T43" s="82">
        <f t="shared" si="32"/>
        <v>-311740.99545733782</v>
      </c>
      <c r="U43" s="82">
        <f t="shared" si="33"/>
        <v>-311740.99545733782</v>
      </c>
      <c r="V43" s="82">
        <f t="shared" si="34"/>
        <v>-311766.07261078578</v>
      </c>
      <c r="W43" s="82">
        <f t="shared" si="35"/>
        <v>-311766.07261078578</v>
      </c>
      <c r="X43" s="82">
        <f t="shared" si="36"/>
        <v>-311766.90261078579</v>
      </c>
      <c r="Y43" s="82">
        <f t="shared" si="37"/>
        <v>-311766.05261078576</v>
      </c>
      <c r="Z43" s="82"/>
      <c r="AA43" s="82"/>
      <c r="AB43" s="82">
        <f t="shared" si="38"/>
        <v>-311766.07261078578</v>
      </c>
    </row>
    <row r="44" spans="1:57" x14ac:dyDescent="0.25">
      <c r="A44" s="17" t="s">
        <v>407</v>
      </c>
      <c r="B44" s="17"/>
      <c r="C44" s="17">
        <v>-821.54502449400002</v>
      </c>
      <c r="D44" s="14"/>
      <c r="E44" s="14">
        <v>-821.64201970600004</v>
      </c>
      <c r="F44" s="14"/>
      <c r="G44" s="17">
        <v>-821.65687987599995</v>
      </c>
      <c r="H44" s="17"/>
      <c r="I44" s="17"/>
      <c r="J44" s="17">
        <v>-13.95</v>
      </c>
      <c r="K44" s="14">
        <v>-12.06</v>
      </c>
      <c r="L44" s="17"/>
      <c r="M44" s="17"/>
      <c r="N44" s="17">
        <v>0.14208599999999999</v>
      </c>
      <c r="O44" s="17">
        <v>0.15629599999999999</v>
      </c>
      <c r="P44" s="17">
        <v>9.9802000000000002E-2</v>
      </c>
      <c r="Q44" s="16">
        <f t="shared" si="31"/>
        <v>5.6493999999999989E-2</v>
      </c>
      <c r="R44" s="82">
        <f>((B44+N44)*$BJ$3*$BJ$4*10^-3)/$BJ$5</f>
        <v>89.160283882838868</v>
      </c>
      <c r="S44" s="82">
        <f>((C44+N44)*$BJ$3*$BJ$4*10^-3)/$BJ$5</f>
        <v>-515437.96840169397</v>
      </c>
      <c r="T44" s="82">
        <f t="shared" si="32"/>
        <v>-515508.15869217255</v>
      </c>
      <c r="U44" s="82">
        <f t="shared" si="33"/>
        <v>-515508.15869217255</v>
      </c>
      <c r="V44" s="82">
        <f t="shared" si="34"/>
        <v>-515534.69229466456</v>
      </c>
      <c r="W44" s="82">
        <f t="shared" si="35"/>
        <v>-515534.69229466456</v>
      </c>
      <c r="X44" s="82">
        <f t="shared" si="36"/>
        <v>-515548.64229466458</v>
      </c>
      <c r="Y44" s="82">
        <f t="shared" si="37"/>
        <v>-515546.75229466456</v>
      </c>
      <c r="Z44" s="82"/>
      <c r="AA44" s="82"/>
      <c r="AB44" s="82">
        <f t="shared" si="38"/>
        <v>-515534.69229466456</v>
      </c>
    </row>
    <row r="45" spans="1:57" x14ac:dyDescent="0.25">
      <c r="A45" s="17" t="s">
        <v>408</v>
      </c>
      <c r="B45" s="17"/>
      <c r="C45" s="17">
        <v>-821.50437053799999</v>
      </c>
      <c r="D45" s="14"/>
      <c r="E45" s="14">
        <v>-821.60098106999999</v>
      </c>
      <c r="F45" s="14"/>
      <c r="G45" s="17">
        <v>-821.61445409099997</v>
      </c>
      <c r="H45" s="17"/>
      <c r="I45" s="17"/>
      <c r="J45" s="17">
        <v>-15.52</v>
      </c>
      <c r="K45" s="14">
        <v>-13.08</v>
      </c>
      <c r="L45" s="17"/>
      <c r="M45" s="17">
        <v>787.59</v>
      </c>
      <c r="N45" s="17">
        <v>0.13600499999999999</v>
      </c>
      <c r="O45" s="17">
        <v>0.14948800000000001</v>
      </c>
      <c r="P45" s="17">
        <v>9.7185999999999995E-2</v>
      </c>
      <c r="Q45" s="16">
        <f t="shared" si="31"/>
        <v>5.2302000000000015E-2</v>
      </c>
      <c r="R45" s="82">
        <f>((B45+N45)*$BJ$3*$BJ$4*10^-3)/$BJ$5</f>
        <v>85.344399937259837</v>
      </c>
      <c r="S45" s="82">
        <f>((C45+N45)*$BJ$3*$BJ$4*10^-3)/$BJ$5</f>
        <v>-515416.27355088788</v>
      </c>
      <c r="T45" s="82">
        <f t="shared" si="32"/>
        <v>-515485.35200222238</v>
      </c>
      <c r="U45" s="82">
        <f t="shared" si="33"/>
        <v>-515485.35200222238</v>
      </c>
      <c r="V45" s="82">
        <f t="shared" si="34"/>
        <v>-515509.71128505137</v>
      </c>
      <c r="W45" s="82">
        <f t="shared" si="35"/>
        <v>-515509.71128505137</v>
      </c>
      <c r="X45" s="82">
        <f t="shared" si="36"/>
        <v>-515525.23128505138</v>
      </c>
      <c r="Y45" s="82">
        <f t="shared" si="37"/>
        <v>-515522.79128505138</v>
      </c>
      <c r="Z45" s="82"/>
      <c r="AA45" s="82"/>
      <c r="AB45" s="82">
        <f t="shared" si="38"/>
        <v>-515509.71128505137</v>
      </c>
    </row>
    <row r="46" spans="1:57" x14ac:dyDescent="0.25">
      <c r="A46" s="17" t="s">
        <v>294</v>
      </c>
      <c r="B46" s="17">
        <v>-267.02857684999998</v>
      </c>
      <c r="C46" s="17">
        <v>-497.98408333999998</v>
      </c>
      <c r="D46" s="14">
        <v>0.61160000000000003</v>
      </c>
      <c r="E46" s="14">
        <v>-498.07470655899999</v>
      </c>
      <c r="F46" s="14">
        <v>0.61539999999999995</v>
      </c>
      <c r="G46" s="17">
        <v>-498.09039031200001</v>
      </c>
      <c r="H46" s="17">
        <v>0.61580000000000001</v>
      </c>
      <c r="I46" s="17">
        <v>-14.68</v>
      </c>
      <c r="J46" s="17">
        <v>-15.9</v>
      </c>
      <c r="K46" s="14">
        <v>-13.66</v>
      </c>
      <c r="L46" s="17">
        <v>-15.62</v>
      </c>
      <c r="M46" s="17">
        <v>1571.2</v>
      </c>
      <c r="N46" s="17">
        <v>0.15118400000000001</v>
      </c>
      <c r="O46" s="17">
        <v>0.16402600000000001</v>
      </c>
      <c r="P46" s="17">
        <v>0.111217</v>
      </c>
      <c r="Q46" s="16">
        <f t="shared" ref="Q46:Q57" si="39">O46-P46</f>
        <v>5.2809000000000009E-2</v>
      </c>
      <c r="R46" s="82">
        <f t="shared" ref="R46:R57" si="40">((B46+N46)*$BJ$3*$BJ$4*10^-3)/$BJ$5</f>
        <v>-167468.04124556892</v>
      </c>
      <c r="S46" s="82">
        <f t="shared" ref="S46:S57" si="41">((C46+N46)*$BJ$3*$BJ$4*10^-3)/$BJ$5</f>
        <v>-312394.76536302769</v>
      </c>
      <c r="T46" s="82">
        <f t="shared" ref="T46:T57" si="42">((G46+N46)*$BJ$3*$BJ$4*10^-3)/$BJ$5</f>
        <v>-312461.47397472936</v>
      </c>
      <c r="U46" s="82">
        <f t="shared" ref="U46:U57" si="43">((G46+N46)*$BJ$3*$BJ$4*10^-3)/$BJ$5</f>
        <v>-312461.47397472936</v>
      </c>
      <c r="V46" s="82">
        <f t="shared" ref="V46:V57" si="44">((G46+P46)*$BJ$3*$BJ$4*10^-3)/$BJ$5</f>
        <v>-312486.55363821448</v>
      </c>
      <c r="W46" s="82">
        <f t="shared" ref="W46:W57" si="45">((G46+P46)*$BJ$3*$BJ$4*10^-3)/$BJ$5+I46</f>
        <v>-312501.23363821447</v>
      </c>
      <c r="X46" s="82">
        <f t="shared" ref="X46:X57" si="46">((G46+P46)*$BJ$3*$BJ$4*10^-3)/$BJ$5+J46</f>
        <v>-312502.4536382145</v>
      </c>
      <c r="Y46" s="82">
        <f t="shared" ref="Y46:Y57" si="47">((G46+P46)*$BJ$3*$BJ$4*10^-3)/$BJ$5+K46</f>
        <v>-312500.21363821445</v>
      </c>
      <c r="Z46" s="82">
        <f t="shared" ref="Z46:Z57" si="48">((E46+P46)*$BJ$3*$BJ$4*10^-3)/$BJ$5+K46</f>
        <v>-312490.37193762587</v>
      </c>
      <c r="AA46" s="82">
        <f t="shared" ref="AA46:AA57" si="49">((C46+P46)*$BJ$3*$BJ$4*10^-3)/$BJ$5+K46</f>
        <v>-312433.50502651278</v>
      </c>
      <c r="AB46" s="82">
        <f t="shared" ref="AB46:AB57" si="50">((G46+P46)*$BJ$3*$BJ$4*10^-3)/$BJ$5+L46</f>
        <v>-312502.17363821447</v>
      </c>
    </row>
    <row r="47" spans="1:57" x14ac:dyDescent="0.25">
      <c r="A47" s="17" t="s">
        <v>295</v>
      </c>
      <c r="B47" s="17"/>
      <c r="C47" s="17">
        <v>-497.95754721499998</v>
      </c>
      <c r="D47" s="14"/>
      <c r="E47" s="14">
        <v>-498.04795637000001</v>
      </c>
      <c r="F47" s="14"/>
      <c r="G47" s="17">
        <v>-498.06356076700001</v>
      </c>
      <c r="H47" s="17"/>
      <c r="I47" s="17">
        <v>-14.7</v>
      </c>
      <c r="J47" s="17">
        <v>-16.329999999999998</v>
      </c>
      <c r="K47" s="14">
        <v>-13.71</v>
      </c>
      <c r="L47" s="17">
        <v>-16.3</v>
      </c>
      <c r="M47" s="17"/>
      <c r="N47" s="17">
        <v>0.15118400000000001</v>
      </c>
      <c r="O47" s="17">
        <v>0.16402600000000001</v>
      </c>
      <c r="P47" s="17">
        <v>0.111217</v>
      </c>
      <c r="Q47" s="16">
        <f t="shared" si="39"/>
        <v>5.2809000000000009E-2</v>
      </c>
      <c r="R47" s="82">
        <f t="shared" si="40"/>
        <v>94.869363333073721</v>
      </c>
      <c r="S47" s="82">
        <f t="shared" si="41"/>
        <v>-312378.11369827425</v>
      </c>
      <c r="T47" s="82">
        <f t="shared" si="42"/>
        <v>-312444.63818620233</v>
      </c>
      <c r="U47" s="82">
        <f t="shared" si="43"/>
        <v>-312444.63818620233</v>
      </c>
      <c r="V47" s="82">
        <f t="shared" si="44"/>
        <v>-312469.71784968744</v>
      </c>
      <c r="W47" s="82">
        <f t="shared" si="45"/>
        <v>-312484.41784968745</v>
      </c>
      <c r="X47" s="82">
        <f t="shared" si="46"/>
        <v>-312486.04784968746</v>
      </c>
      <c r="Y47" s="82">
        <f t="shared" si="47"/>
        <v>-312483.42784968746</v>
      </c>
      <c r="Z47" s="82">
        <f t="shared" si="48"/>
        <v>-312473.63594572549</v>
      </c>
      <c r="AA47" s="82">
        <f t="shared" si="49"/>
        <v>-312416.90336175944</v>
      </c>
      <c r="AB47" s="82">
        <f t="shared" si="50"/>
        <v>-312486.01784968743</v>
      </c>
    </row>
    <row r="48" spans="1:57" x14ac:dyDescent="0.25">
      <c r="A48" s="17" t="s">
        <v>296</v>
      </c>
      <c r="B48" s="17">
        <v>-267.10437729</v>
      </c>
      <c r="C48" s="17">
        <v>-498.05064853699997</v>
      </c>
      <c r="D48" s="14"/>
      <c r="E48" s="14">
        <v>-498.14129815500002</v>
      </c>
      <c r="F48" s="14"/>
      <c r="G48" s="17">
        <v>-498.157816626</v>
      </c>
      <c r="H48" s="17"/>
      <c r="I48" s="17">
        <v>-10.61</v>
      </c>
      <c r="J48" s="17">
        <v>-8.4700000000000006</v>
      </c>
      <c r="K48" s="14">
        <v>-7.49</v>
      </c>
      <c r="L48" s="17">
        <v>-7.73</v>
      </c>
      <c r="M48" s="17"/>
      <c r="N48" s="17">
        <v>0.16209100000000001</v>
      </c>
      <c r="O48" s="17">
        <v>0.174342</v>
      </c>
      <c r="P48" s="17">
        <v>0.12181400000000001</v>
      </c>
      <c r="Q48" s="16">
        <f t="shared" si="39"/>
        <v>5.2527999999999991E-2</v>
      </c>
      <c r="R48" s="82">
        <f t="shared" si="40"/>
        <v>-167508.76248152842</v>
      </c>
      <c r="S48" s="82">
        <f t="shared" si="41"/>
        <v>-312429.69139828038</v>
      </c>
      <c r="T48" s="82">
        <f t="shared" si="42"/>
        <v>-312496.94036889274</v>
      </c>
      <c r="U48" s="82">
        <f t="shared" si="43"/>
        <v>-312496.94036889274</v>
      </c>
      <c r="V48" s="82">
        <f t="shared" si="44"/>
        <v>-312522.21456025535</v>
      </c>
      <c r="W48" s="82">
        <f t="shared" si="45"/>
        <v>-312532.82456025534</v>
      </c>
      <c r="X48" s="82">
        <f t="shared" si="46"/>
        <v>-312530.68456025532</v>
      </c>
      <c r="Y48" s="82">
        <f t="shared" si="47"/>
        <v>-312529.70456025534</v>
      </c>
      <c r="Z48" s="82">
        <f t="shared" si="48"/>
        <v>-312519.33906637377</v>
      </c>
      <c r="AA48" s="82">
        <f t="shared" si="49"/>
        <v>-312462.45558964304</v>
      </c>
      <c r="AB48" s="82">
        <f t="shared" si="50"/>
        <v>-312529.94456025533</v>
      </c>
    </row>
    <row r="49" spans="1:28" x14ac:dyDescent="0.25">
      <c r="A49" s="17" t="s">
        <v>292</v>
      </c>
      <c r="B49" s="17"/>
      <c r="C49" s="17">
        <v>-497.98453322099999</v>
      </c>
      <c r="D49" s="14">
        <v>0.62760000000000005</v>
      </c>
      <c r="E49" s="14">
        <v>-498.07514156000002</v>
      </c>
      <c r="F49" s="14">
        <v>0.63139999999999996</v>
      </c>
      <c r="G49" s="17">
        <v>-498.09073168399999</v>
      </c>
      <c r="H49" s="17">
        <v>0.63249999999999995</v>
      </c>
      <c r="I49" s="17">
        <v>-13.41</v>
      </c>
      <c r="J49" s="17">
        <v>-14.79</v>
      </c>
      <c r="K49" s="14">
        <v>-12.56</v>
      </c>
      <c r="L49" s="17">
        <v>-14.68</v>
      </c>
      <c r="M49" s="17">
        <v>1772.93</v>
      </c>
      <c r="N49" s="17">
        <v>0.15193899999999999</v>
      </c>
      <c r="O49" s="17">
        <v>0.164573</v>
      </c>
      <c r="P49" s="17">
        <v>0.112749</v>
      </c>
      <c r="Q49" s="16">
        <f t="shared" si="39"/>
        <v>5.1823999999999995E-2</v>
      </c>
      <c r="R49" s="82">
        <f t="shared" si="40"/>
        <v>95.343132841199377</v>
      </c>
      <c r="S49" s="82">
        <f t="shared" si="41"/>
        <v>-312394.57389802294</v>
      </c>
      <c r="T49" s="82">
        <f t="shared" si="42"/>
        <v>-312461.21441931993</v>
      </c>
      <c r="U49" s="82">
        <f t="shared" si="43"/>
        <v>-312461.21441931993</v>
      </c>
      <c r="V49" s="82">
        <f t="shared" si="44"/>
        <v>-312485.80650809268</v>
      </c>
      <c r="W49" s="82">
        <f t="shared" si="45"/>
        <v>-312499.21650809265</v>
      </c>
      <c r="X49" s="82">
        <f t="shared" si="46"/>
        <v>-312500.59650809265</v>
      </c>
      <c r="Y49" s="82">
        <f t="shared" si="47"/>
        <v>-312498.36650809267</v>
      </c>
      <c r="Z49" s="82">
        <f t="shared" si="48"/>
        <v>-312488.58356057078</v>
      </c>
      <c r="AA49" s="82">
        <f t="shared" si="49"/>
        <v>-312431.72598679567</v>
      </c>
      <c r="AB49" s="82">
        <f t="shared" si="50"/>
        <v>-312500.48650809267</v>
      </c>
    </row>
    <row r="50" spans="1:28" x14ac:dyDescent="0.25">
      <c r="A50" s="17" t="s">
        <v>308</v>
      </c>
      <c r="B50" s="17"/>
      <c r="C50" s="17">
        <v>-497.95840930600002</v>
      </c>
      <c r="D50" s="14"/>
      <c r="E50" s="14">
        <v>-498.04889819300001</v>
      </c>
      <c r="F50" s="14"/>
      <c r="G50" s="17">
        <v>-498.06445269800003</v>
      </c>
      <c r="H50" s="17"/>
      <c r="I50" s="17">
        <v>-13.2</v>
      </c>
      <c r="J50" s="17">
        <v>-14.74</v>
      </c>
      <c r="K50" s="14">
        <v>-12.55</v>
      </c>
      <c r="L50" s="17">
        <v>-14.79</v>
      </c>
      <c r="M50" s="17"/>
      <c r="N50" s="17">
        <v>0.15193899999999999</v>
      </c>
      <c r="O50" s="17">
        <v>0.164573</v>
      </c>
      <c r="P50" s="17">
        <v>0.112749</v>
      </c>
      <c r="Q50" s="16">
        <f t="shared" si="39"/>
        <v>5.1823999999999995E-2</v>
      </c>
      <c r="R50" s="82">
        <f t="shared" si="40"/>
        <v>95.343132841199377</v>
      </c>
      <c r="S50" s="82">
        <f t="shared" si="41"/>
        <v>-312378.18089887081</v>
      </c>
      <c r="T50" s="82">
        <f t="shared" si="42"/>
        <v>-312444.72411167587</v>
      </c>
      <c r="U50" s="82">
        <f t="shared" si="43"/>
        <v>-312444.72411167587</v>
      </c>
      <c r="V50" s="82">
        <f t="shared" si="44"/>
        <v>-312469.31620044867</v>
      </c>
      <c r="W50" s="82">
        <f t="shared" si="45"/>
        <v>-312482.51620044868</v>
      </c>
      <c r="X50" s="82">
        <f t="shared" si="46"/>
        <v>-312484.05620044866</v>
      </c>
      <c r="Y50" s="82">
        <f t="shared" si="47"/>
        <v>-312481.86620044865</v>
      </c>
      <c r="Z50" s="82">
        <f t="shared" si="48"/>
        <v>-312472.10560417984</v>
      </c>
      <c r="AA50" s="82">
        <f t="shared" si="49"/>
        <v>-312415.32298764365</v>
      </c>
      <c r="AB50" s="82">
        <f t="shared" si="50"/>
        <v>-312484.10620044864</v>
      </c>
    </row>
    <row r="51" spans="1:28" x14ac:dyDescent="0.25">
      <c r="A51" s="17" t="s">
        <v>293</v>
      </c>
      <c r="B51" s="17"/>
      <c r="C51" s="17">
        <v>-498.05046880200001</v>
      </c>
      <c r="D51" s="14"/>
      <c r="E51" s="14">
        <v>-498.14146703</v>
      </c>
      <c r="F51" s="14"/>
      <c r="G51" s="17">
        <v>-498.15789615599999</v>
      </c>
      <c r="H51" s="17"/>
      <c r="I51" s="17">
        <v>-8.8800000000000008</v>
      </c>
      <c r="J51" s="17">
        <v>-7.61</v>
      </c>
      <c r="K51" s="14">
        <v>-6.49</v>
      </c>
      <c r="L51" s="17">
        <v>-7.04</v>
      </c>
      <c r="M51" s="17"/>
      <c r="N51" s="17">
        <v>0.16272500000000001</v>
      </c>
      <c r="O51" s="17">
        <v>0.174675</v>
      </c>
      <c r="P51" s="17">
        <v>0.123322</v>
      </c>
      <c r="Q51" s="16">
        <f t="shared" si="39"/>
        <v>5.1352999999999996E-2</v>
      </c>
      <c r="R51" s="82">
        <f t="shared" si="40"/>
        <v>102.11144795993241</v>
      </c>
      <c r="S51" s="82">
        <f t="shared" si="41"/>
        <v>-312429.18077201466</v>
      </c>
      <c r="T51" s="82">
        <f t="shared" si="42"/>
        <v>-312496.592433821</v>
      </c>
      <c r="U51" s="82">
        <f t="shared" si="43"/>
        <v>-312496.592433821</v>
      </c>
      <c r="V51" s="82">
        <f t="shared" si="44"/>
        <v>-312521.31818207091</v>
      </c>
      <c r="W51" s="82">
        <f t="shared" si="45"/>
        <v>-312530.19818207092</v>
      </c>
      <c r="X51" s="82">
        <f t="shared" si="46"/>
        <v>-312528.9281820709</v>
      </c>
      <c r="Y51" s="82">
        <f t="shared" si="47"/>
        <v>-312527.8081820709</v>
      </c>
      <c r="Z51" s="82">
        <f t="shared" si="48"/>
        <v>-312517.49875300616</v>
      </c>
      <c r="AA51" s="82">
        <f t="shared" si="49"/>
        <v>-312460.39652026456</v>
      </c>
      <c r="AB51" s="82">
        <f t="shared" si="50"/>
        <v>-312528.35818207089</v>
      </c>
    </row>
    <row r="52" spans="1:28" x14ac:dyDescent="0.25">
      <c r="A52" s="17" t="s">
        <v>333</v>
      </c>
      <c r="B52" s="17"/>
      <c r="C52" s="17">
        <v>-497.43550554900003</v>
      </c>
      <c r="D52" s="14">
        <v>0.23139999999999999</v>
      </c>
      <c r="E52" s="14">
        <v>-497.52566592699998</v>
      </c>
      <c r="F52" s="14">
        <v>0.21390000000000001</v>
      </c>
      <c r="G52" s="17">
        <v>-497.54040276799998</v>
      </c>
      <c r="H52" s="17">
        <v>0.21199999999999999</v>
      </c>
      <c r="I52" s="17"/>
      <c r="J52" s="17">
        <v>-62.83</v>
      </c>
      <c r="K52" s="14">
        <v>-63.67</v>
      </c>
      <c r="L52" s="17"/>
      <c r="M52" s="17">
        <v>415.74</v>
      </c>
      <c r="N52" s="17">
        <v>0.14141000000000001</v>
      </c>
      <c r="O52" s="17">
        <v>0.15376899999999999</v>
      </c>
      <c r="P52" s="17">
        <v>0.100935</v>
      </c>
      <c r="Q52" s="16">
        <f t="shared" si="39"/>
        <v>5.2833999999999992E-2</v>
      </c>
      <c r="R52" s="82">
        <f t="shared" si="40"/>
        <v>88.73608760801379</v>
      </c>
      <c r="S52" s="82">
        <f t="shared" si="41"/>
        <v>-312056.66098284448</v>
      </c>
      <c r="T52" s="82">
        <f t="shared" si="42"/>
        <v>-312122.48496145289</v>
      </c>
      <c r="U52" s="82">
        <f t="shared" si="43"/>
        <v>-312122.48496145289</v>
      </c>
      <c r="V52" s="82">
        <f t="shared" si="44"/>
        <v>-312147.88339965342</v>
      </c>
      <c r="W52" s="82">
        <f t="shared" si="45"/>
        <v>-312147.88339965342</v>
      </c>
      <c r="X52" s="82">
        <f t="shared" si="46"/>
        <v>-312210.71339965344</v>
      </c>
      <c r="Y52" s="82">
        <f t="shared" si="47"/>
        <v>-312211.55339965341</v>
      </c>
      <c r="Z52" s="82">
        <f t="shared" si="48"/>
        <v>-312202.30589513434</v>
      </c>
      <c r="AA52" s="82">
        <f t="shared" si="49"/>
        <v>-312145.72942104505</v>
      </c>
      <c r="AB52" s="82">
        <f t="shared" si="50"/>
        <v>-312147.88339965342</v>
      </c>
    </row>
    <row r="53" spans="1:28" x14ac:dyDescent="0.25">
      <c r="A53" s="17" t="s">
        <v>334</v>
      </c>
      <c r="B53" s="17"/>
      <c r="C53" s="17">
        <v>-497.39300837399998</v>
      </c>
      <c r="D53" s="14"/>
      <c r="E53" s="14">
        <v>-497.48275593800003</v>
      </c>
      <c r="F53" s="14"/>
      <c r="G53" s="17">
        <v>-497.49761985399999</v>
      </c>
      <c r="H53" s="17"/>
      <c r="I53" s="17"/>
      <c r="J53" s="17">
        <v>-67.59</v>
      </c>
      <c r="K53" s="14">
        <v>-67.510000000000005</v>
      </c>
      <c r="L53" s="17"/>
      <c r="M53" s="17"/>
      <c r="N53" s="17">
        <v>0.14141000000000001</v>
      </c>
      <c r="O53" s="17">
        <v>0.15376899999999999</v>
      </c>
      <c r="P53" s="17">
        <v>0.100935</v>
      </c>
      <c r="Q53" s="16">
        <f t="shared" si="39"/>
        <v>5.2833999999999992E-2</v>
      </c>
      <c r="R53" s="82">
        <f t="shared" si="40"/>
        <v>88.73608760801379</v>
      </c>
      <c r="S53" s="82">
        <f t="shared" si="41"/>
        <v>-312029.99361106101</v>
      </c>
      <c r="T53" s="82">
        <f t="shared" si="42"/>
        <v>-312095.6382857947</v>
      </c>
      <c r="U53" s="82">
        <f t="shared" si="43"/>
        <v>-312095.6382857947</v>
      </c>
      <c r="V53" s="82">
        <f t="shared" si="44"/>
        <v>-312121.03672399517</v>
      </c>
      <c r="W53" s="82">
        <f t="shared" si="45"/>
        <v>-312121.03672399517</v>
      </c>
      <c r="X53" s="82">
        <f t="shared" si="46"/>
        <v>-312188.6267239952</v>
      </c>
      <c r="Y53" s="82">
        <f t="shared" si="47"/>
        <v>-312188.54672399518</v>
      </c>
      <c r="Z53" s="82">
        <f t="shared" si="48"/>
        <v>-312179.21947873419</v>
      </c>
      <c r="AA53" s="82">
        <f t="shared" si="49"/>
        <v>-312122.90204926161</v>
      </c>
      <c r="AB53" s="82">
        <f t="shared" si="50"/>
        <v>-312121.03672399517</v>
      </c>
    </row>
    <row r="54" spans="1:28" x14ac:dyDescent="0.25">
      <c r="A54" s="17" t="s">
        <v>335</v>
      </c>
      <c r="B54" s="17"/>
      <c r="C54" s="17">
        <v>-497.48911705199998</v>
      </c>
      <c r="D54" s="14"/>
      <c r="E54" s="14">
        <v>-497.57961007</v>
      </c>
      <c r="F54" s="14"/>
      <c r="G54" s="17">
        <v>-497.59505731600001</v>
      </c>
      <c r="H54" s="17"/>
      <c r="I54" s="17"/>
      <c r="J54" s="17">
        <v>-56.45</v>
      </c>
      <c r="K54" s="14">
        <v>-58.1</v>
      </c>
      <c r="L54" s="17"/>
      <c r="M54" s="17"/>
      <c r="N54" s="17">
        <v>0.14744299999999999</v>
      </c>
      <c r="O54" s="17">
        <v>0.15886700000000001</v>
      </c>
      <c r="P54" s="17">
        <v>0.10877100000000001</v>
      </c>
      <c r="Q54" s="16">
        <f t="shared" si="39"/>
        <v>5.0096000000000002E-2</v>
      </c>
      <c r="R54" s="82">
        <f t="shared" si="40"/>
        <v>92.521851108043109</v>
      </c>
      <c r="S54" s="82">
        <f t="shared" si="41"/>
        <v>-312086.51693511422</v>
      </c>
      <c r="T54" s="82">
        <f t="shared" si="42"/>
        <v>-312152.99543414207</v>
      </c>
      <c r="U54" s="82">
        <f t="shared" si="43"/>
        <v>-312152.99543414207</v>
      </c>
      <c r="V54" s="82">
        <f t="shared" si="44"/>
        <v>-312177.26247310656</v>
      </c>
      <c r="W54" s="82">
        <f t="shared" si="45"/>
        <v>-312177.26247310656</v>
      </c>
      <c r="X54" s="82">
        <f t="shared" si="46"/>
        <v>-312233.71247310657</v>
      </c>
      <c r="Y54" s="82">
        <f t="shared" si="47"/>
        <v>-312235.36247310654</v>
      </c>
      <c r="Z54" s="82">
        <f t="shared" si="48"/>
        <v>-312225.66918285581</v>
      </c>
      <c r="AA54" s="82">
        <f t="shared" si="49"/>
        <v>-312168.88397407869</v>
      </c>
      <c r="AB54" s="82">
        <f t="shared" si="50"/>
        <v>-312177.26247310656</v>
      </c>
    </row>
    <row r="55" spans="1:28" x14ac:dyDescent="0.25">
      <c r="A55" s="17" t="s">
        <v>350</v>
      </c>
      <c r="B55" s="17"/>
      <c r="C55" s="17">
        <v>-497.43690715100001</v>
      </c>
      <c r="D55" s="14">
        <v>0.35930000000000001</v>
      </c>
      <c r="E55" s="14">
        <v>-497.527050879</v>
      </c>
      <c r="F55" s="14">
        <v>0.35120000000000001</v>
      </c>
      <c r="G55" s="17">
        <v>-497.54170676699999</v>
      </c>
      <c r="H55" s="17">
        <v>0.35089999999999999</v>
      </c>
      <c r="I55" s="17"/>
      <c r="J55" s="17">
        <v>-61.2</v>
      </c>
      <c r="K55" s="14">
        <v>-62.27</v>
      </c>
      <c r="L55" s="17"/>
      <c r="M55" s="17">
        <v>412.27</v>
      </c>
      <c r="N55" s="17">
        <v>0.140926</v>
      </c>
      <c r="O55" s="17">
        <v>0.153309</v>
      </c>
      <c r="P55" s="17">
        <v>0.10009700000000001</v>
      </c>
      <c r="Q55" s="16">
        <f t="shared" si="39"/>
        <v>5.3211999999999995E-2</v>
      </c>
      <c r="R55" s="82">
        <f t="shared" si="40"/>
        <v>88.43237311538752</v>
      </c>
      <c r="S55" s="82">
        <f t="shared" si="41"/>
        <v>-312057.84421560215</v>
      </c>
      <c r="T55" s="82">
        <f t="shared" si="42"/>
        <v>-312123.60694742214</v>
      </c>
      <c r="U55" s="82">
        <f t="shared" si="43"/>
        <v>-312123.60694742214</v>
      </c>
      <c r="V55" s="82">
        <f t="shared" si="44"/>
        <v>-312149.22752390854</v>
      </c>
      <c r="W55" s="82">
        <f t="shared" si="45"/>
        <v>-312149.22752390854</v>
      </c>
      <c r="X55" s="82">
        <f t="shared" si="46"/>
        <v>-312210.42752390855</v>
      </c>
      <c r="Y55" s="82">
        <f t="shared" si="47"/>
        <v>-312211.49752390856</v>
      </c>
      <c r="Z55" s="82">
        <f t="shared" si="48"/>
        <v>-312202.30081814848</v>
      </c>
      <c r="AA55" s="82">
        <f t="shared" si="49"/>
        <v>-312145.73479208862</v>
      </c>
      <c r="AB55" s="82">
        <f t="shared" si="50"/>
        <v>-312149.22752390854</v>
      </c>
    </row>
    <row r="56" spans="1:28" x14ac:dyDescent="0.25">
      <c r="A56" s="17" t="s">
        <v>351</v>
      </c>
      <c r="B56" s="17"/>
      <c r="C56" s="17">
        <v>-497.40327380399998</v>
      </c>
      <c r="D56" s="14"/>
      <c r="E56" s="14">
        <v>-497.49325764899999</v>
      </c>
      <c r="F56" s="14"/>
      <c r="G56" s="17">
        <v>-497.50806891600001</v>
      </c>
      <c r="H56" s="17"/>
      <c r="I56" s="17"/>
      <c r="J56" s="17">
        <v>-65.66</v>
      </c>
      <c r="K56" s="14">
        <v>-66.7</v>
      </c>
      <c r="L56" s="17"/>
      <c r="M56" s="17"/>
      <c r="N56" s="17">
        <v>0.140926</v>
      </c>
      <c r="O56" s="17">
        <v>0.153309</v>
      </c>
      <c r="P56" s="17">
        <v>0.10009700000000001</v>
      </c>
      <c r="Q56" s="16">
        <f t="shared" si="39"/>
        <v>5.3211999999999995E-2</v>
      </c>
      <c r="R56" s="82">
        <f t="shared" si="40"/>
        <v>88.43237311538752</v>
      </c>
      <c r="S56" s="82">
        <f t="shared" si="41"/>
        <v>-312036.73897816532</v>
      </c>
      <c r="T56" s="82">
        <f t="shared" si="42"/>
        <v>-312102.49888368353</v>
      </c>
      <c r="U56" s="82">
        <f t="shared" si="43"/>
        <v>-312102.49888368353</v>
      </c>
      <c r="V56" s="82">
        <f t="shared" si="44"/>
        <v>-312128.11946016992</v>
      </c>
      <c r="W56" s="82">
        <f t="shared" si="45"/>
        <v>-312128.11946016992</v>
      </c>
      <c r="X56" s="82">
        <f t="shared" si="46"/>
        <v>-312193.7794601699</v>
      </c>
      <c r="Y56" s="82">
        <f t="shared" si="47"/>
        <v>-312194.81946016994</v>
      </c>
      <c r="Z56" s="82">
        <f t="shared" si="48"/>
        <v>-312185.52525264502</v>
      </c>
      <c r="AA56" s="82">
        <f t="shared" si="49"/>
        <v>-312129.05955465173</v>
      </c>
      <c r="AB56" s="82">
        <f t="shared" si="50"/>
        <v>-312128.11946016992</v>
      </c>
    </row>
    <row r="57" spans="1:28" x14ac:dyDescent="0.25">
      <c r="A57" s="17" t="s">
        <v>352</v>
      </c>
      <c r="B57" s="17"/>
      <c r="C57" s="17"/>
      <c r="D57" s="14"/>
      <c r="E57" s="14">
        <v>-497.57952445900003</v>
      </c>
      <c r="F57" s="14"/>
      <c r="G57" s="17">
        <v>-497.59479167400002</v>
      </c>
      <c r="H57" s="17"/>
      <c r="I57" s="17"/>
      <c r="J57" s="17">
        <v>-56.56</v>
      </c>
      <c r="K57" s="14">
        <v>-58.18</v>
      </c>
      <c r="L57" s="17"/>
      <c r="M57" s="17"/>
      <c r="N57" s="17">
        <v>0.14823900000000001</v>
      </c>
      <c r="O57" s="17">
        <v>0.15945300000000001</v>
      </c>
      <c r="P57" s="17">
        <v>0.11018600000000001</v>
      </c>
      <c r="Q57" s="16">
        <f t="shared" si="39"/>
        <v>4.9267000000000005E-2</v>
      </c>
      <c r="R57" s="82">
        <f t="shared" si="40"/>
        <v>93.021348496742476</v>
      </c>
      <c r="S57" s="82">
        <f t="shared" si="41"/>
        <v>93.021348496742476</v>
      </c>
      <c r="T57" s="82">
        <f t="shared" si="42"/>
        <v>-312152.32924393256</v>
      </c>
      <c r="U57" s="82">
        <f t="shared" si="43"/>
        <v>-312152.32924393256</v>
      </c>
      <c r="V57" s="82">
        <f t="shared" si="44"/>
        <v>-312176.20785465138</v>
      </c>
      <c r="W57" s="82">
        <f t="shared" si="45"/>
        <v>-312176.20785465138</v>
      </c>
      <c r="X57" s="82">
        <f t="shared" si="46"/>
        <v>-312232.76785465138</v>
      </c>
      <c r="Y57" s="82">
        <f t="shared" si="47"/>
        <v>-312234.38785465137</v>
      </c>
      <c r="Z57" s="82">
        <f t="shared" si="48"/>
        <v>-312224.80753552425</v>
      </c>
      <c r="AA57" s="82">
        <f t="shared" si="49"/>
        <v>10.962737777926641</v>
      </c>
      <c r="AB57" s="82">
        <f t="shared" si="50"/>
        <v>-312176.20785465138</v>
      </c>
    </row>
    <row r="60" spans="1:28" x14ac:dyDescent="0.25">
      <c r="D60" s="6">
        <f>X18-X15</f>
        <v>20.777131425798871</v>
      </c>
    </row>
    <row r="61" spans="1:28" x14ac:dyDescent="0.25">
      <c r="D61" s="6">
        <f>X45-X44</f>
        <v>23.411009613191709</v>
      </c>
    </row>
    <row r="62" spans="1:28" ht="19.5" customHeight="1" x14ac:dyDescent="0.25">
      <c r="D62" s="6">
        <f>D60+D61</f>
        <v>44.18814103899058</v>
      </c>
    </row>
    <row r="65" spans="1:22" ht="45" x14ac:dyDescent="0.25">
      <c r="A65" s="105" t="s">
        <v>174</v>
      </c>
      <c r="B65" s="105" t="s">
        <v>174</v>
      </c>
      <c r="C65" s="105" t="s">
        <v>175</v>
      </c>
      <c r="E65" s="105" t="s">
        <v>279</v>
      </c>
      <c r="F65" s="105" t="s">
        <v>227</v>
      </c>
      <c r="G65" s="105" t="s">
        <v>176</v>
      </c>
      <c r="H65" s="105" t="s">
        <v>177</v>
      </c>
      <c r="I65" s="105" t="s">
        <v>178</v>
      </c>
      <c r="J65" s="103" t="s">
        <v>179</v>
      </c>
      <c r="K65" s="103" t="s">
        <v>180</v>
      </c>
      <c r="L65" s="103" t="s">
        <v>181</v>
      </c>
      <c r="M65" s="103" t="s">
        <v>182</v>
      </c>
      <c r="N65" s="103" t="s">
        <v>183</v>
      </c>
      <c r="O65" s="103" t="s">
        <v>184</v>
      </c>
      <c r="P65" s="103" t="s">
        <v>185</v>
      </c>
      <c r="Q65" s="103" t="s">
        <v>186</v>
      </c>
      <c r="R65" s="103" t="s">
        <v>187</v>
      </c>
      <c r="S65" s="103" t="s">
        <v>188</v>
      </c>
      <c r="T65" s="103" t="s">
        <v>189</v>
      </c>
      <c r="U65" s="105" t="s">
        <v>190</v>
      </c>
      <c r="V65" s="105" t="s">
        <v>191</v>
      </c>
    </row>
    <row r="66" spans="1:22" x14ac:dyDescent="0.25">
      <c r="A66" s="17" t="s">
        <v>73</v>
      </c>
      <c r="B66" s="17">
        <v>-346.74015428000001</v>
      </c>
      <c r="C66" s="17">
        <v>-346.75649944899999</v>
      </c>
      <c r="E66" s="17">
        <v>-346.85367013799998</v>
      </c>
      <c r="F66" s="17"/>
      <c r="G66" s="17">
        <v>-7.36</v>
      </c>
      <c r="H66" s="17">
        <v>-5.91</v>
      </c>
      <c r="I66" s="17">
        <v>-4.49</v>
      </c>
      <c r="J66" s="17"/>
      <c r="K66" s="17">
        <v>0.136019</v>
      </c>
      <c r="L66" s="17">
        <v>0.14393400000000001</v>
      </c>
      <c r="M66" s="17">
        <v>0.104296</v>
      </c>
      <c r="N66" s="16">
        <f t="shared" ref="N66:N77" si="51">L66-M66</f>
        <v>3.9638000000000007E-2</v>
      </c>
      <c r="O66" s="82">
        <f t="shared" ref="O66:O77" si="52">((B66+K66)*$BJ$3*$BJ$4*10^-3)/$BJ$5</f>
        <v>-217497.31216679118</v>
      </c>
      <c r="P66" s="82">
        <f t="shared" ref="P66:P77" si="53">((C66+K66)*$BJ$3*$BJ$4*10^-3)/$BJ$5</f>
        <v>-217507.56891205921</v>
      </c>
      <c r="Q66" s="82">
        <f t="shared" ref="Q66:Q77" si="54">((E66+K66)*$BJ$3*$BJ$4*10^-3)/$BJ$5</f>
        <v>-217568.54442137282</v>
      </c>
      <c r="R66" s="82">
        <f t="shared" ref="R66:R77" si="55">((E66+K66)*$BJ$3*$BJ$4*10^-3)/$BJ$5</f>
        <v>-217568.54442137282</v>
      </c>
      <c r="S66" s="82">
        <f t="shared" ref="S66:S77" si="56">((E66+M66)*$BJ$3*$BJ$4*10^-3)/$BJ$5</f>
        <v>-217588.45089833473</v>
      </c>
      <c r="T66" s="82">
        <f t="shared" ref="T66:T77" si="57">((E66+M66)*$BJ$3*$BJ$4*10^-3)/$BJ$5+G66</f>
        <v>-217595.81089833472</v>
      </c>
      <c r="U66" s="82">
        <f t="shared" ref="U66:U77" si="58">((E66+M66)*$BJ$3*$BJ$4*10^-3)/$BJ$5+H66</f>
        <v>-217594.36089833474</v>
      </c>
      <c r="V66" s="82">
        <f t="shared" ref="V66:V77" si="59">((E66+M66)*$BJ$3*$BJ$4*10^-3)/$BJ$5+I66</f>
        <v>-217592.94089833472</v>
      </c>
    </row>
    <row r="67" spans="1:22" x14ac:dyDescent="0.25">
      <c r="A67" s="17" t="s">
        <v>19</v>
      </c>
      <c r="B67" s="17">
        <v>-461.25090009000002</v>
      </c>
      <c r="C67" s="17">
        <v>-461.26974491599998</v>
      </c>
      <c r="E67" s="17">
        <v>-461.40416655299998</v>
      </c>
      <c r="F67" s="17"/>
      <c r="G67" s="17">
        <v>-8.9499999999999993</v>
      </c>
      <c r="H67" s="17">
        <v>-7.72</v>
      </c>
      <c r="I67" s="17">
        <v>-6.77</v>
      </c>
      <c r="J67" s="17"/>
      <c r="K67" s="17">
        <v>0.169512</v>
      </c>
      <c r="L67" s="17">
        <v>0.17993400000000001</v>
      </c>
      <c r="M67" s="17">
        <v>0.134183</v>
      </c>
      <c r="N67" s="16">
        <f t="shared" si="51"/>
        <v>4.5751000000000014E-2</v>
      </c>
      <c r="O67" s="82">
        <f t="shared" si="52"/>
        <v>-289332.8509156272</v>
      </c>
      <c r="P67" s="82">
        <f t="shared" si="53"/>
        <v>-289344.67621886521</v>
      </c>
      <c r="Q67" s="82">
        <f t="shared" si="54"/>
        <v>-289429.02704382275</v>
      </c>
      <c r="R67" s="82">
        <f t="shared" si="55"/>
        <v>-289429.02704382275</v>
      </c>
      <c r="S67" s="82">
        <f t="shared" si="56"/>
        <v>-289451.19631925668</v>
      </c>
      <c r="T67" s="82">
        <f t="shared" si="57"/>
        <v>-289460.14631925669</v>
      </c>
      <c r="U67" s="82">
        <f t="shared" si="58"/>
        <v>-289458.91631925665</v>
      </c>
      <c r="V67" s="82">
        <f t="shared" si="59"/>
        <v>-289457.96631925669</v>
      </c>
    </row>
    <row r="68" spans="1:22" x14ac:dyDescent="0.25">
      <c r="A68" s="17" t="s">
        <v>162</v>
      </c>
      <c r="B68" s="17">
        <v>-151.51446021000001</v>
      </c>
      <c r="C68" s="17">
        <v>-151.525123963</v>
      </c>
      <c r="E68" s="17">
        <v>-151.57980773599999</v>
      </c>
      <c r="F68" s="17"/>
      <c r="G68" s="17">
        <v>-12.47</v>
      </c>
      <c r="H68" s="17">
        <v>-10.46</v>
      </c>
      <c r="I68" s="17">
        <v>-11.03</v>
      </c>
      <c r="J68" s="17"/>
      <c r="K68" s="17">
        <v>2.7146E-2</v>
      </c>
      <c r="L68" s="17">
        <v>3.1281000000000003E-2</v>
      </c>
      <c r="M68" s="17">
        <v>4.895E-3</v>
      </c>
      <c r="N68" s="16">
        <f t="shared" si="51"/>
        <v>2.6386000000000003E-2</v>
      </c>
      <c r="O68" s="82">
        <f t="shared" si="52"/>
        <v>-95059.695815297862</v>
      </c>
      <c r="P68" s="82">
        <f t="shared" si="53"/>
        <v>-95066.387419289371</v>
      </c>
      <c r="Q68" s="82">
        <f t="shared" si="54"/>
        <v>-95100.701994437259</v>
      </c>
      <c r="R68" s="82">
        <f t="shared" si="55"/>
        <v>-95100.701994437259</v>
      </c>
      <c r="S68" s="82">
        <f t="shared" si="56"/>
        <v>-95114.664703477392</v>
      </c>
      <c r="T68" s="82">
        <f t="shared" si="57"/>
        <v>-95127.134703477393</v>
      </c>
      <c r="U68" s="82">
        <f t="shared" si="58"/>
        <v>-95125.124703477399</v>
      </c>
      <c r="V68" s="82">
        <f t="shared" si="59"/>
        <v>-95125.694703477391</v>
      </c>
    </row>
    <row r="69" spans="1:22" x14ac:dyDescent="0.25">
      <c r="A69" s="17" t="s">
        <v>163</v>
      </c>
      <c r="B69" s="17">
        <v>-313.22887709000003</v>
      </c>
      <c r="C69" s="17">
        <v>-313.23422031600001</v>
      </c>
      <c r="E69" s="17">
        <v>-313.29321393700002</v>
      </c>
      <c r="F69" s="17"/>
      <c r="G69" s="17">
        <v>-32.700000000000003</v>
      </c>
      <c r="H69" s="17">
        <v>-23.2</v>
      </c>
      <c r="I69" s="17">
        <v>-44.28</v>
      </c>
      <c r="J69" s="17"/>
      <c r="K69" s="17">
        <v>1.5762000000000002E-2</v>
      </c>
      <c r="L69" s="17">
        <v>2.0944000000000001E-2</v>
      </c>
      <c r="M69" s="17">
        <v>-1.0392999999999999E-2</v>
      </c>
      <c r="N69" s="16">
        <f t="shared" si="51"/>
        <v>3.1337000000000004E-2</v>
      </c>
      <c r="O69" s="82">
        <f t="shared" si="52"/>
        <v>-196544.13705257865</v>
      </c>
      <c r="P69" s="82">
        <f t="shared" si="53"/>
        <v>-196547.48997649094</v>
      </c>
      <c r="Q69" s="82">
        <f t="shared" si="54"/>
        <v>-196584.50902126412</v>
      </c>
      <c r="R69" s="82">
        <f t="shared" si="55"/>
        <v>-196584.50902126412</v>
      </c>
      <c r="S69" s="82">
        <f t="shared" si="56"/>
        <v>-196600.92152654231</v>
      </c>
      <c r="T69" s="82">
        <f t="shared" si="57"/>
        <v>-196633.62152654232</v>
      </c>
      <c r="U69" s="82">
        <f t="shared" si="58"/>
        <v>-196624.12152654232</v>
      </c>
      <c r="V69" s="82">
        <f t="shared" si="59"/>
        <v>-196645.20152654231</v>
      </c>
    </row>
    <row r="70" spans="1:22" x14ac:dyDescent="0.25">
      <c r="A70" s="17" t="s">
        <v>164</v>
      </c>
      <c r="B70" s="17">
        <v>-660.01521366999998</v>
      </c>
      <c r="C70" s="17">
        <v>-660.037535187</v>
      </c>
      <c r="E70" s="17">
        <v>-660.191891854</v>
      </c>
      <c r="F70" s="17"/>
      <c r="G70" s="17">
        <v>-19.100000000000001</v>
      </c>
      <c r="H70" s="17">
        <v>-15.52</v>
      </c>
      <c r="I70" s="17">
        <v>-25.84</v>
      </c>
      <c r="J70" s="17"/>
      <c r="K70" s="17">
        <v>0.153082</v>
      </c>
      <c r="L70" s="17">
        <v>0.16601099999999999</v>
      </c>
      <c r="M70" s="17">
        <v>0.11379400000000001</v>
      </c>
      <c r="N70" s="16">
        <f t="shared" si="51"/>
        <v>5.2216999999999986E-2</v>
      </c>
      <c r="O70" s="82">
        <f t="shared" si="52"/>
        <v>-414069.61265172076</v>
      </c>
      <c r="P70" s="82">
        <f t="shared" si="53"/>
        <v>-414083.619610833</v>
      </c>
      <c r="Q70" s="82">
        <f t="shared" si="54"/>
        <v>-414180.47985215817</v>
      </c>
      <c r="R70" s="82">
        <f t="shared" si="55"/>
        <v>-414180.47985215817</v>
      </c>
      <c r="S70" s="82">
        <f t="shared" si="56"/>
        <v>-414205.13343684061</v>
      </c>
      <c r="T70" s="82">
        <f t="shared" si="57"/>
        <v>-414224.23343684059</v>
      </c>
      <c r="U70" s="82">
        <f t="shared" si="58"/>
        <v>-414220.65343684063</v>
      </c>
      <c r="V70" s="82">
        <f t="shared" si="59"/>
        <v>-414230.97343684064</v>
      </c>
    </row>
    <row r="71" spans="1:22" x14ac:dyDescent="0.25">
      <c r="A71" s="17" t="s">
        <v>165</v>
      </c>
      <c r="B71" s="17">
        <v>-659.94791452000004</v>
      </c>
      <c r="C71" s="17">
        <v>-659.96977538299996</v>
      </c>
      <c r="E71" s="17">
        <v>-660.12392160299999</v>
      </c>
      <c r="F71" s="17"/>
      <c r="G71" s="17">
        <v>-20.059999999999999</v>
      </c>
      <c r="H71" s="17">
        <v>-12.88</v>
      </c>
      <c r="I71" s="17">
        <v>-25.38</v>
      </c>
      <c r="J71" s="17">
        <v>965.95</v>
      </c>
      <c r="K71" s="17">
        <v>0.14796999999999999</v>
      </c>
      <c r="L71" s="17">
        <v>0.16037299999999999</v>
      </c>
      <c r="M71" s="17">
        <v>0.108864</v>
      </c>
      <c r="N71" s="16">
        <f t="shared" si="51"/>
        <v>5.1508999999999985E-2</v>
      </c>
      <c r="O71" s="82">
        <f t="shared" si="52"/>
        <v>-414030.58963785693</v>
      </c>
      <c r="P71" s="82">
        <f t="shared" si="53"/>
        <v>-414044.30753230816</v>
      </c>
      <c r="Q71" s="82">
        <f t="shared" si="54"/>
        <v>-414141.0357161875</v>
      </c>
      <c r="R71" s="82">
        <f t="shared" si="55"/>
        <v>-414141.0357161875</v>
      </c>
      <c r="S71" s="82">
        <f t="shared" si="56"/>
        <v>-414165.57509418053</v>
      </c>
      <c r="T71" s="82">
        <f t="shared" si="57"/>
        <v>-414185.63509418053</v>
      </c>
      <c r="U71" s="82">
        <f t="shared" si="58"/>
        <v>-414178.45509418054</v>
      </c>
      <c r="V71" s="82">
        <f t="shared" si="59"/>
        <v>-414190.95509418054</v>
      </c>
    </row>
    <row r="72" spans="1:22" x14ac:dyDescent="0.25">
      <c r="A72" s="17" t="s">
        <v>166</v>
      </c>
      <c r="B72" s="17">
        <v>-774.52590012999997</v>
      </c>
      <c r="C72" s="17">
        <v>-774.55067758300004</v>
      </c>
      <c r="E72" s="17">
        <v>-774.74228565500005</v>
      </c>
      <c r="F72" s="17"/>
      <c r="G72" s="17">
        <v>-20.34</v>
      </c>
      <c r="H72" s="17">
        <v>-17</v>
      </c>
      <c r="I72" s="17">
        <v>-28.05</v>
      </c>
      <c r="J72" s="17"/>
      <c r="K72" s="17">
        <v>0.18654499999999999</v>
      </c>
      <c r="L72" s="17">
        <v>0.20199700000000001</v>
      </c>
      <c r="M72" s="17">
        <v>0.14353299999999999</v>
      </c>
      <c r="N72" s="16">
        <f t="shared" si="51"/>
        <v>5.8464000000000016E-2</v>
      </c>
      <c r="O72" s="82">
        <f t="shared" si="52"/>
        <v>-485905.13298315939</v>
      </c>
      <c r="P72" s="82">
        <f t="shared" si="53"/>
        <v>-485920.68106490833</v>
      </c>
      <c r="Q72" s="82">
        <f t="shared" si="54"/>
        <v>-486040.91690864915</v>
      </c>
      <c r="R72" s="82">
        <f t="shared" si="55"/>
        <v>-486040.91690864915</v>
      </c>
      <c r="S72" s="82">
        <f t="shared" si="56"/>
        <v>-486067.90733789885</v>
      </c>
      <c r="T72" s="82">
        <f t="shared" si="57"/>
        <v>-486088.24733789888</v>
      </c>
      <c r="U72" s="82">
        <f t="shared" si="58"/>
        <v>-486084.90733789885</v>
      </c>
      <c r="V72" s="82">
        <f t="shared" si="59"/>
        <v>-486095.95733789884</v>
      </c>
    </row>
    <row r="73" spans="1:22" x14ac:dyDescent="0.25">
      <c r="A73" s="17" t="s">
        <v>167</v>
      </c>
      <c r="B73" s="17">
        <v>-774.45812461000003</v>
      </c>
      <c r="C73" s="17">
        <v>-774.48242773200002</v>
      </c>
      <c r="E73" s="17">
        <v>-774.67385624099995</v>
      </c>
      <c r="F73" s="17"/>
      <c r="G73" s="17">
        <v>-21.94</v>
      </c>
      <c r="H73" s="17">
        <v>-14.77</v>
      </c>
      <c r="I73" s="17">
        <v>-27.62</v>
      </c>
      <c r="J73" s="17">
        <v>925.28</v>
      </c>
      <c r="K73" s="17">
        <v>0.18141699999999999</v>
      </c>
      <c r="L73" s="17">
        <v>0.19638</v>
      </c>
      <c r="M73" s="17">
        <v>0.138713</v>
      </c>
      <c r="N73" s="16">
        <f t="shared" si="51"/>
        <v>5.7666999999999996E-2</v>
      </c>
      <c r="O73" s="82">
        <f t="shared" si="52"/>
        <v>-485865.82108284725</v>
      </c>
      <c r="P73" s="82">
        <f t="shared" si="53"/>
        <v>-485881.07151749078</v>
      </c>
      <c r="Q73" s="82">
        <f t="shared" si="54"/>
        <v>-486001.19468378229</v>
      </c>
      <c r="R73" s="82">
        <f t="shared" si="55"/>
        <v>-486001.19468378229</v>
      </c>
      <c r="S73" s="82">
        <f t="shared" si="56"/>
        <v>-486027.99184017302</v>
      </c>
      <c r="T73" s="82">
        <f t="shared" si="57"/>
        <v>-486049.93184017303</v>
      </c>
      <c r="U73" s="82">
        <f t="shared" si="58"/>
        <v>-486042.76184017304</v>
      </c>
      <c r="V73" s="82">
        <f t="shared" si="59"/>
        <v>-486055.61184017302</v>
      </c>
    </row>
    <row r="74" spans="1:22" x14ac:dyDescent="0.25">
      <c r="A74" s="17" t="s">
        <v>225</v>
      </c>
      <c r="B74" s="17">
        <v>-498.18744139400002</v>
      </c>
      <c r="C74" s="17">
        <v>-498.21695654000001</v>
      </c>
      <c r="E74" s="17">
        <v>-498.36641042399998</v>
      </c>
      <c r="F74" s="17">
        <v>0.60699999999999998</v>
      </c>
      <c r="G74" s="17">
        <v>-12.36</v>
      </c>
      <c r="H74" s="17">
        <v>-13.63</v>
      </c>
      <c r="I74" s="17">
        <v>-13.3</v>
      </c>
      <c r="J74" s="17">
        <v>1533.55</v>
      </c>
      <c r="K74" s="17">
        <v>0.155614</v>
      </c>
      <c r="L74" s="17">
        <v>0.16791200000000001</v>
      </c>
      <c r="M74" s="17">
        <v>0.11713800000000001</v>
      </c>
      <c r="N74" s="16">
        <f t="shared" si="51"/>
        <v>5.0774E-2</v>
      </c>
      <c r="O74" s="82">
        <f t="shared" si="52"/>
        <v>-312519.59456341964</v>
      </c>
      <c r="P74" s="82">
        <f t="shared" si="53"/>
        <v>-312538.11559150275</v>
      </c>
      <c r="Q74" s="82">
        <f t="shared" si="54"/>
        <v>-312631.8992909863</v>
      </c>
      <c r="R74" s="82">
        <f t="shared" si="55"/>
        <v>-312631.8992909863</v>
      </c>
      <c r="S74" s="82">
        <f t="shared" si="56"/>
        <v>-312656.04333813157</v>
      </c>
      <c r="T74" s="82">
        <f t="shared" si="57"/>
        <v>-312668.40333813155</v>
      </c>
      <c r="U74" s="82">
        <f t="shared" si="58"/>
        <v>-312669.67333813157</v>
      </c>
      <c r="V74" s="82">
        <f t="shared" si="59"/>
        <v>-312669.34333813156</v>
      </c>
    </row>
    <row r="75" spans="1:22" x14ac:dyDescent="0.25">
      <c r="A75" s="17" t="s">
        <v>229</v>
      </c>
      <c r="B75" s="17"/>
      <c r="C75" s="17">
        <v>-498.18377544200001</v>
      </c>
      <c r="E75" s="17">
        <v>-498.33318923500002</v>
      </c>
      <c r="F75" s="17"/>
      <c r="G75" s="17">
        <v>-12.49</v>
      </c>
      <c r="H75" s="17">
        <v>-14.59</v>
      </c>
      <c r="I75" s="17">
        <v>-14.77</v>
      </c>
      <c r="J75" s="17"/>
      <c r="K75" s="17">
        <v>0.155614</v>
      </c>
      <c r="L75" s="17">
        <v>0.16791200000000001</v>
      </c>
      <c r="M75" s="17">
        <v>0.11713800000000001</v>
      </c>
      <c r="N75" s="16">
        <f t="shared" si="51"/>
        <v>5.0774E-2</v>
      </c>
      <c r="O75" s="82">
        <f t="shared" si="52"/>
        <v>97.649229453599148</v>
      </c>
      <c r="P75" s="82">
        <f t="shared" si="53"/>
        <v>-312517.29414451128</v>
      </c>
      <c r="Q75" s="82">
        <f t="shared" si="54"/>
        <v>-312611.05268652027</v>
      </c>
      <c r="R75" s="82">
        <f t="shared" si="55"/>
        <v>-312611.05268652027</v>
      </c>
      <c r="S75" s="82">
        <f t="shared" si="56"/>
        <v>-312635.19673366554</v>
      </c>
      <c r="T75" s="82">
        <f t="shared" si="57"/>
        <v>-312647.68673366553</v>
      </c>
      <c r="U75" s="82">
        <f t="shared" si="58"/>
        <v>-312649.78673366556</v>
      </c>
      <c r="V75" s="82">
        <f t="shared" si="59"/>
        <v>-312649.96673366555</v>
      </c>
    </row>
    <row r="76" spans="1:22" x14ac:dyDescent="0.25">
      <c r="A76" s="17" t="s">
        <v>241</v>
      </c>
      <c r="B76" s="17">
        <v>-498.27191464999999</v>
      </c>
      <c r="C76" s="17">
        <v>-498.29800123699999</v>
      </c>
      <c r="E76" s="17">
        <v>-498.44904366700001</v>
      </c>
      <c r="F76" s="17"/>
      <c r="G76" s="17">
        <v>-7.19</v>
      </c>
      <c r="H76" s="17">
        <v>-8.0299999999999994</v>
      </c>
      <c r="I76" s="17">
        <v>-7.47</v>
      </c>
      <c r="J76" s="17"/>
      <c r="K76" s="17">
        <v>0.166602</v>
      </c>
      <c r="L76" s="17">
        <v>0.17816799999999999</v>
      </c>
      <c r="M76" s="17">
        <v>0.12936300000000001</v>
      </c>
      <c r="N76" s="16">
        <f t="shared" si="51"/>
        <v>4.8804999999999987E-2</v>
      </c>
      <c r="O76" s="82">
        <f t="shared" si="52"/>
        <v>-312565.70724367077</v>
      </c>
      <c r="P76" s="82">
        <f t="shared" si="53"/>
        <v>-312582.07681915647</v>
      </c>
      <c r="Q76" s="82">
        <f t="shared" si="54"/>
        <v>-312676.85734600044</v>
      </c>
      <c r="R76" s="82">
        <f t="shared" si="55"/>
        <v>-312676.85734600044</v>
      </c>
      <c r="S76" s="82">
        <f t="shared" si="56"/>
        <v>-312700.22516416351</v>
      </c>
      <c r="T76" s="82">
        <f t="shared" si="57"/>
        <v>-312707.41516416351</v>
      </c>
      <c r="U76" s="82">
        <f t="shared" si="58"/>
        <v>-312708.25516416354</v>
      </c>
      <c r="V76" s="82">
        <f t="shared" si="59"/>
        <v>-312707.69516416348</v>
      </c>
    </row>
    <row r="77" spans="1:22" x14ac:dyDescent="0.25">
      <c r="A77" s="17"/>
      <c r="B77" s="17"/>
      <c r="C77" s="17"/>
      <c r="E77" s="17"/>
      <c r="F77" s="17"/>
      <c r="G77" s="17"/>
      <c r="H77" s="17"/>
      <c r="I77" s="17"/>
      <c r="J77" s="17"/>
      <c r="K77" s="17"/>
      <c r="L77" s="17"/>
      <c r="M77" s="17"/>
      <c r="N77" s="16">
        <f t="shared" si="51"/>
        <v>0</v>
      </c>
      <c r="O77" s="82">
        <f t="shared" si="52"/>
        <v>0</v>
      </c>
      <c r="P77" s="82">
        <f t="shared" si="53"/>
        <v>0</v>
      </c>
      <c r="Q77" s="82">
        <f t="shared" si="54"/>
        <v>0</v>
      </c>
      <c r="R77" s="82">
        <f t="shared" si="55"/>
        <v>0</v>
      </c>
      <c r="S77" s="82">
        <f t="shared" si="56"/>
        <v>0</v>
      </c>
      <c r="T77" s="82">
        <f t="shared" si="57"/>
        <v>0</v>
      </c>
      <c r="U77" s="82">
        <f t="shared" si="58"/>
        <v>0</v>
      </c>
      <c r="V77" s="82">
        <f t="shared" si="59"/>
        <v>0</v>
      </c>
    </row>
    <row r="80" spans="1:22" ht="45" x14ac:dyDescent="0.25">
      <c r="A80" s="105" t="s">
        <v>193</v>
      </c>
      <c r="B80" s="105" t="s">
        <v>193</v>
      </c>
      <c r="C80" s="105" t="s">
        <v>194</v>
      </c>
      <c r="E80" s="105" t="s">
        <v>195</v>
      </c>
      <c r="F80" s="105" t="s">
        <v>228</v>
      </c>
      <c r="G80" s="105" t="s">
        <v>196</v>
      </c>
      <c r="H80" s="105" t="s">
        <v>197</v>
      </c>
      <c r="I80" s="105" t="s">
        <v>198</v>
      </c>
      <c r="J80" s="103" t="s">
        <v>199</v>
      </c>
      <c r="K80" s="103" t="s">
        <v>200</v>
      </c>
      <c r="L80" s="103" t="s">
        <v>201</v>
      </c>
      <c r="M80" s="103" t="s">
        <v>202</v>
      </c>
      <c r="N80" s="103" t="s">
        <v>203</v>
      </c>
      <c r="O80" s="103" t="s">
        <v>204</v>
      </c>
      <c r="P80" s="103" t="s">
        <v>205</v>
      </c>
      <c r="Q80" s="103" t="s">
        <v>206</v>
      </c>
      <c r="R80" s="103" t="s">
        <v>207</v>
      </c>
      <c r="S80" s="103" t="s">
        <v>208</v>
      </c>
      <c r="T80" s="103" t="s">
        <v>209</v>
      </c>
      <c r="U80" s="105" t="s">
        <v>210</v>
      </c>
      <c r="V80" s="105" t="s">
        <v>211</v>
      </c>
    </row>
    <row r="81" spans="1:22" x14ac:dyDescent="0.25">
      <c r="A81" s="17" t="s">
        <v>73</v>
      </c>
      <c r="B81" s="17">
        <v>-346.78830988999999</v>
      </c>
      <c r="C81" s="17">
        <v>-346.80434987699999</v>
      </c>
      <c r="E81" s="17">
        <v>-346.89741061000001</v>
      </c>
      <c r="F81" s="17"/>
      <c r="G81" s="17">
        <v>-6.77</v>
      </c>
      <c r="H81" s="17">
        <v>-5.12</v>
      </c>
      <c r="I81" s="17">
        <v>-4.34</v>
      </c>
      <c r="J81" s="17"/>
      <c r="K81" s="17">
        <v>0.133352</v>
      </c>
      <c r="L81" s="17">
        <v>0.14136799999999999</v>
      </c>
      <c r="M81" s="17">
        <v>0.10131800000000001</v>
      </c>
      <c r="N81" s="16">
        <f t="shared" ref="N81:N92" si="60">L81-M81</f>
        <v>4.0049999999999988E-2</v>
      </c>
      <c r="O81" s="82">
        <f t="shared" ref="O81:O97" si="61">((B81+K81)*$BJ$3*$BJ$4*10^-3)/$BJ$5</f>
        <v>-217529.20382631614</v>
      </c>
      <c r="P81" s="82">
        <f t="shared" ref="P81:P97" si="62">((C81+K81)*$BJ$3*$BJ$4*10^-3)/$BJ$5</f>
        <v>-217539.26906704638</v>
      </c>
      <c r="Q81" s="82">
        <f t="shared" ref="Q81:Q97" si="63">((E81+K81)*$BJ$3*$BJ$4*10^-3)/$BJ$5</f>
        <v>-217597.66554082022</v>
      </c>
      <c r="R81" s="82">
        <f t="shared" ref="R81:R97" si="64">((E81+K81)*$BJ$3*$BJ$4*10^-3)/$BJ$5</f>
        <v>-217597.66554082022</v>
      </c>
      <c r="S81" s="82">
        <f t="shared" ref="S81:S97" si="65">((E81+M81)*$BJ$3*$BJ$4*10^-3)/$BJ$5</f>
        <v>-217617.76717316892</v>
      </c>
      <c r="T81" s="82">
        <f t="shared" ref="T81:T97" si="66">((E81+M81)*$BJ$3*$BJ$4*10^-3)/$BJ$5+G81</f>
        <v>-217624.53717316891</v>
      </c>
      <c r="U81" s="82">
        <f t="shared" ref="U81:U97" si="67">((E81+M81)*$BJ$3*$BJ$4*10^-3)/$BJ$5+H81</f>
        <v>-217622.88717316891</v>
      </c>
      <c r="V81" s="82">
        <f t="shared" ref="V81:V97" si="68">((E81+M81)*$BJ$3*$BJ$4*10^-3)/$BJ$5+I81</f>
        <v>-217622.10717316892</v>
      </c>
    </row>
    <row r="82" spans="1:22" x14ac:dyDescent="0.25">
      <c r="A82" s="17" t="s">
        <v>19</v>
      </c>
      <c r="B82" s="17">
        <v>-461.31496469000001</v>
      </c>
      <c r="C82" s="17">
        <v>-461.33330791899999</v>
      </c>
      <c r="E82" s="17">
        <v>-461.46155297899998</v>
      </c>
      <c r="F82" s="17"/>
      <c r="G82" s="17">
        <v>-8.25</v>
      </c>
      <c r="H82" s="17">
        <v>-6.57</v>
      </c>
      <c r="I82" s="17">
        <v>-5.43</v>
      </c>
      <c r="J82" s="17"/>
      <c r="K82" s="17">
        <v>0.16597999999999999</v>
      </c>
      <c r="L82" s="17">
        <v>0.17658199999999999</v>
      </c>
      <c r="M82" s="17">
        <v>0.130407</v>
      </c>
      <c r="N82" s="16">
        <f t="shared" si="60"/>
        <v>4.6174999999999994E-2</v>
      </c>
      <c r="O82" s="82">
        <f t="shared" si="61"/>
        <v>-289375.26840957813</v>
      </c>
      <c r="P82" s="82">
        <f t="shared" si="62"/>
        <v>-289386.77895604278</v>
      </c>
      <c r="Q82" s="82">
        <f t="shared" si="63"/>
        <v>-289467.25392159994</v>
      </c>
      <c r="R82" s="82">
        <f t="shared" si="64"/>
        <v>-289467.25392159994</v>
      </c>
      <c r="S82" s="82">
        <f t="shared" si="65"/>
        <v>-289489.57630929875</v>
      </c>
      <c r="T82" s="82">
        <f t="shared" si="66"/>
        <v>-289497.82630929875</v>
      </c>
      <c r="U82" s="82">
        <f t="shared" si="67"/>
        <v>-289496.14630929875</v>
      </c>
      <c r="V82" s="82">
        <f t="shared" si="68"/>
        <v>-289495.00630929874</v>
      </c>
    </row>
    <row r="83" spans="1:22" x14ac:dyDescent="0.25">
      <c r="A83" s="17" t="s">
        <v>162</v>
      </c>
      <c r="B83" s="17">
        <v>-151.54770732</v>
      </c>
      <c r="C83" s="17">
        <v>-151.55838919199999</v>
      </c>
      <c r="E83" s="17">
        <v>-151.61080342899999</v>
      </c>
      <c r="F83" s="17"/>
      <c r="G83" s="17">
        <v>-12.21</v>
      </c>
      <c r="H83" s="17">
        <v>-9.9499999999999993</v>
      </c>
      <c r="I83" s="17">
        <v>-10.45</v>
      </c>
      <c r="J83" s="17"/>
      <c r="K83" s="17">
        <v>2.6259999999999999E-2</v>
      </c>
      <c r="L83" s="17">
        <v>3.0426999999999999E-2</v>
      </c>
      <c r="M83" s="17">
        <v>3.9490000000000003E-3</v>
      </c>
      <c r="N83" s="16">
        <f t="shared" si="60"/>
        <v>2.6477999999999998E-2</v>
      </c>
      <c r="O83" s="82">
        <f t="shared" si="61"/>
        <v>-95081.114658656123</v>
      </c>
      <c r="P83" s="82">
        <f t="shared" si="62"/>
        <v>-95087.81763248831</v>
      </c>
      <c r="Q83" s="82">
        <f t="shared" si="63"/>
        <v>-95120.708052729722</v>
      </c>
      <c r="R83" s="82">
        <f t="shared" si="64"/>
        <v>-95120.708052729722</v>
      </c>
      <c r="S83" s="82">
        <f t="shared" si="65"/>
        <v>-95134.7084123268</v>
      </c>
      <c r="T83" s="82">
        <f t="shared" si="66"/>
        <v>-95146.918412326806</v>
      </c>
      <c r="U83" s="82">
        <f t="shared" si="67"/>
        <v>-95144.658412326797</v>
      </c>
      <c r="V83" s="82">
        <f t="shared" si="68"/>
        <v>-95145.158412326797</v>
      </c>
    </row>
    <row r="84" spans="1:22" x14ac:dyDescent="0.25">
      <c r="A84" s="17" t="s">
        <v>163</v>
      </c>
      <c r="B84" s="17">
        <v>-313.27290899000002</v>
      </c>
      <c r="C84" s="17">
        <v>-313.27827540499999</v>
      </c>
      <c r="E84" s="17">
        <v>-313.33522212700001</v>
      </c>
      <c r="F84" s="17"/>
      <c r="G84" s="17">
        <v>-31.86</v>
      </c>
      <c r="H84" s="17">
        <v>-21.98</v>
      </c>
      <c r="I84" s="17">
        <v>-42.59</v>
      </c>
      <c r="J84" s="17"/>
      <c r="K84" s="17">
        <v>1.5302E-2</v>
      </c>
      <c r="L84" s="17">
        <v>2.0419E-2</v>
      </c>
      <c r="M84" s="17">
        <v>-1.0652999999999999E-2</v>
      </c>
      <c r="N84" s="16">
        <f t="shared" si="60"/>
        <v>3.1071999999999999E-2</v>
      </c>
      <c r="O84" s="82">
        <f t="shared" si="61"/>
        <v>-196572.05613281514</v>
      </c>
      <c r="P84" s="82">
        <f t="shared" si="62"/>
        <v>-196575.4236080402</v>
      </c>
      <c r="Q84" s="82">
        <f t="shared" si="63"/>
        <v>-196611.15820469096</v>
      </c>
      <c r="R84" s="82">
        <f t="shared" si="64"/>
        <v>-196611.15820469096</v>
      </c>
      <c r="S84" s="82">
        <f t="shared" si="65"/>
        <v>-196627.44520811268</v>
      </c>
      <c r="T84" s="82">
        <f t="shared" si="66"/>
        <v>-196659.30520811267</v>
      </c>
      <c r="U84" s="82">
        <f t="shared" si="67"/>
        <v>-196649.42520811269</v>
      </c>
      <c r="V84" s="82">
        <f t="shared" si="68"/>
        <v>-196670.03520811268</v>
      </c>
    </row>
    <row r="85" spans="1:22" x14ac:dyDescent="0.25">
      <c r="A85" s="17" t="s">
        <v>164</v>
      </c>
      <c r="B85" s="17">
        <v>-660.09834707000005</v>
      </c>
      <c r="C85" s="17">
        <v>-660.11973605200001</v>
      </c>
      <c r="E85" s="17">
        <v>-660.26798325000004</v>
      </c>
      <c r="F85" s="17"/>
      <c r="G85" s="17">
        <v>-19.440000000000001</v>
      </c>
      <c r="H85" s="17">
        <v>-13.94</v>
      </c>
      <c r="I85" s="17">
        <v>-25.35</v>
      </c>
      <c r="J85" s="17"/>
      <c r="K85" s="17">
        <v>0.15035100000000001</v>
      </c>
      <c r="L85" s="17">
        <v>0.16354199999999999</v>
      </c>
      <c r="M85" s="17">
        <v>0.109648</v>
      </c>
      <c r="N85" s="16">
        <f t="shared" si="60"/>
        <v>5.3893999999999997E-2</v>
      </c>
      <c r="O85" s="82">
        <f t="shared" si="61"/>
        <v>-414123.49335973873</v>
      </c>
      <c r="P85" s="82">
        <f t="shared" si="62"/>
        <v>-414136.91514448239</v>
      </c>
      <c r="Q85" s="82">
        <f t="shared" si="63"/>
        <v>-414229.94163730013</v>
      </c>
      <c r="R85" s="82">
        <f t="shared" si="64"/>
        <v>-414229.94163730013</v>
      </c>
      <c r="S85" s="82">
        <f t="shared" si="65"/>
        <v>-414255.48314761708</v>
      </c>
      <c r="T85" s="82">
        <f t="shared" si="66"/>
        <v>-414274.92314761708</v>
      </c>
      <c r="U85" s="82">
        <f t="shared" si="67"/>
        <v>-414269.42314761708</v>
      </c>
      <c r="V85" s="82">
        <f t="shared" si="68"/>
        <v>-414280.83314761706</v>
      </c>
    </row>
    <row r="86" spans="1:22" x14ac:dyDescent="0.25">
      <c r="A86" s="17" t="s">
        <v>165</v>
      </c>
      <c r="B86" s="17">
        <v>-660.05850132</v>
      </c>
      <c r="C86" s="17">
        <v>-660.07970405000003</v>
      </c>
      <c r="E86" s="17">
        <v>-660.22833550799999</v>
      </c>
      <c r="F86" s="17"/>
      <c r="G86" s="17">
        <v>-22.95</v>
      </c>
      <c r="H86" s="17">
        <v>-13.27</v>
      </c>
      <c r="I86" s="17">
        <v>-26.04</v>
      </c>
      <c r="J86" s="17">
        <v>351.68</v>
      </c>
      <c r="K86" s="17">
        <v>0.14586199999999999</v>
      </c>
      <c r="L86" s="17">
        <v>0.158692</v>
      </c>
      <c r="M86" s="17">
        <v>0.10604</v>
      </c>
      <c r="N86" s="16">
        <f t="shared" si="60"/>
        <v>5.2652000000000004E-2</v>
      </c>
      <c r="O86" s="82">
        <f t="shared" si="61"/>
        <v>-414101.30667092226</v>
      </c>
      <c r="P86" s="82">
        <f t="shared" si="62"/>
        <v>-414114.61158080708</v>
      </c>
      <c r="Q86" s="82">
        <f t="shared" si="63"/>
        <v>-414207.8792003417</v>
      </c>
      <c r="R86" s="82">
        <f t="shared" si="64"/>
        <v>-414207.8792003417</v>
      </c>
      <c r="S86" s="82">
        <f t="shared" si="65"/>
        <v>-414232.8678749809</v>
      </c>
      <c r="T86" s="82">
        <f t="shared" si="66"/>
        <v>-414255.81787498092</v>
      </c>
      <c r="U86" s="82">
        <f t="shared" si="67"/>
        <v>-414246.13787498092</v>
      </c>
      <c r="V86" s="82">
        <f t="shared" si="68"/>
        <v>-414258.90787498088</v>
      </c>
    </row>
    <row r="87" spans="1:22" x14ac:dyDescent="0.25">
      <c r="A87" s="17" t="s">
        <v>166</v>
      </c>
      <c r="B87" s="17">
        <v>-774.62502807999999</v>
      </c>
      <c r="C87" s="17">
        <v>-774.64871204600001</v>
      </c>
      <c r="E87" s="17">
        <v>-774.83215088199995</v>
      </c>
      <c r="F87" s="17"/>
      <c r="G87" s="17">
        <v>-21.14</v>
      </c>
      <c r="H87" s="17">
        <v>-15.52</v>
      </c>
      <c r="I87" s="17">
        <v>-27.13</v>
      </c>
      <c r="J87" s="17"/>
      <c r="K87" s="17">
        <v>0.18305099999999999</v>
      </c>
      <c r="L87" s="17">
        <v>0.19880900000000001</v>
      </c>
      <c r="M87" s="17">
        <v>0.139293</v>
      </c>
      <c r="N87" s="16">
        <f t="shared" si="60"/>
        <v>5.9516000000000013E-2</v>
      </c>
      <c r="O87" s="82">
        <f t="shared" si="61"/>
        <v>-485969.52920935064</v>
      </c>
      <c r="P87" s="82">
        <f t="shared" si="62"/>
        <v>-485984.39111785701</v>
      </c>
      <c r="Q87" s="82">
        <f t="shared" si="63"/>
        <v>-486099.50069017865</v>
      </c>
      <c r="R87" s="82">
        <f t="shared" si="64"/>
        <v>-486099.50069017865</v>
      </c>
      <c r="S87" s="82">
        <f t="shared" si="65"/>
        <v>-486126.95924135298</v>
      </c>
      <c r="T87" s="82">
        <f t="shared" si="66"/>
        <v>-486148.09924135299</v>
      </c>
      <c r="U87" s="82">
        <f t="shared" si="67"/>
        <v>-486142.47924135299</v>
      </c>
      <c r="V87" s="82">
        <f t="shared" si="68"/>
        <v>-486154.08924135298</v>
      </c>
    </row>
    <row r="88" spans="1:22" x14ac:dyDescent="0.25">
      <c r="A88" s="17" t="s">
        <v>167</v>
      </c>
      <c r="B88" s="17">
        <v>-774.58430555999996</v>
      </c>
      <c r="C88" s="17">
        <v>-774.60775967899997</v>
      </c>
      <c r="E88" s="17">
        <v>-774.791625318</v>
      </c>
      <c r="F88" s="17"/>
      <c r="G88" s="17">
        <v>-25.03</v>
      </c>
      <c r="H88" s="17">
        <v>-15.39</v>
      </c>
      <c r="I88" s="17">
        <v>-28.38</v>
      </c>
      <c r="J88" s="17">
        <v>344.14</v>
      </c>
      <c r="K88" s="17">
        <v>0.17854200000000001</v>
      </c>
      <c r="L88" s="17">
        <v>0.19403000000000001</v>
      </c>
      <c r="M88" s="17">
        <v>0.13500799999999999</v>
      </c>
      <c r="N88" s="16">
        <f t="shared" si="60"/>
        <v>5.9022000000000019E-2</v>
      </c>
      <c r="O88" s="82">
        <f t="shared" si="61"/>
        <v>-485946.80488940637</v>
      </c>
      <c r="P88" s="82">
        <f t="shared" si="62"/>
        <v>-485961.52256678673</v>
      </c>
      <c r="Q88" s="82">
        <f t="shared" si="63"/>
        <v>-486076.89996195264</v>
      </c>
      <c r="R88" s="82">
        <f t="shared" si="64"/>
        <v>-486076.89996195264</v>
      </c>
      <c r="S88" s="82">
        <f t="shared" si="65"/>
        <v>-486104.2179510477</v>
      </c>
      <c r="T88" s="82">
        <f t="shared" si="66"/>
        <v>-486129.24795104773</v>
      </c>
      <c r="U88" s="82">
        <f t="shared" si="67"/>
        <v>-486119.60795104771</v>
      </c>
      <c r="V88" s="82">
        <f t="shared" si="68"/>
        <v>-486132.5979510477</v>
      </c>
    </row>
    <row r="89" spans="1:22" x14ac:dyDescent="0.25">
      <c r="A89" s="17" t="s">
        <v>217</v>
      </c>
      <c r="B89" s="17">
        <v>-429.03459566999999</v>
      </c>
      <c r="C89" s="17">
        <v>-429.04936297099999</v>
      </c>
      <c r="E89" s="17">
        <v>-429.14111861399999</v>
      </c>
      <c r="F89" s="17"/>
      <c r="G89" s="17"/>
      <c r="H89" s="17"/>
      <c r="I89" s="17"/>
      <c r="J89" s="17"/>
      <c r="K89" s="17">
        <v>6.8901000000000004E-2</v>
      </c>
      <c r="L89" s="17">
        <v>7.7970999999999999E-2</v>
      </c>
      <c r="M89" s="17">
        <v>3.5984000000000002E-2</v>
      </c>
      <c r="N89" s="16">
        <f t="shared" si="60"/>
        <v>4.1986999999999997E-2</v>
      </c>
      <c r="O89" s="82">
        <f t="shared" si="61"/>
        <v>-269179.95518753701</v>
      </c>
      <c r="P89" s="82">
        <f t="shared" si="62"/>
        <v>-269189.22180598881</v>
      </c>
      <c r="Q89" s="82">
        <f t="shared" si="63"/>
        <v>-269246.79932367342</v>
      </c>
      <c r="R89" s="82">
        <f t="shared" si="64"/>
        <v>-269246.79932367342</v>
      </c>
      <c r="S89" s="82">
        <f t="shared" si="65"/>
        <v>-269267.45504671836</v>
      </c>
      <c r="T89" s="82">
        <f t="shared" si="66"/>
        <v>-269267.45504671836</v>
      </c>
      <c r="U89" s="82">
        <f t="shared" si="67"/>
        <v>-269267.45504671836</v>
      </c>
      <c r="V89" s="82">
        <f t="shared" si="68"/>
        <v>-269267.45504671836</v>
      </c>
    </row>
    <row r="90" spans="1:22" x14ac:dyDescent="0.25">
      <c r="A90" s="17" t="s">
        <v>218</v>
      </c>
      <c r="B90" s="17">
        <v>-428.99043564999999</v>
      </c>
      <c r="C90" s="17">
        <v>-429.00493200400001</v>
      </c>
      <c r="E90" s="17">
        <v>-429.09734561800002</v>
      </c>
      <c r="F90" s="17"/>
      <c r="G90" s="17"/>
      <c r="H90" s="17"/>
      <c r="I90" s="17"/>
      <c r="J90" s="17">
        <v>288.17</v>
      </c>
      <c r="K90" s="17">
        <v>6.4393000000000006E-2</v>
      </c>
      <c r="L90" s="17">
        <v>7.2940000000000005E-2</v>
      </c>
      <c r="M90" s="17">
        <v>3.2847000000000001E-2</v>
      </c>
      <c r="N90" s="16">
        <f t="shared" si="60"/>
        <v>4.0093000000000004E-2</v>
      </c>
      <c r="O90" s="82">
        <f t="shared" si="61"/>
        <v>-269155.07317692565</v>
      </c>
      <c r="P90" s="82">
        <f t="shared" si="62"/>
        <v>-269164.16977361991</v>
      </c>
      <c r="Q90" s="82">
        <f t="shared" si="63"/>
        <v>-269222.16017421451</v>
      </c>
      <c r="R90" s="82">
        <f t="shared" si="64"/>
        <v>-269222.16017421451</v>
      </c>
      <c r="S90" s="82">
        <f t="shared" si="65"/>
        <v>-269241.95558203349</v>
      </c>
      <c r="T90" s="82">
        <f t="shared" si="66"/>
        <v>-269241.95558203349</v>
      </c>
      <c r="U90" s="82">
        <f t="shared" si="67"/>
        <v>-269241.95558203349</v>
      </c>
      <c r="V90" s="82">
        <f t="shared" si="68"/>
        <v>-269241.95558203349</v>
      </c>
    </row>
    <row r="91" spans="1:22" x14ac:dyDescent="0.25">
      <c r="A91" s="17" t="s">
        <v>225</v>
      </c>
      <c r="B91" s="17">
        <v>-498.28538361400001</v>
      </c>
      <c r="C91" s="17">
        <v>-498.31520640000002</v>
      </c>
      <c r="E91" s="17">
        <v>-498.45917945799999</v>
      </c>
      <c r="F91" s="17">
        <v>0.48149999999999998</v>
      </c>
      <c r="G91" s="17">
        <v>-14.34</v>
      </c>
      <c r="H91" s="17">
        <v>-15.8</v>
      </c>
      <c r="I91" s="17">
        <v>-15.72</v>
      </c>
      <c r="J91" s="17">
        <v>1315.44</v>
      </c>
      <c r="K91" s="17">
        <v>0.15239</v>
      </c>
      <c r="L91" s="17">
        <v>0.1648</v>
      </c>
      <c r="M91" s="17">
        <v>0.11367099999999999</v>
      </c>
      <c r="N91" s="16">
        <f t="shared" si="60"/>
        <v>5.1129000000000008E-2</v>
      </c>
      <c r="O91" s="82">
        <f t="shared" si="61"/>
        <v>-312583.07730552345</v>
      </c>
      <c r="P91" s="82">
        <f t="shared" si="62"/>
        <v>-312601.79138056206</v>
      </c>
      <c r="Q91" s="82">
        <f t="shared" si="63"/>
        <v>-312692.13581085613</v>
      </c>
      <c r="R91" s="82">
        <f t="shared" si="64"/>
        <v>-312692.13581085613</v>
      </c>
      <c r="S91" s="82">
        <f t="shared" si="65"/>
        <v>-312716.43234275695</v>
      </c>
      <c r="T91" s="82">
        <f t="shared" si="66"/>
        <v>-312730.77234275697</v>
      </c>
      <c r="U91" s="82">
        <f t="shared" si="67"/>
        <v>-312732.23234275694</v>
      </c>
      <c r="V91" s="82">
        <f t="shared" si="68"/>
        <v>-312732.15234275692</v>
      </c>
    </row>
    <row r="92" spans="1:22" x14ac:dyDescent="0.25">
      <c r="A92" s="17" t="s">
        <v>229</v>
      </c>
      <c r="B92" s="17"/>
      <c r="C92" s="17">
        <v>-498.28560178599997</v>
      </c>
      <c r="E92" s="17">
        <v>-498.42954473899999</v>
      </c>
      <c r="F92" s="17"/>
      <c r="G92" s="17">
        <v>-13.93</v>
      </c>
      <c r="H92" s="17">
        <v>-15.36</v>
      </c>
      <c r="I92" s="17">
        <v>-15.39</v>
      </c>
      <c r="J92" s="17"/>
      <c r="K92" s="17">
        <v>0.15239</v>
      </c>
      <c r="L92" s="17">
        <v>0.1648</v>
      </c>
      <c r="M92" s="17">
        <v>0.11367099999999999</v>
      </c>
      <c r="N92" s="16">
        <f t="shared" si="60"/>
        <v>5.1129000000000008E-2</v>
      </c>
      <c r="O92" s="82">
        <f t="shared" si="61"/>
        <v>95.626139527510219</v>
      </c>
      <c r="P92" s="82">
        <f t="shared" si="62"/>
        <v>-312583.21421047847</v>
      </c>
      <c r="Q92" s="82">
        <f t="shared" si="63"/>
        <v>-312673.5397496057</v>
      </c>
      <c r="R92" s="82">
        <f t="shared" si="64"/>
        <v>-312673.5397496057</v>
      </c>
      <c r="S92" s="82">
        <f t="shared" si="65"/>
        <v>-312697.83628150652</v>
      </c>
      <c r="T92" s="82">
        <f t="shared" si="66"/>
        <v>-312711.76628150651</v>
      </c>
      <c r="U92" s="82">
        <f t="shared" si="67"/>
        <v>-312713.19628150651</v>
      </c>
      <c r="V92" s="82">
        <f t="shared" si="68"/>
        <v>-312713.22628150653</v>
      </c>
    </row>
    <row r="93" spans="1:22" x14ac:dyDescent="0.25">
      <c r="A93" s="17" t="s">
        <v>241</v>
      </c>
      <c r="B93" s="17">
        <v>-498.34794699999998</v>
      </c>
      <c r="C93" s="17">
        <v>-498.37392245000001</v>
      </c>
      <c r="E93" s="17">
        <v>-498.51808328800001</v>
      </c>
      <c r="F93" s="17"/>
      <c r="G93" s="17">
        <v>-9.6199999999999992</v>
      </c>
      <c r="H93" s="17">
        <v>-8.0299999999999994</v>
      </c>
      <c r="I93" s="17">
        <v>-7.52</v>
      </c>
      <c r="J93" s="17"/>
      <c r="K93" s="17">
        <v>0.16231899999999999</v>
      </c>
      <c r="L93" s="17">
        <v>0.174572</v>
      </c>
      <c r="M93" s="17">
        <v>0.12181599999999999</v>
      </c>
      <c r="N93" s="16">
        <f>L93-M93</f>
        <v>5.2756000000000011E-2</v>
      </c>
      <c r="O93" s="82">
        <f t="shared" si="61"/>
        <v>-312616.1058713058</v>
      </c>
      <c r="P93" s="82">
        <f t="shared" si="62"/>
        <v>-312632.40570729238</v>
      </c>
      <c r="Q93" s="82">
        <f t="shared" si="63"/>
        <v>-312722.86797127948</v>
      </c>
      <c r="R93" s="82">
        <f t="shared" si="64"/>
        <v>-312722.86797127948</v>
      </c>
      <c r="S93" s="82">
        <f t="shared" si="65"/>
        <v>-312748.28397973994</v>
      </c>
      <c r="T93" s="82">
        <f t="shared" si="66"/>
        <v>-312757.90397973993</v>
      </c>
      <c r="U93" s="82">
        <f t="shared" si="67"/>
        <v>-312756.31397973996</v>
      </c>
      <c r="V93" s="82">
        <f t="shared" si="68"/>
        <v>-312755.80397973995</v>
      </c>
    </row>
    <row r="94" spans="1:22" x14ac:dyDescent="0.25">
      <c r="A94" s="17"/>
      <c r="B94" s="17"/>
      <c r="C94" s="17"/>
      <c r="E94" s="17"/>
      <c r="F94" s="17"/>
      <c r="G94" s="17"/>
      <c r="H94" s="17"/>
      <c r="I94" s="17"/>
      <c r="J94" s="17"/>
      <c r="K94" s="17"/>
      <c r="L94" s="17"/>
      <c r="M94" s="17"/>
      <c r="N94" s="16">
        <f>L94-M94</f>
        <v>0</v>
      </c>
      <c r="O94" s="82">
        <f t="shared" si="61"/>
        <v>0</v>
      </c>
      <c r="P94" s="82">
        <f t="shared" si="62"/>
        <v>0</v>
      </c>
      <c r="Q94" s="82">
        <f t="shared" si="63"/>
        <v>0</v>
      </c>
      <c r="R94" s="82">
        <f t="shared" si="64"/>
        <v>0</v>
      </c>
      <c r="S94" s="82">
        <f t="shared" si="65"/>
        <v>0</v>
      </c>
      <c r="T94" s="82">
        <f t="shared" si="66"/>
        <v>0</v>
      </c>
      <c r="U94" s="82">
        <f t="shared" si="67"/>
        <v>0</v>
      </c>
      <c r="V94" s="82">
        <f t="shared" si="68"/>
        <v>0</v>
      </c>
    </row>
    <row r="95" spans="1:22" x14ac:dyDescent="0.25">
      <c r="A95" s="17"/>
      <c r="B95" s="17"/>
      <c r="C95" s="17"/>
      <c r="E95" s="17"/>
      <c r="F95" s="17"/>
      <c r="G95" s="17"/>
      <c r="H95" s="17"/>
      <c r="I95" s="17"/>
      <c r="J95" s="17"/>
      <c r="K95" s="17"/>
      <c r="L95" s="17"/>
      <c r="M95" s="17"/>
      <c r="N95" s="16">
        <f>L95-M95</f>
        <v>0</v>
      </c>
      <c r="O95" s="82">
        <f t="shared" si="61"/>
        <v>0</v>
      </c>
      <c r="P95" s="82">
        <f t="shared" si="62"/>
        <v>0</v>
      </c>
      <c r="Q95" s="82">
        <f t="shared" si="63"/>
        <v>0</v>
      </c>
      <c r="R95" s="82">
        <f t="shared" si="64"/>
        <v>0</v>
      </c>
      <c r="S95" s="82">
        <f t="shared" si="65"/>
        <v>0</v>
      </c>
      <c r="T95" s="82">
        <f t="shared" si="66"/>
        <v>0</v>
      </c>
      <c r="U95" s="82">
        <f t="shared" si="67"/>
        <v>0</v>
      </c>
      <c r="V95" s="82">
        <f t="shared" si="68"/>
        <v>0</v>
      </c>
    </row>
    <row r="96" spans="1:22" x14ac:dyDescent="0.25">
      <c r="A96" s="17"/>
      <c r="B96" s="17"/>
      <c r="C96" s="17"/>
      <c r="E96" s="17"/>
      <c r="F96" s="17"/>
      <c r="G96" s="17"/>
      <c r="H96" s="17"/>
      <c r="I96" s="17"/>
      <c r="J96" s="17"/>
      <c r="K96" s="17"/>
      <c r="L96" s="17"/>
      <c r="M96" s="17"/>
      <c r="N96" s="16">
        <f>L96-M96</f>
        <v>0</v>
      </c>
      <c r="O96" s="82">
        <f t="shared" si="61"/>
        <v>0</v>
      </c>
      <c r="P96" s="82">
        <f t="shared" si="62"/>
        <v>0</v>
      </c>
      <c r="Q96" s="82">
        <f t="shared" si="63"/>
        <v>0</v>
      </c>
      <c r="R96" s="82">
        <f t="shared" si="64"/>
        <v>0</v>
      </c>
      <c r="S96" s="82">
        <f t="shared" si="65"/>
        <v>0</v>
      </c>
      <c r="T96" s="82">
        <f t="shared" si="66"/>
        <v>0</v>
      </c>
      <c r="U96" s="82">
        <f t="shared" si="67"/>
        <v>0</v>
      </c>
      <c r="V96" s="82">
        <f t="shared" si="68"/>
        <v>0</v>
      </c>
    </row>
    <row r="97" spans="1:22" x14ac:dyDescent="0.25">
      <c r="A97" s="17"/>
      <c r="B97" s="17"/>
      <c r="C97" s="17"/>
      <c r="E97" s="17"/>
      <c r="F97" s="17"/>
      <c r="G97" s="17"/>
      <c r="H97" s="17"/>
      <c r="I97" s="17"/>
      <c r="J97" s="17"/>
      <c r="K97" s="17"/>
      <c r="L97" s="17"/>
      <c r="M97" s="17"/>
      <c r="N97" s="16">
        <f>L97-M97</f>
        <v>0</v>
      </c>
      <c r="O97" s="82">
        <f t="shared" si="61"/>
        <v>0</v>
      </c>
      <c r="P97" s="82">
        <f t="shared" si="62"/>
        <v>0</v>
      </c>
      <c r="Q97" s="82">
        <f t="shared" si="63"/>
        <v>0</v>
      </c>
      <c r="R97" s="82">
        <f t="shared" si="64"/>
        <v>0</v>
      </c>
      <c r="S97" s="82">
        <f t="shared" si="65"/>
        <v>0</v>
      </c>
      <c r="T97" s="82">
        <f t="shared" si="66"/>
        <v>0</v>
      </c>
      <c r="U97" s="82">
        <f t="shared" si="67"/>
        <v>0</v>
      </c>
      <c r="V97" s="82">
        <f t="shared" si="68"/>
        <v>0</v>
      </c>
    </row>
    <row r="100" spans="1:22" ht="30" x14ac:dyDescent="0.25">
      <c r="A100" s="105" t="s">
        <v>213</v>
      </c>
      <c r="B100" s="105" t="s">
        <v>220</v>
      </c>
      <c r="C100" s="105" t="s">
        <v>221</v>
      </c>
      <c r="D100" s="105" t="s">
        <v>222</v>
      </c>
      <c r="E100" s="105" t="s">
        <v>216</v>
      </c>
      <c r="F100" s="105" t="s">
        <v>214</v>
      </c>
      <c r="G100" s="105" t="s">
        <v>215</v>
      </c>
    </row>
    <row r="101" spans="1:22" x14ac:dyDescent="0.25">
      <c r="A101" s="17" t="s">
        <v>219</v>
      </c>
      <c r="B101" s="17"/>
      <c r="C101" s="17"/>
      <c r="D101" s="17"/>
      <c r="E101" s="81">
        <f t="shared" ref="E101:E112" si="69">((B101*$BJ$3*$BJ$4*10^-3)/$BJ$5)</f>
        <v>0</v>
      </c>
      <c r="F101" s="81">
        <f t="shared" ref="F101:F112" si="70">((C101*$BJ$3*$BJ$4*10^-3)/$BJ$5)</f>
        <v>0</v>
      </c>
      <c r="G101" s="81">
        <f t="shared" ref="G101:G112" si="71">((D101*$BJ$3*$BJ$4*10^-3)/$BJ$5)</f>
        <v>0</v>
      </c>
    </row>
    <row r="102" spans="1:22" x14ac:dyDescent="0.25">
      <c r="A102" s="17" t="s">
        <v>163</v>
      </c>
      <c r="B102" s="17"/>
      <c r="C102" s="17"/>
      <c r="D102" s="17"/>
      <c r="E102" s="81">
        <f t="shared" si="69"/>
        <v>0</v>
      </c>
      <c r="F102" s="81">
        <f t="shared" si="70"/>
        <v>0</v>
      </c>
      <c r="G102" s="81">
        <f t="shared" si="71"/>
        <v>0</v>
      </c>
    </row>
    <row r="103" spans="1:22" x14ac:dyDescent="0.25">
      <c r="A103" s="17" t="s">
        <v>217</v>
      </c>
      <c r="B103" s="17">
        <v>-428.25103999999999</v>
      </c>
      <c r="C103" s="17">
        <v>-428.24203399999999</v>
      </c>
      <c r="D103" s="17">
        <v>-428.28377799999998</v>
      </c>
      <c r="E103" s="81">
        <f t="shared" si="69"/>
        <v>-268731.50274848327</v>
      </c>
      <c r="F103" s="81">
        <f t="shared" si="70"/>
        <v>-268725.85139988695</v>
      </c>
      <c r="G103" s="81">
        <f t="shared" si="71"/>
        <v>-268752.04614736669</v>
      </c>
    </row>
    <row r="104" spans="1:22" x14ac:dyDescent="0.25">
      <c r="A104" s="17" t="s">
        <v>218</v>
      </c>
      <c r="B104" s="17">
        <v>-428.19074000000001</v>
      </c>
      <c r="C104" s="17">
        <v>-428.18213900000001</v>
      </c>
      <c r="D104" s="17">
        <v>-428.222352</v>
      </c>
      <c r="E104" s="81">
        <f t="shared" si="69"/>
        <v>-268693.66393876146</v>
      </c>
      <c r="F104" s="81">
        <f t="shared" si="70"/>
        <v>-268688.26673142449</v>
      </c>
      <c r="G104" s="81">
        <f t="shared" si="71"/>
        <v>-268713.500762193</v>
      </c>
    </row>
    <row r="105" spans="1:22" x14ac:dyDescent="0.25">
      <c r="A105" s="17"/>
      <c r="B105" s="17"/>
      <c r="C105" s="17"/>
      <c r="D105" s="17"/>
      <c r="E105" s="81">
        <f t="shared" si="69"/>
        <v>0</v>
      </c>
      <c r="F105" s="81">
        <f t="shared" si="70"/>
        <v>0</v>
      </c>
      <c r="G105" s="81">
        <f t="shared" si="71"/>
        <v>0</v>
      </c>
    </row>
    <row r="106" spans="1:22" x14ac:dyDescent="0.25">
      <c r="A106" s="17"/>
      <c r="B106" s="17"/>
      <c r="C106" s="17"/>
      <c r="D106" s="17"/>
      <c r="E106" s="81">
        <f t="shared" si="69"/>
        <v>0</v>
      </c>
      <c r="F106" s="81">
        <f t="shared" si="70"/>
        <v>0</v>
      </c>
      <c r="G106" s="81">
        <f t="shared" si="71"/>
        <v>0</v>
      </c>
    </row>
    <row r="107" spans="1:22" x14ac:dyDescent="0.25">
      <c r="A107" s="17"/>
      <c r="B107" s="17"/>
      <c r="C107" s="17"/>
      <c r="D107" s="17"/>
      <c r="E107" s="81">
        <f t="shared" si="69"/>
        <v>0</v>
      </c>
      <c r="F107" s="81">
        <f t="shared" si="70"/>
        <v>0</v>
      </c>
      <c r="G107" s="81">
        <f t="shared" si="71"/>
        <v>0</v>
      </c>
    </row>
    <row r="108" spans="1:22" x14ac:dyDescent="0.25">
      <c r="A108" s="17"/>
      <c r="B108" s="17"/>
      <c r="C108" s="17"/>
      <c r="D108" s="17"/>
      <c r="E108" s="81">
        <f t="shared" si="69"/>
        <v>0</v>
      </c>
      <c r="F108" s="81">
        <f t="shared" si="70"/>
        <v>0</v>
      </c>
      <c r="G108" s="81">
        <f t="shared" si="71"/>
        <v>0</v>
      </c>
    </row>
    <row r="109" spans="1:22" x14ac:dyDescent="0.25">
      <c r="A109" s="17"/>
      <c r="B109" s="17"/>
      <c r="C109" s="17"/>
      <c r="D109" s="17"/>
      <c r="E109" s="81">
        <f t="shared" si="69"/>
        <v>0</v>
      </c>
      <c r="F109" s="81">
        <f t="shared" si="70"/>
        <v>0</v>
      </c>
      <c r="G109" s="81">
        <f t="shared" si="71"/>
        <v>0</v>
      </c>
    </row>
    <row r="110" spans="1:22" x14ac:dyDescent="0.25">
      <c r="A110" s="17"/>
      <c r="B110" s="17"/>
      <c r="C110" s="17"/>
      <c r="D110" s="17"/>
      <c r="E110" s="81">
        <f t="shared" si="69"/>
        <v>0</v>
      </c>
      <c r="F110" s="81">
        <f t="shared" si="70"/>
        <v>0</v>
      </c>
      <c r="G110" s="81">
        <f t="shared" si="71"/>
        <v>0</v>
      </c>
    </row>
    <row r="111" spans="1:22" x14ac:dyDescent="0.25">
      <c r="A111" s="17"/>
      <c r="B111" s="17"/>
      <c r="C111" s="17"/>
      <c r="D111" s="17"/>
      <c r="E111" s="81">
        <f t="shared" si="69"/>
        <v>0</v>
      </c>
      <c r="F111" s="81">
        <f t="shared" si="70"/>
        <v>0</v>
      </c>
      <c r="G111" s="81">
        <f t="shared" si="71"/>
        <v>0</v>
      </c>
    </row>
    <row r="112" spans="1:22" x14ac:dyDescent="0.25">
      <c r="A112" s="17"/>
      <c r="B112" s="17"/>
      <c r="C112" s="17"/>
      <c r="D112" s="17"/>
      <c r="E112" s="81">
        <f t="shared" si="69"/>
        <v>0</v>
      </c>
      <c r="F112" s="81">
        <f t="shared" si="70"/>
        <v>0</v>
      </c>
      <c r="G112" s="81">
        <f t="shared" si="71"/>
        <v>0</v>
      </c>
    </row>
    <row r="117" spans="7:27" x14ac:dyDescent="0.25">
      <c r="Z117" s="100" t="e">
        <f>(ABS(ABS(#REF!-#REF!)-ABS($C$155-$D$155))+ABS(ABS(#REF!-#REF!)-ABS($C$155-$E$155))+ABS(ABS(#REF!-#REF!)-ABS($C$155-#REF!))+ABS(ABS(#REF!-W147)-ABS($C$155-$G$155))/4)</f>
        <v>#REF!</v>
      </c>
      <c r="AA117" s="101" t="e">
        <f>(X118+Z117)</f>
        <v>#REF!</v>
      </c>
    </row>
    <row r="121" spans="7:27" x14ac:dyDescent="0.25">
      <c r="G121" s="117" t="s">
        <v>169</v>
      </c>
      <c r="H121" s="118" t="s">
        <v>170</v>
      </c>
      <c r="I121" s="118" t="s">
        <v>170</v>
      </c>
      <c r="J121" s="118" t="s">
        <v>170</v>
      </c>
      <c r="K121" s="119" t="s">
        <v>171</v>
      </c>
      <c r="L121" s="119" t="s">
        <v>171</v>
      </c>
      <c r="M121" s="119" t="s">
        <v>171</v>
      </c>
      <c r="N121" s="120" t="s">
        <v>172</v>
      </c>
      <c r="O121" s="120" t="s">
        <v>172</v>
      </c>
      <c r="P121" s="120" t="s">
        <v>172</v>
      </c>
    </row>
    <row r="122" spans="7:27" x14ac:dyDescent="0.25">
      <c r="G122" s="117"/>
      <c r="H122" s="118" t="s">
        <v>173</v>
      </c>
      <c r="I122" s="118" t="s">
        <v>168</v>
      </c>
      <c r="J122" s="118" t="s">
        <v>96</v>
      </c>
      <c r="K122" s="119" t="s">
        <v>173</v>
      </c>
      <c r="L122" s="119" t="s">
        <v>168</v>
      </c>
      <c r="M122" s="119" t="s">
        <v>96</v>
      </c>
      <c r="N122" s="120" t="s">
        <v>173</v>
      </c>
      <c r="O122" s="120" t="s">
        <v>168</v>
      </c>
      <c r="P122" s="120" t="s">
        <v>96</v>
      </c>
    </row>
    <row r="123" spans="7:27" x14ac:dyDescent="0.25">
      <c r="G123" s="117" t="s">
        <v>73</v>
      </c>
      <c r="H123" s="121">
        <f>W21-(W3+W20)-$BJ$10*$BJ$15*LN(24.5)*10^-3/$BJ$5</f>
        <v>3.5931147022906496</v>
      </c>
      <c r="I123" s="121">
        <f>W22-W21</f>
        <v>24.229468196281232</v>
      </c>
      <c r="J123" s="121">
        <f>H123+I123</f>
        <v>27.822582898571881</v>
      </c>
      <c r="K123" s="122">
        <f>X21-(X3+X20)-$BJ$10*$BJ$15*LN(24.5)*10^-3/$BJ$5</f>
        <v>-3.0468852976651126</v>
      </c>
      <c r="L123" s="122">
        <f>X22-X21</f>
        <v>28.459468196262605</v>
      </c>
      <c r="M123" s="122">
        <f>K123+L123</f>
        <v>25.412582898597492</v>
      </c>
      <c r="N123" s="123">
        <f>AB21-(AB3+AB20)-$BJ$10*$BJ$15*LN(24.5)*10^-3/$BJ$5</f>
        <v>5.77311470240008</v>
      </c>
      <c r="O123" s="123">
        <f>AB22-AB21</f>
        <v>27.289468196220696</v>
      </c>
      <c r="P123" s="123">
        <f>N123+O123</f>
        <v>33.062582898620775</v>
      </c>
    </row>
    <row r="124" spans="7:27" x14ac:dyDescent="0.25">
      <c r="G124" s="117" t="s">
        <v>19</v>
      </c>
      <c r="H124" s="121">
        <f>W23-(W6+W20)-$BJ$10*$BJ$15*LN(24.5)*10^-3/$BJ$5</f>
        <v>3.8113762841362311</v>
      </c>
      <c r="I124" s="121">
        <f>W24-W23</f>
        <v>23.86516888870392</v>
      </c>
      <c r="J124" s="121">
        <f>H124+I124</f>
        <v>27.67654517284015</v>
      </c>
      <c r="K124" s="122">
        <f>X23-(X6+X20)-$BJ$10*$BJ$15*LN(24.5)*10^-3/$BJ$5</f>
        <v>-2.3486237158963652</v>
      </c>
      <c r="L124" s="122">
        <f>X24-X23</f>
        <v>27.965168888738845</v>
      </c>
      <c r="M124" s="122">
        <f>K124+L124</f>
        <v>25.616545172842478</v>
      </c>
      <c r="N124" s="123">
        <f>AB23-(AB6+AB20)-$BJ$10*$BJ$15*LN(24.5)*10^-3/$BJ$5</f>
        <v>4.4513762840919933</v>
      </c>
      <c r="O124" s="123">
        <f>AB24-AB23</f>
        <v>27.00516888871789</v>
      </c>
      <c r="P124" s="123">
        <f>N124+O124</f>
        <v>31.456545172809882</v>
      </c>
    </row>
    <row r="127" spans="7:27" x14ac:dyDescent="0.25">
      <c r="G127" s="117" t="s">
        <v>192</v>
      </c>
      <c r="H127" s="118" t="s">
        <v>170</v>
      </c>
      <c r="I127" s="118" t="s">
        <v>170</v>
      </c>
      <c r="J127" s="118" t="s">
        <v>170</v>
      </c>
      <c r="K127" s="119" t="s">
        <v>171</v>
      </c>
      <c r="L127" s="119" t="s">
        <v>171</v>
      </c>
      <c r="M127" s="119" t="s">
        <v>171</v>
      </c>
      <c r="N127" s="120" t="s">
        <v>172</v>
      </c>
      <c r="O127" s="120" t="s">
        <v>172</v>
      </c>
      <c r="P127" s="120" t="s">
        <v>172</v>
      </c>
    </row>
    <row r="128" spans="7:27" x14ac:dyDescent="0.25">
      <c r="G128" s="117"/>
      <c r="H128" s="118" t="s">
        <v>173</v>
      </c>
      <c r="I128" s="118" t="s">
        <v>168</v>
      </c>
      <c r="J128" s="118" t="s">
        <v>96</v>
      </c>
      <c r="K128" s="119" t="s">
        <v>173</v>
      </c>
      <c r="L128" s="119" t="s">
        <v>168</v>
      </c>
      <c r="M128" s="119" t="s">
        <v>96</v>
      </c>
      <c r="N128" s="120" t="s">
        <v>173</v>
      </c>
      <c r="O128" s="120" t="s">
        <v>168</v>
      </c>
      <c r="P128" s="120" t="s">
        <v>96</v>
      </c>
    </row>
    <row r="129" spans="7:28" x14ac:dyDescent="0.25">
      <c r="G129" s="117" t="s">
        <v>73</v>
      </c>
      <c r="H129" s="121">
        <f>T70-(T66+T69)-$BJ$10*$BJ$15*LN(24.5)*10^-3/$BJ$5</f>
        <v>0.74949122694440096</v>
      </c>
      <c r="I129" s="121">
        <f>T71-T70</f>
        <v>38.598342660057824</v>
      </c>
      <c r="J129" s="121">
        <f>H129+I129</f>
        <v>39.347833887002224</v>
      </c>
      <c r="K129" s="122">
        <f>U70-(U66+U69)-$BJ$10*$BJ$15*LN(24.5)*10^-3/$BJ$5</f>
        <v>-6.6205087731091501</v>
      </c>
      <c r="L129" s="122">
        <f>U71-U70</f>
        <v>42.198342660092749</v>
      </c>
      <c r="M129" s="122">
        <f>K129+L129</f>
        <v>35.577833886983598</v>
      </c>
      <c r="N129" s="123">
        <f>V70-(V66+V69)-$BJ$10*$BJ$15*LN(24.5)*10^-3/$BJ$5</f>
        <v>2.7194912268582536</v>
      </c>
      <c r="O129" s="123">
        <f>V71-V70</f>
        <v>40.018342660099734</v>
      </c>
      <c r="P129" s="123">
        <f>N129+O129</f>
        <v>42.737833886957986</v>
      </c>
    </row>
    <row r="130" spans="7:28" x14ac:dyDescent="0.25">
      <c r="G130" s="117" t="s">
        <v>19</v>
      </c>
      <c r="H130" s="121">
        <f>T72-(T67+T69)-$BJ$10*$BJ$15*LN(24.5)*10^-3/$BJ$5</f>
        <v>1.0710110905615418</v>
      </c>
      <c r="I130" s="121">
        <f>T73-T72</f>
        <v>38.315497725852765</v>
      </c>
      <c r="J130" s="121">
        <f>H130+I130</f>
        <v>39.386508816414306</v>
      </c>
      <c r="K130" s="122">
        <f>U72-(U67+U69)-$BJ$10*$BJ$15*LN(24.5)*10^-3/$BJ$5</f>
        <v>-6.3189889093942204</v>
      </c>
      <c r="L130" s="122">
        <f>U73-U72</f>
        <v>42.145497725810856</v>
      </c>
      <c r="M130" s="122">
        <f>K130+L130</f>
        <v>35.826508816416634</v>
      </c>
      <c r="N130" s="123">
        <f>V72-(V67+V69)-$BJ$10*$BJ$15*LN(24.5)*10^-3/$BJ$5</f>
        <v>2.7610110906220777</v>
      </c>
      <c r="O130" s="123">
        <f>V73-V72</f>
        <v>40.345497725822497</v>
      </c>
      <c r="P130" s="123">
        <f>N130+O130</f>
        <v>43.106508816444574</v>
      </c>
    </row>
    <row r="133" spans="7:28" x14ac:dyDescent="0.25">
      <c r="G133" s="117" t="s">
        <v>212</v>
      </c>
      <c r="H133" s="118" t="s">
        <v>170</v>
      </c>
      <c r="I133" s="118" t="s">
        <v>170</v>
      </c>
      <c r="J133" s="118" t="s">
        <v>170</v>
      </c>
      <c r="K133" s="119" t="s">
        <v>171</v>
      </c>
      <c r="L133" s="119" t="s">
        <v>171</v>
      </c>
      <c r="M133" s="119" t="s">
        <v>171</v>
      </c>
      <c r="N133" s="120" t="s">
        <v>172</v>
      </c>
      <c r="O133" s="120" t="s">
        <v>172</v>
      </c>
      <c r="P133" s="120" t="s">
        <v>172</v>
      </c>
    </row>
    <row r="134" spans="7:28" x14ac:dyDescent="0.25">
      <c r="G134" s="117"/>
      <c r="H134" s="118" t="s">
        <v>173</v>
      </c>
      <c r="I134" s="118" t="s">
        <v>168</v>
      </c>
      <c r="J134" s="118" t="s">
        <v>96</v>
      </c>
      <c r="K134" s="119" t="s">
        <v>173</v>
      </c>
      <c r="L134" s="119" t="s">
        <v>168</v>
      </c>
      <c r="M134" s="119" t="s">
        <v>96</v>
      </c>
      <c r="N134" s="120" t="s">
        <v>173</v>
      </c>
      <c r="O134" s="120" t="s">
        <v>168</v>
      </c>
      <c r="P134" s="120" t="s">
        <v>96</v>
      </c>
    </row>
    <row r="135" spans="7:28" x14ac:dyDescent="0.25">
      <c r="G135" s="117" t="s">
        <v>73</v>
      </c>
      <c r="H135" s="121">
        <f>T85-(T81+T84)-$BJ$10*$BJ$15*LN(24.5)*10^-3/$BJ$5</f>
        <v>4.4697368549218206</v>
      </c>
      <c r="I135" s="121">
        <f>T86-T85</f>
        <v>19.105272636166774</v>
      </c>
      <c r="J135" s="121">
        <f>H135+I135</f>
        <v>23.575009491088593</v>
      </c>
      <c r="K135" s="122">
        <f>U85-(U81+U84)-$BJ$10*$BJ$15*LN(24.5)*10^-3/$BJ$5</f>
        <v>-1.5602631449897038</v>
      </c>
      <c r="L135" s="122">
        <f>U86-U85</f>
        <v>23.285272636159789</v>
      </c>
      <c r="M135" s="122">
        <f>K135+L135</f>
        <v>21.725009491170084</v>
      </c>
      <c r="N135" s="123">
        <f>V85-(V81+V84)-$BJ$10*$BJ$15*LN(24.5)*10^-3/$BJ$5</f>
        <v>6.8597368549939981</v>
      </c>
      <c r="O135" s="123">
        <f>V88-V87</f>
        <v>21.49129030527547</v>
      </c>
      <c r="P135" s="123">
        <f>N135+O135</f>
        <v>28.351027160269467</v>
      </c>
    </row>
    <row r="136" spans="7:28" x14ac:dyDescent="0.25">
      <c r="G136" s="117" t="s">
        <v>19</v>
      </c>
      <c r="H136" s="121">
        <f>T87-(T82+T84)-$BJ$10*$BJ$15*LN(24.5)*10^-3/$BJ$5</f>
        <v>4.5827792489121473</v>
      </c>
      <c r="I136" s="121">
        <f>T88-T87</f>
        <v>18.8512903052615</v>
      </c>
      <c r="J136" s="121">
        <f>H136+I136</f>
        <v>23.434069554173647</v>
      </c>
      <c r="K136" s="122">
        <f>U87-(U82+U84)-$BJ$10*$BJ$15*LN(24.5)*10^-3/$BJ$5</f>
        <v>-1.357220751090181</v>
      </c>
      <c r="L136" s="122">
        <f>U88-U87</f>
        <v>22.871290305280127</v>
      </c>
      <c r="M136" s="122">
        <f>K136+L136</f>
        <v>21.514069554189945</v>
      </c>
      <c r="N136" s="123">
        <f>V87-(V82+V84)-$BJ$10*$BJ$15*LN(24.5)*10^-3/$BJ$5</f>
        <v>6.5027792488958491</v>
      </c>
      <c r="O136" s="123">
        <f>V79-V78</f>
        <v>0</v>
      </c>
      <c r="P136" s="123">
        <f>N136+O136</f>
        <v>6.5027792488958491</v>
      </c>
    </row>
    <row r="139" spans="7:28" x14ac:dyDescent="0.25">
      <c r="G139" s="117" t="s">
        <v>212</v>
      </c>
      <c r="H139" s="118" t="s">
        <v>223</v>
      </c>
      <c r="I139" s="118" t="s">
        <v>223</v>
      </c>
      <c r="J139" s="118" t="s">
        <v>223</v>
      </c>
    </row>
    <row r="140" spans="7:28" x14ac:dyDescent="0.25">
      <c r="G140" s="117"/>
      <c r="H140" s="118" t="s">
        <v>173</v>
      </c>
      <c r="I140" s="118" t="s">
        <v>168</v>
      </c>
      <c r="J140" s="118" t="s">
        <v>96</v>
      </c>
    </row>
    <row r="141" spans="7:28" x14ac:dyDescent="0.25">
      <c r="G141" s="117" t="s">
        <v>219</v>
      </c>
      <c r="H141" s="121"/>
      <c r="I141" s="121">
        <f>S90-S89</f>
        <v>25.499464684864506</v>
      </c>
      <c r="J141" s="121">
        <f>H141+I141</f>
        <v>25.499464684864506</v>
      </c>
    </row>
    <row r="142" spans="7:28" x14ac:dyDescent="0.25">
      <c r="AB142">
        <f>8*4.2</f>
        <v>33.6</v>
      </c>
    </row>
    <row r="147" spans="7:13" x14ac:dyDescent="0.25">
      <c r="M147">
        <f>42-23+25</f>
        <v>44</v>
      </c>
    </row>
    <row r="152" spans="7:13" x14ac:dyDescent="0.25">
      <c r="G152" s="117" t="s">
        <v>224</v>
      </c>
      <c r="H152" s="118" t="s">
        <v>223</v>
      </c>
      <c r="I152" s="118" t="s">
        <v>223</v>
      </c>
      <c r="J152" s="118" t="s">
        <v>223</v>
      </c>
    </row>
    <row r="153" spans="7:13" x14ac:dyDescent="0.25">
      <c r="G153" s="117"/>
      <c r="H153" s="118" t="s">
        <v>173</v>
      </c>
      <c r="I153" s="118" t="s">
        <v>168</v>
      </c>
      <c r="J153" s="118" t="s">
        <v>96</v>
      </c>
    </row>
    <row r="154" spans="7:13" x14ac:dyDescent="0.25">
      <c r="G154" s="117" t="s">
        <v>219</v>
      </c>
      <c r="H154" s="121">
        <f>S95-(T91+S94)-$BJ$10*$BJ$15*LN(24.5)*10^-3/$BJ$5</f>
        <v>312726.3228459474</v>
      </c>
      <c r="I154" s="121">
        <f>G104-G103</f>
        <v>38.545385173696559</v>
      </c>
      <c r="J154" s="121">
        <f>H154+I154</f>
        <v>312764.8682311211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7"/>
  <sheetViews>
    <sheetView zoomScale="20" zoomScaleNormal="20" workbookViewId="0">
      <selection activeCell="I83" sqref="I83"/>
    </sheetView>
  </sheetViews>
  <sheetFormatPr defaultRowHeight="15" x14ac:dyDescent="0.25"/>
  <cols>
    <col min="1" max="1" width="13.85546875" customWidth="1"/>
    <col min="3" max="3" width="11.7109375" customWidth="1"/>
    <col min="6" max="6" width="9.5703125" bestFit="1" customWidth="1"/>
    <col min="46" max="46" width="13.42578125" bestFit="1" customWidth="1"/>
    <col min="49" max="49" width="16.5703125" customWidth="1"/>
    <col min="51" max="51" width="12" bestFit="1" customWidth="1"/>
    <col min="55" max="55" width="11.42578125" customWidth="1"/>
  </cols>
  <sheetData>
    <row r="1" spans="1:62" x14ac:dyDescent="0.25">
      <c r="A1" s="15" t="s">
        <v>398</v>
      </c>
    </row>
    <row r="2" spans="1:62" ht="75.75" thickBot="1" x14ac:dyDescent="0.3">
      <c r="A2" s="105" t="s">
        <v>397</v>
      </c>
      <c r="B2" s="105" t="s">
        <v>397</v>
      </c>
      <c r="C2" s="105" t="s">
        <v>149</v>
      </c>
      <c r="D2" s="105" t="s">
        <v>399</v>
      </c>
      <c r="E2" s="105" t="s">
        <v>151</v>
      </c>
      <c r="F2" s="103" t="s">
        <v>312</v>
      </c>
      <c r="G2" s="103" t="s">
        <v>313</v>
      </c>
      <c r="H2" s="103" t="s">
        <v>314</v>
      </c>
      <c r="I2" s="103" t="s">
        <v>315</v>
      </c>
      <c r="J2" s="103" t="s">
        <v>320</v>
      </c>
      <c r="K2" s="103" t="s">
        <v>322</v>
      </c>
      <c r="L2" s="103" t="s">
        <v>404</v>
      </c>
      <c r="M2" s="103" t="s">
        <v>400</v>
      </c>
      <c r="N2" s="105" t="s">
        <v>401</v>
      </c>
    </row>
    <row r="3" spans="1:62" x14ac:dyDescent="0.25">
      <c r="A3" s="17" t="s">
        <v>402</v>
      </c>
      <c r="B3" s="17"/>
      <c r="C3" s="17">
        <v>-1606.8802618939601</v>
      </c>
      <c r="D3" s="14">
        <v>4.9099999999999998E-2</v>
      </c>
      <c r="E3" s="17">
        <v>-16.18</v>
      </c>
      <c r="F3" s="17">
        <v>985.15</v>
      </c>
      <c r="G3" s="17">
        <v>1.209017</v>
      </c>
      <c r="H3" s="17">
        <v>1.286206</v>
      </c>
      <c r="I3" s="17">
        <v>1.1055250000000001</v>
      </c>
      <c r="J3" s="16">
        <f>H3-I3</f>
        <v>0.18068099999999987</v>
      </c>
      <c r="K3" s="82">
        <f>((C3+G3)*$BJ$3*$BJ$4*10^-3)/$BJ$5</f>
        <v>-1007573.6104701151</v>
      </c>
      <c r="L3" s="82">
        <f>((C3+H3)*$BJ$3*$BJ$4*10^-3)/$BJ$5+E3</f>
        <v>-1007541.3536561249</v>
      </c>
      <c r="M3" s="82">
        <f>((C3+I3)*$BJ$3*$BJ$4*10^-3)/$BJ$5</f>
        <v>-1007638.5526607576</v>
      </c>
      <c r="N3" s="82">
        <f>M3+E3</f>
        <v>-1007654.7326607576</v>
      </c>
      <c r="AS3" s="22" t="s">
        <v>230</v>
      </c>
      <c r="AT3" s="25" t="s">
        <v>239</v>
      </c>
      <c r="AU3" s="25" t="s">
        <v>231</v>
      </c>
      <c r="AV3" s="25" t="s">
        <v>232</v>
      </c>
      <c r="AW3" s="26" t="s">
        <v>233</v>
      </c>
      <c r="BI3" s="22" t="s">
        <v>134</v>
      </c>
      <c r="BJ3" s="83">
        <v>4.35974394E-18</v>
      </c>
    </row>
    <row r="4" spans="1:62" x14ac:dyDescent="0.25">
      <c r="A4" s="17" t="s">
        <v>403</v>
      </c>
      <c r="B4" s="17"/>
      <c r="C4" s="17">
        <v>-1606.8375450726801</v>
      </c>
      <c r="D4" s="14"/>
      <c r="E4" s="17">
        <v>-15.37</v>
      </c>
      <c r="F4" s="17"/>
      <c r="G4" s="17">
        <v>1.209017</v>
      </c>
      <c r="H4" s="17">
        <v>1.286206</v>
      </c>
      <c r="I4" s="17">
        <v>1.1055250000000001</v>
      </c>
      <c r="J4" s="16">
        <f>H4-I4</f>
        <v>0.18068099999999987</v>
      </c>
      <c r="K4" s="82">
        <f>((C4+G4)*$BJ$3*$BJ$4*10^-3)/$BJ$5</f>
        <v>-1007546.8052682524</v>
      </c>
      <c r="L4" s="82">
        <f>((C4+H4)*$BJ$3*$BJ$4*10^-3)/$BJ$5+E4</f>
        <v>-1007513.7384542619</v>
      </c>
      <c r="M4" s="82">
        <f>((C4+I4)*$BJ$3*$BJ$4*10^-3)/$BJ$5</f>
        <v>-1007611.7474588945</v>
      </c>
      <c r="N4" s="82">
        <f>M4+E4</f>
        <v>-1007627.1174588945</v>
      </c>
      <c r="AS4" s="72" t="s">
        <v>234</v>
      </c>
      <c r="AT4" s="125">
        <f>N3</f>
        <v>-1007654.7326607576</v>
      </c>
      <c r="AU4" s="125">
        <v>0.27</v>
      </c>
      <c r="AV4" s="125">
        <f>(AU4-AU6)/(AU5-AU4)</f>
        <v>0.15606936416184972</v>
      </c>
      <c r="AW4" s="80">
        <f>AT4+AV4*(AT4-AT5)</f>
        <v>-1007659.0425477535</v>
      </c>
      <c r="BI4" s="72" t="s">
        <v>135</v>
      </c>
      <c r="BJ4" s="84">
        <v>6.0221399999999997E+23</v>
      </c>
    </row>
    <row r="5" spans="1:62" ht="15.75" thickBot="1" x14ac:dyDescent="0.3">
      <c r="A5" s="17" t="s">
        <v>405</v>
      </c>
      <c r="B5" s="17"/>
      <c r="C5" s="17">
        <v>-1606.91886141739</v>
      </c>
      <c r="D5" s="14"/>
      <c r="E5" s="17">
        <v>-25.8</v>
      </c>
      <c r="F5" s="17"/>
      <c r="G5" s="17">
        <v>1.2169319999999999</v>
      </c>
      <c r="H5" s="17">
        <v>1.2939780000000001</v>
      </c>
      <c r="I5" s="17">
        <v>1.113804</v>
      </c>
      <c r="J5" s="16">
        <f>H5-I5</f>
        <v>0.18017400000000006</v>
      </c>
      <c r="K5" s="82">
        <f>((C5+G5)*$BJ$3*$BJ$4*10^-3)/$BJ$5</f>
        <v>-1007592.8652933899</v>
      </c>
      <c r="L5" s="82">
        <f>((C5+H5)*$BJ$3*$BJ$4*10^-3)/$BJ$5+E5</f>
        <v>-1007570.318213227</v>
      </c>
      <c r="M5" s="82">
        <f>((C5+I5)*$BJ$3*$BJ$4*10^-3)/$BJ$5</f>
        <v>-1007657.5790706534</v>
      </c>
      <c r="N5" s="82">
        <f>M5+E5</f>
        <v>-1007683.3790706535</v>
      </c>
      <c r="AS5" s="72" t="s">
        <v>235</v>
      </c>
      <c r="AT5" s="125">
        <f>N4</f>
        <v>-1007627.1174588945</v>
      </c>
      <c r="AU5" s="125">
        <v>2</v>
      </c>
      <c r="AV5" s="125"/>
      <c r="AW5" s="73" t="s">
        <v>236</v>
      </c>
      <c r="BI5" s="23" t="s">
        <v>136</v>
      </c>
      <c r="BJ5" s="85">
        <v>4.1840000000000002</v>
      </c>
    </row>
    <row r="6" spans="1:62" ht="15.75" thickBot="1" x14ac:dyDescent="0.3">
      <c r="A6" s="17" t="s">
        <v>406</v>
      </c>
      <c r="B6" s="17"/>
      <c r="C6" s="14">
        <v>-1606.9309690248199</v>
      </c>
      <c r="D6" s="14"/>
      <c r="E6" s="17">
        <v>-12.57</v>
      </c>
      <c r="F6" s="17"/>
      <c r="G6" s="17">
        <v>1.2126950000000001</v>
      </c>
      <c r="H6" s="17">
        <v>1.2899750000000001</v>
      </c>
      <c r="I6" s="17">
        <v>1.108114</v>
      </c>
      <c r="J6" s="16">
        <f>H6-I6</f>
        <v>0.18186100000000005</v>
      </c>
      <c r="K6" s="82">
        <f>((C6+G6)*$BJ$3*$BJ$4*10^-3)/$BJ$5</f>
        <v>-1007603.1216862676</v>
      </c>
      <c r="L6" s="82">
        <f>((C6+H6)*$BJ$3*$BJ$4*10^-3)/$BJ$5+E6</f>
        <v>-1007567.1977689326</v>
      </c>
      <c r="M6" s="82">
        <f>((C6+I6)*$BJ$3*$BJ$4*10^-3)/$BJ$5</f>
        <v>-1007668.7472345183</v>
      </c>
      <c r="N6" s="82">
        <f>M6+E6</f>
        <v>-1007681.3172345182</v>
      </c>
      <c r="AS6" s="23" t="s">
        <v>237</v>
      </c>
      <c r="AT6" s="126"/>
      <c r="AU6" s="126">
        <v>0</v>
      </c>
      <c r="AV6" s="126"/>
      <c r="AW6" s="104">
        <f>(AT4-AW4)</f>
        <v>4.3098869959358126</v>
      </c>
    </row>
    <row r="7" spans="1:62" ht="15.75" thickBot="1" x14ac:dyDescent="0.3">
      <c r="BI7" s="86" t="s">
        <v>137</v>
      </c>
      <c r="BJ7" s="32"/>
    </row>
    <row r="8" spans="1:62" x14ac:dyDescent="0.25">
      <c r="BI8" s="87" t="s">
        <v>138</v>
      </c>
      <c r="BJ8" s="106">
        <v>3500</v>
      </c>
    </row>
    <row r="9" spans="1:62" x14ac:dyDescent="0.25">
      <c r="BI9" s="88" t="s">
        <v>139</v>
      </c>
      <c r="BJ9" s="89">
        <v>100</v>
      </c>
    </row>
    <row r="10" spans="1:62" x14ac:dyDescent="0.25">
      <c r="BI10" s="88" t="s">
        <v>140</v>
      </c>
      <c r="BJ10" s="107">
        <v>300</v>
      </c>
    </row>
    <row r="11" spans="1:62" x14ac:dyDescent="0.25">
      <c r="AY11" s="6">
        <f>BJ15*298.15*LN(5.5*BJ12/(BJ13*298.15))/(1000*BJ5)</f>
        <v>-16.443151192396861</v>
      </c>
      <c r="BI11" s="88" t="s">
        <v>152</v>
      </c>
      <c r="BJ11" s="108">
        <f>6.62606896E-34/(2*BJ14)</f>
        <v>1.0545716294567979E-34</v>
      </c>
    </row>
    <row r="12" spans="1:62" x14ac:dyDescent="0.25">
      <c r="BI12" s="88" t="s">
        <v>141</v>
      </c>
      <c r="BJ12" s="109">
        <v>6.6260689599999996E-34</v>
      </c>
    </row>
    <row r="13" spans="1:62" x14ac:dyDescent="0.25">
      <c r="BI13" s="88" t="s">
        <v>142</v>
      </c>
      <c r="BJ13" s="110">
        <v>1.3806503000000001E-23</v>
      </c>
    </row>
    <row r="14" spans="1:62" x14ac:dyDescent="0.25">
      <c r="BI14" s="91" t="s">
        <v>143</v>
      </c>
      <c r="BJ14" s="110">
        <v>3.1415926500000002</v>
      </c>
    </row>
    <row r="15" spans="1:62" x14ac:dyDescent="0.25">
      <c r="C15" s="142">
        <f>M6-M5</f>
        <v>-11.16816386487335</v>
      </c>
      <c r="H15" s="6">
        <f>L3-L6-0.7-0.8-0.4</f>
        <v>23.944112807651983</v>
      </c>
      <c r="BI15" s="92" t="s">
        <v>144</v>
      </c>
      <c r="BJ15" s="111">
        <v>8.3144720000000003</v>
      </c>
    </row>
    <row r="16" spans="1:62" x14ac:dyDescent="0.25">
      <c r="K16" s="11">
        <f>((0.0023)*$BJ$3*$BJ$4*10^-3)/$BJ$5</f>
        <v>1.4432713492569951</v>
      </c>
      <c r="BI16" s="88" t="s">
        <v>145</v>
      </c>
      <c r="BJ16" s="110">
        <v>6.0221399999999997E+23</v>
      </c>
    </row>
    <row r="17" spans="18:62" ht="15.75" thickBot="1" x14ac:dyDescent="0.3">
      <c r="BC17">
        <v>50</v>
      </c>
      <c r="BI17" s="90" t="s">
        <v>153</v>
      </c>
      <c r="BJ17" s="112">
        <v>29979245800</v>
      </c>
    </row>
    <row r="18" spans="18:62" x14ac:dyDescent="0.25">
      <c r="BC18">
        <v>20</v>
      </c>
      <c r="BI18" s="87" t="s">
        <v>154</v>
      </c>
      <c r="BJ18" s="93">
        <f>((2*BJ14)/(BJ12*BJ8*BJ17))</f>
        <v>9.0372265417914221E+19</v>
      </c>
    </row>
    <row r="19" spans="18:62" ht="15.75" thickBot="1" x14ac:dyDescent="0.3">
      <c r="AT19">
        <f>-227.054216-(  -151.401151-75.666678)</f>
        <v>1.3613000000020747E-2</v>
      </c>
      <c r="BC19">
        <v>20</v>
      </c>
      <c r="BI19" s="90" t="s">
        <v>155</v>
      </c>
      <c r="BJ19" s="94">
        <f>(1/(BJ13*BJ10))</f>
        <v>2.4143212320551649E+20</v>
      </c>
    </row>
    <row r="20" spans="18:62" x14ac:dyDescent="0.25">
      <c r="BC20">
        <v>50</v>
      </c>
      <c r="BI20" s="22" t="s">
        <v>146</v>
      </c>
      <c r="BJ20" s="95">
        <f>((BJ19*BJ14)/BJ18)/SIN((BJ19*BJ14)/BJ18)-(BJ19/(BJ18-BJ19))*EXP((BJ19-BJ18)*((BJ9*1000/BJ16)))</f>
        <v>125177041264.88351</v>
      </c>
    </row>
    <row r="21" spans="18:62" ht="15.75" thickBot="1" x14ac:dyDescent="0.3">
      <c r="AY21" s="18" t="b">
        <f>AY13=(BJ13*298.15/BJ12)*EXP(-84000/(298.15*BJ15))</f>
        <v>0</v>
      </c>
      <c r="BC21">
        <v>20</v>
      </c>
      <c r="BI21" s="72" t="s">
        <v>156</v>
      </c>
      <c r="BJ21" s="113">
        <f>(BJ15*BJ10*LN(BJ20)/1000)/BJ5</f>
        <v>15.233723276634924</v>
      </c>
    </row>
    <row r="22" spans="18:62" x14ac:dyDescent="0.25">
      <c r="R22">
        <f>0.5015-0.4992</f>
        <v>2.2999999999999687E-3</v>
      </c>
      <c r="AY22">
        <f>SQRT(0.122*1.9*10^-2/(2.7*10^7))</f>
        <v>9.2656274397286152E-6</v>
      </c>
      <c r="BC22">
        <v>20</v>
      </c>
      <c r="BI22" s="22" t="s">
        <v>147</v>
      </c>
      <c r="BJ22" s="95">
        <f>(BJ19/(BJ19-BJ18))*(EXP((BJ19-BJ18)*((BJ9)*1000/BJ16))-1)</f>
        <v>125177041253.50665</v>
      </c>
    </row>
    <row r="23" spans="18:62" ht="15.75" thickBot="1" x14ac:dyDescent="0.3">
      <c r="BC23">
        <v>50</v>
      </c>
      <c r="BI23" s="72" t="s">
        <v>157</v>
      </c>
      <c r="BJ23" s="114">
        <f>(BJ15*BJ10*LN(BJ22)/1000)/BJ5</f>
        <v>15.233723276580744</v>
      </c>
    </row>
    <row r="24" spans="18:62" ht="15.75" thickBot="1" x14ac:dyDescent="0.3">
      <c r="BC24">
        <v>20</v>
      </c>
      <c r="BI24" s="96" t="s">
        <v>158</v>
      </c>
      <c r="BJ24" s="97"/>
    </row>
    <row r="25" spans="18:62" x14ac:dyDescent="0.25">
      <c r="BC25">
        <v>50</v>
      </c>
      <c r="BI25" s="98" t="s">
        <v>148</v>
      </c>
      <c r="BJ25" s="99">
        <f>1+(1/24)*(BJ12*BJ8*BJ17/(BJ10*BJ13))^2</f>
        <v>12.740004491654705</v>
      </c>
    </row>
    <row r="26" spans="18:62" x14ac:dyDescent="0.25">
      <c r="BC26">
        <v>50</v>
      </c>
      <c r="BI26" s="98" t="s">
        <v>159</v>
      </c>
      <c r="BJ26" s="99">
        <f>(BJ10*BJ13)/(BJ8*BJ12*BJ17)</f>
        <v>5.9574478263878149E-2</v>
      </c>
    </row>
    <row r="27" spans="18:62" ht="15.75" thickBot="1" x14ac:dyDescent="0.3">
      <c r="BC27">
        <v>20</v>
      </c>
      <c r="BI27" s="98" t="s">
        <v>240</v>
      </c>
      <c r="BJ27" s="115">
        <f>(BJ15*BJ10*LN(BJ25)/1000)/BJ5</f>
        <v>1.5170813361203821</v>
      </c>
    </row>
    <row r="28" spans="18:62" x14ac:dyDescent="0.25">
      <c r="BC28">
        <v>50</v>
      </c>
      <c r="BI28" s="116" t="s">
        <v>160</v>
      </c>
      <c r="BJ28" s="26">
        <v>2</v>
      </c>
    </row>
    <row r="29" spans="18:62" ht="30.75" thickBot="1" x14ac:dyDescent="0.3">
      <c r="BC29">
        <v>50</v>
      </c>
      <c r="BI29" s="102" t="s">
        <v>161</v>
      </c>
      <c r="BJ29" s="104">
        <f>($BJ$10*$BJ$15*LN(BJ28)*10^-3)/BJ5</f>
        <v>0.41322797499841846</v>
      </c>
    </row>
    <row r="30" spans="18:62" x14ac:dyDescent="0.25">
      <c r="BC30">
        <v>20</v>
      </c>
    </row>
    <row r="31" spans="18:62" x14ac:dyDescent="0.25">
      <c r="BC31">
        <v>20</v>
      </c>
    </row>
    <row r="32" spans="18:62" x14ac:dyDescent="0.25">
      <c r="BC32">
        <v>20</v>
      </c>
    </row>
    <row r="33" spans="55:55" x14ac:dyDescent="0.25">
      <c r="BC33">
        <v>20</v>
      </c>
    </row>
    <row r="34" spans="55:55" x14ac:dyDescent="0.25">
      <c r="BC34">
        <v>50</v>
      </c>
    </row>
    <row r="35" spans="55:55" x14ac:dyDescent="0.25">
      <c r="BC35">
        <v>50</v>
      </c>
    </row>
    <row r="36" spans="55:55" x14ac:dyDescent="0.25">
      <c r="BC36">
        <v>50</v>
      </c>
    </row>
    <row r="37" spans="55:55" x14ac:dyDescent="0.25">
      <c r="BC37">
        <f>-SUM(BC17:BC36)+595+800</f>
        <v>695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5"/>
  <sheetViews>
    <sheetView zoomScale="10" zoomScaleNormal="10" workbookViewId="0">
      <selection activeCell="AR31" sqref="AR31"/>
    </sheetView>
  </sheetViews>
  <sheetFormatPr defaultRowHeight="15" x14ac:dyDescent="0.25"/>
  <cols>
    <col min="1" max="1" width="21" customWidth="1"/>
    <col min="2" max="2" width="9.28515625" bestFit="1" customWidth="1"/>
    <col min="3" max="4" width="9.42578125" bestFit="1" customWidth="1"/>
    <col min="6" max="6" width="9.28515625" bestFit="1" customWidth="1"/>
    <col min="7" max="7" width="9.42578125" bestFit="1" customWidth="1"/>
    <col min="9" max="10" width="9.42578125" bestFit="1" customWidth="1"/>
    <col min="11" max="11" width="8.5703125" customWidth="1"/>
    <col min="12" max="12" width="9.7109375" customWidth="1"/>
    <col min="15" max="15" width="12.140625" customWidth="1"/>
    <col min="16" max="16" width="10.28515625" bestFit="1" customWidth="1"/>
    <col min="17" max="17" width="9.42578125" bestFit="1" customWidth="1"/>
    <col min="18" max="18" width="13.28515625" customWidth="1"/>
    <col min="19" max="20" width="9.28515625" bestFit="1" customWidth="1"/>
    <col min="21" max="21" width="10.42578125" customWidth="1"/>
    <col min="22" max="22" width="10.140625" customWidth="1"/>
    <col min="23" max="23" width="12.42578125" customWidth="1"/>
    <col min="24" max="24" width="15.42578125" customWidth="1"/>
    <col min="25" max="25" width="9.42578125" bestFit="1" customWidth="1"/>
    <col min="26" max="26" width="9.42578125" customWidth="1"/>
    <col min="27" max="27" width="9.42578125" bestFit="1" customWidth="1"/>
    <col min="28" max="28" width="9.5703125" bestFit="1" customWidth="1"/>
    <col min="29" max="29" width="10.140625" customWidth="1"/>
    <col min="30" max="31" width="9.42578125" bestFit="1" customWidth="1"/>
    <col min="32" max="32" width="11.42578125" customWidth="1"/>
    <col min="33" max="33" width="18.140625" bestFit="1" customWidth="1"/>
    <col min="34" max="34" width="10.7109375" bestFit="1" customWidth="1"/>
    <col min="35" max="35" width="9.28515625" bestFit="1" customWidth="1"/>
    <col min="38" max="38" width="9.42578125" bestFit="1" customWidth="1"/>
    <col min="39" max="39" width="15.140625" customWidth="1"/>
    <col min="40" max="40" width="12.28515625" customWidth="1"/>
    <col min="43" max="43" width="10.5703125" bestFit="1" customWidth="1"/>
    <col min="48" max="48" width="19.5703125" customWidth="1"/>
    <col min="49" max="49" width="18.140625" customWidth="1"/>
  </cols>
  <sheetData>
    <row r="1" spans="1:49" x14ac:dyDescent="0.25">
      <c r="A1" s="15" t="s">
        <v>509</v>
      </c>
      <c r="B1" s="15"/>
      <c r="C1" s="15"/>
      <c r="D1" s="15"/>
      <c r="E1" s="15"/>
      <c r="F1" s="15"/>
      <c r="G1" s="15"/>
    </row>
    <row r="2" spans="1:49" ht="75.75" thickBot="1" x14ac:dyDescent="0.3">
      <c r="A2" s="167" t="s">
        <v>481</v>
      </c>
      <c r="B2" s="179" t="s">
        <v>432</v>
      </c>
      <c r="C2" s="179" t="s">
        <v>445</v>
      </c>
      <c r="D2" s="179" t="s">
        <v>446</v>
      </c>
      <c r="E2" s="167" t="s">
        <v>433</v>
      </c>
      <c r="F2" s="179" t="s">
        <v>447</v>
      </c>
      <c r="G2" s="179" t="s">
        <v>448</v>
      </c>
      <c r="H2" s="167" t="s">
        <v>449</v>
      </c>
      <c r="I2" s="179" t="s">
        <v>450</v>
      </c>
      <c r="J2" s="179" t="s">
        <v>451</v>
      </c>
      <c r="K2" s="167" t="s">
        <v>452</v>
      </c>
      <c r="L2" s="179" t="s">
        <v>453</v>
      </c>
      <c r="M2" s="179" t="s">
        <v>454</v>
      </c>
      <c r="N2" s="167" t="s">
        <v>455</v>
      </c>
      <c r="O2" s="179" t="s">
        <v>441</v>
      </c>
      <c r="P2" s="179" t="s">
        <v>442</v>
      </c>
      <c r="Q2" s="184" t="s">
        <v>443</v>
      </c>
      <c r="R2" s="179" t="s">
        <v>434</v>
      </c>
      <c r="S2" s="179" t="s">
        <v>435</v>
      </c>
      <c r="T2" s="179" t="s">
        <v>436</v>
      </c>
      <c r="U2" s="179" t="s">
        <v>437</v>
      </c>
      <c r="V2" s="179" t="s">
        <v>438</v>
      </c>
      <c r="W2" s="179" t="s">
        <v>500</v>
      </c>
      <c r="X2" s="191" t="s">
        <v>464</v>
      </c>
      <c r="Y2" s="191" t="s">
        <v>465</v>
      </c>
      <c r="Z2" s="192" t="s">
        <v>457</v>
      </c>
      <c r="AA2" s="192" t="s">
        <v>456</v>
      </c>
      <c r="AB2" s="193" t="s">
        <v>458</v>
      </c>
      <c r="AC2" s="193" t="s">
        <v>459</v>
      </c>
      <c r="AD2" s="194" t="s">
        <v>460</v>
      </c>
      <c r="AE2" s="194" t="s">
        <v>461</v>
      </c>
      <c r="AF2" s="195" t="s">
        <v>462</v>
      </c>
      <c r="AG2" s="195" t="s">
        <v>463</v>
      </c>
    </row>
    <row r="3" spans="1:49" x14ac:dyDescent="0.25">
      <c r="A3" s="180" t="s">
        <v>162</v>
      </c>
      <c r="B3" s="17">
        <v>-151.53321384</v>
      </c>
      <c r="C3" s="17">
        <v>-151.55835734199999</v>
      </c>
      <c r="D3" s="17"/>
      <c r="E3" s="17"/>
      <c r="F3" s="17">
        <v>-151.60650998899999</v>
      </c>
      <c r="G3" s="17"/>
      <c r="H3" s="17"/>
      <c r="I3" s="17">
        <v>-151.61078092700001</v>
      </c>
      <c r="J3" s="17"/>
      <c r="K3" s="17"/>
      <c r="L3" s="17">
        <v>-151.61296965099999</v>
      </c>
      <c r="M3" s="17"/>
      <c r="N3" s="17"/>
      <c r="O3" s="17">
        <v>-9.0299999999999994</v>
      </c>
      <c r="P3" s="17"/>
      <c r="Q3" s="17"/>
      <c r="R3" s="33"/>
      <c r="S3" s="17"/>
      <c r="T3" s="17">
        <v>2.6254E-2</v>
      </c>
      <c r="U3" s="17">
        <v>3.0450999999999999E-2</v>
      </c>
      <c r="V3" s="17">
        <v>3.9160000000000002E-3</v>
      </c>
      <c r="W3" s="185">
        <f>(U3-V3)*($AW$3*$AW$4*10^-3/$AW$5)</f>
        <v>16.650958805449726</v>
      </c>
      <c r="X3" s="186">
        <f>O3</f>
        <v>-9.0299999999999994</v>
      </c>
      <c r="Y3" s="186">
        <f>((((2-0)/(2-Q3))*O3+(1-((2-0)/(2-Q3)))*P3))</f>
        <v>-9.0299999999999994</v>
      </c>
      <c r="Z3" s="187">
        <f>(C3+U3)*($AW$3*$AW$4*10^-3/$AW$5)</f>
        <v>-95085.16775491563</v>
      </c>
      <c r="AA3" s="187">
        <f>((((2-0)/(2-E3))*C3+(1-((2-0)/(2-E3)))*D3)+U3)*($AW$3*$AW$4*10^-3/$AW$5)</f>
        <v>-95085.16775491563</v>
      </c>
      <c r="AB3" s="188">
        <f>(F3+U3)*($AW$3*$AW$4*10^-3/$AW$5)</f>
        <v>-95115.383987874739</v>
      </c>
      <c r="AC3" s="188">
        <f>((((2-0)/(2-H3))*F3+(1-((2-0)/(2-H3)))*G3)+U3)*($AW$3*$AW$4*10^-3/$AW$5)</f>
        <v>-95115.383987874739</v>
      </c>
      <c r="AD3" s="189">
        <f>(I3+U3)*($AW$3*$AW$4*10^-3/$AW$5)</f>
        <v>-95118.06404111383</v>
      </c>
      <c r="AE3" s="189">
        <f>((((2-0)/(2-K3))*I3+(1-((2-0)/(2-K3)))*J3)+U3)*($AW$3*$AW$4*10^-3/$AW$5)</f>
        <v>-95118.06404111383</v>
      </c>
      <c r="AF3" s="190">
        <f>(L3+U3)*($AW$3*$AW$4*10^-3/$AW$5)</f>
        <v>-95119.437485740171</v>
      </c>
      <c r="AG3" s="190">
        <f>((((2-0)/(2-N3))*L3+(1-((2-0)/(2-N3)))*M3)+U3)*($AW$3*$AW$4*10^-3/$AW$5)</f>
        <v>-95119.437485740171</v>
      </c>
      <c r="AV3" s="22" t="s">
        <v>134</v>
      </c>
      <c r="AW3" s="83">
        <v>4.35974394E-18</v>
      </c>
    </row>
    <row r="4" spans="1:49" x14ac:dyDescent="0.25">
      <c r="A4" s="180" t="s">
        <v>439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3"/>
      <c r="S4" s="17"/>
      <c r="T4" s="17"/>
      <c r="U4" s="17"/>
      <c r="V4" s="17"/>
      <c r="W4" s="185">
        <f t="shared" ref="W4:W27" si="0">(U4-V4)*($AW$3*$AW$4*10^-3/$AW$5)</f>
        <v>0</v>
      </c>
      <c r="X4" s="186">
        <f t="shared" ref="X4:X27" si="1">O4</f>
        <v>0</v>
      </c>
      <c r="Y4" s="186">
        <f t="shared" ref="Y4:Y27" si="2">((((2-0)/(2-Q4))*O4+(1-((2-0)/(2-Q4)))*P4))</f>
        <v>0</v>
      </c>
      <c r="Z4" s="187">
        <f t="shared" ref="Z4:Z27" si="3">(C4+U4)*($AW$3*$AW$4*10^-3/$AW$5)</f>
        <v>0</v>
      </c>
      <c r="AA4" s="187">
        <f t="shared" ref="AA4:AA27" si="4">((((2-0)/(2-E4))*C4+(1-((2-0)/(2-E4)))*D4)+U4)*($AW$3*$AW$4*10^-3/$AW$5)</f>
        <v>0</v>
      </c>
      <c r="AB4" s="188">
        <f t="shared" ref="AB4:AB27" si="5">(F4+U4)*($AW$3*$AW$4*10^-3/$AW$5)</f>
        <v>0</v>
      </c>
      <c r="AC4" s="188">
        <f t="shared" ref="AC4:AC27" si="6">((((2-0)/(2-H4))*F4+(1-((2-0)/(2-H4)))*G4)+U4)*($AW$3*$AW$4*10^-3/$AW$5)</f>
        <v>0</v>
      </c>
      <c r="AD4" s="189">
        <f t="shared" ref="AD4:AD27" si="7">(I4+U4)*($AW$3*$AW$4*10^-3/$AW$5)</f>
        <v>0</v>
      </c>
      <c r="AE4" s="189">
        <f t="shared" ref="AE4:AE27" si="8">((((2-0)/(2-K4))*I4+(1-((2-0)/(2-K4)))*J4)+U4)*($AW$3*$AW$4*10^-3/$AW$5)</f>
        <v>0</v>
      </c>
      <c r="AF4" s="190">
        <f t="shared" ref="AF4:AF27" si="9">(L4+U4)*($AW$3*$AW$4*10^-3/$AW$5)</f>
        <v>0</v>
      </c>
      <c r="AG4" s="190">
        <f t="shared" ref="AG4:AG27" si="10">((((2-0)/(2-N4))*L4+(1-((2-0)/(2-N4)))*M4)+U4)*($AW$3*$AW$4*10^-3/$AW$5)</f>
        <v>0</v>
      </c>
      <c r="AV4" s="72" t="s">
        <v>135</v>
      </c>
      <c r="AW4" s="84">
        <v>6.0221399999999997E+23</v>
      </c>
    </row>
    <row r="5" spans="1:49" ht="15.75" thickBot="1" x14ac:dyDescent="0.3">
      <c r="A5" s="180" t="s">
        <v>332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33"/>
      <c r="S5" s="17"/>
      <c r="T5" s="17"/>
      <c r="U5" s="17"/>
      <c r="V5" s="17"/>
      <c r="W5" s="185">
        <f t="shared" si="0"/>
        <v>0</v>
      </c>
      <c r="X5" s="186">
        <f t="shared" si="1"/>
        <v>0</v>
      </c>
      <c r="Y5" s="186">
        <f t="shared" si="2"/>
        <v>0</v>
      </c>
      <c r="Z5" s="187">
        <f t="shared" si="3"/>
        <v>0</v>
      </c>
      <c r="AA5" s="187">
        <f t="shared" si="4"/>
        <v>0</v>
      </c>
      <c r="AB5" s="188">
        <f t="shared" si="5"/>
        <v>0</v>
      </c>
      <c r="AC5" s="188">
        <f t="shared" si="6"/>
        <v>0</v>
      </c>
      <c r="AD5" s="189">
        <f t="shared" si="7"/>
        <v>0</v>
      </c>
      <c r="AE5" s="189">
        <f t="shared" si="8"/>
        <v>0</v>
      </c>
      <c r="AF5" s="190">
        <f t="shared" si="9"/>
        <v>0</v>
      </c>
      <c r="AG5" s="190">
        <f t="shared" si="10"/>
        <v>0</v>
      </c>
      <c r="AV5" s="23" t="s">
        <v>136</v>
      </c>
      <c r="AW5" s="85">
        <v>4.1840000000000002</v>
      </c>
    </row>
    <row r="6" spans="1:49" ht="15.75" thickBot="1" x14ac:dyDescent="0.3">
      <c r="A6" s="180" t="s">
        <v>466</v>
      </c>
      <c r="B6" s="17">
        <v>-151.45610545</v>
      </c>
      <c r="C6" s="17">
        <v>-151.44234535000001</v>
      </c>
      <c r="D6" s="17">
        <v>-151.48407053899999</v>
      </c>
      <c r="E6" s="17">
        <v>0.97340000000000004</v>
      </c>
      <c r="F6" s="17">
        <v>-151.49052658100001</v>
      </c>
      <c r="G6" s="17">
        <v>-151.53219092000001</v>
      </c>
      <c r="H6" s="17">
        <v>0.97319999999999995</v>
      </c>
      <c r="I6" s="17">
        <v>-151.49374765300001</v>
      </c>
      <c r="J6" s="17">
        <v>-151.535627229</v>
      </c>
      <c r="K6" s="17">
        <v>0.97360000000000002</v>
      </c>
      <c r="L6" s="17">
        <v>-151.49610899199999</v>
      </c>
      <c r="M6" s="17">
        <v>-151.537936352</v>
      </c>
      <c r="N6" s="17">
        <v>0.9738</v>
      </c>
      <c r="O6" s="17">
        <v>-5</v>
      </c>
      <c r="P6" s="17">
        <v>-6.02</v>
      </c>
      <c r="Q6" s="17">
        <v>0.96750000000000003</v>
      </c>
      <c r="R6" s="33">
        <v>176.4</v>
      </c>
      <c r="S6" s="17"/>
      <c r="T6" s="17">
        <v>1.8755999999999998E-2</v>
      </c>
      <c r="U6" s="17">
        <v>2.3736E-2</v>
      </c>
      <c r="V6" s="17">
        <v>-5.1359999999999999E-3</v>
      </c>
      <c r="W6" s="185">
        <f t="shared" si="0"/>
        <v>18.117447998151292</v>
      </c>
      <c r="X6" s="186">
        <f t="shared" si="1"/>
        <v>-5</v>
      </c>
      <c r="Y6" s="186">
        <f t="shared" si="2"/>
        <v>-4.044213075060533</v>
      </c>
      <c r="Z6" s="187">
        <f t="shared" si="3"/>
        <v>-95016.582877909721</v>
      </c>
      <c r="AA6" s="187">
        <f t="shared" si="4"/>
        <v>-94991.756775135407</v>
      </c>
      <c r="AB6" s="188">
        <f t="shared" si="5"/>
        <v>-95046.817047594173</v>
      </c>
      <c r="AC6" s="188">
        <f t="shared" si="6"/>
        <v>-95022.037071056198</v>
      </c>
      <c r="AD6" s="189">
        <f t="shared" si="7"/>
        <v>-95048.838300173084</v>
      </c>
      <c r="AE6" s="189">
        <f t="shared" si="8"/>
        <v>-95023.910362371578</v>
      </c>
      <c r="AF6" s="190">
        <f t="shared" si="9"/>
        <v>-95050.320062314189</v>
      </c>
      <c r="AG6" s="190">
        <f t="shared" si="10"/>
        <v>-95025.413237358836</v>
      </c>
    </row>
    <row r="7" spans="1:49" ht="21.75" customHeight="1" thickBot="1" x14ac:dyDescent="0.3">
      <c r="A7" s="180" t="s">
        <v>469</v>
      </c>
      <c r="B7" s="17">
        <v>-302.49907732000003</v>
      </c>
      <c r="C7" s="17">
        <v>-302.56801787900002</v>
      </c>
      <c r="D7" s="17"/>
      <c r="E7" s="17"/>
      <c r="F7" s="17">
        <v>-302.66177507399999</v>
      </c>
      <c r="G7" s="17"/>
      <c r="H7" s="17"/>
      <c r="I7" s="17">
        <v>-302.668578502</v>
      </c>
      <c r="J7" s="17"/>
      <c r="K7" s="17"/>
      <c r="L7" s="17">
        <v>-302.672459296</v>
      </c>
      <c r="M7" s="17"/>
      <c r="N7" s="17"/>
      <c r="O7" s="17">
        <v>-74.959999999999994</v>
      </c>
      <c r="P7" s="17"/>
      <c r="Q7" s="17"/>
      <c r="R7" s="33"/>
      <c r="S7" s="17"/>
      <c r="T7" s="17">
        <v>4.2469E-2</v>
      </c>
      <c r="U7" s="17">
        <v>4.9090000000000002E-2</v>
      </c>
      <c r="V7" s="17">
        <v>1.3691E-2</v>
      </c>
      <c r="W7" s="185">
        <f t="shared" si="0"/>
        <v>22.213201083629727</v>
      </c>
      <c r="X7" s="186">
        <f t="shared" si="1"/>
        <v>-74.959999999999994</v>
      </c>
      <c r="Y7" s="186">
        <f t="shared" si="2"/>
        <v>-74.959999999999994</v>
      </c>
      <c r="Z7" s="187">
        <f t="shared" si="3"/>
        <v>-189833.43531117565</v>
      </c>
      <c r="AA7" s="187">
        <f t="shared" si="4"/>
        <v>-189833.43531117565</v>
      </c>
      <c r="AB7" s="188">
        <f t="shared" si="5"/>
        <v>-189892.26882131922</v>
      </c>
      <c r="AC7" s="188">
        <f t="shared" si="6"/>
        <v>-189892.26882131922</v>
      </c>
      <c r="AD7" s="189">
        <f t="shared" si="7"/>
        <v>-189896.53803554058</v>
      </c>
      <c r="AE7" s="189">
        <f t="shared" si="8"/>
        <v>-189896.53803554058</v>
      </c>
      <c r="AF7" s="190">
        <f t="shared" si="9"/>
        <v>-189898.97326979821</v>
      </c>
      <c r="AG7" s="190">
        <f t="shared" si="10"/>
        <v>-189898.97326979821</v>
      </c>
      <c r="AV7" s="86" t="s">
        <v>137</v>
      </c>
      <c r="AW7" s="32"/>
    </row>
    <row r="8" spans="1:49" ht="18.75" customHeight="1" x14ac:dyDescent="0.25">
      <c r="A8" s="180" t="s">
        <v>467</v>
      </c>
      <c r="B8" s="17">
        <v>-302.45276544000001</v>
      </c>
      <c r="C8" s="17">
        <v>-302.51241350399999</v>
      </c>
      <c r="D8" s="17">
        <v>-302.528857254</v>
      </c>
      <c r="E8" s="17">
        <v>0.86699999999999999</v>
      </c>
      <c r="F8" s="17">
        <v>-302.60614048899998</v>
      </c>
      <c r="G8" s="17">
        <v>-302.62240936000001</v>
      </c>
      <c r="H8" s="17">
        <v>0.8679</v>
      </c>
      <c r="I8" s="17">
        <v>-302.61193876800002</v>
      </c>
      <c r="J8" s="17">
        <v>-302.62803358799999</v>
      </c>
      <c r="K8" s="17">
        <v>0.87109999999999999</v>
      </c>
      <c r="L8" s="17">
        <v>-302.61593697900003</v>
      </c>
      <c r="M8" s="17">
        <v>-302.63204927300001</v>
      </c>
      <c r="N8" s="17">
        <v>0.871</v>
      </c>
      <c r="O8" s="17">
        <v>-64.16</v>
      </c>
      <c r="P8" s="17">
        <v>-64.290000000000006</v>
      </c>
      <c r="Q8" s="17">
        <v>0.84089999999999998</v>
      </c>
      <c r="R8" s="33">
        <v>388.16</v>
      </c>
      <c r="S8" s="17"/>
      <c r="T8" s="17">
        <v>3.8772000000000001E-2</v>
      </c>
      <c r="U8" s="17">
        <v>4.5539999999999997E-2</v>
      </c>
      <c r="V8" s="17">
        <v>9.8069999999999997E-3</v>
      </c>
      <c r="W8" s="185">
        <f t="shared" si="0"/>
        <v>22.422789183913135</v>
      </c>
      <c r="X8" s="186">
        <f t="shared" si="1"/>
        <v>-64.16</v>
      </c>
      <c r="Y8" s="186">
        <f t="shared" si="2"/>
        <v>-64.065688033819328</v>
      </c>
      <c r="Z8" s="187">
        <f t="shared" si="3"/>
        <v>-189800.77070767953</v>
      </c>
      <c r="AA8" s="187">
        <f t="shared" si="4"/>
        <v>-189792.87465190334</v>
      </c>
      <c r="AB8" s="188">
        <f t="shared" si="5"/>
        <v>-189859.58526076769</v>
      </c>
      <c r="AC8" s="188">
        <f t="shared" si="6"/>
        <v>-189851.75885306566</v>
      </c>
      <c r="AD8" s="189">
        <f t="shared" si="7"/>
        <v>-189863.2237346615</v>
      </c>
      <c r="AE8" s="189">
        <f t="shared" si="8"/>
        <v>-189855.43048087685</v>
      </c>
      <c r="AF8" s="190">
        <f t="shared" si="9"/>
        <v>-189865.73264917653</v>
      </c>
      <c r="AG8" s="190">
        <f t="shared" si="10"/>
        <v>-189857.93252089288</v>
      </c>
      <c r="AV8" s="87" t="s">
        <v>138</v>
      </c>
      <c r="AW8" s="106">
        <v>200</v>
      </c>
    </row>
    <row r="9" spans="1:49" x14ac:dyDescent="0.25">
      <c r="A9" s="180" t="s">
        <v>468</v>
      </c>
      <c r="B9" s="17">
        <v>-302.45827691</v>
      </c>
      <c r="C9" s="17">
        <v>-302.52499940400003</v>
      </c>
      <c r="D9" s="17">
        <v>-302.52362340600001</v>
      </c>
      <c r="E9" s="17">
        <v>0.9919</v>
      </c>
      <c r="F9" s="17">
        <v>-302.61788301199999</v>
      </c>
      <c r="G9" s="17">
        <v>-302.61655225800001</v>
      </c>
      <c r="H9" s="17">
        <v>0.9919</v>
      </c>
      <c r="I9" s="17">
        <v>-302.62364695899998</v>
      </c>
      <c r="J9" s="17">
        <v>-302.622359227</v>
      </c>
      <c r="K9" s="17">
        <v>0.99219999999999997</v>
      </c>
      <c r="L9" s="17">
        <v>-302.62785336500002</v>
      </c>
      <c r="M9" s="17">
        <v>-302.62654233299997</v>
      </c>
      <c r="N9" s="17">
        <v>0.99239999999999995</v>
      </c>
      <c r="O9" s="17">
        <v>-62.18</v>
      </c>
      <c r="P9" s="17">
        <v>-62.19</v>
      </c>
      <c r="Q9" s="17">
        <v>0.99639999999999995</v>
      </c>
      <c r="R9" s="33"/>
      <c r="S9" s="17"/>
      <c r="T9" s="17">
        <v>3.6290000000000003E-2</v>
      </c>
      <c r="U9" s="17">
        <v>4.3267E-2</v>
      </c>
      <c r="V9" s="17">
        <v>6.4980000000000003E-3</v>
      </c>
      <c r="W9" s="185">
        <f t="shared" si="0"/>
        <v>23.072888800361067</v>
      </c>
      <c r="X9" s="186">
        <f t="shared" si="1"/>
        <v>-62.18</v>
      </c>
      <c r="Y9" s="186">
        <f t="shared" si="2"/>
        <v>-62.170071741729778</v>
      </c>
      <c r="Z9" s="187">
        <f t="shared" si="3"/>
        <v>-189810.09480535411</v>
      </c>
      <c r="AA9" s="187">
        <f t="shared" si="4"/>
        <v>-189810.94438134864</v>
      </c>
      <c r="AB9" s="188">
        <f t="shared" si="5"/>
        <v>-189868.38013154629</v>
      </c>
      <c r="AC9" s="188">
        <f t="shared" si="6"/>
        <v>-189869.20177275001</v>
      </c>
      <c r="AD9" s="189">
        <f t="shared" si="7"/>
        <v>-189871.99706179136</v>
      </c>
      <c r="AE9" s="189">
        <f t="shared" si="8"/>
        <v>-189872.79261734363</v>
      </c>
      <c r="AF9" s="190">
        <f t="shared" si="9"/>
        <v>-189874.63662060146</v>
      </c>
      <c r="AG9" s="190">
        <f t="shared" si="10"/>
        <v>-189875.44689486243</v>
      </c>
      <c r="AV9" s="88" t="s">
        <v>139</v>
      </c>
      <c r="AW9" s="89">
        <v>100</v>
      </c>
    </row>
    <row r="10" spans="1:49" x14ac:dyDescent="0.25">
      <c r="A10" s="180" t="s">
        <v>470</v>
      </c>
      <c r="B10" s="17">
        <v>-313.25386291000001</v>
      </c>
      <c r="C10" s="17">
        <v>-313.27763418199999</v>
      </c>
      <c r="D10" s="17"/>
      <c r="E10" s="17"/>
      <c r="F10" s="17">
        <v>-313.33170085699999</v>
      </c>
      <c r="G10" s="17"/>
      <c r="H10" s="17"/>
      <c r="I10" s="17">
        <v>-313.33482979500002</v>
      </c>
      <c r="J10" s="17"/>
      <c r="K10" s="17"/>
      <c r="L10" s="17">
        <v>-313.33746437399998</v>
      </c>
      <c r="M10" s="17"/>
      <c r="N10" s="17"/>
      <c r="O10" s="17">
        <v>-20.11</v>
      </c>
      <c r="P10" s="17"/>
      <c r="Q10" s="17"/>
      <c r="R10" s="33"/>
      <c r="S10" s="17"/>
      <c r="T10" s="17">
        <v>1.5775999999999998E-2</v>
      </c>
      <c r="U10" s="17">
        <v>2.0625000000000001E-2</v>
      </c>
      <c r="V10" s="17">
        <v>-9.8600000000000007E-3</v>
      </c>
      <c r="W10" s="185">
        <f t="shared" si="0"/>
        <v>19.129620470478045</v>
      </c>
      <c r="X10" s="186">
        <f t="shared" si="1"/>
        <v>-20.11</v>
      </c>
      <c r="Y10" s="186">
        <f t="shared" si="2"/>
        <v>-20.11</v>
      </c>
      <c r="Z10" s="187">
        <f t="shared" si="3"/>
        <v>-196571.6810027461</v>
      </c>
      <c r="AA10" s="187">
        <f t="shared" si="4"/>
        <v>-196571.6810027461</v>
      </c>
      <c r="AB10" s="188">
        <f t="shared" si="5"/>
        <v>-196605.60834317093</v>
      </c>
      <c r="AC10" s="188">
        <f t="shared" si="6"/>
        <v>-196605.60834317093</v>
      </c>
      <c r="AD10" s="189">
        <f t="shared" si="7"/>
        <v>-196607.57178080967</v>
      </c>
      <c r="AE10" s="189">
        <f t="shared" si="8"/>
        <v>-196607.57178080967</v>
      </c>
      <c r="AF10" s="190">
        <f t="shared" si="9"/>
        <v>-196609.22500358705</v>
      </c>
      <c r="AG10" s="190">
        <f t="shared" si="10"/>
        <v>-196609.22500358705</v>
      </c>
      <c r="AQ10" s="6"/>
      <c r="AV10" s="88" t="s">
        <v>140</v>
      </c>
      <c r="AW10" s="107">
        <v>298</v>
      </c>
    </row>
    <row r="11" spans="1:49" x14ac:dyDescent="0.25">
      <c r="A11" s="180" t="s">
        <v>471</v>
      </c>
      <c r="B11" s="17">
        <v>-313.18221094</v>
      </c>
      <c r="C11" s="17">
        <v>-313.22138572</v>
      </c>
      <c r="D11" s="17">
        <v>-313.227487037</v>
      </c>
      <c r="E11" s="17">
        <v>1.0105999999999999</v>
      </c>
      <c r="F11" s="17">
        <v>-313.27494082200002</v>
      </c>
      <c r="G11" s="17">
        <v>-313.28094982300001</v>
      </c>
      <c r="H11" s="17">
        <v>1.0108999999999999</v>
      </c>
      <c r="I11" s="17">
        <v>-313.27743941799997</v>
      </c>
      <c r="J11" s="17">
        <v>-313.28301415099997</v>
      </c>
      <c r="K11" s="17">
        <v>1.0113000000000001</v>
      </c>
      <c r="L11" s="17">
        <v>-313.27947000099999</v>
      </c>
      <c r="M11" s="17">
        <v>-313.285166162</v>
      </c>
      <c r="N11" s="17">
        <v>1.0115000000000001</v>
      </c>
      <c r="O11" s="17">
        <v>-7.86</v>
      </c>
      <c r="P11" s="17">
        <v>-7.51</v>
      </c>
      <c r="Q11" s="17">
        <v>1.0056</v>
      </c>
      <c r="R11" s="33">
        <v>56.54</v>
      </c>
      <c r="S11" s="17"/>
      <c r="T11" s="17">
        <v>1.1328E-2</v>
      </c>
      <c r="U11" s="17">
        <v>1.6910000000000001E-2</v>
      </c>
      <c r="V11" s="17">
        <v>-1.5633999999999999E-2</v>
      </c>
      <c r="W11" s="185">
        <f t="shared" si="0"/>
        <v>20.421662082704199</v>
      </c>
      <c r="X11" s="186">
        <f t="shared" si="1"/>
        <v>-7.86</v>
      </c>
      <c r="Y11" s="186">
        <f t="shared" si="2"/>
        <v>-8.2139420756234927</v>
      </c>
      <c r="Z11" s="187">
        <f t="shared" si="3"/>
        <v>-196538.71576771053</v>
      </c>
      <c r="AA11" s="187">
        <f t="shared" si="4"/>
        <v>-196534.8050980501</v>
      </c>
      <c r="AB11" s="188">
        <f t="shared" si="5"/>
        <v>-196572.32209132929</v>
      </c>
      <c r="AC11" s="188">
        <f t="shared" si="6"/>
        <v>-196568.46828021077</v>
      </c>
      <c r="AD11" s="189">
        <f t="shared" si="7"/>
        <v>-196573.88998351194</v>
      </c>
      <c r="AE11" s="189">
        <f t="shared" si="8"/>
        <v>-196570.31182398272</v>
      </c>
      <c r="AF11" s="190">
        <f t="shared" si="9"/>
        <v>-196575.1641931929</v>
      </c>
      <c r="AG11" s="190">
        <f t="shared" si="10"/>
        <v>-196571.50663180623</v>
      </c>
      <c r="AV11" s="88" t="s">
        <v>152</v>
      </c>
      <c r="AW11" s="108">
        <f>6.62606896E-34/(2*AW14)</f>
        <v>1.0545716294567979E-34</v>
      </c>
    </row>
    <row r="12" spans="1:49" x14ac:dyDescent="0.25">
      <c r="A12" s="180" t="s">
        <v>472</v>
      </c>
      <c r="B12" s="17">
        <v>-313.19796167999999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33"/>
      <c r="S12" s="17"/>
      <c r="T12" s="17">
        <v>1.1022000000000001E-2</v>
      </c>
      <c r="U12" s="17">
        <v>1.6757000000000001E-2</v>
      </c>
      <c r="V12" s="17">
        <v>-1.5743E-2</v>
      </c>
      <c r="W12" s="185">
        <f t="shared" si="0"/>
        <v>20.394051674283627</v>
      </c>
      <c r="X12" s="186">
        <f t="shared" si="1"/>
        <v>0</v>
      </c>
      <c r="Y12" s="186">
        <f t="shared" si="2"/>
        <v>0</v>
      </c>
      <c r="Z12" s="187">
        <f t="shared" si="3"/>
        <v>10.51517304326064</v>
      </c>
      <c r="AA12" s="187">
        <f t="shared" si="4"/>
        <v>10.51517304326064</v>
      </c>
      <c r="AB12" s="188">
        <f t="shared" si="5"/>
        <v>10.51517304326064</v>
      </c>
      <c r="AC12" s="188">
        <f t="shared" si="6"/>
        <v>10.51517304326064</v>
      </c>
      <c r="AD12" s="189">
        <f t="shared" si="7"/>
        <v>10.51517304326064</v>
      </c>
      <c r="AE12" s="189">
        <f t="shared" si="8"/>
        <v>10.51517304326064</v>
      </c>
      <c r="AF12" s="190">
        <f t="shared" si="9"/>
        <v>10.51517304326064</v>
      </c>
      <c r="AG12" s="190">
        <f t="shared" si="10"/>
        <v>10.51517304326064</v>
      </c>
      <c r="AV12" s="88" t="s">
        <v>141</v>
      </c>
      <c r="AW12" s="109">
        <v>6.6260695699999996E-34</v>
      </c>
    </row>
    <row r="13" spans="1:49" x14ac:dyDescent="0.25">
      <c r="A13" s="180" t="s">
        <v>474</v>
      </c>
      <c r="B13" s="17">
        <v>-303.80646519999999</v>
      </c>
      <c r="C13" s="17">
        <v>-303.892820073</v>
      </c>
      <c r="D13" s="17"/>
      <c r="E13" s="17"/>
      <c r="F13" s="17">
        <v>-303.98866478799999</v>
      </c>
      <c r="G13" s="17"/>
      <c r="H13" s="17"/>
      <c r="I13" s="17">
        <v>-303.99574992800001</v>
      </c>
      <c r="J13" s="17"/>
      <c r="K13" s="17"/>
      <c r="L13" s="17">
        <v>-304.00155814700003</v>
      </c>
      <c r="M13" s="17"/>
      <c r="N13" s="17"/>
      <c r="O13" s="17">
        <v>-71.53</v>
      </c>
      <c r="P13" s="17"/>
      <c r="Q13" s="17"/>
      <c r="R13" s="33"/>
      <c r="S13" s="17"/>
      <c r="T13" s="17">
        <v>6.3392000000000004E-2</v>
      </c>
      <c r="U13" s="17">
        <v>7.1728E-2</v>
      </c>
      <c r="V13" s="17">
        <v>3.2301000000000003E-2</v>
      </c>
      <c r="W13" s="185">
        <f t="shared" si="0"/>
        <v>24.740808472676324</v>
      </c>
      <c r="X13" s="186">
        <f t="shared" si="1"/>
        <v>-71.53</v>
      </c>
      <c r="Y13" s="186">
        <f t="shared" si="2"/>
        <v>-71.53</v>
      </c>
      <c r="Z13" s="187">
        <f t="shared" si="3"/>
        <v>-190650.55542997064</v>
      </c>
      <c r="AA13" s="187">
        <f t="shared" si="4"/>
        <v>-190650.55542997064</v>
      </c>
      <c r="AB13" s="188">
        <f t="shared" si="5"/>
        <v>-190710.69887829115</v>
      </c>
      <c r="AC13" s="188">
        <f t="shared" si="6"/>
        <v>-190710.69887829115</v>
      </c>
      <c r="AD13" s="189">
        <f t="shared" si="7"/>
        <v>-190715.14486940746</v>
      </c>
      <c r="AE13" s="189">
        <f t="shared" si="8"/>
        <v>-190715.14486940746</v>
      </c>
      <c r="AF13" s="190">
        <f t="shared" si="9"/>
        <v>-190718.78958074353</v>
      </c>
      <c r="AG13" s="190">
        <f t="shared" si="10"/>
        <v>-190718.78958074353</v>
      </c>
      <c r="AV13" s="88" t="s">
        <v>142</v>
      </c>
      <c r="AW13" s="110">
        <v>1.3806488E-23</v>
      </c>
    </row>
    <row r="14" spans="1:49" x14ac:dyDescent="0.25">
      <c r="A14" s="180" t="s">
        <v>473</v>
      </c>
      <c r="B14" s="17">
        <v>-303.75569187999997</v>
      </c>
      <c r="C14" s="17">
        <v>-303.82776085699999</v>
      </c>
      <c r="D14" s="17">
        <v>-303.84693695800001</v>
      </c>
      <c r="E14" s="17">
        <v>0.7742</v>
      </c>
      <c r="F14" s="17">
        <v>-303.92356675799999</v>
      </c>
      <c r="G14" s="17">
        <v>-303.942551874</v>
      </c>
      <c r="H14" s="17">
        <v>0.7752</v>
      </c>
      <c r="I14" s="17">
        <v>-303.92973604500003</v>
      </c>
      <c r="J14" s="17">
        <v>-303.94859658199999</v>
      </c>
      <c r="K14" s="17">
        <v>0.77880000000000005</v>
      </c>
      <c r="L14" s="17">
        <v>-303.93486845000001</v>
      </c>
      <c r="M14" s="17">
        <v>-303.95372224099998</v>
      </c>
      <c r="N14" s="17">
        <v>0.78010000000000002</v>
      </c>
      <c r="O14" s="17">
        <v>-61.61</v>
      </c>
      <c r="P14" s="17">
        <v>-61.55</v>
      </c>
      <c r="Q14" s="17">
        <v>0.78349999999999997</v>
      </c>
      <c r="R14" s="33">
        <v>414.52</v>
      </c>
      <c r="S14" s="17"/>
      <c r="T14" s="17">
        <v>5.9853000000000003E-2</v>
      </c>
      <c r="U14" s="17">
        <v>6.8648000000000001E-2</v>
      </c>
      <c r="V14" s="17">
        <v>2.8312E-2</v>
      </c>
      <c r="W14" s="185">
        <f t="shared" si="0"/>
        <v>25.31121441027398</v>
      </c>
      <c r="X14" s="186">
        <f t="shared" si="1"/>
        <v>-61.61</v>
      </c>
      <c r="Y14" s="186">
        <f t="shared" si="2"/>
        <v>-61.648643649815035</v>
      </c>
      <c r="Z14" s="187">
        <f t="shared" si="3"/>
        <v>-190611.66289662186</v>
      </c>
      <c r="AA14" s="187">
        <f t="shared" si="4"/>
        <v>-190604.0628892626</v>
      </c>
      <c r="AB14" s="188">
        <f t="shared" si="5"/>
        <v>-190671.7819887971</v>
      </c>
      <c r="AC14" s="188">
        <f t="shared" si="6"/>
        <v>-190664.24180389621</v>
      </c>
      <c r="AD14" s="189">
        <f t="shared" si="7"/>
        <v>-190675.65327365469</v>
      </c>
      <c r="AE14" s="189">
        <f t="shared" si="8"/>
        <v>-190668.10559580181</v>
      </c>
      <c r="AF14" s="190">
        <f t="shared" si="9"/>
        <v>-190678.87390543264</v>
      </c>
      <c r="AG14" s="190">
        <f t="shared" si="10"/>
        <v>-190671.30827906757</v>
      </c>
      <c r="AV14" s="91" t="s">
        <v>143</v>
      </c>
      <c r="AW14" s="110">
        <v>3.1415926500000002</v>
      </c>
    </row>
    <row r="15" spans="1:49" x14ac:dyDescent="0.25">
      <c r="A15" s="180" t="s">
        <v>475</v>
      </c>
      <c r="B15" s="17">
        <v>-303.76098242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33"/>
      <c r="S15" s="17"/>
      <c r="T15" s="17">
        <v>5.9499000000000003E-2</v>
      </c>
      <c r="U15" s="17">
        <v>6.8345000000000003E-2</v>
      </c>
      <c r="V15" s="17">
        <v>2.7417E-2</v>
      </c>
      <c r="W15" s="185">
        <f t="shared" si="0"/>
        <v>25.682699905387093</v>
      </c>
      <c r="X15" s="186">
        <f t="shared" si="1"/>
        <v>0</v>
      </c>
      <c r="Y15" s="186">
        <f t="shared" si="2"/>
        <v>0</v>
      </c>
      <c r="Z15" s="187">
        <f t="shared" si="3"/>
        <v>42.887121897812762</v>
      </c>
      <c r="AA15" s="187">
        <f t="shared" si="4"/>
        <v>42.887121897812762</v>
      </c>
      <c r="AB15" s="188">
        <f t="shared" si="5"/>
        <v>42.887121897812762</v>
      </c>
      <c r="AC15" s="188">
        <f t="shared" si="6"/>
        <v>42.887121897812762</v>
      </c>
      <c r="AD15" s="189">
        <f t="shared" si="7"/>
        <v>42.887121897812762</v>
      </c>
      <c r="AE15" s="189">
        <f t="shared" si="8"/>
        <v>42.887121897812762</v>
      </c>
      <c r="AF15" s="190">
        <f t="shared" si="9"/>
        <v>42.887121897812762</v>
      </c>
      <c r="AG15" s="190">
        <f t="shared" si="10"/>
        <v>42.887121897812762</v>
      </c>
      <c r="AV15" s="92" t="s">
        <v>144</v>
      </c>
      <c r="AW15" s="111">
        <f>AW13*AW16</f>
        <v>8.3144603644319997</v>
      </c>
    </row>
    <row r="16" spans="1:49" x14ac:dyDescent="0.25">
      <c r="A16" s="180" t="s">
        <v>479</v>
      </c>
      <c r="B16" s="17">
        <v>-303.08562038999997</v>
      </c>
      <c r="C16" s="17">
        <v>-303.13078127900002</v>
      </c>
      <c r="D16" s="17"/>
      <c r="E16" s="17"/>
      <c r="F16" s="17">
        <v>-303.22612958500002</v>
      </c>
      <c r="G16" s="17"/>
      <c r="H16" s="17"/>
      <c r="I16" s="17">
        <v>-303.23400095</v>
      </c>
      <c r="J16" s="17"/>
      <c r="K16" s="17"/>
      <c r="L16" s="17">
        <v>-303.23880119900002</v>
      </c>
      <c r="M16" s="17"/>
      <c r="N16" s="17"/>
      <c r="O16" s="17">
        <v>-13.21</v>
      </c>
      <c r="P16" s="17"/>
      <c r="Q16" s="17"/>
      <c r="R16" s="33"/>
      <c r="S16" s="17"/>
      <c r="T16" s="17">
        <v>5.6616E-2</v>
      </c>
      <c r="U16" s="17">
        <v>6.3929E-2</v>
      </c>
      <c r="V16" s="17">
        <v>2.7130000000000001E-2</v>
      </c>
      <c r="W16" s="185">
        <f t="shared" si="0"/>
        <v>23.091714078829636</v>
      </c>
      <c r="X16" s="186">
        <f t="shared" si="1"/>
        <v>-13.21</v>
      </c>
      <c r="Y16" s="186">
        <f t="shared" si="2"/>
        <v>-13.21</v>
      </c>
      <c r="Z16" s="187">
        <f t="shared" si="3"/>
        <v>-190177.26295816645</v>
      </c>
      <c r="AA16" s="187">
        <f t="shared" si="4"/>
        <v>-190177.26295816645</v>
      </c>
      <c r="AB16" s="188">
        <f t="shared" si="5"/>
        <v>-190237.09490523167</v>
      </c>
      <c r="AC16" s="188">
        <f t="shared" si="6"/>
        <v>-190237.09490523167</v>
      </c>
      <c r="AD16" s="189">
        <f t="shared" si="7"/>
        <v>-190242.03425983342</v>
      </c>
      <c r="AE16" s="189">
        <f t="shared" si="8"/>
        <v>-190242.03425983342</v>
      </c>
      <c r="AF16" s="190">
        <f t="shared" si="9"/>
        <v>-190245.0464606382</v>
      </c>
      <c r="AG16" s="190">
        <f t="shared" si="10"/>
        <v>-190245.0464606382</v>
      </c>
      <c r="AV16" s="88" t="s">
        <v>145</v>
      </c>
      <c r="AW16" s="110">
        <v>6.0221399999999997E+23</v>
      </c>
    </row>
    <row r="17" spans="1:49" ht="15.75" thickBot="1" x14ac:dyDescent="0.3">
      <c r="A17" s="180" t="s">
        <v>478</v>
      </c>
      <c r="B17" s="17">
        <v>-303.01286253000001</v>
      </c>
      <c r="C17" s="17">
        <v>-303.05887949999999</v>
      </c>
      <c r="D17" s="17"/>
      <c r="E17" s="17">
        <v>0.94689999999999996</v>
      </c>
      <c r="F17" s="17">
        <v>-303.15421695399999</v>
      </c>
      <c r="G17" s="17"/>
      <c r="H17" s="17">
        <v>0.94650000000000001</v>
      </c>
      <c r="I17" s="17">
        <v>-303.16145224100001</v>
      </c>
      <c r="J17" s="17"/>
      <c r="K17" s="17">
        <v>0.94620000000000004</v>
      </c>
      <c r="L17" s="17"/>
      <c r="M17" s="17"/>
      <c r="N17" s="17"/>
      <c r="O17" s="17"/>
      <c r="P17" s="17"/>
      <c r="Q17" s="17"/>
      <c r="R17" s="33">
        <v>332.5</v>
      </c>
      <c r="S17" s="17"/>
      <c r="T17" s="17">
        <v>4.9614999999999999E-2</v>
      </c>
      <c r="U17" s="17">
        <v>5.7388000000000002E-2</v>
      </c>
      <c r="V17" s="17">
        <v>1.9285E-2</v>
      </c>
      <c r="W17" s="185">
        <f t="shared" si="0"/>
        <v>23.909986182930126</v>
      </c>
      <c r="X17" s="186">
        <f t="shared" si="1"/>
        <v>0</v>
      </c>
      <c r="Y17" s="186">
        <f t="shared" si="2"/>
        <v>0</v>
      </c>
      <c r="Z17" s="187">
        <f t="shared" si="3"/>
        <v>-190136.2484626465</v>
      </c>
      <c r="AA17" s="187">
        <f t="shared" si="4"/>
        <v>-361130.56330566126</v>
      </c>
      <c r="AB17" s="188">
        <f t="shared" si="5"/>
        <v>-190196.07359998097</v>
      </c>
      <c r="AC17" s="188">
        <f t="shared" si="6"/>
        <v>-361107.00720195519</v>
      </c>
      <c r="AD17" s="189">
        <f t="shared" si="7"/>
        <v>-190200.61380973351</v>
      </c>
      <c r="AE17" s="189">
        <f t="shared" si="8"/>
        <v>-361012.81239638838</v>
      </c>
      <c r="AF17" s="190">
        <f t="shared" si="9"/>
        <v>36.011502691808886</v>
      </c>
      <c r="AG17" s="190">
        <f t="shared" si="10"/>
        <v>36.011502691808886</v>
      </c>
      <c r="AV17" s="90" t="s">
        <v>153</v>
      </c>
      <c r="AW17" s="112">
        <v>29979245800</v>
      </c>
    </row>
    <row r="18" spans="1:49" x14ac:dyDescent="0.25">
      <c r="A18" s="180" t="s">
        <v>480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33"/>
      <c r="S18" s="17"/>
      <c r="T18" s="17"/>
      <c r="U18" s="17"/>
      <c r="V18" s="17"/>
      <c r="W18" s="185">
        <f t="shared" si="0"/>
        <v>0</v>
      </c>
      <c r="X18" s="186">
        <f t="shared" si="1"/>
        <v>0</v>
      </c>
      <c r="Y18" s="186">
        <f t="shared" si="2"/>
        <v>0</v>
      </c>
      <c r="Z18" s="187">
        <f t="shared" si="3"/>
        <v>0</v>
      </c>
      <c r="AA18" s="187">
        <f t="shared" si="4"/>
        <v>0</v>
      </c>
      <c r="AB18" s="188">
        <f t="shared" si="5"/>
        <v>0</v>
      </c>
      <c r="AC18" s="188">
        <f t="shared" si="6"/>
        <v>0</v>
      </c>
      <c r="AD18" s="189">
        <f t="shared" si="7"/>
        <v>0</v>
      </c>
      <c r="AE18" s="189">
        <f t="shared" si="8"/>
        <v>0</v>
      </c>
      <c r="AF18" s="190">
        <f t="shared" si="9"/>
        <v>0</v>
      </c>
      <c r="AG18" s="190">
        <f t="shared" si="10"/>
        <v>0</v>
      </c>
      <c r="AV18" s="87" t="s">
        <v>154</v>
      </c>
      <c r="AW18" s="93">
        <f>((2*AW14)/(AW12*AW8*AW17))</f>
        <v>1.5815144992182973E+21</v>
      </c>
    </row>
    <row r="19" spans="1:49" ht="15.75" thickBot="1" x14ac:dyDescent="0.3">
      <c r="A19" s="180" t="s">
        <v>505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33"/>
      <c r="S19" s="17"/>
      <c r="T19" s="17"/>
      <c r="U19" s="17"/>
      <c r="V19" s="17"/>
      <c r="W19" s="185">
        <f t="shared" si="0"/>
        <v>0</v>
      </c>
      <c r="X19" s="186">
        <f t="shared" si="1"/>
        <v>0</v>
      </c>
      <c r="Y19" s="186">
        <f t="shared" si="2"/>
        <v>0</v>
      </c>
      <c r="Z19" s="187">
        <f t="shared" si="3"/>
        <v>0</v>
      </c>
      <c r="AA19" s="187">
        <f t="shared" si="4"/>
        <v>0</v>
      </c>
      <c r="AB19" s="188">
        <f t="shared" si="5"/>
        <v>0</v>
      </c>
      <c r="AC19" s="188">
        <f t="shared" si="6"/>
        <v>0</v>
      </c>
      <c r="AD19" s="189">
        <f t="shared" si="7"/>
        <v>0</v>
      </c>
      <c r="AE19" s="189">
        <f t="shared" si="8"/>
        <v>0</v>
      </c>
      <c r="AF19" s="190">
        <f t="shared" si="9"/>
        <v>0</v>
      </c>
      <c r="AG19" s="190">
        <f t="shared" si="10"/>
        <v>0</v>
      </c>
      <c r="AV19" s="90" t="s">
        <v>155</v>
      </c>
      <c r="AW19" s="94">
        <f>(1/(AW13*AW10))</f>
        <v>2.430527370890104E+20</v>
      </c>
    </row>
    <row r="20" spans="1:49" x14ac:dyDescent="0.25">
      <c r="A20" s="180" t="s">
        <v>506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33"/>
      <c r="S20" s="17"/>
      <c r="T20" s="17"/>
      <c r="U20" s="17"/>
      <c r="V20" s="17"/>
      <c r="W20" s="185">
        <f t="shared" si="0"/>
        <v>0</v>
      </c>
      <c r="X20" s="186">
        <f t="shared" si="1"/>
        <v>0</v>
      </c>
      <c r="Y20" s="186">
        <f t="shared" si="2"/>
        <v>0</v>
      </c>
      <c r="Z20" s="187">
        <f t="shared" si="3"/>
        <v>0</v>
      </c>
      <c r="AA20" s="187">
        <f t="shared" si="4"/>
        <v>0</v>
      </c>
      <c r="AB20" s="188">
        <f t="shared" si="5"/>
        <v>0</v>
      </c>
      <c r="AC20" s="188">
        <f t="shared" si="6"/>
        <v>0</v>
      </c>
      <c r="AD20" s="189">
        <f t="shared" si="7"/>
        <v>0</v>
      </c>
      <c r="AE20" s="189">
        <f t="shared" si="8"/>
        <v>0</v>
      </c>
      <c r="AF20" s="190">
        <f t="shared" si="9"/>
        <v>0</v>
      </c>
      <c r="AG20" s="190">
        <f t="shared" si="10"/>
        <v>0</v>
      </c>
      <c r="AV20" s="22" t="s">
        <v>146</v>
      </c>
      <c r="AW20" s="95">
        <f>((AW19*AW14)/AW18)/SIN((AW19*AW14)/AW18)-(AW19/(AW18-AW19))*EXP((AW19-AW18)*((AW9*1000/AW16)))</f>
        <v>1.0399342766678847</v>
      </c>
    </row>
    <row r="21" spans="1:49" ht="15.75" thickBot="1" x14ac:dyDescent="0.3">
      <c r="A21" s="18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33"/>
      <c r="S21" s="17"/>
      <c r="T21" s="17"/>
      <c r="U21" s="17"/>
      <c r="V21" s="17"/>
      <c r="W21" s="185">
        <f t="shared" si="0"/>
        <v>0</v>
      </c>
      <c r="X21" s="186">
        <f t="shared" si="1"/>
        <v>0</v>
      </c>
      <c r="Y21" s="186">
        <f t="shared" si="2"/>
        <v>0</v>
      </c>
      <c r="Z21" s="187">
        <f t="shared" si="3"/>
        <v>0</v>
      </c>
      <c r="AA21" s="187">
        <f t="shared" si="4"/>
        <v>0</v>
      </c>
      <c r="AB21" s="188">
        <f t="shared" si="5"/>
        <v>0</v>
      </c>
      <c r="AC21" s="188">
        <f t="shared" si="6"/>
        <v>0</v>
      </c>
      <c r="AD21" s="189">
        <f t="shared" si="7"/>
        <v>0</v>
      </c>
      <c r="AE21" s="189">
        <f t="shared" si="8"/>
        <v>0</v>
      </c>
      <c r="AF21" s="190">
        <f t="shared" si="9"/>
        <v>0</v>
      </c>
      <c r="AG21" s="190">
        <f t="shared" si="10"/>
        <v>0</v>
      </c>
      <c r="AV21" s="72" t="s">
        <v>156</v>
      </c>
      <c r="AW21" s="181">
        <f>(AW15*AW10*LN(AW20)/1000)/AW5</f>
        <v>2.3188560304894558E-2</v>
      </c>
    </row>
    <row r="22" spans="1:49" x14ac:dyDescent="0.25">
      <c r="A22" s="180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33"/>
      <c r="S22" s="17"/>
      <c r="T22" s="17"/>
      <c r="U22" s="17"/>
      <c r="V22" s="17"/>
      <c r="W22" s="185">
        <f t="shared" si="0"/>
        <v>0</v>
      </c>
      <c r="X22" s="186">
        <f t="shared" si="1"/>
        <v>0</v>
      </c>
      <c r="Y22" s="186">
        <f t="shared" si="2"/>
        <v>0</v>
      </c>
      <c r="Z22" s="187">
        <f t="shared" si="3"/>
        <v>0</v>
      </c>
      <c r="AA22" s="187">
        <f t="shared" si="4"/>
        <v>0</v>
      </c>
      <c r="AB22" s="188">
        <f t="shared" si="5"/>
        <v>0</v>
      </c>
      <c r="AC22" s="188">
        <f t="shared" si="6"/>
        <v>0</v>
      </c>
      <c r="AD22" s="189">
        <f t="shared" si="7"/>
        <v>0</v>
      </c>
      <c r="AE22" s="189">
        <f t="shared" si="8"/>
        <v>0</v>
      </c>
      <c r="AF22" s="190">
        <f t="shared" si="9"/>
        <v>0</v>
      </c>
      <c r="AG22" s="190">
        <f t="shared" si="10"/>
        <v>0</v>
      </c>
      <c r="AV22" s="22" t="s">
        <v>147</v>
      </c>
      <c r="AW22" s="95">
        <f>(AW19/(AW19-AW18))*(EXP((AW19-AW18)*((AW9)*1000/AW16))-1)</f>
        <v>0.18159109506598892</v>
      </c>
    </row>
    <row r="23" spans="1:49" ht="15.75" thickBot="1" x14ac:dyDescent="0.3">
      <c r="A23" s="180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3"/>
      <c r="S23" s="17"/>
      <c r="T23" s="17"/>
      <c r="U23" s="17"/>
      <c r="V23" s="17"/>
      <c r="W23" s="185">
        <f t="shared" si="0"/>
        <v>0</v>
      </c>
      <c r="X23" s="186">
        <f t="shared" si="1"/>
        <v>0</v>
      </c>
      <c r="Y23" s="186">
        <f t="shared" si="2"/>
        <v>0</v>
      </c>
      <c r="Z23" s="187">
        <f t="shared" si="3"/>
        <v>0</v>
      </c>
      <c r="AA23" s="187">
        <f t="shared" si="4"/>
        <v>0</v>
      </c>
      <c r="AB23" s="188">
        <f t="shared" si="5"/>
        <v>0</v>
      </c>
      <c r="AC23" s="188">
        <f t="shared" si="6"/>
        <v>0</v>
      </c>
      <c r="AD23" s="189">
        <f t="shared" si="7"/>
        <v>0</v>
      </c>
      <c r="AE23" s="189">
        <f t="shared" si="8"/>
        <v>0</v>
      </c>
      <c r="AF23" s="190">
        <f t="shared" si="9"/>
        <v>0</v>
      </c>
      <c r="AG23" s="190">
        <f t="shared" si="10"/>
        <v>0</v>
      </c>
      <c r="AV23" s="72" t="s">
        <v>157</v>
      </c>
      <c r="AW23" s="182">
        <f>(AW15*AW10*LN(AW22)/1000)/AW5</f>
        <v>-1.0102692515946146</v>
      </c>
    </row>
    <row r="24" spans="1:49" ht="15.75" thickBot="1" x14ac:dyDescent="0.3">
      <c r="A24" s="180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33"/>
      <c r="S24" s="17"/>
      <c r="T24" s="17"/>
      <c r="U24" s="17"/>
      <c r="V24" s="17"/>
      <c r="W24" s="185">
        <f t="shared" si="0"/>
        <v>0</v>
      </c>
      <c r="X24" s="186">
        <f t="shared" si="1"/>
        <v>0</v>
      </c>
      <c r="Y24" s="186">
        <f t="shared" si="2"/>
        <v>0</v>
      </c>
      <c r="Z24" s="187">
        <f t="shared" si="3"/>
        <v>0</v>
      </c>
      <c r="AA24" s="187">
        <f t="shared" si="4"/>
        <v>0</v>
      </c>
      <c r="AB24" s="188">
        <f t="shared" si="5"/>
        <v>0</v>
      </c>
      <c r="AC24" s="188">
        <f t="shared" si="6"/>
        <v>0</v>
      </c>
      <c r="AD24" s="189">
        <f t="shared" si="7"/>
        <v>0</v>
      </c>
      <c r="AE24" s="189">
        <f t="shared" si="8"/>
        <v>0</v>
      </c>
      <c r="AF24" s="190">
        <f t="shared" si="9"/>
        <v>0</v>
      </c>
      <c r="AG24" s="190">
        <f t="shared" si="10"/>
        <v>0</v>
      </c>
      <c r="AV24" s="96" t="s">
        <v>158</v>
      </c>
      <c r="AW24" s="97"/>
    </row>
    <row r="25" spans="1:49" x14ac:dyDescent="0.25">
      <c r="A25" s="180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33"/>
      <c r="S25" s="17"/>
      <c r="T25" s="17"/>
      <c r="U25" s="17"/>
      <c r="V25" s="17"/>
      <c r="W25" s="185">
        <f t="shared" si="0"/>
        <v>0</v>
      </c>
      <c r="X25" s="186">
        <f t="shared" si="1"/>
        <v>0</v>
      </c>
      <c r="Y25" s="186">
        <f t="shared" si="2"/>
        <v>0</v>
      </c>
      <c r="Z25" s="187">
        <f t="shared" si="3"/>
        <v>0</v>
      </c>
      <c r="AA25" s="187">
        <f t="shared" si="4"/>
        <v>0</v>
      </c>
      <c r="AB25" s="188">
        <f t="shared" si="5"/>
        <v>0</v>
      </c>
      <c r="AC25" s="188">
        <f t="shared" si="6"/>
        <v>0</v>
      </c>
      <c r="AD25" s="189">
        <f t="shared" si="7"/>
        <v>0</v>
      </c>
      <c r="AE25" s="189">
        <f t="shared" si="8"/>
        <v>0</v>
      </c>
      <c r="AF25" s="190">
        <f t="shared" si="9"/>
        <v>0</v>
      </c>
      <c r="AG25" s="190">
        <f t="shared" si="10"/>
        <v>0</v>
      </c>
      <c r="AV25" s="98" t="s">
        <v>148</v>
      </c>
      <c r="AW25" s="99">
        <f>1+(1/24)*(AW12*AW8*AW17/(AW10*AW13))^2</f>
        <v>1.0388510866736533</v>
      </c>
    </row>
    <row r="26" spans="1:49" x14ac:dyDescent="0.25">
      <c r="A26" s="180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33"/>
      <c r="S26" s="17"/>
      <c r="T26" s="17"/>
      <c r="U26" s="17"/>
      <c r="V26" s="17"/>
      <c r="W26" s="185">
        <f t="shared" si="0"/>
        <v>0</v>
      </c>
      <c r="X26" s="186">
        <f t="shared" si="1"/>
        <v>0</v>
      </c>
      <c r="Y26" s="186">
        <f t="shared" si="2"/>
        <v>0</v>
      </c>
      <c r="Z26" s="187">
        <f t="shared" si="3"/>
        <v>0</v>
      </c>
      <c r="AA26" s="187">
        <f t="shared" si="4"/>
        <v>0</v>
      </c>
      <c r="AB26" s="188">
        <f t="shared" si="5"/>
        <v>0</v>
      </c>
      <c r="AC26" s="188">
        <f t="shared" si="6"/>
        <v>0</v>
      </c>
      <c r="AD26" s="189">
        <f t="shared" si="7"/>
        <v>0</v>
      </c>
      <c r="AE26" s="189">
        <f t="shared" si="8"/>
        <v>0</v>
      </c>
      <c r="AF26" s="190">
        <f t="shared" si="9"/>
        <v>0</v>
      </c>
      <c r="AG26" s="190">
        <f t="shared" si="10"/>
        <v>0</v>
      </c>
      <c r="AV26" s="98" t="s">
        <v>159</v>
      </c>
      <c r="AW26" s="99">
        <f>(AW10*AW13)/(AW8*AW12*AW17)</f>
        <v>1.0356017933570194</v>
      </c>
    </row>
    <row r="27" spans="1:49" ht="15.75" thickBot="1" x14ac:dyDescent="0.3">
      <c r="A27" s="18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33"/>
      <c r="S27" s="17"/>
      <c r="T27" s="17"/>
      <c r="U27" s="17"/>
      <c r="V27" s="17"/>
      <c r="W27" s="185">
        <f t="shared" si="0"/>
        <v>0</v>
      </c>
      <c r="X27" s="186">
        <f t="shared" si="1"/>
        <v>0</v>
      </c>
      <c r="Y27" s="186">
        <f t="shared" si="2"/>
        <v>0</v>
      </c>
      <c r="Z27" s="187">
        <f t="shared" si="3"/>
        <v>0</v>
      </c>
      <c r="AA27" s="187">
        <f t="shared" si="4"/>
        <v>0</v>
      </c>
      <c r="AB27" s="188">
        <f t="shared" si="5"/>
        <v>0</v>
      </c>
      <c r="AC27" s="188">
        <f t="shared" si="6"/>
        <v>0</v>
      </c>
      <c r="AD27" s="189">
        <f t="shared" si="7"/>
        <v>0</v>
      </c>
      <c r="AE27" s="189">
        <f t="shared" si="8"/>
        <v>0</v>
      </c>
      <c r="AF27" s="190">
        <f t="shared" si="9"/>
        <v>0</v>
      </c>
      <c r="AG27" s="190">
        <f t="shared" si="10"/>
        <v>0</v>
      </c>
      <c r="AV27" s="98" t="s">
        <v>440</v>
      </c>
      <c r="AW27" s="115">
        <f>(AW15*AW10*LN(AW25)/1000)/AW5</f>
        <v>2.2571420328068654E-2</v>
      </c>
    </row>
    <row r="28" spans="1:49" x14ac:dyDescent="0.25">
      <c r="L28">
        <f>(AD17)-2*(AD3)</f>
        <v>35.514272494154284</v>
      </c>
      <c r="N28" s="6">
        <f>AG6-AG3</f>
        <v>94.024248381334473</v>
      </c>
      <c r="R28" s="6">
        <f>(-303.002168-2* -151.527799)*($AW$3*$AW$4*10^-3/$AW$5)</f>
        <v>33.527820952517047</v>
      </c>
      <c r="AV28" s="116" t="s">
        <v>160</v>
      </c>
      <c r="AW28" s="26">
        <v>2</v>
      </c>
    </row>
    <row r="29" spans="1:49" ht="15.75" thickBot="1" x14ac:dyDescent="0.3">
      <c r="AV29" s="102" t="s">
        <v>161</v>
      </c>
      <c r="AW29" s="104">
        <f>(AW10*AW15*LN(AW28)*10^-3)/AW5</f>
        <v>0.41047254740106837</v>
      </c>
    </row>
    <row r="30" spans="1:49" x14ac:dyDescent="0.25">
      <c r="A30" s="15" t="s">
        <v>444</v>
      </c>
      <c r="B30" s="15"/>
      <c r="C30" s="15"/>
      <c r="D30" s="15"/>
      <c r="E30" s="15"/>
      <c r="F30" s="15"/>
      <c r="G30" s="15"/>
    </row>
    <row r="31" spans="1:49" ht="75" x14ac:dyDescent="0.25">
      <c r="A31" s="167" t="s">
        <v>482</v>
      </c>
      <c r="B31" s="179" t="s">
        <v>483</v>
      </c>
      <c r="C31" s="179" t="s">
        <v>445</v>
      </c>
      <c r="D31" s="179" t="s">
        <v>446</v>
      </c>
      <c r="E31" s="167" t="s">
        <v>433</v>
      </c>
      <c r="F31" s="179" t="s">
        <v>447</v>
      </c>
      <c r="G31" s="179" t="s">
        <v>448</v>
      </c>
      <c r="H31" s="167" t="s">
        <v>449</v>
      </c>
      <c r="I31" s="179" t="s">
        <v>450</v>
      </c>
      <c r="J31" s="179" t="s">
        <v>451</v>
      </c>
      <c r="K31" s="167" t="s">
        <v>452</v>
      </c>
      <c r="L31" s="179" t="s">
        <v>453</v>
      </c>
      <c r="M31" s="179" t="s">
        <v>454</v>
      </c>
      <c r="N31" s="167" t="s">
        <v>455</v>
      </c>
      <c r="O31" s="179" t="s">
        <v>487</v>
      </c>
      <c r="P31" s="179" t="s">
        <v>488</v>
      </c>
      <c r="Q31" s="184" t="s">
        <v>490</v>
      </c>
      <c r="R31" s="179" t="s">
        <v>491</v>
      </c>
      <c r="S31" s="179" t="s">
        <v>492</v>
      </c>
      <c r="T31" s="184" t="s">
        <v>493</v>
      </c>
      <c r="U31" s="179" t="s">
        <v>489</v>
      </c>
      <c r="V31" s="179" t="s">
        <v>435</v>
      </c>
      <c r="W31" s="179" t="s">
        <v>484</v>
      </c>
      <c r="X31" s="179" t="s">
        <v>485</v>
      </c>
      <c r="Y31" s="179" t="s">
        <v>486</v>
      </c>
      <c r="Z31" s="179" t="s">
        <v>499</v>
      </c>
      <c r="AA31" s="191" t="s">
        <v>464</v>
      </c>
      <c r="AB31" s="191" t="s">
        <v>465</v>
      </c>
      <c r="AC31" s="191" t="s">
        <v>494</v>
      </c>
      <c r="AD31" s="191" t="s">
        <v>495</v>
      </c>
      <c r="AE31" s="192" t="s">
        <v>457</v>
      </c>
      <c r="AF31" s="192" t="s">
        <v>456</v>
      </c>
      <c r="AG31" s="193" t="s">
        <v>458</v>
      </c>
      <c r="AH31" s="193" t="s">
        <v>459</v>
      </c>
      <c r="AI31" s="194" t="s">
        <v>460</v>
      </c>
      <c r="AJ31" s="194" t="s">
        <v>461</v>
      </c>
      <c r="AK31" s="195" t="s">
        <v>462</v>
      </c>
      <c r="AL31" s="195" t="s">
        <v>463</v>
      </c>
    </row>
    <row r="32" spans="1:49" x14ac:dyDescent="0.25">
      <c r="A32" s="180" t="s">
        <v>162</v>
      </c>
      <c r="B32" s="17">
        <v>-151.54770746</v>
      </c>
      <c r="C32" s="17">
        <v>-151.55838918800001</v>
      </c>
      <c r="D32" s="17"/>
      <c r="E32" s="17"/>
      <c r="F32" s="17">
        <v>-151.606530281</v>
      </c>
      <c r="G32" s="17"/>
      <c r="H32" s="17"/>
      <c r="I32" s="17">
        <v>-151.61080358199999</v>
      </c>
      <c r="J32" s="17"/>
      <c r="K32" s="17"/>
      <c r="L32" s="17">
        <v>-151.61298529699999</v>
      </c>
      <c r="M32" s="17"/>
      <c r="N32" s="17"/>
      <c r="O32" s="17">
        <v>-9.08</v>
      </c>
      <c r="P32" s="17"/>
      <c r="Q32" s="17"/>
      <c r="R32" s="17">
        <v>-9.91</v>
      </c>
      <c r="S32" s="17"/>
      <c r="T32" s="17"/>
      <c r="U32" s="33"/>
      <c r="V32" s="17"/>
      <c r="W32" s="17">
        <v>2.6261E-2</v>
      </c>
      <c r="X32" s="17">
        <v>3.0428E-2</v>
      </c>
      <c r="Y32" s="17">
        <v>3.9500000000000004E-3</v>
      </c>
      <c r="Z32" s="185">
        <f>(X32-Y32)*($AW$3*$AW$4*10^-3/$AW$5)</f>
        <v>16.615190776359444</v>
      </c>
      <c r="AA32" s="186">
        <f>O32</f>
        <v>-9.08</v>
      </c>
      <c r="AB32" s="186">
        <f>((((2-0)/(2-Q32))*O32+(1-((2-0)/(2-Q32)))*P32))</f>
        <v>-9.08</v>
      </c>
      <c r="AC32" s="186">
        <f>R32</f>
        <v>-9.91</v>
      </c>
      <c r="AD32" s="186">
        <f>((((2-0)/(2-T32))*R32+(1-((2-0)/(2-T32)))*S32))</f>
        <v>-9.91</v>
      </c>
      <c r="AE32" s="187">
        <f>(C32+X32)*($AW$3*$AW$4*10^-3/$AW$5)</f>
        <v>-95085.202171289726</v>
      </c>
      <c r="AF32" s="187">
        <f>((((2-0)/(2-E32))*C32+(1-((2-0)/(2-E32)))*D32)+X32)*($AW$3*$AW$4*10^-3/$AW$5)</f>
        <v>-95085.202171289726</v>
      </c>
      <c r="AG32" s="188">
        <f>(F32+X32)*($AW$3*$AW$4*10^-3/$AW$5)</f>
        <v>-95115.411154006608</v>
      </c>
      <c r="AH32" s="188">
        <f>((((2-0)/(2-H32))*F32+(1-((2-0)/(2-H32)))*G32)+X32)*($AW$3*$AW$4*10^-3/$AW$5)</f>
        <v>-95115.411154006608</v>
      </c>
      <c r="AI32" s="189">
        <f>(I32+X32)*($AW$3*$AW$4*10^-3/$AW$5)</f>
        <v>-95118.092690050093</v>
      </c>
      <c r="AJ32" s="189">
        <f>((((2-0)/(2-K32))*I32+(1-((2-0)/(2-K32)))*J32)+X32)*($AW$3*$AW$4*10^-3/$AW$5)</f>
        <v>-95118.092690050093</v>
      </c>
      <c r="AK32" s="190">
        <f>(L32+X32)*($AW$3*$AW$4*10^-3/$AW$5)</f>
        <v>-95119.461736463898</v>
      </c>
      <c r="AL32" s="190">
        <f>((((2-0)/(2-N32))*L32+(1-((2-0)/(2-N32)))*M32)+X32)*($AW$3*$AW$4*10^-3/$AW$5)</f>
        <v>-95119.461736463898</v>
      </c>
    </row>
    <row r="33" spans="1:38" x14ac:dyDescent="0.25">
      <c r="A33" s="180" t="s">
        <v>439</v>
      </c>
      <c r="B33" s="17">
        <v>-76.422573319999998</v>
      </c>
      <c r="C33" s="17">
        <v>-76.434022157599998</v>
      </c>
      <c r="D33" s="17"/>
      <c r="E33" s="17"/>
      <c r="F33" s="17">
        <v>-76.459459519299998</v>
      </c>
      <c r="G33" s="17"/>
      <c r="H33" s="17"/>
      <c r="I33" s="17">
        <v>-76.462436778300003</v>
      </c>
      <c r="J33" s="17"/>
      <c r="K33" s="17"/>
      <c r="L33" s="17">
        <v>-76.464389744000002</v>
      </c>
      <c r="M33" s="17"/>
      <c r="N33" s="17"/>
      <c r="O33" s="17">
        <v>-8.6</v>
      </c>
      <c r="P33" s="17"/>
      <c r="Q33" s="17"/>
      <c r="R33" s="17">
        <v>-9.75</v>
      </c>
      <c r="S33" s="17"/>
      <c r="T33" s="17"/>
      <c r="U33" s="33"/>
      <c r="V33" s="17"/>
      <c r="W33" s="17">
        <v>2.1097000000000001E-2</v>
      </c>
      <c r="X33" s="17">
        <v>2.4877E-2</v>
      </c>
      <c r="Y33" s="17">
        <v>2.7820000000000002E-3</v>
      </c>
      <c r="Z33" s="185">
        <f t="shared" ref="Z33:Z56" si="11">(X33-Y33)*($AW$3*$AW$4*10^-3/$AW$5)</f>
        <v>13.864817592101438</v>
      </c>
      <c r="AA33" s="186">
        <f t="shared" ref="AA33:AA56" si="12">O33</f>
        <v>-8.6</v>
      </c>
      <c r="AB33" s="186">
        <f t="shared" ref="AB33:AB56" si="13">((((2-0)/(2-Q33))*O33+(1-((2-0)/(2-Q33)))*P33))</f>
        <v>-8.6</v>
      </c>
      <c r="AC33" s="186">
        <f t="shared" ref="AC33:AC56" si="14">R33</f>
        <v>-9.75</v>
      </c>
      <c r="AD33" s="186">
        <f t="shared" ref="AD33:AD56" si="15">((((2-0)/(2-T33))*R33+(1-((2-0)/(2-T33)))*S33))</f>
        <v>-9.75</v>
      </c>
      <c r="AE33" s="187">
        <f t="shared" ref="AE33:AE56" si="16">(C33+X33)*($AW$3*$AW$4*10^-3/$AW$5)</f>
        <v>-47947.447837905631</v>
      </c>
      <c r="AF33" s="187">
        <f t="shared" ref="AF33:AF56" si="17">((((2-0)/(2-E33))*C33+(1-((2-0)/(2-E33)))*D33)+X33)*($AW$3*$AW$4*10^-3/$AW$5)</f>
        <v>-47947.447837905631</v>
      </c>
      <c r="AG33" s="188">
        <f t="shared" ref="AG33:AG56" si="18">(F33+X33)*($AW$3*$AW$4*10^-3/$AW$5)</f>
        <v>-47963.410018489238</v>
      </c>
      <c r="AH33" s="188">
        <f t="shared" ref="AH33:AH56" si="19">((((2-0)/(2-H33))*F33+(1-((2-0)/(2-H33)))*G33)+X33)*($AW$3*$AW$4*10^-3/$AW$5)</f>
        <v>-47963.410018489238</v>
      </c>
      <c r="AI33" s="189">
        <f t="shared" ref="AI33:AI56" si="20">(I33+X33)*($AW$3*$AW$4*10^-3/$AW$5)</f>
        <v>-47965.27827614751</v>
      </c>
      <c r="AJ33" s="189">
        <f t="shared" ref="AJ33:AJ56" si="21">((((2-0)/(2-K33))*I33+(1-((2-0)/(2-K33)))*J33)+X33)*($AW$3*$AW$4*10^-3/$AW$5)</f>
        <v>-47965.27827614751</v>
      </c>
      <c r="AK33" s="190">
        <f t="shared" ref="AK33:AK56" si="22">(L33+X33)*($AW$3*$AW$4*10^-3/$AW$5)</f>
        <v>-47966.503780252242</v>
      </c>
      <c r="AL33" s="190">
        <f t="shared" ref="AL33:AL56" si="23">((((2-0)/(2-N33))*L33+(1-((2-0)/(2-N33)))*M33)+X33)*($AW$3*$AW$4*10^-3/$AW$5)</f>
        <v>-47966.503780252242</v>
      </c>
    </row>
    <row r="34" spans="1:38" x14ac:dyDescent="0.25">
      <c r="A34" s="180" t="s">
        <v>332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33"/>
      <c r="V34" s="17"/>
      <c r="W34" s="17"/>
      <c r="X34" s="17"/>
      <c r="Y34" s="17"/>
      <c r="Z34" s="185">
        <f t="shared" si="11"/>
        <v>0</v>
      </c>
      <c r="AA34" s="186">
        <f t="shared" si="12"/>
        <v>0</v>
      </c>
      <c r="AB34" s="186">
        <f t="shared" si="13"/>
        <v>0</v>
      </c>
      <c r="AC34" s="186">
        <f t="shared" si="14"/>
        <v>0</v>
      </c>
      <c r="AD34" s="186">
        <f t="shared" si="15"/>
        <v>0</v>
      </c>
      <c r="AE34" s="187">
        <f t="shared" si="16"/>
        <v>0</v>
      </c>
      <c r="AF34" s="187">
        <f t="shared" si="17"/>
        <v>0</v>
      </c>
      <c r="AG34" s="188">
        <f t="shared" si="18"/>
        <v>0</v>
      </c>
      <c r="AH34" s="188">
        <f t="shared" si="19"/>
        <v>0</v>
      </c>
      <c r="AI34" s="189">
        <f t="shared" si="20"/>
        <v>0</v>
      </c>
      <c r="AJ34" s="189">
        <f t="shared" si="21"/>
        <v>0</v>
      </c>
      <c r="AK34" s="190">
        <f t="shared" si="22"/>
        <v>0</v>
      </c>
      <c r="AL34" s="190">
        <f t="shared" si="23"/>
        <v>0</v>
      </c>
    </row>
    <row r="35" spans="1:38" x14ac:dyDescent="0.25">
      <c r="A35" s="180" t="s">
        <v>466</v>
      </c>
      <c r="B35" s="17">
        <v>-151.47289531999999</v>
      </c>
      <c r="C35" s="17">
        <v>-151.483078323</v>
      </c>
      <c r="D35" s="17">
        <v>-151.484975706</v>
      </c>
      <c r="E35" s="17">
        <v>0.99780000000000002</v>
      </c>
      <c r="F35" s="17">
        <v>-151.53101950800001</v>
      </c>
      <c r="G35" s="17">
        <v>-151.53283426300001</v>
      </c>
      <c r="H35" s="17">
        <v>0.99890000000000001</v>
      </c>
      <c r="I35" s="17">
        <v>-151.53434329000001</v>
      </c>
      <c r="J35" s="17">
        <v>-151.53607814099999</v>
      </c>
      <c r="K35" s="17">
        <v>1.0004</v>
      </c>
      <c r="L35" s="17">
        <v>-151.536647155</v>
      </c>
      <c r="M35" s="17">
        <v>-151.53834729100001</v>
      </c>
      <c r="N35" s="17">
        <v>1.0012000000000001</v>
      </c>
      <c r="O35" s="17">
        <v>-6.68</v>
      </c>
      <c r="P35" s="17">
        <v>-6.52</v>
      </c>
      <c r="Q35" s="17">
        <v>1.0026999999999999</v>
      </c>
      <c r="R35" s="17">
        <v>-6.43</v>
      </c>
      <c r="S35" s="17">
        <v>-7.27</v>
      </c>
      <c r="T35" s="17">
        <v>1.0059</v>
      </c>
      <c r="U35" s="33">
        <v>213.21</v>
      </c>
      <c r="V35" s="17"/>
      <c r="W35" s="17">
        <v>1.8363999999999998E-2</v>
      </c>
      <c r="X35" s="17">
        <v>2.3484999999999999E-2</v>
      </c>
      <c r="Y35" s="17">
        <v>-5.5640000000000004E-3</v>
      </c>
      <c r="Z35" s="185">
        <f t="shared" si="11"/>
        <v>18.228517141115848</v>
      </c>
      <c r="AA35" s="186">
        <f t="shared" si="12"/>
        <v>-6.68</v>
      </c>
      <c r="AB35" s="186">
        <f t="shared" si="13"/>
        <v>-6.8408663391156113</v>
      </c>
      <c r="AC35" s="186">
        <f t="shared" si="14"/>
        <v>-6.43</v>
      </c>
      <c r="AD35" s="186">
        <f t="shared" si="15"/>
        <v>-5.5800291721154807</v>
      </c>
      <c r="AE35" s="187">
        <f t="shared" si="16"/>
        <v>-95042.300701392174</v>
      </c>
      <c r="AF35" s="187">
        <f t="shared" si="17"/>
        <v>-95041.115303199636</v>
      </c>
      <c r="AG35" s="188">
        <f t="shared" si="18"/>
        <v>-95072.384239983454</v>
      </c>
      <c r="AH35" s="188">
        <f t="shared" si="19"/>
        <v>-95071.247966929412</v>
      </c>
      <c r="AI35" s="189">
        <f t="shared" si="20"/>
        <v>-95074.469944040757</v>
      </c>
      <c r="AJ35" s="189">
        <f t="shared" si="21"/>
        <v>-95073.380437678294</v>
      </c>
      <c r="AK35" s="190">
        <f t="shared" si="22"/>
        <v>-95075.915640713371</v>
      </c>
      <c r="AL35" s="190">
        <f t="shared" si="23"/>
        <v>-95074.846226073307</v>
      </c>
    </row>
    <row r="36" spans="1:38" x14ac:dyDescent="0.25">
      <c r="A36" s="180" t="s">
        <v>498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33"/>
      <c r="V36" s="17"/>
      <c r="W36" s="17"/>
      <c r="X36" s="17"/>
      <c r="Y36" s="17"/>
      <c r="Z36" s="185">
        <f t="shared" si="11"/>
        <v>0</v>
      </c>
      <c r="AA36" s="186">
        <f t="shared" si="12"/>
        <v>0</v>
      </c>
      <c r="AB36" s="186">
        <f t="shared" si="13"/>
        <v>0</v>
      </c>
      <c r="AC36" s="186">
        <f t="shared" si="14"/>
        <v>0</v>
      </c>
      <c r="AD36" s="186">
        <f t="shared" si="15"/>
        <v>0</v>
      </c>
      <c r="AE36" s="187">
        <f t="shared" si="16"/>
        <v>0</v>
      </c>
      <c r="AF36" s="187">
        <f t="shared" si="17"/>
        <v>0</v>
      </c>
      <c r="AG36" s="188">
        <f t="shared" si="18"/>
        <v>0</v>
      </c>
      <c r="AH36" s="188">
        <f t="shared" si="19"/>
        <v>0</v>
      </c>
      <c r="AI36" s="189">
        <f t="shared" si="20"/>
        <v>0</v>
      </c>
      <c r="AJ36" s="189">
        <f t="shared" si="21"/>
        <v>0</v>
      </c>
      <c r="AK36" s="190">
        <f t="shared" si="22"/>
        <v>0</v>
      </c>
      <c r="AL36" s="190">
        <f t="shared" si="23"/>
        <v>0</v>
      </c>
    </row>
    <row r="37" spans="1:38" x14ac:dyDescent="0.25">
      <c r="A37" s="180" t="s">
        <v>477</v>
      </c>
      <c r="B37" s="17">
        <v>-304.42000626999999</v>
      </c>
      <c r="C37" s="17">
        <v>-304.45187546699998</v>
      </c>
      <c r="D37" s="17"/>
      <c r="E37" s="17"/>
      <c r="F37" s="17">
        <v>-304.549002379</v>
      </c>
      <c r="G37" s="17"/>
      <c r="H37" s="17"/>
      <c r="I37" s="17">
        <v>-304.55750513100003</v>
      </c>
      <c r="J37" s="17"/>
      <c r="K37" s="17"/>
      <c r="L37" s="17">
        <v>-304.56338712899998</v>
      </c>
      <c r="M37" s="17"/>
      <c r="N37" s="17"/>
      <c r="O37" s="17">
        <v>-14.12</v>
      </c>
      <c r="P37" s="17"/>
      <c r="Q37" s="17"/>
      <c r="R37" s="17">
        <v>-15.48</v>
      </c>
      <c r="S37" s="17"/>
      <c r="T37" s="17"/>
      <c r="U37" s="33"/>
      <c r="V37" s="17"/>
      <c r="W37" s="17">
        <v>7.6742000000000005E-2</v>
      </c>
      <c r="X37" s="17">
        <v>8.6252999999999996E-2</v>
      </c>
      <c r="Y37" s="17">
        <v>4.4496000000000001E-2</v>
      </c>
      <c r="Z37" s="185">
        <f t="shared" si="11"/>
        <v>26.202905100401889</v>
      </c>
      <c r="AA37" s="186">
        <f t="shared" si="12"/>
        <v>-14.12</v>
      </c>
      <c r="AB37" s="186">
        <f t="shared" si="13"/>
        <v>-14.12</v>
      </c>
      <c r="AC37" s="186">
        <f t="shared" si="14"/>
        <v>-15.48</v>
      </c>
      <c r="AD37" s="186">
        <f t="shared" si="15"/>
        <v>-15.48</v>
      </c>
      <c r="AE37" s="187">
        <f t="shared" si="16"/>
        <v>-190992.25330669229</v>
      </c>
      <c r="AF37" s="187">
        <f t="shared" si="17"/>
        <v>-190992.25330669229</v>
      </c>
      <c r="AG37" s="188">
        <f t="shared" si="18"/>
        <v>-191053.20134553206</v>
      </c>
      <c r="AH37" s="188">
        <f t="shared" si="19"/>
        <v>-191053.20134553206</v>
      </c>
      <c r="AI37" s="189">
        <f t="shared" si="20"/>
        <v>-191058.53690133704</v>
      </c>
      <c r="AJ37" s="189">
        <f t="shared" si="21"/>
        <v>-191058.53690133704</v>
      </c>
      <c r="AK37" s="190">
        <f t="shared" si="22"/>
        <v>-191062.2279096804</v>
      </c>
      <c r="AL37" s="190">
        <f t="shared" si="23"/>
        <v>-191062.2279096804</v>
      </c>
    </row>
    <row r="38" spans="1:38" x14ac:dyDescent="0.25">
      <c r="A38" s="180" t="s">
        <v>354</v>
      </c>
      <c r="B38" s="17">
        <v>-304.35396680000002</v>
      </c>
      <c r="C38" s="17">
        <v>-304.34487546899999</v>
      </c>
      <c r="D38" s="17">
        <v>-304.35533742899997</v>
      </c>
      <c r="E38" s="17">
        <v>0.8992</v>
      </c>
      <c r="F38" s="17">
        <v>-304.44120967499998</v>
      </c>
      <c r="G38" s="17">
        <v>-304.451431044</v>
      </c>
      <c r="H38" s="17">
        <v>0.89929999999999999</v>
      </c>
      <c r="I38" s="17">
        <v>0.89929999999999999</v>
      </c>
      <c r="J38" s="17">
        <v>-304.457984275</v>
      </c>
      <c r="K38" s="17">
        <v>0.90110000000000001</v>
      </c>
      <c r="L38" s="17">
        <v>-304.45429995699999</v>
      </c>
      <c r="M38" s="17">
        <v>-304.46408280499998</v>
      </c>
      <c r="N38" s="17">
        <v>0.90080000000000005</v>
      </c>
      <c r="O38" s="17">
        <v>-10.74</v>
      </c>
      <c r="P38" s="17">
        <v>-10.88</v>
      </c>
      <c r="Q38" s="17">
        <v>0.89529999999999998</v>
      </c>
      <c r="R38" s="17">
        <v>-12.13</v>
      </c>
      <c r="S38" s="17">
        <v>-12.28</v>
      </c>
      <c r="T38" s="17">
        <v>0.90439999999999998</v>
      </c>
      <c r="U38" s="33">
        <v>150.41999999999999</v>
      </c>
      <c r="V38" s="17"/>
      <c r="W38" s="17">
        <v>7.1028999999999995E-2</v>
      </c>
      <c r="X38" s="17">
        <v>8.0149999999999999E-2</v>
      </c>
      <c r="Y38" s="17">
        <v>3.9579999999999997E-2</v>
      </c>
      <c r="Z38" s="185">
        <f t="shared" si="11"/>
        <v>25.458051582328824</v>
      </c>
      <c r="AA38" s="186">
        <f t="shared" si="12"/>
        <v>-10.74</v>
      </c>
      <c r="AB38" s="186">
        <f t="shared" si="13"/>
        <v>-10.626537521499049</v>
      </c>
      <c r="AC38" s="186">
        <f t="shared" si="14"/>
        <v>-12.13</v>
      </c>
      <c r="AD38" s="186">
        <f t="shared" si="15"/>
        <v>-12.006177437020813</v>
      </c>
      <c r="AE38" s="187">
        <f t="shared" si="16"/>
        <v>-190928.93950389253</v>
      </c>
      <c r="AF38" s="187">
        <f t="shared" si="17"/>
        <v>-190923.57683371796</v>
      </c>
      <c r="AG38" s="188">
        <f t="shared" si="18"/>
        <v>-190989.39011235916</v>
      </c>
      <c r="AH38" s="188">
        <f t="shared" si="19"/>
        <v>-190984.14970740787</v>
      </c>
      <c r="AI38" s="189">
        <f t="shared" si="20"/>
        <v>614.61396653468</v>
      </c>
      <c r="AJ38" s="189">
        <f t="shared" si="21"/>
        <v>157738.87754813096</v>
      </c>
      <c r="AK38" s="190">
        <f t="shared" si="22"/>
        <v>-190997.60438582191</v>
      </c>
      <c r="AL38" s="190">
        <f t="shared" si="23"/>
        <v>-190992.5735850606</v>
      </c>
    </row>
    <row r="39" spans="1:38" x14ac:dyDescent="0.25">
      <c r="A39" s="180" t="s">
        <v>474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33"/>
      <c r="V39" s="17"/>
      <c r="W39" s="17"/>
      <c r="X39" s="17"/>
      <c r="Y39" s="17"/>
      <c r="Z39" s="185">
        <f t="shared" si="11"/>
        <v>0</v>
      </c>
      <c r="AA39" s="186">
        <f t="shared" si="12"/>
        <v>0</v>
      </c>
      <c r="AB39" s="186">
        <f t="shared" si="13"/>
        <v>0</v>
      </c>
      <c r="AC39" s="186">
        <f t="shared" si="14"/>
        <v>0</v>
      </c>
      <c r="AD39" s="186">
        <f t="shared" si="15"/>
        <v>0</v>
      </c>
      <c r="AE39" s="187">
        <f t="shared" si="16"/>
        <v>0</v>
      </c>
      <c r="AF39" s="187">
        <f t="shared" si="17"/>
        <v>0</v>
      </c>
      <c r="AG39" s="188">
        <f t="shared" si="18"/>
        <v>0</v>
      </c>
      <c r="AH39" s="188">
        <f t="shared" si="19"/>
        <v>0</v>
      </c>
      <c r="AI39" s="189">
        <f t="shared" si="20"/>
        <v>0</v>
      </c>
      <c r="AJ39" s="189">
        <f t="shared" si="21"/>
        <v>0</v>
      </c>
      <c r="AK39" s="190">
        <f t="shared" si="22"/>
        <v>0</v>
      </c>
      <c r="AL39" s="190">
        <f t="shared" si="23"/>
        <v>0</v>
      </c>
    </row>
    <row r="40" spans="1:38" x14ac:dyDescent="0.25">
      <c r="A40" s="180" t="s">
        <v>473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33"/>
      <c r="V40" s="17"/>
      <c r="W40" s="17"/>
      <c r="X40" s="17"/>
      <c r="Y40" s="17"/>
      <c r="Z40" s="185">
        <f t="shared" si="11"/>
        <v>0</v>
      </c>
      <c r="AA40" s="186">
        <f t="shared" si="12"/>
        <v>0</v>
      </c>
      <c r="AB40" s="186">
        <f t="shared" si="13"/>
        <v>0</v>
      </c>
      <c r="AC40" s="186">
        <f t="shared" si="14"/>
        <v>0</v>
      </c>
      <c r="AD40" s="186">
        <f t="shared" si="15"/>
        <v>0</v>
      </c>
      <c r="AE40" s="187">
        <f t="shared" si="16"/>
        <v>0</v>
      </c>
      <c r="AF40" s="187">
        <f t="shared" si="17"/>
        <v>0</v>
      </c>
      <c r="AG40" s="188">
        <f t="shared" si="18"/>
        <v>0</v>
      </c>
      <c r="AH40" s="188">
        <f t="shared" si="19"/>
        <v>0</v>
      </c>
      <c r="AI40" s="189">
        <f t="shared" si="20"/>
        <v>0</v>
      </c>
      <c r="AJ40" s="189">
        <f t="shared" si="21"/>
        <v>0</v>
      </c>
      <c r="AK40" s="190">
        <f t="shared" si="22"/>
        <v>0</v>
      </c>
      <c r="AL40" s="190">
        <f t="shared" si="23"/>
        <v>0</v>
      </c>
    </row>
    <row r="41" spans="1:38" x14ac:dyDescent="0.25">
      <c r="A41" s="180" t="s">
        <v>497</v>
      </c>
      <c r="B41" s="17">
        <v>-303.12662216000001</v>
      </c>
      <c r="C41" s="17">
        <v>-303.14988920600001</v>
      </c>
      <c r="D41" s="17"/>
      <c r="E41" s="17"/>
      <c r="F41" s="17">
        <v>-303.24451139500002</v>
      </c>
      <c r="G41" s="17"/>
      <c r="H41" s="17"/>
      <c r="I41" s="17">
        <v>-303.25132627800002</v>
      </c>
      <c r="J41" s="17"/>
      <c r="K41" s="17"/>
      <c r="L41" s="17">
        <v>-303.25699565600002</v>
      </c>
      <c r="M41" s="17"/>
      <c r="N41" s="17"/>
      <c r="O41" s="17">
        <v>-239.68</v>
      </c>
      <c r="P41" s="17"/>
      <c r="Q41" s="17"/>
      <c r="R41" s="17">
        <v>-224.44</v>
      </c>
      <c r="S41" s="17"/>
      <c r="T41" s="17"/>
      <c r="U41" s="33"/>
      <c r="V41" s="17"/>
      <c r="W41" s="17">
        <v>4.7579000000000003E-2</v>
      </c>
      <c r="X41" s="17">
        <v>5.6689999999999997E-2</v>
      </c>
      <c r="Y41" s="17">
        <v>1.4308E-2</v>
      </c>
      <c r="Z41" s="185">
        <f t="shared" si="11"/>
        <v>26.59509840183042</v>
      </c>
      <c r="AA41" s="186">
        <f t="shared" si="12"/>
        <v>-239.68</v>
      </c>
      <c r="AB41" s="186">
        <f t="shared" si="13"/>
        <v>-239.68</v>
      </c>
      <c r="AC41" s="186">
        <f t="shared" si="14"/>
        <v>-224.44</v>
      </c>
      <c r="AD41" s="186">
        <f t="shared" si="15"/>
        <v>-224.44</v>
      </c>
      <c r="AE41" s="187">
        <f t="shared" si="16"/>
        <v>-190193.79589941865</v>
      </c>
      <c r="AF41" s="187">
        <f t="shared" si="17"/>
        <v>-190193.79589941865</v>
      </c>
      <c r="AG41" s="188">
        <f t="shared" si="18"/>
        <v>-190253.17220132632</v>
      </c>
      <c r="AH41" s="188">
        <f t="shared" si="19"/>
        <v>-190253.17220132632</v>
      </c>
      <c r="AI41" s="189">
        <f t="shared" si="20"/>
        <v>-190257.44860366653</v>
      </c>
      <c r="AJ41" s="189">
        <f t="shared" si="21"/>
        <v>-190257.44860366653</v>
      </c>
      <c r="AK41" s="190">
        <f t="shared" si="22"/>
        <v>-190261.00619098631</v>
      </c>
      <c r="AL41" s="190">
        <f t="shared" si="23"/>
        <v>-190261.00619098631</v>
      </c>
    </row>
    <row r="42" spans="1:38" x14ac:dyDescent="0.25">
      <c r="A42" s="180" t="s">
        <v>496</v>
      </c>
      <c r="B42" s="17">
        <v>-303.03525567000003</v>
      </c>
      <c r="C42" s="17">
        <v>-303.05686772299998</v>
      </c>
      <c r="D42" s="17">
        <v>-303.07080110999999</v>
      </c>
      <c r="E42" s="17">
        <v>1.0145999999999999</v>
      </c>
      <c r="F42" s="17">
        <v>-303.14905998900002</v>
      </c>
      <c r="G42" s="17">
        <v>-303.162735908</v>
      </c>
      <c r="H42" s="17">
        <v>1.0149999999999999</v>
      </c>
      <c r="I42" s="17">
        <v>-303.15308628000002</v>
      </c>
      <c r="J42" s="17">
        <v>-303.16639227299999</v>
      </c>
      <c r="K42" s="17">
        <v>1.0156000000000001</v>
      </c>
      <c r="L42" s="17">
        <v>-303.158412779</v>
      </c>
      <c r="M42" s="17">
        <v>-303.17174376200001</v>
      </c>
      <c r="N42" s="17">
        <v>1.0165</v>
      </c>
      <c r="O42" s="17">
        <v>-234.95</v>
      </c>
      <c r="P42" s="17">
        <v>-234.76</v>
      </c>
      <c r="Q42" s="17">
        <v>0.99329999999999996</v>
      </c>
      <c r="R42" s="17">
        <v>-217.42</v>
      </c>
      <c r="S42" s="17">
        <v>-217.09</v>
      </c>
      <c r="T42" s="17">
        <v>1.0026999999999999</v>
      </c>
      <c r="U42" s="33">
        <v>69.459999999999994</v>
      </c>
      <c r="V42" s="17"/>
      <c r="W42" s="17">
        <v>4.9888000000000002E-2</v>
      </c>
      <c r="X42" s="17">
        <v>5.7284000000000002E-2</v>
      </c>
      <c r="Y42" s="17">
        <v>1.8928E-2</v>
      </c>
      <c r="Z42" s="185">
        <f t="shared" si="11"/>
        <v>24.068746031348397</v>
      </c>
      <c r="AA42" s="186">
        <f t="shared" si="12"/>
        <v>-234.95</v>
      </c>
      <c r="AB42" s="186">
        <f t="shared" si="13"/>
        <v>-235.13747094467067</v>
      </c>
      <c r="AC42" s="186">
        <f t="shared" si="14"/>
        <v>-217.42</v>
      </c>
      <c r="AD42" s="186">
        <f t="shared" si="15"/>
        <v>-217.75178682442589</v>
      </c>
      <c r="AE42" s="187">
        <f t="shared" si="16"/>
        <v>-190135.05131487048</v>
      </c>
      <c r="AF42" s="187">
        <f t="shared" si="17"/>
        <v>-190126.04889728423</v>
      </c>
      <c r="AG42" s="188">
        <f t="shared" si="18"/>
        <v>-190192.90281754045</v>
      </c>
      <c r="AH42" s="188">
        <f t="shared" si="19"/>
        <v>-190184.05967783686</v>
      </c>
      <c r="AI42" s="189">
        <f t="shared" si="20"/>
        <v>-190195.42935251613</v>
      </c>
      <c r="AJ42" s="189">
        <f t="shared" si="21"/>
        <v>-190186.81508147818</v>
      </c>
      <c r="AK42" s="190">
        <f t="shared" si="22"/>
        <v>-190198.77178008071</v>
      </c>
      <c r="AL42" s="190">
        <f t="shared" si="23"/>
        <v>-190190.12577776096</v>
      </c>
    </row>
    <row r="43" spans="1:38" x14ac:dyDescent="0.25">
      <c r="A43" s="180" t="s">
        <v>478</v>
      </c>
      <c r="B43" s="17">
        <v>-303.03867023999999</v>
      </c>
      <c r="C43" s="17">
        <v>-303.05915750100002</v>
      </c>
      <c r="D43" s="17">
        <v>-303.05574654600002</v>
      </c>
      <c r="E43" s="17">
        <v>0.97629999999999995</v>
      </c>
      <c r="F43" s="17">
        <v>-303.15453835699998</v>
      </c>
      <c r="G43" s="17">
        <v>-303.15421894600001</v>
      </c>
      <c r="H43" s="17">
        <v>0.97609999999999997</v>
      </c>
      <c r="I43" s="17">
        <v>-303.16168081299998</v>
      </c>
      <c r="J43" s="17">
        <v>-303.16130868699997</v>
      </c>
      <c r="K43" s="17">
        <v>0.9758</v>
      </c>
      <c r="L43" s="17">
        <v>-303.16651372400003</v>
      </c>
      <c r="M43" s="36">
        <v>-303.16614717499999</v>
      </c>
      <c r="N43" s="36">
        <v>0.97619999999999996</v>
      </c>
      <c r="O43" s="17">
        <v>-9.09</v>
      </c>
      <c r="P43" s="17">
        <v>-9.34</v>
      </c>
      <c r="Q43" s="17">
        <v>0.98409999999999997</v>
      </c>
      <c r="R43" s="17">
        <v>-10.27</v>
      </c>
      <c r="S43" s="17">
        <v>-10.66</v>
      </c>
      <c r="T43" s="17">
        <v>0.97740000000000005</v>
      </c>
      <c r="U43" s="33">
        <v>285.64999999999998</v>
      </c>
      <c r="V43" s="17"/>
      <c r="W43" s="17">
        <v>4.8993000000000002E-2</v>
      </c>
      <c r="X43" s="17">
        <v>5.7070000000000003E-2</v>
      </c>
      <c r="Y43" s="17">
        <v>1.8350999999999999E-2</v>
      </c>
      <c r="Z43" s="185">
        <f t="shared" si="11"/>
        <v>24.296531900818088</v>
      </c>
      <c r="AA43" s="186">
        <f t="shared" si="12"/>
        <v>-9.09</v>
      </c>
      <c r="AB43" s="186">
        <f t="shared" si="13"/>
        <v>-8.8478255733832061</v>
      </c>
      <c r="AC43" s="186">
        <f t="shared" si="14"/>
        <v>-10.27</v>
      </c>
      <c r="AD43" s="186">
        <f t="shared" si="15"/>
        <v>-9.8972384118912586</v>
      </c>
      <c r="AE43" s="187">
        <f t="shared" si="16"/>
        <v>-190136.62245880626</v>
      </c>
      <c r="AF43" s="187">
        <f t="shared" si="17"/>
        <v>-190138.66375831154</v>
      </c>
      <c r="AG43" s="188">
        <f t="shared" si="18"/>
        <v>-190196.4748312986</v>
      </c>
      <c r="AH43" s="188">
        <f>((((2-0)/(2-H43))*F43+(1-((2-0)/(2-H43)))*G43)+X43)*($AW$3*$AW$4*10^-3/$AW$5)</f>
        <v>-190196.66590758521</v>
      </c>
      <c r="AI43" s="189">
        <f t="shared" si="20"/>
        <v>-190200.95678873692</v>
      </c>
      <c r="AJ43" s="189">
        <f t="shared" si="21"/>
        <v>-190201.17926629618</v>
      </c>
      <c r="AK43" s="190">
        <f t="shared" si="22"/>
        <v>-190203.98948524991</v>
      </c>
      <c r="AL43" s="190">
        <f t="shared" si="23"/>
        <v>-190204.20880405526</v>
      </c>
    </row>
    <row r="44" spans="1:38" x14ac:dyDescent="0.25">
      <c r="A44" s="180" t="s">
        <v>503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33"/>
      <c r="V44" s="17"/>
      <c r="W44" s="17"/>
      <c r="X44" s="17"/>
      <c r="Y44" s="17"/>
      <c r="Z44" s="185">
        <f t="shared" si="11"/>
        <v>0</v>
      </c>
      <c r="AA44" s="186">
        <f t="shared" si="12"/>
        <v>0</v>
      </c>
      <c r="AB44" s="186">
        <f t="shared" si="13"/>
        <v>0</v>
      </c>
      <c r="AC44" s="186">
        <f t="shared" si="14"/>
        <v>0</v>
      </c>
      <c r="AD44" s="186">
        <f t="shared" si="15"/>
        <v>0</v>
      </c>
      <c r="AE44" s="187">
        <f t="shared" si="16"/>
        <v>0</v>
      </c>
      <c r="AF44" s="187">
        <f t="shared" si="17"/>
        <v>0</v>
      </c>
      <c r="AG44" s="188">
        <f t="shared" si="18"/>
        <v>0</v>
      </c>
      <c r="AH44" s="188">
        <f t="shared" si="19"/>
        <v>0</v>
      </c>
      <c r="AI44" s="189">
        <f t="shared" si="20"/>
        <v>0</v>
      </c>
      <c r="AJ44" s="189">
        <f t="shared" si="21"/>
        <v>0</v>
      </c>
      <c r="AK44" s="190">
        <f t="shared" si="22"/>
        <v>0</v>
      </c>
      <c r="AL44" s="190">
        <f t="shared" si="23"/>
        <v>0</v>
      </c>
    </row>
    <row r="45" spans="1:38" x14ac:dyDescent="0.25">
      <c r="A45" s="180" t="s">
        <v>504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33"/>
      <c r="V45" s="17"/>
      <c r="W45" s="17"/>
      <c r="X45" s="17"/>
      <c r="Y45" s="17"/>
      <c r="Z45" s="185">
        <f t="shared" si="11"/>
        <v>0</v>
      </c>
      <c r="AA45" s="186">
        <f t="shared" si="12"/>
        <v>0</v>
      </c>
      <c r="AB45" s="186">
        <f t="shared" si="13"/>
        <v>0</v>
      </c>
      <c r="AC45" s="186">
        <f t="shared" si="14"/>
        <v>0</v>
      </c>
      <c r="AD45" s="186">
        <f t="shared" si="15"/>
        <v>0</v>
      </c>
      <c r="AE45" s="187">
        <f t="shared" si="16"/>
        <v>0</v>
      </c>
      <c r="AF45" s="187">
        <f t="shared" si="17"/>
        <v>0</v>
      </c>
      <c r="AG45" s="188">
        <f t="shared" si="18"/>
        <v>0</v>
      </c>
      <c r="AH45" s="188">
        <f t="shared" si="19"/>
        <v>0</v>
      </c>
      <c r="AI45" s="189">
        <f t="shared" si="20"/>
        <v>0</v>
      </c>
      <c r="AJ45" s="189">
        <f t="shared" si="21"/>
        <v>0</v>
      </c>
      <c r="AK45" s="190">
        <f t="shared" si="22"/>
        <v>0</v>
      </c>
      <c r="AL45" s="190">
        <f t="shared" si="23"/>
        <v>0</v>
      </c>
    </row>
    <row r="46" spans="1:38" x14ac:dyDescent="0.25">
      <c r="A46" s="180" t="s">
        <v>505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33"/>
      <c r="V46" s="17"/>
      <c r="W46" s="17"/>
      <c r="X46" s="17"/>
      <c r="Y46" s="17"/>
      <c r="Z46" s="185">
        <f t="shared" si="11"/>
        <v>0</v>
      </c>
      <c r="AA46" s="186">
        <f t="shared" si="12"/>
        <v>0</v>
      </c>
      <c r="AB46" s="186">
        <f t="shared" si="13"/>
        <v>0</v>
      </c>
      <c r="AC46" s="186">
        <f t="shared" si="14"/>
        <v>0</v>
      </c>
      <c r="AD46" s="186">
        <f t="shared" si="15"/>
        <v>0</v>
      </c>
      <c r="AE46" s="187">
        <f t="shared" si="16"/>
        <v>0</v>
      </c>
      <c r="AF46" s="187">
        <f t="shared" si="17"/>
        <v>0</v>
      </c>
      <c r="AG46" s="188">
        <f t="shared" si="18"/>
        <v>0</v>
      </c>
      <c r="AH46" s="188">
        <f t="shared" si="19"/>
        <v>0</v>
      </c>
      <c r="AI46" s="189">
        <f t="shared" si="20"/>
        <v>0</v>
      </c>
      <c r="AJ46" s="189">
        <f t="shared" si="21"/>
        <v>0</v>
      </c>
      <c r="AK46" s="190">
        <f t="shared" si="22"/>
        <v>0</v>
      </c>
      <c r="AL46" s="190">
        <f t="shared" si="23"/>
        <v>0</v>
      </c>
    </row>
    <row r="47" spans="1:38" x14ac:dyDescent="0.25">
      <c r="A47" s="180" t="s">
        <v>506</v>
      </c>
      <c r="B47" s="17">
        <v>-227.91220548000001</v>
      </c>
      <c r="C47" s="17">
        <v>-227.89576138199999</v>
      </c>
      <c r="D47" s="17"/>
      <c r="E47" s="17">
        <v>0.93759999999999999</v>
      </c>
      <c r="F47" s="17">
        <v>-227.96798224599999</v>
      </c>
      <c r="G47" s="17"/>
      <c r="H47" s="17">
        <v>0.93779999999999997</v>
      </c>
      <c r="I47" s="17">
        <v>-227.97307400700001</v>
      </c>
      <c r="J47" s="17"/>
      <c r="K47" s="17">
        <v>0.9385</v>
      </c>
      <c r="L47" s="17">
        <v>-227.97719711900001</v>
      </c>
      <c r="M47" s="17"/>
      <c r="N47" s="17">
        <v>0.93869999999999998</v>
      </c>
      <c r="O47" s="17">
        <v>-7.95</v>
      </c>
      <c r="P47" s="17"/>
      <c r="Q47" s="17">
        <v>0.9294</v>
      </c>
      <c r="R47" s="17"/>
      <c r="S47" s="17">
        <v>-8.82</v>
      </c>
      <c r="T47" s="17"/>
      <c r="U47" s="33">
        <v>0.93730000000000002</v>
      </c>
      <c r="V47" s="17"/>
      <c r="W47" s="17">
        <v>4.4262000000000003E-2</v>
      </c>
      <c r="X47" s="17">
        <v>5.1591999999999999E-2</v>
      </c>
      <c r="Y47" s="17">
        <v>1.5814999999999999E-2</v>
      </c>
      <c r="Z47" s="185">
        <f t="shared" si="11"/>
        <v>22.450399592333707</v>
      </c>
      <c r="AA47" s="186">
        <f t="shared" si="12"/>
        <v>-7.95</v>
      </c>
      <c r="AB47" s="186">
        <f t="shared" si="13"/>
        <v>-14.851485148514852</v>
      </c>
      <c r="AC47" s="186">
        <f t="shared" si="14"/>
        <v>0</v>
      </c>
      <c r="AD47" s="186">
        <f t="shared" si="15"/>
        <v>0</v>
      </c>
      <c r="AE47" s="187">
        <f t="shared" si="16"/>
        <v>-142974.33120186892</v>
      </c>
      <c r="AF47" s="187">
        <f t="shared" si="17"/>
        <v>-269182.05637838348</v>
      </c>
      <c r="AG47" s="188">
        <f t="shared" si="18"/>
        <v>-143019.65046440359</v>
      </c>
      <c r="AH47" s="188">
        <f t="shared" si="19"/>
        <v>-269318.07728898118</v>
      </c>
      <c r="AI47" s="189">
        <f t="shared" si="20"/>
        <v>-143022.84559169429</v>
      </c>
      <c r="AJ47" s="189">
        <f t="shared" si="21"/>
        <v>-269501.71890066733</v>
      </c>
      <c r="AK47" s="190">
        <f t="shared" si="22"/>
        <v>-143025.43288274619</v>
      </c>
      <c r="AL47" s="190">
        <f t="shared" si="23"/>
        <v>-269557.38779803441</v>
      </c>
    </row>
    <row r="48" spans="1:38" x14ac:dyDescent="0.25">
      <c r="A48" s="180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33"/>
      <c r="V48" s="17"/>
      <c r="W48" s="17"/>
      <c r="X48" s="17"/>
      <c r="Y48" s="17"/>
      <c r="Z48" s="185">
        <f t="shared" si="11"/>
        <v>0</v>
      </c>
      <c r="AA48" s="186">
        <f t="shared" si="12"/>
        <v>0</v>
      </c>
      <c r="AB48" s="186">
        <f t="shared" si="13"/>
        <v>0</v>
      </c>
      <c r="AC48" s="186">
        <f t="shared" si="14"/>
        <v>0</v>
      </c>
      <c r="AD48" s="186">
        <f t="shared" si="15"/>
        <v>0</v>
      </c>
      <c r="AE48" s="187">
        <f t="shared" si="16"/>
        <v>0</v>
      </c>
      <c r="AF48" s="187">
        <f t="shared" si="17"/>
        <v>0</v>
      </c>
      <c r="AG48" s="188">
        <f t="shared" si="18"/>
        <v>0</v>
      </c>
      <c r="AH48" s="188">
        <f t="shared" si="19"/>
        <v>0</v>
      </c>
      <c r="AI48" s="189">
        <f t="shared" si="20"/>
        <v>0</v>
      </c>
      <c r="AJ48" s="189">
        <f t="shared" si="21"/>
        <v>0</v>
      </c>
      <c r="AK48" s="190">
        <f t="shared" si="22"/>
        <v>0</v>
      </c>
      <c r="AL48" s="190">
        <f t="shared" si="23"/>
        <v>0</v>
      </c>
    </row>
    <row r="49" spans="1:38" x14ac:dyDescent="0.25">
      <c r="A49" s="18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33"/>
      <c r="V49" s="17"/>
      <c r="W49" s="17"/>
      <c r="X49" s="17"/>
      <c r="Y49" s="17"/>
      <c r="Z49" s="185">
        <f t="shared" si="11"/>
        <v>0</v>
      </c>
      <c r="AA49" s="186">
        <f t="shared" si="12"/>
        <v>0</v>
      </c>
      <c r="AB49" s="186">
        <f t="shared" si="13"/>
        <v>0</v>
      </c>
      <c r="AC49" s="186">
        <f t="shared" si="14"/>
        <v>0</v>
      </c>
      <c r="AD49" s="186">
        <f t="shared" si="15"/>
        <v>0</v>
      </c>
      <c r="AE49" s="187">
        <f t="shared" si="16"/>
        <v>0</v>
      </c>
      <c r="AF49" s="187">
        <f t="shared" si="17"/>
        <v>0</v>
      </c>
      <c r="AG49" s="188">
        <f t="shared" si="18"/>
        <v>0</v>
      </c>
      <c r="AH49" s="188">
        <f t="shared" si="19"/>
        <v>0</v>
      </c>
      <c r="AI49" s="189">
        <f t="shared" si="20"/>
        <v>0</v>
      </c>
      <c r="AJ49" s="189">
        <f t="shared" si="21"/>
        <v>0</v>
      </c>
      <c r="AK49" s="190">
        <f t="shared" si="22"/>
        <v>0</v>
      </c>
      <c r="AL49" s="190">
        <f t="shared" si="23"/>
        <v>0</v>
      </c>
    </row>
    <row r="50" spans="1:38" x14ac:dyDescent="0.25">
      <c r="A50" s="18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33"/>
      <c r="V50" s="17"/>
      <c r="W50" s="17"/>
      <c r="X50" s="17"/>
      <c r="Y50" s="17"/>
      <c r="Z50" s="185">
        <f t="shared" si="11"/>
        <v>0</v>
      </c>
      <c r="AA50" s="186">
        <f t="shared" si="12"/>
        <v>0</v>
      </c>
      <c r="AB50" s="186">
        <f t="shared" si="13"/>
        <v>0</v>
      </c>
      <c r="AC50" s="186">
        <f t="shared" si="14"/>
        <v>0</v>
      </c>
      <c r="AD50" s="186">
        <f t="shared" si="15"/>
        <v>0</v>
      </c>
      <c r="AE50" s="187">
        <f t="shared" si="16"/>
        <v>0</v>
      </c>
      <c r="AF50" s="187">
        <f t="shared" si="17"/>
        <v>0</v>
      </c>
      <c r="AG50" s="188">
        <f t="shared" si="18"/>
        <v>0</v>
      </c>
      <c r="AH50" s="188">
        <f t="shared" si="19"/>
        <v>0</v>
      </c>
      <c r="AI50" s="189">
        <f t="shared" si="20"/>
        <v>0</v>
      </c>
      <c r="AJ50" s="189">
        <f t="shared" si="21"/>
        <v>0</v>
      </c>
      <c r="AK50" s="190">
        <f t="shared" si="22"/>
        <v>0</v>
      </c>
      <c r="AL50" s="190">
        <f t="shared" si="23"/>
        <v>0</v>
      </c>
    </row>
    <row r="51" spans="1:38" x14ac:dyDescent="0.25">
      <c r="A51" s="180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33"/>
      <c r="V51" s="17"/>
      <c r="W51" s="17"/>
      <c r="X51" s="17"/>
      <c r="Y51" s="17"/>
      <c r="Z51" s="185">
        <f t="shared" si="11"/>
        <v>0</v>
      </c>
      <c r="AA51" s="186">
        <f t="shared" si="12"/>
        <v>0</v>
      </c>
      <c r="AB51" s="186">
        <f t="shared" si="13"/>
        <v>0</v>
      </c>
      <c r="AC51" s="186">
        <f t="shared" si="14"/>
        <v>0</v>
      </c>
      <c r="AD51" s="186">
        <f t="shared" si="15"/>
        <v>0</v>
      </c>
      <c r="AE51" s="187">
        <f t="shared" si="16"/>
        <v>0</v>
      </c>
      <c r="AF51" s="187">
        <f t="shared" si="17"/>
        <v>0</v>
      </c>
      <c r="AG51" s="188">
        <f t="shared" si="18"/>
        <v>0</v>
      </c>
      <c r="AH51" s="188">
        <f t="shared" si="19"/>
        <v>0</v>
      </c>
      <c r="AI51" s="189">
        <f t="shared" si="20"/>
        <v>0</v>
      </c>
      <c r="AJ51" s="189">
        <f t="shared" si="21"/>
        <v>0</v>
      </c>
      <c r="AK51" s="190">
        <f t="shared" si="22"/>
        <v>0</v>
      </c>
      <c r="AL51" s="190">
        <f t="shared" si="23"/>
        <v>0</v>
      </c>
    </row>
    <row r="52" spans="1:38" x14ac:dyDescent="0.25">
      <c r="A52" s="180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33"/>
      <c r="V52" s="17"/>
      <c r="W52" s="17"/>
      <c r="X52" s="17"/>
      <c r="Y52" s="17"/>
      <c r="Z52" s="185">
        <f t="shared" si="11"/>
        <v>0</v>
      </c>
      <c r="AA52" s="186">
        <f t="shared" si="12"/>
        <v>0</v>
      </c>
      <c r="AB52" s="186">
        <f t="shared" si="13"/>
        <v>0</v>
      </c>
      <c r="AC52" s="186">
        <f t="shared" si="14"/>
        <v>0</v>
      </c>
      <c r="AD52" s="186">
        <f t="shared" si="15"/>
        <v>0</v>
      </c>
      <c r="AE52" s="187">
        <f t="shared" si="16"/>
        <v>0</v>
      </c>
      <c r="AF52" s="187">
        <f t="shared" si="17"/>
        <v>0</v>
      </c>
      <c r="AG52" s="188">
        <f t="shared" si="18"/>
        <v>0</v>
      </c>
      <c r="AH52" s="188">
        <f t="shared" si="19"/>
        <v>0</v>
      </c>
      <c r="AI52" s="189">
        <f t="shared" si="20"/>
        <v>0</v>
      </c>
      <c r="AJ52" s="189">
        <f t="shared" si="21"/>
        <v>0</v>
      </c>
      <c r="AK52" s="190">
        <f t="shared" si="22"/>
        <v>0</v>
      </c>
      <c r="AL52" s="190">
        <f t="shared" si="23"/>
        <v>0</v>
      </c>
    </row>
    <row r="53" spans="1:38" x14ac:dyDescent="0.25">
      <c r="A53" s="180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33"/>
      <c r="V53" s="17"/>
      <c r="W53" s="17"/>
      <c r="X53" s="17"/>
      <c r="Y53" s="17"/>
      <c r="Z53" s="185">
        <f t="shared" si="11"/>
        <v>0</v>
      </c>
      <c r="AA53" s="186">
        <f t="shared" si="12"/>
        <v>0</v>
      </c>
      <c r="AB53" s="186">
        <f t="shared" si="13"/>
        <v>0</v>
      </c>
      <c r="AC53" s="186">
        <f t="shared" si="14"/>
        <v>0</v>
      </c>
      <c r="AD53" s="186">
        <f t="shared" si="15"/>
        <v>0</v>
      </c>
      <c r="AE53" s="187">
        <f t="shared" si="16"/>
        <v>0</v>
      </c>
      <c r="AF53" s="187">
        <f t="shared" si="17"/>
        <v>0</v>
      </c>
      <c r="AG53" s="188">
        <f t="shared" si="18"/>
        <v>0</v>
      </c>
      <c r="AH53" s="188">
        <f t="shared" si="19"/>
        <v>0</v>
      </c>
      <c r="AI53" s="189">
        <f t="shared" si="20"/>
        <v>0</v>
      </c>
      <c r="AJ53" s="189">
        <f t="shared" si="21"/>
        <v>0</v>
      </c>
      <c r="AK53" s="190">
        <f t="shared" si="22"/>
        <v>0</v>
      </c>
      <c r="AL53" s="190">
        <f t="shared" si="23"/>
        <v>0</v>
      </c>
    </row>
    <row r="54" spans="1:38" x14ac:dyDescent="0.25">
      <c r="A54" s="180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33"/>
      <c r="V54" s="17"/>
      <c r="W54" s="17"/>
      <c r="X54" s="17"/>
      <c r="Y54" s="17"/>
      <c r="Z54" s="185">
        <f t="shared" si="11"/>
        <v>0</v>
      </c>
      <c r="AA54" s="186">
        <f t="shared" si="12"/>
        <v>0</v>
      </c>
      <c r="AB54" s="186">
        <f t="shared" si="13"/>
        <v>0</v>
      </c>
      <c r="AC54" s="186">
        <f t="shared" si="14"/>
        <v>0</v>
      </c>
      <c r="AD54" s="186">
        <f t="shared" si="15"/>
        <v>0</v>
      </c>
      <c r="AE54" s="187">
        <f t="shared" si="16"/>
        <v>0</v>
      </c>
      <c r="AF54" s="187">
        <f t="shared" si="17"/>
        <v>0</v>
      </c>
      <c r="AG54" s="188">
        <f t="shared" si="18"/>
        <v>0</v>
      </c>
      <c r="AH54" s="188">
        <f t="shared" si="19"/>
        <v>0</v>
      </c>
      <c r="AI54" s="189">
        <f t="shared" si="20"/>
        <v>0</v>
      </c>
      <c r="AJ54" s="189">
        <f t="shared" si="21"/>
        <v>0</v>
      </c>
      <c r="AK54" s="190">
        <f t="shared" si="22"/>
        <v>0</v>
      </c>
      <c r="AL54" s="190">
        <f t="shared" si="23"/>
        <v>0</v>
      </c>
    </row>
    <row r="55" spans="1:38" x14ac:dyDescent="0.25">
      <c r="A55" s="180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33"/>
      <c r="V55" s="17"/>
      <c r="W55" s="17"/>
      <c r="X55" s="17"/>
      <c r="Y55" s="17"/>
      <c r="Z55" s="185">
        <f t="shared" si="11"/>
        <v>0</v>
      </c>
      <c r="AA55" s="186">
        <f t="shared" si="12"/>
        <v>0</v>
      </c>
      <c r="AB55" s="186">
        <f t="shared" si="13"/>
        <v>0</v>
      </c>
      <c r="AC55" s="186">
        <f t="shared" si="14"/>
        <v>0</v>
      </c>
      <c r="AD55" s="186">
        <f t="shared" si="15"/>
        <v>0</v>
      </c>
      <c r="AE55" s="187">
        <f t="shared" si="16"/>
        <v>0</v>
      </c>
      <c r="AF55" s="187">
        <f t="shared" si="17"/>
        <v>0</v>
      </c>
      <c r="AG55" s="188">
        <f t="shared" si="18"/>
        <v>0</v>
      </c>
      <c r="AH55" s="188">
        <f t="shared" si="19"/>
        <v>0</v>
      </c>
      <c r="AI55" s="189">
        <f t="shared" si="20"/>
        <v>0</v>
      </c>
      <c r="AJ55" s="189">
        <f t="shared" si="21"/>
        <v>0</v>
      </c>
      <c r="AK55" s="190">
        <f t="shared" si="22"/>
        <v>0</v>
      </c>
      <c r="AL55" s="190">
        <f t="shared" si="23"/>
        <v>0</v>
      </c>
    </row>
    <row r="56" spans="1:38" x14ac:dyDescent="0.25">
      <c r="A56" s="180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33"/>
      <c r="V56" s="17"/>
      <c r="W56" s="17"/>
      <c r="X56" s="17"/>
      <c r="Y56" s="17"/>
      <c r="Z56" s="185">
        <f t="shared" si="11"/>
        <v>0</v>
      </c>
      <c r="AA56" s="186">
        <f t="shared" si="12"/>
        <v>0</v>
      </c>
      <c r="AB56" s="186">
        <f t="shared" si="13"/>
        <v>0</v>
      </c>
      <c r="AC56" s="186">
        <f t="shared" si="14"/>
        <v>0</v>
      </c>
      <c r="AD56" s="186">
        <f t="shared" si="15"/>
        <v>0</v>
      </c>
      <c r="AE56" s="187">
        <f t="shared" si="16"/>
        <v>0</v>
      </c>
      <c r="AF56" s="187">
        <f t="shared" si="17"/>
        <v>0</v>
      </c>
      <c r="AG56" s="188">
        <f t="shared" si="18"/>
        <v>0</v>
      </c>
      <c r="AH56" s="188">
        <f t="shared" si="19"/>
        <v>0</v>
      </c>
      <c r="AI56" s="189">
        <f t="shared" si="20"/>
        <v>0</v>
      </c>
      <c r="AJ56" s="189">
        <f t="shared" si="21"/>
        <v>0</v>
      </c>
      <c r="AK56" s="190">
        <f t="shared" si="22"/>
        <v>0</v>
      </c>
      <c r="AL56" s="190">
        <f t="shared" si="23"/>
        <v>0</v>
      </c>
    </row>
    <row r="58" spans="1:38" x14ac:dyDescent="0.25">
      <c r="I58" s="1"/>
      <c r="J58" s="1"/>
      <c r="K58" s="1"/>
      <c r="L58" s="1"/>
      <c r="M58" s="1"/>
    </row>
    <row r="59" spans="1:38" x14ac:dyDescent="0.25">
      <c r="N59" s="6">
        <f>AL35-AL32</f>
        <v>44.615510390591226</v>
      </c>
    </row>
    <row r="60" spans="1:38" x14ac:dyDescent="0.25">
      <c r="W60" s="11">
        <f>(L43-2*L32)*($AW$3*$AW$4*10^-3/$AW$5)</f>
        <v>37.309737820627788</v>
      </c>
    </row>
    <row r="61" spans="1:38" x14ac:dyDescent="0.25">
      <c r="T61" s="1" t="s">
        <v>501</v>
      </c>
      <c r="U61" s="1"/>
      <c r="V61" s="1"/>
    </row>
    <row r="62" spans="1:38" x14ac:dyDescent="0.25">
      <c r="K62">
        <f>(AK43-Z43)-2*(AK32-Z32)</f>
        <v>43.867837329773465</v>
      </c>
      <c r="T62" s="36">
        <v>-151.61298529699999</v>
      </c>
      <c r="U62" s="1"/>
      <c r="V62" s="1"/>
    </row>
    <row r="63" spans="1:38" x14ac:dyDescent="0.25">
      <c r="T63" s="1"/>
      <c r="U63" s="1"/>
      <c r="V63" s="1"/>
    </row>
    <row r="64" spans="1:38" x14ac:dyDescent="0.25">
      <c r="T64" s="36">
        <v>-303.16651372400003</v>
      </c>
      <c r="U64" s="36">
        <v>-303.16614717499999</v>
      </c>
      <c r="V64" s="36">
        <v>0.97619999999999996</v>
      </c>
    </row>
    <row r="65" spans="16:35" x14ac:dyDescent="0.25">
      <c r="T65" s="1"/>
      <c r="U65" s="1"/>
    </row>
    <row r="66" spans="16:35" x14ac:dyDescent="0.25">
      <c r="T66" s="1"/>
      <c r="U66" s="1"/>
    </row>
    <row r="67" spans="16:35" x14ac:dyDescent="0.25">
      <c r="T67" s="1" t="s">
        <v>502</v>
      </c>
      <c r="U67" s="1"/>
    </row>
    <row r="68" spans="16:35" x14ac:dyDescent="0.25">
      <c r="T68" s="17">
        <v>-151.53262530200001</v>
      </c>
      <c r="U68" s="1"/>
    </row>
    <row r="70" spans="16:35" x14ac:dyDescent="0.25">
      <c r="T70" s="17">
        <v>-302.95188075800002</v>
      </c>
      <c r="U70" s="17">
        <v>-303.00675545399997</v>
      </c>
      <c r="V70" s="17">
        <v>0.91110000000000002</v>
      </c>
    </row>
    <row r="74" spans="16:35" x14ac:dyDescent="0.25">
      <c r="T74" s="1" t="s">
        <v>508</v>
      </c>
      <c r="U74" s="1"/>
    </row>
    <row r="75" spans="16:35" x14ac:dyDescent="0.25">
      <c r="S75" s="1"/>
      <c r="T75" s="17">
        <v>-151.53262530200001</v>
      </c>
      <c r="U75" s="1"/>
    </row>
    <row r="76" spans="16:35" x14ac:dyDescent="0.25">
      <c r="S76" s="1"/>
    </row>
    <row r="77" spans="16:35" x14ac:dyDescent="0.25">
      <c r="S77" s="1"/>
      <c r="T77" s="17">
        <v>-302.95188075800002</v>
      </c>
      <c r="U77" s="17">
        <v>-303.00675545399997</v>
      </c>
      <c r="V77" s="17">
        <v>0.91110000000000002</v>
      </c>
    </row>
    <row r="78" spans="16:35" x14ac:dyDescent="0.25">
      <c r="P78" s="6" t="s">
        <v>510</v>
      </c>
      <c r="S78" s="1"/>
      <c r="AH78" s="6">
        <f>(AL43-2*AL32)</f>
        <v>34.714668872533366</v>
      </c>
      <c r="AI78" s="6">
        <f>AK47-(AL33+AL32)</f>
        <v>60.532633969938615</v>
      </c>
    </row>
    <row r="79" spans="16:35" x14ac:dyDescent="0.25">
      <c r="S79" s="1"/>
      <c r="T79" s="1"/>
      <c r="U79" s="1"/>
      <c r="AH79" s="6">
        <f>AL38-AL37</f>
        <v>69.65432461979799</v>
      </c>
    </row>
    <row r="80" spans="16:35" x14ac:dyDescent="0.25">
      <c r="S80" s="1"/>
      <c r="T80" s="1"/>
      <c r="U80" s="1"/>
      <c r="AH80" s="6">
        <f>AL42-AL41</f>
        <v>70.880413225357188</v>
      </c>
    </row>
    <row r="81" spans="1:38" x14ac:dyDescent="0.25">
      <c r="A81" s="15" t="s">
        <v>444</v>
      </c>
      <c r="B81" s="15"/>
      <c r="C81" s="15"/>
      <c r="D81" s="15"/>
      <c r="E81" s="15"/>
      <c r="F81" s="15"/>
      <c r="G81" s="15"/>
    </row>
    <row r="82" spans="1:38" ht="75" x14ac:dyDescent="0.25">
      <c r="A82" s="167" t="s">
        <v>511</v>
      </c>
      <c r="B82" s="179" t="s">
        <v>483</v>
      </c>
      <c r="C82" s="179" t="s">
        <v>445</v>
      </c>
      <c r="D82" s="179" t="s">
        <v>446</v>
      </c>
      <c r="E82" s="167" t="s">
        <v>433</v>
      </c>
      <c r="F82" s="179" t="s">
        <v>447</v>
      </c>
      <c r="G82" s="179" t="s">
        <v>448</v>
      </c>
      <c r="H82" s="167" t="s">
        <v>449</v>
      </c>
      <c r="I82" s="179" t="s">
        <v>450</v>
      </c>
      <c r="J82" s="179" t="s">
        <v>451</v>
      </c>
      <c r="K82" s="167" t="s">
        <v>452</v>
      </c>
      <c r="L82" s="179" t="s">
        <v>453</v>
      </c>
      <c r="M82" s="179" t="s">
        <v>454</v>
      </c>
      <c r="N82" s="167" t="s">
        <v>455</v>
      </c>
      <c r="O82" s="179" t="s">
        <v>487</v>
      </c>
      <c r="P82" s="179" t="s">
        <v>488</v>
      </c>
      <c r="Q82" s="184" t="s">
        <v>490</v>
      </c>
      <c r="R82" s="179" t="s">
        <v>491</v>
      </c>
      <c r="S82" s="179" t="s">
        <v>492</v>
      </c>
      <c r="T82" s="184" t="s">
        <v>493</v>
      </c>
      <c r="U82" s="179" t="s">
        <v>512</v>
      </c>
      <c r="V82" s="179" t="s">
        <v>435</v>
      </c>
      <c r="W82" s="179" t="s">
        <v>513</v>
      </c>
      <c r="X82" s="179" t="s">
        <v>514</v>
      </c>
      <c r="Y82" s="179" t="s">
        <v>515</v>
      </c>
      <c r="Z82" s="179" t="s">
        <v>516</v>
      </c>
      <c r="AA82" s="191" t="s">
        <v>464</v>
      </c>
      <c r="AB82" s="191" t="s">
        <v>465</v>
      </c>
      <c r="AC82" s="191" t="s">
        <v>494</v>
      </c>
      <c r="AD82" s="191" t="s">
        <v>495</v>
      </c>
      <c r="AE82" s="192" t="s">
        <v>457</v>
      </c>
      <c r="AF82" s="192" t="s">
        <v>456</v>
      </c>
      <c r="AG82" s="193" t="s">
        <v>458</v>
      </c>
      <c r="AH82" s="193" t="s">
        <v>459</v>
      </c>
      <c r="AI82" s="194" t="s">
        <v>460</v>
      </c>
      <c r="AJ82" s="194" t="s">
        <v>461</v>
      </c>
      <c r="AK82" s="195" t="s">
        <v>462</v>
      </c>
      <c r="AL82" s="195" t="s">
        <v>463</v>
      </c>
    </row>
    <row r="83" spans="1:38" x14ac:dyDescent="0.25">
      <c r="A83" s="180" t="s">
        <v>540</v>
      </c>
      <c r="B83" s="17"/>
      <c r="C83" s="17">
        <v>-151.55840975999999</v>
      </c>
      <c r="D83" s="17"/>
      <c r="E83" s="17"/>
      <c r="F83" s="17">
        <v>-151.606570484</v>
      </c>
      <c r="G83" s="17"/>
      <c r="H83" s="17"/>
      <c r="I83" s="17">
        <v>-151.61086883199999</v>
      </c>
      <c r="J83" s="17"/>
      <c r="K83" s="17"/>
      <c r="L83" s="17">
        <v>-151.613045137</v>
      </c>
      <c r="M83" s="17"/>
      <c r="N83" s="17"/>
      <c r="O83" s="17">
        <v>-9.07</v>
      </c>
      <c r="P83" s="17"/>
      <c r="Q83" s="17"/>
      <c r="R83" s="17">
        <v>-9.8800000000000008</v>
      </c>
      <c r="S83" s="17"/>
      <c r="T83" s="17"/>
      <c r="U83" s="33"/>
      <c r="V83" s="17"/>
      <c r="W83" s="17">
        <v>2.6051999999999999E-2</v>
      </c>
      <c r="X83" s="17">
        <v>3.8075999999999999E-2</v>
      </c>
      <c r="Y83" s="17">
        <v>-2.8889999999999999E-2</v>
      </c>
      <c r="Z83" s="185">
        <f>(X83-Y83)*($AW$3*$AW$4*10^-3/$AW$5)</f>
        <v>42.021786597540846</v>
      </c>
      <c r="AA83" s="186">
        <f>O83</f>
        <v>-9.07</v>
      </c>
      <c r="AB83" s="186">
        <f>((((2-0)/(2-Q83))*O83+(1-((2-0)/(2-Q83)))*P83))</f>
        <v>-9.07</v>
      </c>
      <c r="AC83" s="186">
        <f>R83</f>
        <v>-9.8800000000000008</v>
      </c>
      <c r="AD83" s="186">
        <f>((((2-0)/(2-T83))*R83+(1-((2-0)/(2-T83)))*S83))</f>
        <v>-9.8800000000000008</v>
      </c>
      <c r="AE83" s="187">
        <f>(C83+X83)*($AW$3*$AW$4*10^-3/$AW$5)</f>
        <v>-95080.415889419761</v>
      </c>
      <c r="AF83" s="187">
        <f>((((2-0)/(2-E83))*C83+(1-((2-0)/(2-E83)))*D83)+X83)*($AW$3*$AW$4*10^-3/$AW$5)</f>
        <v>-95080.415889419761</v>
      </c>
      <c r="AG83" s="188">
        <f>(F83+X83)*($AW$3*$AW$4*10^-3/$AW$5)</f>
        <v>-95110.637190771362</v>
      </c>
      <c r="AH83" s="188">
        <f>((((2-0)/(2-H83))*F83+(1-((2-0)/(2-H83)))*G83)+X83)*($AW$3*$AW$4*10^-3/$AW$5)</f>
        <v>-95110.637190771362</v>
      </c>
      <c r="AI83" s="189">
        <f>(I83+X83)*($AW$3*$AW$4*10^-3/$AW$5)</f>
        <v>-95113.33444403985</v>
      </c>
      <c r="AJ83" s="189">
        <f>((((2-0)/(2-K83))*I83+(1-((2-0)/(2-K83)))*J83)+X83)*($AW$3*$AW$4*10^-3/$AW$5)</f>
        <v>-95113.33444403985</v>
      </c>
      <c r="AK83" s="190">
        <f>(L83+X83)*($AW$3*$AW$4*10^-3/$AW$5)</f>
        <v>-95114.700095628446</v>
      </c>
      <c r="AL83" s="190">
        <f>((((2-0)/(2-N83))*L83+(1-((2-0)/(2-N83)))*M83)+X83)*($AW$3*$AW$4*10^-3/$AW$5)</f>
        <v>-95114.700095628446</v>
      </c>
    </row>
    <row r="84" spans="1:38" x14ac:dyDescent="0.25">
      <c r="A84" s="180" t="s">
        <v>541</v>
      </c>
      <c r="B84" s="17"/>
      <c r="C84" s="17">
        <v>-151.55840975999999</v>
      </c>
      <c r="D84" s="17"/>
      <c r="E84" s="17"/>
      <c r="F84" s="17">
        <v>-151.606570484</v>
      </c>
      <c r="G84" s="17"/>
      <c r="H84" s="17"/>
      <c r="I84" s="17">
        <v>-151.61086883199999</v>
      </c>
      <c r="J84" s="17"/>
      <c r="K84" s="17"/>
      <c r="L84" s="17">
        <v>-151.613045137</v>
      </c>
      <c r="M84" s="17"/>
      <c r="N84" s="17"/>
      <c r="O84" s="17">
        <v>-9.07</v>
      </c>
      <c r="P84" s="17"/>
      <c r="Q84" s="17"/>
      <c r="R84" s="17">
        <v>-9.8800000000000008</v>
      </c>
      <c r="S84" s="17"/>
      <c r="T84" s="17"/>
      <c r="U84" s="33"/>
      <c r="V84" s="17"/>
      <c r="W84" s="17">
        <v>2.6051999999999999E-2</v>
      </c>
      <c r="X84" s="17">
        <v>3.8252000000000001E-2</v>
      </c>
      <c r="Y84" s="17">
        <v>-2.9659999999999999E-2</v>
      </c>
      <c r="Z84" s="185">
        <f t="shared" ref="Z84:Z128" si="24">(X84-Y84)*($AW$3*$AW$4*10^-3/$AW$5)</f>
        <v>42.615410378583071</v>
      </c>
      <c r="AA84" s="186">
        <f t="shared" ref="AA84:AA128" si="25">O84</f>
        <v>-9.07</v>
      </c>
      <c r="AB84" s="186">
        <f t="shared" ref="AB84:AB128" si="26">((((2-0)/(2-Q84))*O84+(1-((2-0)/(2-Q84)))*P84))</f>
        <v>-9.07</v>
      </c>
      <c r="AC84" s="186">
        <f t="shared" ref="AC84:AC128" si="27">R84</f>
        <v>-9.8800000000000008</v>
      </c>
      <c r="AD84" s="186">
        <f t="shared" ref="AD84:AD128" si="28">((((2-0)/(2-T84))*R84+(1-((2-0)/(2-T84)))*S84))</f>
        <v>-9.8800000000000008</v>
      </c>
      <c r="AE84" s="187">
        <f t="shared" ref="AE84:AE128" si="29">(C84+X84)*($AW$3*$AW$4*10^-3/$AW$5)</f>
        <v>-95080.305447786071</v>
      </c>
      <c r="AF84" s="187">
        <f t="shared" ref="AF84:AF128" si="30">((((2-0)/(2-E84))*C84+(1-((2-0)/(2-E84)))*D84)+X84)*($AW$3*$AW$4*10^-3/$AW$5)</f>
        <v>-95080.305447786071</v>
      </c>
      <c r="AG84" s="188">
        <f t="shared" ref="AG84:AG128" si="31">(F84+X84)*($AW$3*$AW$4*10^-3/$AW$5)</f>
        <v>-95110.526749137673</v>
      </c>
      <c r="AH84" s="188">
        <f t="shared" ref="AH84:AH128" si="32">((((2-0)/(2-H84))*F84+(1-((2-0)/(2-H84)))*G84)+X84)*($AW$3*$AW$4*10^-3/$AW$5)</f>
        <v>-95110.526749137673</v>
      </c>
      <c r="AI84" s="189">
        <f t="shared" ref="AI84:AI128" si="33">(I84+X84)*($AW$3*$AW$4*10^-3/$AW$5)</f>
        <v>-95113.224002406161</v>
      </c>
      <c r="AJ84" s="189">
        <f t="shared" ref="AJ84:AJ128" si="34">((((2-0)/(2-K84))*I84+(1-((2-0)/(2-K84)))*J84)+X84)*($AW$3*$AW$4*10^-3/$AW$5)</f>
        <v>-95113.224002406161</v>
      </c>
      <c r="AK84" s="190">
        <f t="shared" ref="AK84:AK128" si="35">(L84+X84)*($AW$3*$AW$4*10^-3/$AW$5)</f>
        <v>-95114.589653994757</v>
      </c>
      <c r="AL84" s="190">
        <f t="shared" ref="AL84:AL128" si="36">((((2-0)/(2-N84))*L84+(1-((2-0)/(2-N84)))*M84)+X84)*($AW$3*$AW$4*10^-3/$AW$5)</f>
        <v>-95114.589653994757</v>
      </c>
    </row>
    <row r="85" spans="1:38" x14ac:dyDescent="0.25">
      <c r="A85" s="180" t="s">
        <v>542</v>
      </c>
      <c r="B85" s="17"/>
      <c r="C85" s="17">
        <v>-151.55840975999999</v>
      </c>
      <c r="D85" s="17"/>
      <c r="E85" s="17"/>
      <c r="F85" s="17">
        <v>-151.606570484</v>
      </c>
      <c r="G85" s="17"/>
      <c r="H85" s="17"/>
      <c r="I85" s="17">
        <v>-151.61086883199999</v>
      </c>
      <c r="J85" s="17"/>
      <c r="K85" s="17"/>
      <c r="L85" s="17">
        <v>-151.613045137</v>
      </c>
      <c r="M85" s="17"/>
      <c r="N85" s="17"/>
      <c r="O85" s="17">
        <v>-9.07</v>
      </c>
      <c r="P85" s="17"/>
      <c r="Q85" s="17"/>
      <c r="R85" s="17">
        <v>-9.8800000000000008</v>
      </c>
      <c r="S85" s="17"/>
      <c r="T85" s="17"/>
      <c r="U85" s="33"/>
      <c r="V85" s="17"/>
      <c r="W85" s="17">
        <v>2.6051999999999999E-2</v>
      </c>
      <c r="X85" s="17">
        <v>3.8443999999999999E-2</v>
      </c>
      <c r="Y85" s="17">
        <v>-3.0499999999999999E-2</v>
      </c>
      <c r="Z85" s="185">
        <f t="shared" si="24"/>
        <v>43.262999957901862</v>
      </c>
      <c r="AA85" s="186">
        <f t="shared" si="25"/>
        <v>-9.07</v>
      </c>
      <c r="AB85" s="186">
        <f t="shared" si="26"/>
        <v>-9.07</v>
      </c>
      <c r="AC85" s="186">
        <f t="shared" si="27"/>
        <v>-9.8800000000000008</v>
      </c>
      <c r="AD85" s="186">
        <f t="shared" si="28"/>
        <v>-9.8800000000000008</v>
      </c>
      <c r="AE85" s="187">
        <f t="shared" si="29"/>
        <v>-95080.184966003872</v>
      </c>
      <c r="AF85" s="187">
        <f t="shared" si="30"/>
        <v>-95080.184966003872</v>
      </c>
      <c r="AG85" s="188">
        <f t="shared" si="31"/>
        <v>-95110.406267355473</v>
      </c>
      <c r="AH85" s="188">
        <f t="shared" si="32"/>
        <v>-95110.406267355473</v>
      </c>
      <c r="AI85" s="189">
        <f t="shared" si="33"/>
        <v>-95113.103520623961</v>
      </c>
      <c r="AJ85" s="189">
        <f t="shared" si="34"/>
        <v>-95113.103520623961</v>
      </c>
      <c r="AK85" s="190">
        <f t="shared" si="35"/>
        <v>-95114.469172212557</v>
      </c>
      <c r="AL85" s="190">
        <f t="shared" si="36"/>
        <v>-95114.469172212557</v>
      </c>
    </row>
    <row r="86" spans="1:38" x14ac:dyDescent="0.25">
      <c r="A86" s="180" t="s">
        <v>543</v>
      </c>
      <c r="B86" s="17"/>
      <c r="C86" s="17">
        <v>-151.55840975999999</v>
      </c>
      <c r="D86" s="17"/>
      <c r="E86" s="17"/>
      <c r="F86" s="17">
        <v>-151.606570484</v>
      </c>
      <c r="G86" s="17"/>
      <c r="H86" s="17"/>
      <c r="I86" s="17">
        <v>-151.61086883199999</v>
      </c>
      <c r="J86" s="17"/>
      <c r="K86" s="17"/>
      <c r="L86" s="17">
        <v>-151.613045137</v>
      </c>
      <c r="M86" s="17"/>
      <c r="N86" s="17"/>
      <c r="O86" s="17">
        <v>-9.07</v>
      </c>
      <c r="P86" s="17"/>
      <c r="Q86" s="17"/>
      <c r="R86" s="17">
        <v>-9.8800000000000008</v>
      </c>
      <c r="S86" s="17"/>
      <c r="T86" s="17"/>
      <c r="U86" s="33"/>
      <c r="V86" s="17"/>
      <c r="W86" s="17">
        <v>2.6051999999999999E-2</v>
      </c>
      <c r="X86" s="17">
        <v>3.8668000000000001E-2</v>
      </c>
      <c r="Y86" s="17">
        <v>-3.1475999999999997E-2</v>
      </c>
      <c r="Z86" s="185">
        <f t="shared" si="24"/>
        <v>44.01601109664464</v>
      </c>
      <c r="AA86" s="186">
        <f t="shared" si="25"/>
        <v>-9.07</v>
      </c>
      <c r="AB86" s="186">
        <f t="shared" si="26"/>
        <v>-9.07</v>
      </c>
      <c r="AC86" s="186">
        <f t="shared" si="27"/>
        <v>-9.8800000000000008</v>
      </c>
      <c r="AD86" s="186">
        <f t="shared" si="28"/>
        <v>-9.8800000000000008</v>
      </c>
      <c r="AE86" s="187">
        <f t="shared" si="29"/>
        <v>-95080.044403924636</v>
      </c>
      <c r="AF86" s="187">
        <f t="shared" si="30"/>
        <v>-95080.044403924636</v>
      </c>
      <c r="AG86" s="188">
        <f t="shared" si="31"/>
        <v>-95110.265705276237</v>
      </c>
      <c r="AH86" s="188">
        <f t="shared" si="32"/>
        <v>-95110.265705276237</v>
      </c>
      <c r="AI86" s="189">
        <f t="shared" si="33"/>
        <v>-95112.962958544726</v>
      </c>
      <c r="AJ86" s="189">
        <f t="shared" si="34"/>
        <v>-95112.962958544726</v>
      </c>
      <c r="AK86" s="190">
        <f t="shared" si="35"/>
        <v>-95114.328610133321</v>
      </c>
      <c r="AL86" s="190">
        <f t="shared" si="36"/>
        <v>-95114.328610133321</v>
      </c>
    </row>
    <row r="87" spans="1:38" x14ac:dyDescent="0.25">
      <c r="A87" s="180" t="s">
        <v>544</v>
      </c>
      <c r="B87" s="17"/>
      <c r="C87" s="17">
        <v>-151.55840975999999</v>
      </c>
      <c r="D87" s="17"/>
      <c r="E87" s="17"/>
      <c r="F87" s="17">
        <v>-151.606570484</v>
      </c>
      <c r="G87" s="17"/>
      <c r="H87" s="17"/>
      <c r="I87" s="17">
        <v>-151.61086883199999</v>
      </c>
      <c r="J87" s="17"/>
      <c r="K87" s="17"/>
      <c r="L87" s="17">
        <v>-151.613045137</v>
      </c>
      <c r="M87" s="17"/>
      <c r="N87" s="17"/>
      <c r="O87" s="17">
        <v>-9.07</v>
      </c>
      <c r="P87" s="17"/>
      <c r="Q87" s="17"/>
      <c r="R87" s="17">
        <v>-9.8800000000000008</v>
      </c>
      <c r="S87" s="17"/>
      <c r="T87" s="17"/>
      <c r="U87" s="33"/>
      <c r="V87" s="17"/>
      <c r="W87" s="17">
        <v>2.6051999999999999E-2</v>
      </c>
      <c r="X87" s="17">
        <v>3.8885999999999997E-2</v>
      </c>
      <c r="Y87" s="17">
        <v>-3.2426999999999997E-2</v>
      </c>
      <c r="Z87" s="185">
        <f t="shared" si="24"/>
        <v>44.74956944763656</v>
      </c>
      <c r="AA87" s="186">
        <f t="shared" si="25"/>
        <v>-9.07</v>
      </c>
      <c r="AB87" s="186">
        <f t="shared" si="26"/>
        <v>-9.07</v>
      </c>
      <c r="AC87" s="186">
        <f t="shared" si="27"/>
        <v>-9.8800000000000008</v>
      </c>
      <c r="AD87" s="186">
        <f t="shared" si="28"/>
        <v>-9.8800000000000008</v>
      </c>
      <c r="AE87" s="187">
        <f t="shared" si="29"/>
        <v>-95079.907606901106</v>
      </c>
      <c r="AF87" s="187">
        <f t="shared" si="30"/>
        <v>-95079.907606901106</v>
      </c>
      <c r="AG87" s="188">
        <f t="shared" si="31"/>
        <v>-95110.128908252707</v>
      </c>
      <c r="AH87" s="188">
        <f t="shared" si="32"/>
        <v>-95110.128908252707</v>
      </c>
      <c r="AI87" s="189">
        <f t="shared" si="33"/>
        <v>-95112.826161521196</v>
      </c>
      <c r="AJ87" s="189">
        <f t="shared" si="34"/>
        <v>-95112.826161521196</v>
      </c>
      <c r="AK87" s="190">
        <f t="shared" si="35"/>
        <v>-95114.191813109792</v>
      </c>
      <c r="AL87" s="190">
        <f t="shared" si="36"/>
        <v>-95114.191813109792</v>
      </c>
    </row>
    <row r="88" spans="1:38" x14ac:dyDescent="0.25">
      <c r="A88" s="180" t="s">
        <v>169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>
        <v>-151.53268281000001</v>
      </c>
      <c r="M88" s="17"/>
      <c r="N88" s="17"/>
      <c r="O88" s="17"/>
      <c r="P88" s="17"/>
      <c r="Q88" s="17"/>
      <c r="R88" s="17"/>
      <c r="S88" s="17"/>
      <c r="T88" s="17"/>
      <c r="U88" s="33"/>
      <c r="V88" s="17"/>
      <c r="W88" s="17">
        <v>2.6051999999999999E-2</v>
      </c>
      <c r="X88" s="17">
        <v>3.9076E-2</v>
      </c>
      <c r="Y88" s="17">
        <v>-3.3257599999999998E-2</v>
      </c>
      <c r="Z88" s="185">
        <f t="shared" si="24"/>
        <v>45.390005421137296</v>
      </c>
      <c r="AA88" s="186">
        <f t="shared" si="25"/>
        <v>0</v>
      </c>
      <c r="AB88" s="186">
        <f t="shared" si="26"/>
        <v>0</v>
      </c>
      <c r="AC88" s="186">
        <f t="shared" si="27"/>
        <v>0</v>
      </c>
      <c r="AD88" s="186">
        <f t="shared" si="28"/>
        <v>0</v>
      </c>
      <c r="AE88" s="187">
        <f t="shared" si="29"/>
        <v>24.520552714594064</v>
      </c>
      <c r="AF88" s="187">
        <f t="shared" si="30"/>
        <v>24.520552714594064</v>
      </c>
      <c r="AG88" s="188">
        <f t="shared" si="31"/>
        <v>24.520552714594064</v>
      </c>
      <c r="AH88" s="188">
        <f t="shared" si="32"/>
        <v>24.520552714594064</v>
      </c>
      <c r="AI88" s="189">
        <f t="shared" si="33"/>
        <v>24.520552714594064</v>
      </c>
      <c r="AJ88" s="189">
        <f t="shared" si="34"/>
        <v>24.520552714594064</v>
      </c>
      <c r="AK88" s="190">
        <f t="shared" si="35"/>
        <v>-95063.644480207586</v>
      </c>
      <c r="AL88" s="190">
        <f t="shared" si="36"/>
        <v>-95063.644480207586</v>
      </c>
    </row>
    <row r="89" spans="1:38" x14ac:dyDescent="0.25">
      <c r="A89" s="18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33"/>
      <c r="V89" s="17"/>
      <c r="W89" s="17"/>
      <c r="X89" s="17"/>
      <c r="Y89" s="17"/>
      <c r="Z89" s="185">
        <f t="shared" si="24"/>
        <v>0</v>
      </c>
      <c r="AA89" s="186">
        <f t="shared" si="25"/>
        <v>0</v>
      </c>
      <c r="AB89" s="186">
        <f t="shared" si="26"/>
        <v>0</v>
      </c>
      <c r="AC89" s="186">
        <f t="shared" si="27"/>
        <v>0</v>
      </c>
      <c r="AD89" s="186">
        <f t="shared" si="28"/>
        <v>0</v>
      </c>
      <c r="AE89" s="187">
        <f t="shared" si="29"/>
        <v>0</v>
      </c>
      <c r="AF89" s="187">
        <f t="shared" si="30"/>
        <v>0</v>
      </c>
      <c r="AG89" s="188">
        <f t="shared" si="31"/>
        <v>0</v>
      </c>
      <c r="AH89" s="188">
        <f t="shared" si="32"/>
        <v>0</v>
      </c>
      <c r="AI89" s="189">
        <f t="shared" si="33"/>
        <v>0</v>
      </c>
      <c r="AJ89" s="189">
        <f t="shared" si="34"/>
        <v>0</v>
      </c>
      <c r="AK89" s="190">
        <f t="shared" si="35"/>
        <v>0</v>
      </c>
      <c r="AL89" s="190">
        <f t="shared" si="36"/>
        <v>0</v>
      </c>
    </row>
    <row r="90" spans="1:38" x14ac:dyDescent="0.25">
      <c r="A90" s="18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33"/>
      <c r="V90" s="17"/>
      <c r="W90" s="17"/>
      <c r="X90" s="17"/>
      <c r="Y90" s="17"/>
      <c r="Z90" s="185">
        <f t="shared" si="24"/>
        <v>0</v>
      </c>
      <c r="AA90" s="186">
        <f t="shared" si="25"/>
        <v>0</v>
      </c>
      <c r="AB90" s="186">
        <f t="shared" si="26"/>
        <v>0</v>
      </c>
      <c r="AC90" s="186">
        <f t="shared" si="27"/>
        <v>0</v>
      </c>
      <c r="AD90" s="186">
        <f t="shared" si="28"/>
        <v>0</v>
      </c>
      <c r="AE90" s="187">
        <f t="shared" si="29"/>
        <v>0</v>
      </c>
      <c r="AF90" s="187">
        <f t="shared" si="30"/>
        <v>0</v>
      </c>
      <c r="AG90" s="188">
        <f t="shared" si="31"/>
        <v>0</v>
      </c>
      <c r="AH90" s="188">
        <f t="shared" si="32"/>
        <v>0</v>
      </c>
      <c r="AI90" s="189">
        <f t="shared" si="33"/>
        <v>0</v>
      </c>
      <c r="AJ90" s="189">
        <f t="shared" si="34"/>
        <v>0</v>
      </c>
      <c r="AK90" s="190">
        <f t="shared" si="35"/>
        <v>0</v>
      </c>
      <c r="AL90" s="190">
        <f t="shared" si="36"/>
        <v>0</v>
      </c>
    </row>
    <row r="91" spans="1:38" x14ac:dyDescent="0.25">
      <c r="A91" s="18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33"/>
      <c r="V91" s="17"/>
      <c r="W91" s="17"/>
      <c r="X91" s="17"/>
      <c r="Y91" s="17"/>
      <c r="Z91" s="185">
        <f t="shared" si="24"/>
        <v>0</v>
      </c>
      <c r="AA91" s="186">
        <f t="shared" si="25"/>
        <v>0</v>
      </c>
      <c r="AB91" s="186">
        <f t="shared" si="26"/>
        <v>0</v>
      </c>
      <c r="AC91" s="186">
        <f t="shared" si="27"/>
        <v>0</v>
      </c>
      <c r="AD91" s="186">
        <f t="shared" si="28"/>
        <v>0</v>
      </c>
      <c r="AE91" s="187">
        <f t="shared" si="29"/>
        <v>0</v>
      </c>
      <c r="AF91" s="187">
        <f t="shared" si="30"/>
        <v>0</v>
      </c>
      <c r="AG91" s="188">
        <f t="shared" si="31"/>
        <v>0</v>
      </c>
      <c r="AH91" s="188">
        <f t="shared" si="32"/>
        <v>0</v>
      </c>
      <c r="AI91" s="189">
        <f t="shared" si="33"/>
        <v>0</v>
      </c>
      <c r="AJ91" s="189">
        <f t="shared" si="34"/>
        <v>0</v>
      </c>
      <c r="AK91" s="190">
        <f t="shared" si="35"/>
        <v>0</v>
      </c>
      <c r="AL91" s="190">
        <f t="shared" si="36"/>
        <v>0</v>
      </c>
    </row>
    <row r="92" spans="1:38" x14ac:dyDescent="0.25">
      <c r="A92" s="18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33"/>
      <c r="V92" s="17"/>
      <c r="W92" s="17"/>
      <c r="X92" s="17"/>
      <c r="Y92" s="17"/>
      <c r="Z92" s="185">
        <f t="shared" si="24"/>
        <v>0</v>
      </c>
      <c r="AA92" s="186">
        <f t="shared" si="25"/>
        <v>0</v>
      </c>
      <c r="AB92" s="186">
        <f t="shared" si="26"/>
        <v>0</v>
      </c>
      <c r="AC92" s="186">
        <f t="shared" si="27"/>
        <v>0</v>
      </c>
      <c r="AD92" s="186">
        <f t="shared" si="28"/>
        <v>0</v>
      </c>
      <c r="AE92" s="187">
        <f t="shared" si="29"/>
        <v>0</v>
      </c>
      <c r="AF92" s="187">
        <f t="shared" si="30"/>
        <v>0</v>
      </c>
      <c r="AG92" s="188">
        <f t="shared" si="31"/>
        <v>0</v>
      </c>
      <c r="AH92" s="188">
        <f t="shared" si="32"/>
        <v>0</v>
      </c>
      <c r="AI92" s="189">
        <f t="shared" si="33"/>
        <v>0</v>
      </c>
      <c r="AJ92" s="189">
        <f t="shared" si="34"/>
        <v>0</v>
      </c>
      <c r="AK92" s="190">
        <f t="shared" si="35"/>
        <v>0</v>
      </c>
      <c r="AL92" s="190">
        <f t="shared" si="36"/>
        <v>0</v>
      </c>
    </row>
    <row r="93" spans="1:38" x14ac:dyDescent="0.25">
      <c r="A93" s="18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33"/>
      <c r="V93" s="17"/>
      <c r="W93" s="17"/>
      <c r="X93" s="17"/>
      <c r="Y93" s="17"/>
      <c r="Z93" s="185">
        <f t="shared" si="24"/>
        <v>0</v>
      </c>
      <c r="AA93" s="186">
        <f t="shared" si="25"/>
        <v>0</v>
      </c>
      <c r="AB93" s="186">
        <f t="shared" si="26"/>
        <v>0</v>
      </c>
      <c r="AC93" s="186">
        <f t="shared" si="27"/>
        <v>0</v>
      </c>
      <c r="AD93" s="186">
        <f t="shared" si="28"/>
        <v>0</v>
      </c>
      <c r="AE93" s="187">
        <f t="shared" si="29"/>
        <v>0</v>
      </c>
      <c r="AF93" s="187">
        <f t="shared" si="30"/>
        <v>0</v>
      </c>
      <c r="AG93" s="188">
        <f t="shared" si="31"/>
        <v>0</v>
      </c>
      <c r="AH93" s="188">
        <f t="shared" si="32"/>
        <v>0</v>
      </c>
      <c r="AI93" s="189">
        <f t="shared" si="33"/>
        <v>0</v>
      </c>
      <c r="AJ93" s="189">
        <f t="shared" si="34"/>
        <v>0</v>
      </c>
      <c r="AK93" s="190">
        <f t="shared" si="35"/>
        <v>0</v>
      </c>
      <c r="AL93" s="190">
        <f t="shared" si="36"/>
        <v>0</v>
      </c>
    </row>
    <row r="94" spans="1:38" x14ac:dyDescent="0.25">
      <c r="A94" s="180" t="s">
        <v>524</v>
      </c>
      <c r="B94" s="17"/>
      <c r="C94" s="17">
        <v>-303.05946925000001</v>
      </c>
      <c r="D94" s="17"/>
      <c r="E94" s="17">
        <v>0.97940000000000005</v>
      </c>
      <c r="F94" s="17">
        <v>-303.15460073399998</v>
      </c>
      <c r="G94" s="17">
        <v>-303.15011414000003</v>
      </c>
      <c r="H94" s="17">
        <v>0.97919999999999996</v>
      </c>
      <c r="I94" s="17">
        <v>-303.16178774299999</v>
      </c>
      <c r="J94" s="17">
        <v>-303.157405643</v>
      </c>
      <c r="K94" s="17">
        <v>0.97899999999999998</v>
      </c>
      <c r="L94" s="17">
        <v>-303.166620233</v>
      </c>
      <c r="M94" s="36">
        <v>-303.16217384700002</v>
      </c>
      <c r="N94" s="36">
        <v>0.97929999999999995</v>
      </c>
      <c r="O94" s="17">
        <v>-9.0399999999999991</v>
      </c>
      <c r="P94" s="17">
        <v>-10.27</v>
      </c>
      <c r="Q94" s="183">
        <v>0.98680000000000001</v>
      </c>
      <c r="R94" s="17">
        <v>-10.210000000000001</v>
      </c>
      <c r="S94" s="17">
        <v>-11.42</v>
      </c>
      <c r="T94" s="183">
        <v>0.98089999999999999</v>
      </c>
      <c r="U94" s="33"/>
      <c r="V94" s="17"/>
      <c r="W94" s="17">
        <v>4.9133000000000003E-2</v>
      </c>
      <c r="X94" s="17">
        <v>5.7300999999999998E-2</v>
      </c>
      <c r="Y94" s="17">
        <v>1.8356000000000001E-2</v>
      </c>
      <c r="Z94" s="185">
        <f t="shared" si="24"/>
        <v>24.438348998614639</v>
      </c>
      <c r="AA94" s="186">
        <f t="shared" si="25"/>
        <v>-9.0399999999999991</v>
      </c>
      <c r="AB94" s="186">
        <f t="shared" si="26"/>
        <v>-7.8420489538097087</v>
      </c>
      <c r="AC94" s="186">
        <f t="shared" si="27"/>
        <v>-10.210000000000001</v>
      </c>
      <c r="AD94" s="186">
        <f t="shared" si="28"/>
        <v>-9.045355706015112</v>
      </c>
      <c r="AE94" s="187">
        <f t="shared" si="29"/>
        <v>-190136.6731295533</v>
      </c>
      <c r="AF94" s="187">
        <f t="shared" si="30"/>
        <v>-372632.33632780478</v>
      </c>
      <c r="AG94" s="188">
        <f t="shared" si="31"/>
        <v>-190196.36901880091</v>
      </c>
      <c r="AH94" s="188">
        <f t="shared" si="32"/>
        <v>-190199.06966485269</v>
      </c>
      <c r="AI94" s="189">
        <f t="shared" si="33"/>
        <v>-190200.87893366028</v>
      </c>
      <c r="AJ94" s="189">
        <f t="shared" si="34"/>
        <v>-190203.51562557896</v>
      </c>
      <c r="AK94" s="190">
        <f t="shared" si="35"/>
        <v>-190203.91136599184</v>
      </c>
      <c r="AL94" s="190">
        <f t="shared" si="36"/>
        <v>-190206.58834494153</v>
      </c>
    </row>
    <row r="95" spans="1:38" x14ac:dyDescent="0.25">
      <c r="A95" s="180" t="s">
        <v>517</v>
      </c>
      <c r="B95" s="17"/>
      <c r="C95" s="17">
        <v>-303.05946925000001</v>
      </c>
      <c r="D95" s="17"/>
      <c r="E95" s="17">
        <v>0.97940000000000005</v>
      </c>
      <c r="F95" s="17">
        <v>-303.15460073399998</v>
      </c>
      <c r="G95" s="17">
        <v>-303.15011414000003</v>
      </c>
      <c r="H95" s="17">
        <v>0.97919999999999996</v>
      </c>
      <c r="I95" s="17">
        <v>-303.16178774299999</v>
      </c>
      <c r="J95" s="17">
        <v>-303.157405643</v>
      </c>
      <c r="K95" s="17">
        <v>0.97899999999999998</v>
      </c>
      <c r="L95" s="17">
        <v>-303.166620233</v>
      </c>
      <c r="M95" s="36">
        <v>-303.16217384700002</v>
      </c>
      <c r="N95" s="36">
        <v>0.97929999999999995</v>
      </c>
      <c r="O95" s="17">
        <v>-9.0399999999999991</v>
      </c>
      <c r="P95" s="17">
        <v>-10.27</v>
      </c>
      <c r="Q95" s="183">
        <v>0.98680000000000001</v>
      </c>
      <c r="R95" s="17">
        <v>-10.210000000000001</v>
      </c>
      <c r="S95" s="17">
        <v>-11.42</v>
      </c>
      <c r="T95" s="183">
        <v>0.98089999999999999</v>
      </c>
      <c r="U95" s="33"/>
      <c r="V95" s="17"/>
      <c r="W95" s="17">
        <v>4.9133000000000003E-2</v>
      </c>
      <c r="X95" s="17">
        <v>5.7375000000000002E-2</v>
      </c>
      <c r="Y95" s="17">
        <v>2.1156000000000001E-2</v>
      </c>
      <c r="Z95" s="185">
        <f t="shared" si="24"/>
        <v>22.727758695103962</v>
      </c>
      <c r="AA95" s="186">
        <f t="shared" si="25"/>
        <v>-9.0399999999999991</v>
      </c>
      <c r="AB95" s="186">
        <f t="shared" si="26"/>
        <v>-7.8420489538097087</v>
      </c>
      <c r="AC95" s="186">
        <f t="shared" si="27"/>
        <v>-10.210000000000001</v>
      </c>
      <c r="AD95" s="186">
        <f t="shared" si="28"/>
        <v>-9.045355706015112</v>
      </c>
      <c r="AE95" s="187">
        <f t="shared" si="29"/>
        <v>-190136.62669386642</v>
      </c>
      <c r="AF95" s="187">
        <f t="shared" si="30"/>
        <v>-372632.28989211796</v>
      </c>
      <c r="AG95" s="188">
        <f t="shared" si="31"/>
        <v>-190196.32258311403</v>
      </c>
      <c r="AH95" s="188">
        <f t="shared" si="32"/>
        <v>-190199.02322916582</v>
      </c>
      <c r="AI95" s="189">
        <f t="shared" si="33"/>
        <v>-190200.8324979734</v>
      </c>
      <c r="AJ95" s="189">
        <f t="shared" si="34"/>
        <v>-190203.46918989209</v>
      </c>
      <c r="AK95" s="190">
        <f t="shared" si="35"/>
        <v>-190203.86493030496</v>
      </c>
      <c r="AL95" s="190">
        <f t="shared" si="36"/>
        <v>-190206.54190925465</v>
      </c>
    </row>
    <row r="96" spans="1:38" x14ac:dyDescent="0.25">
      <c r="A96" s="180" t="s">
        <v>518</v>
      </c>
      <c r="B96" s="17"/>
      <c r="C96" s="17">
        <v>-303.05946925000001</v>
      </c>
      <c r="D96" s="17"/>
      <c r="E96" s="17">
        <v>0.97940000000000005</v>
      </c>
      <c r="F96" s="17">
        <v>-303.15460073399998</v>
      </c>
      <c r="G96" s="17">
        <v>-303.15011414000003</v>
      </c>
      <c r="H96" s="17">
        <v>0.97919999999999996</v>
      </c>
      <c r="I96" s="17">
        <v>-303.16178774299999</v>
      </c>
      <c r="J96" s="17">
        <v>-303.157405643</v>
      </c>
      <c r="K96" s="17">
        <v>0.97899999999999998</v>
      </c>
      <c r="L96" s="17">
        <v>-303.166620233</v>
      </c>
      <c r="M96" s="36">
        <v>-303.16217384700002</v>
      </c>
      <c r="N96" s="36">
        <v>0.97929999999999995</v>
      </c>
      <c r="O96" s="17">
        <v>-9.0399999999999991</v>
      </c>
      <c r="P96" s="17">
        <v>-10.27</v>
      </c>
      <c r="Q96" s="183">
        <v>0.98680000000000001</v>
      </c>
      <c r="R96" s="17">
        <v>-10.210000000000001</v>
      </c>
      <c r="S96" s="17">
        <v>-11.42</v>
      </c>
      <c r="T96" s="183">
        <v>0.98089999999999999</v>
      </c>
      <c r="U96" s="33"/>
      <c r="V96" s="17"/>
      <c r="W96" s="17">
        <v>4.9133000000000003E-2</v>
      </c>
      <c r="X96" s="17">
        <v>5.9351000000000001E-2</v>
      </c>
      <c r="Y96" s="17">
        <v>1.4964999999999999E-2</v>
      </c>
      <c r="Z96" s="185">
        <f t="shared" si="24"/>
        <v>27.852627003530866</v>
      </c>
      <c r="AA96" s="186">
        <f t="shared" si="25"/>
        <v>-9.0399999999999991</v>
      </c>
      <c r="AB96" s="186">
        <f t="shared" si="26"/>
        <v>-7.8420489538097087</v>
      </c>
      <c r="AC96" s="186">
        <f t="shared" si="27"/>
        <v>-10.210000000000001</v>
      </c>
      <c r="AD96" s="186">
        <f t="shared" si="28"/>
        <v>-9.045355706015112</v>
      </c>
      <c r="AE96" s="187">
        <f t="shared" si="29"/>
        <v>-190135.38673552463</v>
      </c>
      <c r="AF96" s="187">
        <f t="shared" si="30"/>
        <v>-372631.04993377614</v>
      </c>
      <c r="AG96" s="188">
        <f t="shared" si="31"/>
        <v>-190195.08262477221</v>
      </c>
      <c r="AH96" s="188">
        <f t="shared" si="32"/>
        <v>-190197.783270824</v>
      </c>
      <c r="AI96" s="189">
        <f t="shared" si="33"/>
        <v>-190199.59253963159</v>
      </c>
      <c r="AJ96" s="189">
        <f t="shared" si="34"/>
        <v>-190202.22923155027</v>
      </c>
      <c r="AK96" s="190">
        <f t="shared" si="35"/>
        <v>-190202.62497196315</v>
      </c>
      <c r="AL96" s="190">
        <f t="shared" si="36"/>
        <v>-190205.30195091284</v>
      </c>
    </row>
    <row r="97" spans="1:38" x14ac:dyDescent="0.25">
      <c r="A97" s="180" t="s">
        <v>519</v>
      </c>
      <c r="B97" s="17"/>
      <c r="C97" s="17">
        <v>-303.05946925000001</v>
      </c>
      <c r="D97" s="17"/>
      <c r="E97" s="17">
        <v>0.97940000000000005</v>
      </c>
      <c r="F97" s="17">
        <v>-303.15460073399998</v>
      </c>
      <c r="G97" s="17">
        <v>-303.15011414000003</v>
      </c>
      <c r="H97" s="17">
        <v>0.97919999999999996</v>
      </c>
      <c r="I97" s="17">
        <v>-303.16178774299999</v>
      </c>
      <c r="J97" s="17">
        <v>-303.157405643</v>
      </c>
      <c r="K97" s="17">
        <v>0.97899999999999998</v>
      </c>
      <c r="L97" s="17">
        <v>-303.166620233</v>
      </c>
      <c r="M97" s="36">
        <v>-303.16217384700002</v>
      </c>
      <c r="N97" s="36">
        <v>0.97929999999999995</v>
      </c>
      <c r="O97" s="17">
        <v>-9.0399999999999991</v>
      </c>
      <c r="P97" s="17">
        <v>-10.27</v>
      </c>
      <c r="Q97" s="183">
        <v>0.98680000000000001</v>
      </c>
      <c r="R97" s="17">
        <v>-10.210000000000001</v>
      </c>
      <c r="S97" s="17">
        <v>-11.42</v>
      </c>
      <c r="T97" s="183">
        <v>0.98089999999999999</v>
      </c>
      <c r="U97" s="33"/>
      <c r="V97" s="17"/>
      <c r="W97" s="17">
        <v>4.9133000000000003E-2</v>
      </c>
      <c r="X97" s="17">
        <v>6.1421000000000003E-2</v>
      </c>
      <c r="Y97" s="17">
        <v>8.4840000000000002E-3</v>
      </c>
      <c r="Z97" s="185">
        <f t="shared" si="24"/>
        <v>33.218458876355463</v>
      </c>
      <c r="AA97" s="186">
        <f t="shared" si="25"/>
        <v>-9.0399999999999991</v>
      </c>
      <c r="AB97" s="186">
        <f t="shared" si="26"/>
        <v>-7.8420489538097087</v>
      </c>
      <c r="AC97" s="186">
        <f t="shared" si="27"/>
        <v>-10.210000000000001</v>
      </c>
      <c r="AD97" s="186">
        <f t="shared" si="28"/>
        <v>-9.045355706015112</v>
      </c>
      <c r="AE97" s="187">
        <f t="shared" si="29"/>
        <v>-190134.08779131027</v>
      </c>
      <c r="AF97" s="187">
        <f t="shared" si="30"/>
        <v>-372629.75098956178</v>
      </c>
      <c r="AG97" s="188">
        <f t="shared" si="31"/>
        <v>-190193.78368055788</v>
      </c>
      <c r="AH97" s="188">
        <f t="shared" si="32"/>
        <v>-190196.48432660967</v>
      </c>
      <c r="AI97" s="189">
        <f t="shared" si="33"/>
        <v>-190198.29359541726</v>
      </c>
      <c r="AJ97" s="189">
        <f t="shared" si="34"/>
        <v>-190200.93028733594</v>
      </c>
      <c r="AK97" s="190">
        <f t="shared" si="35"/>
        <v>-190201.32602774882</v>
      </c>
      <c r="AL97" s="190">
        <f t="shared" si="36"/>
        <v>-190204.00300669851</v>
      </c>
    </row>
    <row r="98" spans="1:38" x14ac:dyDescent="0.25">
      <c r="A98" s="180" t="s">
        <v>520</v>
      </c>
      <c r="B98" s="17"/>
      <c r="C98" s="17">
        <v>-303.05946925000001</v>
      </c>
      <c r="D98" s="17"/>
      <c r="E98" s="17">
        <v>0.97940000000000005</v>
      </c>
      <c r="F98" s="17">
        <v>-303.15460073399998</v>
      </c>
      <c r="G98" s="17">
        <v>-303.15011414000003</v>
      </c>
      <c r="H98" s="17">
        <v>0.97919999999999996</v>
      </c>
      <c r="I98" s="17">
        <v>-303.16178774299999</v>
      </c>
      <c r="J98" s="17">
        <v>-303.157405643</v>
      </c>
      <c r="K98" s="17">
        <v>0.97899999999999998</v>
      </c>
      <c r="L98" s="17">
        <v>-303.166620233</v>
      </c>
      <c r="M98" s="36">
        <v>-303.16217384700002</v>
      </c>
      <c r="N98" s="36">
        <v>0.97929999999999995</v>
      </c>
      <c r="O98" s="17">
        <v>-9.0399999999999991</v>
      </c>
      <c r="P98" s="17">
        <v>-10.27</v>
      </c>
      <c r="Q98" s="183">
        <v>0.98680000000000001</v>
      </c>
      <c r="R98" s="17">
        <v>-10.210000000000001</v>
      </c>
      <c r="S98" s="17">
        <v>-11.42</v>
      </c>
      <c r="T98" s="183">
        <v>0.98089999999999999</v>
      </c>
      <c r="U98" s="33"/>
      <c r="V98" s="17"/>
      <c r="W98" s="17">
        <v>4.9133000000000003E-2</v>
      </c>
      <c r="X98" s="17">
        <v>6.3570000000000002E-2</v>
      </c>
      <c r="Y98" s="17">
        <v>1.738E-3</v>
      </c>
      <c r="Z98" s="185">
        <f t="shared" si="24"/>
        <v>38.800153942286315</v>
      </c>
      <c r="AA98" s="186">
        <f t="shared" si="25"/>
        <v>-9.0399999999999991</v>
      </c>
      <c r="AB98" s="186">
        <f t="shared" si="26"/>
        <v>-7.8420489538097087</v>
      </c>
      <c r="AC98" s="186">
        <f t="shared" si="27"/>
        <v>-10.210000000000001</v>
      </c>
      <c r="AD98" s="186">
        <f t="shared" si="28"/>
        <v>-9.045355706015112</v>
      </c>
      <c r="AE98" s="187">
        <f t="shared" si="29"/>
        <v>-190132.73927386262</v>
      </c>
      <c r="AF98" s="187">
        <f t="shared" si="30"/>
        <v>-372628.40247211413</v>
      </c>
      <c r="AG98" s="188">
        <f t="shared" si="31"/>
        <v>-190192.43516311023</v>
      </c>
      <c r="AH98" s="188">
        <f t="shared" si="32"/>
        <v>-190195.13580916202</v>
      </c>
      <c r="AI98" s="189">
        <f t="shared" si="33"/>
        <v>-190196.94507796961</v>
      </c>
      <c r="AJ98" s="189">
        <f t="shared" si="34"/>
        <v>-190199.58176988829</v>
      </c>
      <c r="AK98" s="190">
        <f t="shared" si="35"/>
        <v>-190199.97751030116</v>
      </c>
      <c r="AL98" s="190">
        <f t="shared" si="36"/>
        <v>-190202.65448925085</v>
      </c>
    </row>
    <row r="99" spans="1:38" x14ac:dyDescent="0.25">
      <c r="A99" s="180" t="s">
        <v>521</v>
      </c>
      <c r="B99" s="17"/>
      <c r="C99" s="17">
        <v>-303.05946925000001</v>
      </c>
      <c r="D99" s="17"/>
      <c r="E99" s="17">
        <v>0.97940000000000005</v>
      </c>
      <c r="F99" s="17">
        <v>-303.15460073399998</v>
      </c>
      <c r="G99" s="17">
        <v>-303.15011414000003</v>
      </c>
      <c r="H99" s="17">
        <v>0.97919999999999996</v>
      </c>
      <c r="I99" s="17">
        <v>-303.16178774299999</v>
      </c>
      <c r="J99" s="17">
        <v>-303.157405643</v>
      </c>
      <c r="K99" s="17">
        <v>0.97899999999999998</v>
      </c>
      <c r="L99" s="17">
        <v>-303.166620233</v>
      </c>
      <c r="M99" s="36">
        <v>-303.16217384700002</v>
      </c>
      <c r="N99" s="36">
        <v>0.97929999999999995</v>
      </c>
      <c r="O99" s="17">
        <v>-9.0399999999999991</v>
      </c>
      <c r="P99" s="17">
        <v>-10.27</v>
      </c>
      <c r="Q99" s="183">
        <v>0.98680000000000001</v>
      </c>
      <c r="R99" s="17">
        <v>-10.210000000000001</v>
      </c>
      <c r="S99" s="17">
        <v>-11.42</v>
      </c>
      <c r="T99" s="183">
        <v>0.98089999999999999</v>
      </c>
      <c r="U99" s="33"/>
      <c r="V99" s="17"/>
      <c r="W99" s="17">
        <v>4.9133000000000003E-2</v>
      </c>
      <c r="X99" s="17">
        <v>6.5786999999999998E-2</v>
      </c>
      <c r="Y99" s="17">
        <v>-5.2500000000000003E-3</v>
      </c>
      <c r="Z99" s="185">
        <f t="shared" si="24"/>
        <v>44.576376885725729</v>
      </c>
      <c r="AA99" s="186">
        <f t="shared" si="25"/>
        <v>-9.0399999999999991</v>
      </c>
      <c r="AB99" s="186">
        <f t="shared" si="26"/>
        <v>-7.8420489538097087</v>
      </c>
      <c r="AC99" s="186">
        <f t="shared" si="27"/>
        <v>-10.210000000000001</v>
      </c>
      <c r="AD99" s="186">
        <f t="shared" si="28"/>
        <v>-9.045355706015112</v>
      </c>
      <c r="AE99" s="187">
        <f t="shared" si="29"/>
        <v>-190131.34808578383</v>
      </c>
      <c r="AF99" s="187">
        <f t="shared" si="30"/>
        <v>-372627.01128403534</v>
      </c>
      <c r="AG99" s="188">
        <f t="shared" si="31"/>
        <v>-190191.04397503141</v>
      </c>
      <c r="AH99" s="188">
        <f t="shared" si="32"/>
        <v>-190193.7446210832</v>
      </c>
      <c r="AI99" s="189">
        <f t="shared" si="33"/>
        <v>-190195.55388989078</v>
      </c>
      <c r="AJ99" s="189">
        <f t="shared" si="34"/>
        <v>-190198.19058180947</v>
      </c>
      <c r="AK99" s="190">
        <f t="shared" si="35"/>
        <v>-190198.58632222234</v>
      </c>
      <c r="AL99" s="190">
        <f t="shared" si="36"/>
        <v>-190201.26330117203</v>
      </c>
    </row>
    <row r="100" spans="1:38" x14ac:dyDescent="0.25">
      <c r="A100" s="180" t="s">
        <v>522</v>
      </c>
      <c r="B100" s="17"/>
      <c r="C100" s="17">
        <v>-303.05946925000001</v>
      </c>
      <c r="D100" s="17"/>
      <c r="E100" s="17">
        <v>0.97940000000000005</v>
      </c>
      <c r="F100" s="17">
        <v>-303.15460073399998</v>
      </c>
      <c r="G100" s="17">
        <v>-303.15011414000003</v>
      </c>
      <c r="H100" s="17">
        <v>0.97919999999999996</v>
      </c>
      <c r="I100" s="17">
        <v>-303.16178774299999</v>
      </c>
      <c r="J100" s="17">
        <v>-303.157405643</v>
      </c>
      <c r="K100" s="17">
        <v>0.97899999999999998</v>
      </c>
      <c r="L100" s="17">
        <v>-303.166620233</v>
      </c>
      <c r="M100" s="36">
        <v>-303.16217384700002</v>
      </c>
      <c r="N100" s="36">
        <v>0.97929999999999995</v>
      </c>
      <c r="O100" s="17">
        <v>-9.0399999999999991</v>
      </c>
      <c r="P100" s="17">
        <v>-10.27</v>
      </c>
      <c r="Q100" s="183">
        <v>0.98680000000000001</v>
      </c>
      <c r="R100" s="17">
        <v>-10.210000000000001</v>
      </c>
      <c r="S100" s="17">
        <v>-11.42</v>
      </c>
      <c r="T100" s="183">
        <v>0.98089999999999999</v>
      </c>
      <c r="U100" s="33"/>
      <c r="V100" s="17"/>
      <c r="W100" s="17">
        <v>4.9133000000000003E-2</v>
      </c>
      <c r="X100" s="17">
        <v>6.8061999999999998E-2</v>
      </c>
      <c r="Y100" s="17">
        <v>-1.2463999999999999E-2</v>
      </c>
      <c r="Z100" s="185">
        <f t="shared" si="24"/>
        <v>50.530812465334257</v>
      </c>
      <c r="AA100" s="186">
        <f t="shared" si="25"/>
        <v>-9.0399999999999991</v>
      </c>
      <c r="AB100" s="186">
        <f t="shared" si="26"/>
        <v>-7.8420489538097087</v>
      </c>
      <c r="AC100" s="186">
        <f t="shared" si="27"/>
        <v>-10.210000000000001</v>
      </c>
      <c r="AD100" s="186">
        <f t="shared" si="28"/>
        <v>-9.045355706015112</v>
      </c>
      <c r="AE100" s="187">
        <f t="shared" si="29"/>
        <v>-190129.92050216661</v>
      </c>
      <c r="AF100" s="187">
        <f t="shared" si="30"/>
        <v>-372625.58370041812</v>
      </c>
      <c r="AG100" s="188">
        <f t="shared" si="31"/>
        <v>-190189.61639141422</v>
      </c>
      <c r="AH100" s="188">
        <f t="shared" si="32"/>
        <v>-190192.31703746601</v>
      </c>
      <c r="AI100" s="189">
        <f t="shared" si="33"/>
        <v>-190194.1263062736</v>
      </c>
      <c r="AJ100" s="189">
        <f t="shared" si="34"/>
        <v>-190196.76299819228</v>
      </c>
      <c r="AK100" s="190">
        <f t="shared" si="35"/>
        <v>-190197.15873860515</v>
      </c>
      <c r="AL100" s="190">
        <f t="shared" si="36"/>
        <v>-190199.83571755484</v>
      </c>
    </row>
    <row r="101" spans="1:38" x14ac:dyDescent="0.25">
      <c r="A101" s="180" t="s">
        <v>523</v>
      </c>
      <c r="B101" s="17"/>
      <c r="C101" s="17">
        <v>-303.05946925000001</v>
      </c>
      <c r="D101" s="17"/>
      <c r="E101" s="17">
        <v>0.97940000000000005</v>
      </c>
      <c r="F101" s="17">
        <v>-303.15460073399998</v>
      </c>
      <c r="G101" s="17">
        <v>-303.15011414000003</v>
      </c>
      <c r="H101" s="17">
        <v>0.97919999999999996</v>
      </c>
      <c r="I101" s="17">
        <v>-303.16178774299999</v>
      </c>
      <c r="J101" s="17">
        <v>-303.157405643</v>
      </c>
      <c r="K101" s="17">
        <v>0.97899999999999998</v>
      </c>
      <c r="L101" s="17">
        <v>-303.166620233</v>
      </c>
      <c r="M101" s="36">
        <v>-303.16217384700002</v>
      </c>
      <c r="N101" s="36">
        <v>0.97929999999999995</v>
      </c>
      <c r="O101" s="17">
        <v>-9.0399999999999991</v>
      </c>
      <c r="P101" s="17">
        <v>-10.27</v>
      </c>
      <c r="Q101" s="183">
        <v>0.98680000000000001</v>
      </c>
      <c r="R101" s="17">
        <v>-10.210000000000001</v>
      </c>
      <c r="S101" s="17">
        <v>-11.42</v>
      </c>
      <c r="T101" s="183">
        <v>0.98089999999999999</v>
      </c>
      <c r="U101" s="33"/>
      <c r="V101" s="17"/>
      <c r="W101" s="17">
        <v>4.9133000000000003E-2</v>
      </c>
      <c r="X101" s="17">
        <v>7.0389999999999994E-2</v>
      </c>
      <c r="Y101" s="17">
        <v>-1.9886000000000001E-2</v>
      </c>
      <c r="Z101" s="185">
        <f t="shared" si="24"/>
        <v>56.649027967619347</v>
      </c>
      <c r="AA101" s="186">
        <f t="shared" si="25"/>
        <v>-9.0399999999999991</v>
      </c>
      <c r="AB101" s="186">
        <f t="shared" si="26"/>
        <v>-7.8420489538097087</v>
      </c>
      <c r="AC101" s="186">
        <f t="shared" si="27"/>
        <v>-10.210000000000001</v>
      </c>
      <c r="AD101" s="186">
        <f t="shared" si="28"/>
        <v>-9.045355706015112</v>
      </c>
      <c r="AE101" s="187">
        <f t="shared" si="29"/>
        <v>-190128.45966055748</v>
      </c>
      <c r="AF101" s="187">
        <f t="shared" si="30"/>
        <v>-372624.12285880896</v>
      </c>
      <c r="AG101" s="188">
        <f t="shared" si="31"/>
        <v>-190188.15554980509</v>
      </c>
      <c r="AH101" s="188">
        <f t="shared" si="32"/>
        <v>-190190.85619585688</v>
      </c>
      <c r="AI101" s="189">
        <f t="shared" si="33"/>
        <v>-190192.66546466446</v>
      </c>
      <c r="AJ101" s="189">
        <f t="shared" si="34"/>
        <v>-190195.30215658311</v>
      </c>
      <c r="AK101" s="190">
        <f t="shared" si="35"/>
        <v>-190195.69789699602</v>
      </c>
      <c r="AL101" s="190">
        <f t="shared" si="36"/>
        <v>-190198.37487594568</v>
      </c>
    </row>
    <row r="102" spans="1:38" x14ac:dyDescent="0.25">
      <c r="A102" s="18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33"/>
      <c r="V102" s="17"/>
      <c r="W102" s="17"/>
      <c r="X102" s="17"/>
      <c r="Y102" s="17"/>
      <c r="Z102" s="185">
        <f t="shared" si="24"/>
        <v>0</v>
      </c>
      <c r="AA102" s="186">
        <f t="shared" si="25"/>
        <v>0</v>
      </c>
      <c r="AB102" s="186">
        <f t="shared" si="26"/>
        <v>0</v>
      </c>
      <c r="AC102" s="186">
        <f t="shared" si="27"/>
        <v>0</v>
      </c>
      <c r="AD102" s="186">
        <f t="shared" si="28"/>
        <v>0</v>
      </c>
      <c r="AE102" s="187">
        <f t="shared" si="29"/>
        <v>0</v>
      </c>
      <c r="AF102" s="187">
        <f t="shared" si="30"/>
        <v>0</v>
      </c>
      <c r="AG102" s="188">
        <f t="shared" si="31"/>
        <v>0</v>
      </c>
      <c r="AH102" s="188">
        <f t="shared" si="32"/>
        <v>0</v>
      </c>
      <c r="AI102" s="189">
        <f t="shared" si="33"/>
        <v>0</v>
      </c>
      <c r="AJ102" s="189">
        <f t="shared" si="34"/>
        <v>0</v>
      </c>
      <c r="AK102" s="190">
        <f t="shared" si="35"/>
        <v>0</v>
      </c>
      <c r="AL102" s="190">
        <f t="shared" si="36"/>
        <v>0</v>
      </c>
    </row>
    <row r="103" spans="1:38" x14ac:dyDescent="0.25">
      <c r="A103" s="180" t="s">
        <v>532</v>
      </c>
      <c r="B103" s="17"/>
      <c r="C103" s="17">
        <v>-151.483111278</v>
      </c>
      <c r="D103" s="17"/>
      <c r="E103" s="17">
        <v>0.99850000000000005</v>
      </c>
      <c r="F103" s="17">
        <v>-151.488015359</v>
      </c>
      <c r="G103" s="17">
        <v>-151.532773905</v>
      </c>
      <c r="H103" s="17">
        <v>0.97850000000000004</v>
      </c>
      <c r="I103" s="17">
        <v>-151.490935417</v>
      </c>
      <c r="J103" s="17">
        <v>-151.53604190300001</v>
      </c>
      <c r="K103" s="17">
        <v>0.97889999999999999</v>
      </c>
      <c r="L103" s="17">
        <v>-151.49326165799999</v>
      </c>
      <c r="M103" s="17">
        <v>-151.53831704999999</v>
      </c>
      <c r="N103" s="17">
        <v>0.97899999999999998</v>
      </c>
      <c r="O103" s="17">
        <v>-5.31</v>
      </c>
      <c r="P103" s="17">
        <v>-6.61</v>
      </c>
      <c r="Q103" s="17">
        <v>0.97189999999999999</v>
      </c>
      <c r="R103" s="17">
        <v>-34.200000000000003</v>
      </c>
      <c r="S103" s="17">
        <v>-7.35</v>
      </c>
      <c r="T103" s="17">
        <v>0.99419999999999997</v>
      </c>
      <c r="U103" s="33"/>
      <c r="V103" s="17"/>
      <c r="W103" s="17">
        <v>1.9168000000000001E-2</v>
      </c>
      <c r="X103" s="17">
        <v>2.4034E-2</v>
      </c>
      <c r="Y103" s="17">
        <v>-4.5050000000000003E-3</v>
      </c>
      <c r="Z103" s="185">
        <f t="shared" si="24"/>
        <v>17.908487407150169</v>
      </c>
      <c r="AA103" s="186">
        <f t="shared" si="25"/>
        <v>-5.31</v>
      </c>
      <c r="AB103" s="186">
        <f t="shared" si="26"/>
        <v>-4.0810631261550414</v>
      </c>
      <c r="AC103" s="186">
        <f t="shared" si="27"/>
        <v>-34.200000000000003</v>
      </c>
      <c r="AD103" s="186">
        <f t="shared" si="28"/>
        <v>-60.740336050904752</v>
      </c>
      <c r="AE103" s="187">
        <f t="shared" si="29"/>
        <v>-95041.976878364585</v>
      </c>
      <c r="AF103" s="187">
        <f t="shared" si="30"/>
        <v>-189814.29125559912</v>
      </c>
      <c r="AG103" s="188">
        <f t="shared" si="31"/>
        <v>-95045.05423471317</v>
      </c>
      <c r="AH103" s="188">
        <f t="shared" si="32"/>
        <v>-95018.150127605521</v>
      </c>
      <c r="AI103" s="189">
        <f t="shared" si="33"/>
        <v>-95046.886598212994</v>
      </c>
      <c r="AJ103" s="189">
        <f t="shared" si="34"/>
        <v>-95019.75163721932</v>
      </c>
      <c r="AK103" s="190">
        <f t="shared" si="35"/>
        <v>-95048.346336033312</v>
      </c>
      <c r="AL103" s="190">
        <f t="shared" si="36"/>
        <v>-95021.236688152436</v>
      </c>
    </row>
    <row r="104" spans="1:38" x14ac:dyDescent="0.25">
      <c r="A104" s="180" t="s">
        <v>555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>
        <v>-151.424299147</v>
      </c>
      <c r="M104" s="17">
        <v>-151.461070428</v>
      </c>
      <c r="N104" s="17">
        <v>0.96750000000000003</v>
      </c>
      <c r="O104" s="17"/>
      <c r="P104" s="17"/>
      <c r="Q104" s="17"/>
      <c r="R104" s="17"/>
      <c r="S104" s="17"/>
      <c r="T104" s="17"/>
      <c r="U104" s="33"/>
      <c r="V104" s="17"/>
      <c r="W104" s="17">
        <v>1.9168000000000001E-2</v>
      </c>
      <c r="X104" s="17">
        <v>2.4034E-2</v>
      </c>
      <c r="Y104" s="17">
        <v>-4.5050000000000003E-3</v>
      </c>
      <c r="Z104" s="185">
        <f t="shared" si="24"/>
        <v>17.908487407150169</v>
      </c>
      <c r="AA104" s="186">
        <f t="shared" si="25"/>
        <v>0</v>
      </c>
      <c r="AB104" s="186">
        <f t="shared" si="26"/>
        <v>0</v>
      </c>
      <c r="AC104" s="186">
        <f t="shared" si="27"/>
        <v>0</v>
      </c>
      <c r="AD104" s="186">
        <f t="shared" si="28"/>
        <v>0</v>
      </c>
      <c r="AE104" s="187">
        <f t="shared" si="29"/>
        <v>15.081558090453315</v>
      </c>
      <c r="AF104" s="187">
        <f t="shared" si="30"/>
        <v>15.081558090453315</v>
      </c>
      <c r="AG104" s="188">
        <f t="shared" si="31"/>
        <v>15.081558090453315</v>
      </c>
      <c r="AH104" s="188">
        <f t="shared" si="32"/>
        <v>15.081558090453315</v>
      </c>
      <c r="AI104" s="189">
        <f t="shared" si="33"/>
        <v>15.081558090453315</v>
      </c>
      <c r="AJ104" s="189">
        <f t="shared" si="34"/>
        <v>15.081558090453315</v>
      </c>
      <c r="AK104" s="190">
        <f t="shared" si="35"/>
        <v>-95005.0717202511</v>
      </c>
      <c r="AL104" s="190">
        <f t="shared" si="36"/>
        <v>-94983.450020740973</v>
      </c>
    </row>
    <row r="105" spans="1:38" x14ac:dyDescent="0.25">
      <c r="A105" s="180" t="s">
        <v>533</v>
      </c>
      <c r="B105" s="17"/>
      <c r="C105" s="17">
        <v>-151.483111278</v>
      </c>
      <c r="D105" s="17"/>
      <c r="E105" s="17">
        <v>0.99850000000000005</v>
      </c>
      <c r="F105" s="17">
        <v>-151.488015359</v>
      </c>
      <c r="G105" s="17">
        <v>-151.532773905</v>
      </c>
      <c r="H105" s="17">
        <v>0.97850000000000004</v>
      </c>
      <c r="I105" s="17">
        <v>-151.490935417</v>
      </c>
      <c r="J105" s="17">
        <v>-151.53604190300001</v>
      </c>
      <c r="K105" s="17">
        <v>0.97889999999999999</v>
      </c>
      <c r="L105" s="17">
        <v>-151.49326165799999</v>
      </c>
      <c r="M105" s="17">
        <v>-151.53831704999999</v>
      </c>
      <c r="N105" s="17">
        <v>0.97899999999999998</v>
      </c>
      <c r="O105" s="17">
        <v>-5.31</v>
      </c>
      <c r="P105" s="17">
        <v>-6.61</v>
      </c>
      <c r="Q105" s="17">
        <v>0.97189999999999999</v>
      </c>
      <c r="R105" s="17">
        <v>-34.200000000000003</v>
      </c>
      <c r="S105" s="17">
        <v>-7.35</v>
      </c>
      <c r="T105" s="17">
        <v>0.99419999999999997</v>
      </c>
      <c r="U105" s="33"/>
      <c r="V105" s="17"/>
      <c r="W105" s="17">
        <v>1.9168000000000001E-2</v>
      </c>
      <c r="X105" s="17">
        <v>2.4072E-2</v>
      </c>
      <c r="Y105" s="17">
        <v>-1.645E-3</v>
      </c>
      <c r="Z105" s="185">
        <f t="shared" si="24"/>
        <v>16.137656212540065</v>
      </c>
      <c r="AA105" s="186">
        <f t="shared" si="25"/>
        <v>-5.31</v>
      </c>
      <c r="AB105" s="186">
        <f t="shared" si="26"/>
        <v>-4.0810631261550414</v>
      </c>
      <c r="AC105" s="186">
        <f t="shared" si="27"/>
        <v>-34.200000000000003</v>
      </c>
      <c r="AD105" s="186">
        <f t="shared" si="28"/>
        <v>-60.740336050904752</v>
      </c>
      <c r="AE105" s="187">
        <f t="shared" si="29"/>
        <v>-95041.953033011872</v>
      </c>
      <c r="AF105" s="187">
        <f t="shared" si="30"/>
        <v>-189814.26741024636</v>
      </c>
      <c r="AG105" s="188">
        <f t="shared" si="31"/>
        <v>-95045.030389360458</v>
      </c>
      <c r="AH105" s="188">
        <f t="shared" si="32"/>
        <v>-95018.126282252793</v>
      </c>
      <c r="AI105" s="189">
        <f t="shared" si="33"/>
        <v>-95046.862752860266</v>
      </c>
      <c r="AJ105" s="189">
        <f t="shared" si="34"/>
        <v>-95019.727791866608</v>
      </c>
      <c r="AK105" s="190">
        <f t="shared" si="35"/>
        <v>-95048.322490680599</v>
      </c>
      <c r="AL105" s="190">
        <f t="shared" si="36"/>
        <v>-95021.212842799709</v>
      </c>
    </row>
    <row r="106" spans="1:38" x14ac:dyDescent="0.25">
      <c r="A106" s="180" t="s">
        <v>534</v>
      </c>
      <c r="B106" s="17"/>
      <c r="C106" s="17">
        <v>-151.483111278</v>
      </c>
      <c r="D106" s="17"/>
      <c r="E106" s="17">
        <v>0.99850000000000005</v>
      </c>
      <c r="F106" s="17">
        <v>-151.488015359</v>
      </c>
      <c r="G106" s="17">
        <v>-151.532773905</v>
      </c>
      <c r="H106" s="17">
        <v>0.97850000000000004</v>
      </c>
      <c r="I106" s="17">
        <v>-151.490935417</v>
      </c>
      <c r="J106" s="17">
        <v>-151.53604190300001</v>
      </c>
      <c r="K106" s="17">
        <v>0.97889999999999999</v>
      </c>
      <c r="L106" s="17">
        <v>-151.49326165799999</v>
      </c>
      <c r="M106" s="17">
        <v>-151.53831704999999</v>
      </c>
      <c r="N106" s="17">
        <v>0.97899999999999998</v>
      </c>
      <c r="O106" s="17">
        <v>-5.31</v>
      </c>
      <c r="P106" s="17">
        <v>-6.61</v>
      </c>
      <c r="Q106" s="17">
        <v>0.97189999999999999</v>
      </c>
      <c r="R106" s="17">
        <v>-34.200000000000003</v>
      </c>
      <c r="S106" s="17">
        <v>-7.35</v>
      </c>
      <c r="T106" s="17">
        <v>0.99419999999999997</v>
      </c>
      <c r="U106" s="33"/>
      <c r="V106" s="17"/>
      <c r="W106" s="17">
        <v>1.9168000000000001E-2</v>
      </c>
      <c r="X106" s="17">
        <v>2.5090000000000001E-2</v>
      </c>
      <c r="Y106" s="17">
        <v>-6.0109999999999999E-3</v>
      </c>
      <c r="Z106" s="185">
        <f t="shared" si="24"/>
        <v>19.516166188366004</v>
      </c>
      <c r="AA106" s="186">
        <f t="shared" si="25"/>
        <v>-5.31</v>
      </c>
      <c r="AB106" s="186">
        <f t="shared" si="26"/>
        <v>-4.0810631261550414</v>
      </c>
      <c r="AC106" s="186">
        <f t="shared" si="27"/>
        <v>-34.200000000000003</v>
      </c>
      <c r="AD106" s="186">
        <f t="shared" si="28"/>
        <v>-60.740336050904752</v>
      </c>
      <c r="AE106" s="187">
        <f t="shared" si="29"/>
        <v>-95041.314228562493</v>
      </c>
      <c r="AF106" s="187">
        <f t="shared" si="30"/>
        <v>-189813.62860579701</v>
      </c>
      <c r="AG106" s="188">
        <f t="shared" si="31"/>
        <v>-95044.391584911078</v>
      </c>
      <c r="AH106" s="188">
        <f t="shared" si="32"/>
        <v>-95017.487477803428</v>
      </c>
      <c r="AI106" s="189">
        <f t="shared" si="33"/>
        <v>-95046.223948410887</v>
      </c>
      <c r="AJ106" s="189">
        <f t="shared" si="34"/>
        <v>-95019.088987417228</v>
      </c>
      <c r="AK106" s="190">
        <f t="shared" si="35"/>
        <v>-95047.683686231219</v>
      </c>
      <c r="AL106" s="190">
        <f t="shared" si="36"/>
        <v>-95020.574038350329</v>
      </c>
    </row>
    <row r="107" spans="1:38" x14ac:dyDescent="0.25">
      <c r="A107" s="180" t="s">
        <v>535</v>
      </c>
      <c r="B107" s="17"/>
      <c r="C107" s="17">
        <v>-151.483111278</v>
      </c>
      <c r="D107" s="17"/>
      <c r="E107" s="17">
        <v>0.99850000000000005</v>
      </c>
      <c r="F107" s="17">
        <v>-151.488015359</v>
      </c>
      <c r="G107" s="17">
        <v>-151.532773905</v>
      </c>
      <c r="H107" s="17">
        <v>0.97850000000000004</v>
      </c>
      <c r="I107" s="17">
        <v>-151.490935417</v>
      </c>
      <c r="J107" s="17">
        <v>-151.53604190300001</v>
      </c>
      <c r="K107" s="17">
        <v>0.97889999999999999</v>
      </c>
      <c r="L107" s="17">
        <v>-151.49326165799999</v>
      </c>
      <c r="M107" s="17">
        <v>-151.53831704999999</v>
      </c>
      <c r="N107" s="17">
        <v>0.97899999999999998</v>
      </c>
      <c r="O107" s="17">
        <v>-5.31</v>
      </c>
      <c r="P107" s="17">
        <v>-6.61</v>
      </c>
      <c r="Q107" s="17">
        <v>0.97189999999999999</v>
      </c>
      <c r="R107" s="17">
        <v>-34.200000000000003</v>
      </c>
      <c r="S107" s="17">
        <v>-7.35</v>
      </c>
      <c r="T107" s="17">
        <v>0.99419999999999997</v>
      </c>
      <c r="U107" s="33"/>
      <c r="V107" s="17"/>
      <c r="W107" s="17">
        <v>1.9168000000000001E-2</v>
      </c>
      <c r="X107" s="17">
        <v>2.6127999999999998E-2</v>
      </c>
      <c r="Y107" s="17">
        <v>-1.0525E-2</v>
      </c>
      <c r="Z107" s="185">
        <f t="shared" si="24"/>
        <v>23.000097723615934</v>
      </c>
      <c r="AA107" s="186">
        <f t="shared" si="25"/>
        <v>-5.31</v>
      </c>
      <c r="AB107" s="186">
        <f t="shared" si="26"/>
        <v>-4.0810631261550414</v>
      </c>
      <c r="AC107" s="186">
        <f t="shared" si="27"/>
        <v>-34.200000000000003</v>
      </c>
      <c r="AD107" s="186">
        <f t="shared" si="28"/>
        <v>-60.740336050904752</v>
      </c>
      <c r="AE107" s="187">
        <f t="shared" si="29"/>
        <v>-95040.662873927489</v>
      </c>
      <c r="AF107" s="187">
        <f t="shared" si="30"/>
        <v>-189812.97725116197</v>
      </c>
      <c r="AG107" s="188">
        <f t="shared" si="31"/>
        <v>-95043.740230276075</v>
      </c>
      <c r="AH107" s="188">
        <f t="shared" si="32"/>
        <v>-95016.83612316841</v>
      </c>
      <c r="AI107" s="189">
        <f t="shared" si="33"/>
        <v>-95045.572593775883</v>
      </c>
      <c r="AJ107" s="189">
        <f t="shared" si="34"/>
        <v>-95018.43763278221</v>
      </c>
      <c r="AK107" s="190">
        <f t="shared" si="35"/>
        <v>-95047.032331596216</v>
      </c>
      <c r="AL107" s="190">
        <f t="shared" si="36"/>
        <v>-95019.922683715326</v>
      </c>
    </row>
    <row r="108" spans="1:38" x14ac:dyDescent="0.25">
      <c r="A108" s="180" t="s">
        <v>536</v>
      </c>
      <c r="B108" s="17"/>
      <c r="C108" s="17">
        <v>-151.483111278</v>
      </c>
      <c r="D108" s="17"/>
      <c r="E108" s="17">
        <v>0.99850000000000005</v>
      </c>
      <c r="F108" s="17">
        <v>-151.488015359</v>
      </c>
      <c r="G108" s="17">
        <v>-151.532773905</v>
      </c>
      <c r="H108" s="17">
        <v>0.97850000000000004</v>
      </c>
      <c r="I108" s="17">
        <v>-151.490935417</v>
      </c>
      <c r="J108" s="17">
        <v>-151.53604190300001</v>
      </c>
      <c r="K108" s="17">
        <v>0.97889999999999999</v>
      </c>
      <c r="L108" s="17">
        <v>-151.49326165799999</v>
      </c>
      <c r="M108" s="17">
        <v>-151.53831704999999</v>
      </c>
      <c r="N108" s="17">
        <v>0.97899999999999998</v>
      </c>
      <c r="O108" s="17">
        <v>-5.31</v>
      </c>
      <c r="P108" s="17">
        <v>-6.61</v>
      </c>
      <c r="Q108" s="17">
        <v>0.97189999999999999</v>
      </c>
      <c r="R108" s="17">
        <v>-34.200000000000003</v>
      </c>
      <c r="S108" s="17">
        <v>-7.35</v>
      </c>
      <c r="T108" s="17">
        <v>0.99419999999999997</v>
      </c>
      <c r="U108" s="33"/>
      <c r="V108" s="17"/>
      <c r="W108" s="17">
        <v>1.9168000000000001E-2</v>
      </c>
      <c r="X108" s="17">
        <v>2.7179999999999999E-2</v>
      </c>
      <c r="Y108" s="17">
        <v>-1.5169999999999999E-2</v>
      </c>
      <c r="Z108" s="185">
        <f t="shared" si="24"/>
        <v>26.57501810479728</v>
      </c>
      <c r="AA108" s="186">
        <f t="shared" si="25"/>
        <v>-5.31</v>
      </c>
      <c r="AB108" s="186">
        <f t="shared" si="26"/>
        <v>-4.0810631261550414</v>
      </c>
      <c r="AC108" s="186">
        <f t="shared" si="27"/>
        <v>-34.200000000000003</v>
      </c>
      <c r="AD108" s="186">
        <f t="shared" si="28"/>
        <v>-60.740336050904752</v>
      </c>
      <c r="AE108" s="187">
        <f t="shared" si="29"/>
        <v>-95040.002734162525</v>
      </c>
      <c r="AF108" s="187">
        <f t="shared" si="30"/>
        <v>-189812.31711139702</v>
      </c>
      <c r="AG108" s="188">
        <f t="shared" si="31"/>
        <v>-95043.08009051111</v>
      </c>
      <c r="AH108" s="188">
        <f t="shared" si="32"/>
        <v>-95016.17598340346</v>
      </c>
      <c r="AI108" s="189">
        <f t="shared" si="33"/>
        <v>-95044.912454010933</v>
      </c>
      <c r="AJ108" s="189">
        <f t="shared" si="34"/>
        <v>-95017.77749301726</v>
      </c>
      <c r="AK108" s="190">
        <f t="shared" si="35"/>
        <v>-95046.372191831251</v>
      </c>
      <c r="AL108" s="190">
        <f t="shared" si="36"/>
        <v>-95019.262543950375</v>
      </c>
    </row>
    <row r="109" spans="1:38" x14ac:dyDescent="0.25">
      <c r="A109" s="180" t="s">
        <v>537</v>
      </c>
      <c r="B109" s="17"/>
      <c r="C109" s="17">
        <v>-151.483111278</v>
      </c>
      <c r="D109" s="17"/>
      <c r="E109" s="17">
        <v>0.99850000000000005</v>
      </c>
      <c r="F109" s="17">
        <v>-151.488015359</v>
      </c>
      <c r="G109" s="17">
        <v>-151.532773905</v>
      </c>
      <c r="H109" s="17">
        <v>0.97850000000000004</v>
      </c>
      <c r="I109" s="17">
        <v>-151.490935417</v>
      </c>
      <c r="J109" s="17">
        <v>-151.53604190300001</v>
      </c>
      <c r="K109" s="17">
        <v>0.97889999999999999</v>
      </c>
      <c r="L109" s="17">
        <v>-151.49326165799999</v>
      </c>
      <c r="M109" s="17">
        <v>-151.53831704999999</v>
      </c>
      <c r="N109" s="17">
        <v>0.97899999999999998</v>
      </c>
      <c r="O109" s="17">
        <v>-5.31</v>
      </c>
      <c r="P109" s="17">
        <v>-6.61</v>
      </c>
      <c r="Q109" s="17">
        <v>0.97189999999999999</v>
      </c>
      <c r="R109" s="17">
        <v>-34.200000000000003</v>
      </c>
      <c r="S109" s="17">
        <v>-7.35</v>
      </c>
      <c r="T109" s="17">
        <v>0.99419999999999997</v>
      </c>
      <c r="U109" s="33"/>
      <c r="V109" s="17"/>
      <c r="W109" s="17">
        <v>1.9168000000000001E-2</v>
      </c>
      <c r="X109" s="17">
        <v>2.8243000000000001E-2</v>
      </c>
      <c r="Y109" s="17">
        <v>-1.9931999999999998E-2</v>
      </c>
      <c r="Z109" s="185">
        <f t="shared" si="24"/>
        <v>30.230259674111192</v>
      </c>
      <c r="AA109" s="186">
        <f t="shared" si="25"/>
        <v>-5.31</v>
      </c>
      <c r="AB109" s="186">
        <f t="shared" si="26"/>
        <v>-4.0810631261550414</v>
      </c>
      <c r="AC109" s="186">
        <f t="shared" si="27"/>
        <v>-34.200000000000003</v>
      </c>
      <c r="AD109" s="186">
        <f t="shared" si="28"/>
        <v>-60.740336050904752</v>
      </c>
      <c r="AE109" s="187">
        <f t="shared" si="29"/>
        <v>-95039.335691795452</v>
      </c>
      <c r="AF109" s="187">
        <f t="shared" si="30"/>
        <v>-189811.65006902997</v>
      </c>
      <c r="AG109" s="188">
        <f t="shared" si="31"/>
        <v>-95042.413048144037</v>
      </c>
      <c r="AH109" s="188">
        <f t="shared" si="32"/>
        <v>-95015.508941036373</v>
      </c>
      <c r="AI109" s="189">
        <f t="shared" si="33"/>
        <v>-95044.245411643846</v>
      </c>
      <c r="AJ109" s="189">
        <f t="shared" si="34"/>
        <v>-95017.110450650187</v>
      </c>
      <c r="AK109" s="190">
        <f t="shared" si="35"/>
        <v>-95045.705149464178</v>
      </c>
      <c r="AL109" s="190">
        <f t="shared" si="36"/>
        <v>-95018.595501583288</v>
      </c>
    </row>
    <row r="110" spans="1:38" x14ac:dyDescent="0.25">
      <c r="A110" s="180" t="s">
        <v>538</v>
      </c>
      <c r="B110" s="17"/>
      <c r="C110" s="17">
        <v>-151.483111278</v>
      </c>
      <c r="D110" s="17"/>
      <c r="E110" s="17">
        <v>0.99850000000000005</v>
      </c>
      <c r="F110" s="17">
        <v>-151.488015359</v>
      </c>
      <c r="G110" s="17">
        <v>-151.532773905</v>
      </c>
      <c r="H110" s="17">
        <v>0.97850000000000004</v>
      </c>
      <c r="I110" s="17">
        <v>-151.490935417</v>
      </c>
      <c r="J110" s="17">
        <v>-151.53604190300001</v>
      </c>
      <c r="K110" s="17">
        <v>0.97889999999999999</v>
      </c>
      <c r="L110" s="17">
        <v>-151.49326165799999</v>
      </c>
      <c r="M110" s="17">
        <v>-151.53831704999999</v>
      </c>
      <c r="N110" s="17">
        <v>0.97899999999999998</v>
      </c>
      <c r="O110" s="17">
        <v>-5.31</v>
      </c>
      <c r="P110" s="17">
        <v>-6.61</v>
      </c>
      <c r="Q110" s="17">
        <v>0.97189999999999999</v>
      </c>
      <c r="R110" s="17">
        <v>-34.200000000000003</v>
      </c>
      <c r="S110" s="17">
        <v>-7.35</v>
      </c>
      <c r="T110" s="17">
        <v>0.99419999999999997</v>
      </c>
      <c r="U110" s="33"/>
      <c r="V110" s="17"/>
      <c r="W110" s="17">
        <v>1.9168000000000001E-2</v>
      </c>
      <c r="X110" s="17">
        <v>2.9315000000000001E-2</v>
      </c>
      <c r="Y110" s="17">
        <v>-2.4802000000000001E-2</v>
      </c>
      <c r="Z110" s="185">
        <f t="shared" si="24"/>
        <v>33.958919829452526</v>
      </c>
      <c r="AA110" s="186">
        <f t="shared" si="25"/>
        <v>-5.31</v>
      </c>
      <c r="AB110" s="186">
        <f t="shared" si="26"/>
        <v>-4.0810631261550414</v>
      </c>
      <c r="AC110" s="186">
        <f t="shared" si="27"/>
        <v>-34.200000000000003</v>
      </c>
      <c r="AD110" s="186">
        <f t="shared" si="28"/>
        <v>-60.740336050904752</v>
      </c>
      <c r="AE110" s="187">
        <f t="shared" si="29"/>
        <v>-95038.663001844849</v>
      </c>
      <c r="AF110" s="187">
        <f t="shared" si="30"/>
        <v>-189810.97737907936</v>
      </c>
      <c r="AG110" s="188">
        <f t="shared" si="31"/>
        <v>-95041.740358193434</v>
      </c>
      <c r="AH110" s="188">
        <f t="shared" si="32"/>
        <v>-95014.83625108577</v>
      </c>
      <c r="AI110" s="189">
        <f t="shared" si="33"/>
        <v>-95043.572721693243</v>
      </c>
      <c r="AJ110" s="189">
        <f t="shared" si="34"/>
        <v>-95016.437760699569</v>
      </c>
      <c r="AK110" s="190">
        <f t="shared" si="35"/>
        <v>-95045.032459513575</v>
      </c>
      <c r="AL110" s="190">
        <f t="shared" si="36"/>
        <v>-95017.922811632685</v>
      </c>
    </row>
    <row r="111" spans="1:38" x14ac:dyDescent="0.25">
      <c r="A111" s="180" t="s">
        <v>539</v>
      </c>
      <c r="B111" s="17"/>
      <c r="C111" s="17">
        <v>-151.483111278</v>
      </c>
      <c r="D111" s="17"/>
      <c r="E111" s="17">
        <v>0.99850000000000005</v>
      </c>
      <c r="F111" s="17">
        <v>-151.488015359</v>
      </c>
      <c r="G111" s="17">
        <v>-151.532773905</v>
      </c>
      <c r="H111" s="17">
        <v>0.97850000000000004</v>
      </c>
      <c r="I111" s="17">
        <v>-151.490935417</v>
      </c>
      <c r="J111" s="17">
        <v>-151.53604190300001</v>
      </c>
      <c r="K111" s="17">
        <v>0.97889999999999999</v>
      </c>
      <c r="L111" s="17">
        <v>-151.49326165799999</v>
      </c>
      <c r="M111" s="17">
        <v>-151.53831704999999</v>
      </c>
      <c r="N111" s="17">
        <v>0.97899999999999998</v>
      </c>
      <c r="O111" s="17">
        <v>-5.31</v>
      </c>
      <c r="P111" s="17">
        <v>-6.61</v>
      </c>
      <c r="Q111" s="17">
        <v>0.97189999999999999</v>
      </c>
      <c r="R111" s="17">
        <v>-34.200000000000003</v>
      </c>
      <c r="S111" s="17">
        <v>-7.35</v>
      </c>
      <c r="T111" s="17">
        <v>0.99419999999999997</v>
      </c>
      <c r="U111" s="33"/>
      <c r="V111" s="17"/>
      <c r="W111" s="17">
        <v>1.9168000000000001E-2</v>
      </c>
      <c r="X111" s="17">
        <v>3.0394999999999998E-2</v>
      </c>
      <c r="Y111" s="17">
        <v>-2.9769E-2</v>
      </c>
      <c r="Z111" s="185">
        <f t="shared" si="24"/>
        <v>37.753468459433847</v>
      </c>
      <c r="AA111" s="186">
        <f t="shared" si="25"/>
        <v>-5.31</v>
      </c>
      <c r="AB111" s="186">
        <f t="shared" si="26"/>
        <v>-4.0810631261550414</v>
      </c>
      <c r="AC111" s="186">
        <f t="shared" si="27"/>
        <v>-34.200000000000003</v>
      </c>
      <c r="AD111" s="186">
        <f t="shared" si="28"/>
        <v>-60.740336050904752</v>
      </c>
      <c r="AE111" s="187">
        <f t="shared" si="29"/>
        <v>-95037.985291819976</v>
      </c>
      <c r="AF111" s="187">
        <f t="shared" si="30"/>
        <v>-189810.29966905448</v>
      </c>
      <c r="AG111" s="188">
        <f t="shared" si="31"/>
        <v>-95041.062648168561</v>
      </c>
      <c r="AH111" s="188">
        <f t="shared" si="32"/>
        <v>-95014.158541060897</v>
      </c>
      <c r="AI111" s="189">
        <f t="shared" si="33"/>
        <v>-95042.89501166837</v>
      </c>
      <c r="AJ111" s="189">
        <f t="shared" si="34"/>
        <v>-95015.760050674711</v>
      </c>
      <c r="AK111" s="190">
        <f t="shared" si="35"/>
        <v>-95044.354749488703</v>
      </c>
      <c r="AL111" s="190">
        <f t="shared" si="36"/>
        <v>-95017.245101607812</v>
      </c>
    </row>
    <row r="112" spans="1:38" x14ac:dyDescent="0.25">
      <c r="A112" s="180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>
        <v>-151.4383225</v>
      </c>
      <c r="M112" s="17"/>
      <c r="N112" s="17"/>
      <c r="O112" s="17"/>
      <c r="P112" s="17"/>
      <c r="Q112" s="17"/>
      <c r="R112" s="17"/>
      <c r="S112" s="17"/>
      <c r="T112" s="17"/>
      <c r="U112" s="33"/>
      <c r="V112" s="17"/>
      <c r="W112" s="17"/>
      <c r="X112" s="17"/>
      <c r="Y112" s="17"/>
      <c r="Z112" s="185">
        <f t="shared" si="24"/>
        <v>0</v>
      </c>
      <c r="AA112" s="186">
        <f t="shared" si="25"/>
        <v>0</v>
      </c>
      <c r="AB112" s="186">
        <f t="shared" si="26"/>
        <v>0</v>
      </c>
      <c r="AC112" s="186">
        <f t="shared" si="27"/>
        <v>0</v>
      </c>
      <c r="AD112" s="186">
        <f t="shared" si="28"/>
        <v>0</v>
      </c>
      <c r="AE112" s="187">
        <f t="shared" si="29"/>
        <v>0</v>
      </c>
      <c r="AF112" s="187">
        <f t="shared" si="30"/>
        <v>0</v>
      </c>
      <c r="AG112" s="188">
        <f t="shared" si="31"/>
        <v>0</v>
      </c>
      <c r="AH112" s="188">
        <f t="shared" si="32"/>
        <v>0</v>
      </c>
      <c r="AI112" s="189">
        <f t="shared" si="33"/>
        <v>0</v>
      </c>
      <c r="AJ112" s="189">
        <f t="shared" si="34"/>
        <v>0</v>
      </c>
      <c r="AK112" s="190">
        <f>(L112+X112)*($AW$3*$AW$4*10^-3/$AW$5)</f>
        <v>-95028.953062517816</v>
      </c>
      <c r="AL112" s="190">
        <f t="shared" si="36"/>
        <v>-95028.953062517816</v>
      </c>
    </row>
    <row r="113" spans="1:40" x14ac:dyDescent="0.25">
      <c r="A113" s="180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33"/>
      <c r="V113" s="17"/>
      <c r="W113" s="17"/>
      <c r="X113" s="17"/>
      <c r="Y113" s="17"/>
      <c r="Z113" s="185">
        <f t="shared" si="24"/>
        <v>0</v>
      </c>
      <c r="AA113" s="186">
        <f t="shared" si="25"/>
        <v>0</v>
      </c>
      <c r="AB113" s="186">
        <f t="shared" si="26"/>
        <v>0</v>
      </c>
      <c r="AC113" s="186">
        <f t="shared" si="27"/>
        <v>0</v>
      </c>
      <c r="AD113" s="186">
        <f t="shared" si="28"/>
        <v>0</v>
      </c>
      <c r="AE113" s="187">
        <f t="shared" si="29"/>
        <v>0</v>
      </c>
      <c r="AF113" s="187">
        <f t="shared" si="30"/>
        <v>0</v>
      </c>
      <c r="AG113" s="188">
        <f t="shared" si="31"/>
        <v>0</v>
      </c>
      <c r="AH113" s="188">
        <f t="shared" si="32"/>
        <v>0</v>
      </c>
      <c r="AI113" s="189">
        <f t="shared" si="33"/>
        <v>0</v>
      </c>
      <c r="AJ113" s="189">
        <f t="shared" si="34"/>
        <v>0</v>
      </c>
      <c r="AK113" s="190">
        <f t="shared" si="35"/>
        <v>0</v>
      </c>
      <c r="AL113" s="190">
        <f t="shared" si="36"/>
        <v>0</v>
      </c>
    </row>
    <row r="114" spans="1:40" x14ac:dyDescent="0.25">
      <c r="A114" s="180" t="s">
        <v>545</v>
      </c>
      <c r="B114" s="17"/>
      <c r="C114" s="17">
        <v>-154.39134906000001</v>
      </c>
      <c r="D114" s="17"/>
      <c r="E114" s="17">
        <v>0.99280000000000002</v>
      </c>
      <c r="F114" s="17">
        <v>-154.401330828</v>
      </c>
      <c r="G114" s="17">
        <v>-154.44590751999999</v>
      </c>
      <c r="H114" s="17">
        <v>0.97729999999999995</v>
      </c>
      <c r="I114" s="17">
        <v>-154.40427989</v>
      </c>
      <c r="J114" s="17">
        <v>-154.44920580900001</v>
      </c>
      <c r="K114" s="17">
        <v>0.97770000000000001</v>
      </c>
      <c r="L114" s="17">
        <v>-154.40688613099999</v>
      </c>
      <c r="M114" s="17">
        <v>-154.45176108800001</v>
      </c>
      <c r="N114" s="17">
        <v>0.9778</v>
      </c>
      <c r="O114" s="17">
        <v>-1.79</v>
      </c>
      <c r="P114" s="17">
        <v>-3.06</v>
      </c>
      <c r="Q114" s="17">
        <v>0.9708</v>
      </c>
      <c r="R114" s="17">
        <v>-2.31</v>
      </c>
      <c r="S114" s="17">
        <v>-3.69</v>
      </c>
      <c r="T114" s="17">
        <v>0.97660000000000002</v>
      </c>
      <c r="U114" s="33"/>
      <c r="V114" s="17"/>
      <c r="W114" s="17">
        <v>1.932E-2</v>
      </c>
      <c r="X114" s="17">
        <v>3.6901000000000003E-2</v>
      </c>
      <c r="Y114" s="17">
        <v>-5.2627E-2</v>
      </c>
      <c r="Z114" s="185">
        <f t="shared" si="24"/>
        <v>56.179651024469678</v>
      </c>
      <c r="AA114" s="186">
        <f t="shared" si="25"/>
        <v>-1.79</v>
      </c>
      <c r="AB114" s="186">
        <f t="shared" si="26"/>
        <v>-0.59206373882627261</v>
      </c>
      <c r="AC114" s="186">
        <f t="shared" si="27"/>
        <v>-2.31</v>
      </c>
      <c r="AD114" s="186">
        <f t="shared" si="28"/>
        <v>-0.99310728942739912</v>
      </c>
      <c r="AE114" s="187">
        <f t="shared" si="29"/>
        <v>-96858.848919728262</v>
      </c>
      <c r="AF114" s="187">
        <f t="shared" si="30"/>
        <v>-192355.72561387802</v>
      </c>
      <c r="AG114" s="188">
        <f t="shared" si="31"/>
        <v>-96865.112571801874</v>
      </c>
      <c r="AH114" s="188">
        <f t="shared" si="32"/>
        <v>-96838.382037856543</v>
      </c>
      <c r="AI114" s="189">
        <f t="shared" si="33"/>
        <v>-96866.963135580911</v>
      </c>
      <c r="AJ114" s="189">
        <f t="shared" si="34"/>
        <v>-96840.001615212896</v>
      </c>
      <c r="AK114" s="190">
        <f t="shared" si="35"/>
        <v>-96868.59857600028</v>
      </c>
      <c r="AL114" s="190">
        <f t="shared" si="36"/>
        <v>-96841.662250208916</v>
      </c>
      <c r="AN114" s="6">
        <f>AK112-AK83</f>
        <v>85.747033110630582</v>
      </c>
    </row>
    <row r="115" spans="1:40" x14ac:dyDescent="0.25">
      <c r="A115" s="180" t="s">
        <v>546</v>
      </c>
      <c r="B115" s="17"/>
      <c r="C115" s="17">
        <v>-154.39134906000001</v>
      </c>
      <c r="D115" s="17"/>
      <c r="E115" s="17">
        <v>0.99280000000000002</v>
      </c>
      <c r="F115" s="17">
        <v>-154.401330828</v>
      </c>
      <c r="G115" s="17">
        <v>-154.44590751999999</v>
      </c>
      <c r="H115" s="17">
        <v>0.97729999999999995</v>
      </c>
      <c r="I115" s="17">
        <v>-154.40427989</v>
      </c>
      <c r="J115" s="17">
        <v>-154.44920580900001</v>
      </c>
      <c r="K115" s="17">
        <v>0.97770000000000001</v>
      </c>
      <c r="L115" s="17">
        <v>-154.40688613099999</v>
      </c>
      <c r="M115" s="17">
        <v>-154.45176108800001</v>
      </c>
      <c r="N115" s="17">
        <v>0.9778</v>
      </c>
      <c r="O115" s="17">
        <v>-1.79</v>
      </c>
      <c r="P115" s="17">
        <v>-3.06</v>
      </c>
      <c r="Q115" s="17">
        <v>0.9708</v>
      </c>
      <c r="R115" s="17">
        <v>-2.31</v>
      </c>
      <c r="S115" s="17">
        <v>-3.69</v>
      </c>
      <c r="T115" s="17">
        <v>0.97660000000000002</v>
      </c>
      <c r="U115" s="33"/>
      <c r="V115" s="17"/>
      <c r="W115" s="17">
        <v>1.932E-2</v>
      </c>
      <c r="X115" s="17">
        <v>3.7130999999999997E-2</v>
      </c>
      <c r="Y115" s="17">
        <v>-5.3657000000000003E-2</v>
      </c>
      <c r="Z115" s="185">
        <f t="shared" si="24"/>
        <v>56.970312720149607</v>
      </c>
      <c r="AA115" s="186">
        <f t="shared" si="25"/>
        <v>-1.79</v>
      </c>
      <c r="AB115" s="186">
        <f t="shared" si="26"/>
        <v>-0.59206373882627261</v>
      </c>
      <c r="AC115" s="186">
        <f t="shared" si="27"/>
        <v>-2.31</v>
      </c>
      <c r="AD115" s="186">
        <f t="shared" si="28"/>
        <v>-0.99310728942739912</v>
      </c>
      <c r="AE115" s="187">
        <f t="shared" si="29"/>
        <v>-96858.704592593349</v>
      </c>
      <c r="AF115" s="187">
        <f t="shared" si="30"/>
        <v>-192355.58128674311</v>
      </c>
      <c r="AG115" s="188">
        <f t="shared" si="31"/>
        <v>-96864.968244666961</v>
      </c>
      <c r="AH115" s="188">
        <f t="shared" si="32"/>
        <v>-96838.237710721631</v>
      </c>
      <c r="AI115" s="189">
        <f t="shared" si="33"/>
        <v>-96866.818808445998</v>
      </c>
      <c r="AJ115" s="189">
        <f t="shared" si="34"/>
        <v>-96839.857288077968</v>
      </c>
      <c r="AK115" s="190">
        <f t="shared" si="35"/>
        <v>-96868.454248865368</v>
      </c>
      <c r="AL115" s="190">
        <f t="shared" si="36"/>
        <v>-96841.517923073989</v>
      </c>
    </row>
    <row r="116" spans="1:40" x14ac:dyDescent="0.25">
      <c r="A116" s="180" t="s">
        <v>547</v>
      </c>
      <c r="B116" s="17"/>
      <c r="C116" s="17">
        <v>-154.39134906000001</v>
      </c>
      <c r="D116" s="17"/>
      <c r="E116" s="17">
        <v>0.99280000000000002</v>
      </c>
      <c r="F116" s="17">
        <v>-154.401330828</v>
      </c>
      <c r="G116" s="17">
        <v>-154.44590751999999</v>
      </c>
      <c r="H116" s="17">
        <v>0.97729999999999995</v>
      </c>
      <c r="I116" s="17">
        <v>-154.40427989</v>
      </c>
      <c r="J116" s="17">
        <v>-154.44920580900001</v>
      </c>
      <c r="K116" s="17">
        <v>0.97770000000000001</v>
      </c>
      <c r="L116" s="17">
        <v>-154.40688613099999</v>
      </c>
      <c r="M116" s="17">
        <v>-154.45176108800001</v>
      </c>
      <c r="N116" s="17">
        <v>0.9778</v>
      </c>
      <c r="O116" s="17">
        <v>-1.79</v>
      </c>
      <c r="P116" s="17">
        <v>-3.06</v>
      </c>
      <c r="Q116" s="17">
        <v>0.9708</v>
      </c>
      <c r="R116" s="17">
        <v>-2.31</v>
      </c>
      <c r="S116" s="17">
        <v>-3.69</v>
      </c>
      <c r="T116" s="17">
        <v>0.97660000000000002</v>
      </c>
      <c r="U116" s="33"/>
      <c r="V116" s="17"/>
      <c r="W116" s="17">
        <v>1.932E-2</v>
      </c>
      <c r="X116" s="17">
        <v>3.7379999999999997E-2</v>
      </c>
      <c r="Y116" s="17">
        <v>-5.4780000000000002E-2</v>
      </c>
      <c r="Z116" s="185">
        <f t="shared" si="24"/>
        <v>57.831255455445508</v>
      </c>
      <c r="AA116" s="186">
        <f t="shared" si="25"/>
        <v>-1.79</v>
      </c>
      <c r="AB116" s="186">
        <f t="shared" si="26"/>
        <v>-0.59206373882627261</v>
      </c>
      <c r="AC116" s="186">
        <f t="shared" si="27"/>
        <v>-2.31</v>
      </c>
      <c r="AD116" s="186">
        <f t="shared" si="28"/>
        <v>-0.99310728942739912</v>
      </c>
      <c r="AE116" s="187">
        <f t="shared" si="29"/>
        <v>-96858.548342782044</v>
      </c>
      <c r="AF116" s="187">
        <f t="shared" si="30"/>
        <v>-192355.42503693182</v>
      </c>
      <c r="AG116" s="188">
        <f t="shared" si="31"/>
        <v>-96864.811994855656</v>
      </c>
      <c r="AH116" s="188">
        <f t="shared" si="32"/>
        <v>-96838.081460910325</v>
      </c>
      <c r="AI116" s="189">
        <f t="shared" si="33"/>
        <v>-96866.662558634693</v>
      </c>
      <c r="AJ116" s="189">
        <f t="shared" si="34"/>
        <v>-96839.701038266663</v>
      </c>
      <c r="AK116" s="190">
        <f t="shared" si="35"/>
        <v>-96868.297999054063</v>
      </c>
      <c r="AL116" s="190">
        <f t="shared" si="36"/>
        <v>-96841.361673262683</v>
      </c>
    </row>
    <row r="117" spans="1:40" x14ac:dyDescent="0.25">
      <c r="A117" s="180" t="s">
        <v>548</v>
      </c>
      <c r="B117" s="17"/>
      <c r="C117" s="17">
        <v>-154.39134906000001</v>
      </c>
      <c r="D117" s="17"/>
      <c r="E117" s="17">
        <v>0.99280000000000002</v>
      </c>
      <c r="F117" s="17">
        <v>-154.401330828</v>
      </c>
      <c r="G117" s="17">
        <v>-154.44590751999999</v>
      </c>
      <c r="H117" s="17">
        <v>0.97729999999999995</v>
      </c>
      <c r="I117" s="17">
        <v>-154.40427989</v>
      </c>
      <c r="J117" s="17">
        <v>-154.44920580900001</v>
      </c>
      <c r="K117" s="17">
        <v>0.97770000000000001</v>
      </c>
      <c r="L117" s="17">
        <v>-154.40688613099999</v>
      </c>
      <c r="M117" s="17">
        <v>-154.45176108800001</v>
      </c>
      <c r="N117" s="17">
        <v>0.9778</v>
      </c>
      <c r="O117" s="17">
        <v>-1.79</v>
      </c>
      <c r="P117" s="17">
        <v>-3.06</v>
      </c>
      <c r="Q117" s="17">
        <v>0.9708</v>
      </c>
      <c r="R117" s="17">
        <v>-2.31</v>
      </c>
      <c r="S117" s="17">
        <v>-3.69</v>
      </c>
      <c r="T117" s="17">
        <v>0.97660000000000002</v>
      </c>
      <c r="U117" s="33"/>
      <c r="V117" s="17"/>
      <c r="W117" s="17">
        <v>1.932E-2</v>
      </c>
      <c r="X117" s="17">
        <v>3.7669000000000001E-2</v>
      </c>
      <c r="Y117" s="17">
        <v>-5.6085000000000003E-2</v>
      </c>
      <c r="Z117" s="185">
        <f t="shared" si="24"/>
        <v>58.831505251408842</v>
      </c>
      <c r="AA117" s="186">
        <f t="shared" si="25"/>
        <v>-1.79</v>
      </c>
      <c r="AB117" s="186">
        <f t="shared" si="26"/>
        <v>-0.59206373882627261</v>
      </c>
      <c r="AC117" s="186">
        <f t="shared" si="27"/>
        <v>-2.31</v>
      </c>
      <c r="AD117" s="186">
        <f t="shared" si="28"/>
        <v>-0.99310728942739912</v>
      </c>
      <c r="AE117" s="187">
        <f t="shared" si="29"/>
        <v>-96858.366992599476</v>
      </c>
      <c r="AF117" s="187">
        <f t="shared" si="30"/>
        <v>-192355.24368674922</v>
      </c>
      <c r="AG117" s="188">
        <f t="shared" si="31"/>
        <v>-96864.630644673089</v>
      </c>
      <c r="AH117" s="188">
        <f t="shared" si="32"/>
        <v>-96837.900110727744</v>
      </c>
      <c r="AI117" s="189">
        <f t="shared" si="33"/>
        <v>-96866.481208452125</v>
      </c>
      <c r="AJ117" s="189">
        <f t="shared" si="34"/>
        <v>-96839.519688084096</v>
      </c>
      <c r="AK117" s="190">
        <f t="shared" si="35"/>
        <v>-96868.116648871495</v>
      </c>
      <c r="AL117" s="190">
        <f t="shared" si="36"/>
        <v>-96841.180323080116</v>
      </c>
    </row>
    <row r="118" spans="1:40" x14ac:dyDescent="0.25">
      <c r="A118" s="180" t="s">
        <v>549</v>
      </c>
      <c r="B118" s="17"/>
      <c r="C118" s="17">
        <v>-154.39134906000001</v>
      </c>
      <c r="D118" s="17"/>
      <c r="E118" s="17">
        <v>0.99280000000000002</v>
      </c>
      <c r="F118" s="17">
        <v>-154.401330828</v>
      </c>
      <c r="G118" s="17">
        <v>-154.44590751999999</v>
      </c>
      <c r="H118" s="17">
        <v>0.97729999999999995</v>
      </c>
      <c r="I118" s="17">
        <v>-154.40427989</v>
      </c>
      <c r="J118" s="17">
        <v>-154.44920580900001</v>
      </c>
      <c r="K118" s="17">
        <v>0.97770000000000001</v>
      </c>
      <c r="L118" s="17">
        <v>-154.40688613099999</v>
      </c>
      <c r="M118" s="17">
        <v>-154.45176108800001</v>
      </c>
      <c r="N118" s="17">
        <v>0.9778</v>
      </c>
      <c r="O118" s="17">
        <v>-1.79</v>
      </c>
      <c r="P118" s="17">
        <v>-3.06</v>
      </c>
      <c r="Q118" s="17">
        <v>0.9708</v>
      </c>
      <c r="R118" s="17">
        <v>-2.31</v>
      </c>
      <c r="S118" s="17">
        <v>-3.69</v>
      </c>
      <c r="T118" s="17">
        <v>0.97660000000000002</v>
      </c>
      <c r="U118" s="33"/>
      <c r="V118" s="17"/>
      <c r="W118" s="17">
        <v>1.932E-2</v>
      </c>
      <c r="X118" s="17">
        <v>3.7949999999999998E-2</v>
      </c>
      <c r="Y118" s="17">
        <v>-5.7355000000000003E-2</v>
      </c>
      <c r="Z118" s="185">
        <f t="shared" si="24"/>
        <v>59.80477214823388</v>
      </c>
      <c r="AA118" s="186">
        <f t="shared" si="25"/>
        <v>-1.79</v>
      </c>
      <c r="AB118" s="186">
        <f t="shared" si="26"/>
        <v>-0.59206373882627261</v>
      </c>
      <c r="AC118" s="186">
        <f t="shared" si="27"/>
        <v>-2.31</v>
      </c>
      <c r="AD118" s="186">
        <f t="shared" si="28"/>
        <v>-0.99310728942739912</v>
      </c>
      <c r="AE118" s="187">
        <f t="shared" si="29"/>
        <v>-96858.19066249115</v>
      </c>
      <c r="AF118" s="187">
        <f t="shared" si="30"/>
        <v>-192355.06735664088</v>
      </c>
      <c r="AG118" s="188">
        <f t="shared" si="31"/>
        <v>-96864.454314564762</v>
      </c>
      <c r="AH118" s="188">
        <f t="shared" si="32"/>
        <v>-96837.723780619432</v>
      </c>
      <c r="AI118" s="189">
        <f t="shared" si="33"/>
        <v>-96866.304878343799</v>
      </c>
      <c r="AJ118" s="189">
        <f t="shared" si="34"/>
        <v>-96839.343357975769</v>
      </c>
      <c r="AK118" s="190">
        <f t="shared" si="35"/>
        <v>-96867.940318763169</v>
      </c>
      <c r="AL118" s="190">
        <f t="shared" si="36"/>
        <v>-96841.00399297179</v>
      </c>
    </row>
    <row r="119" spans="1:40" x14ac:dyDescent="0.25">
      <c r="A119" s="180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33"/>
      <c r="V119" s="17"/>
      <c r="W119" s="17"/>
      <c r="X119" s="17"/>
      <c r="Y119" s="17"/>
      <c r="Z119" s="185">
        <f t="shared" si="24"/>
        <v>0</v>
      </c>
      <c r="AA119" s="186">
        <f t="shared" si="25"/>
        <v>0</v>
      </c>
      <c r="AB119" s="186">
        <f t="shared" si="26"/>
        <v>0</v>
      </c>
      <c r="AC119" s="186">
        <f t="shared" si="27"/>
        <v>0</v>
      </c>
      <c r="AD119" s="186">
        <f t="shared" si="28"/>
        <v>0</v>
      </c>
      <c r="AE119" s="187">
        <f t="shared" si="29"/>
        <v>0</v>
      </c>
      <c r="AF119" s="187">
        <f t="shared" si="30"/>
        <v>0</v>
      </c>
      <c r="AG119" s="188">
        <f t="shared" si="31"/>
        <v>0</v>
      </c>
      <c r="AH119" s="188">
        <f t="shared" si="32"/>
        <v>0</v>
      </c>
      <c r="AI119" s="189">
        <f t="shared" si="33"/>
        <v>0</v>
      </c>
      <c r="AJ119" s="189">
        <f t="shared" si="34"/>
        <v>0</v>
      </c>
      <c r="AK119" s="190">
        <f t="shared" si="35"/>
        <v>0</v>
      </c>
      <c r="AL119" s="190">
        <f t="shared" si="36"/>
        <v>0</v>
      </c>
    </row>
    <row r="120" spans="1:40" x14ac:dyDescent="0.25">
      <c r="A120" s="180" t="s">
        <v>550</v>
      </c>
      <c r="B120" s="17"/>
      <c r="C120" s="17">
        <v>-2.9070489744199999</v>
      </c>
      <c r="D120" s="17"/>
      <c r="E120" s="17"/>
      <c r="F120" s="17">
        <v>-2.91302785869</v>
      </c>
      <c r="G120" s="17"/>
      <c r="H120" s="17"/>
      <c r="I120" s="17">
        <v>-2.91302785869</v>
      </c>
      <c r="J120" s="17"/>
      <c r="K120" s="17"/>
      <c r="L120" s="17">
        <v>-2.9135439293099998</v>
      </c>
      <c r="M120" s="17"/>
      <c r="N120" s="17"/>
      <c r="O120" s="17">
        <v>2.6</v>
      </c>
      <c r="P120" s="17"/>
      <c r="Q120" s="17"/>
      <c r="R120" s="17">
        <v>2.6</v>
      </c>
      <c r="S120" s="17"/>
      <c r="T120" s="17"/>
      <c r="U120" s="33"/>
      <c r="V120" s="17"/>
      <c r="W120" s="17">
        <v>0</v>
      </c>
      <c r="X120" s="17">
        <v>5.5789999999999998E-3</v>
      </c>
      <c r="Y120" s="17">
        <v>-2.5912999999999999E-2</v>
      </c>
      <c r="Z120" s="185">
        <f t="shared" si="24"/>
        <v>19.761522317739693</v>
      </c>
      <c r="AA120" s="186">
        <f t="shared" si="25"/>
        <v>2.6</v>
      </c>
      <c r="AB120" s="186">
        <f t="shared" si="26"/>
        <v>2.6</v>
      </c>
      <c r="AC120" s="186">
        <f t="shared" si="27"/>
        <v>2.6</v>
      </c>
      <c r="AD120" s="186">
        <f t="shared" si="28"/>
        <v>2.6</v>
      </c>
      <c r="AE120" s="187">
        <f t="shared" si="29"/>
        <v>-1820.6993412216577</v>
      </c>
      <c r="AF120" s="187">
        <f t="shared" si="30"/>
        <v>-1820.6993412216577</v>
      </c>
      <c r="AG120" s="188">
        <f t="shared" si="31"/>
        <v>-1824.4511465987944</v>
      </c>
      <c r="AH120" s="188">
        <f t="shared" si="32"/>
        <v>-1824.4511465987944</v>
      </c>
      <c r="AI120" s="189">
        <f t="shared" si="33"/>
        <v>-1824.4511465987944</v>
      </c>
      <c r="AJ120" s="189">
        <f t="shared" si="34"/>
        <v>-1824.4511465987944</v>
      </c>
      <c r="AK120" s="190">
        <f t="shared" si="35"/>
        <v>-1824.7749857031592</v>
      </c>
      <c r="AL120" s="190">
        <f t="shared" si="36"/>
        <v>-1824.7749857031592</v>
      </c>
    </row>
    <row r="121" spans="1:40" x14ac:dyDescent="0.25">
      <c r="A121" s="180" t="s">
        <v>551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33"/>
      <c r="V121" s="17"/>
      <c r="W121" s="17">
        <v>0</v>
      </c>
      <c r="X121" s="17">
        <v>5.6429999999999996E-3</v>
      </c>
      <c r="Y121" s="17">
        <v>-2.6276000000000001E-2</v>
      </c>
      <c r="Z121" s="185">
        <f t="shared" si="24"/>
        <v>20.029468781275668</v>
      </c>
      <c r="AA121" s="186">
        <f t="shared" si="25"/>
        <v>0</v>
      </c>
      <c r="AB121" s="186">
        <f t="shared" si="26"/>
        <v>0</v>
      </c>
      <c r="AC121" s="186">
        <f t="shared" si="27"/>
        <v>0</v>
      </c>
      <c r="AD121" s="186">
        <f t="shared" si="28"/>
        <v>0</v>
      </c>
      <c r="AE121" s="187">
        <f t="shared" si="29"/>
        <v>3.5410348799379232</v>
      </c>
      <c r="AF121" s="187">
        <f t="shared" si="30"/>
        <v>3.5410348799379232</v>
      </c>
      <c r="AG121" s="188">
        <f t="shared" si="31"/>
        <v>3.5410348799379232</v>
      </c>
      <c r="AH121" s="188">
        <f t="shared" si="32"/>
        <v>3.5410348799379232</v>
      </c>
      <c r="AI121" s="189">
        <f t="shared" si="33"/>
        <v>3.5410348799379232</v>
      </c>
      <c r="AJ121" s="189">
        <f t="shared" si="34"/>
        <v>3.5410348799379232</v>
      </c>
      <c r="AK121" s="190">
        <f t="shared" si="35"/>
        <v>3.5410348799379232</v>
      </c>
      <c r="AL121" s="190">
        <f t="shared" si="36"/>
        <v>3.5410348799379232</v>
      </c>
    </row>
    <row r="122" spans="1:40" x14ac:dyDescent="0.25">
      <c r="A122" s="180" t="s">
        <v>552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33"/>
      <c r="V122" s="17"/>
      <c r="W122" s="17">
        <v>0</v>
      </c>
      <c r="X122" s="17">
        <v>5.7130000000000002E-3</v>
      </c>
      <c r="Y122" s="17">
        <v>-2.6669999999999999E-2</v>
      </c>
      <c r="Z122" s="185">
        <f t="shared" si="24"/>
        <v>20.320633088256209</v>
      </c>
      <c r="AA122" s="186">
        <f t="shared" si="25"/>
        <v>0</v>
      </c>
      <c r="AB122" s="186">
        <f t="shared" si="26"/>
        <v>0</v>
      </c>
      <c r="AC122" s="186">
        <f t="shared" si="27"/>
        <v>0</v>
      </c>
      <c r="AD122" s="186">
        <f t="shared" si="28"/>
        <v>0</v>
      </c>
      <c r="AE122" s="187">
        <f t="shared" si="29"/>
        <v>3.584960529697919</v>
      </c>
      <c r="AF122" s="187">
        <f t="shared" si="30"/>
        <v>3.584960529697919</v>
      </c>
      <c r="AG122" s="188">
        <f t="shared" si="31"/>
        <v>3.584960529697919</v>
      </c>
      <c r="AH122" s="188">
        <f t="shared" si="32"/>
        <v>3.584960529697919</v>
      </c>
      <c r="AI122" s="189">
        <f t="shared" si="33"/>
        <v>3.584960529697919</v>
      </c>
      <c r="AJ122" s="189">
        <f t="shared" si="34"/>
        <v>3.584960529697919</v>
      </c>
      <c r="AK122" s="190">
        <f t="shared" si="35"/>
        <v>3.584960529697919</v>
      </c>
      <c r="AL122" s="190">
        <f t="shared" si="36"/>
        <v>3.584960529697919</v>
      </c>
      <c r="AM122" t="s">
        <v>476</v>
      </c>
      <c r="AN122" t="s">
        <v>96</v>
      </c>
    </row>
    <row r="123" spans="1:40" x14ac:dyDescent="0.25">
      <c r="A123" s="180" t="s">
        <v>553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33"/>
      <c r="V123" s="17"/>
      <c r="W123" s="17">
        <v>0</v>
      </c>
      <c r="X123" s="17">
        <v>5.7930000000000004E-3</v>
      </c>
      <c r="Y123" s="17">
        <v>-2.7129E-2</v>
      </c>
      <c r="Z123" s="185">
        <f t="shared" si="24"/>
        <v>20.658860591408171</v>
      </c>
      <c r="AA123" s="186">
        <f t="shared" si="25"/>
        <v>0</v>
      </c>
      <c r="AB123" s="186">
        <f t="shared" si="26"/>
        <v>0</v>
      </c>
      <c r="AC123" s="186">
        <f t="shared" si="27"/>
        <v>0</v>
      </c>
      <c r="AD123" s="186">
        <f t="shared" si="28"/>
        <v>0</v>
      </c>
      <c r="AE123" s="187">
        <f t="shared" si="29"/>
        <v>3.6351612722807713</v>
      </c>
      <c r="AF123" s="187">
        <f t="shared" si="30"/>
        <v>3.6351612722807713</v>
      </c>
      <c r="AG123" s="188">
        <f t="shared" si="31"/>
        <v>3.6351612722807713</v>
      </c>
      <c r="AH123" s="188">
        <f t="shared" si="32"/>
        <v>3.6351612722807713</v>
      </c>
      <c r="AI123" s="189">
        <f t="shared" si="33"/>
        <v>3.6351612722807713</v>
      </c>
      <c r="AJ123" s="189">
        <f t="shared" si="34"/>
        <v>3.6351612722807713</v>
      </c>
      <c r="AK123" s="190">
        <f t="shared" si="35"/>
        <v>3.6351612722807713</v>
      </c>
      <c r="AL123" s="190">
        <f t="shared" si="36"/>
        <v>3.6351612722807713</v>
      </c>
      <c r="AM123" s="6">
        <f>Y9-Y8</f>
        <v>1.8956162920895494</v>
      </c>
      <c r="AN123" s="6">
        <f>AK96+AM123</f>
        <v>-190200.72935567106</v>
      </c>
    </row>
    <row r="124" spans="1:40" x14ac:dyDescent="0.25">
      <c r="A124" s="180" t="s">
        <v>554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33"/>
      <c r="V124" s="17"/>
      <c r="W124" s="17">
        <v>0</v>
      </c>
      <c r="X124" s="17">
        <v>5.8719999999999996E-3</v>
      </c>
      <c r="Y124" s="17">
        <v>-2.7574999999999999E-2</v>
      </c>
      <c r="Z124" s="185">
        <f t="shared" si="24"/>
        <v>20.988302964608138</v>
      </c>
      <c r="AA124" s="186">
        <f t="shared" si="25"/>
        <v>0</v>
      </c>
      <c r="AB124" s="186">
        <f t="shared" si="26"/>
        <v>0</v>
      </c>
      <c r="AC124" s="186">
        <f t="shared" si="27"/>
        <v>0</v>
      </c>
      <c r="AD124" s="186">
        <f t="shared" si="28"/>
        <v>0</v>
      </c>
      <c r="AE124" s="187">
        <f t="shared" si="29"/>
        <v>3.684734505581337</v>
      </c>
      <c r="AF124" s="187">
        <f t="shared" si="30"/>
        <v>3.684734505581337</v>
      </c>
      <c r="AG124" s="188">
        <f t="shared" si="31"/>
        <v>3.684734505581337</v>
      </c>
      <c r="AH124" s="188">
        <f t="shared" si="32"/>
        <v>3.684734505581337</v>
      </c>
      <c r="AI124" s="189">
        <f t="shared" si="33"/>
        <v>3.684734505581337</v>
      </c>
      <c r="AJ124" s="189">
        <f t="shared" si="34"/>
        <v>3.684734505581337</v>
      </c>
      <c r="AK124" s="190">
        <f t="shared" si="35"/>
        <v>3.684734505581337</v>
      </c>
      <c r="AL124" s="190">
        <f t="shared" si="36"/>
        <v>3.684734505581337</v>
      </c>
      <c r="AM124" s="6"/>
    </row>
    <row r="125" spans="1:40" x14ac:dyDescent="0.25">
      <c r="A125" s="18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33"/>
      <c r="V125" s="17"/>
      <c r="W125" s="17"/>
      <c r="X125" s="17"/>
      <c r="Y125" s="17"/>
      <c r="Z125" s="185">
        <f t="shared" si="24"/>
        <v>0</v>
      </c>
      <c r="AA125" s="186">
        <f t="shared" si="25"/>
        <v>0</v>
      </c>
      <c r="AB125" s="186">
        <f t="shared" si="26"/>
        <v>0</v>
      </c>
      <c r="AC125" s="186">
        <f t="shared" si="27"/>
        <v>0</v>
      </c>
      <c r="AD125" s="186">
        <f t="shared" si="28"/>
        <v>0</v>
      </c>
      <c r="AE125" s="187">
        <f t="shared" si="29"/>
        <v>0</v>
      </c>
      <c r="AF125" s="187">
        <f t="shared" si="30"/>
        <v>0</v>
      </c>
      <c r="AG125" s="188">
        <f t="shared" si="31"/>
        <v>0</v>
      </c>
      <c r="AH125" s="188">
        <f t="shared" si="32"/>
        <v>0</v>
      </c>
      <c r="AI125" s="189">
        <f t="shared" si="33"/>
        <v>0</v>
      </c>
      <c r="AJ125" s="189">
        <f t="shared" si="34"/>
        <v>0</v>
      </c>
      <c r="AK125" s="190">
        <f t="shared" si="35"/>
        <v>0</v>
      </c>
      <c r="AL125" s="190">
        <f t="shared" si="36"/>
        <v>0</v>
      </c>
      <c r="AM125" s="6">
        <f>Y11-Y10</f>
        <v>11.896057924376507</v>
      </c>
      <c r="AN125" s="6">
        <f>AK98+AM125</f>
        <v>-190188.08145237679</v>
      </c>
    </row>
    <row r="126" spans="1:40" x14ac:dyDescent="0.25">
      <c r="A126" s="180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33"/>
      <c r="V126" s="17"/>
      <c r="W126" s="17"/>
      <c r="X126" s="17"/>
      <c r="Y126" s="17"/>
      <c r="Z126" s="185">
        <f t="shared" si="24"/>
        <v>0</v>
      </c>
      <c r="AA126" s="186">
        <f t="shared" si="25"/>
        <v>0</v>
      </c>
      <c r="AB126" s="186">
        <f t="shared" si="26"/>
        <v>0</v>
      </c>
      <c r="AC126" s="186">
        <f t="shared" si="27"/>
        <v>0</v>
      </c>
      <c r="AD126" s="186">
        <f t="shared" si="28"/>
        <v>0</v>
      </c>
      <c r="AE126" s="187">
        <f t="shared" si="29"/>
        <v>0</v>
      </c>
      <c r="AF126" s="187">
        <f t="shared" si="30"/>
        <v>0</v>
      </c>
      <c r="AG126" s="188">
        <f t="shared" si="31"/>
        <v>0</v>
      </c>
      <c r="AH126" s="188">
        <f t="shared" si="32"/>
        <v>0</v>
      </c>
      <c r="AI126" s="189">
        <f t="shared" si="33"/>
        <v>0</v>
      </c>
      <c r="AJ126" s="189">
        <f t="shared" si="34"/>
        <v>0</v>
      </c>
      <c r="AK126" s="190">
        <f t="shared" si="35"/>
        <v>0</v>
      </c>
      <c r="AL126" s="190">
        <f t="shared" si="36"/>
        <v>0</v>
      </c>
      <c r="AM126" s="6"/>
    </row>
    <row r="127" spans="1:40" x14ac:dyDescent="0.25">
      <c r="A127" s="18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33"/>
      <c r="V127" s="17"/>
      <c r="W127" s="17"/>
      <c r="X127" s="17"/>
      <c r="Y127" s="17"/>
      <c r="Z127" s="185">
        <f t="shared" si="24"/>
        <v>0</v>
      </c>
      <c r="AA127" s="186">
        <f t="shared" si="25"/>
        <v>0</v>
      </c>
      <c r="AB127" s="186">
        <f t="shared" si="26"/>
        <v>0</v>
      </c>
      <c r="AC127" s="186">
        <f t="shared" si="27"/>
        <v>0</v>
      </c>
      <c r="AD127" s="186">
        <f t="shared" si="28"/>
        <v>0</v>
      </c>
      <c r="AE127" s="187">
        <f t="shared" si="29"/>
        <v>0</v>
      </c>
      <c r="AF127" s="187">
        <f t="shared" si="30"/>
        <v>0</v>
      </c>
      <c r="AG127" s="188">
        <f t="shared" si="31"/>
        <v>0</v>
      </c>
      <c r="AH127" s="188">
        <f t="shared" si="32"/>
        <v>0</v>
      </c>
      <c r="AI127" s="189">
        <f t="shared" si="33"/>
        <v>0</v>
      </c>
      <c r="AJ127" s="189">
        <f t="shared" si="34"/>
        <v>0</v>
      </c>
      <c r="AK127" s="190">
        <f t="shared" si="35"/>
        <v>0</v>
      </c>
      <c r="AL127" s="190">
        <f t="shared" si="36"/>
        <v>0</v>
      </c>
      <c r="AM127" s="6">
        <f>Y14-Y13</f>
        <v>9.8813563501849657</v>
      </c>
      <c r="AN127" s="6">
        <f>AK100+AM127</f>
        <v>-190187.27738225498</v>
      </c>
    </row>
    <row r="128" spans="1:40" x14ac:dyDescent="0.25">
      <c r="A128" s="180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33"/>
      <c r="V128" s="17"/>
      <c r="W128" s="17"/>
      <c r="X128" s="17"/>
      <c r="Y128" s="17"/>
      <c r="Z128" s="185">
        <f t="shared" si="24"/>
        <v>0</v>
      </c>
      <c r="AA128" s="186">
        <f t="shared" si="25"/>
        <v>0</v>
      </c>
      <c r="AB128" s="186">
        <f t="shared" si="26"/>
        <v>0</v>
      </c>
      <c r="AC128" s="186">
        <f t="shared" si="27"/>
        <v>0</v>
      </c>
      <c r="AD128" s="186">
        <f t="shared" si="28"/>
        <v>0</v>
      </c>
      <c r="AE128" s="187">
        <f t="shared" si="29"/>
        <v>0</v>
      </c>
      <c r="AF128" s="187">
        <f t="shared" si="30"/>
        <v>0</v>
      </c>
      <c r="AG128" s="188">
        <f t="shared" si="31"/>
        <v>0</v>
      </c>
      <c r="AH128" s="188">
        <f t="shared" si="32"/>
        <v>0</v>
      </c>
      <c r="AI128" s="189">
        <f t="shared" si="33"/>
        <v>0</v>
      </c>
      <c r="AJ128" s="189">
        <f t="shared" si="34"/>
        <v>0</v>
      </c>
      <c r="AK128" s="190">
        <f t="shared" si="35"/>
        <v>0</v>
      </c>
      <c r="AL128" s="190">
        <f t="shared" si="36"/>
        <v>0</v>
      </c>
      <c r="AM128" s="6"/>
    </row>
    <row r="130" spans="7:34" x14ac:dyDescent="0.25">
      <c r="G130" s="6">
        <f>AK104-AK88</f>
        <v>58.572759956485243</v>
      </c>
      <c r="AH130" s="18">
        <f>(49924*AW15)/(4.2*1000)</f>
        <v>98.831218865215035</v>
      </c>
    </row>
    <row r="132" spans="7:34" x14ac:dyDescent="0.25">
      <c r="G132" s="11"/>
      <c r="J132" s="142">
        <f>(L112-L88)*($AW$3*$AW$4*10^-3/$AW$5)</f>
        <v>59.211970404359747</v>
      </c>
      <c r="N132" t="s">
        <v>526</v>
      </c>
      <c r="O132" t="s">
        <v>530</v>
      </c>
      <c r="P132" t="s">
        <v>531</v>
      </c>
      <c r="Q132" t="s">
        <v>527</v>
      </c>
      <c r="R132" t="s">
        <v>525</v>
      </c>
      <c r="S132" t="s">
        <v>529</v>
      </c>
      <c r="T132" t="s">
        <v>528</v>
      </c>
    </row>
    <row r="133" spans="7:34" x14ac:dyDescent="0.25">
      <c r="N133">
        <v>300</v>
      </c>
      <c r="O133" s="6">
        <f t="shared" ref="O133:O139" si="37">AL95-2*AL84</f>
        <v>22.637398734863382</v>
      </c>
      <c r="P133" s="6">
        <f t="shared" ref="P133:P139" si="38">Z95-2*Z84</f>
        <v>-62.503062062062185</v>
      </c>
      <c r="Q133" s="6">
        <f t="shared" ref="Q133:Q139" si="39">O133-P133</f>
        <v>85.140460796925566</v>
      </c>
      <c r="R133" s="11">
        <f>($AW$13*N133/$AW$12)*EXP(-Q133/(N133*($AW$15/(1000*$AW$5))))</f>
        <v>5.9209660469306882E-50</v>
      </c>
      <c r="S133" s="11">
        <f>1/N133</f>
        <v>3.3333333333333335E-3</v>
      </c>
      <c r="T133" s="6">
        <f t="shared" ref="T133:T139" si="40">LN(R133)</f>
        <v>-113.35075503051621</v>
      </c>
      <c r="U133" s="6"/>
      <c r="V133" s="6"/>
      <c r="W133" s="6"/>
      <c r="AF133" s="6">
        <f>AE103-AE83</f>
        <v>38.439011055175797</v>
      </c>
    </row>
    <row r="134" spans="7:34" x14ac:dyDescent="0.25">
      <c r="N134">
        <v>350</v>
      </c>
      <c r="O134" s="6">
        <f t="shared" si="37"/>
        <v>23.636393512279028</v>
      </c>
      <c r="P134" s="6">
        <f t="shared" si="38"/>
        <v>-58.673372912272853</v>
      </c>
      <c r="Q134" s="6">
        <f t="shared" si="39"/>
        <v>82.309766424551881</v>
      </c>
      <c r="R134" s="11">
        <f t="shared" ref="R134:R139" si="41">($AW$13*N134/$AW$12)*EXP(-Q134/(N134*($AW$15/(1000*$AW$5))))</f>
        <v>2.9334426709114675E-39</v>
      </c>
      <c r="S134" s="11">
        <f t="shared" ref="S134:S139" si="42">1/N134</f>
        <v>2.8571428571428571E-3</v>
      </c>
      <c r="T134" s="6">
        <f t="shared" si="40"/>
        <v>-88.724641920472038</v>
      </c>
      <c r="U134" s="6"/>
      <c r="V134" s="6"/>
      <c r="W134" s="6"/>
    </row>
    <row r="135" spans="7:34" x14ac:dyDescent="0.25">
      <c r="N135">
        <v>400</v>
      </c>
      <c r="O135" s="6">
        <f t="shared" si="37"/>
        <v>24.654213568137493</v>
      </c>
      <c r="P135" s="6">
        <f t="shared" si="38"/>
        <v>-54.813563316933816</v>
      </c>
      <c r="Q135" s="6">
        <f t="shared" si="39"/>
        <v>79.467776885071316</v>
      </c>
      <c r="R135" s="11">
        <f t="shared" si="41"/>
        <v>3.1810427545849411E-31</v>
      </c>
      <c r="S135" s="11">
        <f t="shared" si="42"/>
        <v>2.5000000000000001E-3</v>
      </c>
      <c r="T135" s="6">
        <f t="shared" si="40"/>
        <v>-70.222928829527305</v>
      </c>
      <c r="U135" s="6"/>
      <c r="V135" s="6"/>
      <c r="W135" s="6"/>
    </row>
    <row r="136" spans="7:34" x14ac:dyDescent="0.25">
      <c r="N136">
        <v>450</v>
      </c>
      <c r="O136" s="6">
        <f t="shared" si="37"/>
        <v>25.729136968730018</v>
      </c>
      <c r="P136" s="6">
        <f t="shared" si="38"/>
        <v>-50.698984952986805</v>
      </c>
      <c r="Q136" s="6">
        <f t="shared" si="39"/>
        <v>76.428121921716823</v>
      </c>
      <c r="R136" s="11">
        <f t="shared" si="41"/>
        <v>7.1483930542644304E-25</v>
      </c>
      <c r="S136" s="11">
        <f t="shared" si="42"/>
        <v>2.2222222222222222E-3</v>
      </c>
      <c r="T136" s="6">
        <f t="shared" si="40"/>
        <v>-55.597739741060089</v>
      </c>
      <c r="U136" s="6"/>
      <c r="V136" s="6"/>
      <c r="W136" s="6"/>
    </row>
    <row r="137" spans="7:34" x14ac:dyDescent="0.25">
      <c r="N137">
        <v>500</v>
      </c>
      <c r="O137" s="6">
        <f t="shared" si="37"/>
        <v>-73.974340756860329</v>
      </c>
      <c r="P137" s="6">
        <f t="shared" si="38"/>
        <v>-46.203633956548863</v>
      </c>
      <c r="Q137" s="6">
        <f t="shared" si="39"/>
        <v>-27.770706800311466</v>
      </c>
      <c r="R137" s="11">
        <f t="shared" si="41"/>
        <v>1.4325990967865772E+25</v>
      </c>
      <c r="S137" s="11">
        <f t="shared" si="42"/>
        <v>2E-3</v>
      </c>
      <c r="T137" s="6">
        <f t="shared" si="40"/>
        <v>57.92411766957769</v>
      </c>
      <c r="U137" s="6"/>
      <c r="V137" s="6"/>
      <c r="W137" s="6"/>
    </row>
    <row r="138" spans="7:34" x14ac:dyDescent="0.25">
      <c r="N138">
        <v>550</v>
      </c>
      <c r="O138" s="6">
        <f t="shared" si="37"/>
        <v>-190199.83571755484</v>
      </c>
      <c r="P138" s="6">
        <f t="shared" si="38"/>
        <v>50.530812465334257</v>
      </c>
      <c r="Q138" s="6">
        <f t="shared" si="39"/>
        <v>-190250.36653002017</v>
      </c>
      <c r="R138" s="11" t="e">
        <f t="shared" si="41"/>
        <v>#NUM!</v>
      </c>
      <c r="S138" s="11">
        <f t="shared" si="42"/>
        <v>1.8181818181818182E-3</v>
      </c>
      <c r="T138" s="6" t="e">
        <f t="shared" si="40"/>
        <v>#NUM!</v>
      </c>
      <c r="U138" s="6"/>
      <c r="V138" s="6"/>
      <c r="W138" s="6"/>
    </row>
    <row r="139" spans="7:34" x14ac:dyDescent="0.25">
      <c r="N139">
        <v>600</v>
      </c>
      <c r="O139" s="6">
        <f t="shared" si="37"/>
        <v>-190198.37487594568</v>
      </c>
      <c r="P139" s="6">
        <f t="shared" si="38"/>
        <v>56.649027967619347</v>
      </c>
      <c r="Q139" s="6">
        <f t="shared" si="39"/>
        <v>-190255.0239039133</v>
      </c>
      <c r="R139" s="11" t="e">
        <f t="shared" si="41"/>
        <v>#NUM!</v>
      </c>
      <c r="S139" s="11">
        <f t="shared" si="42"/>
        <v>1.6666666666666668E-3</v>
      </c>
      <c r="T139" s="6" t="e">
        <f t="shared" si="40"/>
        <v>#NUM!</v>
      </c>
      <c r="U139" s="6"/>
      <c r="V139" s="6"/>
      <c r="W139" s="6"/>
    </row>
    <row r="141" spans="7:34" x14ac:dyDescent="0.25">
      <c r="N141" t="s">
        <v>526</v>
      </c>
      <c r="O141" t="s">
        <v>530</v>
      </c>
      <c r="P141" t="s">
        <v>531</v>
      </c>
      <c r="Q141" t="s">
        <v>527</v>
      </c>
      <c r="R141" t="s">
        <v>525</v>
      </c>
      <c r="S141" t="s">
        <v>529</v>
      </c>
      <c r="T141" t="s">
        <v>528</v>
      </c>
    </row>
    <row r="142" spans="7:34" x14ac:dyDescent="0.25">
      <c r="N142">
        <v>300</v>
      </c>
      <c r="O142" s="6">
        <f>AL104-AL84</f>
        <v>131.13963325378427</v>
      </c>
      <c r="P142" s="6">
        <f>Z104-Z84</f>
        <v>-24.706922971432903</v>
      </c>
      <c r="Q142" s="6">
        <f t="shared" ref="Q142:Q148" si="43">O142-P142</f>
        <v>155.84655622521717</v>
      </c>
      <c r="R142" s="11">
        <f>($AW$13*N142/$AW$12)*EXP(-Q142/(N142*($AW$15/(1000*$AW$5))))</f>
        <v>1.8367775235883047E-101</v>
      </c>
      <c r="S142" s="11">
        <f>1/N142</f>
        <v>3.3333333333333335E-3</v>
      </c>
      <c r="T142" s="6">
        <f t="shared" ref="T142:T148" si="44">LN(R142)</f>
        <v>-231.95308170205277</v>
      </c>
    </row>
    <row r="143" spans="7:34" x14ac:dyDescent="0.25">
      <c r="N143">
        <v>350</v>
      </c>
      <c r="O143" s="6">
        <f t="shared" ref="O143:O148" si="45">AL105-AL85</f>
        <v>93.256329412848572</v>
      </c>
      <c r="P143" s="6">
        <f t="shared" ref="P143:P148" si="46">Z105-Z85</f>
        <v>-27.125343745361796</v>
      </c>
      <c r="Q143" s="6">
        <f t="shared" si="43"/>
        <v>120.38167315821036</v>
      </c>
      <c r="R143" s="11">
        <f t="shared" ref="R143:R148" si="47">($AW$13*N143/$AW$12)*EXP(-Q143/(N143*($AW$15/(1000*$AW$5))))</f>
        <v>4.9508293714204194E-63</v>
      </c>
      <c r="S143" s="11">
        <f t="shared" ref="S143:S148" si="48">1/N143</f>
        <v>2.8571428571428571E-3</v>
      </c>
      <c r="T143" s="6">
        <f t="shared" si="44"/>
        <v>-143.46330574629727</v>
      </c>
    </row>
    <row r="144" spans="7:34" x14ac:dyDescent="0.25">
      <c r="N144">
        <v>400</v>
      </c>
      <c r="O144" s="6">
        <f t="shared" si="45"/>
        <v>93.754571782992571</v>
      </c>
      <c r="P144" s="6">
        <f t="shared" si="46"/>
        <v>-24.499844908278636</v>
      </c>
      <c r="Q144" s="6">
        <f t="shared" si="43"/>
        <v>118.2544166912712</v>
      </c>
      <c r="R144" s="11">
        <f t="shared" si="47"/>
        <v>2.0462233104902992E-52</v>
      </c>
      <c r="S144" s="11">
        <f t="shared" si="48"/>
        <v>2.5000000000000001E-3</v>
      </c>
      <c r="T144" s="6">
        <f t="shared" si="44"/>
        <v>-119.01842902920464</v>
      </c>
    </row>
    <row r="145" spans="6:33" x14ac:dyDescent="0.25">
      <c r="N145">
        <v>450</v>
      </c>
      <c r="O145" s="6">
        <f t="shared" si="45"/>
        <v>94.26912939446629</v>
      </c>
      <c r="P145" s="6">
        <f t="shared" si="46"/>
        <v>-21.749471724020626</v>
      </c>
      <c r="Q145" s="6">
        <f t="shared" si="43"/>
        <v>116.01860111848691</v>
      </c>
      <c r="R145" s="11">
        <f t="shared" si="47"/>
        <v>4.2347326153469129E-44</v>
      </c>
      <c r="S145" s="11">
        <f t="shared" si="48"/>
        <v>2.2222222222222222E-3</v>
      </c>
      <c r="T145" s="6">
        <f t="shared" si="44"/>
        <v>-99.870423902499255</v>
      </c>
    </row>
    <row r="146" spans="6:33" x14ac:dyDescent="0.25">
      <c r="N146">
        <v>500</v>
      </c>
      <c r="O146" s="6">
        <f t="shared" si="45"/>
        <v>44.381936257210327</v>
      </c>
      <c r="P146" s="6">
        <f t="shared" si="46"/>
        <v>-18.814987316340016</v>
      </c>
      <c r="Q146" s="6">
        <f t="shared" si="43"/>
        <v>63.196923573550343</v>
      </c>
      <c r="R146" s="11">
        <f t="shared" si="47"/>
        <v>2.4830613333861305E-15</v>
      </c>
      <c r="S146" s="11">
        <f t="shared" si="48"/>
        <v>2E-3</v>
      </c>
      <c r="T146" s="6">
        <f t="shared" si="44"/>
        <v>-33.629284187366274</v>
      </c>
    </row>
    <row r="147" spans="6:33" x14ac:dyDescent="0.25">
      <c r="N147">
        <v>550</v>
      </c>
      <c r="O147" s="6">
        <f t="shared" si="45"/>
        <v>-95018.595501583288</v>
      </c>
      <c r="P147" s="6">
        <f t="shared" si="46"/>
        <v>30.230259674111192</v>
      </c>
      <c r="Q147" s="6">
        <f t="shared" si="43"/>
        <v>-95048.825761257394</v>
      </c>
      <c r="R147" s="11" t="e">
        <f t="shared" si="47"/>
        <v>#NUM!</v>
      </c>
      <c r="S147" s="11">
        <f t="shared" si="48"/>
        <v>1.8181818181818182E-3</v>
      </c>
      <c r="T147" s="6" t="e">
        <f t="shared" si="44"/>
        <v>#NUM!</v>
      </c>
    </row>
    <row r="148" spans="6:33" x14ac:dyDescent="0.25">
      <c r="N148">
        <v>600</v>
      </c>
      <c r="O148" s="6">
        <f t="shared" si="45"/>
        <v>-95017.922811632685</v>
      </c>
      <c r="P148" s="6">
        <f t="shared" si="46"/>
        <v>33.958919829452526</v>
      </c>
      <c r="Q148" s="6">
        <f t="shared" si="43"/>
        <v>-95051.881731462141</v>
      </c>
      <c r="R148" s="11" t="e">
        <f t="shared" si="47"/>
        <v>#NUM!</v>
      </c>
      <c r="S148" s="11">
        <f t="shared" si="48"/>
        <v>1.6666666666666668E-3</v>
      </c>
      <c r="T148" s="6" t="e">
        <f t="shared" si="44"/>
        <v>#NUM!</v>
      </c>
      <c r="AG148" s="11">
        <f>EXP(33)</f>
        <v>214643579785916.06</v>
      </c>
    </row>
    <row r="150" spans="6:33" x14ac:dyDescent="0.25">
      <c r="Y150" s="6">
        <f>AL112-(AL118+AL83)</f>
        <v>96926.75102608242</v>
      </c>
    </row>
    <row r="155" spans="6:33" x14ac:dyDescent="0.25">
      <c r="F155">
        <f>(2.17877+1.904)/2</f>
        <v>2.041385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5"/>
  <sheetViews>
    <sheetView zoomScale="10" zoomScaleNormal="10" workbookViewId="0">
      <selection activeCell="AP19" sqref="AP19"/>
    </sheetView>
  </sheetViews>
  <sheetFormatPr defaultRowHeight="15" x14ac:dyDescent="0.25"/>
  <cols>
    <col min="1" max="1" width="17.42578125" customWidth="1"/>
    <col min="23" max="23" width="11.85546875" customWidth="1"/>
    <col min="48" max="48" width="18.85546875" customWidth="1"/>
    <col min="49" max="49" width="16.140625" customWidth="1"/>
  </cols>
  <sheetData>
    <row r="1" spans="1:49" x14ac:dyDescent="0.25">
      <c r="A1" s="15" t="s">
        <v>507</v>
      </c>
      <c r="B1" s="15"/>
      <c r="C1" s="15"/>
      <c r="D1" s="15"/>
      <c r="E1" s="15"/>
      <c r="F1" s="15"/>
      <c r="G1" s="15"/>
    </row>
    <row r="2" spans="1:49" ht="75.75" thickBot="1" x14ac:dyDescent="0.3">
      <c r="A2" s="167" t="s">
        <v>481</v>
      </c>
      <c r="B2" s="179" t="s">
        <v>432</v>
      </c>
      <c r="C2" s="179" t="s">
        <v>445</v>
      </c>
      <c r="D2" s="179" t="s">
        <v>446</v>
      </c>
      <c r="E2" s="167" t="s">
        <v>433</v>
      </c>
      <c r="F2" s="179" t="s">
        <v>447</v>
      </c>
      <c r="G2" s="179" t="s">
        <v>448</v>
      </c>
      <c r="H2" s="167" t="s">
        <v>449</v>
      </c>
      <c r="I2" s="179" t="s">
        <v>450</v>
      </c>
      <c r="J2" s="179" t="s">
        <v>451</v>
      </c>
      <c r="K2" s="167" t="s">
        <v>452</v>
      </c>
      <c r="L2" s="179" t="s">
        <v>453</v>
      </c>
      <c r="M2" s="179" t="s">
        <v>454</v>
      </c>
      <c r="N2" s="167" t="s">
        <v>455</v>
      </c>
      <c r="O2" s="179" t="s">
        <v>441</v>
      </c>
      <c r="P2" s="179" t="s">
        <v>442</v>
      </c>
      <c r="Q2" s="184" t="s">
        <v>443</v>
      </c>
      <c r="R2" s="179" t="s">
        <v>434</v>
      </c>
      <c r="S2" s="179" t="s">
        <v>435</v>
      </c>
      <c r="T2" s="179" t="s">
        <v>436</v>
      </c>
      <c r="U2" s="179" t="s">
        <v>437</v>
      </c>
      <c r="V2" s="179" t="s">
        <v>438</v>
      </c>
      <c r="W2" s="179" t="s">
        <v>500</v>
      </c>
      <c r="X2" s="191" t="s">
        <v>464</v>
      </c>
      <c r="Y2" s="191" t="s">
        <v>465</v>
      </c>
      <c r="Z2" s="192" t="s">
        <v>457</v>
      </c>
      <c r="AA2" s="192" t="s">
        <v>456</v>
      </c>
      <c r="AB2" s="193" t="s">
        <v>458</v>
      </c>
      <c r="AC2" s="193" t="s">
        <v>459</v>
      </c>
      <c r="AD2" s="194" t="s">
        <v>460</v>
      </c>
      <c r="AE2" s="194" t="s">
        <v>461</v>
      </c>
      <c r="AF2" s="195" t="s">
        <v>462</v>
      </c>
      <c r="AG2" s="195" t="s">
        <v>463</v>
      </c>
    </row>
    <row r="3" spans="1:49" x14ac:dyDescent="0.25">
      <c r="A3" s="180" t="s">
        <v>162</v>
      </c>
      <c r="B3" s="17">
        <v>-151.46501771000001</v>
      </c>
      <c r="C3" s="17">
        <v>-151.48873965499999</v>
      </c>
      <c r="D3" s="17"/>
      <c r="E3" s="17"/>
      <c r="F3" s="17">
        <v>-151.52656100199999</v>
      </c>
      <c r="G3" s="17"/>
      <c r="H3" s="17"/>
      <c r="I3" s="17">
        <v>-151.53157618700001</v>
      </c>
      <c r="J3" s="17"/>
      <c r="K3" s="17"/>
      <c r="L3" s="17">
        <v>-151.53401098500001</v>
      </c>
      <c r="M3" s="17"/>
      <c r="N3" s="17"/>
      <c r="O3" s="17">
        <v>-9.15</v>
      </c>
      <c r="P3" s="17"/>
      <c r="Q3" s="17"/>
      <c r="R3" s="33"/>
      <c r="S3" s="17"/>
      <c r="T3" s="17">
        <v>2.7105000000000001E-2</v>
      </c>
      <c r="U3" s="17">
        <v>3.1234999999999999E-2</v>
      </c>
      <c r="V3" s="17">
        <v>4.8700000000000002E-3</v>
      </c>
      <c r="W3" s="185">
        <f>(U3-V3)*($AW$3*$AW$4*10^-3/$AW$5)</f>
        <v>16.544282227461164</v>
      </c>
      <c r="X3" s="186">
        <f>O3</f>
        <v>-9.15</v>
      </c>
      <c r="Y3" s="186">
        <f>((((2-0)/(2-Q3))*O3+(1-((2-0)/(2-Q3)))*P3))</f>
        <v>-9.15</v>
      </c>
      <c r="Z3" s="187">
        <f>(C3+U3)*($AW$3*$AW$4*10^-3/$AW$5)</f>
        <v>-95040.990042834543</v>
      </c>
      <c r="AA3" s="187">
        <f>((((2-0)/(2-E3))*C3+(1-((2-0)/(2-E3)))*D3)+U3)*($AW$3*$AW$4*10^-3/$AW$5)</f>
        <v>-95040.990042834543</v>
      </c>
      <c r="AB3" s="188">
        <f>(F3+U3)*($AW$3*$AW$4*10^-3/$AW$5)</f>
        <v>-95064.723289145593</v>
      </c>
      <c r="AC3" s="188">
        <f>((((2-0)/(2-H3))*F3+(1-((2-0)/(2-H3)))*G3)+U3)*($AW$3*$AW$4*10^-3/$AW$5)</f>
        <v>-95064.723289145593</v>
      </c>
      <c r="AD3" s="189">
        <f>(I3+U3)*($AW$3*$AW$4*10^-3/$AW$5)</f>
        <v>-95067.870364285482</v>
      </c>
      <c r="AE3" s="189">
        <f>((((2-0)/(2-K3))*I3+(1-((2-0)/(2-K3)))*J3)+U3)*($AW$3*$AW$4*10^-3/$AW$5)</f>
        <v>-95067.870364285482</v>
      </c>
      <c r="AF3" s="190">
        <f>(L3+U3)*($AW$3*$AW$4*10^-3/$AW$5)</f>
        <v>-95069.398222630974</v>
      </c>
      <c r="AG3" s="190">
        <f>((((2-0)/(2-N3))*L3+(1-((2-0)/(2-N3)))*M3)+U3)*($AW$3*$AW$4*10^-3/$AW$5)</f>
        <v>-95069.398222630974</v>
      </c>
      <c r="AV3" s="22" t="s">
        <v>134</v>
      </c>
      <c r="AW3" s="83">
        <v>4.35974394E-18</v>
      </c>
    </row>
    <row r="4" spans="1:49" x14ac:dyDescent="0.25">
      <c r="A4" s="180" t="s">
        <v>439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3"/>
      <c r="S4" s="17"/>
      <c r="T4" s="17"/>
      <c r="U4" s="17"/>
      <c r="V4" s="17"/>
      <c r="W4" s="185">
        <f t="shared" ref="W4:W27" si="0">(U4-V4)*($AW$3*$AW$4*10^-3/$AW$5)</f>
        <v>0</v>
      </c>
      <c r="X4" s="186">
        <f t="shared" ref="X4:X27" si="1">O4</f>
        <v>0</v>
      </c>
      <c r="Y4" s="186">
        <f t="shared" ref="Y4:Y27" si="2">((((2-0)/(2-Q4))*O4+(1-((2-0)/(2-Q4)))*P4))</f>
        <v>0</v>
      </c>
      <c r="Z4" s="187">
        <f>(C4+U4)*($AW$3*$AW$4*10^-3/$AW$5)</f>
        <v>0</v>
      </c>
      <c r="AA4" s="187">
        <f t="shared" ref="AA4:AA27" si="3">((((2-0)/(2-E4))*C4+(1-((2-0)/(2-E4)))*D4)+U4)*($AW$3*$AW$4*10^-3/$AW$5)</f>
        <v>0</v>
      </c>
      <c r="AB4" s="188">
        <f t="shared" ref="AB4:AB27" si="4">(F4+U4)*($AW$3*$AW$4*10^-3/$AW$5)</f>
        <v>0</v>
      </c>
      <c r="AC4" s="188">
        <f t="shared" ref="AC4:AC27" si="5">((((2-0)/(2-H4))*F4+(1-((2-0)/(2-H4)))*G4)+U4)*($AW$3*$AW$4*10^-3/$AW$5)</f>
        <v>0</v>
      </c>
      <c r="AD4" s="189">
        <f t="shared" ref="AD4:AD27" si="6">(I4+U4)*($AW$3*$AW$4*10^-3/$AW$5)</f>
        <v>0</v>
      </c>
      <c r="AE4" s="189">
        <f t="shared" ref="AE4:AE27" si="7">((((2-0)/(2-K4))*I4+(1-((2-0)/(2-K4)))*J4)+U4)*($AW$3*$AW$4*10^-3/$AW$5)</f>
        <v>0</v>
      </c>
      <c r="AF4" s="190">
        <f t="shared" ref="AF4:AF27" si="8">(L4+U4)*($AW$3*$AW$4*10^-3/$AW$5)</f>
        <v>0</v>
      </c>
      <c r="AG4" s="190">
        <f t="shared" ref="AG4:AG27" si="9">((((2-0)/(2-N4))*L4+(1-((2-0)/(2-N4)))*M4)+U4)*($AW$3*$AW$4*10^-3/$AW$5)</f>
        <v>0</v>
      </c>
      <c r="AV4" s="72" t="s">
        <v>135</v>
      </c>
      <c r="AW4" s="84">
        <v>6.0221399999999997E+23</v>
      </c>
    </row>
    <row r="5" spans="1:49" ht="15.75" thickBot="1" x14ac:dyDescent="0.3">
      <c r="A5" s="180" t="s">
        <v>332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33"/>
      <c r="S5" s="17"/>
      <c r="T5" s="17"/>
      <c r="U5" s="17"/>
      <c r="V5" s="17"/>
      <c r="W5" s="185">
        <f t="shared" si="0"/>
        <v>0</v>
      </c>
      <c r="X5" s="186">
        <f t="shared" si="1"/>
        <v>0</v>
      </c>
      <c r="Y5" s="186">
        <f t="shared" si="2"/>
        <v>0</v>
      </c>
      <c r="Z5" s="187">
        <f t="shared" ref="Z5:Z27" si="10">(C5+U5)*($AW$3*$AW$4*10^-3/$AW$5)</f>
        <v>0</v>
      </c>
      <c r="AA5" s="187">
        <f t="shared" si="3"/>
        <v>0</v>
      </c>
      <c r="AB5" s="188">
        <f t="shared" si="4"/>
        <v>0</v>
      </c>
      <c r="AC5" s="188">
        <f t="shared" si="5"/>
        <v>0</v>
      </c>
      <c r="AD5" s="189">
        <f t="shared" si="6"/>
        <v>0</v>
      </c>
      <c r="AE5" s="189">
        <f t="shared" si="7"/>
        <v>0</v>
      </c>
      <c r="AF5" s="190">
        <f t="shared" si="8"/>
        <v>0</v>
      </c>
      <c r="AG5" s="190">
        <f t="shared" si="9"/>
        <v>0</v>
      </c>
      <c r="AV5" s="23" t="s">
        <v>136</v>
      </c>
      <c r="AW5" s="85">
        <v>4.1840000000000002</v>
      </c>
    </row>
    <row r="6" spans="1:49" ht="15.75" thickBot="1" x14ac:dyDescent="0.3">
      <c r="A6" s="180" t="s">
        <v>466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33"/>
      <c r="S6" s="17"/>
      <c r="T6" s="17"/>
      <c r="U6" s="17"/>
      <c r="V6" s="17"/>
      <c r="W6" s="185">
        <f t="shared" si="0"/>
        <v>0</v>
      </c>
      <c r="X6" s="186">
        <f t="shared" si="1"/>
        <v>0</v>
      </c>
      <c r="Y6" s="186">
        <f t="shared" si="2"/>
        <v>0</v>
      </c>
      <c r="Z6" s="187">
        <f t="shared" si="10"/>
        <v>0</v>
      </c>
      <c r="AA6" s="187">
        <f t="shared" si="3"/>
        <v>0</v>
      </c>
      <c r="AB6" s="188">
        <f t="shared" si="4"/>
        <v>0</v>
      </c>
      <c r="AC6" s="188">
        <f t="shared" si="5"/>
        <v>0</v>
      </c>
      <c r="AD6" s="189">
        <f t="shared" si="6"/>
        <v>0</v>
      </c>
      <c r="AE6" s="189">
        <f t="shared" si="7"/>
        <v>0</v>
      </c>
      <c r="AF6" s="190">
        <f t="shared" si="8"/>
        <v>0</v>
      </c>
      <c r="AG6" s="190">
        <f t="shared" si="9"/>
        <v>0</v>
      </c>
    </row>
    <row r="7" spans="1:49" ht="15.75" thickBot="1" x14ac:dyDescent="0.3">
      <c r="A7" s="180" t="s">
        <v>469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33"/>
      <c r="S7" s="17"/>
      <c r="T7" s="17"/>
      <c r="U7" s="17"/>
      <c r="V7" s="17"/>
      <c r="W7" s="185">
        <f t="shared" si="0"/>
        <v>0</v>
      </c>
      <c r="X7" s="186">
        <f t="shared" si="1"/>
        <v>0</v>
      </c>
      <c r="Y7" s="186">
        <f t="shared" si="2"/>
        <v>0</v>
      </c>
      <c r="Z7" s="187">
        <f>(C7+U7)*($AW$3*$AW$4*10^-3/$AW$5)</f>
        <v>0</v>
      </c>
      <c r="AA7" s="187">
        <f>((((2-0)/(2-E7))*C7+(1-((2-0)/(2-E7)))*D7)+U7)*($AW$3*$AW$4*10^-3/$AW$5)</f>
        <v>0</v>
      </c>
      <c r="AB7" s="188">
        <f t="shared" si="4"/>
        <v>0</v>
      </c>
      <c r="AC7" s="188">
        <f t="shared" si="5"/>
        <v>0</v>
      </c>
      <c r="AD7" s="189">
        <f t="shared" si="6"/>
        <v>0</v>
      </c>
      <c r="AE7" s="189">
        <f t="shared" si="7"/>
        <v>0</v>
      </c>
      <c r="AF7" s="190">
        <f t="shared" si="8"/>
        <v>0</v>
      </c>
      <c r="AG7" s="190">
        <f t="shared" si="9"/>
        <v>0</v>
      </c>
      <c r="AV7" s="86" t="s">
        <v>137</v>
      </c>
      <c r="AW7" s="32"/>
    </row>
    <row r="8" spans="1:49" x14ac:dyDescent="0.25">
      <c r="A8" s="180" t="s">
        <v>467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33"/>
      <c r="S8" s="17"/>
      <c r="T8" s="17"/>
      <c r="U8" s="17"/>
      <c r="V8" s="17"/>
      <c r="W8" s="185">
        <f t="shared" si="0"/>
        <v>0</v>
      </c>
      <c r="X8" s="186">
        <f t="shared" si="1"/>
        <v>0</v>
      </c>
      <c r="Y8" s="186">
        <f t="shared" si="2"/>
        <v>0</v>
      </c>
      <c r="Z8" s="187">
        <f t="shared" si="10"/>
        <v>0</v>
      </c>
      <c r="AA8" s="187">
        <f t="shared" si="3"/>
        <v>0</v>
      </c>
      <c r="AB8" s="188">
        <f t="shared" si="4"/>
        <v>0</v>
      </c>
      <c r="AC8" s="188">
        <f t="shared" si="5"/>
        <v>0</v>
      </c>
      <c r="AD8" s="189">
        <f t="shared" si="6"/>
        <v>0</v>
      </c>
      <c r="AE8" s="189">
        <f t="shared" si="7"/>
        <v>0</v>
      </c>
      <c r="AF8" s="190">
        <f t="shared" si="8"/>
        <v>0</v>
      </c>
      <c r="AG8" s="190">
        <f t="shared" si="9"/>
        <v>0</v>
      </c>
      <c r="AV8" s="87" t="s">
        <v>138</v>
      </c>
      <c r="AW8" s="106">
        <v>1500</v>
      </c>
    </row>
    <row r="9" spans="1:49" x14ac:dyDescent="0.25">
      <c r="A9" s="180" t="s">
        <v>468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33"/>
      <c r="S9" s="17"/>
      <c r="T9" s="17"/>
      <c r="U9" s="17"/>
      <c r="V9" s="17"/>
      <c r="W9" s="185">
        <f t="shared" si="0"/>
        <v>0</v>
      </c>
      <c r="X9" s="186">
        <f t="shared" si="1"/>
        <v>0</v>
      </c>
      <c r="Y9" s="186">
        <f t="shared" si="2"/>
        <v>0</v>
      </c>
      <c r="Z9" s="187">
        <f t="shared" si="10"/>
        <v>0</v>
      </c>
      <c r="AA9" s="187">
        <f t="shared" si="3"/>
        <v>0</v>
      </c>
      <c r="AB9" s="188">
        <f t="shared" si="4"/>
        <v>0</v>
      </c>
      <c r="AC9" s="188">
        <f t="shared" si="5"/>
        <v>0</v>
      </c>
      <c r="AD9" s="189">
        <f t="shared" si="6"/>
        <v>0</v>
      </c>
      <c r="AE9" s="189">
        <f t="shared" si="7"/>
        <v>0</v>
      </c>
      <c r="AF9" s="190">
        <f t="shared" si="8"/>
        <v>0</v>
      </c>
      <c r="AG9" s="190">
        <f t="shared" si="9"/>
        <v>0</v>
      </c>
      <c r="AV9" s="88" t="s">
        <v>139</v>
      </c>
      <c r="AW9" s="89">
        <v>120</v>
      </c>
    </row>
    <row r="10" spans="1:49" x14ac:dyDescent="0.25">
      <c r="A10" s="180" t="s">
        <v>470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33"/>
      <c r="S10" s="17"/>
      <c r="T10" s="17"/>
      <c r="U10" s="17"/>
      <c r="V10" s="17"/>
      <c r="W10" s="185">
        <f t="shared" si="0"/>
        <v>0</v>
      </c>
      <c r="X10" s="186">
        <f t="shared" si="1"/>
        <v>0</v>
      </c>
      <c r="Y10" s="186">
        <f t="shared" si="2"/>
        <v>0</v>
      </c>
      <c r="Z10" s="187">
        <f t="shared" si="10"/>
        <v>0</v>
      </c>
      <c r="AA10" s="187">
        <f t="shared" si="3"/>
        <v>0</v>
      </c>
      <c r="AB10" s="188">
        <f t="shared" si="4"/>
        <v>0</v>
      </c>
      <c r="AC10" s="188">
        <f t="shared" si="5"/>
        <v>0</v>
      </c>
      <c r="AD10" s="189">
        <f t="shared" si="6"/>
        <v>0</v>
      </c>
      <c r="AE10" s="189">
        <f t="shared" si="7"/>
        <v>0</v>
      </c>
      <c r="AF10" s="190">
        <f t="shared" si="8"/>
        <v>0</v>
      </c>
      <c r="AG10" s="190">
        <f t="shared" si="9"/>
        <v>0</v>
      </c>
      <c r="AV10" s="88" t="s">
        <v>140</v>
      </c>
      <c r="AW10" s="107">
        <v>298</v>
      </c>
    </row>
    <row r="11" spans="1:49" x14ac:dyDescent="0.25">
      <c r="A11" s="180" t="s">
        <v>471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33"/>
      <c r="S11" s="17"/>
      <c r="T11" s="17"/>
      <c r="U11" s="17"/>
      <c r="V11" s="17"/>
      <c r="W11" s="185">
        <f t="shared" si="0"/>
        <v>0</v>
      </c>
      <c r="X11" s="186">
        <f t="shared" si="1"/>
        <v>0</v>
      </c>
      <c r="Y11" s="186">
        <f t="shared" si="2"/>
        <v>0</v>
      </c>
      <c r="Z11" s="187">
        <f t="shared" si="10"/>
        <v>0</v>
      </c>
      <c r="AA11" s="187">
        <f t="shared" si="3"/>
        <v>0</v>
      </c>
      <c r="AB11" s="188">
        <f t="shared" si="4"/>
        <v>0</v>
      </c>
      <c r="AC11" s="188">
        <f t="shared" si="5"/>
        <v>0</v>
      </c>
      <c r="AD11" s="189">
        <f t="shared" si="6"/>
        <v>0</v>
      </c>
      <c r="AE11" s="189">
        <f t="shared" si="7"/>
        <v>0</v>
      </c>
      <c r="AF11" s="190">
        <f t="shared" si="8"/>
        <v>0</v>
      </c>
      <c r="AG11" s="190">
        <f t="shared" si="9"/>
        <v>0</v>
      </c>
      <c r="AV11" s="88" t="s">
        <v>152</v>
      </c>
      <c r="AW11" s="108">
        <f>6.62606896E-34/(2*AW14)</f>
        <v>1.0545716294567979E-34</v>
      </c>
    </row>
    <row r="12" spans="1:49" x14ac:dyDescent="0.25">
      <c r="A12" s="180" t="s">
        <v>472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33"/>
      <c r="S12" s="17"/>
      <c r="T12" s="17"/>
      <c r="U12" s="17"/>
      <c r="V12" s="17"/>
      <c r="W12" s="185">
        <f t="shared" si="0"/>
        <v>0</v>
      </c>
      <c r="X12" s="186">
        <f t="shared" si="1"/>
        <v>0</v>
      </c>
      <c r="Y12" s="186">
        <f t="shared" si="2"/>
        <v>0</v>
      </c>
      <c r="Z12" s="187">
        <f t="shared" si="10"/>
        <v>0</v>
      </c>
      <c r="AA12" s="187">
        <f t="shared" si="3"/>
        <v>0</v>
      </c>
      <c r="AB12" s="188">
        <f t="shared" si="4"/>
        <v>0</v>
      </c>
      <c r="AC12" s="188">
        <f t="shared" si="5"/>
        <v>0</v>
      </c>
      <c r="AD12" s="189">
        <f t="shared" si="6"/>
        <v>0</v>
      </c>
      <c r="AE12" s="189">
        <f t="shared" si="7"/>
        <v>0</v>
      </c>
      <c r="AF12" s="190">
        <f t="shared" si="8"/>
        <v>0</v>
      </c>
      <c r="AG12" s="190">
        <f t="shared" si="9"/>
        <v>0</v>
      </c>
      <c r="AV12" s="88" t="s">
        <v>141</v>
      </c>
      <c r="AW12" s="109">
        <v>6.6260695699999996E-34</v>
      </c>
    </row>
    <row r="13" spans="1:49" x14ac:dyDescent="0.25">
      <c r="A13" s="180" t="s">
        <v>474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33"/>
      <c r="S13" s="17"/>
      <c r="T13" s="17"/>
      <c r="U13" s="17"/>
      <c r="V13" s="17"/>
      <c r="W13" s="185">
        <f t="shared" si="0"/>
        <v>0</v>
      </c>
      <c r="X13" s="186">
        <f t="shared" si="1"/>
        <v>0</v>
      </c>
      <c r="Y13" s="186">
        <f t="shared" si="2"/>
        <v>0</v>
      </c>
      <c r="Z13" s="187">
        <f t="shared" si="10"/>
        <v>0</v>
      </c>
      <c r="AA13" s="187">
        <f t="shared" si="3"/>
        <v>0</v>
      </c>
      <c r="AB13" s="188">
        <f t="shared" si="4"/>
        <v>0</v>
      </c>
      <c r="AC13" s="188">
        <f t="shared" si="5"/>
        <v>0</v>
      </c>
      <c r="AD13" s="189">
        <f t="shared" si="6"/>
        <v>0</v>
      </c>
      <c r="AE13" s="189">
        <f t="shared" si="7"/>
        <v>0</v>
      </c>
      <c r="AF13" s="190">
        <f t="shared" si="8"/>
        <v>0</v>
      </c>
      <c r="AG13" s="190">
        <f t="shared" si="9"/>
        <v>0</v>
      </c>
      <c r="AV13" s="88" t="s">
        <v>142</v>
      </c>
      <c r="AW13" s="110">
        <v>1.3806488E-23</v>
      </c>
    </row>
    <row r="14" spans="1:49" x14ac:dyDescent="0.25">
      <c r="A14" s="180" t="s">
        <v>473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33"/>
      <c r="S14" s="17"/>
      <c r="T14" s="17"/>
      <c r="U14" s="17"/>
      <c r="V14" s="17"/>
      <c r="W14" s="185">
        <f t="shared" si="0"/>
        <v>0</v>
      </c>
      <c r="X14" s="186">
        <f t="shared" si="1"/>
        <v>0</v>
      </c>
      <c r="Y14" s="186">
        <f t="shared" si="2"/>
        <v>0</v>
      </c>
      <c r="Z14" s="187">
        <f t="shared" si="10"/>
        <v>0</v>
      </c>
      <c r="AA14" s="187">
        <f t="shared" si="3"/>
        <v>0</v>
      </c>
      <c r="AB14" s="188">
        <f t="shared" si="4"/>
        <v>0</v>
      </c>
      <c r="AC14" s="188">
        <f t="shared" si="5"/>
        <v>0</v>
      </c>
      <c r="AD14" s="189">
        <f t="shared" si="6"/>
        <v>0</v>
      </c>
      <c r="AE14" s="189">
        <f t="shared" si="7"/>
        <v>0</v>
      </c>
      <c r="AF14" s="190">
        <f t="shared" si="8"/>
        <v>0</v>
      </c>
      <c r="AG14" s="190">
        <f t="shared" si="9"/>
        <v>0</v>
      </c>
      <c r="AV14" s="91" t="s">
        <v>143</v>
      </c>
      <c r="AW14" s="110">
        <v>3.1415926500000002</v>
      </c>
    </row>
    <row r="15" spans="1:49" x14ac:dyDescent="0.25">
      <c r="A15" s="180" t="s">
        <v>475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33"/>
      <c r="S15" s="17"/>
      <c r="T15" s="17"/>
      <c r="U15" s="17"/>
      <c r="V15" s="17"/>
      <c r="W15" s="185">
        <f t="shared" si="0"/>
        <v>0</v>
      </c>
      <c r="X15" s="186">
        <f t="shared" si="1"/>
        <v>0</v>
      </c>
      <c r="Y15" s="186">
        <f t="shared" si="2"/>
        <v>0</v>
      </c>
      <c r="Z15" s="187">
        <f t="shared" si="10"/>
        <v>0</v>
      </c>
      <c r="AA15" s="187">
        <f t="shared" si="3"/>
        <v>0</v>
      </c>
      <c r="AB15" s="188">
        <f t="shared" si="4"/>
        <v>0</v>
      </c>
      <c r="AC15" s="188">
        <f t="shared" si="5"/>
        <v>0</v>
      </c>
      <c r="AD15" s="189">
        <f t="shared" si="6"/>
        <v>0</v>
      </c>
      <c r="AE15" s="189">
        <f t="shared" si="7"/>
        <v>0</v>
      </c>
      <c r="AF15" s="190">
        <f t="shared" si="8"/>
        <v>0</v>
      </c>
      <c r="AG15" s="190">
        <f t="shared" si="9"/>
        <v>0</v>
      </c>
      <c r="AV15" s="92" t="s">
        <v>144</v>
      </c>
      <c r="AW15" s="111">
        <f>AW13*AW16</f>
        <v>8.3144603644319997</v>
      </c>
    </row>
    <row r="16" spans="1:49" x14ac:dyDescent="0.25">
      <c r="A16" s="180" t="s">
        <v>479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33"/>
      <c r="S16" s="17"/>
      <c r="T16" s="17"/>
      <c r="U16" s="17"/>
      <c r="V16" s="17"/>
      <c r="W16" s="185">
        <f t="shared" si="0"/>
        <v>0</v>
      </c>
      <c r="X16" s="186">
        <f t="shared" si="1"/>
        <v>0</v>
      </c>
      <c r="Y16" s="186">
        <f t="shared" si="2"/>
        <v>0</v>
      </c>
      <c r="Z16" s="187">
        <f t="shared" si="10"/>
        <v>0</v>
      </c>
      <c r="AA16" s="187">
        <f t="shared" si="3"/>
        <v>0</v>
      </c>
      <c r="AB16" s="188">
        <f t="shared" si="4"/>
        <v>0</v>
      </c>
      <c r="AC16" s="188">
        <f t="shared" si="5"/>
        <v>0</v>
      </c>
      <c r="AD16" s="189">
        <f t="shared" si="6"/>
        <v>0</v>
      </c>
      <c r="AE16" s="189">
        <f t="shared" si="7"/>
        <v>0</v>
      </c>
      <c r="AF16" s="190">
        <f t="shared" si="8"/>
        <v>0</v>
      </c>
      <c r="AG16" s="190">
        <f t="shared" si="9"/>
        <v>0</v>
      </c>
      <c r="AV16" s="88" t="s">
        <v>145</v>
      </c>
      <c r="AW16" s="110">
        <v>6.0221399999999997E+23</v>
      </c>
    </row>
    <row r="17" spans="1:49" ht="15.75" thickBot="1" x14ac:dyDescent="0.3">
      <c r="A17" s="180" t="s">
        <v>478</v>
      </c>
      <c r="B17" s="17">
        <v>-302.87852171999998</v>
      </c>
      <c r="C17" s="17">
        <v>-302.92316371999999</v>
      </c>
      <c r="D17" s="17">
        <v>-302.918318865</v>
      </c>
      <c r="E17" s="17">
        <v>0.96099999999999997</v>
      </c>
      <c r="F17" s="17">
        <v>-302.99850852100002</v>
      </c>
      <c r="G17" s="17"/>
      <c r="H17" s="17">
        <v>0.96079999999999999</v>
      </c>
      <c r="I17" s="17">
        <v>-303.00661355699998</v>
      </c>
      <c r="J17" s="17"/>
      <c r="K17" s="17">
        <v>0.96</v>
      </c>
      <c r="L17" s="17">
        <v>-303.01191985000003</v>
      </c>
      <c r="M17" s="17"/>
      <c r="N17" s="17">
        <v>0.95989999999999998</v>
      </c>
      <c r="O17" s="17">
        <v>-9.5</v>
      </c>
      <c r="P17" s="17"/>
      <c r="Q17" s="17">
        <v>0.96699999999999997</v>
      </c>
      <c r="R17" s="33">
        <v>319.57</v>
      </c>
      <c r="S17" s="17"/>
      <c r="T17" s="17">
        <v>5.0706000000000001E-2</v>
      </c>
      <c r="U17" s="17">
        <v>5.8467999999999999E-2</v>
      </c>
      <c r="V17" s="17">
        <v>2.0412E-2</v>
      </c>
      <c r="W17" s="185">
        <f t="shared" si="0"/>
        <v>23.880493246662699</v>
      </c>
      <c r="X17" s="186">
        <f t="shared" si="1"/>
        <v>-9.5</v>
      </c>
      <c r="Y17" s="186">
        <f t="shared" si="2"/>
        <v>-18.393030009680544</v>
      </c>
      <c r="Z17" s="187">
        <f t="shared" si="10"/>
        <v>-190050.40784091898</v>
      </c>
      <c r="AA17" s="187">
        <f t="shared" si="3"/>
        <v>-190053.21979858592</v>
      </c>
      <c r="AB17" s="188">
        <f t="shared" si="4"/>
        <v>-190097.68740291847</v>
      </c>
      <c r="AC17" s="188">
        <f t="shared" si="5"/>
        <v>-365887.8231345411</v>
      </c>
      <c r="AD17" s="189">
        <f t="shared" si="6"/>
        <v>-190102.77338824171</v>
      </c>
      <c r="AE17" s="189">
        <f t="shared" si="7"/>
        <v>-365616.12348143407</v>
      </c>
      <c r="AF17" s="190">
        <f t="shared" si="8"/>
        <v>-190106.10313635378</v>
      </c>
      <c r="AG17" s="190">
        <f t="shared" si="9"/>
        <v>-365587.37068358262</v>
      </c>
      <c r="AV17" s="90" t="s">
        <v>153</v>
      </c>
      <c r="AW17" s="112">
        <v>29979245800</v>
      </c>
    </row>
    <row r="18" spans="1:49" x14ac:dyDescent="0.25">
      <c r="A18" s="180" t="s">
        <v>480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33"/>
      <c r="S18" s="17"/>
      <c r="T18" s="17"/>
      <c r="U18" s="17"/>
      <c r="V18" s="17"/>
      <c r="W18" s="185">
        <f t="shared" si="0"/>
        <v>0</v>
      </c>
      <c r="X18" s="186">
        <f t="shared" si="1"/>
        <v>0</v>
      </c>
      <c r="Y18" s="186">
        <f t="shared" si="2"/>
        <v>0</v>
      </c>
      <c r="Z18" s="187">
        <f t="shared" si="10"/>
        <v>0</v>
      </c>
      <c r="AA18" s="187">
        <f t="shared" si="3"/>
        <v>0</v>
      </c>
      <c r="AB18" s="188">
        <f t="shared" si="4"/>
        <v>0</v>
      </c>
      <c r="AC18" s="188">
        <f t="shared" si="5"/>
        <v>0</v>
      </c>
      <c r="AD18" s="189">
        <f t="shared" si="6"/>
        <v>0</v>
      </c>
      <c r="AE18" s="189">
        <f t="shared" si="7"/>
        <v>0</v>
      </c>
      <c r="AF18" s="190">
        <f t="shared" si="8"/>
        <v>0</v>
      </c>
      <c r="AG18" s="190">
        <f t="shared" si="9"/>
        <v>0</v>
      </c>
      <c r="AV18" s="87" t="s">
        <v>154</v>
      </c>
      <c r="AW18" s="93">
        <f>((2*AW14)/(AW12*AW8*AW17))</f>
        <v>2.1086859989577299E+20</v>
      </c>
    </row>
    <row r="19" spans="1:49" ht="15.75" thickBot="1" x14ac:dyDescent="0.3">
      <c r="A19" s="18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33"/>
      <c r="S19" s="17"/>
      <c r="T19" s="17"/>
      <c r="U19" s="17"/>
      <c r="V19" s="17"/>
      <c r="W19" s="185">
        <f t="shared" si="0"/>
        <v>0</v>
      </c>
      <c r="X19" s="186">
        <f t="shared" si="1"/>
        <v>0</v>
      </c>
      <c r="Y19" s="186">
        <f t="shared" si="2"/>
        <v>0</v>
      </c>
      <c r="Z19" s="187">
        <f t="shared" si="10"/>
        <v>0</v>
      </c>
      <c r="AA19" s="187">
        <f t="shared" si="3"/>
        <v>0</v>
      </c>
      <c r="AB19" s="188">
        <f t="shared" si="4"/>
        <v>0</v>
      </c>
      <c r="AC19" s="188">
        <f t="shared" si="5"/>
        <v>0</v>
      </c>
      <c r="AD19" s="189">
        <f t="shared" si="6"/>
        <v>0</v>
      </c>
      <c r="AE19" s="189">
        <f t="shared" si="7"/>
        <v>0</v>
      </c>
      <c r="AF19" s="190">
        <f t="shared" si="8"/>
        <v>0</v>
      </c>
      <c r="AG19" s="190">
        <f t="shared" si="9"/>
        <v>0</v>
      </c>
      <c r="AV19" s="90" t="s">
        <v>155</v>
      </c>
      <c r="AW19" s="94">
        <f>(1/(AW13*AW10))</f>
        <v>2.430527370890104E+20</v>
      </c>
    </row>
    <row r="20" spans="1:49" x14ac:dyDescent="0.25">
      <c r="A20" s="180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33"/>
      <c r="S20" s="17"/>
      <c r="T20" s="17"/>
      <c r="U20" s="17"/>
      <c r="V20" s="17"/>
      <c r="W20" s="185">
        <f t="shared" si="0"/>
        <v>0</v>
      </c>
      <c r="X20" s="186">
        <f t="shared" si="1"/>
        <v>0</v>
      </c>
      <c r="Y20" s="186">
        <f t="shared" si="2"/>
        <v>0</v>
      </c>
      <c r="Z20" s="187">
        <f t="shared" si="10"/>
        <v>0</v>
      </c>
      <c r="AA20" s="187">
        <f t="shared" si="3"/>
        <v>0</v>
      </c>
      <c r="AB20" s="188">
        <f t="shared" si="4"/>
        <v>0</v>
      </c>
      <c r="AC20" s="188">
        <f t="shared" si="5"/>
        <v>0</v>
      </c>
      <c r="AD20" s="189">
        <f t="shared" si="6"/>
        <v>0</v>
      </c>
      <c r="AE20" s="189">
        <f t="shared" si="7"/>
        <v>0</v>
      </c>
      <c r="AF20" s="190">
        <f t="shared" si="8"/>
        <v>0</v>
      </c>
      <c r="AG20" s="190">
        <f t="shared" si="9"/>
        <v>0</v>
      </c>
      <c r="AV20" s="22" t="s">
        <v>146</v>
      </c>
      <c r="AW20" s="95">
        <f>((AW19*AW14)/AW18)/SIN((AW19*AW14)/AW18)-(AW19/(AW18-AW19))*EXP((AW19-AW18)*((AW9*1000/AW16)))</f>
        <v>4597.4715492277492</v>
      </c>
    </row>
    <row r="21" spans="1:49" ht="15.75" thickBot="1" x14ac:dyDescent="0.3">
      <c r="A21" s="18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33"/>
      <c r="S21" s="17"/>
      <c r="T21" s="17"/>
      <c r="U21" s="17"/>
      <c r="V21" s="17"/>
      <c r="W21" s="185">
        <f t="shared" si="0"/>
        <v>0</v>
      </c>
      <c r="X21" s="186">
        <f t="shared" si="1"/>
        <v>0</v>
      </c>
      <c r="Y21" s="186">
        <f t="shared" si="2"/>
        <v>0</v>
      </c>
      <c r="Z21" s="187">
        <f t="shared" si="10"/>
        <v>0</v>
      </c>
      <c r="AA21" s="187">
        <f t="shared" si="3"/>
        <v>0</v>
      </c>
      <c r="AB21" s="188">
        <f t="shared" si="4"/>
        <v>0</v>
      </c>
      <c r="AC21" s="188">
        <f t="shared" si="5"/>
        <v>0</v>
      </c>
      <c r="AD21" s="189">
        <f t="shared" si="6"/>
        <v>0</v>
      </c>
      <c r="AE21" s="189">
        <f t="shared" si="7"/>
        <v>0</v>
      </c>
      <c r="AF21" s="190">
        <f t="shared" si="8"/>
        <v>0</v>
      </c>
      <c r="AG21" s="190">
        <f t="shared" si="9"/>
        <v>0</v>
      </c>
      <c r="AV21" s="72" t="s">
        <v>156</v>
      </c>
      <c r="AW21" s="181">
        <f>(AW15*AW10*LN(AW20)/1000)/AW5</f>
        <v>4.9940655288742128</v>
      </c>
    </row>
    <row r="22" spans="1:49" x14ac:dyDescent="0.25">
      <c r="A22" s="180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33"/>
      <c r="S22" s="17"/>
      <c r="T22" s="17"/>
      <c r="U22" s="17"/>
      <c r="V22" s="17"/>
      <c r="W22" s="185">
        <f t="shared" si="0"/>
        <v>0</v>
      </c>
      <c r="X22" s="186">
        <f t="shared" si="1"/>
        <v>0</v>
      </c>
      <c r="Y22" s="186">
        <f t="shared" si="2"/>
        <v>0</v>
      </c>
      <c r="Z22" s="187">
        <f t="shared" si="10"/>
        <v>0</v>
      </c>
      <c r="AA22" s="187">
        <f t="shared" si="3"/>
        <v>0</v>
      </c>
      <c r="AB22" s="188">
        <f t="shared" si="4"/>
        <v>0</v>
      </c>
      <c r="AC22" s="188">
        <f t="shared" si="5"/>
        <v>0</v>
      </c>
      <c r="AD22" s="189">
        <f t="shared" si="6"/>
        <v>0</v>
      </c>
      <c r="AE22" s="189">
        <f t="shared" si="7"/>
        <v>0</v>
      </c>
      <c r="AF22" s="190">
        <f t="shared" si="8"/>
        <v>0</v>
      </c>
      <c r="AG22" s="190">
        <f t="shared" si="9"/>
        <v>0</v>
      </c>
      <c r="AV22" s="22" t="s">
        <v>147</v>
      </c>
      <c r="AW22" s="95">
        <f>(AW19/(AW19-AW18))*(EXP((AW19-AW18)*((AW9)*1000/AW16))-1)</f>
        <v>4597.7688830120951</v>
      </c>
    </row>
    <row r="23" spans="1:49" ht="15.75" thickBot="1" x14ac:dyDescent="0.3">
      <c r="A23" s="180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3"/>
      <c r="S23" s="17"/>
      <c r="T23" s="17"/>
      <c r="U23" s="17"/>
      <c r="V23" s="17"/>
      <c r="W23" s="185">
        <f t="shared" si="0"/>
        <v>0</v>
      </c>
      <c r="X23" s="186">
        <f t="shared" si="1"/>
        <v>0</v>
      </c>
      <c r="Y23" s="186">
        <f t="shared" si="2"/>
        <v>0</v>
      </c>
      <c r="Z23" s="187">
        <f t="shared" si="10"/>
        <v>0</v>
      </c>
      <c r="AA23" s="187">
        <f t="shared" si="3"/>
        <v>0</v>
      </c>
      <c r="AB23" s="188">
        <f t="shared" si="4"/>
        <v>0</v>
      </c>
      <c r="AC23" s="188">
        <f t="shared" si="5"/>
        <v>0</v>
      </c>
      <c r="AD23" s="189">
        <f t="shared" si="6"/>
        <v>0</v>
      </c>
      <c r="AE23" s="189">
        <f t="shared" si="7"/>
        <v>0</v>
      </c>
      <c r="AF23" s="190">
        <f t="shared" si="8"/>
        <v>0</v>
      </c>
      <c r="AG23" s="190">
        <f t="shared" si="9"/>
        <v>0</v>
      </c>
      <c r="AV23" s="72" t="s">
        <v>157</v>
      </c>
      <c r="AW23" s="182">
        <f>(AW15*AW10*LN(AW22)/1000)/AW5</f>
        <v>4.9941038263209094</v>
      </c>
    </row>
    <row r="24" spans="1:49" ht="15.75" thickBot="1" x14ac:dyDescent="0.3">
      <c r="A24" s="180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33"/>
      <c r="S24" s="17"/>
      <c r="T24" s="17"/>
      <c r="U24" s="17"/>
      <c r="V24" s="17"/>
      <c r="W24" s="185">
        <f t="shared" si="0"/>
        <v>0</v>
      </c>
      <c r="X24" s="186">
        <f t="shared" si="1"/>
        <v>0</v>
      </c>
      <c r="Y24" s="186">
        <f t="shared" si="2"/>
        <v>0</v>
      </c>
      <c r="Z24" s="187">
        <f t="shared" si="10"/>
        <v>0</v>
      </c>
      <c r="AA24" s="187">
        <f t="shared" si="3"/>
        <v>0</v>
      </c>
      <c r="AB24" s="188">
        <f t="shared" si="4"/>
        <v>0</v>
      </c>
      <c r="AC24" s="188">
        <f t="shared" si="5"/>
        <v>0</v>
      </c>
      <c r="AD24" s="189">
        <f t="shared" si="6"/>
        <v>0</v>
      </c>
      <c r="AE24" s="189">
        <f t="shared" si="7"/>
        <v>0</v>
      </c>
      <c r="AF24" s="190">
        <f t="shared" si="8"/>
        <v>0</v>
      </c>
      <c r="AG24" s="190">
        <f t="shared" si="9"/>
        <v>0</v>
      </c>
      <c r="AV24" s="96" t="s">
        <v>158</v>
      </c>
      <c r="AW24" s="97"/>
    </row>
    <row r="25" spans="1:49" x14ac:dyDescent="0.25">
      <c r="A25" s="180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33"/>
      <c r="S25" s="17"/>
      <c r="T25" s="17"/>
      <c r="U25" s="17"/>
      <c r="V25" s="17"/>
      <c r="W25" s="185">
        <f t="shared" si="0"/>
        <v>0</v>
      </c>
      <c r="X25" s="186">
        <f t="shared" si="1"/>
        <v>0</v>
      </c>
      <c r="Y25" s="186">
        <f t="shared" si="2"/>
        <v>0</v>
      </c>
      <c r="Z25" s="187">
        <f t="shared" si="10"/>
        <v>0</v>
      </c>
      <c r="AA25" s="187">
        <f t="shared" si="3"/>
        <v>0</v>
      </c>
      <c r="AB25" s="188">
        <f t="shared" si="4"/>
        <v>0</v>
      </c>
      <c r="AC25" s="188">
        <f t="shared" si="5"/>
        <v>0</v>
      </c>
      <c r="AD25" s="189">
        <f t="shared" si="6"/>
        <v>0</v>
      </c>
      <c r="AE25" s="189">
        <f t="shared" si="7"/>
        <v>0</v>
      </c>
      <c r="AF25" s="190">
        <f t="shared" si="8"/>
        <v>0</v>
      </c>
      <c r="AG25" s="190">
        <f t="shared" si="9"/>
        <v>0</v>
      </c>
      <c r="AV25" s="98" t="s">
        <v>148</v>
      </c>
      <c r="AW25" s="99">
        <f>1+(1/24)*(AW12*AW8*AW17/(AW10*AW13))^2</f>
        <v>3.1853736253930029</v>
      </c>
    </row>
    <row r="26" spans="1:49" x14ac:dyDescent="0.25">
      <c r="A26" s="180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33"/>
      <c r="S26" s="17"/>
      <c r="T26" s="17"/>
      <c r="U26" s="17"/>
      <c r="V26" s="17"/>
      <c r="W26" s="185">
        <f t="shared" si="0"/>
        <v>0</v>
      </c>
      <c r="X26" s="186">
        <f t="shared" si="1"/>
        <v>0</v>
      </c>
      <c r="Y26" s="186">
        <f t="shared" si="2"/>
        <v>0</v>
      </c>
      <c r="Z26" s="187">
        <f t="shared" si="10"/>
        <v>0</v>
      </c>
      <c r="AA26" s="187">
        <f t="shared" si="3"/>
        <v>0</v>
      </c>
      <c r="AB26" s="188">
        <f t="shared" si="4"/>
        <v>0</v>
      </c>
      <c r="AC26" s="188">
        <f t="shared" si="5"/>
        <v>0</v>
      </c>
      <c r="AD26" s="189">
        <f t="shared" si="6"/>
        <v>0</v>
      </c>
      <c r="AE26" s="189">
        <f t="shared" si="7"/>
        <v>0</v>
      </c>
      <c r="AF26" s="190">
        <f t="shared" si="8"/>
        <v>0</v>
      </c>
      <c r="AG26" s="190">
        <f t="shared" si="9"/>
        <v>0</v>
      </c>
      <c r="AV26" s="98" t="s">
        <v>159</v>
      </c>
      <c r="AW26" s="99">
        <f>(AW10*AW13)/(AW8*AW12*AW17)</f>
        <v>0.13808023911426928</v>
      </c>
    </row>
    <row r="27" spans="1:49" ht="15.75" thickBot="1" x14ac:dyDescent="0.3">
      <c r="A27" s="18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33"/>
      <c r="S27" s="17"/>
      <c r="T27" s="17"/>
      <c r="U27" s="17"/>
      <c r="V27" s="17"/>
      <c r="W27" s="185">
        <f t="shared" si="0"/>
        <v>0</v>
      </c>
      <c r="X27" s="186">
        <f t="shared" si="1"/>
        <v>0</v>
      </c>
      <c r="Y27" s="186">
        <f t="shared" si="2"/>
        <v>0</v>
      </c>
      <c r="Z27" s="187">
        <f t="shared" si="10"/>
        <v>0</v>
      </c>
      <c r="AA27" s="187">
        <f t="shared" si="3"/>
        <v>0</v>
      </c>
      <c r="AB27" s="188">
        <f t="shared" si="4"/>
        <v>0</v>
      </c>
      <c r="AC27" s="188">
        <f t="shared" si="5"/>
        <v>0</v>
      </c>
      <c r="AD27" s="189">
        <f t="shared" si="6"/>
        <v>0</v>
      </c>
      <c r="AE27" s="189">
        <f t="shared" si="7"/>
        <v>0</v>
      </c>
      <c r="AF27" s="190">
        <f t="shared" si="8"/>
        <v>0</v>
      </c>
      <c r="AG27" s="190">
        <f t="shared" si="9"/>
        <v>0</v>
      </c>
      <c r="AV27" s="98" t="s">
        <v>440</v>
      </c>
      <c r="AW27" s="115">
        <f>(AW15*AW10*LN(AW25)/1000)/AW5</f>
        <v>0.68608951211204339</v>
      </c>
    </row>
    <row r="28" spans="1:49" x14ac:dyDescent="0.25">
      <c r="AV28" s="116" t="s">
        <v>160</v>
      </c>
      <c r="AW28" s="26">
        <f>2*2*2</f>
        <v>8</v>
      </c>
    </row>
    <row r="29" spans="1:49" ht="15.75" thickBot="1" x14ac:dyDescent="0.3">
      <c r="AV29" s="102" t="s">
        <v>161</v>
      </c>
      <c r="AW29" s="104">
        <f>(AW10*AW15*LN(AW28)*10^-3)/AW5</f>
        <v>1.2314176422032048</v>
      </c>
    </row>
    <row r="31" spans="1:49" x14ac:dyDescent="0.25">
      <c r="O31" s="6">
        <f>AA17-2*AA3</f>
        <v>28.760287083161529</v>
      </c>
    </row>
    <row r="34" spans="1:33" x14ac:dyDescent="0.25">
      <c r="A34" s="15" t="s">
        <v>507</v>
      </c>
      <c r="B34" s="15"/>
      <c r="C34" s="15"/>
      <c r="D34" s="15"/>
      <c r="E34" s="15"/>
      <c r="F34" s="15"/>
      <c r="G34" s="15"/>
    </row>
    <row r="35" spans="1:33" ht="75" x14ac:dyDescent="0.25">
      <c r="A35" s="167" t="s">
        <v>481</v>
      </c>
      <c r="B35" s="179" t="s">
        <v>432</v>
      </c>
      <c r="C35" s="179" t="s">
        <v>445</v>
      </c>
      <c r="D35" s="179" t="s">
        <v>446</v>
      </c>
      <c r="E35" s="167" t="s">
        <v>433</v>
      </c>
      <c r="F35" s="179" t="s">
        <v>447</v>
      </c>
      <c r="G35" s="179" t="s">
        <v>448</v>
      </c>
      <c r="H35" s="167" t="s">
        <v>449</v>
      </c>
      <c r="I35" s="179" t="s">
        <v>450</v>
      </c>
      <c r="J35" s="179" t="s">
        <v>451</v>
      </c>
      <c r="K35" s="167" t="s">
        <v>452</v>
      </c>
      <c r="L35" s="179" t="s">
        <v>453</v>
      </c>
      <c r="M35" s="179" t="s">
        <v>454</v>
      </c>
      <c r="N35" s="167" t="s">
        <v>455</v>
      </c>
      <c r="O35" s="179" t="s">
        <v>441</v>
      </c>
      <c r="P35" s="179" t="s">
        <v>442</v>
      </c>
      <c r="Q35" s="184" t="s">
        <v>443</v>
      </c>
      <c r="R35" s="179" t="s">
        <v>434</v>
      </c>
      <c r="S35" s="179" t="s">
        <v>435</v>
      </c>
      <c r="T35" s="179" t="s">
        <v>436</v>
      </c>
      <c r="U35" s="179" t="s">
        <v>437</v>
      </c>
      <c r="V35" s="179" t="s">
        <v>438</v>
      </c>
      <c r="W35" s="179" t="s">
        <v>500</v>
      </c>
      <c r="X35" s="191" t="s">
        <v>464</v>
      </c>
      <c r="Y35" s="191" t="s">
        <v>465</v>
      </c>
      <c r="Z35" s="192" t="s">
        <v>457</v>
      </c>
      <c r="AA35" s="192" t="s">
        <v>456</v>
      </c>
      <c r="AB35" s="193" t="s">
        <v>458</v>
      </c>
      <c r="AC35" s="193" t="s">
        <v>459</v>
      </c>
      <c r="AD35" s="194" t="s">
        <v>460</v>
      </c>
      <c r="AE35" s="194" t="s">
        <v>461</v>
      </c>
      <c r="AF35" s="195" t="s">
        <v>462</v>
      </c>
      <c r="AG35" s="195" t="s">
        <v>463</v>
      </c>
    </row>
    <row r="36" spans="1:33" x14ac:dyDescent="0.25">
      <c r="A36" s="180" t="s">
        <v>162</v>
      </c>
      <c r="B36" s="17">
        <v>-151.51445953000001</v>
      </c>
      <c r="C36" s="17">
        <v>-151.52512382899999</v>
      </c>
      <c r="D36" s="17"/>
      <c r="E36" s="17"/>
      <c r="F36" s="17">
        <v>-151.575207173</v>
      </c>
      <c r="G36" s="17"/>
      <c r="H36" s="17"/>
      <c r="I36" s="17">
        <v>-151.57980798299999</v>
      </c>
      <c r="J36" s="17"/>
      <c r="K36" s="17"/>
      <c r="L36" s="17">
        <v>-151.58220105300001</v>
      </c>
      <c r="M36" s="17"/>
      <c r="N36" s="17"/>
      <c r="O36" s="17">
        <v>-9.7799999999999994</v>
      </c>
      <c r="P36" s="17"/>
      <c r="Q36" s="17"/>
      <c r="R36" s="33"/>
      <c r="S36" s="17"/>
      <c r="T36" s="17">
        <v>2.7136E-2</v>
      </c>
      <c r="U36" s="17">
        <v>3.1273000000000002E-2</v>
      </c>
      <c r="V36" s="17">
        <v>4.8849999999999996E-3</v>
      </c>
      <c r="W36" s="185">
        <f>(U36-V36)*($AW$3*$AW$4*10^-3/$AW$5)</f>
        <v>16.558714940953735</v>
      </c>
      <c r="X36" s="186">
        <f>O36</f>
        <v>-9.7799999999999994</v>
      </c>
      <c r="Y36" s="186">
        <f>((((2-0)/(2-Q36))*O36+(1-((2-0)/(2-Q36)))*P36))</f>
        <v>-9.7799999999999994</v>
      </c>
      <c r="Z36" s="187">
        <f>(C36+U36)*($AW$3*$AW$4*10^-3/$AW$5)</f>
        <v>-95063.79760439512</v>
      </c>
      <c r="AA36" s="187">
        <f>((((2-0)/(2-E36))*C36+(1-((2-0)/(2-E36)))*D36)+U36)*($AW$3*$AW$4*10^-3/$AW$5)</f>
        <v>-95063.79760439512</v>
      </c>
      <c r="AB36" s="188">
        <f>(F36+U36)*($AW$3*$AW$4*10^-3/$AW$5)</f>
        <v>-95095.225367643026</v>
      </c>
      <c r="AC36" s="188">
        <f>((((2-0)/(2-H36))*F36+(1-((2-0)/(2-H36)))*G36)+U36)*($AW$3*$AW$4*10^-3/$AW$5)</f>
        <v>-95095.225367643026</v>
      </c>
      <c r="AD36" s="189">
        <f>(I36+U36)*($AW$3*$AW$4*10^-3/$AW$5)</f>
        <v>-95098.112418624063</v>
      </c>
      <c r="AE36" s="189">
        <f>((((2-0)/(2-K36))*I36+(1-((2-0)/(2-K36)))*J36)+U36)*($AW$3*$AW$4*10^-3/$AW$5)</f>
        <v>-95098.112418624063</v>
      </c>
      <c r="AF36" s="190">
        <f>(L36+U36)*($AW$3*$AW$4*10^-3/$AW$5)</f>
        <v>-95099.614092262229</v>
      </c>
      <c r="AG36" s="190">
        <f>((((2-0)/(2-N36))*L36+(1-((2-0)/(2-N36)))*M36)+U36)*($AW$3*$AW$4*10^-3/$AW$5)</f>
        <v>-95099.614092262229</v>
      </c>
    </row>
    <row r="37" spans="1:33" x14ac:dyDescent="0.25">
      <c r="A37" s="180" t="s">
        <v>439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3"/>
      <c r="S37" s="17"/>
      <c r="T37" s="17"/>
      <c r="U37" s="17"/>
      <c r="V37" s="17"/>
      <c r="W37" s="185">
        <f t="shared" ref="W37:W60" si="11">(U37-V37)*($AW$3*$AW$4*10^-3/$AW$5)</f>
        <v>0</v>
      </c>
      <c r="X37" s="186">
        <f t="shared" ref="X37:X60" si="12">O37</f>
        <v>0</v>
      </c>
      <c r="Y37" s="186">
        <f t="shared" ref="Y37:Y60" si="13">((((2-0)/(2-Q37))*O37+(1-((2-0)/(2-Q37)))*P37))</f>
        <v>0</v>
      </c>
      <c r="Z37" s="187">
        <f>(C37+U37)*($AW$3*$AW$4*10^-3/$AW$5)</f>
        <v>0</v>
      </c>
      <c r="AA37" s="187">
        <f>((((2-0)/(2-E37))*C37+(1-((2-0)/(2-E37)))*D37)+U37)*($AW$3*$AW$4*10^-3/$AW$5)</f>
        <v>0</v>
      </c>
      <c r="AB37" s="188">
        <f t="shared" ref="AB37:AB60" si="14">(F37+U37)*($AW$3*$AW$4*10^-3/$AW$5)</f>
        <v>0</v>
      </c>
      <c r="AC37" s="188">
        <f t="shared" ref="AC37:AC60" si="15">((((2-0)/(2-H37))*F37+(1-((2-0)/(2-H37)))*G37)+U37)*($AW$3*$AW$4*10^-3/$AW$5)</f>
        <v>0</v>
      </c>
      <c r="AD37" s="189">
        <f t="shared" ref="AD37:AD60" si="16">(I37+U37)*($AW$3*$AW$4*10^-3/$AW$5)</f>
        <v>0</v>
      </c>
      <c r="AE37" s="189">
        <f t="shared" ref="AE37:AE60" si="17">((((2-0)/(2-K37))*I37+(1-((2-0)/(2-K37)))*J37)+U37)*($AW$3*$AW$4*10^-3/$AW$5)</f>
        <v>0</v>
      </c>
      <c r="AF37" s="190">
        <f t="shared" ref="AF37:AF60" si="18">(L37+U37)*($AW$3*$AW$4*10^-3/$AW$5)</f>
        <v>0</v>
      </c>
      <c r="AG37" s="190">
        <f t="shared" ref="AG37:AG60" si="19">((((2-0)/(2-N37))*L37+(1-((2-0)/(2-N37)))*M37)+U37)*($AW$3*$AW$4*10^-3/$AW$5)</f>
        <v>0</v>
      </c>
    </row>
    <row r="38" spans="1:33" x14ac:dyDescent="0.25">
      <c r="A38" s="180" t="s">
        <v>332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33"/>
      <c r="S38" s="17"/>
      <c r="T38" s="17"/>
      <c r="U38" s="17"/>
      <c r="V38" s="17"/>
      <c r="W38" s="185">
        <f t="shared" si="11"/>
        <v>0</v>
      </c>
      <c r="X38" s="186">
        <f t="shared" si="12"/>
        <v>0</v>
      </c>
      <c r="Y38" s="186">
        <f t="shared" si="13"/>
        <v>0</v>
      </c>
      <c r="Z38" s="187">
        <f>(C38+U38)*($AW$3*$AW$4*10^-3/$AW$5)</f>
        <v>0</v>
      </c>
      <c r="AA38" s="187">
        <f>((((2-0)/(2-E38))*C38+(1-((2-0)/(2-E38)))*D38)+U38)*($AW$3*$AW$4*10^-3/$AW$5)</f>
        <v>0</v>
      </c>
      <c r="AB38" s="188">
        <f t="shared" si="14"/>
        <v>0</v>
      </c>
      <c r="AC38" s="188">
        <f t="shared" si="15"/>
        <v>0</v>
      </c>
      <c r="AD38" s="189">
        <f t="shared" si="16"/>
        <v>0</v>
      </c>
      <c r="AE38" s="189">
        <f t="shared" si="17"/>
        <v>0</v>
      </c>
      <c r="AF38" s="190">
        <f t="shared" si="18"/>
        <v>0</v>
      </c>
      <c r="AG38" s="190">
        <f t="shared" si="19"/>
        <v>0</v>
      </c>
    </row>
    <row r="39" spans="1:33" x14ac:dyDescent="0.25">
      <c r="A39" s="180" t="s">
        <v>466</v>
      </c>
      <c r="B39" s="17">
        <v>-151.43970754</v>
      </c>
      <c r="C39" s="17">
        <v>-151.35712910399999</v>
      </c>
      <c r="D39" s="17">
        <v>-151.45072916699999</v>
      </c>
      <c r="E39" s="17">
        <v>0.98009999999999997</v>
      </c>
      <c r="F39" s="17">
        <v>-151.40577648499999</v>
      </c>
      <c r="G39" s="17">
        <v>-151.49965349999999</v>
      </c>
      <c r="H39" s="17">
        <v>0.98060000000000003</v>
      </c>
      <c r="I39" s="17">
        <v>-151.40850625100001</v>
      </c>
      <c r="J39" s="17">
        <v>-151.50293100600001</v>
      </c>
      <c r="K39" s="17">
        <v>0.9798</v>
      </c>
      <c r="L39" s="17">
        <v>-151.41102629100001</v>
      </c>
      <c r="M39" s="17">
        <v>-151.50533952800001</v>
      </c>
      <c r="N39" s="17">
        <v>0.97950000000000004</v>
      </c>
      <c r="O39" s="17">
        <v>-5.67</v>
      </c>
      <c r="P39" s="17">
        <v>-7.49</v>
      </c>
      <c r="Q39" s="17">
        <v>0.96689999999999998</v>
      </c>
      <c r="R39" s="33">
        <v>-151.43970754</v>
      </c>
      <c r="S39" s="17"/>
      <c r="T39" s="17">
        <v>1.8855E-2</v>
      </c>
      <c r="U39" s="17">
        <v>2.4025000000000001E-2</v>
      </c>
      <c r="V39" s="17">
        <v>-5.2950000000000002E-3</v>
      </c>
      <c r="W39" s="185">
        <f t="shared" si="11"/>
        <v>18.398572156615263</v>
      </c>
      <c r="X39" s="186">
        <f t="shared" si="12"/>
        <v>-5.67</v>
      </c>
      <c r="Y39" s="186">
        <f t="shared" si="13"/>
        <v>-3.9666237537508477</v>
      </c>
      <c r="Z39" s="187">
        <f>(C39+U39)*($AW$3*$AW$4*10^-3/$AW$5)</f>
        <v>-94962.927542360616</v>
      </c>
      <c r="AA39" s="187">
        <f>((((2-0)/(2-E39))*C39+(1-((2-0)/(2-E39)))*D39)+U39)*($AW$3*$AW$4*10^-3/$AW$5)</f>
        <v>-94906.484671805913</v>
      </c>
      <c r="AB39" s="188">
        <f t="shared" si="14"/>
        <v>-94993.454225497</v>
      </c>
      <c r="AC39" s="188">
        <f t="shared" si="15"/>
        <v>-94936.787686789277</v>
      </c>
      <c r="AD39" s="189">
        <f t="shared" si="16"/>
        <v>-94995.167179000477</v>
      </c>
      <c r="AE39" s="189">
        <f t="shared" si="17"/>
        <v>-94938.261168852274</v>
      </c>
      <c r="AF39" s="190">
        <f t="shared" si="18"/>
        <v>-94996.748527492207</v>
      </c>
      <c r="AG39" s="190">
        <f t="shared" si="19"/>
        <v>-94939.943831940138</v>
      </c>
    </row>
    <row r="40" spans="1:33" x14ac:dyDescent="0.25">
      <c r="A40" s="180" t="s">
        <v>469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3"/>
      <c r="S40" s="17"/>
      <c r="T40" s="17"/>
      <c r="U40" s="17"/>
      <c r="V40" s="17"/>
      <c r="W40" s="185">
        <f t="shared" si="11"/>
        <v>0</v>
      </c>
      <c r="X40" s="186">
        <f t="shared" si="12"/>
        <v>0</v>
      </c>
      <c r="Y40" s="186">
        <f t="shared" si="13"/>
        <v>0</v>
      </c>
      <c r="Z40" s="187">
        <f>(C40+U40)*($AW$3*$AW$4*10^-3/$AW$5)</f>
        <v>0</v>
      </c>
      <c r="AA40" s="187">
        <f>((((2-0)/(2-E40))*C40+(1-((2-0)/(2-E40)))*D40)+U40)*($AW$3*$AW$4*10^-3/$AW$5)</f>
        <v>0</v>
      </c>
      <c r="AB40" s="188">
        <f t="shared" si="14"/>
        <v>0</v>
      </c>
      <c r="AC40" s="188">
        <f t="shared" si="15"/>
        <v>0</v>
      </c>
      <c r="AD40" s="189">
        <f t="shared" si="16"/>
        <v>0</v>
      </c>
      <c r="AE40" s="189">
        <f t="shared" si="17"/>
        <v>0</v>
      </c>
      <c r="AF40" s="190">
        <f t="shared" si="18"/>
        <v>0</v>
      </c>
      <c r="AG40" s="190">
        <f t="shared" si="19"/>
        <v>0</v>
      </c>
    </row>
    <row r="41" spans="1:33" x14ac:dyDescent="0.25">
      <c r="A41" s="180" t="s">
        <v>467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33"/>
      <c r="S41" s="17"/>
      <c r="T41" s="17"/>
      <c r="U41" s="17"/>
      <c r="V41" s="17"/>
      <c r="W41" s="185">
        <f t="shared" si="11"/>
        <v>0</v>
      </c>
      <c r="X41" s="186">
        <f t="shared" si="12"/>
        <v>0</v>
      </c>
      <c r="Y41" s="186">
        <f t="shared" si="13"/>
        <v>0</v>
      </c>
      <c r="Z41" s="187">
        <f t="shared" ref="Z41:Z60" si="20">(C41+U41)*($AW$3*$AW$4*10^-3/$AW$5)</f>
        <v>0</v>
      </c>
      <c r="AA41" s="187">
        <f t="shared" ref="AA41:AA60" si="21">((((2-0)/(2-E41))*C41+(1-((2-0)/(2-E41)))*D41)+U41)*($AW$3*$AW$4*10^-3/$AW$5)</f>
        <v>0</v>
      </c>
      <c r="AB41" s="188">
        <f t="shared" si="14"/>
        <v>0</v>
      </c>
      <c r="AC41" s="188">
        <f t="shared" si="15"/>
        <v>0</v>
      </c>
      <c r="AD41" s="189">
        <f t="shared" si="16"/>
        <v>0</v>
      </c>
      <c r="AE41" s="189">
        <f t="shared" si="17"/>
        <v>0</v>
      </c>
      <c r="AF41" s="190">
        <f t="shared" si="18"/>
        <v>0</v>
      </c>
      <c r="AG41" s="190">
        <f t="shared" si="19"/>
        <v>0</v>
      </c>
    </row>
    <row r="42" spans="1:33" x14ac:dyDescent="0.25">
      <c r="A42" s="180" t="s">
        <v>468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3"/>
      <c r="S42" s="17"/>
      <c r="T42" s="17"/>
      <c r="U42" s="17"/>
      <c r="V42" s="17"/>
      <c r="W42" s="185">
        <f t="shared" si="11"/>
        <v>0</v>
      </c>
      <c r="X42" s="186">
        <f t="shared" si="12"/>
        <v>0</v>
      </c>
      <c r="Y42" s="186">
        <f t="shared" si="13"/>
        <v>0</v>
      </c>
      <c r="Z42" s="187">
        <f t="shared" si="20"/>
        <v>0</v>
      </c>
      <c r="AA42" s="187">
        <f t="shared" si="21"/>
        <v>0</v>
      </c>
      <c r="AB42" s="188">
        <f t="shared" si="14"/>
        <v>0</v>
      </c>
      <c r="AC42" s="188">
        <f t="shared" si="15"/>
        <v>0</v>
      </c>
      <c r="AD42" s="189">
        <f t="shared" si="16"/>
        <v>0</v>
      </c>
      <c r="AE42" s="189">
        <f t="shared" si="17"/>
        <v>0</v>
      </c>
      <c r="AF42" s="190">
        <f t="shared" si="18"/>
        <v>0</v>
      </c>
      <c r="AG42" s="190">
        <f t="shared" si="19"/>
        <v>0</v>
      </c>
    </row>
    <row r="43" spans="1:33" x14ac:dyDescent="0.25">
      <c r="A43" s="180" t="s">
        <v>470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33"/>
      <c r="S43" s="17"/>
      <c r="T43" s="17"/>
      <c r="U43" s="17"/>
      <c r="V43" s="17"/>
      <c r="W43" s="185">
        <f t="shared" si="11"/>
        <v>0</v>
      </c>
      <c r="X43" s="186">
        <f t="shared" si="12"/>
        <v>0</v>
      </c>
      <c r="Y43" s="186">
        <f t="shared" si="13"/>
        <v>0</v>
      </c>
      <c r="Z43" s="187">
        <f t="shared" si="20"/>
        <v>0</v>
      </c>
      <c r="AA43" s="187">
        <f t="shared" si="21"/>
        <v>0</v>
      </c>
      <c r="AB43" s="188">
        <f t="shared" si="14"/>
        <v>0</v>
      </c>
      <c r="AC43" s="188">
        <f t="shared" si="15"/>
        <v>0</v>
      </c>
      <c r="AD43" s="189">
        <f t="shared" si="16"/>
        <v>0</v>
      </c>
      <c r="AE43" s="189">
        <f t="shared" si="17"/>
        <v>0</v>
      </c>
      <c r="AF43" s="190">
        <f t="shared" si="18"/>
        <v>0</v>
      </c>
      <c r="AG43" s="190">
        <f t="shared" si="19"/>
        <v>0</v>
      </c>
    </row>
    <row r="44" spans="1:33" x14ac:dyDescent="0.25">
      <c r="A44" s="180" t="s">
        <v>471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33"/>
      <c r="S44" s="17"/>
      <c r="T44" s="17"/>
      <c r="U44" s="17"/>
      <c r="V44" s="17"/>
      <c r="W44" s="185">
        <f t="shared" si="11"/>
        <v>0</v>
      </c>
      <c r="X44" s="186">
        <f t="shared" si="12"/>
        <v>0</v>
      </c>
      <c r="Y44" s="186">
        <f t="shared" si="13"/>
        <v>0</v>
      </c>
      <c r="Z44" s="187">
        <f t="shared" si="20"/>
        <v>0</v>
      </c>
      <c r="AA44" s="187">
        <f t="shared" si="21"/>
        <v>0</v>
      </c>
      <c r="AB44" s="188">
        <f t="shared" si="14"/>
        <v>0</v>
      </c>
      <c r="AC44" s="188">
        <f t="shared" si="15"/>
        <v>0</v>
      </c>
      <c r="AD44" s="189">
        <f t="shared" si="16"/>
        <v>0</v>
      </c>
      <c r="AE44" s="189">
        <f t="shared" si="17"/>
        <v>0</v>
      </c>
      <c r="AF44" s="190">
        <f t="shared" si="18"/>
        <v>0</v>
      </c>
      <c r="AG44" s="190">
        <f t="shared" si="19"/>
        <v>0</v>
      </c>
    </row>
    <row r="45" spans="1:33" x14ac:dyDescent="0.25">
      <c r="A45" s="180" t="s">
        <v>472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33"/>
      <c r="S45" s="17"/>
      <c r="T45" s="17"/>
      <c r="U45" s="17"/>
      <c r="V45" s="17"/>
      <c r="W45" s="185">
        <f t="shared" si="11"/>
        <v>0</v>
      </c>
      <c r="X45" s="186">
        <f t="shared" si="12"/>
        <v>0</v>
      </c>
      <c r="Y45" s="186">
        <f t="shared" si="13"/>
        <v>0</v>
      </c>
      <c r="Z45" s="187">
        <f t="shared" si="20"/>
        <v>0</v>
      </c>
      <c r="AA45" s="187">
        <f t="shared" si="21"/>
        <v>0</v>
      </c>
      <c r="AB45" s="188">
        <f t="shared" si="14"/>
        <v>0</v>
      </c>
      <c r="AC45" s="188">
        <f t="shared" si="15"/>
        <v>0</v>
      </c>
      <c r="AD45" s="189">
        <f t="shared" si="16"/>
        <v>0</v>
      </c>
      <c r="AE45" s="189">
        <f t="shared" si="17"/>
        <v>0</v>
      </c>
      <c r="AF45" s="190">
        <f t="shared" si="18"/>
        <v>0</v>
      </c>
      <c r="AG45" s="190">
        <f t="shared" si="19"/>
        <v>0</v>
      </c>
    </row>
    <row r="46" spans="1:33" x14ac:dyDescent="0.25">
      <c r="A46" s="180" t="s">
        <v>474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33"/>
      <c r="S46" s="17"/>
      <c r="T46" s="17"/>
      <c r="U46" s="17"/>
      <c r="V46" s="17"/>
      <c r="W46" s="185">
        <f t="shared" si="11"/>
        <v>0</v>
      </c>
      <c r="X46" s="186">
        <f t="shared" si="12"/>
        <v>0</v>
      </c>
      <c r="Y46" s="186">
        <f t="shared" si="13"/>
        <v>0</v>
      </c>
      <c r="Z46" s="187">
        <f t="shared" si="20"/>
        <v>0</v>
      </c>
      <c r="AA46" s="187">
        <f t="shared" si="21"/>
        <v>0</v>
      </c>
      <c r="AB46" s="188">
        <f t="shared" si="14"/>
        <v>0</v>
      </c>
      <c r="AC46" s="188">
        <f t="shared" si="15"/>
        <v>0</v>
      </c>
      <c r="AD46" s="189">
        <f t="shared" si="16"/>
        <v>0</v>
      </c>
      <c r="AE46" s="189">
        <f t="shared" si="17"/>
        <v>0</v>
      </c>
      <c r="AF46" s="190">
        <f t="shared" si="18"/>
        <v>0</v>
      </c>
      <c r="AG46" s="190">
        <f t="shared" si="19"/>
        <v>0</v>
      </c>
    </row>
    <row r="47" spans="1:33" x14ac:dyDescent="0.25">
      <c r="A47" s="180" t="s">
        <v>473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3"/>
      <c r="S47" s="17"/>
      <c r="T47" s="17"/>
      <c r="U47" s="17"/>
      <c r="V47" s="17"/>
      <c r="W47" s="185">
        <f t="shared" si="11"/>
        <v>0</v>
      </c>
      <c r="X47" s="186">
        <f t="shared" si="12"/>
        <v>0</v>
      </c>
      <c r="Y47" s="186">
        <f t="shared" si="13"/>
        <v>0</v>
      </c>
      <c r="Z47" s="187">
        <f t="shared" si="20"/>
        <v>0</v>
      </c>
      <c r="AA47" s="187">
        <f t="shared" si="21"/>
        <v>0</v>
      </c>
      <c r="AB47" s="188">
        <f t="shared" si="14"/>
        <v>0</v>
      </c>
      <c r="AC47" s="188">
        <f t="shared" si="15"/>
        <v>0</v>
      </c>
      <c r="AD47" s="189">
        <f t="shared" si="16"/>
        <v>0</v>
      </c>
      <c r="AE47" s="189">
        <f t="shared" si="17"/>
        <v>0</v>
      </c>
      <c r="AF47" s="190">
        <f t="shared" si="18"/>
        <v>0</v>
      </c>
      <c r="AG47" s="190">
        <f t="shared" si="19"/>
        <v>0</v>
      </c>
    </row>
    <row r="48" spans="1:33" x14ac:dyDescent="0.25">
      <c r="A48" s="180" t="s">
        <v>475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3"/>
      <c r="S48" s="17"/>
      <c r="T48" s="17"/>
      <c r="U48" s="17"/>
      <c r="V48" s="17"/>
      <c r="W48" s="185">
        <f t="shared" si="11"/>
        <v>0</v>
      </c>
      <c r="X48" s="186">
        <f t="shared" si="12"/>
        <v>0</v>
      </c>
      <c r="Y48" s="186">
        <f t="shared" si="13"/>
        <v>0</v>
      </c>
      <c r="Z48" s="187">
        <f t="shared" si="20"/>
        <v>0</v>
      </c>
      <c r="AA48" s="187">
        <f t="shared" si="21"/>
        <v>0</v>
      </c>
      <c r="AB48" s="188">
        <f t="shared" si="14"/>
        <v>0</v>
      </c>
      <c r="AC48" s="188">
        <f t="shared" si="15"/>
        <v>0</v>
      </c>
      <c r="AD48" s="189">
        <f t="shared" si="16"/>
        <v>0</v>
      </c>
      <c r="AE48" s="189">
        <f t="shared" si="17"/>
        <v>0</v>
      </c>
      <c r="AF48" s="190">
        <f t="shared" si="18"/>
        <v>0</v>
      </c>
      <c r="AG48" s="190">
        <f t="shared" si="19"/>
        <v>0</v>
      </c>
    </row>
    <row r="49" spans="1:33" x14ac:dyDescent="0.25">
      <c r="A49" s="180" t="s">
        <v>479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33"/>
      <c r="S49" s="17"/>
      <c r="T49" s="17"/>
      <c r="U49" s="17"/>
      <c r="V49" s="17"/>
      <c r="W49" s="185">
        <f t="shared" si="11"/>
        <v>0</v>
      </c>
      <c r="X49" s="186">
        <f t="shared" si="12"/>
        <v>0</v>
      </c>
      <c r="Y49" s="186">
        <f t="shared" si="13"/>
        <v>0</v>
      </c>
      <c r="Z49" s="187">
        <f t="shared" si="20"/>
        <v>0</v>
      </c>
      <c r="AA49" s="187">
        <f t="shared" si="21"/>
        <v>0</v>
      </c>
      <c r="AB49" s="188">
        <f t="shared" si="14"/>
        <v>0</v>
      </c>
      <c r="AC49" s="188">
        <f t="shared" si="15"/>
        <v>0</v>
      </c>
      <c r="AD49" s="189">
        <f t="shared" si="16"/>
        <v>0</v>
      </c>
      <c r="AE49" s="189">
        <f t="shared" si="17"/>
        <v>0</v>
      </c>
      <c r="AF49" s="190">
        <f t="shared" si="18"/>
        <v>0</v>
      </c>
      <c r="AG49" s="190">
        <f t="shared" si="19"/>
        <v>0</v>
      </c>
    </row>
    <row r="50" spans="1:33" x14ac:dyDescent="0.25">
      <c r="A50" s="180" t="s">
        <v>478</v>
      </c>
      <c r="B50" s="17">
        <v>-302.97412902000002</v>
      </c>
      <c r="C50" s="17">
        <v>-302.994846274</v>
      </c>
      <c r="D50" s="17">
        <v>-302.99042332699997</v>
      </c>
      <c r="E50" s="17">
        <v>0.98899999999999999</v>
      </c>
      <c r="F50" s="17">
        <v>-303.09288776699998</v>
      </c>
      <c r="G50" s="17"/>
      <c r="H50" s="17">
        <v>0.98850000000000005</v>
      </c>
      <c r="I50" s="17">
        <v>-303.100378412</v>
      </c>
      <c r="J50" s="17"/>
      <c r="K50" s="17">
        <v>0.9879</v>
      </c>
      <c r="L50" s="17">
        <v>-303.10552918600001</v>
      </c>
      <c r="M50" s="17"/>
      <c r="N50" s="17">
        <v>0.98780000000000001</v>
      </c>
      <c r="O50" s="17">
        <v>-9.6</v>
      </c>
      <c r="P50" s="17"/>
      <c r="Q50" s="17">
        <v>0.9919</v>
      </c>
      <c r="R50" s="33">
        <v>192.17</v>
      </c>
      <c r="S50" s="17"/>
      <c r="T50" s="17">
        <v>5.0019000000000001E-2</v>
      </c>
      <c r="U50" s="17">
        <v>5.8296000000000001E-2</v>
      </c>
      <c r="V50" s="17">
        <v>1.8936000000000001E-2</v>
      </c>
      <c r="W50" s="185">
        <f t="shared" si="11"/>
        <v>24.698765350763189</v>
      </c>
      <c r="X50" s="186">
        <f t="shared" si="12"/>
        <v>-9.6</v>
      </c>
      <c r="Y50" s="186">
        <f t="shared" si="13"/>
        <v>-19.04572959031842</v>
      </c>
      <c r="Z50" s="187">
        <f t="shared" si="20"/>
        <v>-190095.49724052849</v>
      </c>
      <c r="AA50" s="187">
        <f t="shared" si="21"/>
        <v>-190098.21228548829</v>
      </c>
      <c r="AB50" s="188">
        <f t="shared" si="14"/>
        <v>-190157.01918743513</v>
      </c>
      <c r="AC50" s="188">
        <f t="shared" si="15"/>
        <v>-376025.90110850969</v>
      </c>
      <c r="AD50" s="189">
        <f t="shared" si="16"/>
        <v>-190161.71963670297</v>
      </c>
      <c r="AE50" s="189">
        <f t="shared" si="17"/>
        <v>-375812.2496996586</v>
      </c>
      <c r="AF50" s="190">
        <f t="shared" si="18"/>
        <v>-190164.95179519893</v>
      </c>
      <c r="AG50" s="190">
        <f t="shared" si="19"/>
        <v>-375781.50422830292</v>
      </c>
    </row>
    <row r="51" spans="1:33" x14ac:dyDescent="0.25">
      <c r="A51" s="180" t="s">
        <v>480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33"/>
      <c r="S51" s="17"/>
      <c r="T51" s="17"/>
      <c r="U51" s="17"/>
      <c r="V51" s="17"/>
      <c r="W51" s="185">
        <f t="shared" si="11"/>
        <v>0</v>
      </c>
      <c r="X51" s="186">
        <f t="shared" si="12"/>
        <v>0</v>
      </c>
      <c r="Y51" s="186">
        <f t="shared" si="13"/>
        <v>0</v>
      </c>
      <c r="Z51" s="187">
        <f t="shared" si="20"/>
        <v>0</v>
      </c>
      <c r="AA51" s="187">
        <f t="shared" si="21"/>
        <v>0</v>
      </c>
      <c r="AB51" s="188">
        <f t="shared" si="14"/>
        <v>0</v>
      </c>
      <c r="AC51" s="188">
        <f t="shared" si="15"/>
        <v>0</v>
      </c>
      <c r="AD51" s="189">
        <f t="shared" si="16"/>
        <v>0</v>
      </c>
      <c r="AE51" s="189">
        <f t="shared" si="17"/>
        <v>0</v>
      </c>
      <c r="AF51" s="190">
        <f t="shared" si="18"/>
        <v>0</v>
      </c>
      <c r="AG51" s="190">
        <f t="shared" si="19"/>
        <v>0</v>
      </c>
    </row>
    <row r="52" spans="1:33" x14ac:dyDescent="0.25">
      <c r="A52" s="180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3"/>
      <c r="S52" s="17"/>
      <c r="T52" s="17"/>
      <c r="U52" s="17"/>
      <c r="V52" s="17"/>
      <c r="W52" s="185">
        <f t="shared" si="11"/>
        <v>0</v>
      </c>
      <c r="X52" s="186">
        <f t="shared" si="12"/>
        <v>0</v>
      </c>
      <c r="Y52" s="186">
        <f t="shared" si="13"/>
        <v>0</v>
      </c>
      <c r="Z52" s="187">
        <f t="shared" si="20"/>
        <v>0</v>
      </c>
      <c r="AA52" s="187">
        <f t="shared" si="21"/>
        <v>0</v>
      </c>
      <c r="AB52" s="188">
        <f t="shared" si="14"/>
        <v>0</v>
      </c>
      <c r="AC52" s="188">
        <f t="shared" si="15"/>
        <v>0</v>
      </c>
      <c r="AD52" s="189">
        <f t="shared" si="16"/>
        <v>0</v>
      </c>
      <c r="AE52" s="189">
        <f t="shared" si="17"/>
        <v>0</v>
      </c>
      <c r="AF52" s="190">
        <f t="shared" si="18"/>
        <v>0</v>
      </c>
      <c r="AG52" s="190">
        <f t="shared" si="19"/>
        <v>0</v>
      </c>
    </row>
    <row r="53" spans="1:33" x14ac:dyDescent="0.25">
      <c r="A53" s="180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33"/>
      <c r="S53" s="17"/>
      <c r="T53" s="17"/>
      <c r="U53" s="17"/>
      <c r="V53" s="17"/>
      <c r="W53" s="185">
        <f t="shared" si="11"/>
        <v>0</v>
      </c>
      <c r="X53" s="186">
        <f t="shared" si="12"/>
        <v>0</v>
      </c>
      <c r="Y53" s="186">
        <f t="shared" si="13"/>
        <v>0</v>
      </c>
      <c r="Z53" s="187">
        <f t="shared" si="20"/>
        <v>0</v>
      </c>
      <c r="AA53" s="187">
        <f t="shared" si="21"/>
        <v>0</v>
      </c>
      <c r="AB53" s="188">
        <f t="shared" si="14"/>
        <v>0</v>
      </c>
      <c r="AC53" s="188">
        <f t="shared" si="15"/>
        <v>0</v>
      </c>
      <c r="AD53" s="189">
        <f t="shared" si="16"/>
        <v>0</v>
      </c>
      <c r="AE53" s="189">
        <f t="shared" si="17"/>
        <v>0</v>
      </c>
      <c r="AF53" s="190">
        <f t="shared" si="18"/>
        <v>0</v>
      </c>
      <c r="AG53" s="190">
        <f t="shared" si="19"/>
        <v>0</v>
      </c>
    </row>
    <row r="54" spans="1:33" x14ac:dyDescent="0.25">
      <c r="A54" s="180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3"/>
      <c r="S54" s="17"/>
      <c r="T54" s="17"/>
      <c r="U54" s="17"/>
      <c r="V54" s="17"/>
      <c r="W54" s="185">
        <f t="shared" si="11"/>
        <v>0</v>
      </c>
      <c r="X54" s="186">
        <f t="shared" si="12"/>
        <v>0</v>
      </c>
      <c r="Y54" s="186">
        <f t="shared" si="13"/>
        <v>0</v>
      </c>
      <c r="Z54" s="187">
        <f t="shared" si="20"/>
        <v>0</v>
      </c>
      <c r="AA54" s="187">
        <f t="shared" si="21"/>
        <v>0</v>
      </c>
      <c r="AB54" s="188">
        <f t="shared" si="14"/>
        <v>0</v>
      </c>
      <c r="AC54" s="188">
        <f t="shared" si="15"/>
        <v>0</v>
      </c>
      <c r="AD54" s="189">
        <f t="shared" si="16"/>
        <v>0</v>
      </c>
      <c r="AE54" s="189">
        <f t="shared" si="17"/>
        <v>0</v>
      </c>
      <c r="AF54" s="190">
        <f t="shared" si="18"/>
        <v>0</v>
      </c>
      <c r="AG54" s="190">
        <f t="shared" si="19"/>
        <v>0</v>
      </c>
    </row>
    <row r="55" spans="1:33" x14ac:dyDescent="0.25">
      <c r="A55" s="180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33"/>
      <c r="S55" s="17"/>
      <c r="T55" s="17"/>
      <c r="U55" s="17"/>
      <c r="V55" s="17"/>
      <c r="W55" s="185">
        <f t="shared" si="11"/>
        <v>0</v>
      </c>
      <c r="X55" s="186">
        <f t="shared" si="12"/>
        <v>0</v>
      </c>
      <c r="Y55" s="186">
        <f t="shared" si="13"/>
        <v>0</v>
      </c>
      <c r="Z55" s="187">
        <f t="shared" si="20"/>
        <v>0</v>
      </c>
      <c r="AA55" s="187">
        <f t="shared" si="21"/>
        <v>0</v>
      </c>
      <c r="AB55" s="188">
        <f t="shared" si="14"/>
        <v>0</v>
      </c>
      <c r="AC55" s="188">
        <f t="shared" si="15"/>
        <v>0</v>
      </c>
      <c r="AD55" s="189">
        <f t="shared" si="16"/>
        <v>0</v>
      </c>
      <c r="AE55" s="189">
        <f t="shared" si="17"/>
        <v>0</v>
      </c>
      <c r="AF55" s="190">
        <f t="shared" si="18"/>
        <v>0</v>
      </c>
      <c r="AG55" s="190">
        <f t="shared" si="19"/>
        <v>0</v>
      </c>
    </row>
    <row r="56" spans="1:33" x14ac:dyDescent="0.25">
      <c r="A56" s="180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3"/>
      <c r="S56" s="17"/>
      <c r="T56" s="17"/>
      <c r="U56" s="17"/>
      <c r="V56" s="17"/>
      <c r="W56" s="185">
        <f t="shared" si="11"/>
        <v>0</v>
      </c>
      <c r="X56" s="186">
        <f t="shared" si="12"/>
        <v>0</v>
      </c>
      <c r="Y56" s="186">
        <f t="shared" si="13"/>
        <v>0</v>
      </c>
      <c r="Z56" s="187">
        <f t="shared" si="20"/>
        <v>0</v>
      </c>
      <c r="AA56" s="187">
        <f t="shared" si="21"/>
        <v>0</v>
      </c>
      <c r="AB56" s="188">
        <f t="shared" si="14"/>
        <v>0</v>
      </c>
      <c r="AC56" s="188">
        <f t="shared" si="15"/>
        <v>0</v>
      </c>
      <c r="AD56" s="189">
        <f t="shared" si="16"/>
        <v>0</v>
      </c>
      <c r="AE56" s="189">
        <f t="shared" si="17"/>
        <v>0</v>
      </c>
      <c r="AF56" s="190">
        <f t="shared" si="18"/>
        <v>0</v>
      </c>
      <c r="AG56" s="190">
        <f t="shared" si="19"/>
        <v>0</v>
      </c>
    </row>
    <row r="57" spans="1:33" x14ac:dyDescent="0.25">
      <c r="A57" s="180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33"/>
      <c r="S57" s="17"/>
      <c r="T57" s="17"/>
      <c r="U57" s="17"/>
      <c r="V57" s="17"/>
      <c r="W57" s="185">
        <f t="shared" si="11"/>
        <v>0</v>
      </c>
      <c r="X57" s="186">
        <f t="shared" si="12"/>
        <v>0</v>
      </c>
      <c r="Y57" s="186">
        <f t="shared" si="13"/>
        <v>0</v>
      </c>
      <c r="Z57" s="187">
        <f t="shared" si="20"/>
        <v>0</v>
      </c>
      <c r="AA57" s="187">
        <f t="shared" si="21"/>
        <v>0</v>
      </c>
      <c r="AB57" s="188">
        <f t="shared" si="14"/>
        <v>0</v>
      </c>
      <c r="AC57" s="188">
        <f t="shared" si="15"/>
        <v>0</v>
      </c>
      <c r="AD57" s="189">
        <f t="shared" si="16"/>
        <v>0</v>
      </c>
      <c r="AE57" s="189">
        <f t="shared" si="17"/>
        <v>0</v>
      </c>
      <c r="AF57" s="190">
        <f t="shared" si="18"/>
        <v>0</v>
      </c>
      <c r="AG57" s="190">
        <f t="shared" si="19"/>
        <v>0</v>
      </c>
    </row>
    <row r="58" spans="1:33" x14ac:dyDescent="0.25">
      <c r="A58" s="180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33"/>
      <c r="S58" s="17"/>
      <c r="T58" s="17"/>
      <c r="U58" s="17"/>
      <c r="V58" s="17"/>
      <c r="W58" s="185">
        <f t="shared" si="11"/>
        <v>0</v>
      </c>
      <c r="X58" s="186">
        <f t="shared" si="12"/>
        <v>0</v>
      </c>
      <c r="Y58" s="186">
        <f t="shared" si="13"/>
        <v>0</v>
      </c>
      <c r="Z58" s="187">
        <f t="shared" si="20"/>
        <v>0</v>
      </c>
      <c r="AA58" s="187">
        <f t="shared" si="21"/>
        <v>0</v>
      </c>
      <c r="AB58" s="188">
        <f t="shared" si="14"/>
        <v>0</v>
      </c>
      <c r="AC58" s="188">
        <f t="shared" si="15"/>
        <v>0</v>
      </c>
      <c r="AD58" s="189">
        <f t="shared" si="16"/>
        <v>0</v>
      </c>
      <c r="AE58" s="189">
        <f t="shared" si="17"/>
        <v>0</v>
      </c>
      <c r="AF58" s="190">
        <f t="shared" si="18"/>
        <v>0</v>
      </c>
      <c r="AG58" s="190">
        <f t="shared" si="19"/>
        <v>0</v>
      </c>
    </row>
    <row r="59" spans="1:33" x14ac:dyDescent="0.25">
      <c r="A59" s="180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33"/>
      <c r="S59" s="17"/>
      <c r="T59" s="17"/>
      <c r="U59" s="17"/>
      <c r="V59" s="17"/>
      <c r="W59" s="185">
        <f t="shared" si="11"/>
        <v>0</v>
      </c>
      <c r="X59" s="186">
        <f t="shared" si="12"/>
        <v>0</v>
      </c>
      <c r="Y59" s="186">
        <f t="shared" si="13"/>
        <v>0</v>
      </c>
      <c r="Z59" s="187">
        <f t="shared" si="20"/>
        <v>0</v>
      </c>
      <c r="AA59" s="187">
        <f t="shared" si="21"/>
        <v>0</v>
      </c>
      <c r="AB59" s="188">
        <f t="shared" si="14"/>
        <v>0</v>
      </c>
      <c r="AC59" s="188">
        <f t="shared" si="15"/>
        <v>0</v>
      </c>
      <c r="AD59" s="189">
        <f t="shared" si="16"/>
        <v>0</v>
      </c>
      <c r="AE59" s="189">
        <f t="shared" si="17"/>
        <v>0</v>
      </c>
      <c r="AF59" s="190">
        <f t="shared" si="18"/>
        <v>0</v>
      </c>
      <c r="AG59" s="190">
        <f t="shared" si="19"/>
        <v>0</v>
      </c>
    </row>
    <row r="60" spans="1:33" x14ac:dyDescent="0.25">
      <c r="A60" s="180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33"/>
      <c r="S60" s="17"/>
      <c r="T60" s="17"/>
      <c r="U60" s="17"/>
      <c r="V60" s="17"/>
      <c r="W60" s="185">
        <f t="shared" si="11"/>
        <v>0</v>
      </c>
      <c r="X60" s="186">
        <f t="shared" si="12"/>
        <v>0</v>
      </c>
      <c r="Y60" s="186">
        <f t="shared" si="13"/>
        <v>0</v>
      </c>
      <c r="Z60" s="187">
        <f t="shared" si="20"/>
        <v>0</v>
      </c>
      <c r="AA60" s="187">
        <f t="shared" si="21"/>
        <v>0</v>
      </c>
      <c r="AB60" s="188">
        <f t="shared" si="14"/>
        <v>0</v>
      </c>
      <c r="AC60" s="188">
        <f t="shared" si="15"/>
        <v>0</v>
      </c>
      <c r="AD60" s="189">
        <f t="shared" si="16"/>
        <v>0</v>
      </c>
      <c r="AE60" s="189">
        <f t="shared" si="17"/>
        <v>0</v>
      </c>
      <c r="AF60" s="190">
        <f t="shared" si="18"/>
        <v>0</v>
      </c>
      <c r="AG60" s="190">
        <f t="shared" si="19"/>
        <v>0</v>
      </c>
    </row>
    <row r="64" spans="1:33" x14ac:dyDescent="0.25">
      <c r="K64" s="6">
        <f>AG39-AG36</f>
        <v>159.67026032209105</v>
      </c>
    </row>
    <row r="65" spans="11:11" x14ac:dyDescent="0.25">
      <c r="K65" s="6">
        <f>AF50-2*AF36</f>
        <v>34.276389325532364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147"/>
  <sheetViews>
    <sheetView topLeftCell="A51" zoomScale="30" zoomScaleNormal="30" workbookViewId="0">
      <selection activeCell="AJ120" sqref="AJ120"/>
    </sheetView>
  </sheetViews>
  <sheetFormatPr defaultRowHeight="15" x14ac:dyDescent="0.25"/>
  <cols>
    <col min="2" max="2" width="16.42578125" customWidth="1"/>
    <col min="7" max="7" width="2" customWidth="1"/>
    <col min="8" max="8" width="19.7109375" customWidth="1"/>
    <col min="9" max="9" width="12.7109375" bestFit="1" customWidth="1"/>
    <col min="11" max="11" width="10.140625" customWidth="1"/>
    <col min="12" max="12" width="19.7109375" bestFit="1" customWidth="1"/>
    <col min="13" max="13" width="2" customWidth="1"/>
    <col min="14" max="14" width="19.7109375" customWidth="1"/>
    <col min="15" max="15" width="12.7109375" customWidth="1"/>
    <col min="16" max="16" width="19.7109375" bestFit="1" customWidth="1"/>
    <col min="17" max="17" width="12.7109375" bestFit="1" customWidth="1"/>
  </cols>
  <sheetData>
    <row r="1" spans="2:35" ht="15.75" thickBot="1" x14ac:dyDescent="0.3"/>
    <row r="2" spans="2:35" x14ac:dyDescent="0.25">
      <c r="B2" s="22" t="s">
        <v>134</v>
      </c>
      <c r="C2" s="83">
        <v>4.35974394E-18</v>
      </c>
    </row>
    <row r="3" spans="2:35" x14ac:dyDescent="0.25">
      <c r="B3" s="72" t="s">
        <v>135</v>
      </c>
      <c r="C3" s="84">
        <v>6.0221399999999997E+23</v>
      </c>
    </row>
    <row r="4" spans="2:35" ht="15.75" thickBot="1" x14ac:dyDescent="0.3">
      <c r="B4" s="23" t="s">
        <v>136</v>
      </c>
      <c r="C4" s="85">
        <v>4.1840000000000002</v>
      </c>
    </row>
    <row r="7" spans="2:35" x14ac:dyDescent="0.25">
      <c r="H7" t="s">
        <v>567</v>
      </c>
      <c r="N7" t="s">
        <v>568</v>
      </c>
    </row>
    <row r="8" spans="2:35" x14ac:dyDescent="0.25">
      <c r="G8" t="s">
        <v>556</v>
      </c>
      <c r="H8" t="s">
        <v>557</v>
      </c>
      <c r="M8" t="s">
        <v>556</v>
      </c>
      <c r="N8" t="s">
        <v>557</v>
      </c>
    </row>
    <row r="9" spans="2:35" x14ac:dyDescent="0.25">
      <c r="G9" t="s">
        <v>556</v>
      </c>
      <c r="H9" t="s">
        <v>558</v>
      </c>
      <c r="I9" t="s">
        <v>559</v>
      </c>
      <c r="M9" t="s">
        <v>556</v>
      </c>
      <c r="N9" t="s">
        <v>558</v>
      </c>
      <c r="O9" t="s">
        <v>559</v>
      </c>
    </row>
    <row r="10" spans="2:35" x14ac:dyDescent="0.25">
      <c r="G10" t="s">
        <v>556</v>
      </c>
      <c r="H10" t="s">
        <v>560</v>
      </c>
      <c r="I10" t="s">
        <v>561</v>
      </c>
      <c r="M10" t="s">
        <v>556</v>
      </c>
      <c r="N10" t="s">
        <v>560</v>
      </c>
      <c r="O10" t="s">
        <v>561</v>
      </c>
      <c r="AI10">
        <f>66/4.2</f>
        <v>15.714285714285714</v>
      </c>
    </row>
    <row r="11" spans="2:35" x14ac:dyDescent="0.25">
      <c r="G11" t="s">
        <v>556</v>
      </c>
      <c r="H11" t="s">
        <v>562</v>
      </c>
      <c r="I11" t="s">
        <v>563</v>
      </c>
      <c r="J11" t="s">
        <v>239</v>
      </c>
      <c r="M11" t="s">
        <v>556</v>
      </c>
      <c r="N11" t="s">
        <v>562</v>
      </c>
      <c r="O11" t="s">
        <v>563</v>
      </c>
      <c r="P11" t="s">
        <v>239</v>
      </c>
    </row>
    <row r="12" spans="2:35" x14ac:dyDescent="0.25">
      <c r="H12" s="13">
        <v>3.2000001361999999</v>
      </c>
      <c r="I12">
        <v>-151.45793746000001</v>
      </c>
      <c r="J12" s="127">
        <f>I12*($C$2*$C$3*10^-3/$C$4)</f>
        <v>-95041.261631989488</v>
      </c>
      <c r="K12" s="6">
        <f>J12-$J$48</f>
        <v>46.27130267501343</v>
      </c>
      <c r="N12" s="13">
        <v>3.1999995568999999</v>
      </c>
      <c r="O12">
        <v>-151.457933887</v>
      </c>
      <c r="P12" s="127">
        <f>O12*($C$2*$C$3*10^-3/$C$4)</f>
        <v>-95041.259389898813</v>
      </c>
      <c r="Q12" s="6">
        <f>P12-$J$48</f>
        <v>46.273544765688712</v>
      </c>
    </row>
    <row r="13" spans="2:35" x14ac:dyDescent="0.25">
      <c r="H13" s="13">
        <v>3.1500001362000001</v>
      </c>
      <c r="I13">
        <v>-151.458124513</v>
      </c>
      <c r="J13" s="127">
        <f t="shared" ref="J13:J52" si="0">I13*($C$2*$C$3*10^-3/$C$4)</f>
        <v>-95041.379009483266</v>
      </c>
      <c r="K13" s="6">
        <f t="shared" ref="K13:K52" si="1">J13-$J$48</f>
        <v>46.153925181235536</v>
      </c>
      <c r="N13" s="13">
        <v>3.1499995569000001</v>
      </c>
      <c r="O13">
        <v>-151.45813215699999</v>
      </c>
      <c r="P13" s="127">
        <f t="shared" ref="P13:P41" si="2">O13*($C$2*$C$3*10^-3/$C$4)</f>
        <v>-95041.383806164202</v>
      </c>
      <c r="Q13" s="6">
        <f t="shared" ref="Q13:Q42" si="3">P13-$J$48</f>
        <v>46.149128500299412</v>
      </c>
    </row>
    <row r="14" spans="2:35" x14ac:dyDescent="0.25">
      <c r="H14" s="13">
        <v>3.1000001361999998</v>
      </c>
      <c r="I14">
        <v>-151.458282803</v>
      </c>
      <c r="J14" s="127">
        <f t="shared" si="0"/>
        <v>-95041.478337927547</v>
      </c>
      <c r="K14" s="6">
        <f t="shared" si="1"/>
        <v>46.054596736954409</v>
      </c>
      <c r="N14" s="13">
        <v>3.0999995568999998</v>
      </c>
      <c r="O14">
        <v>-151.458306714</v>
      </c>
      <c r="P14" s="127">
        <f t="shared" si="2"/>
        <v>-95041.493342301997</v>
      </c>
      <c r="Q14" s="6">
        <f t="shared" si="3"/>
        <v>46.039592362503754</v>
      </c>
    </row>
    <row r="15" spans="2:35" x14ac:dyDescent="0.25">
      <c r="H15" s="13">
        <v>3.0500001362</v>
      </c>
      <c r="I15">
        <v>-151.45839699499999</v>
      </c>
      <c r="J15" s="127">
        <f t="shared" si="0"/>
        <v>-95041.54999446751</v>
      </c>
      <c r="K15" s="6">
        <f t="shared" si="1"/>
        <v>45.982940196990967</v>
      </c>
      <c r="N15" s="13">
        <v>3.0499995569</v>
      </c>
      <c r="O15">
        <v>-151.45844063300001</v>
      </c>
      <c r="P15" s="127">
        <f t="shared" si="2"/>
        <v>-95041.577377717578</v>
      </c>
      <c r="Q15" s="6">
        <f t="shared" si="3"/>
        <v>45.955556946923025</v>
      </c>
    </row>
    <row r="16" spans="2:35" x14ac:dyDescent="0.25">
      <c r="H16" s="13">
        <v>3.0000001362000002</v>
      </c>
      <c r="I16">
        <v>-151.458452919</v>
      </c>
      <c r="J16" s="127">
        <f t="shared" si="0"/>
        <v>-95041.585087296611</v>
      </c>
      <c r="K16" s="6">
        <f t="shared" si="1"/>
        <v>45.947847367890063</v>
      </c>
      <c r="L16" t="s">
        <v>566</v>
      </c>
      <c r="N16" s="13">
        <v>2.9999995569000002</v>
      </c>
      <c r="O16">
        <v>-151.458521096</v>
      </c>
      <c r="P16" s="127">
        <f t="shared" si="2"/>
        <v>-95041.627868996948</v>
      </c>
      <c r="Q16" s="6">
        <f t="shared" si="3"/>
        <v>45.905065667553572</v>
      </c>
    </row>
    <row r="17" spans="8:23" x14ac:dyDescent="0.25">
      <c r="H17" s="13">
        <v>2.9500001361999999</v>
      </c>
      <c r="I17">
        <v>-151.45844399000001</v>
      </c>
      <c r="J17" s="127">
        <f t="shared" si="0"/>
        <v>-95041.579484266244</v>
      </c>
      <c r="K17" s="6">
        <f t="shared" si="1"/>
        <v>45.953450398257701</v>
      </c>
      <c r="N17" s="13">
        <v>2.9499995568999999</v>
      </c>
      <c r="O17">
        <v>-151.458547485</v>
      </c>
      <c r="P17" s="127">
        <f t="shared" si="2"/>
        <v>-95041.644428339408</v>
      </c>
      <c r="Q17" s="6">
        <f t="shared" si="3"/>
        <v>45.888506325092749</v>
      </c>
    </row>
    <row r="18" spans="8:23" x14ac:dyDescent="0.25">
      <c r="H18" s="13">
        <v>2.9000001362000001</v>
      </c>
      <c r="I18">
        <v>-151.45834014900001</v>
      </c>
      <c r="J18" s="127">
        <f t="shared" si="0"/>
        <v>-95041.514323074865</v>
      </c>
      <c r="K18" s="6">
        <f t="shared" si="1"/>
        <v>46.018611589635839</v>
      </c>
      <c r="N18" s="13">
        <v>2.8999995569000001</v>
      </c>
      <c r="O18">
        <v>-151.45849261000001</v>
      </c>
      <c r="P18" s="127">
        <f t="shared" si="2"/>
        <v>-95041.609993767546</v>
      </c>
      <c r="Q18" s="6">
        <f t="shared" si="3"/>
        <v>45.92294089695497</v>
      </c>
    </row>
    <row r="19" spans="8:23" x14ac:dyDescent="0.25">
      <c r="H19" s="13">
        <v>2.8500001361999998</v>
      </c>
      <c r="I19">
        <v>-151.458108095</v>
      </c>
      <c r="J19" s="127">
        <f t="shared" si="0"/>
        <v>-95041.368707035857</v>
      </c>
      <c r="K19" s="6">
        <f t="shared" si="1"/>
        <v>46.164227628643857</v>
      </c>
      <c r="N19" s="13">
        <v>2.8499995568999998</v>
      </c>
      <c r="O19">
        <v>-151.45832140799999</v>
      </c>
      <c r="P19" s="127">
        <f t="shared" si="2"/>
        <v>-95041.502562923386</v>
      </c>
      <c r="Q19" s="6">
        <f t="shared" si="3"/>
        <v>46.030371741115232</v>
      </c>
    </row>
    <row r="20" spans="8:23" x14ac:dyDescent="0.25">
      <c r="H20" s="13">
        <v>2.8000001362</v>
      </c>
      <c r="I20">
        <v>-151.457724662</v>
      </c>
      <c r="J20" s="127">
        <f t="shared" si="0"/>
        <v>-95041.128099269234</v>
      </c>
      <c r="K20" s="6">
        <f t="shared" si="1"/>
        <v>46.404835395267582</v>
      </c>
      <c r="L20" t="s">
        <v>564</v>
      </c>
      <c r="N20" s="13">
        <v>2.7999995569</v>
      </c>
      <c r="O20">
        <v>-151.458023889</v>
      </c>
      <c r="P20" s="127">
        <f t="shared" si="2"/>
        <v>-95041.315866989244</v>
      </c>
      <c r="Q20" s="6">
        <f t="shared" si="3"/>
        <v>46.217067675257567</v>
      </c>
      <c r="R20" t="s">
        <v>564</v>
      </c>
    </row>
    <row r="21" spans="8:23" x14ac:dyDescent="0.25">
      <c r="H21" s="13">
        <v>2.7500001362000002</v>
      </c>
      <c r="I21">
        <v>-151.45806583699999</v>
      </c>
      <c r="J21" s="127">
        <f t="shared" si="0"/>
        <v>-95041.342189748611</v>
      </c>
      <c r="K21" s="6">
        <f t="shared" si="1"/>
        <v>46.190744915889809</v>
      </c>
      <c r="N21" s="13">
        <v>2.7499995569000002</v>
      </c>
      <c r="O21">
        <v>-151.458838206</v>
      </c>
      <c r="P21" s="127">
        <f t="shared" si="2"/>
        <v>-95041.826858465458</v>
      </c>
      <c r="Q21" s="6">
        <f t="shared" si="3"/>
        <v>45.706076199043309</v>
      </c>
    </row>
    <row r="22" spans="8:23" x14ac:dyDescent="0.25">
      <c r="H22" s="13">
        <v>2.7000001361999999</v>
      </c>
      <c r="I22">
        <v>-151.45855240700001</v>
      </c>
      <c r="J22" s="127">
        <f t="shared" si="0"/>
        <v>-95041.647516940095</v>
      </c>
      <c r="K22" s="6">
        <f t="shared" si="1"/>
        <v>45.88541772440658</v>
      </c>
      <c r="N22" s="13">
        <v>2.6999995568999999</v>
      </c>
      <c r="O22">
        <v>-151.45920747100001</v>
      </c>
      <c r="P22" s="127">
        <f t="shared" si="2"/>
        <v>-95042.058575680596</v>
      </c>
      <c r="Q22" s="6">
        <f t="shared" si="3"/>
        <v>45.474358983905404</v>
      </c>
      <c r="T22" s="6">
        <f>P20-J20</f>
        <v>-0.18776772001001518</v>
      </c>
    </row>
    <row r="23" spans="8:23" x14ac:dyDescent="0.25">
      <c r="H23" s="13">
        <v>2.6500001362000001</v>
      </c>
      <c r="I23">
        <v>-151.45906525000001</v>
      </c>
      <c r="J23" s="127">
        <f t="shared" si="0"/>
        <v>-95041.969330682958</v>
      </c>
      <c r="K23" s="6">
        <f t="shared" si="1"/>
        <v>45.563603981543565</v>
      </c>
      <c r="N23" s="13">
        <v>2.6499995569000001</v>
      </c>
      <c r="O23">
        <v>-151.45952759100001</v>
      </c>
      <c r="P23" s="127">
        <f t="shared" si="2"/>
        <v>-95042.259453952036</v>
      </c>
      <c r="Q23" s="6">
        <f t="shared" si="3"/>
        <v>45.273480712465243</v>
      </c>
    </row>
    <row r="24" spans="8:23" x14ac:dyDescent="0.25">
      <c r="H24" s="13">
        <v>2.6000001361999998</v>
      </c>
      <c r="I24">
        <v>-151.45962920599999</v>
      </c>
      <c r="J24" s="127">
        <f t="shared" si="0"/>
        <v>-95042.323218307734</v>
      </c>
      <c r="K24" s="6">
        <f t="shared" si="1"/>
        <v>45.209716356766876</v>
      </c>
      <c r="L24" s="127">
        <f>J21-J48</f>
        <v>46.190744915889809</v>
      </c>
      <c r="N24" s="13">
        <v>2.5999995568999998</v>
      </c>
      <c r="O24">
        <v>-151.459845814</v>
      </c>
      <c r="P24" s="127">
        <f t="shared" si="2"/>
        <v>-95042.459141838364</v>
      </c>
      <c r="Q24" s="6">
        <f t="shared" si="3"/>
        <v>45.073792826136923</v>
      </c>
    </row>
    <row r="25" spans="8:23" x14ac:dyDescent="0.25">
      <c r="H25" s="13">
        <v>2.5500001362</v>
      </c>
      <c r="I25">
        <v>-151.46026431799999</v>
      </c>
      <c r="J25" s="127">
        <f t="shared" si="0"/>
        <v>-95042.721756983025</v>
      </c>
      <c r="K25" s="6">
        <f t="shared" si="1"/>
        <v>44.811177681476693</v>
      </c>
      <c r="N25" s="13">
        <v>2.5499995569</v>
      </c>
      <c r="O25">
        <v>-151.460165375</v>
      </c>
      <c r="P25" s="127">
        <f t="shared" si="2"/>
        <v>-95042.659669332119</v>
      </c>
      <c r="Q25" s="6">
        <f t="shared" si="3"/>
        <v>44.873265332382289</v>
      </c>
    </row>
    <row r="26" spans="8:23" x14ac:dyDescent="0.25">
      <c r="H26" s="13">
        <v>2.5000001362000002</v>
      </c>
      <c r="I26">
        <v>-151.46096988599999</v>
      </c>
      <c r="J26" s="127">
        <f t="shared" si="0"/>
        <v>-95043.164507452311</v>
      </c>
      <c r="K26" s="6">
        <f t="shared" si="1"/>
        <v>44.368427212189999</v>
      </c>
      <c r="N26" s="13">
        <v>2.4999995569000002</v>
      </c>
      <c r="O26">
        <v>-151.46047877300001</v>
      </c>
      <c r="P26" s="127">
        <f t="shared" si="2"/>
        <v>-95042.856329486181</v>
      </c>
      <c r="Q26" s="6">
        <f t="shared" si="3"/>
        <v>44.676605178319733</v>
      </c>
    </row>
    <row r="27" spans="8:23" x14ac:dyDescent="0.25">
      <c r="H27" s="13">
        <v>2.4500001361999999</v>
      </c>
      <c r="I27">
        <v>-151.461749051</v>
      </c>
      <c r="J27" s="127">
        <f t="shared" si="0"/>
        <v>-95043.65344072225</v>
      </c>
      <c r="K27" s="6">
        <f t="shared" si="1"/>
        <v>43.879493942251429</v>
      </c>
      <c r="N27" s="13">
        <v>2.4499995568999999</v>
      </c>
      <c r="O27">
        <v>-151.46077033700001</v>
      </c>
      <c r="P27" s="127">
        <f t="shared" si="2"/>
        <v>-95043.039288602566</v>
      </c>
      <c r="Q27" s="6">
        <f t="shared" si="3"/>
        <v>44.493646061935578</v>
      </c>
    </row>
    <row r="28" spans="8:23" x14ac:dyDescent="0.25">
      <c r="H28" s="13">
        <v>2.4000001362000001</v>
      </c>
      <c r="I28">
        <v>-151.46261403099999</v>
      </c>
      <c r="J28" s="127">
        <f t="shared" si="0"/>
        <v>-95044.196223701234</v>
      </c>
      <c r="K28" s="6">
        <f t="shared" si="1"/>
        <v>43.336710963267251</v>
      </c>
      <c r="N28" s="13">
        <v>2.3999995569000001</v>
      </c>
      <c r="O28">
        <v>-151.46102246000001</v>
      </c>
      <c r="P28" s="127">
        <f t="shared" si="2"/>
        <v>-95043.19749812533</v>
      </c>
      <c r="Q28" s="6">
        <f t="shared" si="3"/>
        <v>44.335436539171496</v>
      </c>
    </row>
    <row r="29" spans="8:23" x14ac:dyDescent="0.25">
      <c r="H29" s="13">
        <v>2.3500001361999998</v>
      </c>
      <c r="I29">
        <v>-151.463583653</v>
      </c>
      <c r="J29" s="127">
        <f t="shared" si="0"/>
        <v>-95044.80467050655</v>
      </c>
      <c r="K29" s="6">
        <f t="shared" si="1"/>
        <v>42.728264157951344</v>
      </c>
      <c r="N29" s="13">
        <v>2.3499995568999998</v>
      </c>
      <c r="O29">
        <v>-151.46120075900001</v>
      </c>
      <c r="P29" s="127">
        <f t="shared" si="2"/>
        <v>-95043.309382402862</v>
      </c>
      <c r="Q29" s="6">
        <f t="shared" si="3"/>
        <v>44.22355226163927</v>
      </c>
    </row>
    <row r="30" spans="8:23" x14ac:dyDescent="0.25">
      <c r="H30" s="13">
        <v>2.3000001362</v>
      </c>
      <c r="I30">
        <v>-151.464710279</v>
      </c>
      <c r="J30" s="127">
        <f t="shared" si="0"/>
        <v>-95045.511638779222</v>
      </c>
      <c r="K30" s="6">
        <f t="shared" si="1"/>
        <v>42.02129588527896</v>
      </c>
      <c r="N30" s="13">
        <v>2.2999995569</v>
      </c>
      <c r="O30">
        <v>-151.461311153</v>
      </c>
      <c r="P30" s="127">
        <f t="shared" si="2"/>
        <v>-95043.378655662556</v>
      </c>
      <c r="Q30" s="6">
        <f t="shared" si="3"/>
        <v>44.154279001944815</v>
      </c>
    </row>
    <row r="31" spans="8:23" x14ac:dyDescent="0.25">
      <c r="H31" s="13">
        <v>2.2500001362000002</v>
      </c>
      <c r="I31">
        <v>-151.466008867</v>
      </c>
      <c r="J31" s="127">
        <f t="shared" si="0"/>
        <v>-95046.326514803077</v>
      </c>
      <c r="K31" s="6">
        <f t="shared" si="1"/>
        <v>41.206419861424365</v>
      </c>
      <c r="N31" s="13">
        <v>2.2499995569000002</v>
      </c>
      <c r="O31">
        <v>-151.46136104600001</v>
      </c>
      <c r="P31" s="127">
        <f t="shared" si="2"/>
        <v>-95043.409963983184</v>
      </c>
      <c r="Q31" s="6">
        <f t="shared" si="3"/>
        <v>44.122970681317383</v>
      </c>
      <c r="W31" t="s">
        <v>192</v>
      </c>
    </row>
    <row r="32" spans="8:23" x14ac:dyDescent="0.25">
      <c r="H32" s="13">
        <v>2.2000001361999999</v>
      </c>
      <c r="I32">
        <v>-151.46747977300001</v>
      </c>
      <c r="J32" s="127">
        <f t="shared" si="0"/>
        <v>-95047.249521971462</v>
      </c>
      <c r="K32" s="6">
        <f t="shared" si="1"/>
        <v>40.283412693039281</v>
      </c>
      <c r="N32" s="13">
        <v>2.1999995568999999</v>
      </c>
      <c r="O32">
        <v>-151.46131243799999</v>
      </c>
      <c r="P32" s="127">
        <f t="shared" si="2"/>
        <v>-95043.379462011988</v>
      </c>
      <c r="Q32" s="6">
        <f t="shared" si="3"/>
        <v>44.153472652513301</v>
      </c>
      <c r="T32">
        <f xml:space="preserve"> -151.434546- -151.498491</f>
        <v>6.3944999999989705E-2</v>
      </c>
      <c r="W32">
        <f xml:space="preserve">  -151.479142- -151.546719</f>
        <v>6.7576999999999998E-2</v>
      </c>
    </row>
    <row r="33" spans="8:29" x14ac:dyDescent="0.25">
      <c r="H33" s="13">
        <v>2.1500001362000001</v>
      </c>
      <c r="I33">
        <v>-151.469140665</v>
      </c>
      <c r="J33" s="127">
        <f t="shared" si="0"/>
        <v>-95048.291747118332</v>
      </c>
      <c r="K33" s="6">
        <f t="shared" si="1"/>
        <v>39.241187546169385</v>
      </c>
      <c r="N33" s="13">
        <v>2.1499995569000001</v>
      </c>
      <c r="O33">
        <v>-151.46112788100001</v>
      </c>
      <c r="P33" s="127">
        <f t="shared" si="2"/>
        <v>-95043.263650781388</v>
      </c>
      <c r="Q33" s="6">
        <f t="shared" si="3"/>
        <v>44.26928388311353</v>
      </c>
      <c r="T33" s="11">
        <f>T32*($C$2*$C$3*10^-3/$C$4)</f>
        <v>40.126081055749438</v>
      </c>
      <c r="W33" s="1">
        <f>W32*($C$2*$C$3*10^-3/$C$4)</f>
        <v>42.405194769017378</v>
      </c>
    </row>
    <row r="34" spans="8:29" x14ac:dyDescent="0.25">
      <c r="H34" s="13">
        <v>2.1000001361999998</v>
      </c>
      <c r="I34">
        <v>-151.47099512400001</v>
      </c>
      <c r="J34" s="127">
        <f t="shared" si="0"/>
        <v>-95049.455437354452</v>
      </c>
      <c r="K34" s="6">
        <f t="shared" si="1"/>
        <v>38.077497310048784</v>
      </c>
      <c r="N34" s="13">
        <v>2.0999995568999998</v>
      </c>
      <c r="O34">
        <v>-151.46074355299999</v>
      </c>
      <c r="P34" s="127">
        <f t="shared" si="2"/>
        <v>-95043.022481393928</v>
      </c>
      <c r="Q34" s="6">
        <f t="shared" si="3"/>
        <v>44.510453270573635</v>
      </c>
    </row>
    <row r="35" spans="8:29" x14ac:dyDescent="0.25">
      <c r="H35" s="13">
        <v>2.0500001362</v>
      </c>
      <c r="I35">
        <v>-151.473076131</v>
      </c>
      <c r="J35" s="127">
        <f t="shared" si="0"/>
        <v>-95050.761288563444</v>
      </c>
      <c r="K35" s="6">
        <f t="shared" si="1"/>
        <v>36.771646101056831</v>
      </c>
      <c r="N35" s="13">
        <v>2.0499995569</v>
      </c>
      <c r="O35">
        <v>-151.46016076399999</v>
      </c>
      <c r="P35" s="127">
        <f t="shared" si="2"/>
        <v>-95042.656775886819</v>
      </c>
      <c r="Q35" s="6">
        <f t="shared" si="3"/>
        <v>44.876158777682576</v>
      </c>
    </row>
    <row r="36" spans="8:29" x14ac:dyDescent="0.25">
      <c r="H36" s="13">
        <v>2.0000001362000002</v>
      </c>
      <c r="I36">
        <v>-151.47539558099999</v>
      </c>
      <c r="J36" s="127">
        <f t="shared" si="0"/>
        <v>-95052.216764968238</v>
      </c>
      <c r="K36" s="6">
        <f t="shared" si="1"/>
        <v>35.316169696263387</v>
      </c>
      <c r="N36" s="13">
        <v>1.9999995569</v>
      </c>
      <c r="O36">
        <v>-151.45938266499999</v>
      </c>
      <c r="P36" s="127">
        <f t="shared" si="2"/>
        <v>-95042.168511541779</v>
      </c>
      <c r="Q36" s="6">
        <f t="shared" si="3"/>
        <v>45.364423122722656</v>
      </c>
    </row>
    <row r="37" spans="8:29" x14ac:dyDescent="0.25">
      <c r="H37" s="13">
        <v>1.9500001361999999</v>
      </c>
      <c r="I37">
        <v>-151.478031483</v>
      </c>
      <c r="J37" s="127">
        <f t="shared" si="0"/>
        <v>-95053.870817940435</v>
      </c>
      <c r="K37" s="6">
        <f t="shared" si="1"/>
        <v>33.662116724066436</v>
      </c>
      <c r="N37" s="13">
        <v>1.9499995568999999</v>
      </c>
      <c r="O37">
        <v>-151.45838183699999</v>
      </c>
      <c r="P37" s="127">
        <f t="shared" si="2"/>
        <v>-95041.540482681812</v>
      </c>
      <c r="Q37" s="6">
        <f t="shared" si="3"/>
        <v>45.99245198268909</v>
      </c>
    </row>
    <row r="38" spans="8:29" x14ac:dyDescent="0.25">
      <c r="H38" s="13">
        <v>1.9000001362000001</v>
      </c>
      <c r="I38">
        <v>-151.48107689</v>
      </c>
      <c r="J38" s="127">
        <f t="shared" si="0"/>
        <v>-95055.78183910127</v>
      </c>
      <c r="K38" s="6">
        <f t="shared" si="1"/>
        <v>31.751095563231502</v>
      </c>
      <c r="N38" s="13">
        <v>1.8999995569000001</v>
      </c>
      <c r="O38">
        <v>-151.45714897100001</v>
      </c>
      <c r="P38" s="127">
        <f t="shared" si="2"/>
        <v>-95040.766847823004</v>
      </c>
      <c r="Q38" s="6">
        <f t="shared" si="3"/>
        <v>46.766086841496872</v>
      </c>
      <c r="T38" s="1"/>
    </row>
    <row r="39" spans="8:29" x14ac:dyDescent="0.25">
      <c r="H39" s="13">
        <v>1.8500001362</v>
      </c>
      <c r="I39">
        <v>-151.484670204</v>
      </c>
      <c r="J39" s="127">
        <f t="shared" si="0"/>
        <v>-95058.036676990436</v>
      </c>
      <c r="K39" s="6">
        <f t="shared" si="1"/>
        <v>29.496257674065419</v>
      </c>
      <c r="N39" s="13">
        <v>1.8499995569000001</v>
      </c>
      <c r="O39">
        <v>-151.45575607000001</v>
      </c>
      <c r="P39" s="127">
        <f t="shared" si="2"/>
        <v>-95039.892789516205</v>
      </c>
      <c r="Q39" s="6">
        <f t="shared" si="3"/>
        <v>47.640145148296142</v>
      </c>
    </row>
    <row r="40" spans="8:29" x14ac:dyDescent="0.25">
      <c r="H40" s="13">
        <v>1.8000001362</v>
      </c>
      <c r="I40">
        <v>-151.489166772</v>
      </c>
      <c r="J40" s="127">
        <f t="shared" si="0"/>
        <v>-95060.858315148871</v>
      </c>
      <c r="K40" s="6">
        <f t="shared" si="1"/>
        <v>26.674619515630184</v>
      </c>
      <c r="N40" s="13">
        <v>1.7999995569</v>
      </c>
      <c r="O40">
        <v>-151.45409848599999</v>
      </c>
      <c r="P40" s="127">
        <f t="shared" si="2"/>
        <v>-95038.852640170022</v>
      </c>
      <c r="Q40" s="6">
        <f t="shared" si="3"/>
        <v>48.680294494479313</v>
      </c>
    </row>
    <row r="41" spans="8:29" x14ac:dyDescent="0.25">
      <c r="H41" s="13">
        <v>1.7500001361999999</v>
      </c>
      <c r="I41">
        <v>-151.49520731499999</v>
      </c>
      <c r="J41" s="127">
        <f t="shared" si="0"/>
        <v>-95064.648811951411</v>
      </c>
      <c r="K41" s="6">
        <f t="shared" si="1"/>
        <v>22.884122713090619</v>
      </c>
      <c r="N41" s="13">
        <v>1.7499995569</v>
      </c>
      <c r="O41">
        <v>-151.451211981</v>
      </c>
      <c r="P41" s="127">
        <f t="shared" si="2"/>
        <v>-95037.041331489163</v>
      </c>
      <c r="Q41" s="6">
        <f t="shared" si="3"/>
        <v>50.491603175338241</v>
      </c>
    </row>
    <row r="42" spans="8:29" x14ac:dyDescent="0.25">
      <c r="H42" s="13">
        <v>1.7000001361999999</v>
      </c>
      <c r="I42">
        <v>-151.50275719499999</v>
      </c>
      <c r="J42" s="127">
        <f t="shared" si="0"/>
        <v>-95069.38643173156</v>
      </c>
      <c r="K42" s="6">
        <f t="shared" si="1"/>
        <v>18.146502932941075</v>
      </c>
      <c r="N42" s="13">
        <v>1.6999995568999999</v>
      </c>
      <c r="O42">
        <v>-151.44671461799999</v>
      </c>
      <c r="P42" s="127">
        <f>O42*($C$2*$C$3*10^-3/$C$4)</f>
        <v>-95034.219194460849</v>
      </c>
      <c r="Q42" s="6">
        <f t="shared" si="3"/>
        <v>53.313740203651832</v>
      </c>
    </row>
    <row r="43" spans="8:29" x14ac:dyDescent="0.25">
      <c r="H43" s="13">
        <v>1.6500001362000001</v>
      </c>
      <c r="I43">
        <v>-151.510084681</v>
      </c>
      <c r="J43" s="127">
        <f t="shared" si="0"/>
        <v>-95073.984497212383</v>
      </c>
      <c r="K43" s="6">
        <f t="shared" si="1"/>
        <v>13.548437452118378</v>
      </c>
    </row>
    <row r="44" spans="8:29" x14ac:dyDescent="0.25">
      <c r="H44" s="13">
        <v>1.6000001362</v>
      </c>
      <c r="I44">
        <v>-151.516890644</v>
      </c>
      <c r="J44" s="127">
        <f t="shared" si="0"/>
        <v>-95078.255302169768</v>
      </c>
      <c r="K44" s="6">
        <f t="shared" si="1"/>
        <v>9.2776324947335524</v>
      </c>
    </row>
    <row r="45" spans="8:29" x14ac:dyDescent="0.25">
      <c r="H45" s="13">
        <v>1.5500001362</v>
      </c>
      <c r="I45">
        <v>-151.52288587300001</v>
      </c>
      <c r="J45" s="127">
        <f t="shared" si="0"/>
        <v>-95082.017364016705</v>
      </c>
      <c r="K45" s="6">
        <f>J45-$J$48</f>
        <v>5.5155706477962667</v>
      </c>
    </row>
    <row r="46" spans="8:29" x14ac:dyDescent="0.25">
      <c r="H46" s="13">
        <v>1.5000001361999999</v>
      </c>
      <c r="I46">
        <v>-151.527691113</v>
      </c>
      <c r="J46" s="127">
        <f t="shared" si="0"/>
        <v>-95085.032696720315</v>
      </c>
      <c r="K46" s="6">
        <f t="shared" si="1"/>
        <v>2.5002379441866651</v>
      </c>
      <c r="R46" t="s">
        <v>579</v>
      </c>
      <c r="S46" t="s">
        <v>575</v>
      </c>
      <c r="U46" t="s">
        <v>576</v>
      </c>
      <c r="W46" t="s">
        <v>578</v>
      </c>
      <c r="X46" t="s">
        <v>578</v>
      </c>
    </row>
    <row r="47" spans="8:29" x14ac:dyDescent="0.25">
      <c r="H47" s="13">
        <v>1.4500001361999999</v>
      </c>
      <c r="I47">
        <v>-151.530825429</v>
      </c>
      <c r="J47" s="127">
        <f t="shared" si="0"/>
        <v>-95086.999509103931</v>
      </c>
      <c r="K47" s="6">
        <f t="shared" si="1"/>
        <v>0.53342556057032198</v>
      </c>
      <c r="R47" t="s">
        <v>580</v>
      </c>
      <c r="S47" t="s">
        <v>577</v>
      </c>
      <c r="U47" t="s">
        <v>577</v>
      </c>
      <c r="X47" t="s">
        <v>581</v>
      </c>
    </row>
    <row r="48" spans="8:29" x14ac:dyDescent="0.25">
      <c r="H48" s="13">
        <v>1.4000001362000001</v>
      </c>
      <c r="I48">
        <v>-151.53167549700001</v>
      </c>
      <c r="J48" s="127">
        <f t="shared" si="0"/>
        <v>-95087.532934664501</v>
      </c>
      <c r="K48" s="6">
        <f t="shared" si="1"/>
        <v>0</v>
      </c>
      <c r="L48" t="s">
        <v>565</v>
      </c>
      <c r="R48">
        <f>-154.43023-(-151.582642+ -2.913028)</f>
        <v>6.543999999999528E-2</v>
      </c>
      <c r="S48">
        <f xml:space="preserve">    -151.466093--151.531978</f>
        <v>6.5885000000008631E-2</v>
      </c>
      <c r="U48">
        <f xml:space="preserve"> -151.450355-  -151.51728</f>
        <v>6.6924999999997681E-2</v>
      </c>
      <c r="W48">
        <f xml:space="preserve"> -151.302072--151.378801</f>
        <v>7.6729000000000269E-2</v>
      </c>
      <c r="X48">
        <f>( -151.302001+0.018731- 0.019046)-( -151.378769+0.026431-0.02639)</f>
        <v>7.6412000000004809E-2</v>
      </c>
      <c r="Y48">
        <f xml:space="preserve"> -151.436632- -151.50696</f>
        <v>7.0327999999989288E-2</v>
      </c>
      <c r="Z48">
        <f>(-151.44409503+ 0.018692)-(-151.54768024+0.026254)</f>
        <v>9.6023209999998471E-2</v>
      </c>
      <c r="AA48">
        <f>-1108.105371--1108.158157</f>
        <v>5.2785999999969135E-2</v>
      </c>
      <c r="AB48">
        <f xml:space="preserve"> -1108.06801--1108.124287</f>
        <v>5.6277000000136468E-2</v>
      </c>
      <c r="AC48">
        <f>-1107.65896641--1107.70209226</f>
        <v>4.3125850000024002E-2</v>
      </c>
    </row>
    <row r="49" spans="7:30" x14ac:dyDescent="0.25">
      <c r="H49" s="13">
        <v>1.3500001362</v>
      </c>
      <c r="I49">
        <v>-151.52944784799999</v>
      </c>
      <c r="J49" s="127">
        <f t="shared" si="0"/>
        <v>-95086.135064239323</v>
      </c>
      <c r="K49" s="6">
        <f t="shared" si="1"/>
        <v>1.397870425178553</v>
      </c>
      <c r="R49" s="1">
        <f>R48*($C$2*$C$3*10^-3/$C$4)</f>
        <v>41.064207432769983</v>
      </c>
      <c r="S49" s="1">
        <f>S48*($C$2*$C$3*10^-3/$C$4)</f>
        <v>41.343449063395475</v>
      </c>
      <c r="T49" s="1"/>
      <c r="U49" s="1">
        <f>U48*($C$2*$C$3*10^-3/$C$4)</f>
        <v>41.996058716965678</v>
      </c>
      <c r="V49" s="1"/>
      <c r="W49" s="1">
        <f t="shared" ref="W49:AC49" si="4">W48*($C$2*$C$3*10^-3/$C$4)</f>
        <v>48.148159720495812</v>
      </c>
      <c r="X49" s="1">
        <f t="shared" si="4"/>
        <v>47.949239278014112</v>
      </c>
      <c r="Y49" s="1">
        <f t="shared" si="4"/>
        <v>44.131472804578479</v>
      </c>
      <c r="Z49" s="1">
        <f t="shared" si="4"/>
        <v>60.255455589863303</v>
      </c>
      <c r="AA49" s="6">
        <f t="shared" si="4"/>
        <v>33.123704974710961</v>
      </c>
      <c r="AB49" s="11">
        <f t="shared" si="4"/>
        <v>35.314339879275167</v>
      </c>
      <c r="AC49" s="11">
        <f t="shared" si="4"/>
        <v>27.061871181473666</v>
      </c>
    </row>
    <row r="50" spans="7:30" x14ac:dyDescent="0.25">
      <c r="H50" s="13">
        <v>1.3000001362</v>
      </c>
      <c r="I50">
        <v>-151.52311993800001</v>
      </c>
      <c r="J50" s="127">
        <f t="shared" si="0"/>
        <v>-95082.164241976861</v>
      </c>
      <c r="K50" s="6">
        <f t="shared" si="1"/>
        <v>5.3686926876398502</v>
      </c>
    </row>
    <row r="51" spans="7:30" x14ac:dyDescent="0.25">
      <c r="H51" s="13">
        <v>1.2500001361999999</v>
      </c>
      <c r="I51">
        <v>-151.51134649799999</v>
      </c>
      <c r="J51" s="127">
        <f t="shared" si="0"/>
        <v>-95074.776299092424</v>
      </c>
      <c r="K51" s="6">
        <f t="shared" si="1"/>
        <v>12.756635572077357</v>
      </c>
    </row>
    <row r="52" spans="7:30" x14ac:dyDescent="0.25">
      <c r="H52" s="13">
        <v>1.2000001361999999</v>
      </c>
      <c r="I52">
        <v>-151.492383625</v>
      </c>
      <c r="J52" s="127">
        <f t="shared" si="0"/>
        <v>-95062.876920266121</v>
      </c>
      <c r="K52" s="6">
        <f t="shared" si="1"/>
        <v>24.656014398380648</v>
      </c>
    </row>
    <row r="53" spans="7:30" x14ac:dyDescent="0.25">
      <c r="Y53">
        <f>-1108.14784653--1108.14849353</f>
        <v>6.470000000717846E-4</v>
      </c>
      <c r="AC53">
        <f>-668.07201815--668.13771198</f>
        <v>6.5693829999986519E-2</v>
      </c>
      <c r="AD53">
        <f>-667.55440344--667.55019675</f>
        <v>-4.2066899999326779E-3</v>
      </c>
    </row>
    <row r="54" spans="7:30" x14ac:dyDescent="0.25">
      <c r="H54" t="s">
        <v>573</v>
      </c>
      <c r="N54" t="s">
        <v>572</v>
      </c>
      <c r="Y54" s="11">
        <f>Y53*($C$2*$C$3*10^-3/$C$4)</f>
        <v>0.40599850568386114</v>
      </c>
      <c r="AC54" s="6">
        <f>AC53*($C$2*$C$3*10^-3/$C$4)</f>
        <v>41.223488113887051</v>
      </c>
    </row>
    <row r="55" spans="7:30" x14ac:dyDescent="0.25">
      <c r="G55" t="s">
        <v>556</v>
      </c>
      <c r="H55" t="s">
        <v>557</v>
      </c>
      <c r="M55" t="s">
        <v>556</v>
      </c>
      <c r="N55" t="s">
        <v>557</v>
      </c>
    </row>
    <row r="56" spans="7:30" x14ac:dyDescent="0.25">
      <c r="G56" t="s">
        <v>556</v>
      </c>
      <c r="H56" t="s">
        <v>558</v>
      </c>
      <c r="I56" t="s">
        <v>559</v>
      </c>
      <c r="M56" t="s">
        <v>556</v>
      </c>
      <c r="N56" t="s">
        <v>558</v>
      </c>
      <c r="O56" t="s">
        <v>559</v>
      </c>
    </row>
    <row r="57" spans="7:30" x14ac:dyDescent="0.25">
      <c r="G57" t="s">
        <v>556</v>
      </c>
      <c r="H57" t="s">
        <v>560</v>
      </c>
      <c r="I57" t="s">
        <v>561</v>
      </c>
      <c r="M57" t="s">
        <v>556</v>
      </c>
      <c r="N57" t="s">
        <v>560</v>
      </c>
      <c r="O57" t="s">
        <v>561</v>
      </c>
    </row>
    <row r="58" spans="7:30" x14ac:dyDescent="0.25">
      <c r="G58" t="s">
        <v>556</v>
      </c>
      <c r="H58" t="s">
        <v>562</v>
      </c>
      <c r="I58" t="s">
        <v>563</v>
      </c>
      <c r="J58" t="s">
        <v>239</v>
      </c>
      <c r="M58" t="s">
        <v>556</v>
      </c>
      <c r="N58" t="s">
        <v>562</v>
      </c>
      <c r="O58" t="s">
        <v>563</v>
      </c>
      <c r="P58" t="s">
        <v>239</v>
      </c>
    </row>
    <row r="59" spans="7:30" x14ac:dyDescent="0.25">
      <c r="H59" s="1">
        <v>3.1999985419999999</v>
      </c>
      <c r="I59">
        <v>-151.53562173700001</v>
      </c>
      <c r="J59" s="127">
        <f>I59*($C$2*$C$3*10^-3/$C$4)</f>
        <v>-95090.009236894635</v>
      </c>
      <c r="K59" s="1">
        <f>J59-$J$94</f>
        <v>47.280901104270015</v>
      </c>
      <c r="N59" s="1">
        <v>3.2000001993999998</v>
      </c>
      <c r="O59">
        <v>-151.535659106</v>
      </c>
      <c r="P59" s="127">
        <f>O59*($C$2*$C$3*10^-3/$C$4)</f>
        <v>-95090.032686288992</v>
      </c>
      <c r="Q59" s="1">
        <f>P59-$J$94</f>
        <v>47.257451709912857</v>
      </c>
      <c r="T59" s="13">
        <f t="shared" ref="T59:T89" si="5">Q59-K59</f>
        <v>-2.3449394357157871E-2</v>
      </c>
    </row>
    <row r="60" spans="7:30" x14ac:dyDescent="0.25">
      <c r="H60" s="1">
        <v>3.1499985420000001</v>
      </c>
      <c r="I60">
        <v>-151.53578470100001</v>
      </c>
      <c r="J60" s="127">
        <f t="shared" ref="J60:J99" si="6">I60*($C$2*$C$3*10^-3/$C$4)</f>
        <v>-95090.111498317317</v>
      </c>
      <c r="K60" s="1">
        <f t="shared" ref="K60:K99" si="7">J60-$J$94</f>
        <v>47.178639681587811</v>
      </c>
      <c r="N60" s="1">
        <v>3.1500001994</v>
      </c>
      <c r="O60">
        <v>-151.535833349</v>
      </c>
      <c r="P60" s="127">
        <f t="shared" ref="P60:P89" si="8">O60*($C$2*$C$3*10^-3/$C$4)</f>
        <v>-95090.142025388879</v>
      </c>
      <c r="Q60" s="1">
        <f t="shared" ref="Q60:Q89" si="9">P60-$J$94</f>
        <v>47.148112610026146</v>
      </c>
      <c r="T60" s="13">
        <f t="shared" si="5"/>
        <v>-3.0527071561664343E-2</v>
      </c>
    </row>
    <row r="61" spans="7:30" x14ac:dyDescent="0.25">
      <c r="H61" s="1">
        <v>3.0999985419999998</v>
      </c>
      <c r="I61">
        <v>-151.535916636</v>
      </c>
      <c r="J61" s="127">
        <f t="shared" si="6"/>
        <v>-95090.194288754457</v>
      </c>
      <c r="K61" s="1">
        <f t="shared" si="7"/>
        <v>47.095849244447891</v>
      </c>
      <c r="N61" s="1">
        <v>3.1000001994000002</v>
      </c>
      <c r="O61">
        <v>-151.535982176</v>
      </c>
      <c r="P61" s="127">
        <f t="shared" si="8"/>
        <v>-95090.235415712828</v>
      </c>
      <c r="Q61" s="1">
        <f t="shared" si="9"/>
        <v>47.054722286076867</v>
      </c>
      <c r="T61" s="13">
        <f t="shared" si="5"/>
        <v>-4.1126958371023647E-2</v>
      </c>
    </row>
    <row r="62" spans="7:30" x14ac:dyDescent="0.25">
      <c r="H62" s="1">
        <v>3.049998542</v>
      </c>
      <c r="I62">
        <v>-151.53601226399999</v>
      </c>
      <c r="J62" s="127">
        <f t="shared" si="6"/>
        <v>-95090.254296212108</v>
      </c>
      <c r="K62" s="1">
        <f t="shared" si="7"/>
        <v>47.035841786797391</v>
      </c>
      <c r="N62" s="1">
        <v>3.0500001993999999</v>
      </c>
      <c r="O62" s="11">
        <v>-151.53609724899999</v>
      </c>
      <c r="P62" s="127">
        <f t="shared" si="8"/>
        <v>-95090.307625088462</v>
      </c>
      <c r="Q62" s="1">
        <f t="shared" si="9"/>
        <v>46.982512910442892</v>
      </c>
      <c r="T62" s="13">
        <f t="shared" si="5"/>
        <v>-5.3328876354498789E-2</v>
      </c>
    </row>
    <row r="63" spans="7:30" x14ac:dyDescent="0.25">
      <c r="H63" s="1">
        <v>2.9999985420000002</v>
      </c>
      <c r="I63">
        <v>-151.53605552299999</v>
      </c>
      <c r="J63" s="127">
        <f t="shared" si="6"/>
        <v>-95090.281441636151</v>
      </c>
      <c r="K63" s="1">
        <f t="shared" si="7"/>
        <v>47.008696362754563</v>
      </c>
      <c r="L63" t="s">
        <v>566</v>
      </c>
      <c r="N63" s="1">
        <v>3.0000001994000001</v>
      </c>
      <c r="O63">
        <v>-151.53616813799999</v>
      </c>
      <c r="P63" s="127">
        <f t="shared" si="8"/>
        <v>-95090.352108593972</v>
      </c>
      <c r="Q63" s="1">
        <f t="shared" si="9"/>
        <v>46.938029404933332</v>
      </c>
      <c r="T63" s="13">
        <f t="shared" si="5"/>
        <v>-7.0666957821231335E-2</v>
      </c>
    </row>
    <row r="64" spans="7:30" x14ac:dyDescent="0.25">
      <c r="H64" s="1">
        <v>2.9499985419999999</v>
      </c>
      <c r="I64">
        <v>-151.536032858</v>
      </c>
      <c r="J64" s="127">
        <f t="shared" si="6"/>
        <v>-95090.267219138274</v>
      </c>
      <c r="K64" s="1">
        <f t="shared" si="7"/>
        <v>47.022918860631762</v>
      </c>
      <c r="N64" s="1">
        <v>2.9500001993999998</v>
      </c>
      <c r="O64">
        <v>-151.53618317999999</v>
      </c>
      <c r="P64" s="127">
        <f t="shared" si="8"/>
        <v>-95090.361547588604</v>
      </c>
      <c r="Q64" s="1">
        <f t="shared" si="9"/>
        <v>46.928590410301695</v>
      </c>
      <c r="R64" t="s">
        <v>566</v>
      </c>
      <c r="T64" s="13">
        <f t="shared" si="5"/>
        <v>-9.4328450330067426E-2</v>
      </c>
    </row>
    <row r="65" spans="8:21" x14ac:dyDescent="0.25">
      <c r="H65" s="1">
        <v>2.8999985420000001</v>
      </c>
      <c r="I65">
        <v>-151.53592794599999</v>
      </c>
      <c r="J65" s="127">
        <f t="shared" si="6"/>
        <v>-95090.201385884444</v>
      </c>
      <c r="K65" s="1">
        <f t="shared" si="7"/>
        <v>47.088752114461386</v>
      </c>
      <c r="N65" s="1">
        <v>2.9000001994</v>
      </c>
      <c r="O65">
        <v>-151.53612863000001</v>
      </c>
      <c r="P65" s="127">
        <f t="shared" si="8"/>
        <v>-95090.327316957264</v>
      </c>
      <c r="Q65" s="1">
        <f t="shared" si="9"/>
        <v>46.962821041641291</v>
      </c>
      <c r="T65" s="13">
        <f t="shared" si="5"/>
        <v>-0.12593107282009441</v>
      </c>
    </row>
    <row r="66" spans="8:21" x14ac:dyDescent="0.25">
      <c r="H66" s="1">
        <v>2.8499985419999998</v>
      </c>
      <c r="I66">
        <v>-151.53572101699999</v>
      </c>
      <c r="J66" s="127">
        <f t="shared" si="6"/>
        <v>-95090.07153601617</v>
      </c>
      <c r="K66" s="1">
        <f t="shared" si="7"/>
        <v>47.218601982734981</v>
      </c>
      <c r="N66" s="1">
        <v>2.8500001994000002</v>
      </c>
      <c r="O66">
        <v>-151.535990795</v>
      </c>
      <c r="P66" s="127">
        <f t="shared" si="8"/>
        <v>-95090.240824215332</v>
      </c>
      <c r="Q66" s="1">
        <f t="shared" si="9"/>
        <v>47.04931378357287</v>
      </c>
      <c r="R66" t="s">
        <v>570</v>
      </c>
      <c r="T66" s="13">
        <f t="shared" si="5"/>
        <v>-0.16928819916211069</v>
      </c>
    </row>
    <row r="67" spans="8:21" x14ac:dyDescent="0.25">
      <c r="H67" s="1">
        <v>2.799998542</v>
      </c>
      <c r="I67">
        <v>-151.53538902599999</v>
      </c>
      <c r="J67" s="127">
        <f t="shared" si="6"/>
        <v>-95089.863208582028</v>
      </c>
      <c r="K67" s="1">
        <f t="shared" si="7"/>
        <v>47.426929416877101</v>
      </c>
      <c r="N67" s="1">
        <v>2.8000001993999999</v>
      </c>
      <c r="O67">
        <v>-151.53606493300001</v>
      </c>
      <c r="P67" s="127">
        <f t="shared" si="8"/>
        <v>-95090.287346498502</v>
      </c>
      <c r="Q67" s="1">
        <f t="shared" si="9"/>
        <v>47.002791500402964</v>
      </c>
      <c r="T67" s="13">
        <f t="shared" si="5"/>
        <v>-0.42413791647413746</v>
      </c>
    </row>
    <row r="68" spans="8:21" x14ac:dyDescent="0.25">
      <c r="H68" s="1">
        <v>2.7499985420000002</v>
      </c>
      <c r="I68">
        <v>-151.53509837999999</v>
      </c>
      <c r="J68" s="127">
        <f t="shared" si="6"/>
        <v>-95089.680825519172</v>
      </c>
      <c r="K68" s="1">
        <f t="shared" si="7"/>
        <v>47.609312479733489</v>
      </c>
      <c r="L68" t="s">
        <v>569</v>
      </c>
      <c r="N68" s="1">
        <v>2.7500001994000001</v>
      </c>
      <c r="O68">
        <v>-151.53616087</v>
      </c>
      <c r="P68" s="127">
        <f t="shared" si="8"/>
        <v>-95090.347547856523</v>
      </c>
      <c r="Q68" s="1">
        <f t="shared" si="9"/>
        <v>46.94259014238196</v>
      </c>
      <c r="T68" s="13">
        <f t="shared" si="5"/>
        <v>-0.66672233735152986</v>
      </c>
    </row>
    <row r="69" spans="8:21" x14ac:dyDescent="0.25">
      <c r="H69" s="1">
        <v>2.6999985419999999</v>
      </c>
      <c r="I69">
        <v>-151.535371352</v>
      </c>
      <c r="J69" s="127">
        <f t="shared" si="6"/>
        <v>-95089.852117982984</v>
      </c>
      <c r="K69" s="1">
        <f t="shared" si="7"/>
        <v>47.438020015921211</v>
      </c>
      <c r="N69" s="1">
        <v>2.7000001993999998</v>
      </c>
      <c r="O69">
        <v>-151.53633571899999</v>
      </c>
      <c r="P69" s="127">
        <f t="shared" si="8"/>
        <v>-95090.457267227015</v>
      </c>
      <c r="Q69" s="1">
        <f t="shared" si="9"/>
        <v>46.832870771890157</v>
      </c>
      <c r="T69" s="13">
        <f t="shared" si="5"/>
        <v>-0.60514924403105397</v>
      </c>
    </row>
    <row r="70" spans="8:21" x14ac:dyDescent="0.25">
      <c r="H70" s="1">
        <v>2.6499985420000001</v>
      </c>
      <c r="I70">
        <v>-151.53581011099999</v>
      </c>
      <c r="J70" s="127">
        <f t="shared" si="6"/>
        <v>-95090.127443328165</v>
      </c>
      <c r="K70" s="1">
        <f t="shared" si="7"/>
        <v>47.162694670740166</v>
      </c>
      <c r="N70" s="1">
        <v>2.6500001994</v>
      </c>
      <c r="O70">
        <v>-151.536637308</v>
      </c>
      <c r="P70" s="127">
        <f t="shared" si="8"/>
        <v>-95090.64651712394</v>
      </c>
      <c r="Q70" s="1">
        <f t="shared" si="9"/>
        <v>46.643620874965563</v>
      </c>
      <c r="T70" s="13">
        <f t="shared" si="5"/>
        <v>-0.51907379577460233</v>
      </c>
    </row>
    <row r="71" spans="8:21" x14ac:dyDescent="0.25">
      <c r="H71" s="1">
        <v>2.5999985419999998</v>
      </c>
      <c r="I71">
        <v>-151.536331047</v>
      </c>
      <c r="J71" s="127">
        <f t="shared" si="6"/>
        <v>-95090.454335503644</v>
      </c>
      <c r="K71" s="1">
        <f t="shared" si="7"/>
        <v>46.835802495261305</v>
      </c>
      <c r="N71" s="1">
        <v>2.6000001994000002</v>
      </c>
      <c r="O71">
        <v>-151.53699089899999</v>
      </c>
      <c r="P71" s="127">
        <f t="shared" si="8"/>
        <v>-95090.868398758568</v>
      </c>
      <c r="Q71" s="1">
        <f t="shared" si="9"/>
        <v>46.421739240337047</v>
      </c>
      <c r="T71" s="13">
        <f t="shared" si="5"/>
        <v>-0.41406325492425822</v>
      </c>
    </row>
    <row r="72" spans="8:21" x14ac:dyDescent="0.25">
      <c r="H72" s="1">
        <v>2.549998542</v>
      </c>
      <c r="I72">
        <v>-151.53694186300001</v>
      </c>
      <c r="J72" s="127">
        <f t="shared" si="6"/>
        <v>-95090.837628213427</v>
      </c>
      <c r="K72" s="1">
        <f t="shared" si="7"/>
        <v>46.452509785478469</v>
      </c>
      <c r="N72" s="1">
        <v>2.5500001993999999</v>
      </c>
      <c r="O72">
        <v>-151.537342588</v>
      </c>
      <c r="P72" s="127">
        <f t="shared" si="8"/>
        <v>-95091.089086870561</v>
      </c>
      <c r="Q72" s="1">
        <f t="shared" si="9"/>
        <v>46.201051128344261</v>
      </c>
      <c r="T72" s="13">
        <f t="shared" si="5"/>
        <v>-0.2514586571342079</v>
      </c>
    </row>
    <row r="73" spans="8:21" x14ac:dyDescent="0.25">
      <c r="H73" s="1">
        <v>2.4999985420000002</v>
      </c>
      <c r="I73">
        <v>-151.537652471</v>
      </c>
      <c r="J73" s="127">
        <f t="shared" si="6"/>
        <v>-95091.283541329482</v>
      </c>
      <c r="K73" s="1">
        <f t="shared" si="7"/>
        <v>46.006596669423743</v>
      </c>
      <c r="N73" s="1">
        <v>2.5000001994000001</v>
      </c>
      <c r="O73">
        <v>-151.53768632800001</v>
      </c>
      <c r="P73" s="127">
        <f t="shared" si="8"/>
        <v>-95091.304786911263</v>
      </c>
      <c r="Q73" s="1">
        <f t="shared" si="9"/>
        <v>45.985351087641902</v>
      </c>
      <c r="T73" s="13">
        <f t="shared" si="5"/>
        <v>-2.1245581781840883E-2</v>
      </c>
      <c r="U73" t="s">
        <v>574</v>
      </c>
    </row>
    <row r="74" spans="8:21" x14ac:dyDescent="0.25">
      <c r="H74" s="1">
        <v>2.4499985419999999</v>
      </c>
      <c r="I74">
        <v>-151.53847503399999</v>
      </c>
      <c r="J74" s="127">
        <f t="shared" si="6"/>
        <v>-95091.799707247235</v>
      </c>
      <c r="K74" s="1">
        <f t="shared" si="7"/>
        <v>45.490430751669919</v>
      </c>
      <c r="N74" s="1">
        <v>2.4500001993999998</v>
      </c>
      <c r="O74">
        <v>-151.538016511</v>
      </c>
      <c r="P74" s="127">
        <f t="shared" si="8"/>
        <v>-95091.511979808609</v>
      </c>
      <c r="Q74" s="1">
        <f t="shared" si="9"/>
        <v>45.778158190296381</v>
      </c>
      <c r="T74" s="13">
        <f t="shared" si="5"/>
        <v>0.28772743862646166</v>
      </c>
    </row>
    <row r="75" spans="8:21" x14ac:dyDescent="0.25">
      <c r="H75" s="1">
        <v>2.3999985420000001</v>
      </c>
      <c r="I75">
        <v>-151.539424784</v>
      </c>
      <c r="J75" s="127">
        <f t="shared" si="6"/>
        <v>-95092.395684188101</v>
      </c>
      <c r="K75" s="1">
        <f t="shared" si="7"/>
        <v>44.894453810804407</v>
      </c>
      <c r="N75" s="1">
        <v>2.4000001994</v>
      </c>
      <c r="O75">
        <v>-151.53832924299999</v>
      </c>
      <c r="P75" s="127">
        <f t="shared" si="8"/>
        <v>-95091.708222041474</v>
      </c>
      <c r="Q75" s="1">
        <f t="shared" si="9"/>
        <v>45.581915957431193</v>
      </c>
      <c r="T75" s="13">
        <f t="shared" si="5"/>
        <v>0.6874621466267854</v>
      </c>
    </row>
    <row r="76" spans="8:21" x14ac:dyDescent="0.25">
      <c r="H76" s="1">
        <v>2.3499985419999998</v>
      </c>
      <c r="I76">
        <v>-151.54052062</v>
      </c>
      <c r="J76" s="127">
        <f t="shared" si="6"/>
        <v>-95093.083331449961</v>
      </c>
      <c r="K76" s="1">
        <f t="shared" si="7"/>
        <v>44.20680654894386</v>
      </c>
      <c r="N76" s="1">
        <v>2.3500001994000002</v>
      </c>
      <c r="O76">
        <v>-151.53862347399999</v>
      </c>
      <c r="P76" s="127">
        <f t="shared" si="8"/>
        <v>-95091.892854725098</v>
      </c>
      <c r="Q76" s="1">
        <f t="shared" si="9"/>
        <v>45.397283273807261</v>
      </c>
      <c r="T76" s="13">
        <f t="shared" si="5"/>
        <v>1.1904767248634016</v>
      </c>
    </row>
    <row r="77" spans="8:21" x14ac:dyDescent="0.25">
      <c r="H77" s="1">
        <v>2.299998542</v>
      </c>
      <c r="I77">
        <v>-151.54178609600001</v>
      </c>
      <c r="J77" s="127">
        <f t="shared" si="6"/>
        <v>-95093.87742938647</v>
      </c>
      <c r="K77" s="1">
        <f t="shared" si="7"/>
        <v>43.412708612435381</v>
      </c>
      <c r="N77" s="1">
        <v>2.3000001993999999</v>
      </c>
      <c r="O77">
        <v>-151.53890236300001</v>
      </c>
      <c r="P77" s="127">
        <f t="shared" si="8"/>
        <v>-95092.067860161333</v>
      </c>
      <c r="Q77" s="1">
        <f t="shared" si="9"/>
        <v>45.222277837572619</v>
      </c>
      <c r="T77" s="13">
        <f t="shared" si="5"/>
        <v>1.8095692251372384</v>
      </c>
    </row>
    <row r="78" spans="8:21" x14ac:dyDescent="0.25">
      <c r="H78" s="1">
        <v>2.2499985420000002</v>
      </c>
      <c r="I78">
        <v>-151.54325130300001</v>
      </c>
      <c r="J78" s="127">
        <f t="shared" si="6"/>
        <v>-95094.796860379443</v>
      </c>
      <c r="K78" s="1">
        <f t="shared" si="7"/>
        <v>42.493277619461878</v>
      </c>
      <c r="N78" s="1">
        <v>2.2500001994000001</v>
      </c>
      <c r="O78">
        <v>-151.53917488100001</v>
      </c>
      <c r="P78" s="127">
        <f t="shared" si="8"/>
        <v>-95092.238867735927</v>
      </c>
      <c r="Q78" s="1">
        <f t="shared" si="9"/>
        <v>45.051270262978505</v>
      </c>
      <c r="T78" s="13">
        <f t="shared" si="5"/>
        <v>2.5579926435166271</v>
      </c>
    </row>
    <row r="79" spans="8:21" x14ac:dyDescent="0.25">
      <c r="H79" s="1">
        <v>2.1999985419999999</v>
      </c>
      <c r="I79">
        <v>-151.54495507300001</v>
      </c>
      <c r="J79" s="127">
        <f t="shared" si="6"/>
        <v>-95095.86599186933</v>
      </c>
      <c r="K79" s="1">
        <f t="shared" si="7"/>
        <v>41.424146129575092</v>
      </c>
      <c r="N79" s="1">
        <v>2.2000001993999998</v>
      </c>
      <c r="O79">
        <v>-151.53945984500001</v>
      </c>
      <c r="P79" s="127">
        <f t="shared" si="8"/>
        <v>-95092.417685291046</v>
      </c>
      <c r="Q79" s="1">
        <f t="shared" si="9"/>
        <v>44.872452707859338</v>
      </c>
      <c r="T79" s="13">
        <f t="shared" si="5"/>
        <v>3.4483065782842459</v>
      </c>
    </row>
    <row r="80" spans="8:21" x14ac:dyDescent="0.25">
      <c r="H80" s="1">
        <v>2.1499985420000001</v>
      </c>
      <c r="I80">
        <v>-151.546947074</v>
      </c>
      <c r="J80" s="127">
        <f t="shared" si="6"/>
        <v>-95097.115990987149</v>
      </c>
      <c r="K80" s="1">
        <f t="shared" si="7"/>
        <v>40.174147011755849</v>
      </c>
      <c r="N80" s="1">
        <v>2.1500001994</v>
      </c>
      <c r="O80">
        <v>-151.53978941400001</v>
      </c>
      <c r="P80" s="127">
        <f t="shared" si="8"/>
        <v>-95092.62449289771</v>
      </c>
      <c r="Q80" s="1">
        <f t="shared" si="9"/>
        <v>44.665645101194968</v>
      </c>
      <c r="T80" s="13">
        <f t="shared" si="5"/>
        <v>4.4914980894391192</v>
      </c>
    </row>
    <row r="81" spans="8:20" x14ac:dyDescent="0.25">
      <c r="H81" s="1">
        <v>2.0999985419999998</v>
      </c>
      <c r="I81">
        <v>-151.54929147600001</v>
      </c>
      <c r="J81" s="127">
        <f t="shared" si="6"/>
        <v>-95098.587125003556</v>
      </c>
      <c r="K81" s="1">
        <f t="shared" si="7"/>
        <v>38.703012995349127</v>
      </c>
      <c r="N81" s="1">
        <v>2.1000001994000002</v>
      </c>
      <c r="O81">
        <v>-151.54021028700001</v>
      </c>
      <c r="P81" s="127">
        <f t="shared" si="8"/>
        <v>-95092.888594611868</v>
      </c>
      <c r="Q81" s="1">
        <f t="shared" si="9"/>
        <v>44.401543387037236</v>
      </c>
      <c r="T81" s="13">
        <f t="shared" si="5"/>
        <v>5.6985303916881094</v>
      </c>
    </row>
    <row r="82" spans="8:20" x14ac:dyDescent="0.25">
      <c r="H82" s="1">
        <v>2.049998542</v>
      </c>
      <c r="I82">
        <v>-151.55207172300001</v>
      </c>
      <c r="J82" s="127">
        <f t="shared" si="6"/>
        <v>-95100.331755803098</v>
      </c>
      <c r="K82" s="1">
        <f t="shared" si="7"/>
        <v>36.958382195807644</v>
      </c>
      <c r="N82" s="1">
        <v>2.0500001993999999</v>
      </c>
      <c r="O82">
        <v>-151.54078889799999</v>
      </c>
      <c r="P82" s="127">
        <f t="shared" si="8"/>
        <v>-95093.25167838519</v>
      </c>
      <c r="Q82" s="1">
        <f t="shared" si="9"/>
        <v>44.038459613715531</v>
      </c>
      <c r="T82" s="13">
        <f t="shared" si="5"/>
        <v>7.0800774179078871</v>
      </c>
    </row>
    <row r="83" spans="8:20" x14ac:dyDescent="0.25">
      <c r="H83" s="1">
        <v>1.9999985419999999</v>
      </c>
      <c r="I83">
        <v>-151.55539573900001</v>
      </c>
      <c r="J83" s="127">
        <f t="shared" si="6"/>
        <v>-95102.417606697563</v>
      </c>
      <c r="K83" s="1">
        <f t="shared" si="7"/>
        <v>34.872531301341951</v>
      </c>
      <c r="N83" s="1">
        <v>2.0000001994000001</v>
      </c>
      <c r="O83">
        <v>-151.541621706</v>
      </c>
      <c r="P83" s="127">
        <f t="shared" si="8"/>
        <v>-95093.774273135554</v>
      </c>
      <c r="Q83" s="1">
        <f t="shared" si="9"/>
        <v>43.515864863351453</v>
      </c>
      <c r="T83" s="13">
        <f t="shared" si="5"/>
        <v>8.6433335620095022</v>
      </c>
    </row>
    <row r="84" spans="8:20" x14ac:dyDescent="0.25">
      <c r="H84" s="1">
        <v>1.9499985419999999</v>
      </c>
      <c r="I84">
        <v>-151.559403597</v>
      </c>
      <c r="J84" s="127">
        <f t="shared" si="6"/>
        <v>-95104.932574794642</v>
      </c>
      <c r="K84" s="1">
        <f t="shared" si="7"/>
        <v>32.357563204262988</v>
      </c>
      <c r="N84" s="1">
        <v>1.9500001994</v>
      </c>
      <c r="O84">
        <v>-151.542414834</v>
      </c>
      <c r="P84" s="127">
        <f t="shared" si="8"/>
        <v>-95094.271968317596</v>
      </c>
      <c r="Q84" s="1">
        <f t="shared" si="9"/>
        <v>43.018169681308791</v>
      </c>
      <c r="T84" s="13">
        <f t="shared" si="5"/>
        <v>10.660606477045803</v>
      </c>
    </row>
    <row r="85" spans="8:20" x14ac:dyDescent="0.25">
      <c r="H85" s="1">
        <v>1.8999985420000001</v>
      </c>
      <c r="I85">
        <v>-151.56427810100001</v>
      </c>
      <c r="J85" s="127">
        <f t="shared" si="6"/>
        <v>-95107.991371301192</v>
      </c>
      <c r="K85" s="1">
        <f t="shared" si="7"/>
        <v>29.29876669771329</v>
      </c>
      <c r="N85" s="1">
        <v>1.9000001994</v>
      </c>
      <c r="O85">
        <v>-151.542519701</v>
      </c>
      <c r="P85" s="127">
        <f t="shared" si="8"/>
        <v>-95094.337773333507</v>
      </c>
      <c r="Q85" s="1">
        <f t="shared" si="9"/>
        <v>42.952364665397909</v>
      </c>
      <c r="R85" t="s">
        <v>571</v>
      </c>
      <c r="T85" s="13">
        <f t="shared" si="5"/>
        <v>13.653597967684618</v>
      </c>
    </row>
    <row r="86" spans="8:20" x14ac:dyDescent="0.25">
      <c r="H86" s="1">
        <v>1.849998542</v>
      </c>
      <c r="I86">
        <v>-151.57025797399999</v>
      </c>
      <c r="J86" s="127">
        <f t="shared" si="6"/>
        <v>-95111.74379711556</v>
      </c>
      <c r="K86" s="1">
        <f t="shared" si="7"/>
        <v>25.546340883345692</v>
      </c>
      <c r="N86" s="1">
        <v>1.8500001993999999</v>
      </c>
      <c r="O86">
        <v>-151.54174354599999</v>
      </c>
      <c r="P86" s="127">
        <f t="shared" si="8"/>
        <v>-95093.850728866499</v>
      </c>
      <c r="Q86" s="1">
        <f t="shared" si="9"/>
        <v>43.439409132406581</v>
      </c>
      <c r="T86" s="13">
        <f t="shared" si="5"/>
        <v>17.893068249060889</v>
      </c>
    </row>
    <row r="87" spans="8:20" x14ac:dyDescent="0.25">
      <c r="H87" s="1">
        <v>1.799998542</v>
      </c>
      <c r="I87">
        <v>-151.577306322</v>
      </c>
      <c r="J87" s="127">
        <f t="shared" si="6"/>
        <v>-95116.166700910355</v>
      </c>
      <c r="K87" s="1">
        <f t="shared" si="7"/>
        <v>21.123437088550418</v>
      </c>
      <c r="N87" s="1">
        <v>1.8000001993999999</v>
      </c>
      <c r="O87">
        <v>-151.539855926</v>
      </c>
      <c r="P87" s="127">
        <f t="shared" si="8"/>
        <v>-95092.666229795082</v>
      </c>
      <c r="Q87" s="1">
        <f t="shared" si="9"/>
        <v>44.623908203822793</v>
      </c>
      <c r="T87" s="13">
        <f t="shared" si="5"/>
        <v>23.500471115272376</v>
      </c>
    </row>
    <row r="88" spans="8:20" x14ac:dyDescent="0.25">
      <c r="H88" s="1">
        <v>1.7499985419999999</v>
      </c>
      <c r="I88">
        <v>-151.584279753</v>
      </c>
      <c r="J88" s="127">
        <f t="shared" si="6"/>
        <v>-95120.542593592239</v>
      </c>
      <c r="K88" s="1">
        <f t="shared" si="7"/>
        <v>16.747544406665838</v>
      </c>
      <c r="N88" s="1">
        <v>1.7500001994000001</v>
      </c>
      <c r="O88">
        <v>-151.53658140300001</v>
      </c>
      <c r="P88" s="127">
        <f t="shared" si="8"/>
        <v>-95090.611436217529</v>
      </c>
      <c r="Q88" s="1">
        <f t="shared" si="9"/>
        <v>46.678701781376731</v>
      </c>
      <c r="T88" s="13">
        <f t="shared" si="5"/>
        <v>29.931157374710892</v>
      </c>
    </row>
    <row r="89" spans="8:20" x14ac:dyDescent="0.25">
      <c r="H89" s="1">
        <v>1.6999985419999999</v>
      </c>
      <c r="I89">
        <v>-151.590923143</v>
      </c>
      <c r="J89" s="127">
        <f t="shared" si="6"/>
        <v>-95124.711382483074</v>
      </c>
      <c r="K89" s="1">
        <f t="shared" si="7"/>
        <v>12.57875551583129</v>
      </c>
      <c r="N89" s="1">
        <v>1.7000001994</v>
      </c>
      <c r="O89">
        <v>-151.53159225600001</v>
      </c>
      <c r="P89" s="127">
        <f t="shared" si="8"/>
        <v>-95087.480700164335</v>
      </c>
      <c r="Q89" s="1">
        <f t="shared" si="9"/>
        <v>49.809437834570417</v>
      </c>
      <c r="T89" s="13">
        <f t="shared" si="5"/>
        <v>37.230682318739127</v>
      </c>
    </row>
    <row r="90" spans="8:20" x14ac:dyDescent="0.25">
      <c r="H90" s="1">
        <v>1.6499985420000001</v>
      </c>
      <c r="I90">
        <v>-151.59705380400001</v>
      </c>
      <c r="J90" s="127">
        <f t="shared" si="6"/>
        <v>-95128.558429167126</v>
      </c>
      <c r="K90" s="1">
        <f t="shared" si="7"/>
        <v>8.7317088317795424</v>
      </c>
    </row>
    <row r="91" spans="8:20" x14ac:dyDescent="0.25">
      <c r="H91" s="1">
        <v>1.599998542</v>
      </c>
      <c r="I91">
        <v>-151.60244599500001</v>
      </c>
      <c r="J91" s="127">
        <f t="shared" si="6"/>
        <v>-95131.942079071479</v>
      </c>
      <c r="K91" s="1">
        <f t="shared" si="7"/>
        <v>5.3480589274258818</v>
      </c>
    </row>
    <row r="92" spans="8:20" x14ac:dyDescent="0.25">
      <c r="H92" s="1">
        <v>1.549998542</v>
      </c>
      <c r="I92">
        <v>-151.60681471300001</v>
      </c>
      <c r="J92" s="127">
        <f t="shared" si="6"/>
        <v>-95134.683490168172</v>
      </c>
      <c r="K92" s="1">
        <f t="shared" si="7"/>
        <v>2.6066478307329817</v>
      </c>
    </row>
    <row r="93" spans="8:20" x14ac:dyDescent="0.25">
      <c r="H93" s="1">
        <v>1.4999985419999999</v>
      </c>
      <c r="I93">
        <v>-151.60980507799999</v>
      </c>
      <c r="J93" s="127">
        <f t="shared" si="6"/>
        <v>-95136.559971963085</v>
      </c>
      <c r="K93" s="1">
        <f t="shared" si="7"/>
        <v>0.73016603582073003</v>
      </c>
    </row>
    <row r="94" spans="8:20" x14ac:dyDescent="0.25">
      <c r="H94" s="1">
        <v>1.4499985419999999</v>
      </c>
      <c r="I94">
        <v>-151.61096867200001</v>
      </c>
      <c r="J94" s="127">
        <f t="shared" si="6"/>
        <v>-95137.290137998905</v>
      </c>
      <c r="K94" s="1">
        <f t="shared" si="7"/>
        <v>0</v>
      </c>
      <c r="L94" t="s">
        <v>565</v>
      </c>
    </row>
    <row r="95" spans="8:20" x14ac:dyDescent="0.25">
      <c r="H95" s="1">
        <v>1.3999985420000001</v>
      </c>
      <c r="I95">
        <v>-151.60973492900001</v>
      </c>
      <c r="J95" s="127">
        <f t="shared" si="6"/>
        <v>-95136.515952814458</v>
      </c>
      <c r="K95" s="1">
        <f t="shared" si="7"/>
        <v>0.77418518444756046</v>
      </c>
    </row>
    <row r="96" spans="8:20" x14ac:dyDescent="0.25">
      <c r="H96" s="1">
        <v>1.349998542</v>
      </c>
      <c r="I96">
        <v>-151.605368588</v>
      </c>
      <c r="J96" s="127">
        <f t="shared" si="6"/>
        <v>-95133.776033307324</v>
      </c>
      <c r="K96" s="1">
        <f t="shared" si="7"/>
        <v>3.5141046915814513</v>
      </c>
    </row>
    <row r="97" spans="7:19" x14ac:dyDescent="0.25">
      <c r="H97" s="1">
        <v>1.299998542</v>
      </c>
      <c r="I97">
        <v>-151.59691021099999</v>
      </c>
      <c r="J97" s="127">
        <f t="shared" si="6"/>
        <v>-95128.468323226742</v>
      </c>
      <c r="K97" s="1">
        <f t="shared" si="7"/>
        <v>8.8218147721636342</v>
      </c>
    </row>
    <row r="98" spans="7:19" x14ac:dyDescent="0.25">
      <c r="H98" s="1">
        <v>1.2499985419999999</v>
      </c>
      <c r="I98">
        <v>-151.58309535000001</v>
      </c>
      <c r="J98" s="127">
        <f t="shared" si="6"/>
        <v>-95119.799369715765</v>
      </c>
      <c r="K98" s="1">
        <f t="shared" si="7"/>
        <v>17.490768283139914</v>
      </c>
    </row>
    <row r="99" spans="7:19" x14ac:dyDescent="0.25">
      <c r="H99" s="1">
        <v>1.1999985419999999</v>
      </c>
      <c r="I99">
        <v>-151.562247842</v>
      </c>
      <c r="J99" s="127">
        <f t="shared" si="6"/>
        <v>-95106.71736493324</v>
      </c>
      <c r="K99" s="1">
        <f t="shared" si="7"/>
        <v>30.572773065665388</v>
      </c>
    </row>
    <row r="102" spans="7:19" x14ac:dyDescent="0.25">
      <c r="H102" t="s">
        <v>645</v>
      </c>
      <c r="N102" t="s">
        <v>646</v>
      </c>
    </row>
    <row r="103" spans="7:19" x14ac:dyDescent="0.25">
      <c r="G103" t="s">
        <v>556</v>
      </c>
      <c r="H103" t="s">
        <v>557</v>
      </c>
      <c r="M103" t="s">
        <v>556</v>
      </c>
      <c r="N103" t="s">
        <v>557</v>
      </c>
    </row>
    <row r="104" spans="7:19" x14ac:dyDescent="0.25">
      <c r="G104" t="s">
        <v>556</v>
      </c>
      <c r="H104" t="s">
        <v>558</v>
      </c>
      <c r="I104" t="s">
        <v>559</v>
      </c>
      <c r="M104" t="s">
        <v>556</v>
      </c>
      <c r="N104" t="s">
        <v>558</v>
      </c>
      <c r="O104" t="s">
        <v>559</v>
      </c>
    </row>
    <row r="105" spans="7:19" x14ac:dyDescent="0.25">
      <c r="G105" t="s">
        <v>556</v>
      </c>
      <c r="H105" t="s">
        <v>560</v>
      </c>
      <c r="I105" t="s">
        <v>561</v>
      </c>
      <c r="M105" t="s">
        <v>556</v>
      </c>
      <c r="N105" t="s">
        <v>560</v>
      </c>
      <c r="O105" t="s">
        <v>561</v>
      </c>
    </row>
    <row r="106" spans="7:19" x14ac:dyDescent="0.25">
      <c r="G106" t="s">
        <v>556</v>
      </c>
      <c r="H106" t="s">
        <v>562</v>
      </c>
      <c r="I106" t="s">
        <v>563</v>
      </c>
      <c r="J106" t="s">
        <v>239</v>
      </c>
      <c r="M106" t="s">
        <v>556</v>
      </c>
      <c r="N106" t="s">
        <v>562</v>
      </c>
      <c r="O106" t="s">
        <v>563</v>
      </c>
      <c r="P106" t="s">
        <v>239</v>
      </c>
    </row>
    <row r="107" spans="7:19" x14ac:dyDescent="0.25">
      <c r="H107" s="1">
        <v>3.2000006373000001</v>
      </c>
      <c r="I107">
        <v>-151.51747282700001</v>
      </c>
      <c r="J107" s="6">
        <f>I107*($C$2*$C$3*10^-3/$C$4)</f>
        <v>-95078.620627406272</v>
      </c>
      <c r="K107" s="6">
        <f>J107-$J$142</f>
        <v>46.671337959938683</v>
      </c>
      <c r="N107" s="1">
        <v>3.1999995136999999</v>
      </c>
      <c r="O107">
        <v>-151.51740424299999</v>
      </c>
      <c r="P107" s="6">
        <f>O107*($C$2*$C$3*10^-3/$C$4)</f>
        <v>-95078.577590309636</v>
      </c>
      <c r="Q107" s="6">
        <f>P107-$J$142</f>
        <v>46.714375056573772</v>
      </c>
      <c r="S107" s="6">
        <f>Q107-K107</f>
        <v>4.3037096635089256E-2</v>
      </c>
    </row>
    <row r="108" spans="7:19" x14ac:dyDescent="0.25">
      <c r="H108" s="1">
        <v>3.1500006372999998</v>
      </c>
      <c r="I108">
        <v>-151.51773348200001</v>
      </c>
      <c r="J108" s="6">
        <f t="shared" ref="J108:J147" si="10">I108*($C$2*$C$3*10^-3/$C$4)</f>
        <v>-95078.78419083824</v>
      </c>
      <c r="K108" s="6">
        <f t="shared" ref="K108:K147" si="11">J108-$J$142</f>
        <v>46.507774527970469</v>
      </c>
      <c r="N108" s="1">
        <v>3.1499995137000001</v>
      </c>
      <c r="O108">
        <v>-151.51765191999999</v>
      </c>
      <c r="P108" s="6">
        <f t="shared" ref="P108:P137" si="12">O108*($C$2*$C$3*10^-3/$C$4)</f>
        <v>-95078.733009926145</v>
      </c>
      <c r="Q108" s="6">
        <f t="shared" ref="Q108:Q137" si="13">P108-$J$142</f>
        <v>46.558955440064892</v>
      </c>
      <c r="S108" s="6">
        <f t="shared" ref="S108:S137" si="14">Q108-K108</f>
        <v>5.1180912094423547E-2</v>
      </c>
    </row>
    <row r="109" spans="7:19" x14ac:dyDescent="0.25">
      <c r="H109" s="1">
        <v>3.1000006373</v>
      </c>
      <c r="I109">
        <v>-151.517963716</v>
      </c>
      <c r="J109" s="6">
        <f t="shared" si="10"/>
        <v>-95078.92866481033</v>
      </c>
      <c r="K109" s="6">
        <f t="shared" si="11"/>
        <v>46.363300555880414</v>
      </c>
      <c r="N109" s="1">
        <v>3.0999995136999998</v>
      </c>
      <c r="O109">
        <v>-151.517866811</v>
      </c>
      <c r="P109" s="6">
        <f t="shared" si="12"/>
        <v>-95078.867856023338</v>
      </c>
      <c r="Q109" s="6">
        <f t="shared" si="13"/>
        <v>46.424109342871816</v>
      </c>
      <c r="S109" s="6">
        <f t="shared" si="14"/>
        <v>6.0808786991401576E-2</v>
      </c>
    </row>
    <row r="110" spans="7:19" x14ac:dyDescent="0.25">
      <c r="H110" s="1">
        <v>3.0500006373000002</v>
      </c>
      <c r="I110">
        <v>-151.518154799</v>
      </c>
      <c r="J110" s="6">
        <f t="shared" si="10"/>
        <v>-95079.048571166524</v>
      </c>
      <c r="K110" s="6">
        <f t="shared" si="11"/>
        <v>46.243394199686009</v>
      </c>
      <c r="N110" s="1">
        <v>3.0499995137</v>
      </c>
      <c r="O110">
        <v>-151.51803995099999</v>
      </c>
      <c r="P110" s="6">
        <f t="shared" si="12"/>
        <v>-95078.976502980469</v>
      </c>
      <c r="Q110" s="6">
        <f t="shared" si="13"/>
        <v>46.31546238574083</v>
      </c>
      <c r="S110" s="6">
        <f t="shared" si="14"/>
        <v>7.2068186054821126E-2</v>
      </c>
    </row>
    <row r="111" spans="7:19" x14ac:dyDescent="0.25">
      <c r="H111" s="1">
        <v>3.0000006372999999</v>
      </c>
      <c r="I111">
        <v>-151.51829948899999</v>
      </c>
      <c r="J111" s="6">
        <f t="shared" si="10"/>
        <v>-95079.13936548456</v>
      </c>
      <c r="K111" s="6">
        <f t="shared" si="11"/>
        <v>46.152599881650531</v>
      </c>
      <c r="N111" s="1">
        <v>2.9999995137000002</v>
      </c>
      <c r="O111">
        <v>-151.518163684</v>
      </c>
      <c r="P111" s="6">
        <f t="shared" si="12"/>
        <v>-95079.054146586495</v>
      </c>
      <c r="Q111" s="6">
        <f t="shared" si="13"/>
        <v>46.237818779714871</v>
      </c>
      <c r="S111" s="6">
        <f t="shared" si="14"/>
        <v>8.5218898064340465E-2</v>
      </c>
    </row>
    <row r="112" spans="7:19" x14ac:dyDescent="0.25">
      <c r="H112" s="1">
        <v>2.9500006373000001</v>
      </c>
      <c r="I112">
        <v>-151.51842772699999</v>
      </c>
      <c r="J112" s="6">
        <f t="shared" si="10"/>
        <v>-95079.219836019911</v>
      </c>
      <c r="K112" s="6">
        <f t="shared" si="11"/>
        <v>46.072129346299334</v>
      </c>
      <c r="N112" s="1">
        <v>2.9499995136999999</v>
      </c>
      <c r="O112">
        <v>-151.518276773</v>
      </c>
      <c r="P112" s="6">
        <f t="shared" si="12"/>
        <v>-95079.125110983718</v>
      </c>
      <c r="Q112" s="6">
        <f t="shared" si="13"/>
        <v>46.166854382492602</v>
      </c>
      <c r="S112" s="6">
        <f t="shared" si="14"/>
        <v>9.4725036193267442E-2</v>
      </c>
    </row>
    <row r="113" spans="8:19" x14ac:dyDescent="0.25">
      <c r="H113" s="1">
        <v>2.9000006372999998</v>
      </c>
      <c r="I113">
        <v>-151.518561197</v>
      </c>
      <c r="J113" s="6">
        <f t="shared" si="10"/>
        <v>-95079.303589683826</v>
      </c>
      <c r="K113" s="6">
        <f t="shared" si="11"/>
        <v>45.988375682383776</v>
      </c>
      <c r="N113" s="1">
        <v>2.8999995137000001</v>
      </c>
      <c r="O113">
        <v>-151.51837923299999</v>
      </c>
      <c r="P113" s="6">
        <f t="shared" si="12"/>
        <v>-95079.189405584781</v>
      </c>
      <c r="Q113" s="6">
        <f t="shared" si="13"/>
        <v>46.102559781429591</v>
      </c>
      <c r="S113" s="6">
        <f t="shared" si="14"/>
        <v>0.11418409904581495</v>
      </c>
    </row>
    <row r="114" spans="8:19" x14ac:dyDescent="0.25">
      <c r="H114" s="1">
        <v>2.8500006373</v>
      </c>
      <c r="I114">
        <v>-151.51860965200001</v>
      </c>
      <c r="J114" s="6">
        <f t="shared" si="10"/>
        <v>-95079.333995646099</v>
      </c>
      <c r="K114" s="6">
        <f t="shared" si="11"/>
        <v>45.957969720111578</v>
      </c>
      <c r="N114" s="1">
        <v>2.8499995136999998</v>
      </c>
      <c r="O114">
        <v>-151.51838996000001</v>
      </c>
      <c r="P114" s="6">
        <f t="shared" si="12"/>
        <v>-95079.196136876853</v>
      </c>
      <c r="Q114" s="6">
        <f t="shared" si="13"/>
        <v>46.095828489356791</v>
      </c>
      <c r="S114" s="6">
        <f t="shared" si="14"/>
        <v>0.1378587692452129</v>
      </c>
    </row>
    <row r="115" spans="8:19" x14ac:dyDescent="0.25">
      <c r="H115" s="1">
        <v>2.8000006373000002</v>
      </c>
      <c r="I115">
        <v>-151.51855303299999</v>
      </c>
      <c r="J115" s="6">
        <f t="shared" si="10"/>
        <v>-95079.298466698034</v>
      </c>
      <c r="K115" s="6">
        <f t="shared" si="11"/>
        <v>45.993498668176471</v>
      </c>
      <c r="N115" s="1">
        <v>2.7999995137</v>
      </c>
      <c r="O115">
        <v>-151.518287278</v>
      </c>
      <c r="P115" s="6">
        <f t="shared" si="12"/>
        <v>-95079.131702968734</v>
      </c>
      <c r="Q115" s="6">
        <f t="shared" si="13"/>
        <v>46.16026239747589</v>
      </c>
      <c r="S115" s="6">
        <f t="shared" si="14"/>
        <v>0.16676372929941863</v>
      </c>
    </row>
    <row r="116" spans="8:19" x14ac:dyDescent="0.25">
      <c r="H116" s="1">
        <v>2.7500006372999999</v>
      </c>
      <c r="I116">
        <v>-151.51836715300001</v>
      </c>
      <c r="J116" s="6">
        <f t="shared" si="10"/>
        <v>-95079.181825272666</v>
      </c>
      <c r="K116" s="6">
        <f t="shared" si="11"/>
        <v>46.110140093544032</v>
      </c>
      <c r="N116" s="1">
        <v>2.7499995137000002</v>
      </c>
      <c r="O116">
        <v>-151.518045215</v>
      </c>
      <c r="P116" s="6">
        <f t="shared" si="12"/>
        <v>-95078.979806189338</v>
      </c>
      <c r="Q116" s="6">
        <f t="shared" si="13"/>
        <v>46.312159176872228</v>
      </c>
      <c r="S116" s="6">
        <f t="shared" si="14"/>
        <v>0.20201908332819585</v>
      </c>
    </row>
    <row r="117" spans="8:19" x14ac:dyDescent="0.25">
      <c r="H117" s="1">
        <v>2.7000006373000001</v>
      </c>
      <c r="I117">
        <v>-151.51802347399999</v>
      </c>
      <c r="J117" s="6">
        <f t="shared" si="10"/>
        <v>-95078.96616351002</v>
      </c>
      <c r="K117" s="6">
        <f t="shared" si="11"/>
        <v>46.325801856190083</v>
      </c>
      <c r="N117" s="1">
        <v>2.6999995136999999</v>
      </c>
      <c r="O117">
        <v>-151.51763292999999</v>
      </c>
      <c r="P117" s="6">
        <f t="shared" si="12"/>
        <v>-95078.721093524873</v>
      </c>
      <c r="Q117" s="6">
        <f t="shared" si="13"/>
        <v>46.570871841337066</v>
      </c>
      <c r="S117" s="6">
        <f t="shared" si="14"/>
        <v>0.24506998514698353</v>
      </c>
    </row>
    <row r="118" spans="8:19" x14ac:dyDescent="0.25">
      <c r="H118" s="1">
        <v>2.6500006372999998</v>
      </c>
      <c r="I118">
        <v>-151.517888771</v>
      </c>
      <c r="J118" s="6">
        <f t="shared" si="10"/>
        <v>-95078.881636127175</v>
      </c>
      <c r="K118" s="6">
        <f t="shared" si="11"/>
        <v>46.410329239035491</v>
      </c>
      <c r="L118" t="s">
        <v>647</v>
      </c>
      <c r="N118" s="1">
        <v>2.6499995137000001</v>
      </c>
      <c r="O118">
        <v>-151.51701395699999</v>
      </c>
      <c r="P118" s="6">
        <f t="shared" si="12"/>
        <v>-95078.332682221895</v>
      </c>
      <c r="Q118" s="6">
        <f t="shared" si="13"/>
        <v>46.959283144315123</v>
      </c>
      <c r="S118" s="6">
        <f t="shared" si="14"/>
        <v>0.54895390527963173</v>
      </c>
    </row>
    <row r="119" spans="8:19" x14ac:dyDescent="0.25">
      <c r="H119" s="1">
        <v>2.6000006373</v>
      </c>
      <c r="I119">
        <v>-151.518045331</v>
      </c>
      <c r="J119" s="6">
        <f t="shared" si="10"/>
        <v>-95078.979878980404</v>
      </c>
      <c r="K119" s="6">
        <f t="shared" si="11"/>
        <v>46.312086385805742</v>
      </c>
      <c r="N119" s="1">
        <v>2.5999995136999998</v>
      </c>
      <c r="O119">
        <v>-151.51614522700001</v>
      </c>
      <c r="P119" s="6">
        <f t="shared" si="12"/>
        <v>-95077.787546083098</v>
      </c>
      <c r="Q119" s="6">
        <f t="shared" si="13"/>
        <v>47.504419283111929</v>
      </c>
      <c r="S119" s="6">
        <f t="shared" si="14"/>
        <v>1.1923328973061871</v>
      </c>
    </row>
    <row r="120" spans="8:19" x14ac:dyDescent="0.25">
      <c r="H120" s="1">
        <v>2.5500006373000002</v>
      </c>
      <c r="I120">
        <v>-151.51851071799999</v>
      </c>
      <c r="J120" s="6">
        <f t="shared" si="10"/>
        <v>-95079.271913642748</v>
      </c>
      <c r="K120" s="6">
        <f t="shared" si="11"/>
        <v>46.020051723462529</v>
      </c>
      <c r="N120" s="1">
        <v>2.5499995137</v>
      </c>
      <c r="O120">
        <v>-151.51577749699999</v>
      </c>
      <c r="P120" s="6">
        <f t="shared" si="12"/>
        <v>-95077.556792094721</v>
      </c>
      <c r="Q120" s="6">
        <f t="shared" si="13"/>
        <v>47.735173271488748</v>
      </c>
      <c r="S120" s="6">
        <f t="shared" si="14"/>
        <v>1.7151215480262181</v>
      </c>
    </row>
    <row r="121" spans="8:19" x14ac:dyDescent="0.25">
      <c r="H121" s="1">
        <v>2.5000006372999999</v>
      </c>
      <c r="I121">
        <v>-151.51917233099999</v>
      </c>
      <c r="J121" s="6">
        <f t="shared" si="10"/>
        <v>-95079.687081941534</v>
      </c>
      <c r="K121" s="6">
        <f t="shared" si="11"/>
        <v>45.604883424675791</v>
      </c>
      <c r="N121" s="1">
        <v>2.4999995137000002</v>
      </c>
      <c r="O121">
        <v>-151.51505751799999</v>
      </c>
      <c r="P121" s="6">
        <f t="shared" si="12"/>
        <v>-95077.104998589173</v>
      </c>
      <c r="Q121" s="6">
        <f t="shared" si="13"/>
        <v>48.186966777037014</v>
      </c>
      <c r="S121" s="6">
        <f t="shared" si="14"/>
        <v>2.5820833523612237</v>
      </c>
    </row>
    <row r="122" spans="8:19" x14ac:dyDescent="0.25">
      <c r="H122" s="1">
        <v>2.4500006373000001</v>
      </c>
      <c r="I122">
        <v>-151.520015777</v>
      </c>
      <c r="J122" s="6">
        <f t="shared" si="10"/>
        <v>-95080.216352135642</v>
      </c>
      <c r="K122" s="6">
        <f t="shared" si="11"/>
        <v>45.075613230568706</v>
      </c>
      <c r="N122" s="1">
        <v>2.4499995136999999</v>
      </c>
      <c r="O122">
        <v>-151.51439551999999</v>
      </c>
      <c r="P122" s="6">
        <f t="shared" si="12"/>
        <v>-95076.689588699315</v>
      </c>
      <c r="Q122" s="6">
        <f t="shared" si="13"/>
        <v>48.602376666894997</v>
      </c>
      <c r="S122" s="6">
        <f t="shared" si="14"/>
        <v>3.5267634363262914</v>
      </c>
    </row>
    <row r="123" spans="8:19" x14ac:dyDescent="0.25">
      <c r="H123" s="1">
        <v>2.4000006372999998</v>
      </c>
      <c r="I123">
        <v>-151.521035428</v>
      </c>
      <c r="J123" s="6">
        <f t="shared" si="10"/>
        <v>-95080.856192602849</v>
      </c>
      <c r="K123" s="6">
        <f t="shared" si="11"/>
        <v>44.435772763361456</v>
      </c>
      <c r="N123" s="1">
        <v>2.3999995137000001</v>
      </c>
      <c r="O123">
        <v>-151.51389944600001</v>
      </c>
      <c r="P123" s="6">
        <f t="shared" si="12"/>
        <v>-95076.378297659627</v>
      </c>
      <c r="Q123" s="6">
        <f t="shared" si="13"/>
        <v>48.91366770658351</v>
      </c>
      <c r="S123" s="6">
        <f t="shared" si="14"/>
        <v>4.4778949432220543</v>
      </c>
    </row>
    <row r="124" spans="8:19" x14ac:dyDescent="0.25">
      <c r="H124" s="1">
        <v>2.3500006373</v>
      </c>
      <c r="I124">
        <v>-151.522237037</v>
      </c>
      <c r="J124" s="6">
        <f t="shared" si="10"/>
        <v>-95081.610213404012</v>
      </c>
      <c r="K124" s="6">
        <f t="shared" si="11"/>
        <v>43.681751962198177</v>
      </c>
      <c r="N124" s="1">
        <v>2.3499995136999998</v>
      </c>
      <c r="O124">
        <v>-151.513561213</v>
      </c>
      <c r="P124" s="6">
        <f t="shared" si="12"/>
        <v>-95076.16605331254</v>
      </c>
      <c r="Q124" s="6">
        <f t="shared" si="13"/>
        <v>49.125912053670618</v>
      </c>
      <c r="S124" s="6">
        <f t="shared" si="14"/>
        <v>5.4441600914724404</v>
      </c>
    </row>
    <row r="125" spans="8:19" x14ac:dyDescent="0.25">
      <c r="H125" s="1">
        <v>2.3000006373000002</v>
      </c>
      <c r="I125">
        <v>-151.523635407</v>
      </c>
      <c r="J125" s="6">
        <f t="shared" si="10"/>
        <v>-95082.487703559091</v>
      </c>
      <c r="K125" s="6">
        <f t="shared" si="11"/>
        <v>42.804261807119474</v>
      </c>
      <c r="N125" s="1">
        <v>2.2999995137</v>
      </c>
      <c r="O125">
        <v>-151.51334101399999</v>
      </c>
      <c r="P125" s="6">
        <f t="shared" si="12"/>
        <v>-95076.027876396081</v>
      </c>
      <c r="Q125" s="6">
        <f t="shared" si="13"/>
        <v>49.264088970128796</v>
      </c>
      <c r="S125" s="6">
        <f t="shared" si="14"/>
        <v>6.4598271630093222</v>
      </c>
    </row>
    <row r="126" spans="8:19" x14ac:dyDescent="0.25">
      <c r="H126" s="1">
        <v>2.2500006372999999</v>
      </c>
      <c r="I126">
        <v>-151.525253679</v>
      </c>
      <c r="J126" s="6">
        <f t="shared" si="10"/>
        <v>-95083.503184260349</v>
      </c>
      <c r="K126" s="6">
        <f t="shared" si="11"/>
        <v>41.788781105860835</v>
      </c>
      <c r="N126" s="1">
        <v>2.2499995137000002</v>
      </c>
      <c r="O126">
        <v>-151.51321756900001</v>
      </c>
      <c r="P126" s="6">
        <f t="shared" si="12"/>
        <v>-95075.95041351275</v>
      </c>
      <c r="Q126" s="6">
        <f t="shared" si="13"/>
        <v>49.34155185346026</v>
      </c>
      <c r="S126" s="6">
        <f t="shared" si="14"/>
        <v>7.5527707475994248</v>
      </c>
    </row>
    <row r="127" spans="8:19" x14ac:dyDescent="0.25">
      <c r="H127" s="1">
        <v>2.2000006373000001</v>
      </c>
      <c r="I127">
        <v>-151.527124026</v>
      </c>
      <c r="J127" s="6">
        <f t="shared" si="10"/>
        <v>-95084.676844363945</v>
      </c>
      <c r="K127" s="6">
        <f t="shared" si="11"/>
        <v>40.615121002265369</v>
      </c>
      <c r="N127" s="1">
        <v>2.1999995136999999</v>
      </c>
      <c r="O127">
        <v>-151.51318391199999</v>
      </c>
      <c r="P127" s="6">
        <f t="shared" si="12"/>
        <v>-95075.929293432826</v>
      </c>
      <c r="Q127" s="6">
        <f t="shared" si="13"/>
        <v>49.362671933384263</v>
      </c>
      <c r="S127" s="6">
        <f t="shared" si="14"/>
        <v>8.7475509311188944</v>
      </c>
    </row>
    <row r="128" spans="8:19" x14ac:dyDescent="0.25">
      <c r="H128" s="1">
        <v>2.1500006372999998</v>
      </c>
      <c r="I128">
        <v>-151.52928901199999</v>
      </c>
      <c r="J128" s="6">
        <f t="shared" si="10"/>
        <v>-95086.035393174956</v>
      </c>
      <c r="K128" s="6">
        <f t="shared" si="11"/>
        <v>39.256572191254236</v>
      </c>
      <c r="N128" s="1">
        <v>2.1499995137000001</v>
      </c>
      <c r="O128">
        <v>-151.513246923</v>
      </c>
      <c r="P128" s="6">
        <f t="shared" si="12"/>
        <v>-95075.968833420207</v>
      </c>
      <c r="Q128" s="6">
        <f t="shared" si="13"/>
        <v>49.323131946002832</v>
      </c>
      <c r="S128" s="6">
        <f t="shared" si="14"/>
        <v>10.066559754748596</v>
      </c>
    </row>
    <row r="129" spans="8:19" x14ac:dyDescent="0.25">
      <c r="H129" s="1">
        <v>2.1000006373</v>
      </c>
      <c r="I129">
        <v>-151.531804604</v>
      </c>
      <c r="J129" s="6">
        <f t="shared" si="10"/>
        <v>-95087.613950505416</v>
      </c>
      <c r="K129" s="6">
        <f t="shared" si="11"/>
        <v>37.678014860794065</v>
      </c>
      <c r="N129" s="1">
        <v>2.0999995136999998</v>
      </c>
      <c r="O129">
        <v>-151.513425281</v>
      </c>
      <c r="P129" s="6">
        <f t="shared" si="12"/>
        <v>-95076.080754720781</v>
      </c>
      <c r="Q129" s="6">
        <f t="shared" si="13"/>
        <v>49.211210645429674</v>
      </c>
      <c r="S129" s="6">
        <f t="shared" si="14"/>
        <v>11.533195784635609</v>
      </c>
    </row>
    <row r="130" spans="8:19" x14ac:dyDescent="0.25">
      <c r="H130" s="1">
        <v>2.0500006373000002</v>
      </c>
      <c r="I130">
        <v>-151.53474436499999</v>
      </c>
      <c r="J130" s="6">
        <f t="shared" si="10"/>
        <v>-95089.458677820614</v>
      </c>
      <c r="K130" s="6">
        <f t="shared" si="11"/>
        <v>35.833287545596249</v>
      </c>
      <c r="N130" s="1">
        <v>2.0499995137</v>
      </c>
      <c r="O130">
        <v>-151.51375232500001</v>
      </c>
      <c r="P130" s="6">
        <f t="shared" si="12"/>
        <v>-95076.285977866501</v>
      </c>
      <c r="Q130" s="6">
        <f t="shared" si="13"/>
        <v>49.00598749970959</v>
      </c>
      <c r="S130" s="6">
        <f t="shared" si="14"/>
        <v>13.172699954113341</v>
      </c>
    </row>
    <row r="131" spans="8:19" x14ac:dyDescent="0.25">
      <c r="H131" s="1">
        <v>2.0000006372999999</v>
      </c>
      <c r="I131">
        <v>-151.538204923</v>
      </c>
      <c r="J131" s="6">
        <f t="shared" si="10"/>
        <v>-95091.630210087489</v>
      </c>
      <c r="K131" s="6">
        <f t="shared" si="11"/>
        <v>33.661755278721103</v>
      </c>
      <c r="N131" s="1">
        <v>1.9999995137</v>
      </c>
      <c r="O131">
        <v>-151.51428335700001</v>
      </c>
      <c r="P131" s="6">
        <f t="shared" si="12"/>
        <v>-95076.619205375697</v>
      </c>
      <c r="Q131" s="6">
        <f t="shared" si="13"/>
        <v>48.672759990513441</v>
      </c>
      <c r="S131" s="6">
        <f t="shared" si="14"/>
        <v>15.011004711792339</v>
      </c>
    </row>
    <row r="132" spans="8:19" x14ac:dyDescent="0.25">
      <c r="H132" s="1">
        <v>1.9500006373000001</v>
      </c>
      <c r="I132">
        <v>-151.542314541</v>
      </c>
      <c r="J132" s="6">
        <f t="shared" si="10"/>
        <v>-95094.209033529143</v>
      </c>
      <c r="K132" s="6">
        <f t="shared" si="11"/>
        <v>31.082931837067008</v>
      </c>
      <c r="N132" s="1">
        <v>1.9499995136999999</v>
      </c>
      <c r="O132">
        <v>-151.51504660000001</v>
      </c>
      <c r="P132" s="6">
        <f t="shared" si="12"/>
        <v>-95077.098147442826</v>
      </c>
      <c r="Q132" s="6">
        <f t="shared" si="13"/>
        <v>48.193817923383904</v>
      </c>
      <c r="S132" s="6">
        <f t="shared" si="14"/>
        <v>17.110886086316896</v>
      </c>
    </row>
    <row r="133" spans="8:19" x14ac:dyDescent="0.25">
      <c r="H133" s="1">
        <v>1.9000006373</v>
      </c>
      <c r="I133">
        <v>-151.54724492299999</v>
      </c>
      <c r="J133" s="6">
        <f t="shared" si="10"/>
        <v>-95097.302893999353</v>
      </c>
      <c r="K133" s="6">
        <f t="shared" si="11"/>
        <v>27.989071366857388</v>
      </c>
      <c r="N133" s="1">
        <v>1.8999995137000001</v>
      </c>
      <c r="O133">
        <v>-151.51531283700001</v>
      </c>
      <c r="P133" s="6">
        <f t="shared" si="12"/>
        <v>-95077.265213631617</v>
      </c>
      <c r="Q133" s="6">
        <f t="shared" si="13"/>
        <v>48.026751734592835</v>
      </c>
      <c r="S133" s="6">
        <f t="shared" si="14"/>
        <v>20.037680367735447</v>
      </c>
    </row>
    <row r="134" spans="8:19" x14ac:dyDescent="0.25">
      <c r="H134" s="1">
        <v>1.8500006373</v>
      </c>
      <c r="I134">
        <v>-151.553225793</v>
      </c>
      <c r="J134" s="6">
        <f t="shared" si="10"/>
        <v>-95101.055945440501</v>
      </c>
      <c r="K134" s="6">
        <f t="shared" si="11"/>
        <v>24.236019925709115</v>
      </c>
      <c r="N134" s="1">
        <v>1.8499995137</v>
      </c>
      <c r="O134">
        <v>-151.51470537399999</v>
      </c>
      <c r="P134" s="6">
        <f t="shared" si="12"/>
        <v>-95076.884024960469</v>
      </c>
      <c r="Q134" s="6">
        <f t="shared" si="13"/>
        <v>48.407940405741101</v>
      </c>
      <c r="S134" s="6">
        <f t="shared" si="14"/>
        <v>24.171920480031986</v>
      </c>
    </row>
    <row r="135" spans="8:19" x14ac:dyDescent="0.25">
      <c r="H135" s="1">
        <v>1.8000006372999999</v>
      </c>
      <c r="I135">
        <v>-151.560103161</v>
      </c>
      <c r="J135" s="6">
        <f t="shared" si="10"/>
        <v>-95105.371557698207</v>
      </c>
      <c r="K135" s="6">
        <f t="shared" si="11"/>
        <v>19.920407668003463</v>
      </c>
      <c r="N135" s="1">
        <v>1.7999995137</v>
      </c>
      <c r="O135">
        <v>-151.51300294800001</v>
      </c>
      <c r="P135" s="6">
        <f t="shared" si="12"/>
        <v>-95075.815736843069</v>
      </c>
      <c r="Q135" s="6">
        <f t="shared" si="13"/>
        <v>49.47622852314089</v>
      </c>
      <c r="S135" s="6">
        <f t="shared" si="14"/>
        <v>29.555820855137426</v>
      </c>
    </row>
    <row r="136" spans="8:19" x14ac:dyDescent="0.25">
      <c r="H136" s="1">
        <v>1.7500006373000001</v>
      </c>
      <c r="I136">
        <v>-151.56680928200001</v>
      </c>
      <c r="J136" s="6">
        <f t="shared" si="10"/>
        <v>-95109.579710873833</v>
      </c>
      <c r="K136" s="6">
        <f t="shared" si="11"/>
        <v>15.712254492376815</v>
      </c>
      <c r="N136" s="1">
        <v>1.7499995137</v>
      </c>
      <c r="O136">
        <v>-151.50994992599999</v>
      </c>
      <c r="P136" s="6">
        <f t="shared" si="12"/>
        <v>-95073.899937199036</v>
      </c>
      <c r="Q136" s="6">
        <f t="shared" si="13"/>
        <v>51.392028167174431</v>
      </c>
      <c r="S136" s="6">
        <f t="shared" si="14"/>
        <v>35.679773674797616</v>
      </c>
    </row>
    <row r="137" spans="8:19" x14ac:dyDescent="0.25">
      <c r="H137" s="1">
        <v>1.7000006373000001</v>
      </c>
      <c r="I137">
        <v>-151.57316023199999</v>
      </c>
      <c r="J137" s="6">
        <f t="shared" si="10"/>
        <v>-95113.564990950152</v>
      </c>
      <c r="K137" s="6">
        <f t="shared" si="11"/>
        <v>11.726974416058511</v>
      </c>
      <c r="N137" s="1">
        <v>1.6999995136999999</v>
      </c>
      <c r="O137">
        <v>-151.50525274200001</v>
      </c>
      <c r="P137" s="6">
        <f t="shared" si="12"/>
        <v>-95070.952410638449</v>
      </c>
      <c r="Q137" s="6">
        <f t="shared" si="13"/>
        <v>54.339554727761424</v>
      </c>
      <c r="S137" s="6">
        <f t="shared" si="14"/>
        <v>42.612580311702914</v>
      </c>
    </row>
    <row r="138" spans="8:19" x14ac:dyDescent="0.25">
      <c r="H138" s="1">
        <v>1.6500006373</v>
      </c>
      <c r="I138">
        <v>-151.57899285900001</v>
      </c>
      <c r="J138" s="6">
        <f t="shared" si="10"/>
        <v>-95117.225018532772</v>
      </c>
      <c r="K138" s="6">
        <f t="shared" si="11"/>
        <v>8.0669468334381236</v>
      </c>
    </row>
    <row r="139" spans="8:19" x14ac:dyDescent="0.25">
      <c r="H139" s="1">
        <v>1.6000006373</v>
      </c>
      <c r="I139">
        <v>-151.58409544099999</v>
      </c>
      <c r="J139" s="6">
        <f t="shared" si="10"/>
        <v>-95120.426936101387</v>
      </c>
      <c r="K139" s="6">
        <f t="shared" si="11"/>
        <v>4.8650292648235336</v>
      </c>
    </row>
    <row r="140" spans="8:19" x14ac:dyDescent="0.25">
      <c r="H140" s="1">
        <v>1.5500006372999999</v>
      </c>
      <c r="I140">
        <v>-151.588193029</v>
      </c>
      <c r="J140" s="6">
        <f t="shared" si="10"/>
        <v>-95122.998210606369</v>
      </c>
      <c r="K140" s="6">
        <f t="shared" si="11"/>
        <v>2.2937547598412493</v>
      </c>
    </row>
    <row r="141" spans="8:19" x14ac:dyDescent="0.25">
      <c r="H141" s="1">
        <v>1.5000006373000001</v>
      </c>
      <c r="I141">
        <v>-151.590929547</v>
      </c>
      <c r="J141" s="6">
        <f t="shared" si="10"/>
        <v>-95124.715401052526</v>
      </c>
      <c r="K141" s="6">
        <f t="shared" si="11"/>
        <v>0.57656431368377525</v>
      </c>
    </row>
    <row r="142" spans="8:19" x14ac:dyDescent="0.25">
      <c r="H142" s="1">
        <v>1.4500006373000001</v>
      </c>
      <c r="I142">
        <v>-151.59184836099999</v>
      </c>
      <c r="J142" s="6">
        <f t="shared" si="10"/>
        <v>-95125.29196536621</v>
      </c>
      <c r="K142" s="6">
        <f t="shared" si="11"/>
        <v>0</v>
      </c>
      <c r="L142" t="s">
        <v>644</v>
      </c>
    </row>
    <row r="143" spans="8:19" x14ac:dyDescent="0.25">
      <c r="H143" s="1">
        <v>1.4000006373</v>
      </c>
      <c r="I143">
        <v>-151.59036809599999</v>
      </c>
      <c r="J143" s="6">
        <f t="shared" si="10"/>
        <v>-95124.363085338467</v>
      </c>
      <c r="K143" s="6">
        <f t="shared" si="11"/>
        <v>0.92888002774270717</v>
      </c>
    </row>
    <row r="144" spans="8:19" x14ac:dyDescent="0.25">
      <c r="H144" s="1">
        <v>1.3500006373</v>
      </c>
      <c r="I144">
        <v>-151.585742845</v>
      </c>
      <c r="J144" s="6">
        <f t="shared" si="10"/>
        <v>-95121.460697403076</v>
      </c>
      <c r="K144" s="6">
        <f t="shared" si="11"/>
        <v>3.8312679631344508</v>
      </c>
    </row>
    <row r="145" spans="8:11" x14ac:dyDescent="0.25">
      <c r="H145" s="1">
        <v>1.3000006372999999</v>
      </c>
      <c r="I145">
        <v>-151.57700212399999</v>
      </c>
      <c r="J145" s="6">
        <f t="shared" si="10"/>
        <v>-95115.975813841695</v>
      </c>
      <c r="K145" s="6">
        <f t="shared" si="11"/>
        <v>9.3161515245155897</v>
      </c>
    </row>
    <row r="146" spans="8:11" x14ac:dyDescent="0.25">
      <c r="H146" s="1">
        <v>1.2500006373000001</v>
      </c>
      <c r="I146">
        <v>-151.56286242300001</v>
      </c>
      <c r="J146" s="6">
        <f t="shared" si="10"/>
        <v>-95107.103020215465</v>
      </c>
      <c r="K146" s="6">
        <f t="shared" si="11"/>
        <v>18.188945150744985</v>
      </c>
    </row>
    <row r="147" spans="8:11" x14ac:dyDescent="0.25">
      <c r="H147" s="1">
        <v>1.2000006373000001</v>
      </c>
      <c r="I147">
        <v>-151.54160823999999</v>
      </c>
      <c r="J147" s="6">
        <f t="shared" si="10"/>
        <v>-95093.765823095557</v>
      </c>
      <c r="K147" s="6">
        <f t="shared" si="11"/>
        <v>31.526142270653509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zoomScale="30" zoomScaleNormal="30" workbookViewId="0">
      <selection activeCell="O13" sqref="O13"/>
    </sheetView>
  </sheetViews>
  <sheetFormatPr defaultRowHeight="15" x14ac:dyDescent="0.25"/>
  <cols>
    <col min="1" max="1" width="16.42578125" customWidth="1"/>
    <col min="2" max="2" width="10.7109375" customWidth="1"/>
    <col min="3" max="3" width="10.5703125" customWidth="1"/>
    <col min="4" max="4" width="10.140625" customWidth="1"/>
    <col min="16" max="16" width="12" bestFit="1" customWidth="1"/>
    <col min="17" max="17" width="11.5703125" customWidth="1"/>
    <col min="18" max="18" width="16.140625" customWidth="1"/>
    <col min="20" max="20" width="16.7109375" bestFit="1" customWidth="1"/>
    <col min="25" max="25" width="11.140625" customWidth="1"/>
    <col min="26" max="26" width="12.42578125" customWidth="1"/>
    <col min="30" max="30" width="10.5703125" bestFit="1" customWidth="1"/>
    <col min="49" max="49" width="12.85546875" customWidth="1"/>
    <col min="54" max="54" width="10.5703125" bestFit="1" customWidth="1"/>
  </cols>
  <sheetData>
    <row r="1" spans="1:54" x14ac:dyDescent="0.25">
      <c r="A1" s="15" t="s">
        <v>600</v>
      </c>
      <c r="B1" s="15"/>
      <c r="C1" s="15"/>
      <c r="D1" s="15"/>
      <c r="E1" s="15"/>
      <c r="F1" s="15"/>
      <c r="G1" s="15"/>
    </row>
    <row r="2" spans="1:54" ht="75.75" thickBot="1" x14ac:dyDescent="0.3">
      <c r="A2" s="167" t="s">
        <v>582</v>
      </c>
      <c r="B2" s="179" t="s">
        <v>583</v>
      </c>
      <c r="C2" s="179" t="s">
        <v>584</v>
      </c>
      <c r="D2" s="167" t="s">
        <v>585</v>
      </c>
      <c r="E2" s="179" t="s">
        <v>586</v>
      </c>
      <c r="F2" s="179" t="s">
        <v>435</v>
      </c>
      <c r="G2" s="179" t="s">
        <v>587</v>
      </c>
      <c r="H2" s="179" t="s">
        <v>588</v>
      </c>
      <c r="I2" s="179" t="s">
        <v>589</v>
      </c>
      <c r="J2" s="179" t="s">
        <v>590</v>
      </c>
      <c r="K2" s="195" t="s">
        <v>462</v>
      </c>
      <c r="L2" s="195" t="s">
        <v>594</v>
      </c>
    </row>
    <row r="3" spans="1:54" x14ac:dyDescent="0.25">
      <c r="A3" s="180" t="s">
        <v>595</v>
      </c>
      <c r="B3" s="17">
        <v>-151.60916165</v>
      </c>
      <c r="C3" s="17"/>
      <c r="D3" s="17">
        <v>0</v>
      </c>
      <c r="E3" s="33"/>
      <c r="F3" s="17"/>
      <c r="G3" s="17">
        <v>2.6068999999999998E-2</v>
      </c>
      <c r="H3" s="17">
        <v>3.8059000000000003E-2</v>
      </c>
      <c r="I3" s="17">
        <v>-2.878E-2</v>
      </c>
      <c r="J3" s="185">
        <f t="shared" ref="J3:J25" si="0">(H3-I3)*($Z$3*$Z$4*10^-3/$Z$5)</f>
        <v>41.942092918690577</v>
      </c>
      <c r="K3" s="190">
        <f>(B3+H3)*($Z$3*$Z$4*10^-3/$Z$5)</f>
        <v>-95112.273839146103</v>
      </c>
      <c r="L3" s="190">
        <f t="shared" ref="L3:L12" si="1">(B3+I3)*($Z$3*$Z$4*10^-3/$Z$5)</f>
        <v>-95154.215932064806</v>
      </c>
      <c r="Y3" s="22" t="s">
        <v>134</v>
      </c>
      <c r="Z3" s="83">
        <v>4.35974394E-18</v>
      </c>
    </row>
    <row r="4" spans="1:54" x14ac:dyDescent="0.25">
      <c r="A4" s="180" t="s">
        <v>596</v>
      </c>
      <c r="B4" s="17">
        <v>-151.60916165</v>
      </c>
      <c r="C4" s="17"/>
      <c r="D4" s="17">
        <v>0</v>
      </c>
      <c r="E4" s="33"/>
      <c r="F4" s="17"/>
      <c r="G4" s="17">
        <v>2.6068999999999998E-2</v>
      </c>
      <c r="H4" s="17">
        <v>3.8234999999999998E-2</v>
      </c>
      <c r="I4" s="17">
        <v>-2.955E-2</v>
      </c>
      <c r="J4" s="185">
        <f t="shared" si="0"/>
        <v>42.535716699732788</v>
      </c>
      <c r="K4" s="190">
        <f t="shared" ref="K4:K12" si="2">(B4+H4)*($Z$3*$Z$4*10^-3/$Z$5)</f>
        <v>-95112.163397512428</v>
      </c>
      <c r="L4" s="190">
        <f t="shared" si="1"/>
        <v>-95154.699114212155</v>
      </c>
      <c r="Y4" s="72" t="s">
        <v>135</v>
      </c>
      <c r="Z4" s="84">
        <v>6.0221399999999997E+23</v>
      </c>
    </row>
    <row r="5" spans="1:54" ht="15.75" thickBot="1" x14ac:dyDescent="0.3">
      <c r="A5" s="180" t="s">
        <v>597</v>
      </c>
      <c r="B5" s="17">
        <v>-151.60916165</v>
      </c>
      <c r="C5" s="17"/>
      <c r="D5" s="17">
        <v>0</v>
      </c>
      <c r="E5" s="33"/>
      <c r="F5" s="17"/>
      <c r="G5" s="17">
        <v>2.6068999999999998E-2</v>
      </c>
      <c r="H5" s="17">
        <v>3.8427000000000003E-2</v>
      </c>
      <c r="I5" s="17">
        <v>-3.0387999999999998E-2</v>
      </c>
      <c r="J5" s="185">
        <f t="shared" si="0"/>
        <v>43.182051260487015</v>
      </c>
      <c r="K5" s="190">
        <f t="shared" si="2"/>
        <v>-95112.042915730213</v>
      </c>
      <c r="L5" s="190">
        <f t="shared" si="1"/>
        <v>-95155.224966990703</v>
      </c>
      <c r="Y5" s="23" t="s">
        <v>136</v>
      </c>
      <c r="Z5" s="85">
        <v>4.1840000000000002</v>
      </c>
    </row>
    <row r="6" spans="1:54" ht="15.75" thickBot="1" x14ac:dyDescent="0.3">
      <c r="A6" s="180" t="s">
        <v>598</v>
      </c>
      <c r="B6" s="17">
        <v>-151.60916165</v>
      </c>
      <c r="C6" s="17"/>
      <c r="D6" s="17">
        <v>0</v>
      </c>
      <c r="E6" s="33"/>
      <c r="F6" s="17"/>
      <c r="G6" s="17">
        <v>2.6068999999999998E-2</v>
      </c>
      <c r="H6" s="17">
        <v>3.8649999999999997E-2</v>
      </c>
      <c r="I6" s="17">
        <v>-3.1362000000000001E-2</v>
      </c>
      <c r="J6" s="185">
        <f t="shared" si="0"/>
        <v>43.933179871382926</v>
      </c>
      <c r="K6" s="190">
        <f t="shared" si="2"/>
        <v>-95111.902981160281</v>
      </c>
      <c r="L6" s="190">
        <f t="shared" si="1"/>
        <v>-95155.83616103165</v>
      </c>
    </row>
    <row r="7" spans="1:54" ht="15.75" thickBot="1" x14ac:dyDescent="0.3">
      <c r="A7" s="180" t="s">
        <v>599</v>
      </c>
      <c r="B7" s="17">
        <v>-151.60916165</v>
      </c>
      <c r="C7" s="17"/>
      <c r="D7" s="17">
        <v>0</v>
      </c>
      <c r="E7" s="33"/>
      <c r="F7" s="17"/>
      <c r="G7" s="17">
        <v>2.6068999999999998E-2</v>
      </c>
      <c r="H7" s="17">
        <v>3.8868E-2</v>
      </c>
      <c r="I7" s="17">
        <v>-3.2310999999999999E-2</v>
      </c>
      <c r="J7" s="185">
        <f t="shared" si="0"/>
        <v>44.665483203810282</v>
      </c>
      <c r="K7" s="190">
        <f t="shared" si="2"/>
        <v>-95111.766184136723</v>
      </c>
      <c r="L7" s="190">
        <f t="shared" si="1"/>
        <v>-95156.431667340541</v>
      </c>
      <c r="Y7" s="86" t="s">
        <v>137</v>
      </c>
      <c r="Z7" s="32"/>
    </row>
    <row r="8" spans="1:54" x14ac:dyDescent="0.25">
      <c r="A8" s="180" t="s">
        <v>623</v>
      </c>
      <c r="B8" s="17">
        <v>-151.53604691000001</v>
      </c>
      <c r="C8" s="17"/>
      <c r="D8" s="17">
        <v>2.0057</v>
      </c>
      <c r="E8" s="33"/>
      <c r="F8" s="17"/>
      <c r="G8" s="17">
        <v>1.8349000000000001E-2</v>
      </c>
      <c r="H8" s="17">
        <v>3.2142999999999998E-2</v>
      </c>
      <c r="I8" s="17">
        <v>-4.4442000000000002E-2</v>
      </c>
      <c r="J8" s="185">
        <f t="shared" si="0"/>
        <v>48.05779838384651</v>
      </c>
      <c r="K8" s="190">
        <f t="shared" si="2"/>
        <v>-95070.106006038215</v>
      </c>
      <c r="L8" s="190">
        <f t="shared" si="1"/>
        <v>-95118.16380442206</v>
      </c>
      <c r="Y8" s="87" t="s">
        <v>138</v>
      </c>
      <c r="Z8" s="106">
        <v>1500</v>
      </c>
    </row>
    <row r="9" spans="1:54" x14ac:dyDescent="0.25">
      <c r="A9" s="180" t="s">
        <v>624</v>
      </c>
      <c r="B9" s="17">
        <v>-151.53604691000001</v>
      </c>
      <c r="C9" s="17"/>
      <c r="D9" s="17">
        <v>2.0057</v>
      </c>
      <c r="E9" s="33"/>
      <c r="F9" s="17"/>
      <c r="G9" s="17">
        <v>1.8349000000000001E-2</v>
      </c>
      <c r="H9" s="17">
        <v>3.2321999999999997E-2</v>
      </c>
      <c r="I9" s="17">
        <v>-4.5323000000000002E-2</v>
      </c>
      <c r="J9" s="185">
        <f t="shared" si="0"/>
        <v>48.722958223069298</v>
      </c>
      <c r="K9" s="190">
        <f t="shared" si="2"/>
        <v>-95069.993681876673</v>
      </c>
      <c r="L9" s="190">
        <f t="shared" si="1"/>
        <v>-95118.716640099738</v>
      </c>
    </row>
    <row r="10" spans="1:54" x14ac:dyDescent="0.25">
      <c r="A10" s="180" t="s">
        <v>620</v>
      </c>
      <c r="B10" s="17">
        <v>-151.53604691000001</v>
      </c>
      <c r="C10" s="17"/>
      <c r="D10" s="17">
        <v>2.0057</v>
      </c>
      <c r="E10" s="33"/>
      <c r="F10" s="17"/>
      <c r="G10" s="17">
        <v>1.8349000000000001E-2</v>
      </c>
      <c r="H10" s="17">
        <v>3.2516000000000003E-2</v>
      </c>
      <c r="I10" s="17">
        <v>-4.6282999999999998E-2</v>
      </c>
      <c r="J10" s="185">
        <f t="shared" si="0"/>
        <v>49.447103934826949</v>
      </c>
      <c r="K10" s="190">
        <f t="shared" si="2"/>
        <v>-95069.871945075924</v>
      </c>
      <c r="L10" s="190">
        <f t="shared" si="1"/>
        <v>-95119.319049010737</v>
      </c>
      <c r="Y10" s="88" t="s">
        <v>140</v>
      </c>
      <c r="Z10" s="107">
        <v>298.14999999999998</v>
      </c>
    </row>
    <row r="11" spans="1:54" x14ac:dyDescent="0.25">
      <c r="A11" s="180" t="s">
        <v>621</v>
      </c>
      <c r="B11" s="17">
        <v>-151.53604691000001</v>
      </c>
      <c r="C11" s="17"/>
      <c r="D11" s="17">
        <v>2.0057</v>
      </c>
      <c r="E11" s="33"/>
      <c r="F11" s="17"/>
      <c r="G11" s="17">
        <v>1.8349000000000001E-2</v>
      </c>
      <c r="H11" s="17">
        <v>3.2742E-2</v>
      </c>
      <c r="I11" s="17">
        <v>-4.7398999999999997E-2</v>
      </c>
      <c r="J11" s="185">
        <f t="shared" si="0"/>
        <v>50.28922139165428</v>
      </c>
      <c r="K11" s="190">
        <f t="shared" si="2"/>
        <v>-95069.73012797811</v>
      </c>
      <c r="L11" s="190">
        <f t="shared" si="1"/>
        <v>-95120.019349369773</v>
      </c>
      <c r="Y11" s="88" t="s">
        <v>152</v>
      </c>
      <c r="Z11" s="108">
        <f>6.62606896E-34/(2*Z14)</f>
        <v>1.0545716294567979E-34</v>
      </c>
    </row>
    <row r="12" spans="1:54" x14ac:dyDescent="0.25">
      <c r="A12" s="180" t="s">
        <v>622</v>
      </c>
      <c r="B12" s="17">
        <v>-151.53604691000001</v>
      </c>
      <c r="C12" s="17"/>
      <c r="D12" s="17">
        <v>2.0057</v>
      </c>
      <c r="E12" s="33"/>
      <c r="F12" s="17"/>
      <c r="G12" s="17">
        <v>1.8349000000000001E-2</v>
      </c>
      <c r="H12" s="17">
        <v>3.2961999999999998E-2</v>
      </c>
      <c r="I12" s="17">
        <v>-4.8483999999999999E-2</v>
      </c>
      <c r="J12" s="185">
        <f t="shared" si="0"/>
        <v>51.108121005037056</v>
      </c>
      <c r="K12" s="190">
        <f t="shared" si="2"/>
        <v>-95069.592075936016</v>
      </c>
      <c r="L12" s="190">
        <f t="shared" si="1"/>
        <v>-95120.700196941048</v>
      </c>
      <c r="Y12" s="88" t="s">
        <v>141</v>
      </c>
      <c r="Z12" s="109">
        <v>6.6260695699999996E-34</v>
      </c>
    </row>
    <row r="13" spans="1:54" x14ac:dyDescent="0.25">
      <c r="A13" s="180" t="s">
        <v>601</v>
      </c>
      <c r="B13" s="17">
        <v>-2.9130278600000001</v>
      </c>
      <c r="C13" s="17"/>
      <c r="D13" s="17">
        <v>0</v>
      </c>
      <c r="E13" s="33"/>
      <c r="F13" s="17"/>
      <c r="G13" s="17">
        <v>0</v>
      </c>
      <c r="H13" s="17">
        <v>5.5789999999999998E-3</v>
      </c>
      <c r="I13" s="17">
        <v>-2.5912999999999999E-2</v>
      </c>
      <c r="J13" s="185">
        <f t="shared" si="0"/>
        <v>19.761522317739693</v>
      </c>
      <c r="K13" s="190">
        <f t="shared" ref="K13:K25" si="3">(B13+H13)*($Z$3*$Z$4*10^-3/$Z$5)</f>
        <v>-1824.4511474208316</v>
      </c>
      <c r="L13" s="190">
        <f t="shared" ref="L13:L25" si="4">(B13+I13)*($Z$3*$Z$4*10^-3/$Z$5)</f>
        <v>-1844.2126697385713</v>
      </c>
      <c r="Y13" s="88" t="s">
        <v>142</v>
      </c>
      <c r="Z13" s="110">
        <v>1.3806488E-23</v>
      </c>
    </row>
    <row r="14" spans="1:54" x14ac:dyDescent="0.25">
      <c r="A14" s="180" t="s">
        <v>602</v>
      </c>
      <c r="B14" s="17">
        <v>-2.9130278600000001</v>
      </c>
      <c r="C14" s="17"/>
      <c r="D14" s="17">
        <v>0</v>
      </c>
      <c r="E14" s="33"/>
      <c r="F14" s="17"/>
      <c r="G14" s="17">
        <v>0</v>
      </c>
      <c r="H14" s="17">
        <v>5.6429999999999996E-3</v>
      </c>
      <c r="I14" s="17">
        <v>-2.6276000000000001E-2</v>
      </c>
      <c r="J14" s="185">
        <f t="shared" si="0"/>
        <v>20.029468781275668</v>
      </c>
      <c r="K14" s="190">
        <f t="shared" si="3"/>
        <v>-1824.4109868267653</v>
      </c>
      <c r="L14" s="190">
        <f t="shared" si="4"/>
        <v>-1844.4404556080412</v>
      </c>
      <c r="Y14" s="91" t="s">
        <v>143</v>
      </c>
      <c r="Z14" s="110">
        <v>3.1415926500000002</v>
      </c>
      <c r="BB14" s="6">
        <f>(21345*Z15/1000)/Z5</f>
        <v>42.416863403155126</v>
      </c>
    </row>
    <row r="15" spans="1:54" x14ac:dyDescent="0.25">
      <c r="A15" s="180" t="s">
        <v>603</v>
      </c>
      <c r="B15" s="17">
        <v>-2.9130278600000001</v>
      </c>
      <c r="C15" s="17"/>
      <c r="D15" s="17">
        <v>0</v>
      </c>
      <c r="E15" s="33"/>
      <c r="F15" s="17"/>
      <c r="G15" s="17">
        <v>0</v>
      </c>
      <c r="H15" s="17">
        <v>5.7130000000000002E-3</v>
      </c>
      <c r="I15" s="17">
        <v>-2.6669999999999999E-2</v>
      </c>
      <c r="J15" s="185">
        <f t="shared" si="0"/>
        <v>20.320633088256209</v>
      </c>
      <c r="K15" s="190">
        <f t="shared" si="3"/>
        <v>-1824.3670611770053</v>
      </c>
      <c r="L15" s="190">
        <f t="shared" si="4"/>
        <v>-1844.6876942652618</v>
      </c>
      <c r="Y15" s="92" t="s">
        <v>144</v>
      </c>
      <c r="Z15" s="111">
        <f>Z13*Z16</f>
        <v>8.3144603644319997</v>
      </c>
      <c r="AD15" s="18">
        <f>(3/2)*Z15*704/(1000*Z5)</f>
        <v>2.0984871283078848</v>
      </c>
    </row>
    <row r="16" spans="1:54" x14ac:dyDescent="0.25">
      <c r="A16" s="180" t="s">
        <v>604</v>
      </c>
      <c r="B16" s="17">
        <v>-2.9130278600000001</v>
      </c>
      <c r="C16" s="17"/>
      <c r="D16" s="17">
        <v>0</v>
      </c>
      <c r="E16" s="33"/>
      <c r="F16" s="17"/>
      <c r="G16" s="17">
        <v>0</v>
      </c>
      <c r="H16" s="17">
        <v>5.7930000000000004E-3</v>
      </c>
      <c r="I16" s="17">
        <v>-2.7129E-2</v>
      </c>
      <c r="J16" s="185">
        <f t="shared" si="0"/>
        <v>20.658860591408171</v>
      </c>
      <c r="K16" s="190">
        <f t="shared" si="3"/>
        <v>-1824.3168604344226</v>
      </c>
      <c r="L16" s="190">
        <f t="shared" si="4"/>
        <v>-1844.9757210258306</v>
      </c>
      <c r="N16" s="11">
        <f>K18-(K3+K13)</f>
        <v>42.741753097478068</v>
      </c>
      <c r="Y16" s="88" t="s">
        <v>145</v>
      </c>
      <c r="Z16" s="110">
        <v>6.0221399999999997E+23</v>
      </c>
    </row>
    <row r="17" spans="1:26" ht="15.75" thickBot="1" x14ac:dyDescent="0.3">
      <c r="A17" s="180" t="s">
        <v>605</v>
      </c>
      <c r="B17" s="17">
        <v>-2.9130278600000001</v>
      </c>
      <c r="C17" s="17"/>
      <c r="D17" s="17">
        <v>0</v>
      </c>
      <c r="E17" s="33"/>
      <c r="F17" s="17"/>
      <c r="G17" s="17">
        <v>0</v>
      </c>
      <c r="H17" s="17">
        <v>5.8719999999999996E-3</v>
      </c>
      <c r="I17" s="17">
        <v>-2.7574999999999999E-2</v>
      </c>
      <c r="J17" s="185">
        <f t="shared" si="0"/>
        <v>20.988302964608138</v>
      </c>
      <c r="K17" s="190">
        <f t="shared" si="3"/>
        <v>-1824.2672872011219</v>
      </c>
      <c r="L17" s="190">
        <f t="shared" si="4"/>
        <v>-1845.2555901657302</v>
      </c>
      <c r="Y17" s="90" t="s">
        <v>153</v>
      </c>
      <c r="Z17" s="112">
        <v>29979245800</v>
      </c>
    </row>
    <row r="18" spans="1:26" x14ac:dyDescent="0.25">
      <c r="A18" s="180" t="s">
        <v>606</v>
      </c>
      <c r="B18" s="17">
        <v>-154.44929417</v>
      </c>
      <c r="C18" s="17"/>
      <c r="D18" s="17">
        <v>2.0057</v>
      </c>
      <c r="E18" s="33">
        <v>142.24</v>
      </c>
      <c r="F18" s="17"/>
      <c r="G18" s="17">
        <v>1.874E-2</v>
      </c>
      <c r="H18" s="17">
        <v>3.8856000000000002E-2</v>
      </c>
      <c r="I18" s="17">
        <v>-6.6626000000000005E-2</v>
      </c>
      <c r="J18" s="185">
        <f t="shared" si="0"/>
        <v>66.190934114054954</v>
      </c>
      <c r="K18" s="190">
        <f t="shared" si="3"/>
        <v>-96893.983233469451</v>
      </c>
      <c r="L18" s="190">
        <f t="shared" si="4"/>
        <v>-96960.174167583522</v>
      </c>
      <c r="Y18" s="87" t="s">
        <v>154</v>
      </c>
      <c r="Z18" s="93">
        <f>((2*Z14)/(Z12*Z8*Z17))</f>
        <v>2.1086859989577299E+20</v>
      </c>
    </row>
    <row r="19" spans="1:26" ht="15.75" thickBot="1" x14ac:dyDescent="0.3">
      <c r="A19" s="180" t="s">
        <v>607</v>
      </c>
      <c r="B19" s="17">
        <v>-154.44929417</v>
      </c>
      <c r="C19" s="17"/>
      <c r="D19" s="17">
        <v>2.0057</v>
      </c>
      <c r="E19" s="33">
        <v>142.24</v>
      </c>
      <c r="F19" s="17"/>
      <c r="G19" s="17">
        <v>1.874E-2</v>
      </c>
      <c r="H19" s="17">
        <v>3.9112000000000001E-2</v>
      </c>
      <c r="I19" s="17">
        <v>-6.7839999999999998E-2</v>
      </c>
      <c r="J19" s="185">
        <f t="shared" si="0"/>
        <v>67.113372759014851</v>
      </c>
      <c r="K19" s="190">
        <f t="shared" si="3"/>
        <v>-96893.822591093194</v>
      </c>
      <c r="L19" s="190">
        <f t="shared" si="4"/>
        <v>-96960.9359638522</v>
      </c>
      <c r="R19">
        <f>431.5+273.15</f>
        <v>704.65</v>
      </c>
      <c r="Y19" s="90" t="s">
        <v>155</v>
      </c>
      <c r="Z19" s="94">
        <f>(1/(Z13*Z10))</f>
        <v>2.4293045665780682E+20</v>
      </c>
    </row>
    <row r="20" spans="1:26" x14ac:dyDescent="0.25">
      <c r="A20" s="180" t="s">
        <v>608</v>
      </c>
      <c r="B20" s="17">
        <v>-154.44929417</v>
      </c>
      <c r="C20" s="17"/>
      <c r="D20" s="17">
        <v>2.0057</v>
      </c>
      <c r="E20" s="33">
        <v>142.24</v>
      </c>
      <c r="F20" s="17"/>
      <c r="G20" s="17">
        <v>1.874E-2</v>
      </c>
      <c r="H20" s="17">
        <v>3.9390000000000001E-2</v>
      </c>
      <c r="I20" s="17">
        <v>-6.9162000000000001E-2</v>
      </c>
      <c r="J20" s="185">
        <f t="shared" si="0"/>
        <v>68.117387610671898</v>
      </c>
      <c r="K20" s="190">
        <f t="shared" si="3"/>
        <v>-96893.648143512721</v>
      </c>
      <c r="L20" s="190">
        <f t="shared" si="4"/>
        <v>-96961.765531123383</v>
      </c>
      <c r="U20">
        <f>67/4.2</f>
        <v>15.952380952380953</v>
      </c>
      <c r="Y20" s="22" t="s">
        <v>146</v>
      </c>
      <c r="Z20" s="95">
        <f>((Z19*Z14)/Z18)/SIN((Z19*Z14)/Z18)-(Z19/(Z18-Z19))*EXP((Z19-Z18)*((AK9*1000/Z16)))</f>
        <v>-0.2959935231179518</v>
      </c>
    </row>
    <row r="21" spans="1:26" ht="15.75" thickBot="1" x14ac:dyDescent="0.3">
      <c r="A21" s="180" t="s">
        <v>609</v>
      </c>
      <c r="B21" s="17">
        <v>-154.44929417</v>
      </c>
      <c r="C21" s="17"/>
      <c r="D21" s="17">
        <v>2.0057</v>
      </c>
      <c r="E21" s="33">
        <v>142.24</v>
      </c>
      <c r="F21" s="17"/>
      <c r="G21" s="17">
        <v>1.874E-2</v>
      </c>
      <c r="H21" s="17">
        <v>3.9711999999999997E-2</v>
      </c>
      <c r="I21" s="17">
        <v>-7.0698999999999998E-2</v>
      </c>
      <c r="J21" s="185">
        <f t="shared" si="0"/>
        <v>69.283927366440906</v>
      </c>
      <c r="K21" s="190">
        <f t="shared" si="3"/>
        <v>-96893.446085523814</v>
      </c>
      <c r="L21" s="190">
        <f t="shared" si="4"/>
        <v>-96962.730012890257</v>
      </c>
      <c r="Y21" s="72" t="s">
        <v>156</v>
      </c>
      <c r="Z21" s="181" t="e">
        <f>(Z15*Z10*LN(Z20)/1000)/Z5</f>
        <v>#NUM!</v>
      </c>
    </row>
    <row r="22" spans="1:26" x14ac:dyDescent="0.25">
      <c r="A22" s="180" t="s">
        <v>610</v>
      </c>
      <c r="B22" s="17">
        <v>-154.44929417</v>
      </c>
      <c r="C22" s="17"/>
      <c r="D22" s="17">
        <v>2.0057</v>
      </c>
      <c r="E22" s="33">
        <v>142.24</v>
      </c>
      <c r="F22" s="17"/>
      <c r="G22" s="17">
        <v>1.874E-2</v>
      </c>
      <c r="H22" s="17">
        <v>4.0025999999999999E-2</v>
      </c>
      <c r="I22" s="17">
        <v>-7.2194999999999995E-2</v>
      </c>
      <c r="J22" s="185">
        <f t="shared" si="0"/>
        <v>70.419719167377934</v>
      </c>
      <c r="K22" s="190">
        <f t="shared" si="3"/>
        <v>-96893.249047609177</v>
      </c>
      <c r="L22" s="190">
        <f t="shared" si="4"/>
        <v>-96963.668766776551</v>
      </c>
      <c r="R22">
        <f>Z10-25</f>
        <v>273.14999999999998</v>
      </c>
      <c r="Y22" s="22" t="s">
        <v>147</v>
      </c>
      <c r="Z22" s="95">
        <f>(Z19/(Z19-Z18))*(EXP((Z19-Z18)*((AK9)*1000/Z16))-1)</f>
        <v>0</v>
      </c>
    </row>
    <row r="23" spans="1:26" ht="15.75" thickBot="1" x14ac:dyDescent="0.3">
      <c r="A23" s="180" t="s">
        <v>591</v>
      </c>
      <c r="B23" s="17"/>
      <c r="C23" s="17"/>
      <c r="D23" s="17"/>
      <c r="E23" s="33"/>
      <c r="F23" s="17"/>
      <c r="G23" s="17"/>
      <c r="H23" s="17"/>
      <c r="I23" s="17"/>
      <c r="J23" s="185">
        <f t="shared" si="0"/>
        <v>0</v>
      </c>
      <c r="K23" s="190">
        <f t="shared" si="3"/>
        <v>0</v>
      </c>
      <c r="L23" s="190">
        <f t="shared" si="4"/>
        <v>0</v>
      </c>
      <c r="Y23" s="72" t="s">
        <v>157</v>
      </c>
      <c r="Z23" s="182" t="e">
        <f>(Z15*Z10*LN(Z22)/1000)/Z5</f>
        <v>#NUM!</v>
      </c>
    </row>
    <row r="24" spans="1:26" ht="15.75" thickBot="1" x14ac:dyDescent="0.3">
      <c r="A24" s="180" t="s">
        <v>592</v>
      </c>
      <c r="B24" s="17"/>
      <c r="C24" s="17"/>
      <c r="D24" s="17"/>
      <c r="E24" s="33"/>
      <c r="F24" s="17"/>
      <c r="G24" s="17"/>
      <c r="H24" s="17"/>
      <c r="I24" s="17"/>
      <c r="J24" s="185">
        <f t="shared" si="0"/>
        <v>0</v>
      </c>
      <c r="K24" s="190">
        <f t="shared" si="3"/>
        <v>0</v>
      </c>
      <c r="L24" s="190">
        <f t="shared" si="4"/>
        <v>0</v>
      </c>
      <c r="Y24" s="96" t="s">
        <v>158</v>
      </c>
      <c r="Z24" s="97"/>
    </row>
    <row r="25" spans="1:26" x14ac:dyDescent="0.25">
      <c r="A25" s="180" t="s">
        <v>593</v>
      </c>
      <c r="B25" s="17"/>
      <c r="C25" s="17"/>
      <c r="D25" s="17"/>
      <c r="E25" s="33"/>
      <c r="F25" s="17"/>
      <c r="G25" s="17"/>
      <c r="H25" s="17"/>
      <c r="I25" s="17"/>
      <c r="J25" s="185">
        <f t="shared" si="0"/>
        <v>0</v>
      </c>
      <c r="K25" s="190">
        <f t="shared" si="3"/>
        <v>0</v>
      </c>
      <c r="L25" s="190">
        <f t="shared" si="4"/>
        <v>0</v>
      </c>
      <c r="O25" s="6">
        <f>K18-(K3+K13)</f>
        <v>42.741753097478068</v>
      </c>
      <c r="T25" s="6"/>
      <c r="Y25" s="98" t="s">
        <v>148</v>
      </c>
      <c r="Z25" s="99">
        <f>1+(1/24)*(Z12*Z8*Z17/(Z10*Z13))^2</f>
        <v>3.1831752448208448</v>
      </c>
    </row>
    <row r="26" spans="1:26" x14ac:dyDescent="0.25">
      <c r="I26" s="6"/>
      <c r="T26" s="6"/>
      <c r="Y26" s="98" t="s">
        <v>159</v>
      </c>
      <c r="Z26" s="99">
        <f>(Z10*Z13)/(Z8*Z12*Z17)</f>
        <v>0.1381497425903335</v>
      </c>
    </row>
    <row r="27" spans="1:26" ht="15.75" thickBot="1" x14ac:dyDescent="0.3">
      <c r="T27" s="6">
        <f>21345*Z15/(1000*Z5)</f>
        <v>42.416863403155126</v>
      </c>
      <c r="Y27" s="98" t="s">
        <v>440</v>
      </c>
      <c r="Z27" s="115">
        <f>(Z15*Z10*LN(Z25)/1000)/Z5</f>
        <v>0.68602581557464404</v>
      </c>
    </row>
    <row r="28" spans="1:26" x14ac:dyDescent="0.25">
      <c r="T28" s="6" t="b">
        <f>Sheet9!$T$50=21949*Z15/(1000*Z5)</f>
        <v>0</v>
      </c>
      <c r="Y28" s="116" t="s">
        <v>160</v>
      </c>
      <c r="Z28" s="26">
        <f>2*2*2</f>
        <v>8</v>
      </c>
    </row>
    <row r="29" spans="1:26" ht="30.75" thickBot="1" x14ac:dyDescent="0.3">
      <c r="T29" s="2">
        <f>EXP(30.325)</f>
        <v>14790408318324.172</v>
      </c>
      <c r="Y29" s="102" t="s">
        <v>161</v>
      </c>
      <c r="Z29" s="104">
        <f>(Z10*Z15*LN(Z28)*10^-3)/Z5</f>
        <v>1.2320374832982735</v>
      </c>
    </row>
    <row r="30" spans="1:26" x14ac:dyDescent="0.25">
      <c r="T30" s="2">
        <f>EXP(37.094)</f>
        <v>1.2874178067433236E+16</v>
      </c>
    </row>
    <row r="34" spans="6:24" x14ac:dyDescent="0.25">
      <c r="R34" t="s">
        <v>612</v>
      </c>
      <c r="S34" t="s">
        <v>612</v>
      </c>
      <c r="T34" t="s">
        <v>212</v>
      </c>
      <c r="U34" t="s">
        <v>212</v>
      </c>
      <c r="V34" t="s">
        <v>212</v>
      </c>
    </row>
    <row r="35" spans="6:24" x14ac:dyDescent="0.25">
      <c r="F35" s="6">
        <f>(-226.576945--226.679571)*($Z$3*$Z$4*10^-3/$Z$5)</f>
        <v>64.398767603856527</v>
      </c>
      <c r="N35" t="s">
        <v>611</v>
      </c>
      <c r="O35" t="s">
        <v>615</v>
      </c>
      <c r="P35" t="s">
        <v>633</v>
      </c>
      <c r="Q35" t="s">
        <v>618</v>
      </c>
      <c r="R35" t="s">
        <v>613</v>
      </c>
      <c r="S35" t="s">
        <v>625</v>
      </c>
      <c r="T35" t="s">
        <v>616</v>
      </c>
      <c r="U35" t="s">
        <v>617</v>
      </c>
      <c r="V35" t="s">
        <v>613</v>
      </c>
      <c r="W35" t="s">
        <v>614</v>
      </c>
      <c r="X35" t="s">
        <v>619</v>
      </c>
    </row>
    <row r="36" spans="6:24" x14ac:dyDescent="0.25">
      <c r="N36" s="1">
        <v>704.65</v>
      </c>
      <c r="O36" s="2">
        <f>1/N36</f>
        <v>1.4191442560136239E-3</v>
      </c>
      <c r="P36">
        <f>1/(N36*N36)</f>
        <v>2.0139704193764622E-6</v>
      </c>
      <c r="Q36" s="6">
        <f>N36*$Z$15/(1000*Z5)</f>
        <v>1.400283101289916</v>
      </c>
      <c r="R36" s="1">
        <v>1.1100000000000001</v>
      </c>
      <c r="S36" s="18">
        <f>R36/N36</f>
        <v>1.5752501241751225E-3</v>
      </c>
      <c r="T36" s="6">
        <f>L18-(L3+L13)</f>
        <v>38.254434219852556</v>
      </c>
      <c r="U36" s="6">
        <f>T36/Q36</f>
        <v>27.319071539614562</v>
      </c>
      <c r="V36" s="1">
        <f>2*(N36*$Z$13/$Z$11)*EXP(-U36)</f>
        <v>252.05108295011976</v>
      </c>
      <c r="W36" s="1">
        <f>LN(R36)</f>
        <v>0.10436001532424286</v>
      </c>
      <c r="X36" s="1">
        <f>LN(V36)</f>
        <v>5.5296317770880261</v>
      </c>
    </row>
    <row r="37" spans="6:24" x14ac:dyDescent="0.25">
      <c r="N37" s="1">
        <v>712.75</v>
      </c>
      <c r="O37" s="2">
        <f>1/N37</f>
        <v>1.4030164854437039E-3</v>
      </c>
      <c r="P37">
        <f>1/(N37*N37)</f>
        <v>1.9684552584268034E-6</v>
      </c>
      <c r="Q37" s="6">
        <f>N37*$Z$15/(1000*$Z$5)</f>
        <v>1.4163794514218231</v>
      </c>
      <c r="R37" s="1">
        <v>1.44</v>
      </c>
      <c r="S37" s="18">
        <f>R37/N37</f>
        <v>2.0203437390389337E-3</v>
      </c>
      <c r="T37" s="6">
        <f>L19-(L4+L14)</f>
        <v>38.203605967995827</v>
      </c>
      <c r="U37" s="6">
        <f>T37/Q37</f>
        <v>26.972719725385307</v>
      </c>
      <c r="V37" s="1">
        <f>2*(N37*$Z$13/$Z$11)*EXP(-U37)</f>
        <v>360.47157091850738</v>
      </c>
      <c r="W37" s="1">
        <f>LN(R37)</f>
        <v>0.36464311358790924</v>
      </c>
      <c r="X37" s="1">
        <f>LN(V37)</f>
        <v>5.8874130934725422</v>
      </c>
    </row>
    <row r="38" spans="6:24" x14ac:dyDescent="0.25">
      <c r="N38" s="1">
        <v>721.55</v>
      </c>
      <c r="O38" s="2">
        <f>1/N38</f>
        <v>1.3859053426650962E-3</v>
      </c>
      <c r="P38">
        <f>1/(N38*N38)</f>
        <v>1.9207336188276573E-6</v>
      </c>
      <c r="Q38" s="6">
        <f>N38*$Z$15/(1000*$Z$5)</f>
        <v>1.433866844157722</v>
      </c>
      <c r="R38" s="1">
        <v>1.91</v>
      </c>
      <c r="S38" s="18">
        <f>R38/N38</f>
        <v>2.6470792044903332E-3</v>
      </c>
      <c r="T38" s="6">
        <f>L20-(L5+L15)</f>
        <v>38.14713013258006</v>
      </c>
      <c r="U38" s="6">
        <f>T38/Q38</f>
        <v>26.604374240195462</v>
      </c>
      <c r="V38" s="1">
        <f>2*(N38*$Z$13/$Z$11)*EXP(-U38)</f>
        <v>527.4370526453755</v>
      </c>
      <c r="W38" s="1">
        <f>LN(R38)</f>
        <v>0.64710324205853842</v>
      </c>
      <c r="X38" s="1">
        <f>LN(V38)</f>
        <v>6.2680295267516932</v>
      </c>
    </row>
    <row r="39" spans="6:24" x14ac:dyDescent="0.25">
      <c r="N39" s="1">
        <v>731.55</v>
      </c>
      <c r="O39" s="2">
        <f>1/N39</f>
        <v>1.366960563187752E-3</v>
      </c>
      <c r="P39">
        <f>1/(N39*N39)</f>
        <v>1.8685811813105763E-6</v>
      </c>
      <c r="Q39" s="6">
        <f>N39*$Z$15/(1000*$Z$5)</f>
        <v>1.4537388813576073</v>
      </c>
      <c r="R39" s="1">
        <v>3.04</v>
      </c>
      <c r="S39" s="18">
        <f>R39/N39</f>
        <v>4.1555601120907663E-3</v>
      </c>
      <c r="T39" s="6">
        <f>L21-(L6+L16)</f>
        <v>38.081869167217519</v>
      </c>
      <c r="U39" s="6">
        <f>T39/Q39</f>
        <v>26.195811129199416</v>
      </c>
      <c r="V39" s="1">
        <f>2*(N39*$Z$13/$Z$11)*EXP(-U39)</f>
        <v>804.60907044703538</v>
      </c>
      <c r="W39" s="1">
        <f>LN(R39)</f>
        <v>1.1118575154181303</v>
      </c>
      <c r="X39" s="1">
        <f>LN(V39)</f>
        <v>6.6903565326898233</v>
      </c>
    </row>
    <row r="40" spans="6:24" x14ac:dyDescent="0.25">
      <c r="N40" s="1">
        <v>741.65</v>
      </c>
      <c r="O40" s="2">
        <f>1/N40</f>
        <v>1.3483449066271152E-3</v>
      </c>
      <c r="P40">
        <f>1/(N40*N40)</f>
        <v>1.8180339872272843E-6</v>
      </c>
      <c r="Q40" s="6">
        <f>N40*$Z$15/(1000*$Z$5)</f>
        <v>1.4738096389294915</v>
      </c>
      <c r="R40" s="1">
        <v>5.05</v>
      </c>
      <c r="S40" s="18">
        <f>R40/N40</f>
        <v>6.8091417784669319E-3</v>
      </c>
      <c r="T40" s="6">
        <f>L22-(L7+L17)</f>
        <v>38.018490729722544</v>
      </c>
      <c r="U40" s="6">
        <f>T40/Q40</f>
        <v>25.796066008455103</v>
      </c>
      <c r="V40" s="1">
        <f>2*(N40*$Z$13/$Z$11)*EXP(-U40)</f>
        <v>1216.5977547582331</v>
      </c>
      <c r="W40" s="1">
        <f>LN(R40)</f>
        <v>1.6193882432872684</v>
      </c>
      <c r="X40" s="1">
        <f>LN(V40)</f>
        <v>7.1038135163795868</v>
      </c>
    </row>
    <row r="41" spans="6:24" x14ac:dyDescent="0.25">
      <c r="S41">
        <v>32.5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7"/>
  <sheetViews>
    <sheetView topLeftCell="A22" zoomScale="30" zoomScaleNormal="30" workbookViewId="0">
      <selection activeCell="Z22" sqref="Z22"/>
    </sheetView>
  </sheetViews>
  <sheetFormatPr defaultRowHeight="15" x14ac:dyDescent="0.25"/>
  <cols>
    <col min="1" max="1" width="13.5703125" customWidth="1"/>
    <col min="2" max="2" width="12.28515625" bestFit="1" customWidth="1"/>
    <col min="6" max="6" width="9.28515625" bestFit="1" customWidth="1"/>
    <col min="7" max="7" width="10.28515625" bestFit="1" customWidth="1"/>
    <col min="12" max="12" width="10.28515625" bestFit="1" customWidth="1"/>
    <col min="25" max="25" width="12.85546875" customWidth="1"/>
    <col min="26" max="26" width="14.28515625" customWidth="1"/>
  </cols>
  <sheetData>
    <row r="1" spans="1:26" x14ac:dyDescent="0.25">
      <c r="A1" t="s">
        <v>224</v>
      </c>
    </row>
    <row r="2" spans="1:26" ht="75.75" thickBot="1" x14ac:dyDescent="0.3">
      <c r="A2" s="167" t="s">
        <v>626</v>
      </c>
      <c r="B2" s="179" t="s">
        <v>627</v>
      </c>
      <c r="C2" s="179" t="s">
        <v>630</v>
      </c>
      <c r="D2" s="179" t="s">
        <v>628</v>
      </c>
      <c r="E2" s="179" t="s">
        <v>629</v>
      </c>
      <c r="F2" s="179" t="s">
        <v>586</v>
      </c>
      <c r="G2" s="179" t="s">
        <v>435</v>
      </c>
      <c r="H2" s="179" t="s">
        <v>587</v>
      </c>
      <c r="I2" s="179" t="s">
        <v>588</v>
      </c>
      <c r="J2" s="179" t="s">
        <v>589</v>
      </c>
      <c r="K2" s="179" t="s">
        <v>590</v>
      </c>
      <c r="L2" s="195" t="s">
        <v>631</v>
      </c>
      <c r="M2" s="195" t="s">
        <v>631</v>
      </c>
      <c r="N2" s="195" t="s">
        <v>632</v>
      </c>
    </row>
    <row r="3" spans="1:26" x14ac:dyDescent="0.25">
      <c r="A3" s="180" t="s">
        <v>595</v>
      </c>
      <c r="B3" s="17">
        <v>-151.37880100000001</v>
      </c>
      <c r="C3" s="17">
        <v>-151.36898500000001</v>
      </c>
      <c r="D3" s="17">
        <v>-151.36675299999999</v>
      </c>
      <c r="E3" s="17">
        <v>-151.43381299999999</v>
      </c>
      <c r="F3" s="33"/>
      <c r="G3" s="17"/>
      <c r="H3" s="17"/>
      <c r="I3" s="17"/>
      <c r="J3" s="17"/>
      <c r="K3" s="185">
        <f>(D3-E3)*($Z$3*$Z$4*10^-3/$Z$5)</f>
        <v>42.080772470074379</v>
      </c>
      <c r="L3" s="190">
        <f>(B3)*($Z$3*$Z$4*10^-3/$Z$5)</f>
        <v>-94991.602768772253</v>
      </c>
      <c r="M3" s="190">
        <f t="shared" ref="M3:M25" si="0">(D3)*($Z$3*$Z$4*10^-3/$Z$5)</f>
        <v>-94984.042536939261</v>
      </c>
      <c r="N3" s="190">
        <f t="shared" ref="N3:N25" si="1">(E3)*($Z$3*$Z$4*10^-3/$Z$5)</f>
        <v>-95026.123309409348</v>
      </c>
      <c r="Y3" s="22" t="s">
        <v>134</v>
      </c>
      <c r="Z3" s="83">
        <v>4.35974394E-18</v>
      </c>
    </row>
    <row r="4" spans="1:26" x14ac:dyDescent="0.25">
      <c r="A4" s="180" t="s">
        <v>596</v>
      </c>
      <c r="B4" s="17">
        <v>-151.37880100000001</v>
      </c>
      <c r="C4" s="17">
        <v>-151.36883399999999</v>
      </c>
      <c r="D4" s="17">
        <v>-151.36657700000001</v>
      </c>
      <c r="E4" s="17">
        <v>-151.434585</v>
      </c>
      <c r="F4" s="33"/>
      <c r="G4" s="17"/>
      <c r="H4" s="17"/>
      <c r="I4" s="17"/>
      <c r="J4" s="17"/>
      <c r="K4" s="185">
        <f t="shared" ref="K4:K25" si="2">(D4-E4)*($Z$3*$Z$4*10^-3/$Z$5)</f>
        <v>42.675651269677381</v>
      </c>
      <c r="L4" s="190">
        <f t="shared" ref="L4:L25" si="3">(B4)*($Z$3*$Z$4*10^-3/$Z$5)</f>
        <v>-94991.602768772253</v>
      </c>
      <c r="M4" s="190">
        <f t="shared" si="0"/>
        <v>-94983.932095305601</v>
      </c>
      <c r="N4" s="190">
        <f t="shared" si="1"/>
        <v>-95026.607746575275</v>
      </c>
      <c r="Y4" s="72" t="s">
        <v>135</v>
      </c>
      <c r="Z4" s="84">
        <v>6.0221399999999997E+23</v>
      </c>
    </row>
    <row r="5" spans="1:26" ht="15.75" thickBot="1" x14ac:dyDescent="0.3">
      <c r="A5" s="180" t="s">
        <v>597</v>
      </c>
      <c r="B5" s="17">
        <v>-151.37880100000001</v>
      </c>
      <c r="C5" s="17">
        <v>-151.36867000000001</v>
      </c>
      <c r="D5" s="17">
        <v>-151.36638500000001</v>
      </c>
      <c r="E5" s="17">
        <v>-151.43542600000001</v>
      </c>
      <c r="F5" s="33"/>
      <c r="G5" s="17"/>
      <c r="H5" s="17"/>
      <c r="I5" s="17"/>
      <c r="J5" s="17"/>
      <c r="K5" s="185">
        <f t="shared" si="2"/>
        <v>43.323868358282674</v>
      </c>
      <c r="L5" s="190">
        <f t="shared" si="3"/>
        <v>-94991.602768772253</v>
      </c>
      <c r="M5" s="190">
        <f t="shared" si="0"/>
        <v>-94983.811613523401</v>
      </c>
      <c r="N5" s="190">
        <f t="shared" si="1"/>
        <v>-95027.135481881676</v>
      </c>
      <c r="Q5">
        <f>-151.484457-  -151.550847</f>
        <v>6.6390000000012606E-2</v>
      </c>
      <c r="Y5" s="23" t="s">
        <v>136</v>
      </c>
      <c r="Z5" s="85">
        <v>4.1840000000000002</v>
      </c>
    </row>
    <row r="6" spans="1:26" ht="15.75" thickBot="1" x14ac:dyDescent="0.3">
      <c r="A6" s="180" t="s">
        <v>598</v>
      </c>
      <c r="B6" s="17">
        <v>-151.37880100000001</v>
      </c>
      <c r="C6" s="17">
        <v>-151.36847900000001</v>
      </c>
      <c r="D6" s="17">
        <v>-151.366162</v>
      </c>
      <c r="E6" s="17">
        <v>-151.43640300000001</v>
      </c>
      <c r="F6" s="33"/>
      <c r="G6" s="17"/>
      <c r="H6" s="17"/>
      <c r="I6" s="17"/>
      <c r="J6" s="17"/>
      <c r="K6" s="185">
        <f t="shared" si="2"/>
        <v>44.076879497032614</v>
      </c>
      <c r="L6" s="190">
        <f t="shared" si="3"/>
        <v>-94991.602768772253</v>
      </c>
      <c r="M6" s="190">
        <f t="shared" si="0"/>
        <v>-94983.67167895344</v>
      </c>
      <c r="N6" s="190">
        <f t="shared" si="1"/>
        <v>-95027.748558450476</v>
      </c>
      <c r="Q6" s="11">
        <f>Q5*($Z$3*$Z$4*10^-3/$Z$5)</f>
        <v>41.660341250952222</v>
      </c>
    </row>
    <row r="7" spans="1:26" ht="15.75" thickBot="1" x14ac:dyDescent="0.3">
      <c r="A7" s="180" t="s">
        <v>599</v>
      </c>
      <c r="B7" s="17">
        <v>-151.37880100000001</v>
      </c>
      <c r="C7" s="17">
        <v>-151.36829299999999</v>
      </c>
      <c r="D7" s="17">
        <v>-151.36594400000001</v>
      </c>
      <c r="E7" s="17">
        <v>-151.437355</v>
      </c>
      <c r="F7" s="33"/>
      <c r="G7" s="17"/>
      <c r="H7" s="17"/>
      <c r="I7" s="17"/>
      <c r="J7" s="17"/>
      <c r="K7" s="185">
        <f t="shared" si="2"/>
        <v>44.811065357290182</v>
      </c>
      <c r="L7" s="190">
        <f t="shared" si="3"/>
        <v>-94991.602768772253</v>
      </c>
      <c r="M7" s="190">
        <f t="shared" si="0"/>
        <v>-94983.534881929911</v>
      </c>
      <c r="N7" s="190">
        <f t="shared" si="1"/>
        <v>-95028.345947287205</v>
      </c>
      <c r="Y7" s="86" t="s">
        <v>137</v>
      </c>
      <c r="Z7" s="32"/>
    </row>
    <row r="8" spans="1:26" x14ac:dyDescent="0.25">
      <c r="A8" s="180" t="s">
        <v>623</v>
      </c>
      <c r="B8" s="17"/>
      <c r="C8" s="17"/>
      <c r="D8" s="17"/>
      <c r="E8" s="17"/>
      <c r="F8" s="33"/>
      <c r="G8" s="17"/>
      <c r="H8" s="17"/>
      <c r="I8" s="17"/>
      <c r="J8" s="17"/>
      <c r="K8" s="185">
        <f t="shared" si="2"/>
        <v>0</v>
      </c>
      <c r="L8" s="190">
        <f t="shared" si="3"/>
        <v>0</v>
      </c>
      <c r="M8" s="190">
        <f t="shared" si="0"/>
        <v>0</v>
      </c>
      <c r="N8" s="190">
        <f t="shared" si="1"/>
        <v>0</v>
      </c>
      <c r="Y8" s="87" t="s">
        <v>138</v>
      </c>
      <c r="Z8" s="106">
        <v>2000</v>
      </c>
    </row>
    <row r="9" spans="1:26" x14ac:dyDescent="0.25">
      <c r="A9" s="180" t="s">
        <v>624</v>
      </c>
      <c r="B9" s="17"/>
      <c r="C9" s="17"/>
      <c r="D9" s="17"/>
      <c r="E9" s="17"/>
      <c r="F9" s="33"/>
      <c r="G9" s="17"/>
      <c r="H9" s="17"/>
      <c r="I9" s="17"/>
      <c r="J9" s="17"/>
      <c r="K9" s="185">
        <f t="shared" si="2"/>
        <v>0</v>
      </c>
      <c r="L9" s="190">
        <f t="shared" si="3"/>
        <v>0</v>
      </c>
      <c r="M9" s="190">
        <f t="shared" si="0"/>
        <v>0</v>
      </c>
      <c r="N9" s="190">
        <f t="shared" si="1"/>
        <v>0</v>
      </c>
      <c r="Q9">
        <f>-1106.87102--1106.906608</f>
        <v>3.5587999999961539E-2</v>
      </c>
    </row>
    <row r="10" spans="1:26" x14ac:dyDescent="0.25">
      <c r="A10" s="180" t="s">
        <v>620</v>
      </c>
      <c r="B10" s="17"/>
      <c r="C10" s="17"/>
      <c r="D10" s="17"/>
      <c r="E10" s="17"/>
      <c r="F10" s="33"/>
      <c r="G10" s="17"/>
      <c r="H10" s="17"/>
      <c r="I10" s="17"/>
      <c r="J10" s="17"/>
      <c r="K10" s="185">
        <f t="shared" si="2"/>
        <v>0</v>
      </c>
      <c r="L10" s="190">
        <f t="shared" si="3"/>
        <v>0</v>
      </c>
      <c r="M10" s="190">
        <f t="shared" si="0"/>
        <v>0</v>
      </c>
      <c r="N10" s="190">
        <f t="shared" si="1"/>
        <v>0</v>
      </c>
      <c r="Q10" s="11">
        <f>Q9*($Z$3*$Z$4*10^-3/$Z$5)</f>
        <v>22.331800337957581</v>
      </c>
      <c r="Y10" s="88" t="s">
        <v>140</v>
      </c>
      <c r="Z10" s="107">
        <v>298.14999999999998</v>
      </c>
    </row>
    <row r="11" spans="1:26" x14ac:dyDescent="0.25">
      <c r="A11" s="180" t="s">
        <v>621</v>
      </c>
      <c r="B11" s="17"/>
      <c r="C11" s="17"/>
      <c r="D11" s="17"/>
      <c r="E11" s="17"/>
      <c r="F11" s="33"/>
      <c r="G11" s="17"/>
      <c r="H11" s="17"/>
      <c r="I11" s="17"/>
      <c r="J11" s="17"/>
      <c r="K11" s="185">
        <f t="shared" si="2"/>
        <v>0</v>
      </c>
      <c r="L11" s="190">
        <f t="shared" si="3"/>
        <v>0</v>
      </c>
      <c r="M11" s="190">
        <f t="shared" si="0"/>
        <v>0</v>
      </c>
      <c r="N11" s="190">
        <f t="shared" si="1"/>
        <v>0</v>
      </c>
      <c r="Y11" s="88" t="s">
        <v>152</v>
      </c>
      <c r="Z11" s="108">
        <f>6.62606896E-34/(2*Z14)</f>
        <v>1.0545716294567979E-34</v>
      </c>
    </row>
    <row r="12" spans="1:26" x14ac:dyDescent="0.25">
      <c r="A12" s="180" t="s">
        <v>622</v>
      </c>
      <c r="B12" s="17"/>
      <c r="C12" s="17"/>
      <c r="D12" s="17"/>
      <c r="E12" s="17"/>
      <c r="F12" s="33"/>
      <c r="G12" s="17"/>
      <c r="H12" s="17"/>
      <c r="I12" s="17"/>
      <c r="J12" s="17"/>
      <c r="K12" s="185">
        <f t="shared" si="2"/>
        <v>0</v>
      </c>
      <c r="L12" s="190">
        <f t="shared" si="3"/>
        <v>0</v>
      </c>
      <c r="M12" s="190">
        <f t="shared" si="0"/>
        <v>0</v>
      </c>
      <c r="N12" s="190">
        <f t="shared" si="1"/>
        <v>0</v>
      </c>
      <c r="Y12" s="88" t="s">
        <v>141</v>
      </c>
      <c r="Z12" s="109">
        <v>6.6260695699999996E-34</v>
      </c>
    </row>
    <row r="13" spans="1:26" x14ac:dyDescent="0.25">
      <c r="A13" s="180" t="s">
        <v>601</v>
      </c>
      <c r="B13" s="17">
        <v>-2.9029319999999998</v>
      </c>
      <c r="C13" s="17">
        <v>-2.8995850000000001</v>
      </c>
      <c r="D13" s="17">
        <v>-2.8973529999999998</v>
      </c>
      <c r="E13" s="17">
        <v>-2.9288449999999999</v>
      </c>
      <c r="F13" s="33"/>
      <c r="G13" s="17"/>
      <c r="H13" s="17"/>
      <c r="I13" s="17"/>
      <c r="J13" s="17"/>
      <c r="K13" s="185">
        <f t="shared" si="2"/>
        <v>19.76152231773974</v>
      </c>
      <c r="L13" s="190">
        <f t="shared" si="3"/>
        <v>-1821.6167758440467</v>
      </c>
      <c r="M13" s="190">
        <f t="shared" si="0"/>
        <v>-1818.115901558175</v>
      </c>
      <c r="N13" s="190">
        <f t="shared" si="1"/>
        <v>-1837.8774238759149</v>
      </c>
      <c r="Q13">
        <f>-151.476182- -151.552295</f>
        <v>7.6112999999992326E-2</v>
      </c>
      <c r="Y13" s="88" t="s">
        <v>142</v>
      </c>
      <c r="Z13" s="110">
        <v>1.3806488E-23</v>
      </c>
    </row>
    <row r="14" spans="1:26" x14ac:dyDescent="0.25">
      <c r="A14" s="180" t="s">
        <v>602</v>
      </c>
      <c r="B14" s="17">
        <v>-2.9029319999999998</v>
      </c>
      <c r="C14" s="17">
        <v>-2.899546</v>
      </c>
      <c r="D14" s="17">
        <v>-2.8972889999999998</v>
      </c>
      <c r="E14" s="17">
        <v>-2.929208</v>
      </c>
      <c r="F14" s="33"/>
      <c r="G14" s="17"/>
      <c r="H14" s="17"/>
      <c r="I14" s="17"/>
      <c r="J14" s="17"/>
      <c r="K14" s="185">
        <f t="shared" si="2"/>
        <v>20.029468781275824</v>
      </c>
      <c r="L14" s="190">
        <f t="shared" si="3"/>
        <v>-1821.6167758440467</v>
      </c>
      <c r="M14" s="190">
        <f t="shared" si="0"/>
        <v>-1818.0757409641087</v>
      </c>
      <c r="N14" s="190">
        <f t="shared" si="1"/>
        <v>-1838.1052097453846</v>
      </c>
      <c r="Q14" s="6">
        <f>Q13*($Z$3*$Z$4*10^-3/$Z$5)</f>
        <v>47.761614002602869</v>
      </c>
      <c r="Y14" s="91" t="s">
        <v>143</v>
      </c>
      <c r="Z14" s="110">
        <v>3.1415926500000002</v>
      </c>
    </row>
    <row r="15" spans="1:26" x14ac:dyDescent="0.25">
      <c r="A15" s="180" t="s">
        <v>603</v>
      </c>
      <c r="B15" s="17">
        <v>-2.9029319999999998</v>
      </c>
      <c r="C15" s="17">
        <v>-2.899505</v>
      </c>
      <c r="D15" s="17">
        <v>-2.8972199999999999</v>
      </c>
      <c r="E15" s="17">
        <v>-2.929602</v>
      </c>
      <c r="F15" s="33"/>
      <c r="G15" s="17"/>
      <c r="H15" s="17"/>
      <c r="I15" s="17"/>
      <c r="J15" s="17"/>
      <c r="K15" s="185">
        <f t="shared" si="2"/>
        <v>20.320005578974005</v>
      </c>
      <c r="L15" s="190">
        <f t="shared" si="3"/>
        <v>-1821.6167758440467</v>
      </c>
      <c r="M15" s="190">
        <f t="shared" si="0"/>
        <v>-1818.0324428236311</v>
      </c>
      <c r="N15" s="190">
        <f t="shared" si="1"/>
        <v>-1838.3524484026052</v>
      </c>
      <c r="Y15" s="92" t="s">
        <v>144</v>
      </c>
      <c r="Z15" s="111">
        <f>Z13*Z16</f>
        <v>8.3144603644319997</v>
      </c>
    </row>
    <row r="16" spans="1:26" x14ac:dyDescent="0.25">
      <c r="A16" s="180" t="s">
        <v>604</v>
      </c>
      <c r="B16" s="17">
        <v>-2.9029319999999998</v>
      </c>
      <c r="C16" s="17">
        <v>-2.8994559999999998</v>
      </c>
      <c r="D16" s="17">
        <v>-2.8971390000000001</v>
      </c>
      <c r="E16" s="17">
        <v>-2.9300609999999998</v>
      </c>
      <c r="F16" s="33"/>
      <c r="G16" s="17"/>
      <c r="H16" s="17"/>
      <c r="I16" s="17"/>
      <c r="J16" s="17"/>
      <c r="K16" s="185">
        <f t="shared" si="2"/>
        <v>20.658860591407969</v>
      </c>
      <c r="L16" s="190">
        <f t="shared" si="3"/>
        <v>-1821.6167758440467</v>
      </c>
      <c r="M16" s="190">
        <f t="shared" si="0"/>
        <v>-1817.9816145717662</v>
      </c>
      <c r="N16" s="190">
        <f t="shared" si="1"/>
        <v>-1838.6404751631742</v>
      </c>
      <c r="Y16" s="88" t="s">
        <v>145</v>
      </c>
      <c r="Z16" s="110">
        <v>6.0221399999999997E+23</v>
      </c>
    </row>
    <row r="17" spans="1:26" ht="15.75" thickBot="1" x14ac:dyDescent="0.3">
      <c r="A17" s="180" t="s">
        <v>605</v>
      </c>
      <c r="B17" s="17">
        <v>-2.9029319999999998</v>
      </c>
      <c r="C17" s="17">
        <v>-2.8994089999999999</v>
      </c>
      <c r="D17" s="17">
        <v>-2.8970600000000002</v>
      </c>
      <c r="E17" s="17">
        <v>-2.930507</v>
      </c>
      <c r="F17" s="33"/>
      <c r="G17" s="17"/>
      <c r="H17" s="17"/>
      <c r="I17" s="17"/>
      <c r="J17" s="17"/>
      <c r="K17" s="185">
        <f t="shared" si="2"/>
        <v>20.988302964608003</v>
      </c>
      <c r="L17" s="190">
        <f t="shared" si="3"/>
        <v>-1821.6167758440467</v>
      </c>
      <c r="M17" s="190">
        <f t="shared" si="0"/>
        <v>-1817.9320413384655</v>
      </c>
      <c r="N17" s="190">
        <f t="shared" si="1"/>
        <v>-1838.9203443030735</v>
      </c>
      <c r="Y17" s="90" t="s">
        <v>153</v>
      </c>
      <c r="Z17" s="112">
        <v>29979245800</v>
      </c>
    </row>
    <row r="18" spans="1:26" x14ac:dyDescent="0.25">
      <c r="A18" s="180" t="s">
        <v>606</v>
      </c>
      <c r="B18" s="17">
        <v>-154.20465799999999</v>
      </c>
      <c r="C18" s="17">
        <v>-154.18670900000001</v>
      </c>
      <c r="D18" s="17">
        <v>-154.18447800000001</v>
      </c>
      <c r="E18" s="17">
        <v>-154.28798599999999</v>
      </c>
      <c r="F18" s="33"/>
      <c r="G18" s="17"/>
      <c r="H18" s="17"/>
      <c r="I18" s="17"/>
      <c r="J18" s="17"/>
      <c r="K18" s="185">
        <f t="shared" si="2"/>
        <v>64.9522307908084</v>
      </c>
      <c r="L18" s="190">
        <f t="shared" si="3"/>
        <v>-96764.854266684124</v>
      </c>
      <c r="M18" s="190">
        <f t="shared" si="0"/>
        <v>-96752.191129367609</v>
      </c>
      <c r="N18" s="190">
        <f t="shared" si="1"/>
        <v>-96817.143360158429</v>
      </c>
      <c r="Y18" s="87" t="s">
        <v>154</v>
      </c>
      <c r="Z18" s="93">
        <f>((2*Z14)/(Z12*Z8*Z17))</f>
        <v>1.5815144992182973E+20</v>
      </c>
    </row>
    <row r="19" spans="1:26" ht="15.75" thickBot="1" x14ac:dyDescent="0.3">
      <c r="A19" s="180" t="s">
        <v>607</v>
      </c>
      <c r="B19" s="17">
        <v>-154.20465799999999</v>
      </c>
      <c r="C19" s="17">
        <v>-154.18647899999999</v>
      </c>
      <c r="D19" s="17">
        <v>-154.18422200000001</v>
      </c>
      <c r="E19" s="17">
        <v>-154.289177</v>
      </c>
      <c r="F19" s="33"/>
      <c r="G19" s="17"/>
      <c r="H19" s="17"/>
      <c r="I19" s="17"/>
      <c r="J19" s="17"/>
      <c r="K19" s="185">
        <f t="shared" si="2"/>
        <v>65.860236722283943</v>
      </c>
      <c r="L19" s="190">
        <f t="shared" si="3"/>
        <v>-96764.854266684124</v>
      </c>
      <c r="M19" s="190">
        <f t="shared" si="0"/>
        <v>-96752.030486991353</v>
      </c>
      <c r="N19" s="190">
        <f t="shared" si="1"/>
        <v>-96817.89072371363</v>
      </c>
      <c r="R19" s="6">
        <f>L18-(L3+L13)</f>
        <v>48.365277932171011</v>
      </c>
      <c r="Y19" s="90" t="s">
        <v>155</v>
      </c>
      <c r="Z19" s="94">
        <f>(1/(Z13*Z10))</f>
        <v>2.4293045665780682E+20</v>
      </c>
    </row>
    <row r="20" spans="1:26" x14ac:dyDescent="0.25">
      <c r="A20" s="180" t="s">
        <v>608</v>
      </c>
      <c r="B20" s="17">
        <v>-154.20465799999999</v>
      </c>
      <c r="C20" s="17">
        <v>-154.186229</v>
      </c>
      <c r="D20" s="17">
        <v>-154.183944</v>
      </c>
      <c r="E20" s="17">
        <v>-154.29047499999999</v>
      </c>
      <c r="F20" s="33"/>
      <c r="G20" s="17"/>
      <c r="H20" s="17"/>
      <c r="I20" s="17"/>
      <c r="J20" s="17"/>
      <c r="K20" s="185">
        <f t="shared" si="2"/>
        <v>66.849191351166141</v>
      </c>
      <c r="L20" s="190">
        <f t="shared" si="3"/>
        <v>-96764.854266684124</v>
      </c>
      <c r="M20" s="190">
        <f t="shared" si="0"/>
        <v>-96751.856039410864</v>
      </c>
      <c r="N20" s="190">
        <f t="shared" si="1"/>
        <v>-96818.705230762032</v>
      </c>
      <c r="Y20" s="22" t="s">
        <v>146</v>
      </c>
      <c r="Z20" s="95">
        <f>((Z19*Z14)/Z18)/SIN((Z19*Z14)/Z18)-(Z19/(Z18-Z19))*EXP((Z19-Z18)*((AK9*1000/Z16)))</f>
        <v>-1.9913620535319208</v>
      </c>
    </row>
    <row r="21" spans="1:26" ht="15.75" thickBot="1" x14ac:dyDescent="0.3">
      <c r="A21" s="180" t="s">
        <v>609</v>
      </c>
      <c r="B21" s="17">
        <v>-154.20465799999999</v>
      </c>
      <c r="C21" s="17">
        <v>-154.18593899999999</v>
      </c>
      <c r="D21" s="17">
        <v>-154.18362099999999</v>
      </c>
      <c r="E21" s="17">
        <v>-154.29198600000001</v>
      </c>
      <c r="F21" s="33"/>
      <c r="G21" s="17"/>
      <c r="H21" s="17"/>
      <c r="I21" s="17"/>
      <c r="J21" s="17"/>
      <c r="K21" s="185">
        <f t="shared" si="2"/>
        <v>68.000043374897317</v>
      </c>
      <c r="L21" s="190">
        <f t="shared" si="3"/>
        <v>-96764.854266684124</v>
      </c>
      <c r="M21" s="190">
        <f t="shared" si="0"/>
        <v>-96751.653353912683</v>
      </c>
      <c r="N21" s="190">
        <f t="shared" si="1"/>
        <v>-96819.653397287577</v>
      </c>
      <c r="Y21" s="72" t="s">
        <v>156</v>
      </c>
      <c r="Z21" s="181" t="e">
        <f>(Z15*Z10*LN(Z20)/1000)/Z5</f>
        <v>#NUM!</v>
      </c>
    </row>
    <row r="22" spans="1:26" x14ac:dyDescent="0.25">
      <c r="A22" s="180" t="s">
        <v>610</v>
      </c>
      <c r="B22" s="17">
        <v>-154.20465799999999</v>
      </c>
      <c r="C22" s="17">
        <v>-154.18565699999999</v>
      </c>
      <c r="D22" s="17">
        <v>-154.18330800000001</v>
      </c>
      <c r="E22" s="17">
        <v>-154.293453</v>
      </c>
      <c r="F22" s="33"/>
      <c r="G22" s="17"/>
      <c r="H22" s="17"/>
      <c r="I22" s="17"/>
      <c r="J22" s="17"/>
      <c r="K22" s="185">
        <f t="shared" si="2"/>
        <v>69.117009897345781</v>
      </c>
      <c r="L22" s="190">
        <f t="shared" si="3"/>
        <v>-96764.854266684124</v>
      </c>
      <c r="M22" s="190">
        <f t="shared" si="0"/>
        <v>-96751.456943507335</v>
      </c>
      <c r="N22" s="190">
        <f t="shared" si="1"/>
        <v>-96820.573953404688</v>
      </c>
      <c r="Y22" s="22" t="s">
        <v>147</v>
      </c>
      <c r="Z22" s="95">
        <f>(Z19/(Z19-Z18))*(EXP((Z19-Z18)*((AK9)*1000/Z16))-1)</f>
        <v>0</v>
      </c>
    </row>
    <row r="23" spans="1:26" ht="15.75" thickBot="1" x14ac:dyDescent="0.3">
      <c r="A23" s="180" t="s">
        <v>591</v>
      </c>
      <c r="B23" s="17"/>
      <c r="C23" s="17"/>
      <c r="D23" s="17"/>
      <c r="E23" s="17"/>
      <c r="F23" s="33"/>
      <c r="G23" s="17"/>
      <c r="H23" s="17"/>
      <c r="I23" s="17"/>
      <c r="J23" s="17"/>
      <c r="K23" s="185">
        <f t="shared" si="2"/>
        <v>0</v>
      </c>
      <c r="L23" s="190">
        <f t="shared" si="3"/>
        <v>0</v>
      </c>
      <c r="M23" s="190">
        <f t="shared" si="0"/>
        <v>0</v>
      </c>
      <c r="N23" s="190">
        <f t="shared" si="1"/>
        <v>0</v>
      </c>
      <c r="Y23" s="72" t="s">
        <v>157</v>
      </c>
      <c r="Z23" s="182" t="e">
        <f>(Z15*Z10*LN(Z22)/1000)/Z5</f>
        <v>#NUM!</v>
      </c>
    </row>
    <row r="24" spans="1:26" ht="15.75" thickBot="1" x14ac:dyDescent="0.3">
      <c r="A24" s="180" t="s">
        <v>592</v>
      </c>
      <c r="B24" s="17"/>
      <c r="C24" s="17"/>
      <c r="D24" s="17"/>
      <c r="E24" s="17"/>
      <c r="F24" s="33"/>
      <c r="G24" s="17"/>
      <c r="H24" s="17"/>
      <c r="I24" s="17"/>
      <c r="J24" s="17"/>
      <c r="K24" s="185">
        <f t="shared" si="2"/>
        <v>0</v>
      </c>
      <c r="L24" s="190">
        <f t="shared" si="3"/>
        <v>0</v>
      </c>
      <c r="M24" s="190">
        <f t="shared" si="0"/>
        <v>0</v>
      </c>
      <c r="N24" s="190">
        <f t="shared" si="1"/>
        <v>0</v>
      </c>
      <c r="Y24" s="96" t="s">
        <v>158</v>
      </c>
      <c r="Z24" s="97"/>
    </row>
    <row r="25" spans="1:26" x14ac:dyDescent="0.25">
      <c r="A25" s="180" t="s">
        <v>593</v>
      </c>
      <c r="B25" s="17"/>
      <c r="C25" s="17"/>
      <c r="D25" s="17"/>
      <c r="E25" s="17"/>
      <c r="F25" s="33"/>
      <c r="G25" s="17"/>
      <c r="H25" s="17"/>
      <c r="I25" s="17"/>
      <c r="J25" s="17"/>
      <c r="K25" s="185">
        <f t="shared" si="2"/>
        <v>0</v>
      </c>
      <c r="L25" s="190">
        <f t="shared" si="3"/>
        <v>0</v>
      </c>
      <c r="M25" s="190">
        <f t="shared" si="0"/>
        <v>0</v>
      </c>
      <c r="N25" s="190">
        <f t="shared" si="1"/>
        <v>0</v>
      </c>
      <c r="Y25" s="98" t="s">
        <v>148</v>
      </c>
      <c r="Z25" s="99">
        <f>1+(1/24)*(Z12*Z8*Z17/(Z10*Z13))^2</f>
        <v>4.8812004352370559</v>
      </c>
    </row>
    <row r="26" spans="1:26" x14ac:dyDescent="0.25">
      <c r="Y26" s="98" t="s">
        <v>159</v>
      </c>
      <c r="Z26" s="99">
        <f>(Z10*Z13)/(Z8*Z12*Z17)</f>
        <v>0.10361230694275013</v>
      </c>
    </row>
    <row r="27" spans="1:26" ht="15.75" thickBot="1" x14ac:dyDescent="0.3">
      <c r="Y27" s="98" t="s">
        <v>440</v>
      </c>
      <c r="Z27" s="115">
        <f>(Z15*Z10*LN(Z25)/1000)/Z5</f>
        <v>0.93932015920801915</v>
      </c>
    </row>
    <row r="28" spans="1:26" x14ac:dyDescent="0.25">
      <c r="Y28" s="116" t="s">
        <v>160</v>
      </c>
      <c r="Z28" s="26">
        <f>2*2*2</f>
        <v>8</v>
      </c>
    </row>
    <row r="29" spans="1:26" ht="30.75" thickBot="1" x14ac:dyDescent="0.3">
      <c r="Y29" s="102" t="s">
        <v>161</v>
      </c>
      <c r="Z29" s="104">
        <f>(Z10*Z15*LN(Z28)*10^-3)/Z5</f>
        <v>1.2320374832982735</v>
      </c>
    </row>
    <row r="31" spans="1:26" x14ac:dyDescent="0.25">
      <c r="E31" t="s">
        <v>634</v>
      </c>
      <c r="F31" t="s">
        <v>612</v>
      </c>
      <c r="G31" t="s">
        <v>612</v>
      </c>
      <c r="H31" t="s">
        <v>224</v>
      </c>
      <c r="I31" t="s">
        <v>224</v>
      </c>
      <c r="J31" t="s">
        <v>224</v>
      </c>
      <c r="K31" t="s">
        <v>224</v>
      </c>
      <c r="N31" t="s">
        <v>224</v>
      </c>
    </row>
    <row r="32" spans="1:26" x14ac:dyDescent="0.25">
      <c r="A32" t="s">
        <v>611</v>
      </c>
      <c r="B32" t="s">
        <v>615</v>
      </c>
      <c r="C32" t="s">
        <v>633</v>
      </c>
      <c r="D32" t="s">
        <v>618</v>
      </c>
      <c r="E32" t="s">
        <v>613</v>
      </c>
      <c r="F32" t="s">
        <v>635</v>
      </c>
      <c r="G32" t="s">
        <v>625</v>
      </c>
      <c r="H32" t="s">
        <v>616</v>
      </c>
      <c r="I32" t="s">
        <v>617</v>
      </c>
      <c r="J32" t="s">
        <v>613</v>
      </c>
      <c r="K32" t="s">
        <v>635</v>
      </c>
      <c r="L32" t="s">
        <v>614</v>
      </c>
      <c r="M32" t="s">
        <v>619</v>
      </c>
      <c r="N32" t="s">
        <v>625</v>
      </c>
    </row>
    <row r="33" spans="1:16" x14ac:dyDescent="0.25">
      <c r="A33" s="1">
        <v>704.65</v>
      </c>
      <c r="B33" s="196">
        <f>1/A33</f>
        <v>1.4191442560136239E-3</v>
      </c>
      <c r="C33">
        <f>1/(A33*A33)</f>
        <v>2.0139704193764622E-6</v>
      </c>
      <c r="D33" s="6">
        <f>A33*$Z$15/(1000*$Z$5)</f>
        <v>1.400283101289916</v>
      </c>
      <c r="E33" s="1">
        <v>1.1100000000000001</v>
      </c>
      <c r="F33" s="5">
        <f>(E33*$Z$12)/($Z$13*A33)</f>
        <v>7.5600086806547039E-14</v>
      </c>
      <c r="G33" s="11">
        <f>E33/A33</f>
        <v>1.5752501241751225E-3</v>
      </c>
      <c r="H33" s="6">
        <f>N18-(N3+N13)</f>
        <v>46.857373126840685</v>
      </c>
      <c r="I33" s="6">
        <f>H33/D33</f>
        <v>33.462785549348204</v>
      </c>
      <c r="J33" s="1">
        <f>2*(A33*$Z$13/$Z$11)*EXP(-I33)</f>
        <v>0.54113730563322726</v>
      </c>
      <c r="K33" s="11">
        <f>(J33*$Z$12)/($Z$13*A33)</f>
        <v>3.685588043255221E-14</v>
      </c>
      <c r="L33" s="1">
        <f>LN(E33)</f>
        <v>0.10436001532424286</v>
      </c>
      <c r="M33" s="1">
        <f>LN(J33)</f>
        <v>-0.61408223264561645</v>
      </c>
      <c r="N33" s="11">
        <f>J33/A33</f>
        <v>7.6795189900408331E-4</v>
      </c>
    </row>
    <row r="34" spans="1:16" x14ac:dyDescent="0.25">
      <c r="A34" s="1">
        <v>712.75</v>
      </c>
      <c r="B34" s="196">
        <f>1/A34</f>
        <v>1.4030164854437039E-3</v>
      </c>
      <c r="C34">
        <f>1/(A34*A34)</f>
        <v>1.9684552584268034E-6</v>
      </c>
      <c r="D34" s="6">
        <f>A34*$Z$15/(1000*$Z$5)</f>
        <v>1.4163794514218231</v>
      </c>
      <c r="E34" s="1">
        <v>1.44</v>
      </c>
      <c r="F34" s="5">
        <f>(E34*$Z$12)/($Z$13*A34)</f>
        <v>9.696121251244992E-14</v>
      </c>
      <c r="G34" s="11">
        <f>E34/A34</f>
        <v>2.0203437390389337E-3</v>
      </c>
      <c r="H34" s="6">
        <f>N19-(N4+N14)</f>
        <v>46.822232607024489</v>
      </c>
      <c r="I34" s="6">
        <f>H34/D34</f>
        <v>33.057689844357952</v>
      </c>
      <c r="J34" s="1">
        <f>2*(A34*$Z$13/$Z$11)*EXP(-I34)</f>
        <v>0.82073333656425629</v>
      </c>
      <c r="K34" s="11">
        <f>(J34*$Z$12)/($Z$13*A34)</f>
        <v>5.5263402404624267E-14</v>
      </c>
      <c r="L34" s="1">
        <f>LN(E34)</f>
        <v>0.36464311358790924</v>
      </c>
      <c r="M34" s="1">
        <f>LN(J34)</f>
        <v>-0.19755702550010276</v>
      </c>
      <c r="N34" s="11">
        <f>J34/A34</f>
        <v>1.1515024013528674E-3</v>
      </c>
    </row>
    <row r="35" spans="1:16" x14ac:dyDescent="0.25">
      <c r="A35" s="1">
        <v>721.55</v>
      </c>
      <c r="B35" s="196">
        <f>1/A35</f>
        <v>1.3859053426650962E-3</v>
      </c>
      <c r="C35">
        <f>1/(A35*A35)</f>
        <v>1.9207336188276573E-6</v>
      </c>
      <c r="D35" s="6">
        <f>A35*$Z$15/(1000*$Z$5)</f>
        <v>1.433866844157722</v>
      </c>
      <c r="E35" s="1">
        <v>1.91</v>
      </c>
      <c r="F35" s="5">
        <f>(E35*$Z$12)/($Z$13*A35)</f>
        <v>1.270397726507509E-13</v>
      </c>
      <c r="G35" s="11">
        <f>E35/A35</f>
        <v>2.6470792044903332E-3</v>
      </c>
      <c r="H35" s="6">
        <f>N20-(N5+N15)</f>
        <v>46.782699522242183</v>
      </c>
      <c r="I35" s="6">
        <f>H35/D35</f>
        <v>32.62694838984379</v>
      </c>
      <c r="J35" s="1">
        <f>2*(A35*$Z$13/$Z$11)*EXP(-I35)</f>
        <v>1.2782032451868852</v>
      </c>
      <c r="K35" s="11">
        <f>(J35*$Z$12)/($Z$13*A35)</f>
        <v>8.5017094068059631E-14</v>
      </c>
      <c r="L35" s="1">
        <f>LN(E35)</f>
        <v>0.64710324205853842</v>
      </c>
      <c r="M35" s="1">
        <f>LN(J35)</f>
        <v>0.24545537710336501</v>
      </c>
      <c r="N35" s="11">
        <f>J35/A35</f>
        <v>1.771468706516368E-3</v>
      </c>
    </row>
    <row r="36" spans="1:16" x14ac:dyDescent="0.25">
      <c r="A36" s="1">
        <v>731.55</v>
      </c>
      <c r="B36" s="196">
        <f>1/A36</f>
        <v>1.366960563187752E-3</v>
      </c>
      <c r="C36">
        <f>1/(A36*A36)</f>
        <v>1.8685811813105763E-6</v>
      </c>
      <c r="D36" s="6">
        <f>A36*$Z$15/(1000*$Z$5)</f>
        <v>1.4537388813576073</v>
      </c>
      <c r="E36" s="1">
        <v>3.04</v>
      </c>
      <c r="F36" s="5">
        <f>(E36*$Z$12)/($Z$13*A36)</f>
        <v>1.9943544227199862E-13</v>
      </c>
      <c r="G36" s="11">
        <f>E36/A36</f>
        <v>4.1555601120907663E-3</v>
      </c>
      <c r="H36" s="6">
        <f>N21-(N6+N16)</f>
        <v>46.735636326076929</v>
      </c>
      <c r="I36" s="6">
        <f>H36/D36</f>
        <v>32.14857697307496</v>
      </c>
      <c r="J36" s="1">
        <f>2*(A36*$Z$13/$Z$11)*EXP(-I36)</f>
        <v>2.0908918319549135</v>
      </c>
      <c r="K36" s="11">
        <f>(J36*$Z$12)/($Z$13*A36)</f>
        <v>1.3717037409501236E-13</v>
      </c>
      <c r="L36" s="1">
        <f>LN(E36)</f>
        <v>1.1118575154181303</v>
      </c>
      <c r="M36" s="1">
        <f>LN(J36)</f>
        <v>0.73759068881427969</v>
      </c>
      <c r="N36" s="11">
        <f>J36/A36</f>
        <v>2.8581666761737594E-3</v>
      </c>
    </row>
    <row r="37" spans="1:16" x14ac:dyDescent="0.25">
      <c r="A37" s="1">
        <v>741.65</v>
      </c>
      <c r="B37" s="196">
        <f>1/A37</f>
        <v>1.3483449066271152E-3</v>
      </c>
      <c r="C37">
        <f>1/(A37*A37)</f>
        <v>1.8180339872272843E-6</v>
      </c>
      <c r="D37" s="6">
        <f>A37*$Z$15/(1000*$Z$5)</f>
        <v>1.4738096389294915</v>
      </c>
      <c r="E37" s="1">
        <v>5.05</v>
      </c>
      <c r="F37" s="5">
        <f>(E37*$Z$12)/($Z$13*A37)</f>
        <v>3.2678728389229337E-13</v>
      </c>
      <c r="G37" s="11">
        <f>E37/A37</f>
        <v>6.8091417784669319E-3</v>
      </c>
      <c r="H37" s="6">
        <f>N22-(N7+N17)</f>
        <v>46.692338185588596</v>
      </c>
      <c r="I37" s="6">
        <f>H37/D37</f>
        <v>31.681390155314627</v>
      </c>
      <c r="J37" s="1">
        <f>2*(A37*$Z$13/$Z$11)*EXP(-I37)</f>
        <v>3.3820748074330353</v>
      </c>
      <c r="K37" s="11">
        <f>(J37*$Z$12)/($Z$13*A37)</f>
        <v>2.188552554933847E-13</v>
      </c>
      <c r="L37" s="1">
        <f>LN(E37)</f>
        <v>1.6193882432872684</v>
      </c>
      <c r="M37" s="1">
        <f>LN(J37)</f>
        <v>1.218489369520062</v>
      </c>
      <c r="N37" s="11">
        <f>J37/A37</f>
        <v>4.5602033404342152E-3</v>
      </c>
    </row>
    <row r="40" spans="1:16" x14ac:dyDescent="0.25">
      <c r="E40" t="s">
        <v>634</v>
      </c>
      <c r="F40" t="s">
        <v>612</v>
      </c>
      <c r="G40" t="s">
        <v>612</v>
      </c>
      <c r="H40" t="s">
        <v>212</v>
      </c>
      <c r="I40" t="s">
        <v>212</v>
      </c>
      <c r="J40" t="s">
        <v>212</v>
      </c>
      <c r="K40" t="s">
        <v>212</v>
      </c>
      <c r="N40" t="s">
        <v>224</v>
      </c>
    </row>
    <row r="41" spans="1:16" x14ac:dyDescent="0.25">
      <c r="A41" t="s">
        <v>611</v>
      </c>
      <c r="B41" t="s">
        <v>615</v>
      </c>
      <c r="C41" t="s">
        <v>633</v>
      </c>
      <c r="D41" t="s">
        <v>618</v>
      </c>
      <c r="E41" t="s">
        <v>613</v>
      </c>
      <c r="F41" t="s">
        <v>635</v>
      </c>
      <c r="G41" t="s">
        <v>625</v>
      </c>
      <c r="H41" t="s">
        <v>616</v>
      </c>
      <c r="I41" t="s">
        <v>617</v>
      </c>
      <c r="J41" t="s">
        <v>613</v>
      </c>
      <c r="K41" t="s">
        <v>635</v>
      </c>
      <c r="L41" t="s">
        <v>614</v>
      </c>
      <c r="M41" t="s">
        <v>619</v>
      </c>
      <c r="N41" t="s">
        <v>625</v>
      </c>
    </row>
    <row r="42" spans="1:16" x14ac:dyDescent="0.25">
      <c r="A42" s="1">
        <v>704.65</v>
      </c>
      <c r="B42" s="2">
        <f>1/A42</f>
        <v>1.4191442560136239E-3</v>
      </c>
      <c r="C42">
        <f>1/(A42*A42)</f>
        <v>2.0139704193764622E-6</v>
      </c>
      <c r="D42" s="6">
        <f>A42*$Z$15/(1000*$Z$5)</f>
        <v>1.400283101289916</v>
      </c>
      <c r="E42" s="1">
        <v>1.1100000000000001</v>
      </c>
      <c r="F42" s="11">
        <f>(E42*$Z$12)/($Z$13*A42)</f>
        <v>7.5600086806547039E-14</v>
      </c>
      <c r="G42" s="11">
        <f>E42/A42</f>
        <v>1.5752501241751225E-3</v>
      </c>
      <c r="H42" s="6">
        <f>M80-(M65+M75)</f>
        <v>42.623197574270307</v>
      </c>
      <c r="I42" s="6">
        <f>H42/D42</f>
        <v>30.438985898641906</v>
      </c>
      <c r="J42" s="1">
        <f>(A42*$Z$13/$Z$11)*EXP(-I42)</f>
        <v>5.5654076666141883</v>
      </c>
      <c r="K42" s="11">
        <f>(J42*$Z$12)/($Z$13*A42)</f>
        <v>3.7904982226113066E-13</v>
      </c>
      <c r="L42" s="1">
        <f>LN(E42)</f>
        <v>0.10436001532424286</v>
      </c>
      <c r="M42" s="1">
        <f>LN(J42)</f>
        <v>1.7165702375007366</v>
      </c>
      <c r="N42" s="11">
        <f>J42/A42</f>
        <v>7.8981163224497112E-3</v>
      </c>
    </row>
    <row r="43" spans="1:16" x14ac:dyDescent="0.25">
      <c r="A43" s="1">
        <v>712.75</v>
      </c>
      <c r="B43" s="2">
        <f>1/A43</f>
        <v>1.4030164854437039E-3</v>
      </c>
      <c r="C43">
        <f>1/(A43*A43)</f>
        <v>1.9684552584268034E-6</v>
      </c>
      <c r="D43" s="6">
        <f>A43*$Z$15/(1000*$Z$5)</f>
        <v>1.4163794514218231</v>
      </c>
      <c r="E43" s="1">
        <v>1.44</v>
      </c>
      <c r="F43" s="11">
        <f>(E43*$Z$12)/($Z$13*A43)</f>
        <v>9.696121251244992E-14</v>
      </c>
      <c r="G43" s="11">
        <f>E43/A43</f>
        <v>2.0203437390389337E-3</v>
      </c>
      <c r="H43" s="6">
        <f>M81-(M66+M76)</f>
        <v>42.601862258656183</v>
      </c>
      <c r="I43" s="6">
        <f>H43/D43</f>
        <v>30.078000789894677</v>
      </c>
      <c r="J43" s="1">
        <f>(A43*$Z$13/$Z$11)*EXP(-I43)</f>
        <v>8.0767119142419208</v>
      </c>
      <c r="K43" s="11">
        <f>(J43*$Z$12)/($Z$13*A43)</f>
        <v>5.4383873633239388E-13</v>
      </c>
      <c r="L43" s="1">
        <f>LN(E43)</f>
        <v>0.36464311358790924</v>
      </c>
      <c r="M43" s="1">
        <f>LN(J43)</f>
        <v>2.0889848484032272</v>
      </c>
      <c r="N43" s="11">
        <f>J43/A43</f>
        <v>1.133175996386099E-2</v>
      </c>
    </row>
    <row r="44" spans="1:16" x14ac:dyDescent="0.25">
      <c r="A44" s="1">
        <v>721.55</v>
      </c>
      <c r="B44" s="2">
        <f>1/A44</f>
        <v>1.3859053426650962E-3</v>
      </c>
      <c r="C44">
        <f>1/(A44*A44)</f>
        <v>1.9207336188276573E-6</v>
      </c>
      <c r="D44" s="6">
        <f>A44*$Z$15/(1000*$Z$5)</f>
        <v>1.433866844157722</v>
      </c>
      <c r="E44" s="1">
        <v>1.91</v>
      </c>
      <c r="F44" s="11">
        <f>(E44*$Z$12)/($Z$13*A44)</f>
        <v>1.270397726507509E-13</v>
      </c>
      <c r="G44" s="11">
        <f>E44/A44</f>
        <v>2.6470792044903332E-3</v>
      </c>
      <c r="H44" s="6">
        <f>M82-(M67+M77)</f>
        <v>42.578016905928962</v>
      </c>
      <c r="I44" s="6">
        <f>H44/D44</f>
        <v>29.694540381774445</v>
      </c>
      <c r="J44" s="1">
        <f>(A44*$Z$13/$Z$11)*EXP(-I44)</f>
        <v>11.997714875499549</v>
      </c>
      <c r="K44" s="11">
        <f>(J44*$Z$12)/($Z$13*A44)</f>
        <v>7.980036492732957E-13</v>
      </c>
      <c r="L44" s="1">
        <f>LN(E44)</f>
        <v>0.64710324205853842</v>
      </c>
      <c r="M44" s="1">
        <f>LN(J44)</f>
        <v>2.4847162046127647</v>
      </c>
      <c r="N44" s="11">
        <f>J44/A44</f>
        <v>1.6627697145727323E-2</v>
      </c>
    </row>
    <row r="45" spans="1:16" x14ac:dyDescent="0.25">
      <c r="A45" s="1">
        <v>731.55</v>
      </c>
      <c r="B45" s="2">
        <f>1/A45</f>
        <v>1.366960563187752E-3</v>
      </c>
      <c r="C45">
        <f>1/(A45*A45)</f>
        <v>1.8685811813105763E-6</v>
      </c>
      <c r="D45" s="6">
        <f>A45*$Z$15/(1000*$Z$5)</f>
        <v>1.4537388813576073</v>
      </c>
      <c r="E45" s="1">
        <v>3.04</v>
      </c>
      <c r="F45" s="11">
        <f>(E45*$Z$12)/($Z$13*A45)</f>
        <v>1.9943544227199862E-13</v>
      </c>
      <c r="G45" s="11">
        <f>E45/A45</f>
        <v>4.1555601120907663E-3</v>
      </c>
      <c r="H45" s="6">
        <f>M83-(M68+M78)</f>
        <v>42.550406497495715</v>
      </c>
      <c r="I45" s="6">
        <f>H45/D45</f>
        <v>29.269635037730463</v>
      </c>
      <c r="J45" s="1">
        <f>(A45*$Z$13/$Z$11)*EXP(-I45)</f>
        <v>18.604164315662416</v>
      </c>
      <c r="K45" s="11">
        <f>(J45*$Z$12)/($Z$13*A45)</f>
        <v>1.2205032034194303E-12</v>
      </c>
      <c r="L45" s="1">
        <f>LN(E45)</f>
        <v>1.1118575154181303</v>
      </c>
      <c r="M45" s="1">
        <f>LN(J45)</f>
        <v>2.9233854435988307</v>
      </c>
      <c r="N45" s="11">
        <f>J45/A45</f>
        <v>2.5431158930575376E-2</v>
      </c>
    </row>
    <row r="46" spans="1:16" x14ac:dyDescent="0.25">
      <c r="A46" s="1">
        <v>741.65</v>
      </c>
      <c r="B46" s="2">
        <f>1/A46</f>
        <v>1.3483449066271152E-3</v>
      </c>
      <c r="C46">
        <f>1/(A46*A46)</f>
        <v>1.8180339872272843E-6</v>
      </c>
      <c r="D46" s="6">
        <f>A46*$Z$15/(1000*$Z$5)</f>
        <v>1.4738096389294915</v>
      </c>
      <c r="E46" s="1">
        <v>5.05</v>
      </c>
      <c r="F46" s="11">
        <f>(E46*$Z$12)/($Z$13*A46)</f>
        <v>3.2678728389229337E-13</v>
      </c>
      <c r="G46" s="11">
        <f>E46/A46</f>
        <v>6.8091417784669319E-3</v>
      </c>
      <c r="H46" s="6">
        <f>M84-(M69+M79)</f>
        <v>42.523423598380759</v>
      </c>
      <c r="I46" s="6">
        <f>H46/D46</f>
        <v>28.852724582034792</v>
      </c>
      <c r="J46" s="1">
        <f>(A46*$Z$13/$Z$11)*EXP(-I46)</f>
        <v>28.617195037217435</v>
      </c>
      <c r="K46" s="11">
        <f>(J46*$Z$12)/($Z$13*A46)</f>
        <v>1.8518287997679806E-12</v>
      </c>
      <c r="L46" s="1">
        <f>LN(E46)</f>
        <v>1.6193882432872684</v>
      </c>
      <c r="M46" s="1">
        <f>LN(J46)</f>
        <v>3.3540077622399518</v>
      </c>
      <c r="N46" s="11">
        <f>J46/A46</f>
        <v>3.8585849170386891E-2</v>
      </c>
    </row>
    <row r="47" spans="1:16" x14ac:dyDescent="0.25">
      <c r="P47" s="6">
        <f>23131*Z15/(1000*Z5)</f>
        <v>45.966009247054636</v>
      </c>
    </row>
    <row r="48" spans="1:16" x14ac:dyDescent="0.25">
      <c r="E48" t="s">
        <v>634</v>
      </c>
      <c r="F48" t="s">
        <v>612</v>
      </c>
      <c r="G48" t="s">
        <v>612</v>
      </c>
      <c r="H48" t="s">
        <v>212</v>
      </c>
      <c r="I48" t="s">
        <v>212</v>
      </c>
      <c r="J48" t="s">
        <v>212</v>
      </c>
      <c r="K48" t="s">
        <v>212</v>
      </c>
      <c r="N48" t="s">
        <v>224</v>
      </c>
      <c r="P48" s="6">
        <f>21345*Z15/(1000*Z5)</f>
        <v>42.416863403155126</v>
      </c>
    </row>
    <row r="49" spans="1:16" x14ac:dyDescent="0.25">
      <c r="A49" t="s">
        <v>611</v>
      </c>
      <c r="B49" t="s">
        <v>615</v>
      </c>
      <c r="C49" t="s">
        <v>633</v>
      </c>
      <c r="D49" t="s">
        <v>618</v>
      </c>
      <c r="E49" t="s">
        <v>613</v>
      </c>
      <c r="F49" t="s">
        <v>635</v>
      </c>
      <c r="G49" t="s">
        <v>625</v>
      </c>
      <c r="H49" t="s">
        <v>616</v>
      </c>
      <c r="I49" t="s">
        <v>617</v>
      </c>
      <c r="J49" t="s">
        <v>613</v>
      </c>
      <c r="K49" t="s">
        <v>635</v>
      </c>
      <c r="L49" t="s">
        <v>614</v>
      </c>
      <c r="M49" t="s">
        <v>619</v>
      </c>
      <c r="N49" t="s">
        <v>625</v>
      </c>
      <c r="P49" s="6">
        <f>25180*Z15/(1000*Z5)</f>
        <v>50.037789669311124</v>
      </c>
    </row>
    <row r="50" spans="1:16" x14ac:dyDescent="0.25">
      <c r="A50" s="1">
        <v>704.65</v>
      </c>
      <c r="B50" s="2">
        <f>1/A50</f>
        <v>1.4191442560136239E-3</v>
      </c>
      <c r="C50">
        <f>1/(A50*A50)</f>
        <v>2.0139704193764622E-6</v>
      </c>
      <c r="D50" s="6">
        <f>A50*$Z$15/(1000*$Z$5)</f>
        <v>1.400283101289916</v>
      </c>
      <c r="E50" s="1">
        <v>1.1100000000000001</v>
      </c>
      <c r="F50" s="11">
        <f>(E50*$Z$12)/($Z$13*A50)</f>
        <v>7.5600086806547039E-14</v>
      </c>
      <c r="G50" s="11">
        <f>E50/A50</f>
        <v>1.5752501241751225E-3</v>
      </c>
      <c r="H50" s="6">
        <f>Sheet8!T36</f>
        <v>38.254434219852556</v>
      </c>
      <c r="I50" s="6">
        <f>H50/D50</f>
        <v>27.319071539614562</v>
      </c>
      <c r="J50" s="1">
        <f>2*(A50*$Z$13/$Z$11)*EXP(-I50)</f>
        <v>252.05108295011976</v>
      </c>
      <c r="K50" s="11">
        <f>(J50*$Z$12)/($Z$13*A50)</f>
        <v>1.7166742117759678E-11</v>
      </c>
      <c r="L50" s="1">
        <f>LN(E50)</f>
        <v>0.10436001532424286</v>
      </c>
      <c r="M50" s="1">
        <f>LN(J50)</f>
        <v>5.5296317770880261</v>
      </c>
      <c r="N50" s="11">
        <f>J50/A50</f>
        <v>0.35769684659067591</v>
      </c>
    </row>
    <row r="51" spans="1:16" x14ac:dyDescent="0.25">
      <c r="A51" s="1">
        <v>712.75</v>
      </c>
      <c r="B51" s="2">
        <f>1/A51</f>
        <v>1.4030164854437039E-3</v>
      </c>
      <c r="C51">
        <f>1/(A51*A51)</f>
        <v>1.9684552584268034E-6</v>
      </c>
      <c r="D51" s="6">
        <f>A51*$Z$15/(1000*$Z$5)</f>
        <v>1.4163794514218231</v>
      </c>
      <c r="E51" s="1">
        <v>1.44</v>
      </c>
      <c r="F51" s="11">
        <f>(E51*$Z$12)/($Z$13*A51)</f>
        <v>9.696121251244992E-14</v>
      </c>
      <c r="G51" s="11">
        <f>E51/A51</f>
        <v>2.0203437390389337E-3</v>
      </c>
      <c r="H51" s="6">
        <f>Sheet8!T37</f>
        <v>38.203605967995827</v>
      </c>
      <c r="I51" s="6">
        <f>H51/D51</f>
        <v>26.972719725385307</v>
      </c>
      <c r="J51" s="1">
        <f>2*(A51*$Z$13/$Z$11)*EXP(-I51)</f>
        <v>360.47157091850738</v>
      </c>
      <c r="K51" s="11">
        <f>(J51*$Z$12)/($Z$13*A51)</f>
        <v>2.4272055967031985E-11</v>
      </c>
      <c r="L51" s="1">
        <f>LN(E51)</f>
        <v>0.36464311358790924</v>
      </c>
      <c r="M51" s="1">
        <f>LN(J51)</f>
        <v>5.8874130934725422</v>
      </c>
      <c r="N51" s="11">
        <f>J51/A51</f>
        <v>0.50574755653245507</v>
      </c>
      <c r="P51" s="13">
        <f>(-Z15/(Z5))/ 0.04328</f>
        <v>-45.915058225243243</v>
      </c>
    </row>
    <row r="52" spans="1:16" x14ac:dyDescent="0.25">
      <c r="A52" s="1">
        <v>721.55</v>
      </c>
      <c r="B52" s="2">
        <f>1/A52</f>
        <v>1.3859053426650962E-3</v>
      </c>
      <c r="C52">
        <f>1/(A52*A52)</f>
        <v>1.9207336188276573E-6</v>
      </c>
      <c r="D52" s="6">
        <f>A52*$Z$15/(1000*$Z$5)</f>
        <v>1.433866844157722</v>
      </c>
      <c r="E52" s="1">
        <v>1.91</v>
      </c>
      <c r="F52" s="11">
        <f>(E52*$Z$12)/($Z$13*A52)</f>
        <v>1.270397726507509E-13</v>
      </c>
      <c r="G52" s="11">
        <f>E52/A52</f>
        <v>2.6470792044903332E-3</v>
      </c>
      <c r="H52" s="6">
        <f>Sheet8!T38</f>
        <v>38.14713013258006</v>
      </c>
      <c r="I52" s="6">
        <f>H52/D52</f>
        <v>26.604374240195462</v>
      </c>
      <c r="J52" s="1">
        <f>2*(A52*$Z$13/$Z$11)*EXP(-I52)</f>
        <v>527.4370526453755</v>
      </c>
      <c r="K52" s="11">
        <f>(J52*$Z$12)/($Z$13*A52)</f>
        <v>3.5081404845890384E-11</v>
      </c>
      <c r="L52" s="1">
        <f>LN(E52)</f>
        <v>0.64710324205853842</v>
      </c>
      <c r="M52" s="1">
        <f>LN(J52)</f>
        <v>6.2680295267516932</v>
      </c>
      <c r="N52" s="11">
        <f>J52/A52</f>
        <v>0.73097782918075749</v>
      </c>
    </row>
    <row r="53" spans="1:16" x14ac:dyDescent="0.25">
      <c r="A53" s="1">
        <v>731.55</v>
      </c>
      <c r="B53" s="2">
        <f>1/A53</f>
        <v>1.366960563187752E-3</v>
      </c>
      <c r="C53">
        <f>1/(A53*A53)</f>
        <v>1.8685811813105763E-6</v>
      </c>
      <c r="D53" s="6">
        <f>A53*$Z$15/(1000*$Z$5)</f>
        <v>1.4537388813576073</v>
      </c>
      <c r="E53" s="1">
        <v>3.04</v>
      </c>
      <c r="F53" s="11">
        <f>(E53*$Z$12)/($Z$13*A53)</f>
        <v>1.9943544227199862E-13</v>
      </c>
      <c r="G53" s="11">
        <f>E53/A53</f>
        <v>4.1555601120907663E-3</v>
      </c>
      <c r="H53" s="6">
        <f>Sheet8!T39</f>
        <v>38.081869167217519</v>
      </c>
      <c r="I53" s="6">
        <f>H53/D53</f>
        <v>26.195811129199416</v>
      </c>
      <c r="J53" s="1">
        <f>2*(A53*$Z$13/$Z$11)*EXP(-I53)</f>
        <v>804.60907044703538</v>
      </c>
      <c r="K53" s="11">
        <f>(J53*$Z$12)/($Z$13*A53)</f>
        <v>5.2785383493640196E-11</v>
      </c>
      <c r="L53" s="1">
        <f>LN(E53)</f>
        <v>1.1118575154181303</v>
      </c>
      <c r="M53" s="1">
        <f>LN(J53)</f>
        <v>6.6903565326898233</v>
      </c>
      <c r="N53" s="11">
        <f>J53/A53</f>
        <v>1.0998688680842532</v>
      </c>
    </row>
    <row r="54" spans="1:16" x14ac:dyDescent="0.25">
      <c r="A54" s="1">
        <v>741.65</v>
      </c>
      <c r="B54" s="2">
        <f>1/A54</f>
        <v>1.3483449066271152E-3</v>
      </c>
      <c r="C54">
        <f>1/(A54*A54)</f>
        <v>1.8180339872272843E-6</v>
      </c>
      <c r="D54" s="6">
        <f>A54*$Z$15/(1000*$Z$5)</f>
        <v>1.4738096389294915</v>
      </c>
      <c r="E54" s="1">
        <v>5.05</v>
      </c>
      <c r="F54" s="11">
        <f>(E54*$Z$12)/($Z$13*A54)</f>
        <v>3.2678728389229337E-13</v>
      </c>
      <c r="G54" s="11">
        <f>E54/A54</f>
        <v>6.8091417784669319E-3</v>
      </c>
      <c r="H54" s="6">
        <f>Sheet8!T40</f>
        <v>38.018490729722544</v>
      </c>
      <c r="I54" s="6">
        <f>H54/D54</f>
        <v>25.796066008455103</v>
      </c>
      <c r="J54" s="1">
        <f>2*(A54*$Z$13/$Z$11)*EXP(-I54)</f>
        <v>1216.5977547582331</v>
      </c>
      <c r="K54" s="11">
        <f>(J54*$Z$12)/($Z$13*A54)</f>
        <v>7.8726470468694145E-11</v>
      </c>
      <c r="L54" s="1">
        <f>LN(E54)</f>
        <v>1.6193882432872684</v>
      </c>
      <c r="M54" s="1">
        <f>LN(J54)</f>
        <v>7.1038135163795868</v>
      </c>
      <c r="N54" s="11">
        <f>J54/A54</f>
        <v>1.6403933860422479</v>
      </c>
    </row>
    <row r="55" spans="1:16" x14ac:dyDescent="0.25">
      <c r="N55" s="6">
        <f>L80-(L65+L75)</f>
        <v>44.517648097476922</v>
      </c>
    </row>
    <row r="57" spans="1:16" x14ac:dyDescent="0.25">
      <c r="H57" t="s">
        <v>636</v>
      </c>
    </row>
    <row r="58" spans="1:16" x14ac:dyDescent="0.25">
      <c r="G58">
        <f>(-154.450945491 -( -151.612969651-2.91354392931 ))+(-0.062708-(-0.029279-0.025913))</f>
        <v>6.8052089309996372E-2</v>
      </c>
      <c r="H58">
        <f>-154.391175-(-151.553383-2.907449)</f>
        <v>6.9657000000006519E-2</v>
      </c>
    </row>
    <row r="59" spans="1:16" x14ac:dyDescent="0.25">
      <c r="G59" s="6">
        <f>G58*($Z$3*$Z$4*10^-3/$Z$5)</f>
        <v>42.703317720954786</v>
      </c>
      <c r="H59" s="11">
        <f>H58*($Z$3*$Z$4*10^-3/$Z$5)</f>
        <v>43.710414076175617</v>
      </c>
    </row>
    <row r="60" spans="1:16" x14ac:dyDescent="0.25">
      <c r="G60">
        <f>G59/D33</f>
        <v>30.496203004676161</v>
      </c>
      <c r="L60" s="11">
        <f>(21140-24700)*Z15/(1000*Z5)</f>
        <v>-7.0744452431591585</v>
      </c>
    </row>
    <row r="64" spans="1:16" ht="75" x14ac:dyDescent="0.25">
      <c r="A64" s="167" t="s">
        <v>637</v>
      </c>
      <c r="B64" s="179" t="s">
        <v>583</v>
      </c>
      <c r="C64" s="179" t="s">
        <v>584</v>
      </c>
      <c r="D64" s="167" t="s">
        <v>585</v>
      </c>
      <c r="E64" s="179" t="s">
        <v>586</v>
      </c>
      <c r="F64" s="179" t="s">
        <v>435</v>
      </c>
      <c r="G64" s="179" t="s">
        <v>641</v>
      </c>
      <c r="H64" s="179" t="s">
        <v>638</v>
      </c>
      <c r="I64" s="179" t="s">
        <v>639</v>
      </c>
      <c r="J64" s="179" t="s">
        <v>640</v>
      </c>
      <c r="K64" s="195" t="s">
        <v>643</v>
      </c>
      <c r="L64" s="195" t="s">
        <v>462</v>
      </c>
      <c r="M64" s="195" t="s">
        <v>594</v>
      </c>
    </row>
    <row r="65" spans="1:15" x14ac:dyDescent="0.25">
      <c r="A65" s="180" t="s">
        <v>595</v>
      </c>
      <c r="B65" s="17">
        <v>-151.61078092700001</v>
      </c>
      <c r="C65" s="17"/>
      <c r="D65" s="17"/>
      <c r="E65" s="33"/>
      <c r="F65" s="17"/>
      <c r="G65" s="17">
        <v>2.5745000000000001E-2</v>
      </c>
      <c r="H65" s="17">
        <v>3.7777999999999999E-2</v>
      </c>
      <c r="I65" s="17">
        <v>-2.9278999999999999E-2</v>
      </c>
      <c r="J65" s="185">
        <f t="shared" ref="J65:J87" si="4">(H65-I65)*($Z$3*$Z$4*10^-3/$Z$5)</f>
        <v>42.078889942228841</v>
      </c>
      <c r="K65" s="190">
        <f>(B65+G65)*($Z$3*$Z$4*10^-3/$Z$5)</f>
        <v>-95121.017099796256</v>
      </c>
      <c r="L65" s="190">
        <f t="shared" ref="L65:L87" si="5">(B65+H65)*($Z$3*$Z$4*10^-3/$Z$5)</f>
        <v>-95113.466280602515</v>
      </c>
      <c r="M65" s="190">
        <f t="shared" ref="M65:M87" si="6">(B65+I65)*($Z$3*$Z$4*10^-3/$Z$5)</f>
        <v>-95155.545170544749</v>
      </c>
    </row>
    <row r="66" spans="1:15" x14ac:dyDescent="0.25">
      <c r="A66" s="180" t="s">
        <v>596</v>
      </c>
      <c r="B66" s="17">
        <v>-151.61078092700001</v>
      </c>
      <c r="C66" s="17"/>
      <c r="D66" s="17"/>
      <c r="E66" s="33"/>
      <c r="F66" s="17"/>
      <c r="G66" s="17">
        <v>2.5745000000000001E-2</v>
      </c>
      <c r="H66" s="17">
        <v>3.7954000000000002E-2</v>
      </c>
      <c r="I66" s="17">
        <v>-3.0051000000000001E-2</v>
      </c>
      <c r="J66" s="185">
        <f t="shared" si="4"/>
        <v>42.673768741835644</v>
      </c>
      <c r="K66" s="190">
        <f t="shared" ref="K66:K87" si="7">(B66+G66)*($Z$3*$Z$4*10^-3/$Z$5)</f>
        <v>-95121.017099796256</v>
      </c>
      <c r="L66" s="190">
        <f t="shared" si="5"/>
        <v>-95113.355838968826</v>
      </c>
      <c r="M66" s="190">
        <f t="shared" si="6"/>
        <v>-95156.029607710661</v>
      </c>
    </row>
    <row r="67" spans="1:15" x14ac:dyDescent="0.25">
      <c r="A67" s="180" t="s">
        <v>597</v>
      </c>
      <c r="B67" s="17">
        <v>-151.61078092700001</v>
      </c>
      <c r="C67" s="17"/>
      <c r="D67" s="17"/>
      <c r="E67" s="33"/>
      <c r="F67" s="17"/>
      <c r="G67" s="17">
        <v>2.5745000000000001E-2</v>
      </c>
      <c r="H67" s="17">
        <v>3.8145999999999999E-2</v>
      </c>
      <c r="I67" s="17">
        <v>-3.0891999999999999E-2</v>
      </c>
      <c r="J67" s="185">
        <f t="shared" si="4"/>
        <v>43.321985830436716</v>
      </c>
      <c r="K67" s="190">
        <f t="shared" si="7"/>
        <v>-95121.017099796256</v>
      </c>
      <c r="L67" s="190">
        <f t="shared" si="5"/>
        <v>-95113.235357186626</v>
      </c>
      <c r="M67" s="190">
        <f t="shared" si="6"/>
        <v>-95156.557343017063</v>
      </c>
    </row>
    <row r="68" spans="1:15" x14ac:dyDescent="0.25">
      <c r="A68" s="180" t="s">
        <v>598</v>
      </c>
      <c r="B68" s="17">
        <v>-151.61078092700001</v>
      </c>
      <c r="C68" s="17"/>
      <c r="D68" s="17"/>
      <c r="E68" s="33"/>
      <c r="F68" s="17"/>
      <c r="G68" s="17">
        <v>2.5745000000000001E-2</v>
      </c>
      <c r="H68" s="17">
        <v>3.8369E-2</v>
      </c>
      <c r="I68" s="17">
        <v>-3.1869000000000001E-2</v>
      </c>
      <c r="J68" s="185">
        <f t="shared" si="4"/>
        <v>44.074996969179487</v>
      </c>
      <c r="K68" s="190">
        <f t="shared" si="7"/>
        <v>-95121.017099796256</v>
      </c>
      <c r="L68" s="190">
        <f t="shared" si="5"/>
        <v>-95113.095422616694</v>
      </c>
      <c r="M68" s="190">
        <f t="shared" si="6"/>
        <v>-95157.170419585862</v>
      </c>
    </row>
    <row r="69" spans="1:15" x14ac:dyDescent="0.25">
      <c r="A69" s="180" t="s">
        <v>599</v>
      </c>
      <c r="B69" s="17">
        <v>-151.61078092700001</v>
      </c>
      <c r="C69" s="17"/>
      <c r="D69" s="17"/>
      <c r="E69" s="33"/>
      <c r="F69" s="17"/>
      <c r="G69" s="17">
        <v>2.5745000000000001E-2</v>
      </c>
      <c r="H69" s="17">
        <v>3.8587000000000003E-2</v>
      </c>
      <c r="I69" s="17">
        <v>-3.2821000000000003E-2</v>
      </c>
      <c r="J69" s="185">
        <f t="shared" si="4"/>
        <v>44.809182829453704</v>
      </c>
      <c r="K69" s="190">
        <f t="shared" si="7"/>
        <v>-95121.017099796256</v>
      </c>
      <c r="L69" s="190">
        <f t="shared" si="5"/>
        <v>-95112.95862559315</v>
      </c>
      <c r="M69" s="190">
        <f t="shared" si="6"/>
        <v>-95157.767808422606</v>
      </c>
      <c r="O69" s="6">
        <f>K80-(K65+K75)</f>
        <v>43.048021358350525</v>
      </c>
    </row>
    <row r="70" spans="1:15" x14ac:dyDescent="0.25">
      <c r="A70" s="180" t="s">
        <v>623</v>
      </c>
      <c r="B70" s="17"/>
      <c r="C70" s="17"/>
      <c r="D70" s="17"/>
      <c r="E70" s="33"/>
      <c r="F70" s="17"/>
      <c r="G70" s="17"/>
      <c r="H70" s="17"/>
      <c r="I70" s="17"/>
      <c r="J70" s="185">
        <f t="shared" si="4"/>
        <v>0</v>
      </c>
      <c r="K70" s="190">
        <f t="shared" si="7"/>
        <v>0</v>
      </c>
      <c r="L70" s="190">
        <f t="shared" si="5"/>
        <v>0</v>
      </c>
      <c r="M70" s="190">
        <f t="shared" si="6"/>
        <v>0</v>
      </c>
    </row>
    <row r="71" spans="1:15" x14ac:dyDescent="0.25">
      <c r="A71" s="180" t="s">
        <v>624</v>
      </c>
      <c r="B71" s="17"/>
      <c r="C71" s="17"/>
      <c r="D71" s="17"/>
      <c r="E71" s="33"/>
      <c r="F71" s="17"/>
      <c r="G71" s="17"/>
      <c r="H71" s="17"/>
      <c r="I71" s="17"/>
      <c r="J71" s="185">
        <f t="shared" si="4"/>
        <v>0</v>
      </c>
      <c r="K71" s="190">
        <f t="shared" si="7"/>
        <v>0</v>
      </c>
      <c r="L71" s="190">
        <f t="shared" si="5"/>
        <v>0</v>
      </c>
      <c r="M71" s="190">
        <f t="shared" si="6"/>
        <v>0</v>
      </c>
      <c r="O71">
        <f>-154.391175-(-151.553383-2.907449)</f>
        <v>6.9657000000006519E-2</v>
      </c>
    </row>
    <row r="72" spans="1:15" x14ac:dyDescent="0.25">
      <c r="A72" s="180" t="s">
        <v>620</v>
      </c>
      <c r="B72" s="17"/>
      <c r="C72" s="17"/>
      <c r="D72" s="17"/>
      <c r="E72" s="33"/>
      <c r="F72" s="17"/>
      <c r="G72" s="17"/>
      <c r="H72" s="17"/>
      <c r="I72" s="17"/>
      <c r="J72" s="185">
        <f t="shared" si="4"/>
        <v>0</v>
      </c>
      <c r="K72" s="190">
        <f t="shared" si="7"/>
        <v>0</v>
      </c>
      <c r="L72" s="190">
        <f t="shared" si="5"/>
        <v>0</v>
      </c>
      <c r="M72" s="190">
        <f t="shared" si="6"/>
        <v>0</v>
      </c>
      <c r="O72" s="6">
        <f>O71*($Z$3*$Z$4*10^-3/$Z$5)</f>
        <v>43.710414076175617</v>
      </c>
    </row>
    <row r="73" spans="1:15" x14ac:dyDescent="0.25">
      <c r="A73" s="180" t="s">
        <v>621</v>
      </c>
      <c r="B73" s="17"/>
      <c r="C73" s="17"/>
      <c r="D73" s="17"/>
      <c r="E73" s="33"/>
      <c r="F73" s="17"/>
      <c r="G73" s="17"/>
      <c r="H73" s="17"/>
      <c r="I73" s="17"/>
      <c r="J73" s="185">
        <f t="shared" si="4"/>
        <v>0</v>
      </c>
      <c r="K73" s="190">
        <f t="shared" si="7"/>
        <v>0</v>
      </c>
      <c r="L73" s="190">
        <f t="shared" si="5"/>
        <v>0</v>
      </c>
      <c r="M73" s="190">
        <f t="shared" si="6"/>
        <v>0</v>
      </c>
    </row>
    <row r="74" spans="1:15" x14ac:dyDescent="0.25">
      <c r="A74" s="180" t="s">
        <v>622</v>
      </c>
      <c r="B74" s="17"/>
      <c r="C74" s="17"/>
      <c r="D74" s="17"/>
      <c r="E74" s="33"/>
      <c r="F74" s="17"/>
      <c r="G74" s="17"/>
      <c r="H74" s="17"/>
      <c r="I74" s="17"/>
      <c r="J74" s="185">
        <f t="shared" si="4"/>
        <v>0</v>
      </c>
      <c r="K74" s="190">
        <f t="shared" si="7"/>
        <v>0</v>
      </c>
      <c r="L74" s="190">
        <f t="shared" si="5"/>
        <v>0</v>
      </c>
      <c r="M74" s="190">
        <f t="shared" si="6"/>
        <v>0</v>
      </c>
    </row>
    <row r="75" spans="1:15" x14ac:dyDescent="0.25">
      <c r="A75" s="180" t="s">
        <v>601</v>
      </c>
      <c r="B75" s="17">
        <v>-2.91302785869</v>
      </c>
      <c r="C75" s="17"/>
      <c r="D75" s="17"/>
      <c r="E75" s="33"/>
      <c r="F75" s="17"/>
      <c r="G75" s="17">
        <v>0</v>
      </c>
      <c r="H75" s="17">
        <v>5.5789999999999998E-3</v>
      </c>
      <c r="I75" s="17">
        <v>-2.5912999999999999E-2</v>
      </c>
      <c r="J75" s="185">
        <f t="shared" si="4"/>
        <v>19.761522317739693</v>
      </c>
      <c r="K75" s="190">
        <f t="shared" si="7"/>
        <v>-1827.9520208846661</v>
      </c>
      <c r="L75" s="190">
        <f t="shared" si="5"/>
        <v>-1824.4511465987944</v>
      </c>
      <c r="M75" s="190">
        <f t="shared" si="6"/>
        <v>-1844.2126689165341</v>
      </c>
    </row>
    <row r="76" spans="1:15" x14ac:dyDescent="0.25">
      <c r="A76" s="180" t="s">
        <v>602</v>
      </c>
      <c r="B76" s="17">
        <v>-2.91302785869</v>
      </c>
      <c r="C76" s="17"/>
      <c r="D76" s="17"/>
      <c r="E76" s="33"/>
      <c r="F76" s="17"/>
      <c r="G76" s="17">
        <v>0</v>
      </c>
      <c r="H76" s="17">
        <v>5.6429999999999996E-3</v>
      </c>
      <c r="I76" s="17">
        <v>-2.6276000000000001E-2</v>
      </c>
      <c r="J76" s="185">
        <f t="shared" si="4"/>
        <v>20.029468781275668</v>
      </c>
      <c r="K76" s="190">
        <f t="shared" si="7"/>
        <v>-1827.9520208846661</v>
      </c>
      <c r="L76" s="190">
        <f t="shared" si="5"/>
        <v>-1824.4109860047281</v>
      </c>
      <c r="M76" s="190">
        <f t="shared" si="6"/>
        <v>-1844.440454786004</v>
      </c>
    </row>
    <row r="77" spans="1:15" x14ac:dyDescent="0.25">
      <c r="A77" s="180" t="s">
        <v>603</v>
      </c>
      <c r="B77" s="17">
        <v>-2.91302785869</v>
      </c>
      <c r="C77" s="17"/>
      <c r="D77" s="17"/>
      <c r="E77" s="33"/>
      <c r="F77" s="17"/>
      <c r="G77" s="17">
        <v>0</v>
      </c>
      <c r="H77" s="17">
        <v>5.7130000000000002E-3</v>
      </c>
      <c r="I77" s="17">
        <v>-2.6669999999999999E-2</v>
      </c>
      <c r="J77" s="185">
        <f t="shared" si="4"/>
        <v>20.320633088256209</v>
      </c>
      <c r="K77" s="190">
        <f t="shared" si="7"/>
        <v>-1827.9520208846661</v>
      </c>
      <c r="L77" s="190">
        <f t="shared" si="5"/>
        <v>-1824.3670603549681</v>
      </c>
      <c r="M77" s="190">
        <f t="shared" si="6"/>
        <v>-1844.6876934432246</v>
      </c>
    </row>
    <row r="78" spans="1:15" x14ac:dyDescent="0.25">
      <c r="A78" s="180" t="s">
        <v>604</v>
      </c>
      <c r="B78" s="17">
        <v>-2.91302785869</v>
      </c>
      <c r="C78" s="17"/>
      <c r="D78" s="17"/>
      <c r="E78" s="33"/>
      <c r="F78" s="17"/>
      <c r="G78" s="17">
        <v>0</v>
      </c>
      <c r="H78" s="17">
        <v>5.7930000000000004E-3</v>
      </c>
      <c r="I78" s="17">
        <v>-2.7129E-2</v>
      </c>
      <c r="J78" s="185">
        <f t="shared" si="4"/>
        <v>20.658860591408171</v>
      </c>
      <c r="K78" s="190">
        <f t="shared" si="7"/>
        <v>-1827.9520208846661</v>
      </c>
      <c r="L78" s="190">
        <f t="shared" si="5"/>
        <v>-1824.3168596123853</v>
      </c>
      <c r="M78" s="190">
        <f t="shared" si="6"/>
        <v>-1844.9757202037933</v>
      </c>
    </row>
    <row r="79" spans="1:15" x14ac:dyDescent="0.25">
      <c r="A79" s="180" t="s">
        <v>605</v>
      </c>
      <c r="B79" s="17">
        <v>-2.91302785869</v>
      </c>
      <c r="C79" s="17"/>
      <c r="D79" s="17"/>
      <c r="E79" s="33"/>
      <c r="F79" s="17"/>
      <c r="G79" s="17">
        <v>0</v>
      </c>
      <c r="H79" s="17">
        <v>5.8719999999999996E-3</v>
      </c>
      <c r="I79" s="17">
        <v>-2.7574999999999999E-2</v>
      </c>
      <c r="J79" s="185">
        <f t="shared" si="4"/>
        <v>20.988302964608138</v>
      </c>
      <c r="K79" s="190">
        <f t="shared" si="7"/>
        <v>-1827.9520208846661</v>
      </c>
      <c r="L79" s="190">
        <f t="shared" si="5"/>
        <v>-1824.2672863790847</v>
      </c>
      <c r="M79" s="190">
        <f t="shared" si="6"/>
        <v>-1845.2555893436929</v>
      </c>
    </row>
    <row r="80" spans="1:15" x14ac:dyDescent="0.25">
      <c r="A80" s="180" t="s">
        <v>606</v>
      </c>
      <c r="B80" s="17">
        <v>-154.44836837599999</v>
      </c>
      <c r="C80" s="17"/>
      <c r="D80" s="17"/>
      <c r="E80" s="33"/>
      <c r="F80" s="17"/>
      <c r="G80" s="17">
        <v>1.8905999999999999E-2</v>
      </c>
      <c r="H80" s="17">
        <v>3.8859999999999999E-2</v>
      </c>
      <c r="I80" s="17">
        <v>-6.2708E-2</v>
      </c>
      <c r="J80" s="185">
        <f t="shared" si="4"/>
        <v>63.734862783188902</v>
      </c>
      <c r="K80" s="190">
        <f t="shared" si="7"/>
        <v>-96905.921099322572</v>
      </c>
      <c r="L80" s="190">
        <f t="shared" si="5"/>
        <v>-96893.399779103827</v>
      </c>
      <c r="M80" s="190">
        <f t="shared" si="6"/>
        <v>-96957.134641887009</v>
      </c>
    </row>
    <row r="81" spans="1:16" x14ac:dyDescent="0.25">
      <c r="A81" s="180" t="s">
        <v>607</v>
      </c>
      <c r="B81" s="17">
        <v>-154.44836837599999</v>
      </c>
      <c r="C81" s="17"/>
      <c r="D81" s="17"/>
      <c r="E81" s="33"/>
      <c r="F81" s="17"/>
      <c r="G81" s="17">
        <v>1.8905999999999999E-2</v>
      </c>
      <c r="H81" s="17">
        <v>3.9115999999999998E-2</v>
      </c>
      <c r="I81" s="17">
        <v>-6.3877000000000003E-2</v>
      </c>
      <c r="J81" s="185">
        <f t="shared" si="4"/>
        <v>64.62906351044596</v>
      </c>
      <c r="K81" s="190">
        <f t="shared" si="7"/>
        <v>-96905.921099322572</v>
      </c>
      <c r="L81" s="190">
        <f t="shared" si="5"/>
        <v>-96893.239136727556</v>
      </c>
      <c r="M81" s="190">
        <f t="shared" si="6"/>
        <v>-96957.868200238008</v>
      </c>
    </row>
    <row r="82" spans="1:16" x14ac:dyDescent="0.25">
      <c r="A82" s="180" t="s">
        <v>608</v>
      </c>
      <c r="B82" s="17">
        <v>-154.44836837599999</v>
      </c>
      <c r="C82" s="17"/>
      <c r="D82" s="17"/>
      <c r="E82" s="33"/>
      <c r="F82" s="17"/>
      <c r="G82" s="17">
        <v>1.8905999999999999E-2</v>
      </c>
      <c r="H82" s="17">
        <v>3.9393999999999998E-2</v>
      </c>
      <c r="I82" s="17">
        <v>-6.515E-2</v>
      </c>
      <c r="J82" s="185">
        <f t="shared" si="4"/>
        <v>65.602330407270998</v>
      </c>
      <c r="K82" s="190">
        <f t="shared" si="7"/>
        <v>-96905.921099322572</v>
      </c>
      <c r="L82" s="190">
        <f t="shared" si="5"/>
        <v>-96893.064689147097</v>
      </c>
      <c r="M82" s="190">
        <f t="shared" si="6"/>
        <v>-96958.667019554356</v>
      </c>
    </row>
    <row r="83" spans="1:16" x14ac:dyDescent="0.25">
      <c r="A83" s="180" t="s">
        <v>609</v>
      </c>
      <c r="B83" s="17">
        <v>-154.44836837599999</v>
      </c>
      <c r="C83" s="17"/>
      <c r="D83" s="17"/>
      <c r="E83" s="33"/>
      <c r="F83" s="17"/>
      <c r="G83" s="17">
        <v>1.8905999999999999E-2</v>
      </c>
      <c r="H83" s="17">
        <v>3.9716000000000001E-2</v>
      </c>
      <c r="I83" s="17">
        <v>-6.6629999999999995E-2</v>
      </c>
      <c r="J83" s="185">
        <f t="shared" si="4"/>
        <v>66.733102133949743</v>
      </c>
      <c r="K83" s="190">
        <f t="shared" si="7"/>
        <v>-96905.921099322572</v>
      </c>
      <c r="L83" s="190">
        <f t="shared" si="5"/>
        <v>-96892.86263115819</v>
      </c>
      <c r="M83" s="190">
        <f t="shared" si="6"/>
        <v>-96959.595733292153</v>
      </c>
    </row>
    <row r="84" spans="1:16" x14ac:dyDescent="0.25">
      <c r="A84" s="180" t="s">
        <v>610</v>
      </c>
      <c r="B84" s="17">
        <v>-154.44836837599999</v>
      </c>
      <c r="C84" s="17"/>
      <c r="D84" s="17"/>
      <c r="E84" s="33"/>
      <c r="F84" s="17"/>
      <c r="G84" s="17">
        <v>1.8905999999999999E-2</v>
      </c>
      <c r="H84" s="17">
        <v>4.0030000000000003E-2</v>
      </c>
      <c r="I84" s="17">
        <v>-6.8071000000000007E-2</v>
      </c>
      <c r="J84" s="185">
        <f t="shared" si="4"/>
        <v>67.834380924361056</v>
      </c>
      <c r="K84" s="190">
        <f t="shared" si="7"/>
        <v>-96905.921099322572</v>
      </c>
      <c r="L84" s="190">
        <f t="shared" si="5"/>
        <v>-96892.665593243553</v>
      </c>
      <c r="M84" s="190">
        <f t="shared" si="6"/>
        <v>-96960.49997416792</v>
      </c>
    </row>
    <row r="85" spans="1:16" x14ac:dyDescent="0.25">
      <c r="A85" s="180" t="s">
        <v>592</v>
      </c>
      <c r="B85" s="17"/>
      <c r="C85" s="17"/>
      <c r="D85" s="17"/>
      <c r="E85" s="33"/>
      <c r="F85" s="17"/>
      <c r="G85" s="17"/>
      <c r="H85" s="17"/>
      <c r="I85" s="17"/>
      <c r="J85" s="185">
        <f t="shared" si="4"/>
        <v>0</v>
      </c>
      <c r="K85" s="190">
        <f t="shared" si="7"/>
        <v>0</v>
      </c>
      <c r="L85" s="190">
        <f t="shared" si="5"/>
        <v>0</v>
      </c>
      <c r="M85" s="190">
        <f t="shared" si="6"/>
        <v>0</v>
      </c>
    </row>
    <row r="86" spans="1:16" x14ac:dyDescent="0.25">
      <c r="A86" s="180" t="s">
        <v>592</v>
      </c>
      <c r="B86" s="17"/>
      <c r="C86" s="17"/>
      <c r="D86" s="17"/>
      <c r="E86" s="33"/>
      <c r="F86" s="17"/>
      <c r="G86" s="17"/>
      <c r="H86" s="17"/>
      <c r="I86" s="17"/>
      <c r="J86" s="185">
        <f t="shared" si="4"/>
        <v>0</v>
      </c>
      <c r="K86" s="190">
        <f t="shared" si="7"/>
        <v>0</v>
      </c>
      <c r="L86" s="190">
        <f t="shared" si="5"/>
        <v>0</v>
      </c>
      <c r="M86" s="190">
        <f t="shared" si="6"/>
        <v>0</v>
      </c>
    </row>
    <row r="87" spans="1:16" x14ac:dyDescent="0.25">
      <c r="A87" s="180" t="s">
        <v>592</v>
      </c>
      <c r="B87" s="17"/>
      <c r="C87" s="17"/>
      <c r="D87" s="17"/>
      <c r="E87" s="33"/>
      <c r="F87" s="17"/>
      <c r="G87" s="17"/>
      <c r="H87" s="17"/>
      <c r="I87" s="17"/>
      <c r="J87" s="185">
        <f t="shared" si="4"/>
        <v>0</v>
      </c>
      <c r="K87" s="190">
        <f t="shared" si="7"/>
        <v>0</v>
      </c>
      <c r="L87" s="190">
        <f t="shared" si="5"/>
        <v>0</v>
      </c>
      <c r="M87" s="190">
        <f t="shared" si="6"/>
        <v>0</v>
      </c>
      <c r="P87" s="6"/>
    </row>
    <row r="90" spans="1:16" ht="75" x14ac:dyDescent="0.25">
      <c r="A90" s="167" t="s">
        <v>637</v>
      </c>
      <c r="B90" s="179" t="s">
        <v>583</v>
      </c>
      <c r="C90" s="179" t="s">
        <v>584</v>
      </c>
      <c r="D90" s="167" t="s">
        <v>585</v>
      </c>
      <c r="E90" s="179" t="s">
        <v>586</v>
      </c>
      <c r="F90" s="179" t="s">
        <v>435</v>
      </c>
      <c r="G90" s="179" t="s">
        <v>641</v>
      </c>
      <c r="H90" s="179" t="s">
        <v>638</v>
      </c>
      <c r="I90" s="179" t="s">
        <v>639</v>
      </c>
      <c r="J90" s="179" t="s">
        <v>640</v>
      </c>
      <c r="K90" s="195" t="s">
        <v>643</v>
      </c>
      <c r="L90" s="195" t="s">
        <v>462</v>
      </c>
      <c r="M90" s="195" t="s">
        <v>594</v>
      </c>
    </row>
    <row r="91" spans="1:16" x14ac:dyDescent="0.25">
      <c r="A91" s="180" t="s">
        <v>595</v>
      </c>
      <c r="B91" s="17">
        <v>-151.61296965099999</v>
      </c>
      <c r="C91" s="17"/>
      <c r="D91" s="17"/>
      <c r="E91" s="33"/>
      <c r="F91" s="17"/>
      <c r="G91" s="17">
        <v>2.5745000000000001E-2</v>
      </c>
      <c r="H91" s="17">
        <v>3.7777999999999999E-2</v>
      </c>
      <c r="I91" s="17">
        <v>-2.9278999999999999E-2</v>
      </c>
      <c r="J91" s="185">
        <f>(H91-I91)*($Z$3*$Z$4*10^-3/$Z$5)</f>
        <v>42.078889942228841</v>
      </c>
      <c r="K91" s="190">
        <f>(B91+G91)*($Z$3*$Z$4*10^-3/$Z$5)</f>
        <v>-95122.390544422611</v>
      </c>
      <c r="L91" s="190">
        <f t="shared" ref="L91:L113" si="8">(B91+H91)*($Z$3*$Z$4*10^-3/$Z$5)</f>
        <v>-95114.839725228856</v>
      </c>
      <c r="M91" s="190">
        <f t="shared" ref="M91:M113" si="9">(B91+I91)*($Z$3*$Z$4*10^-3/$Z$5)</f>
        <v>-95156.918615171089</v>
      </c>
    </row>
    <row r="92" spans="1:16" x14ac:dyDescent="0.25">
      <c r="A92" s="180" t="s">
        <v>596</v>
      </c>
      <c r="B92" s="17">
        <v>-151.61296965099999</v>
      </c>
      <c r="C92" s="17"/>
      <c r="D92" s="17"/>
      <c r="E92" s="33"/>
      <c r="F92" s="17"/>
      <c r="G92" s="17">
        <v>2.5745000000000001E-2</v>
      </c>
      <c r="H92" s="17">
        <v>3.7954000000000002E-2</v>
      </c>
      <c r="I92" s="17">
        <v>-3.0051000000000001E-2</v>
      </c>
      <c r="J92" s="185">
        <f t="shared" ref="J92:J113" si="10">(H92-I92)*($Z$3*$Z$4*10^-3/$Z$5)</f>
        <v>42.673768741835644</v>
      </c>
      <c r="K92" s="190">
        <f t="shared" ref="K92:K113" si="11">(B92+G92)*($Z$3*$Z$4*10^-3/$Z$5)</f>
        <v>-95122.390544422611</v>
      </c>
      <c r="L92" s="190">
        <f t="shared" si="8"/>
        <v>-95114.729283595181</v>
      </c>
      <c r="M92" s="190">
        <f t="shared" si="9"/>
        <v>-95157.403052337017</v>
      </c>
      <c r="O92" s="6">
        <f>K106-(K91+K101)</f>
        <v>43.128141505061649</v>
      </c>
    </row>
    <row r="93" spans="1:16" x14ac:dyDescent="0.25">
      <c r="A93" s="180" t="s">
        <v>597</v>
      </c>
      <c r="B93" s="17">
        <v>-151.61296965099999</v>
      </c>
      <c r="C93" s="17"/>
      <c r="D93" s="17"/>
      <c r="E93" s="33"/>
      <c r="F93" s="17"/>
      <c r="G93" s="17">
        <v>2.5745000000000001E-2</v>
      </c>
      <c r="H93" s="17">
        <v>3.8145999999999999E-2</v>
      </c>
      <c r="I93" s="17">
        <v>-3.0891999999999999E-2</v>
      </c>
      <c r="J93" s="185">
        <f t="shared" si="10"/>
        <v>43.321985830436716</v>
      </c>
      <c r="K93" s="190">
        <f t="shared" si="11"/>
        <v>-95122.390544422611</v>
      </c>
      <c r="L93" s="190">
        <f t="shared" si="8"/>
        <v>-95114.608801812981</v>
      </c>
      <c r="M93" s="190">
        <f t="shared" si="9"/>
        <v>-95157.930787643418</v>
      </c>
    </row>
    <row r="94" spans="1:16" x14ac:dyDescent="0.25">
      <c r="A94" s="180" t="s">
        <v>598</v>
      </c>
      <c r="B94" s="17">
        <v>-151.61296965099999</v>
      </c>
      <c r="C94" s="17"/>
      <c r="D94" s="17"/>
      <c r="E94" s="33"/>
      <c r="F94" s="17"/>
      <c r="G94" s="17">
        <v>2.5745000000000001E-2</v>
      </c>
      <c r="H94" s="17">
        <v>3.8369E-2</v>
      </c>
      <c r="I94" s="17">
        <v>-3.1869000000000001E-2</v>
      </c>
      <c r="J94" s="185">
        <f t="shared" si="10"/>
        <v>44.074996969179487</v>
      </c>
      <c r="K94" s="190">
        <f t="shared" si="11"/>
        <v>-95122.390544422611</v>
      </c>
      <c r="L94" s="190">
        <f t="shared" si="8"/>
        <v>-95114.468867243035</v>
      </c>
      <c r="M94" s="190">
        <f t="shared" si="9"/>
        <v>-95158.543864212217</v>
      </c>
    </row>
    <row r="95" spans="1:16" x14ac:dyDescent="0.25">
      <c r="A95" s="180" t="s">
        <v>599</v>
      </c>
      <c r="B95" s="17">
        <v>-151.61296965099999</v>
      </c>
      <c r="C95" s="17"/>
      <c r="D95" s="17"/>
      <c r="E95" s="33"/>
      <c r="F95" s="17"/>
      <c r="G95" s="17">
        <v>2.5745000000000001E-2</v>
      </c>
      <c r="H95" s="17">
        <v>3.8587000000000003E-2</v>
      </c>
      <c r="I95" s="17">
        <v>-3.2821000000000003E-2</v>
      </c>
      <c r="J95" s="185">
        <f t="shared" si="10"/>
        <v>44.809182829453704</v>
      </c>
      <c r="K95" s="190">
        <f t="shared" si="11"/>
        <v>-95122.390544422611</v>
      </c>
      <c r="L95" s="190">
        <f t="shared" si="8"/>
        <v>-95114.332070219491</v>
      </c>
      <c r="M95" s="190">
        <f t="shared" si="9"/>
        <v>-95159.141253048962</v>
      </c>
    </row>
    <row r="96" spans="1:16" x14ac:dyDescent="0.25">
      <c r="A96" s="180" t="s">
        <v>623</v>
      </c>
      <c r="B96" s="17"/>
      <c r="C96" s="17"/>
      <c r="D96" s="17"/>
      <c r="E96" s="33"/>
      <c r="F96" s="17"/>
      <c r="G96" s="17"/>
      <c r="H96" s="17"/>
      <c r="I96" s="17"/>
      <c r="J96" s="185">
        <f t="shared" si="10"/>
        <v>0</v>
      </c>
      <c r="K96" s="190">
        <f t="shared" si="11"/>
        <v>0</v>
      </c>
      <c r="L96" s="190">
        <f t="shared" si="8"/>
        <v>0</v>
      </c>
      <c r="M96" s="190">
        <f t="shared" si="9"/>
        <v>0</v>
      </c>
    </row>
    <row r="97" spans="1:13" x14ac:dyDescent="0.25">
      <c r="A97" s="180" t="s">
        <v>624</v>
      </c>
      <c r="B97" s="17"/>
      <c r="C97" s="17"/>
      <c r="D97" s="17"/>
      <c r="E97" s="33"/>
      <c r="F97" s="17"/>
      <c r="G97" s="17"/>
      <c r="H97" s="17"/>
      <c r="I97" s="17"/>
      <c r="J97" s="185">
        <f t="shared" si="10"/>
        <v>0</v>
      </c>
      <c r="K97" s="190">
        <f t="shared" si="11"/>
        <v>0</v>
      </c>
      <c r="L97" s="190">
        <f t="shared" si="8"/>
        <v>0</v>
      </c>
      <c r="M97" s="190">
        <f t="shared" si="9"/>
        <v>0</v>
      </c>
    </row>
    <row r="98" spans="1:13" x14ac:dyDescent="0.25">
      <c r="A98" s="180" t="s">
        <v>620</v>
      </c>
      <c r="B98" s="17"/>
      <c r="C98" s="17"/>
      <c r="D98" s="17"/>
      <c r="E98" s="33"/>
      <c r="F98" s="17"/>
      <c r="G98" s="17"/>
      <c r="H98" s="17"/>
      <c r="I98" s="17"/>
      <c r="J98" s="185">
        <f t="shared" si="10"/>
        <v>0</v>
      </c>
      <c r="K98" s="190">
        <f t="shared" si="11"/>
        <v>0</v>
      </c>
      <c r="L98" s="190">
        <f t="shared" si="8"/>
        <v>0</v>
      </c>
      <c r="M98" s="190">
        <f t="shared" si="9"/>
        <v>0</v>
      </c>
    </row>
    <row r="99" spans="1:13" x14ac:dyDescent="0.25">
      <c r="A99" s="180" t="s">
        <v>621</v>
      </c>
      <c r="B99" s="17"/>
      <c r="C99" s="17"/>
      <c r="D99" s="17"/>
      <c r="E99" s="33"/>
      <c r="F99" s="17"/>
      <c r="G99" s="17"/>
      <c r="H99" s="17"/>
      <c r="I99" s="17"/>
      <c r="J99" s="185">
        <f t="shared" si="10"/>
        <v>0</v>
      </c>
      <c r="K99" s="190">
        <f t="shared" si="11"/>
        <v>0</v>
      </c>
      <c r="L99" s="190">
        <f t="shared" si="8"/>
        <v>0</v>
      </c>
      <c r="M99" s="190">
        <f t="shared" si="9"/>
        <v>0</v>
      </c>
    </row>
    <row r="100" spans="1:13" x14ac:dyDescent="0.25">
      <c r="A100" s="180" t="s">
        <v>622</v>
      </c>
      <c r="B100" s="17"/>
      <c r="C100" s="17"/>
      <c r="D100" s="17"/>
      <c r="E100" s="33"/>
      <c r="F100" s="17"/>
      <c r="G100" s="17"/>
      <c r="H100" s="17"/>
      <c r="I100" s="17"/>
      <c r="J100" s="185">
        <f t="shared" si="10"/>
        <v>0</v>
      </c>
      <c r="K100" s="190">
        <f t="shared" si="11"/>
        <v>0</v>
      </c>
      <c r="L100" s="190">
        <f t="shared" si="8"/>
        <v>0</v>
      </c>
      <c r="M100" s="190">
        <f t="shared" si="9"/>
        <v>0</v>
      </c>
    </row>
    <row r="101" spans="1:13" x14ac:dyDescent="0.25">
      <c r="A101" s="180" t="s">
        <v>601</v>
      </c>
      <c r="B101" s="17">
        <v>-2.9135439293099998</v>
      </c>
      <c r="C101" s="17"/>
      <c r="D101" s="17"/>
      <c r="E101" s="33"/>
      <c r="F101" s="17"/>
      <c r="G101" s="17">
        <v>0</v>
      </c>
      <c r="H101" s="17">
        <v>5.5789999999999998E-3</v>
      </c>
      <c r="I101" s="17">
        <v>-2.5912999999999999E-2</v>
      </c>
      <c r="J101" s="185">
        <f t="shared" si="10"/>
        <v>19.761522317739693</v>
      </c>
      <c r="K101" s="190">
        <f t="shared" si="11"/>
        <v>-1828.2758599890308</v>
      </c>
      <c r="L101" s="190">
        <f t="shared" si="8"/>
        <v>-1824.7749857031592</v>
      </c>
      <c r="M101" s="190">
        <f t="shared" si="9"/>
        <v>-1844.536508020899</v>
      </c>
    </row>
    <row r="102" spans="1:13" x14ac:dyDescent="0.25">
      <c r="A102" s="180" t="s">
        <v>602</v>
      </c>
      <c r="B102" s="17">
        <v>-2.9135439293099998</v>
      </c>
      <c r="C102" s="17"/>
      <c r="D102" s="17"/>
      <c r="E102" s="33"/>
      <c r="F102" s="17"/>
      <c r="G102" s="17">
        <v>0</v>
      </c>
      <c r="H102" s="17">
        <v>5.6429999999999996E-3</v>
      </c>
      <c r="I102" s="17">
        <v>-2.6276000000000001E-2</v>
      </c>
      <c r="J102" s="185">
        <f t="shared" si="10"/>
        <v>20.029468781275668</v>
      </c>
      <c r="K102" s="190">
        <f t="shared" si="11"/>
        <v>-1828.2758599890308</v>
      </c>
      <c r="L102" s="190">
        <f t="shared" si="8"/>
        <v>-1824.734825109093</v>
      </c>
      <c r="M102" s="190">
        <f t="shared" si="9"/>
        <v>-1844.7642938903687</v>
      </c>
    </row>
    <row r="103" spans="1:13" x14ac:dyDescent="0.25">
      <c r="A103" s="180" t="s">
        <v>603</v>
      </c>
      <c r="B103" s="17">
        <v>-2.9135439293099998</v>
      </c>
      <c r="C103" s="17"/>
      <c r="D103" s="17"/>
      <c r="E103" s="33"/>
      <c r="F103" s="17"/>
      <c r="G103" s="17">
        <v>0</v>
      </c>
      <c r="H103" s="17">
        <v>5.7130000000000002E-3</v>
      </c>
      <c r="I103" s="17">
        <v>-2.6669999999999999E-2</v>
      </c>
      <c r="J103" s="185">
        <f t="shared" si="10"/>
        <v>20.320633088256209</v>
      </c>
      <c r="K103" s="190">
        <f t="shared" si="11"/>
        <v>-1828.2758599890308</v>
      </c>
      <c r="L103" s="190">
        <f t="shared" si="8"/>
        <v>-1824.690899459333</v>
      </c>
      <c r="M103" s="190">
        <f t="shared" si="9"/>
        <v>-1845.0115325475892</v>
      </c>
    </row>
    <row r="104" spans="1:13" x14ac:dyDescent="0.25">
      <c r="A104" s="180" t="s">
        <v>604</v>
      </c>
      <c r="B104" s="17">
        <v>-2.9135439293099998</v>
      </c>
      <c r="C104" s="17"/>
      <c r="D104" s="17"/>
      <c r="E104" s="33"/>
      <c r="F104" s="17"/>
      <c r="G104" s="17">
        <v>0</v>
      </c>
      <c r="H104" s="17">
        <v>5.7930000000000004E-3</v>
      </c>
      <c r="I104" s="17">
        <v>-2.7129E-2</v>
      </c>
      <c r="J104" s="185">
        <f t="shared" si="10"/>
        <v>20.658860591408171</v>
      </c>
      <c r="K104" s="190">
        <f t="shared" si="11"/>
        <v>-1828.2758599890308</v>
      </c>
      <c r="L104" s="190">
        <f t="shared" si="8"/>
        <v>-1824.64069871675</v>
      </c>
      <c r="M104" s="190">
        <f t="shared" si="9"/>
        <v>-1845.2995593081582</v>
      </c>
    </row>
    <row r="105" spans="1:13" x14ac:dyDescent="0.25">
      <c r="A105" s="180" t="s">
        <v>605</v>
      </c>
      <c r="B105" s="17">
        <v>-2.9135439293099998</v>
      </c>
      <c r="C105" s="17"/>
      <c r="D105" s="17"/>
      <c r="E105" s="33"/>
      <c r="F105" s="17"/>
      <c r="G105" s="17">
        <v>0</v>
      </c>
      <c r="H105" s="17">
        <v>5.8719999999999996E-3</v>
      </c>
      <c r="I105" s="17">
        <v>-2.7574999999999999E-2</v>
      </c>
      <c r="J105" s="185">
        <f t="shared" si="10"/>
        <v>20.988302964608138</v>
      </c>
      <c r="K105" s="190">
        <f t="shared" si="11"/>
        <v>-1828.2758599890308</v>
      </c>
      <c r="L105" s="190">
        <f t="shared" si="8"/>
        <v>-1824.5911254834496</v>
      </c>
      <c r="M105" s="190">
        <f t="shared" si="9"/>
        <v>-1845.5794284480578</v>
      </c>
    </row>
    <row r="106" spans="1:13" x14ac:dyDescent="0.25">
      <c r="A106" s="180" t="s">
        <v>606</v>
      </c>
      <c r="B106" s="17">
        <v>-154.450945491</v>
      </c>
      <c r="C106" s="17"/>
      <c r="D106" s="17"/>
      <c r="E106" s="33"/>
      <c r="F106" s="17"/>
      <c r="G106" s="17">
        <v>1.8905999999999999E-2</v>
      </c>
      <c r="H106" s="17">
        <v>3.8859999999999999E-2</v>
      </c>
      <c r="I106" s="17">
        <v>-6.2708E-2</v>
      </c>
      <c r="J106" s="185">
        <f t="shared" si="10"/>
        <v>63.734862783188902</v>
      </c>
      <c r="K106" s="190">
        <f t="shared" si="11"/>
        <v>-96907.538262906586</v>
      </c>
      <c r="L106" s="190">
        <f t="shared" si="8"/>
        <v>-96895.016942687856</v>
      </c>
      <c r="M106" s="190">
        <f t="shared" si="9"/>
        <v>-96958.751805471038</v>
      </c>
    </row>
    <row r="107" spans="1:13" x14ac:dyDescent="0.25">
      <c r="A107" s="180" t="s">
        <v>607</v>
      </c>
      <c r="B107" s="17">
        <v>-154.450945491</v>
      </c>
      <c r="C107" s="17"/>
      <c r="D107" s="17"/>
      <c r="E107" s="33"/>
      <c r="F107" s="17"/>
      <c r="G107" s="17">
        <v>1.8905999999999999E-2</v>
      </c>
      <c r="H107" s="17">
        <v>3.9115999999999998E-2</v>
      </c>
      <c r="I107" s="17">
        <v>-6.3877000000000003E-2</v>
      </c>
      <c r="J107" s="185">
        <f t="shared" si="10"/>
        <v>64.62906351044596</v>
      </c>
      <c r="K107" s="190">
        <f t="shared" si="11"/>
        <v>-96907.538262906586</v>
      </c>
      <c r="L107" s="190">
        <f t="shared" si="8"/>
        <v>-96894.856300311585</v>
      </c>
      <c r="M107" s="190">
        <f t="shared" si="9"/>
        <v>-96959.485363822023</v>
      </c>
    </row>
    <row r="108" spans="1:13" x14ac:dyDescent="0.25">
      <c r="A108" s="180" t="s">
        <v>608</v>
      </c>
      <c r="B108" s="17">
        <v>-154.450945491</v>
      </c>
      <c r="C108" s="17"/>
      <c r="D108" s="17"/>
      <c r="E108" s="33"/>
      <c r="F108" s="17"/>
      <c r="G108" s="17">
        <v>1.8905999999999999E-2</v>
      </c>
      <c r="H108" s="17">
        <v>3.9393999999999998E-2</v>
      </c>
      <c r="I108" s="17">
        <v>-6.515E-2</v>
      </c>
      <c r="J108" s="185">
        <f t="shared" si="10"/>
        <v>65.602330407270998</v>
      </c>
      <c r="K108" s="190">
        <f t="shared" si="11"/>
        <v>-96907.538262906586</v>
      </c>
      <c r="L108" s="190">
        <f t="shared" si="8"/>
        <v>-96894.681852731126</v>
      </c>
      <c r="M108" s="190">
        <f t="shared" si="9"/>
        <v>-96960.284183138385</v>
      </c>
    </row>
    <row r="109" spans="1:13" x14ac:dyDescent="0.25">
      <c r="A109" s="180" t="s">
        <v>609</v>
      </c>
      <c r="B109" s="17">
        <v>-154.450945491</v>
      </c>
      <c r="C109" s="17"/>
      <c r="D109" s="17"/>
      <c r="E109" s="33"/>
      <c r="F109" s="17"/>
      <c r="G109" s="17">
        <v>1.8905999999999999E-2</v>
      </c>
      <c r="H109" s="17">
        <v>3.9716000000000001E-2</v>
      </c>
      <c r="I109" s="17">
        <v>-6.6629999999999995E-2</v>
      </c>
      <c r="J109" s="185">
        <f t="shared" si="10"/>
        <v>66.733102133949743</v>
      </c>
      <c r="K109" s="190">
        <f t="shared" si="11"/>
        <v>-96907.538262906586</v>
      </c>
      <c r="L109" s="190">
        <f t="shared" si="8"/>
        <v>-96894.479794742219</v>
      </c>
      <c r="M109" s="190">
        <f t="shared" si="9"/>
        <v>-96961.212896876168</v>
      </c>
    </row>
    <row r="110" spans="1:13" x14ac:dyDescent="0.25">
      <c r="A110" s="180" t="s">
        <v>610</v>
      </c>
      <c r="B110" s="17">
        <v>-154.450945491</v>
      </c>
      <c r="C110" s="17"/>
      <c r="D110" s="17"/>
      <c r="E110" s="33"/>
      <c r="F110" s="17"/>
      <c r="G110" s="17">
        <v>1.8905999999999999E-2</v>
      </c>
      <c r="H110" s="17">
        <v>4.0030000000000003E-2</v>
      </c>
      <c r="I110" s="17">
        <v>-6.8071000000000007E-2</v>
      </c>
      <c r="J110" s="185">
        <f t="shared" si="10"/>
        <v>67.834380924361056</v>
      </c>
      <c r="K110" s="190">
        <f t="shared" si="11"/>
        <v>-96907.538262906586</v>
      </c>
      <c r="L110" s="190">
        <f t="shared" si="8"/>
        <v>-96894.282756827582</v>
      </c>
      <c r="M110" s="190">
        <f t="shared" si="9"/>
        <v>-96962.117137751949</v>
      </c>
    </row>
    <row r="111" spans="1:13" x14ac:dyDescent="0.25">
      <c r="A111" s="180" t="s">
        <v>592</v>
      </c>
      <c r="B111" s="17"/>
      <c r="C111" s="17"/>
      <c r="D111" s="17"/>
      <c r="E111" s="33"/>
      <c r="F111" s="17"/>
      <c r="G111" s="17"/>
      <c r="H111" s="17"/>
      <c r="I111" s="17"/>
      <c r="J111" s="185">
        <f t="shared" si="10"/>
        <v>0</v>
      </c>
      <c r="K111" s="190">
        <f t="shared" si="11"/>
        <v>0</v>
      </c>
      <c r="L111" s="190">
        <f t="shared" si="8"/>
        <v>0</v>
      </c>
      <c r="M111" s="190">
        <f t="shared" si="9"/>
        <v>0</v>
      </c>
    </row>
    <row r="112" spans="1:13" x14ac:dyDescent="0.25">
      <c r="A112" s="180" t="s">
        <v>592</v>
      </c>
      <c r="B112" s="17"/>
      <c r="C112" s="17"/>
      <c r="D112" s="17"/>
      <c r="E112" s="33"/>
      <c r="F112" s="17"/>
      <c r="G112" s="17"/>
      <c r="H112" s="17"/>
      <c r="I112" s="17"/>
      <c r="J112" s="185">
        <f t="shared" si="10"/>
        <v>0</v>
      </c>
      <c r="K112" s="190">
        <f t="shared" si="11"/>
        <v>0</v>
      </c>
      <c r="L112" s="190">
        <f t="shared" si="8"/>
        <v>0</v>
      </c>
      <c r="M112" s="190">
        <f t="shared" si="9"/>
        <v>0</v>
      </c>
    </row>
    <row r="113" spans="1:30" x14ac:dyDescent="0.25">
      <c r="A113" s="180" t="s">
        <v>592</v>
      </c>
      <c r="B113" s="17"/>
      <c r="C113" s="17"/>
      <c r="D113" s="17"/>
      <c r="E113" s="33"/>
      <c r="F113" s="17"/>
      <c r="G113" s="17"/>
      <c r="H113" s="17"/>
      <c r="I113" s="17"/>
      <c r="J113" s="185">
        <f t="shared" si="10"/>
        <v>0</v>
      </c>
      <c r="K113" s="190">
        <f t="shared" si="11"/>
        <v>0</v>
      </c>
      <c r="L113" s="190">
        <f t="shared" si="8"/>
        <v>0</v>
      </c>
      <c r="M113" s="190">
        <f t="shared" si="9"/>
        <v>0</v>
      </c>
    </row>
    <row r="116" spans="1:30" ht="75" x14ac:dyDescent="0.25">
      <c r="A116" s="167" t="s">
        <v>642</v>
      </c>
      <c r="B116" s="179" t="s">
        <v>583</v>
      </c>
      <c r="C116" s="179" t="s">
        <v>584</v>
      </c>
      <c r="D116" s="167" t="s">
        <v>585</v>
      </c>
      <c r="E116" s="179" t="s">
        <v>586</v>
      </c>
      <c r="F116" s="179" t="s">
        <v>435</v>
      </c>
      <c r="G116" s="179" t="s">
        <v>641</v>
      </c>
      <c r="H116" s="179" t="s">
        <v>638</v>
      </c>
      <c r="I116" s="179" t="s">
        <v>639</v>
      </c>
      <c r="J116" s="179" t="s">
        <v>640</v>
      </c>
      <c r="K116" s="195" t="s">
        <v>643</v>
      </c>
      <c r="L116" s="195" t="s">
        <v>462</v>
      </c>
      <c r="M116" s="195" t="s">
        <v>594</v>
      </c>
    </row>
    <row r="117" spans="1:30" x14ac:dyDescent="0.25">
      <c r="A117" s="180" t="s">
        <v>595</v>
      </c>
      <c r="B117" s="17">
        <v>-151.52979915</v>
      </c>
      <c r="C117" s="17"/>
      <c r="D117" s="17"/>
      <c r="E117" s="33"/>
      <c r="F117" s="17"/>
      <c r="G117" s="17">
        <v>2.6603999999999999E-2</v>
      </c>
      <c r="H117" s="17">
        <v>3.8383E-2</v>
      </c>
      <c r="I117" s="17">
        <v>-2.7851000000000001E-2</v>
      </c>
      <c r="J117" s="185">
        <f t="shared" ref="J117:J139" si="12">(H117-I117)*($Z$3*$Z$4*10^-3/$Z$5)</f>
        <v>41.56244980290775</v>
      </c>
      <c r="K117" s="190">
        <f>(B117+G117)*($Z$3*$Z$4*10^-3/$Z$5)</f>
        <v>-95069.661252559294</v>
      </c>
      <c r="L117" s="190">
        <f t="shared" ref="L117:L139" si="13">(B117+H117)*($Z$3*$Z$4*10^-3/$Z$5)</f>
        <v>-95062.269820723232</v>
      </c>
      <c r="M117" s="190">
        <f t="shared" ref="M117:M139" si="14">(B117+I117)*($Z$3*$Z$4*10^-3/$Z$5)</f>
        <v>-95103.832270526153</v>
      </c>
    </row>
    <row r="118" spans="1:30" x14ac:dyDescent="0.25">
      <c r="A118" s="180" t="s">
        <v>596</v>
      </c>
      <c r="B118" s="17">
        <v>-151.52979915</v>
      </c>
      <c r="C118" s="17"/>
      <c r="D118" s="17"/>
      <c r="E118" s="33"/>
      <c r="F118" s="17"/>
      <c r="G118" s="17">
        <v>2.6603999999999999E-2</v>
      </c>
      <c r="H118" s="17">
        <v>3.8557000000000001E-2</v>
      </c>
      <c r="I118" s="17">
        <v>-2.8614000000000001E-2</v>
      </c>
      <c r="J118" s="185">
        <f t="shared" si="12"/>
        <v>42.150426000409411</v>
      </c>
      <c r="K118" s="190">
        <f t="shared" ref="K118:K139" si="15">(B118+G118)*($Z$3*$Z$4*10^-3/$Z$5)</f>
        <v>-95069.661252559294</v>
      </c>
      <c r="L118" s="190">
        <f t="shared" si="13"/>
        <v>-95062.160634108135</v>
      </c>
      <c r="M118" s="190">
        <f t="shared" si="14"/>
        <v>-95104.311060108535</v>
      </c>
      <c r="U118" t="s">
        <v>634</v>
      </c>
      <c r="V118" t="s">
        <v>612</v>
      </c>
      <c r="W118" t="s">
        <v>612</v>
      </c>
      <c r="X118" t="s">
        <v>169</v>
      </c>
      <c r="Y118" t="s">
        <v>169</v>
      </c>
      <c r="Z118" t="s">
        <v>169</v>
      </c>
      <c r="AA118" t="s">
        <v>169</v>
      </c>
      <c r="AD118" t="s">
        <v>224</v>
      </c>
    </row>
    <row r="119" spans="1:30" x14ac:dyDescent="0.25">
      <c r="A119" s="180" t="s">
        <v>597</v>
      </c>
      <c r="B119" s="17">
        <v>-151.52979915</v>
      </c>
      <c r="C119" s="17"/>
      <c r="D119" s="17"/>
      <c r="E119" s="33"/>
      <c r="F119" s="17"/>
      <c r="G119" s="17">
        <v>2.6603999999999999E-2</v>
      </c>
      <c r="H119" s="17">
        <v>3.8746000000000003E-2</v>
      </c>
      <c r="I119" s="17">
        <v>-2.9444000000000001E-2</v>
      </c>
      <c r="J119" s="185">
        <f t="shared" si="12"/>
        <v>42.78985795905848</v>
      </c>
      <c r="K119" s="190">
        <f t="shared" si="15"/>
        <v>-95069.661252559294</v>
      </c>
      <c r="L119" s="190">
        <f t="shared" si="13"/>
        <v>-95062.042034853774</v>
      </c>
      <c r="M119" s="190">
        <f t="shared" si="14"/>
        <v>-95104.831892812843</v>
      </c>
      <c r="Q119" t="s">
        <v>611</v>
      </c>
      <c r="R119" t="s">
        <v>615</v>
      </c>
      <c r="S119" t="s">
        <v>633</v>
      </c>
      <c r="T119" t="s">
        <v>618</v>
      </c>
      <c r="U119" t="s">
        <v>613</v>
      </c>
      <c r="V119" t="s">
        <v>635</v>
      </c>
      <c r="W119" t="s">
        <v>625</v>
      </c>
      <c r="X119" t="s">
        <v>616</v>
      </c>
      <c r="Y119" t="s">
        <v>617</v>
      </c>
      <c r="Z119" t="s">
        <v>613</v>
      </c>
      <c r="AA119" t="s">
        <v>635</v>
      </c>
      <c r="AB119" t="s">
        <v>614</v>
      </c>
      <c r="AC119" t="s">
        <v>619</v>
      </c>
      <c r="AD119" t="s">
        <v>625</v>
      </c>
    </row>
    <row r="120" spans="1:30" x14ac:dyDescent="0.25">
      <c r="A120" s="180" t="s">
        <v>598</v>
      </c>
      <c r="B120" s="17">
        <v>-151.52979915</v>
      </c>
      <c r="C120" s="17"/>
      <c r="D120" s="17"/>
      <c r="E120" s="33"/>
      <c r="F120" s="17"/>
      <c r="G120" s="17">
        <v>2.6603999999999999E-2</v>
      </c>
      <c r="H120" s="17">
        <v>3.8967000000000002E-2</v>
      </c>
      <c r="I120" s="17">
        <v>-3.041E-2</v>
      </c>
      <c r="J120" s="185">
        <f t="shared" si="12"/>
        <v>43.534711477131545</v>
      </c>
      <c r="K120" s="190">
        <f t="shared" si="15"/>
        <v>-95069.661252559294</v>
      </c>
      <c r="L120" s="190">
        <f t="shared" si="13"/>
        <v>-95061.903355302376</v>
      </c>
      <c r="M120" s="190">
        <f t="shared" si="14"/>
        <v>-95105.438066779519</v>
      </c>
      <c r="Q120" s="1">
        <v>704.65</v>
      </c>
      <c r="R120" s="2">
        <f>1/Q120</f>
        <v>1.4191442560136239E-3</v>
      </c>
      <c r="S120">
        <f>1/(Q120*Q120)</f>
        <v>2.0139704193764622E-6</v>
      </c>
      <c r="T120" s="6">
        <f>Q120*$Z$15/(1000*$Z$5)</f>
        <v>1.400283101289916</v>
      </c>
      <c r="U120" s="1">
        <v>1.1100000000000001</v>
      </c>
      <c r="V120" s="11">
        <f>(U120*$Z$12)/($Z$13*Q120)</f>
        <v>7.5600086806547039E-14</v>
      </c>
      <c r="W120" s="11">
        <f>U120/Q120</f>
        <v>1.5752501241751225E-3</v>
      </c>
      <c r="X120" s="6">
        <f>M132-(M117+M127)</f>
        <v>41.770187673231703</v>
      </c>
      <c r="Y120" s="6">
        <f>X120/T120</f>
        <v>29.8298162955432</v>
      </c>
      <c r="Z120" s="11">
        <f>2*(Q120*$Z$13/$Z$11)*EXP(-Y120)</f>
        <v>20.468497996930363</v>
      </c>
      <c r="AA120" s="11">
        <f>(Z120*$Z$12)/($Z$13*Q120)</f>
        <v>1.3940722751059185E-12</v>
      </c>
      <c r="AB120" s="1">
        <f>LN(U120)</f>
        <v>0.10436001532424286</v>
      </c>
      <c r="AC120" s="1">
        <f>LN(Z120)</f>
        <v>3.0188870211593883</v>
      </c>
      <c r="AD120" s="11">
        <f>Z120/Q120</f>
        <v>2.904775136157009E-2</v>
      </c>
    </row>
    <row r="121" spans="1:30" x14ac:dyDescent="0.25">
      <c r="A121" s="180" t="s">
        <v>599</v>
      </c>
      <c r="B121" s="17">
        <v>-151.52979915</v>
      </c>
      <c r="C121" s="17"/>
      <c r="D121" s="17"/>
      <c r="E121" s="33"/>
      <c r="F121" s="17"/>
      <c r="G121" s="17"/>
      <c r="H121" s="17"/>
      <c r="I121" s="17"/>
      <c r="J121" s="185">
        <f t="shared" si="12"/>
        <v>0</v>
      </c>
      <c r="K121" s="190">
        <f t="shared" si="15"/>
        <v>-95086.355509505214</v>
      </c>
      <c r="L121" s="190">
        <f t="shared" si="13"/>
        <v>-95086.355509505214</v>
      </c>
      <c r="M121" s="190">
        <f t="shared" si="14"/>
        <v>-95086.355509505214</v>
      </c>
      <c r="Q121" s="1">
        <v>712.75</v>
      </c>
      <c r="R121" s="2">
        <f>1/Q121</f>
        <v>1.4030164854437039E-3</v>
      </c>
      <c r="S121">
        <f>1/(Q121*Q121)</f>
        <v>1.9684552584268034E-6</v>
      </c>
      <c r="T121" s="6">
        <f>Q121*$Z$15/(1000*$Z$5)</f>
        <v>1.4163794514218231</v>
      </c>
      <c r="U121" s="1">
        <v>1.44</v>
      </c>
      <c r="V121" s="11">
        <f>(U121*$Z$12)/($Z$13*Q121)</f>
        <v>9.696121251244992E-14</v>
      </c>
      <c r="W121" s="11">
        <f>U121/Q121</f>
        <v>2.0203437390389337E-3</v>
      </c>
      <c r="X121" s="6">
        <f>M133-(M118+M128)</f>
        <v>41.774580238212366</v>
      </c>
      <c r="Y121" s="6">
        <f>X121/T121</f>
        <v>29.493918593832486</v>
      </c>
      <c r="Z121" s="11">
        <f>2*(Q121*$Z$13/$Z$11)*EXP(-Y121)</f>
        <v>28.968650413118382</v>
      </c>
      <c r="AA121" s="11">
        <f>(Z121*$Z$12)/($Z$13*Q121)</f>
        <v>1.9505801867397516E-12</v>
      </c>
      <c r="AB121" s="1">
        <f>LN(U121)</f>
        <v>0.36464311358790924</v>
      </c>
      <c r="AC121" s="1">
        <f>LN(Z121)</f>
        <v>3.3662142250253635</v>
      </c>
      <c r="AD121" s="11">
        <f>Z121/Q121</f>
        <v>4.0643494090660655E-2</v>
      </c>
    </row>
    <row r="122" spans="1:30" x14ac:dyDescent="0.25">
      <c r="A122" s="180" t="s">
        <v>623</v>
      </c>
      <c r="B122" s="17"/>
      <c r="C122" s="17"/>
      <c r="D122" s="17"/>
      <c r="E122" s="33"/>
      <c r="F122" s="17"/>
      <c r="G122" s="17"/>
      <c r="H122" s="17"/>
      <c r="I122" s="17"/>
      <c r="J122" s="185">
        <f t="shared" si="12"/>
        <v>0</v>
      </c>
      <c r="K122" s="190">
        <f t="shared" si="15"/>
        <v>0</v>
      </c>
      <c r="L122" s="190">
        <f t="shared" si="13"/>
        <v>0</v>
      </c>
      <c r="M122" s="190">
        <f t="shared" si="14"/>
        <v>0</v>
      </c>
      <c r="Q122" s="1">
        <v>721.55</v>
      </c>
      <c r="R122" s="2">
        <f>1/Q122</f>
        <v>1.3859053426650962E-3</v>
      </c>
      <c r="S122">
        <f>1/(Q122*Q122)</f>
        <v>1.9207336188276573E-6</v>
      </c>
      <c r="T122" s="6">
        <f>Q122*$Z$15/(1000*$Z$5)</f>
        <v>1.433866844157722</v>
      </c>
      <c r="U122" s="1">
        <v>1.91</v>
      </c>
      <c r="V122" s="11">
        <f>(U122*$Z$12)/($Z$13*Q122)</f>
        <v>1.270397726507509E-13</v>
      </c>
      <c r="W122" s="11">
        <f>U122/Q122</f>
        <v>2.6470792044903332E-3</v>
      </c>
      <c r="X122" s="6">
        <f>M134-(M119+M129)</f>
        <v>41.778345293918392</v>
      </c>
      <c r="Y122" s="6">
        <f>X122/T122</f>
        <v>29.136837541187241</v>
      </c>
      <c r="Z122" s="11">
        <f>2*(Q122*$Z$13/$Z$11)*EXP(-Y122)</f>
        <v>41.911750358369737</v>
      </c>
      <c r="AA122" s="11">
        <f>(Z122*$Z$12)/($Z$13*Q122)</f>
        <v>2.7876749931530464E-12</v>
      </c>
      <c r="AB122" s="1">
        <f>LN(U122)</f>
        <v>0.64710324205853842</v>
      </c>
      <c r="AC122" s="1">
        <f>LN(Z122)</f>
        <v>3.7355662257599143</v>
      </c>
      <c r="AD122" s="11">
        <f>Z122/Q122</f>
        <v>5.8085718742110375E-2</v>
      </c>
    </row>
    <row r="123" spans="1:30" x14ac:dyDescent="0.25">
      <c r="A123" s="180" t="s">
        <v>624</v>
      </c>
      <c r="B123" s="17"/>
      <c r="C123" s="17"/>
      <c r="D123" s="17"/>
      <c r="E123" s="33"/>
      <c r="F123" s="17"/>
      <c r="G123" s="17"/>
      <c r="H123" s="17"/>
      <c r="I123" s="17"/>
      <c r="J123" s="185">
        <f t="shared" si="12"/>
        <v>0</v>
      </c>
      <c r="K123" s="190">
        <f t="shared" si="15"/>
        <v>0</v>
      </c>
      <c r="L123" s="190">
        <f t="shared" si="13"/>
        <v>0</v>
      </c>
      <c r="M123" s="190">
        <f t="shared" si="14"/>
        <v>0</v>
      </c>
      <c r="Q123" s="1">
        <v>731.55</v>
      </c>
      <c r="R123" s="2">
        <f>1/Q123</f>
        <v>1.366960563187752E-3</v>
      </c>
      <c r="S123">
        <f>1/(Q123*Q123)</f>
        <v>1.8685811813105763E-6</v>
      </c>
      <c r="T123" s="6">
        <f>Q123*$Z$15/(1000*$Z$5)</f>
        <v>1.4537388813576073</v>
      </c>
      <c r="U123" s="1">
        <v>3.04</v>
      </c>
      <c r="V123" s="11">
        <f>(U123*$Z$12)/($Z$13*Q123)</f>
        <v>1.9943544227199862E-13</v>
      </c>
      <c r="W123" s="11">
        <f>U123/Q123</f>
        <v>4.1555601120907663E-3</v>
      </c>
      <c r="X123" s="6">
        <f>M135-(M120+M130)</f>
        <v>41.783365368159139</v>
      </c>
      <c r="Y123" s="6">
        <f>X123/T123</f>
        <v>28.742001678553706</v>
      </c>
      <c r="Z123" s="11">
        <f>2*(Q123*$Z$13/$Z$11)*EXP(-Y123)</f>
        <v>63.06500269895357</v>
      </c>
      <c r="AA123" s="11">
        <f>(Z123*$Z$12)/($Z$13*Q123)</f>
        <v>4.1373015477469048E-12</v>
      </c>
      <c r="AB123" s="1">
        <f>LN(U123)</f>
        <v>1.1118575154181303</v>
      </c>
      <c r="AC123" s="1">
        <f>LN(Z123)</f>
        <v>4.1441659833355331</v>
      </c>
      <c r="AD123" s="11">
        <f>Z123/Q123</f>
        <v>8.6207371606798686E-2</v>
      </c>
    </row>
    <row r="124" spans="1:30" x14ac:dyDescent="0.25">
      <c r="A124" s="180" t="s">
        <v>620</v>
      </c>
      <c r="B124" s="17"/>
      <c r="C124" s="17"/>
      <c r="D124" s="17"/>
      <c r="E124" s="33"/>
      <c r="F124" s="17"/>
      <c r="G124" s="17"/>
      <c r="H124" s="17"/>
      <c r="I124" s="17"/>
      <c r="J124" s="185">
        <f t="shared" si="12"/>
        <v>0</v>
      </c>
      <c r="K124" s="190">
        <f t="shared" si="15"/>
        <v>0</v>
      </c>
      <c r="L124" s="190">
        <f t="shared" si="13"/>
        <v>0</v>
      </c>
      <c r="M124" s="190">
        <f t="shared" si="14"/>
        <v>0</v>
      </c>
      <c r="Q124" s="1">
        <v>741.65</v>
      </c>
      <c r="R124" s="2">
        <f>1/Q124</f>
        <v>1.3483449066271152E-3</v>
      </c>
      <c r="S124">
        <f>1/(Q124*Q124)</f>
        <v>1.8180339872272843E-6</v>
      </c>
      <c r="T124" s="6">
        <f>Q124*$Z$15/(1000*$Z$5)</f>
        <v>1.4738096389294915</v>
      </c>
      <c r="U124" s="1">
        <v>5.05</v>
      </c>
      <c r="V124" s="11">
        <f>(U124*$Z$12)/($Z$13*Q124)</f>
        <v>3.2678728389229337E-13</v>
      </c>
      <c r="W124" s="11">
        <f>U124/Q124</f>
        <v>6.8091417784669319E-3</v>
      </c>
      <c r="X124" s="6">
        <f>Sheet8!AJ110</f>
        <v>0</v>
      </c>
      <c r="Y124" s="6">
        <f>X124/T124</f>
        <v>0</v>
      </c>
      <c r="Z124" s="11">
        <f>2*(Q124*$Z$13/$Z$11)*EXP(-Y124)</f>
        <v>194194145550346.97</v>
      </c>
      <c r="AA124" s="11">
        <f>(Z124*$Z$12)/($Z$13*Q124)</f>
        <v>12.566371756867836</v>
      </c>
      <c r="AB124" s="1">
        <f>LN(U124)</f>
        <v>1.6193882432872684</v>
      </c>
      <c r="AC124" s="1">
        <f>LN(Z124)</f>
        <v>32.899879524834688</v>
      </c>
      <c r="AD124" s="11">
        <f>Z124/Q124</f>
        <v>261840687049.61502</v>
      </c>
    </row>
    <row r="125" spans="1:30" x14ac:dyDescent="0.25">
      <c r="A125" s="180" t="s">
        <v>621</v>
      </c>
      <c r="B125" s="17"/>
      <c r="C125" s="17"/>
      <c r="D125" s="17"/>
      <c r="E125" s="33"/>
      <c r="F125" s="17"/>
      <c r="G125" s="17"/>
      <c r="H125" s="17"/>
      <c r="I125" s="17"/>
      <c r="J125" s="185">
        <f t="shared" si="12"/>
        <v>0</v>
      </c>
      <c r="K125" s="190">
        <f t="shared" si="15"/>
        <v>0</v>
      </c>
      <c r="L125" s="190">
        <f t="shared" si="13"/>
        <v>0</v>
      </c>
      <c r="M125" s="190">
        <f t="shared" si="14"/>
        <v>0</v>
      </c>
    </row>
    <row r="126" spans="1:30" x14ac:dyDescent="0.25">
      <c r="A126" s="180" t="s">
        <v>622</v>
      </c>
      <c r="B126" s="17"/>
      <c r="C126" s="17"/>
      <c r="D126" s="17"/>
      <c r="E126" s="33"/>
      <c r="F126" s="17"/>
      <c r="G126" s="17"/>
      <c r="H126" s="17"/>
      <c r="I126" s="17"/>
      <c r="J126" s="185">
        <f t="shared" si="12"/>
        <v>0</v>
      </c>
      <c r="K126" s="190">
        <f t="shared" si="15"/>
        <v>0</v>
      </c>
      <c r="L126" s="190">
        <f t="shared" si="13"/>
        <v>0</v>
      </c>
      <c r="M126" s="190">
        <f t="shared" si="14"/>
        <v>0</v>
      </c>
    </row>
    <row r="127" spans="1:30" x14ac:dyDescent="0.25">
      <c r="A127" s="180" t="s">
        <v>601</v>
      </c>
      <c r="B127" s="17">
        <v>-2.9042141414699998</v>
      </c>
      <c r="C127" s="17"/>
      <c r="D127" s="17"/>
      <c r="E127" s="33"/>
      <c r="F127" s="17"/>
      <c r="G127" s="17"/>
      <c r="H127" s="17">
        <v>5.5789999999999998E-3</v>
      </c>
      <c r="I127" s="17">
        <v>-2.5912999999999999E-2</v>
      </c>
      <c r="J127" s="185">
        <f t="shared" si="12"/>
        <v>19.761522317739693</v>
      </c>
      <c r="K127" s="190">
        <f t="shared" si="15"/>
        <v>-1822.4213315176751</v>
      </c>
      <c r="L127" s="190">
        <f t="shared" si="13"/>
        <v>-1818.9204572318033</v>
      </c>
      <c r="M127" s="190">
        <f t="shared" si="14"/>
        <v>-1838.6819795495433</v>
      </c>
    </row>
    <row r="128" spans="1:30" x14ac:dyDescent="0.25">
      <c r="A128" s="180" t="s">
        <v>602</v>
      </c>
      <c r="B128" s="17">
        <v>-2.9042141414699998</v>
      </c>
      <c r="C128" s="17"/>
      <c r="D128" s="17"/>
      <c r="E128" s="33"/>
      <c r="F128" s="17"/>
      <c r="G128" s="17"/>
      <c r="H128" s="17">
        <v>5.6429999999999996E-3</v>
      </c>
      <c r="I128" s="17">
        <v>-2.6276000000000001E-2</v>
      </c>
      <c r="J128" s="185">
        <f t="shared" si="12"/>
        <v>20.029468781275668</v>
      </c>
      <c r="K128" s="190">
        <f t="shared" si="15"/>
        <v>-1822.4213315176751</v>
      </c>
      <c r="L128" s="190">
        <f t="shared" si="13"/>
        <v>-1818.880296637737</v>
      </c>
      <c r="M128" s="190">
        <f t="shared" si="14"/>
        <v>-1838.909765419013</v>
      </c>
      <c r="P128" s="6">
        <f>K132-(K117+K127)</f>
        <v>39.846871723042568</v>
      </c>
    </row>
    <row r="129" spans="1:13" x14ac:dyDescent="0.25">
      <c r="A129" s="180" t="s">
        <v>603</v>
      </c>
      <c r="B129" s="17">
        <v>-2.9042141414699998</v>
      </c>
      <c r="C129" s="17"/>
      <c r="D129" s="17"/>
      <c r="E129" s="33"/>
      <c r="F129" s="17"/>
      <c r="G129" s="17"/>
      <c r="H129" s="17">
        <v>5.7130000000000002E-3</v>
      </c>
      <c r="I129" s="17">
        <v>-2.6669999999999999E-2</v>
      </c>
      <c r="J129" s="185">
        <f t="shared" si="12"/>
        <v>20.320633088256209</v>
      </c>
      <c r="K129" s="190">
        <f t="shared" si="15"/>
        <v>-1822.4213315176751</v>
      </c>
      <c r="L129" s="190">
        <f t="shared" si="13"/>
        <v>-1818.836370987977</v>
      </c>
      <c r="M129" s="190">
        <f t="shared" si="14"/>
        <v>-1839.1570040762335</v>
      </c>
    </row>
    <row r="130" spans="1:13" x14ac:dyDescent="0.25">
      <c r="A130" s="180" t="s">
        <v>604</v>
      </c>
      <c r="B130" s="17">
        <v>-2.9042141414699998</v>
      </c>
      <c r="C130" s="17"/>
      <c r="D130" s="17"/>
      <c r="E130" s="33"/>
      <c r="F130" s="17"/>
      <c r="G130" s="17"/>
      <c r="H130" s="17">
        <v>5.7930000000000004E-3</v>
      </c>
      <c r="I130" s="17">
        <v>-2.7129E-2</v>
      </c>
      <c r="J130" s="185">
        <f t="shared" si="12"/>
        <v>20.658860591408171</v>
      </c>
      <c r="K130" s="190">
        <f t="shared" si="15"/>
        <v>-1822.4213315176751</v>
      </c>
      <c r="L130" s="190">
        <f t="shared" si="13"/>
        <v>-1818.7861702453943</v>
      </c>
      <c r="M130" s="190">
        <f t="shared" si="14"/>
        <v>-1839.4450308368025</v>
      </c>
    </row>
    <row r="131" spans="1:13" x14ac:dyDescent="0.25">
      <c r="A131" s="180" t="s">
        <v>605</v>
      </c>
      <c r="B131" s="17">
        <v>-2.9042141414699998</v>
      </c>
      <c r="C131" s="17"/>
      <c r="D131" s="17"/>
      <c r="E131" s="33"/>
      <c r="F131" s="17"/>
      <c r="G131" s="17"/>
      <c r="H131" s="17">
        <v>5.8719999999999996E-3</v>
      </c>
      <c r="I131" s="17">
        <v>-2.7574999999999999E-2</v>
      </c>
      <c r="J131" s="185">
        <f t="shared" si="12"/>
        <v>20.988302964608138</v>
      </c>
      <c r="K131" s="190">
        <f t="shared" si="15"/>
        <v>-1822.4213315176751</v>
      </c>
      <c r="L131" s="190">
        <f t="shared" si="13"/>
        <v>-1818.7365970120936</v>
      </c>
      <c r="M131" s="190">
        <f t="shared" si="14"/>
        <v>-1839.7248999767019</v>
      </c>
    </row>
    <row r="132" spans="1:13" x14ac:dyDescent="0.25">
      <c r="A132" s="180" t="s">
        <v>606</v>
      </c>
      <c r="B132" s="17">
        <v>-154.36326324000001</v>
      </c>
      <c r="C132" s="17"/>
      <c r="D132" s="17"/>
      <c r="E132" s="33"/>
      <c r="F132" s="17"/>
      <c r="G132" s="17">
        <v>1.9354E-2</v>
      </c>
      <c r="H132" s="17">
        <v>3.9245000000000002E-2</v>
      </c>
      <c r="I132" s="17">
        <v>-5.7949000000000001E-2</v>
      </c>
      <c r="J132" s="185">
        <f t="shared" si="12"/>
        <v>60.990137182471479</v>
      </c>
      <c r="K132" s="190">
        <f>(B132+G132)*($Z$3*$Z$4*10^-3/$Z$5)</f>
        <v>-96852.235712353926</v>
      </c>
      <c r="L132" s="190">
        <f t="shared" si="13"/>
        <v>-96839.753925219979</v>
      </c>
      <c r="M132" s="190">
        <f t="shared" si="14"/>
        <v>-96900.74406240246</v>
      </c>
    </row>
    <row r="133" spans="1:13" x14ac:dyDescent="0.25">
      <c r="A133" s="180" t="s">
        <v>607</v>
      </c>
      <c r="B133" s="17">
        <v>-154.36326324000001</v>
      </c>
      <c r="C133" s="17"/>
      <c r="D133" s="17"/>
      <c r="E133" s="33"/>
      <c r="F133" s="17"/>
      <c r="G133" s="17">
        <v>1.9354E-2</v>
      </c>
      <c r="H133" s="17">
        <v>3.95E-2</v>
      </c>
      <c r="I133" s="17">
        <v>-5.9068000000000002E-2</v>
      </c>
      <c r="J133" s="185">
        <f t="shared" si="12"/>
        <v>61.852334936331964</v>
      </c>
      <c r="K133" s="190">
        <f t="shared" si="15"/>
        <v>-96852.235712353926</v>
      </c>
      <c r="L133" s="190">
        <f t="shared" si="13"/>
        <v>-96839.593910352996</v>
      </c>
      <c r="M133" s="190">
        <f t="shared" si="14"/>
        <v>-96901.446245289335</v>
      </c>
    </row>
    <row r="134" spans="1:13" x14ac:dyDescent="0.25">
      <c r="A134" s="180" t="s">
        <v>608</v>
      </c>
      <c r="B134" s="17">
        <v>-154.36326324000001</v>
      </c>
      <c r="C134" s="17"/>
      <c r="D134" s="17"/>
      <c r="E134" s="33"/>
      <c r="F134" s="17"/>
      <c r="G134" s="17">
        <v>1.9354E-2</v>
      </c>
      <c r="H134" s="17">
        <v>3.9778000000000001E-2</v>
      </c>
      <c r="I134" s="17">
        <v>-6.0285999999999999E-2</v>
      </c>
      <c r="J134" s="185">
        <f t="shared" si="12"/>
        <v>62.791088822631295</v>
      </c>
      <c r="K134" s="190">
        <f t="shared" si="15"/>
        <v>-96852.235712353926</v>
      </c>
      <c r="L134" s="190">
        <f t="shared" si="13"/>
        <v>-96839.419462772508</v>
      </c>
      <c r="M134" s="190">
        <f t="shared" si="14"/>
        <v>-96902.210551595155</v>
      </c>
    </row>
    <row r="135" spans="1:13" x14ac:dyDescent="0.25">
      <c r="A135" s="180" t="s">
        <v>609</v>
      </c>
      <c r="B135" s="17">
        <v>-154.36326324000001</v>
      </c>
      <c r="C135" s="17"/>
      <c r="D135" s="17"/>
      <c r="E135" s="33"/>
      <c r="F135" s="17"/>
      <c r="G135" s="17">
        <v>1.9354E-2</v>
      </c>
      <c r="H135" s="17">
        <v>4.0099999999999997E-2</v>
      </c>
      <c r="I135" s="17">
        <v>-6.1703000000000001E-2</v>
      </c>
      <c r="J135" s="185">
        <f t="shared" si="12"/>
        <v>63.882327464526043</v>
      </c>
      <c r="K135" s="190">
        <f t="shared" si="15"/>
        <v>-96852.235712353926</v>
      </c>
      <c r="L135" s="190">
        <f t="shared" si="13"/>
        <v>-96839.217404783631</v>
      </c>
      <c r="M135" s="190">
        <f t="shared" si="14"/>
        <v>-96903.099732248156</v>
      </c>
    </row>
    <row r="136" spans="1:13" x14ac:dyDescent="0.25">
      <c r="A136" s="180" t="s">
        <v>610</v>
      </c>
      <c r="B136" s="17">
        <v>-154.36326324000001</v>
      </c>
      <c r="C136" s="17"/>
      <c r="D136" s="17"/>
      <c r="E136" s="33"/>
      <c r="F136" s="17"/>
      <c r="G136" s="17">
        <v>1.9354E-2</v>
      </c>
      <c r="H136" s="17">
        <v>4.0412999999999998E-2</v>
      </c>
      <c r="I136" s="17">
        <v>-6.3083E-2</v>
      </c>
      <c r="J136" s="185">
        <f t="shared" si="12"/>
        <v>64.944700679435641</v>
      </c>
      <c r="K136" s="190">
        <f t="shared" si="15"/>
        <v>-96852.235712353926</v>
      </c>
      <c r="L136" s="190">
        <f t="shared" si="13"/>
        <v>-96839.020994378268</v>
      </c>
      <c r="M136" s="190">
        <f t="shared" si="14"/>
        <v>-96903.965695057705</v>
      </c>
    </row>
    <row r="137" spans="1:13" x14ac:dyDescent="0.25">
      <c r="A137" s="180" t="s">
        <v>592</v>
      </c>
      <c r="B137" s="17"/>
      <c r="C137" s="17"/>
      <c r="D137" s="17"/>
      <c r="E137" s="33"/>
      <c r="F137" s="17"/>
      <c r="G137" s="17"/>
      <c r="H137" s="17"/>
      <c r="I137" s="17"/>
      <c r="J137" s="185">
        <f t="shared" si="12"/>
        <v>0</v>
      </c>
      <c r="K137" s="190">
        <f t="shared" si="15"/>
        <v>0</v>
      </c>
      <c r="L137" s="190">
        <f t="shared" si="13"/>
        <v>0</v>
      </c>
      <c r="M137" s="190">
        <f t="shared" si="14"/>
        <v>0</v>
      </c>
    </row>
    <row r="138" spans="1:13" x14ac:dyDescent="0.25">
      <c r="A138" s="180" t="s">
        <v>592</v>
      </c>
      <c r="B138" s="17"/>
      <c r="C138" s="17"/>
      <c r="D138" s="17"/>
      <c r="E138" s="33"/>
      <c r="F138" s="17"/>
      <c r="G138" s="17"/>
      <c r="H138" s="17"/>
      <c r="I138" s="17"/>
      <c r="J138" s="185">
        <f t="shared" si="12"/>
        <v>0</v>
      </c>
      <c r="K138" s="190">
        <f t="shared" si="15"/>
        <v>0</v>
      </c>
      <c r="L138" s="190">
        <f t="shared" si="13"/>
        <v>0</v>
      </c>
      <c r="M138" s="190">
        <f t="shared" si="14"/>
        <v>0</v>
      </c>
    </row>
    <row r="139" spans="1:13" x14ac:dyDescent="0.25">
      <c r="A139" s="180" t="s">
        <v>592</v>
      </c>
      <c r="B139" s="17"/>
      <c r="C139" s="17"/>
      <c r="D139" s="17"/>
      <c r="E139" s="33"/>
      <c r="F139" s="17"/>
      <c r="G139" s="17"/>
      <c r="H139" s="17"/>
      <c r="I139" s="17"/>
      <c r="J139" s="185">
        <f t="shared" si="12"/>
        <v>0</v>
      </c>
      <c r="K139" s="190">
        <f t="shared" si="15"/>
        <v>0</v>
      </c>
      <c r="L139" s="190">
        <f t="shared" si="13"/>
        <v>0</v>
      </c>
      <c r="M139" s="190">
        <f t="shared" si="14"/>
        <v>0</v>
      </c>
    </row>
    <row r="146" spans="15:15" x14ac:dyDescent="0.25">
      <c r="O146">
        <f>-154.412057-(-151.565399-2.913028)</f>
        <v>6.6370000000006257E-2</v>
      </c>
    </row>
    <row r="147" spans="15:15" x14ac:dyDescent="0.25">
      <c r="O147" s="11">
        <f>O146*($Z$3*$Z$4*10^-3/$Z$5)</f>
        <v>41.647791065302521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1"/>
  <sheetViews>
    <sheetView zoomScale="20" zoomScaleNormal="20" workbookViewId="0">
      <selection activeCell="AA85" sqref="AA85"/>
    </sheetView>
  </sheetViews>
  <sheetFormatPr defaultRowHeight="15" x14ac:dyDescent="0.25"/>
  <cols>
    <col min="1" max="1" width="35.28515625" customWidth="1"/>
    <col min="2" max="2" width="16.28515625" customWidth="1"/>
    <col min="3" max="3" width="16.5703125" customWidth="1"/>
    <col min="5" max="5" width="12.5703125" customWidth="1"/>
    <col min="6" max="6" width="11.7109375" customWidth="1"/>
    <col min="7" max="7" width="12" customWidth="1"/>
    <col min="9" max="9" width="11.28515625" customWidth="1"/>
    <col min="10" max="10" width="11.5703125" customWidth="1"/>
    <col min="11" max="11" width="12.140625" customWidth="1"/>
    <col min="12" max="12" width="10.85546875" customWidth="1"/>
    <col min="13" max="13" width="10.7109375" customWidth="1"/>
    <col min="14" max="14" width="12.28515625" customWidth="1"/>
    <col min="15" max="15" width="11.140625" bestFit="1" customWidth="1"/>
    <col min="19" max="19" width="21.42578125" customWidth="1"/>
    <col min="20" max="20" width="14" customWidth="1"/>
    <col min="21" max="21" width="12.85546875" customWidth="1"/>
    <col min="23" max="23" width="15.5703125" customWidth="1"/>
    <col min="24" max="24" width="12" customWidth="1"/>
    <col min="25" max="25" width="18.85546875" bestFit="1" customWidth="1"/>
    <col min="26" max="26" width="9.5703125" bestFit="1" customWidth="1"/>
    <col min="27" max="27" width="15" customWidth="1"/>
    <col min="28" max="28" width="12.5703125" customWidth="1"/>
    <col min="29" max="29" width="13.42578125" customWidth="1"/>
    <col min="30" max="30" width="14.7109375" customWidth="1"/>
    <col min="31" max="31" width="16.28515625" customWidth="1"/>
    <col min="32" max="32" width="13.140625" customWidth="1"/>
    <col min="33" max="33" width="12.5703125" customWidth="1"/>
    <col min="34" max="34" width="13.5703125" customWidth="1"/>
    <col min="35" max="35" width="9.28515625" bestFit="1" customWidth="1"/>
    <col min="36" max="36" width="15.28515625" customWidth="1"/>
    <col min="37" max="37" width="17.28515625" customWidth="1"/>
    <col min="38" max="38" width="12.5703125" bestFit="1" customWidth="1"/>
    <col min="39" max="39" width="9.28515625" bestFit="1" customWidth="1"/>
    <col min="40" max="40" width="12.5703125" customWidth="1"/>
    <col min="45" max="45" width="11.28515625" bestFit="1" customWidth="1"/>
  </cols>
  <sheetData>
    <row r="1" spans="1:39" x14ac:dyDescent="0.25">
      <c r="A1" s="15" t="s">
        <v>666</v>
      </c>
      <c r="B1" s="15"/>
      <c r="C1" s="15"/>
      <c r="D1" s="15"/>
      <c r="E1" s="15"/>
      <c r="F1" s="15"/>
      <c r="G1" s="15"/>
    </row>
    <row r="2" spans="1:39" ht="60.75" thickBot="1" x14ac:dyDescent="0.3">
      <c r="A2" s="167" t="s">
        <v>582</v>
      </c>
      <c r="B2" s="179" t="s">
        <v>583</v>
      </c>
      <c r="C2" s="179" t="s">
        <v>584</v>
      </c>
      <c r="D2" s="167" t="s">
        <v>585</v>
      </c>
      <c r="E2" s="179" t="s">
        <v>586</v>
      </c>
      <c r="F2" s="179" t="s">
        <v>587</v>
      </c>
      <c r="G2" s="179" t="s">
        <v>588</v>
      </c>
      <c r="H2" s="179" t="s">
        <v>589</v>
      </c>
      <c r="I2" s="179" t="s">
        <v>590</v>
      </c>
      <c r="J2" s="191" t="s">
        <v>648</v>
      </c>
      <c r="K2" s="191" t="s">
        <v>652</v>
      </c>
      <c r="L2" s="192" t="s">
        <v>651</v>
      </c>
      <c r="M2" s="192" t="s">
        <v>653</v>
      </c>
      <c r="N2" s="193" t="s">
        <v>649</v>
      </c>
      <c r="O2" s="193" t="s">
        <v>650</v>
      </c>
    </row>
    <row r="3" spans="1:39" x14ac:dyDescent="0.25">
      <c r="A3" s="180" t="s">
        <v>162</v>
      </c>
      <c r="B3" s="17">
        <v>-151.60916165</v>
      </c>
      <c r="C3" s="17"/>
      <c r="D3" s="17"/>
      <c r="E3" s="33"/>
      <c r="F3" s="17">
        <v>2.613E-2</v>
      </c>
      <c r="G3" s="17">
        <v>3.0301999999999999E-2</v>
      </c>
      <c r="H3" s="17">
        <v>6.8529999999999997E-3</v>
      </c>
      <c r="I3" s="185">
        <f t="shared" ref="I3:I33" si="0">(G3-H3)*($T$3*$T$4)</f>
        <v>14.714465160316207</v>
      </c>
      <c r="J3" s="186">
        <f t="shared" ref="J3:J33" si="1">(B3+F3)*($T$3*$T$4)</f>
        <v>-95119.759397374495</v>
      </c>
      <c r="K3" s="186">
        <f t="shared" ref="K3:K33" si="2">((((2-0)/(2-D3))*B3+(1-((2-0)/(2-D3)))*C3)+F3)*($T$3*$T$4)</f>
        <v>-95119.759397374495</v>
      </c>
      <c r="L3" s="187">
        <f t="shared" ref="L3:L33" si="3">(B3+G3)*($T$3*$T$4)</f>
        <v>-95117.141428648785</v>
      </c>
      <c r="M3" s="187">
        <f t="shared" ref="M3:M33" si="4">((((2-0)/(2-D3))*B3+(1-((2-0)/(2-D3)))*C3)+G3)*($T$3*$T$4)</f>
        <v>-95117.141428648785</v>
      </c>
      <c r="N3" s="188">
        <f t="shared" ref="N3:N33" si="5">(B3+H3)*($T$3*$T$4)</f>
        <v>-95131.855893809101</v>
      </c>
      <c r="O3" s="188">
        <f t="shared" ref="O3:O33" si="6">((((2-0)/(2-D3))*B3+(1-((2-0)/(2-D3)))*C3)+H3)*($T$3*$T$4)</f>
        <v>-95131.855893809101</v>
      </c>
      <c r="S3" s="22" t="s">
        <v>656</v>
      </c>
      <c r="T3" s="83">
        <f>4.35974394E-18/(1000*T5)</f>
        <v>1.0420038097514341E-21</v>
      </c>
      <c r="AA3" t="s">
        <v>674</v>
      </c>
      <c r="AB3" t="s">
        <v>612</v>
      </c>
      <c r="AC3" t="s">
        <v>612</v>
      </c>
      <c r="AD3" t="s">
        <v>612</v>
      </c>
      <c r="AE3" t="s">
        <v>612</v>
      </c>
      <c r="AI3" t="s">
        <v>675</v>
      </c>
      <c r="AJ3" t="s">
        <v>612</v>
      </c>
      <c r="AK3" t="s">
        <v>612</v>
      </c>
      <c r="AL3" t="s">
        <v>612</v>
      </c>
      <c r="AM3" t="s">
        <v>612</v>
      </c>
    </row>
    <row r="4" spans="1:39" x14ac:dyDescent="0.25">
      <c r="A4" s="180" t="s">
        <v>394</v>
      </c>
      <c r="B4" s="17">
        <v>-151.53821951</v>
      </c>
      <c r="C4" s="17"/>
      <c r="D4" s="17"/>
      <c r="E4" s="33"/>
      <c r="F4" s="17">
        <v>2.5950000000000001E-2</v>
      </c>
      <c r="G4" s="17">
        <v>2.9977E-2</v>
      </c>
      <c r="H4" s="17">
        <v>6.6670000000000002E-3</v>
      </c>
      <c r="I4" s="185">
        <f t="shared" si="0"/>
        <v>14.627241370078504</v>
      </c>
      <c r="J4" s="186">
        <f t="shared" si="1"/>
        <v>-95075.355497690092</v>
      </c>
      <c r="K4" s="186">
        <f t="shared" si="2"/>
        <v>-95075.355497690092</v>
      </c>
      <c r="L4" s="187">
        <f t="shared" si="3"/>
        <v>-95072.828517810325</v>
      </c>
      <c r="M4" s="187">
        <f t="shared" si="4"/>
        <v>-95072.828517810325</v>
      </c>
      <c r="N4" s="188">
        <f t="shared" si="5"/>
        <v>-95087.455759180404</v>
      </c>
      <c r="O4" s="188">
        <f t="shared" si="6"/>
        <v>-95087.455759180404</v>
      </c>
      <c r="S4" s="72" t="s">
        <v>135</v>
      </c>
      <c r="T4" s="84">
        <v>6.0221399999999997E+23</v>
      </c>
      <c r="Y4" t="s">
        <v>611</v>
      </c>
      <c r="Z4" t="s">
        <v>47</v>
      </c>
      <c r="AA4" t="s">
        <v>613</v>
      </c>
      <c r="AB4" t="s">
        <v>635</v>
      </c>
      <c r="AC4" t="s">
        <v>664</v>
      </c>
      <c r="AD4" t="s">
        <v>665</v>
      </c>
      <c r="AE4" t="s">
        <v>673</v>
      </c>
      <c r="AG4" t="s">
        <v>611</v>
      </c>
      <c r="AH4" t="s">
        <v>47</v>
      </c>
      <c r="AI4" t="s">
        <v>613</v>
      </c>
      <c r="AJ4" t="s">
        <v>635</v>
      </c>
      <c r="AK4" t="s">
        <v>664</v>
      </c>
      <c r="AL4" t="s">
        <v>665</v>
      </c>
      <c r="AM4" t="s">
        <v>673</v>
      </c>
    </row>
    <row r="5" spans="1:39" ht="15.75" thickBot="1" x14ac:dyDescent="0.3">
      <c r="A5" s="180" t="s">
        <v>439</v>
      </c>
      <c r="B5" s="17">
        <v>-76.462564999999998</v>
      </c>
      <c r="C5" s="17"/>
      <c r="D5" s="17"/>
      <c r="E5" s="33"/>
      <c r="F5" s="17">
        <v>2.1037E-2</v>
      </c>
      <c r="G5" s="17">
        <v>2.4816999999999999E-2</v>
      </c>
      <c r="H5" s="17">
        <v>5.7629999999999999E-3</v>
      </c>
      <c r="I5" s="185">
        <f t="shared" si="0"/>
        <v>11.956561864670777</v>
      </c>
      <c r="J5" s="186">
        <f t="shared" si="1"/>
        <v>-47967.768372098421</v>
      </c>
      <c r="K5" s="186">
        <f t="shared" si="2"/>
        <v>-47967.768372098421</v>
      </c>
      <c r="L5" s="187">
        <f t="shared" si="3"/>
        <v>-47965.396387011388</v>
      </c>
      <c r="M5" s="187">
        <f t="shared" si="4"/>
        <v>-47965.396387011388</v>
      </c>
      <c r="N5" s="188">
        <f t="shared" si="5"/>
        <v>-47977.352948876054</v>
      </c>
      <c r="O5" s="188">
        <f t="shared" si="6"/>
        <v>-47977.352948876054</v>
      </c>
      <c r="Q5" s="6">
        <f>(F22-(F3+F20))*($T$3*$T$4)</f>
        <v>-4.748990248337801</v>
      </c>
      <c r="S5" s="23" t="s">
        <v>136</v>
      </c>
      <c r="T5" s="85">
        <v>4.1840000000000002</v>
      </c>
      <c r="Y5" s="5">
        <v>704.65</v>
      </c>
      <c r="Z5" s="5">
        <f>1/Y5</f>
        <v>1.4191442560136239E-3</v>
      </c>
      <c r="AA5" s="5">
        <v>1.1100000000000001</v>
      </c>
      <c r="AB5" s="5">
        <f>(AA5*$T$12)/($T$13*Y5)</f>
        <v>3.163107631985928E-10</v>
      </c>
      <c r="AC5" s="5">
        <f>LN(AB5)</f>
        <v>-21.874295957746348</v>
      </c>
      <c r="AD5" s="5">
        <f>LN(AA5)</f>
        <v>0.10436001532424286</v>
      </c>
      <c r="AE5" s="5">
        <f>LN(AA5/Y5)</f>
        <v>-6.453341210313277</v>
      </c>
      <c r="AF5" s="5"/>
      <c r="AG5" s="2">
        <v>704.65</v>
      </c>
      <c r="AH5" s="2">
        <f>1/AG5</f>
        <v>1.4191442560136239E-3</v>
      </c>
      <c r="AI5" s="2">
        <v>11.2</v>
      </c>
      <c r="AJ5" s="2">
        <f>(AI5*$T$12)/($T$13*AG5)</f>
        <v>3.1916040971389544E-9</v>
      </c>
      <c r="AK5" s="2">
        <f>LN(AJ5)</f>
        <v>-19.562742194769545</v>
      </c>
      <c r="AL5" s="2">
        <f>LN(AI5)</f>
        <v>2.4159137783010487</v>
      </c>
      <c r="AM5" s="2">
        <f>LN(AI5/AG5)</f>
        <v>-4.1417874473364709</v>
      </c>
    </row>
    <row r="6" spans="1:39" ht="15.75" thickBot="1" x14ac:dyDescent="0.3">
      <c r="A6" s="180" t="s">
        <v>689</v>
      </c>
      <c r="B6" s="17">
        <v>-151.54257203</v>
      </c>
      <c r="C6" s="17"/>
      <c r="D6" s="17"/>
      <c r="E6" s="33"/>
      <c r="F6" s="17">
        <v>2.2578000000000001E-2</v>
      </c>
      <c r="G6" s="17">
        <v>2.6953000000000001E-2</v>
      </c>
      <c r="H6" s="17">
        <v>1.7329999999999999E-3</v>
      </c>
      <c r="I6" s="185">
        <f t="shared" si="0"/>
        <v>15.825784099244098</v>
      </c>
      <c r="J6" s="186">
        <f t="shared" si="1"/>
        <v>-95080.202705691278</v>
      </c>
      <c r="K6" s="186">
        <f t="shared" si="2"/>
        <v>-95080.202705691278</v>
      </c>
      <c r="L6" s="187">
        <f t="shared" si="3"/>
        <v>-95077.457352581288</v>
      </c>
      <c r="M6" s="187">
        <f t="shared" si="4"/>
        <v>-95077.457352581288</v>
      </c>
      <c r="N6" s="188">
        <f t="shared" si="5"/>
        <v>-95093.283136680533</v>
      </c>
      <c r="O6" s="188">
        <f t="shared" si="6"/>
        <v>-95093.283136680533</v>
      </c>
      <c r="Q6" s="6">
        <f>(G22-(G3+G20))*($T$3*$T$4)</f>
        <v>-3.9765263218441618</v>
      </c>
      <c r="Y6" s="5">
        <v>712.75</v>
      </c>
      <c r="Z6" s="5">
        <f>1/Y6</f>
        <v>1.4030164854437039E-3</v>
      </c>
      <c r="AA6" s="5">
        <v>1.44</v>
      </c>
      <c r="AB6" s="5">
        <f>(AA6*$T$12)/($T$13*Y6)</f>
        <v>4.0568571315209047E-10</v>
      </c>
      <c r="AC6" s="5">
        <f>LN(AB6)</f>
        <v>-21.625442361637944</v>
      </c>
      <c r="AD6" s="5">
        <f>LN(AA6)</f>
        <v>0.36464311358790924</v>
      </c>
      <c r="AE6" s="5">
        <f>LN(AA6/Y6)</f>
        <v>-6.2044876142048722</v>
      </c>
      <c r="AF6" s="5"/>
      <c r="AG6" s="2">
        <v>712.75</v>
      </c>
      <c r="AH6" s="2">
        <f>1/AG6</f>
        <v>1.4030164854437039E-3</v>
      </c>
      <c r="AI6" s="2">
        <v>19.8</v>
      </c>
      <c r="AJ6" s="2">
        <f>(AI6*$T$12)/($T$13*AG6)</f>
        <v>5.5781785558412437E-9</v>
      </c>
      <c r="AK6" s="2">
        <f>LN(AJ6)</f>
        <v>-19.004403537525363</v>
      </c>
      <c r="AL6" s="2">
        <f>LN(AI6)</f>
        <v>2.9856819377004897</v>
      </c>
      <c r="AM6" s="2">
        <f>LN(AI6/AG6)</f>
        <v>-3.5834487900922918</v>
      </c>
    </row>
    <row r="7" spans="1:39" ht="15.75" thickBot="1" x14ac:dyDescent="0.3">
      <c r="A7" s="180" t="s">
        <v>672</v>
      </c>
      <c r="B7" s="17">
        <v>-75.765060419999998</v>
      </c>
      <c r="C7" s="17"/>
      <c r="D7" s="17"/>
      <c r="E7" s="33"/>
      <c r="F7" s="17">
        <v>8.3320000000000009E-3</v>
      </c>
      <c r="G7" s="17">
        <v>1.1636000000000001E-2</v>
      </c>
      <c r="H7" s="17">
        <v>-5.5750000000000001E-3</v>
      </c>
      <c r="I7" s="185">
        <f t="shared" si="0"/>
        <v>10.800062257418324</v>
      </c>
      <c r="J7" s="186">
        <f t="shared" si="1"/>
        <v>-47538.050279143114</v>
      </c>
      <c r="K7" s="186">
        <f t="shared" si="2"/>
        <v>-47538.050279143114</v>
      </c>
      <c r="L7" s="187">
        <f t="shared" si="3"/>
        <v>-47535.976988474438</v>
      </c>
      <c r="M7" s="187">
        <f t="shared" si="4"/>
        <v>-47535.976988474438</v>
      </c>
      <c r="N7" s="188">
        <f t="shared" si="5"/>
        <v>-47546.777050731849</v>
      </c>
      <c r="O7" s="188">
        <f t="shared" si="6"/>
        <v>-47546.777050731849</v>
      </c>
      <c r="Q7" s="6">
        <f>J22-(J3+J20)</f>
        <v>41.627936671618954</v>
      </c>
      <c r="S7" s="86" t="s">
        <v>137</v>
      </c>
      <c r="T7" s="32"/>
      <c r="Y7" s="5">
        <v>721.55</v>
      </c>
      <c r="Z7" s="5">
        <f>1/Y7</f>
        <v>1.3859053426650962E-3</v>
      </c>
      <c r="AA7" s="5">
        <v>1.91</v>
      </c>
      <c r="AB7" s="5">
        <f>(AA7*$T$12)/($T$13*Y7)</f>
        <v>5.315344087707417E-10</v>
      </c>
      <c r="AC7" s="5">
        <f>LN(AB7)</f>
        <v>-21.355253181256622</v>
      </c>
      <c r="AD7" s="5">
        <f>LN(AA7)</f>
        <v>0.64710324205853842</v>
      </c>
      <c r="AE7" s="5">
        <f>LN(AA7/Y7)</f>
        <v>-5.9342984338235487</v>
      </c>
      <c r="AF7" s="5"/>
      <c r="AG7" s="2">
        <v>721.55</v>
      </c>
      <c r="AH7" s="2">
        <f>1/AG7</f>
        <v>1.3859053426650962E-3</v>
      </c>
      <c r="AI7" s="2">
        <v>31.9</v>
      </c>
      <c r="AJ7" s="2">
        <f>(AI7*$T$12)/($T$13*AG7)</f>
        <v>8.8774594972705024E-9</v>
      </c>
      <c r="AK7" s="2">
        <f>LN(AJ7)</f>
        <v>-18.539750413524359</v>
      </c>
      <c r="AL7" s="2">
        <f>LN(AI7)</f>
        <v>3.4626060097907989</v>
      </c>
      <c r="AM7" s="2">
        <f>LN(AI7/AG7)</f>
        <v>-3.1187956660912879</v>
      </c>
    </row>
    <row r="8" spans="1:39" x14ac:dyDescent="0.25">
      <c r="A8" s="180" t="s">
        <v>697</v>
      </c>
      <c r="B8" s="17">
        <v>-150.37848507999999</v>
      </c>
      <c r="C8" s="17"/>
      <c r="D8" s="17"/>
      <c r="E8" s="33"/>
      <c r="F8" s="17">
        <v>3.6749999999999999E-3</v>
      </c>
      <c r="G8" s="17">
        <v>6.9829999999999996E-3</v>
      </c>
      <c r="H8" s="17">
        <v>-1.3269E-2</v>
      </c>
      <c r="I8" s="185">
        <f t="shared" si="0"/>
        <v>12.708317984848986</v>
      </c>
      <c r="J8" s="186">
        <f t="shared" si="1"/>
        <v>-94361.589147141742</v>
      </c>
      <c r="K8" s="186">
        <f t="shared" si="2"/>
        <v>-94361.589147141742</v>
      </c>
      <c r="L8" s="187">
        <f t="shared" si="3"/>
        <v>-94359.513346435939</v>
      </c>
      <c r="M8" s="187">
        <f t="shared" si="4"/>
        <v>-94359.513346435939</v>
      </c>
      <c r="N8" s="188">
        <f t="shared" si="5"/>
        <v>-94372.221664420795</v>
      </c>
      <c r="O8" s="188">
        <f t="shared" si="6"/>
        <v>-94372.221664420795</v>
      </c>
      <c r="Q8" s="6">
        <f>K27-(2*K3)</f>
        <v>32.717292269953759</v>
      </c>
      <c r="S8" s="87" t="s">
        <v>138</v>
      </c>
      <c r="T8" s="106">
        <v>2000</v>
      </c>
      <c r="Y8" s="5">
        <v>731.55</v>
      </c>
      <c r="Z8" s="5">
        <f>1/Y8</f>
        <v>1.366960563187752E-3</v>
      </c>
      <c r="AA8" s="5">
        <v>3.04</v>
      </c>
      <c r="AB8" s="5">
        <f>(AA8*$T$12)/($T$13*Y8)</f>
        <v>8.3443789046604211E-10</v>
      </c>
      <c r="AC8" s="5">
        <f>LN(AB8)</f>
        <v>-20.904262802839114</v>
      </c>
      <c r="AD8" s="5">
        <f>LN(AA8)</f>
        <v>1.1118575154181303</v>
      </c>
      <c r="AE8" s="5">
        <f>LN(AA8/Y8)</f>
        <v>-5.4833080554060407</v>
      </c>
      <c r="AF8" s="5"/>
      <c r="AG8" s="2">
        <v>731.55</v>
      </c>
      <c r="AH8" s="2">
        <f>1/AG8</f>
        <v>1.366960563187752E-3</v>
      </c>
      <c r="AI8" s="2">
        <v>42.4</v>
      </c>
      <c r="AJ8" s="2">
        <f>(AI8*$T$12)/($T$13*AG8)</f>
        <v>1.163821268281585E-8</v>
      </c>
      <c r="AK8" s="2">
        <f>LN(AJ8)</f>
        <v>-18.268971956019332</v>
      </c>
      <c r="AL8" s="2">
        <f>LN(AI8)</f>
        <v>3.7471483622379123</v>
      </c>
      <c r="AM8" s="2">
        <f>LN(AI8/AG8)</f>
        <v>-2.8480172085862594</v>
      </c>
    </row>
    <row r="9" spans="1:39" x14ac:dyDescent="0.25">
      <c r="A9" s="180" t="s">
        <v>698</v>
      </c>
      <c r="B9" s="17">
        <v>-150.36245210999999</v>
      </c>
      <c r="C9" s="17">
        <v>-150.37848502</v>
      </c>
      <c r="D9" s="17">
        <v>1.0049999999999999</v>
      </c>
      <c r="E9" s="33"/>
      <c r="F9" s="17">
        <v>3.6649999999999999E-3</v>
      </c>
      <c r="G9" s="17">
        <v>6.973E-3</v>
      </c>
      <c r="H9" s="17">
        <v>-1.2243E-2</v>
      </c>
      <c r="I9" s="185">
        <f t="shared" si="0"/>
        <v>12.058218368401052</v>
      </c>
      <c r="J9" s="186">
        <f t="shared" si="1"/>
        <v>-94351.534584736946</v>
      </c>
      <c r="K9" s="186">
        <f t="shared" si="2"/>
        <v>-94341.372671323581</v>
      </c>
      <c r="L9" s="187">
        <f t="shared" si="3"/>
        <v>-94349.458784031158</v>
      </c>
      <c r="M9" s="187">
        <f t="shared" si="4"/>
        <v>-94339.296870617793</v>
      </c>
      <c r="N9" s="188">
        <f t="shared" si="5"/>
        <v>-94361.51700239956</v>
      </c>
      <c r="O9" s="188">
        <f t="shared" si="6"/>
        <v>-94351.355088986194</v>
      </c>
      <c r="Q9" s="6">
        <f>K32-K3</f>
        <v>41.038943909079535</v>
      </c>
      <c r="Y9" s="5">
        <v>741.65</v>
      </c>
      <c r="Z9" s="5">
        <f>1/Y9</f>
        <v>1.3483449066271152E-3</v>
      </c>
      <c r="AA9" s="5">
        <v>5.05</v>
      </c>
      <c r="AB9" s="5">
        <f>(AA9*$T$12)/($T$13*Y9)</f>
        <v>1.3672779958053554E-9</v>
      </c>
      <c r="AC9" s="5">
        <f>LN(AB9)</f>
        <v>-20.410443937915424</v>
      </c>
      <c r="AD9" s="5">
        <f>LN(AA9)</f>
        <v>1.6193882432872684</v>
      </c>
      <c r="AE9" s="5">
        <f>LN(AA9/Y9)</f>
        <v>-4.9894891904823533</v>
      </c>
      <c r="AF9" s="5"/>
      <c r="AG9" s="2">
        <v>741.65</v>
      </c>
      <c r="AH9" s="2">
        <f>1/AG9</f>
        <v>1.3483449066271152E-3</v>
      </c>
      <c r="AI9" s="2">
        <v>63.3</v>
      </c>
      <c r="AJ9" s="2">
        <f>(AI9*$T$12)/($T$13*AG9)</f>
        <v>1.713835586821366E-8</v>
      </c>
      <c r="AK9" s="2">
        <f>LN(AJ9)</f>
        <v>-17.881946852052565</v>
      </c>
      <c r="AL9" s="2">
        <f>LN(AI9)</f>
        <v>4.1478853291501308</v>
      </c>
      <c r="AM9" s="2">
        <f>LN(AI9/AG9)</f>
        <v>-2.4609921046194909</v>
      </c>
    </row>
    <row r="10" spans="1:39" x14ac:dyDescent="0.25">
      <c r="A10" s="180" t="s">
        <v>724</v>
      </c>
      <c r="B10" s="17">
        <v>-75.065171430000007</v>
      </c>
      <c r="C10" s="17">
        <v>-75.090887879999997</v>
      </c>
      <c r="D10" s="17">
        <v>1.0027999999999999</v>
      </c>
      <c r="E10" s="33"/>
      <c r="F10" s="17">
        <v>0</v>
      </c>
      <c r="G10" s="17">
        <v>2.3600000000000001E-3</v>
      </c>
      <c r="H10" s="17">
        <v>-1.0895999999999999E-2</v>
      </c>
      <c r="I10" s="185">
        <f t="shared" si="0"/>
        <v>8.3182630459785774</v>
      </c>
      <c r="J10" s="186">
        <f t="shared" si="1"/>
        <v>-47104.091848688593</v>
      </c>
      <c r="K10" s="186">
        <f t="shared" si="2"/>
        <v>-47087.863914920577</v>
      </c>
      <c r="L10" s="187">
        <f t="shared" si="3"/>
        <v>-47102.610926782399</v>
      </c>
      <c r="M10" s="187">
        <f t="shared" si="4"/>
        <v>-47086.382993014384</v>
      </c>
      <c r="N10" s="188">
        <f t="shared" si="5"/>
        <v>-47110.929189828377</v>
      </c>
      <c r="O10" s="188">
        <f t="shared" si="6"/>
        <v>-47094.701256060362</v>
      </c>
      <c r="Q10">
        <f>2*B7-B3</f>
        <v>7.9040810000009287E-2</v>
      </c>
      <c r="S10" s="88" t="s">
        <v>140</v>
      </c>
      <c r="T10" s="107">
        <v>25</v>
      </c>
    </row>
    <row r="11" spans="1:39" x14ac:dyDescent="0.25">
      <c r="A11" s="180" t="s">
        <v>725</v>
      </c>
      <c r="B11" s="17">
        <v>-75.090887879999997</v>
      </c>
      <c r="C11" s="17"/>
      <c r="D11" s="17"/>
      <c r="E11" s="33"/>
      <c r="F11" s="17">
        <v>0</v>
      </c>
      <c r="G11" s="17">
        <v>2.3600000000000001E-3</v>
      </c>
      <c r="H11" s="17">
        <v>-1.0895999999999999E-2</v>
      </c>
      <c r="I11" s="185">
        <f t="shared" si="0"/>
        <v>8.3182630459785774</v>
      </c>
      <c r="J11" s="186">
        <f t="shared" si="1"/>
        <v>-47120.229159771021</v>
      </c>
      <c r="K11" s="186">
        <f t="shared" si="2"/>
        <v>-47120.229159771021</v>
      </c>
      <c r="L11" s="187">
        <f t="shared" si="3"/>
        <v>-47118.748237864827</v>
      </c>
      <c r="M11" s="187">
        <f t="shared" si="4"/>
        <v>-47118.748237864827</v>
      </c>
      <c r="N11" s="188">
        <f t="shared" si="5"/>
        <v>-47127.066500910805</v>
      </c>
      <c r="O11" s="188">
        <f t="shared" si="6"/>
        <v>-47127.066500910805</v>
      </c>
      <c r="Q11" s="11">
        <f>Q10*($T$3*$T$4)</f>
        <v>49.598841954382266</v>
      </c>
      <c r="S11" s="88" t="s">
        <v>152</v>
      </c>
      <c r="T11" s="108"/>
    </row>
    <row r="12" spans="1:39" x14ac:dyDescent="0.25">
      <c r="A12" s="180" t="s">
        <v>682</v>
      </c>
      <c r="B12" s="17">
        <v>-151.53605673000001</v>
      </c>
      <c r="C12" s="17">
        <v>-151.53617410000001</v>
      </c>
      <c r="D12" s="17">
        <v>1.0051000000000001</v>
      </c>
      <c r="E12" s="33"/>
      <c r="F12" s="17">
        <v>1.8886E-2</v>
      </c>
      <c r="G12" s="17">
        <v>2.4572E-2</v>
      </c>
      <c r="H12" s="17">
        <v>-2.5929999999999998E-3</v>
      </c>
      <c r="I12" s="185">
        <f t="shared" si="0"/>
        <v>17.046289653289687</v>
      </c>
      <c r="J12" s="186">
        <f t="shared" si="1"/>
        <v>-95078.431058734612</v>
      </c>
      <c r="K12" s="186">
        <f t="shared" si="2"/>
        <v>-95078.356652881426</v>
      </c>
      <c r="L12" s="187">
        <f t="shared" si="3"/>
        <v>-95074.863040955534</v>
      </c>
      <c r="M12" s="187">
        <f t="shared" si="4"/>
        <v>-95074.788635102348</v>
      </c>
      <c r="N12" s="188">
        <f t="shared" si="5"/>
        <v>-95091.909330608833</v>
      </c>
      <c r="O12" s="188">
        <f t="shared" si="6"/>
        <v>-95091.834924755633</v>
      </c>
      <c r="S12" s="88" t="s">
        <v>654</v>
      </c>
      <c r="T12" s="109">
        <v>6.6260695699999996E-34</v>
      </c>
    </row>
    <row r="13" spans="1:39" x14ac:dyDescent="0.25">
      <c r="A13" s="180" t="s">
        <v>687</v>
      </c>
      <c r="B13" s="17">
        <v>-151.53618449000001</v>
      </c>
      <c r="C13" s="17"/>
      <c r="D13" s="17"/>
      <c r="E13" s="33"/>
      <c r="F13" s="17">
        <v>1.8336999999999999E-2</v>
      </c>
      <c r="G13" s="17">
        <v>2.4369999999999999E-2</v>
      </c>
      <c r="H13" s="17">
        <v>-4.7949999999999998E-3</v>
      </c>
      <c r="I13" s="185">
        <f t="shared" si="0"/>
        <v>18.301308217860985</v>
      </c>
      <c r="J13" s="186">
        <f t="shared" si="1"/>
        <v>-95078.855731916497</v>
      </c>
      <c r="K13" s="186">
        <f t="shared" si="2"/>
        <v>-95078.855731916497</v>
      </c>
      <c r="L13" s="187">
        <f t="shared" si="3"/>
        <v>-95075.069968416472</v>
      </c>
      <c r="M13" s="187">
        <f t="shared" si="4"/>
        <v>-95075.069968416472</v>
      </c>
      <c r="N13" s="188">
        <f t="shared" si="5"/>
        <v>-95093.371276634323</v>
      </c>
      <c r="O13" s="188">
        <f t="shared" si="6"/>
        <v>-95093.371276634323</v>
      </c>
      <c r="Q13" s="6">
        <f>K13-K28</f>
        <v>-1.139241001161281</v>
      </c>
      <c r="S13" s="88" t="s">
        <v>659</v>
      </c>
      <c r="T13" s="110">
        <f>(1.3806488*10^-23)/(1000*T5)</f>
        <v>3.2998298279158703E-27</v>
      </c>
      <c r="AC13" s="6">
        <f xml:space="preserve">  -20622*T15</f>
        <v>-40.980115113603425</v>
      </c>
    </row>
    <row r="14" spans="1:39" x14ac:dyDescent="0.25">
      <c r="A14" s="180" t="s">
        <v>681</v>
      </c>
      <c r="B14" s="17">
        <v>-151.53476505</v>
      </c>
      <c r="C14" s="17">
        <v>-151.5348607</v>
      </c>
      <c r="D14" s="17">
        <v>1.0049999999999999</v>
      </c>
      <c r="E14" s="33"/>
      <c r="F14" s="17">
        <v>1.8578000000000001E-2</v>
      </c>
      <c r="G14" s="17">
        <v>2.4593E-2</v>
      </c>
      <c r="H14" s="17">
        <v>4.3249999999999999E-3</v>
      </c>
      <c r="I14" s="185">
        <f t="shared" si="0"/>
        <v>12.718358133365557</v>
      </c>
      <c r="J14" s="186">
        <f t="shared" si="1"/>
        <v>-95077.813790403816</v>
      </c>
      <c r="K14" s="186">
        <f t="shared" si="2"/>
        <v>-95077.753165912218</v>
      </c>
      <c r="L14" s="187">
        <f t="shared" si="3"/>
        <v>-95074.039322070865</v>
      </c>
      <c r="M14" s="187">
        <f t="shared" si="4"/>
        <v>-95073.978697579252</v>
      </c>
      <c r="N14" s="188">
        <f t="shared" si="5"/>
        <v>-95086.757680204231</v>
      </c>
      <c r="O14" s="188">
        <f t="shared" si="6"/>
        <v>-95086.697055712633</v>
      </c>
      <c r="Q14" s="6">
        <f>(K16+K7)-(K3+K20)</f>
        <v>43.716488366044359</v>
      </c>
      <c r="S14" s="91" t="s">
        <v>143</v>
      </c>
      <c r="T14" s="110">
        <v>3.1415926500000002</v>
      </c>
      <c r="AC14" s="6">
        <f>2260.2*T15</f>
        <v>4.4914778479180706</v>
      </c>
    </row>
    <row r="15" spans="1:39" x14ac:dyDescent="0.25">
      <c r="A15" s="180" t="s">
        <v>691</v>
      </c>
      <c r="B15" s="17">
        <v>-151.55595045999999</v>
      </c>
      <c r="C15" s="17"/>
      <c r="D15" s="17"/>
      <c r="E15" s="33"/>
      <c r="F15" s="17">
        <v>2.1957999999999998E-2</v>
      </c>
      <c r="G15" s="17">
        <v>2.7663E-2</v>
      </c>
      <c r="H15" s="17">
        <v>-1.101E-3</v>
      </c>
      <c r="I15" s="185">
        <f t="shared" si="0"/>
        <v>18.049676995664441</v>
      </c>
      <c r="J15" s="186">
        <f t="shared" si="1"/>
        <v>-95088.986850453701</v>
      </c>
      <c r="K15" s="186">
        <f t="shared" si="2"/>
        <v>-95088.986850453701</v>
      </c>
      <c r="L15" s="187">
        <f t="shared" si="3"/>
        <v>-95085.406909998273</v>
      </c>
      <c r="M15" s="187">
        <f t="shared" si="4"/>
        <v>-95085.406909998273</v>
      </c>
      <c r="N15" s="188">
        <f t="shared" si="5"/>
        <v>-95103.45658699394</v>
      </c>
      <c r="O15" s="188">
        <f t="shared" si="6"/>
        <v>-95103.45658699394</v>
      </c>
      <c r="S15" s="92" t="s">
        <v>655</v>
      </c>
      <c r="T15" s="111">
        <f>T13*T16</f>
        <v>1.9872037199885279E-3</v>
      </c>
      <c r="Y15" s="6">
        <f>2000*T15</f>
        <v>3.9744074399770559</v>
      </c>
    </row>
    <row r="16" spans="1:39" x14ac:dyDescent="0.25">
      <c r="A16" s="180" t="s">
        <v>679</v>
      </c>
      <c r="B16" s="17">
        <v>-78.678248409999995</v>
      </c>
      <c r="C16" s="17"/>
      <c r="D16" s="17"/>
      <c r="E16" s="33"/>
      <c r="F16" s="17">
        <v>8.5839999999999996E-3</v>
      </c>
      <c r="G16" s="17">
        <v>1.4014E-2</v>
      </c>
      <c r="H16" s="17">
        <v>-8.3479999999999995E-3</v>
      </c>
      <c r="I16" s="185">
        <f t="shared" si="0"/>
        <v>14.032362570471708</v>
      </c>
      <c r="J16" s="186">
        <f t="shared" si="1"/>
        <v>-49365.944651572048</v>
      </c>
      <c r="K16" s="186">
        <f t="shared" si="2"/>
        <v>-49365.944651572048</v>
      </c>
      <c r="L16" s="187">
        <f t="shared" si="3"/>
        <v>-49362.537276169234</v>
      </c>
      <c r="M16" s="187">
        <f t="shared" si="4"/>
        <v>-49362.537276169234</v>
      </c>
      <c r="N16" s="188">
        <f t="shared" si="5"/>
        <v>-49376.569638739704</v>
      </c>
      <c r="O16" s="188">
        <f t="shared" si="6"/>
        <v>-49376.569638739704</v>
      </c>
      <c r="S16" s="88" t="s">
        <v>145</v>
      </c>
      <c r="T16" s="110">
        <v>6.0221399999999997E+23</v>
      </c>
      <c r="Y16" s="18">
        <f>24400*T15</f>
        <v>48.487770767720079</v>
      </c>
    </row>
    <row r="17" spans="1:45" ht="15.75" thickBot="1" x14ac:dyDescent="0.3">
      <c r="A17" s="180" t="s">
        <v>708</v>
      </c>
      <c r="B17" s="17">
        <v>-151.53576869</v>
      </c>
      <c r="C17" s="17">
        <v>-151.55251371</v>
      </c>
      <c r="D17" s="17">
        <v>0.89459999999999995</v>
      </c>
      <c r="E17" s="33"/>
      <c r="F17" s="17">
        <v>2.3064000000000001E-2</v>
      </c>
      <c r="G17" s="17">
        <v>2.8058E-2</v>
      </c>
      <c r="H17" s="17">
        <v>2.5149999999999999E-3</v>
      </c>
      <c r="I17" s="185">
        <f t="shared" si="0"/>
        <v>16.028469597422362</v>
      </c>
      <c r="J17" s="186">
        <f t="shared" si="1"/>
        <v>-95075.628577179552</v>
      </c>
      <c r="K17" s="186">
        <f t="shared" si="2"/>
        <v>-95067.124733689183</v>
      </c>
      <c r="L17" s="187">
        <f t="shared" si="3"/>
        <v>-95072.494795823819</v>
      </c>
      <c r="M17" s="187">
        <f t="shared" si="4"/>
        <v>-95063.990952333465</v>
      </c>
      <c r="N17" s="188">
        <f t="shared" si="5"/>
        <v>-95088.523265421245</v>
      </c>
      <c r="O17" s="188">
        <f t="shared" si="6"/>
        <v>-95080.019421930876</v>
      </c>
      <c r="S17" s="90" t="s">
        <v>153</v>
      </c>
      <c r="T17" s="112">
        <v>29979245800</v>
      </c>
      <c r="AS17">
        <f xml:space="preserve">  -20622*T15</f>
        <v>-40.980115113603425</v>
      </c>
    </row>
    <row r="18" spans="1:45" x14ac:dyDescent="0.25">
      <c r="A18" s="180" t="s">
        <v>722</v>
      </c>
      <c r="B18" s="17">
        <v>-151.55595045999999</v>
      </c>
      <c r="C18" s="17"/>
      <c r="D18" s="17"/>
      <c r="E18" s="33"/>
      <c r="F18" s="17">
        <v>2.1957999999999998E-2</v>
      </c>
      <c r="G18" s="17">
        <v>2.7663E-2</v>
      </c>
      <c r="H18" s="17">
        <v>-1.101E-3</v>
      </c>
      <c r="I18" s="185">
        <f t="shared" si="0"/>
        <v>18.049676995664441</v>
      </c>
      <c r="J18" s="186">
        <f t="shared" si="1"/>
        <v>-95088.986850453701</v>
      </c>
      <c r="K18" s="186">
        <f t="shared" si="2"/>
        <v>-95088.986850453701</v>
      </c>
      <c r="L18" s="187">
        <f t="shared" si="3"/>
        <v>-95085.406909998273</v>
      </c>
      <c r="M18" s="187">
        <f t="shared" si="4"/>
        <v>-95085.406909998273</v>
      </c>
      <c r="N18" s="188">
        <f t="shared" si="5"/>
        <v>-95103.45658699394</v>
      </c>
      <c r="O18" s="188">
        <f t="shared" si="6"/>
        <v>-95103.45658699394</v>
      </c>
      <c r="Q18" s="6">
        <f>J23-(J3+J19)</f>
        <v>41.639125162095297</v>
      </c>
      <c r="S18" s="87" t="s">
        <v>154</v>
      </c>
      <c r="T18" s="93">
        <f>((2*T14)/(T12*T8*T17))</f>
        <v>1.5815144992182973E+20</v>
      </c>
      <c r="AS18" s="18">
        <f xml:space="preserve">  -22938*T15</f>
        <v>-45.582478929096851</v>
      </c>
    </row>
    <row r="19" spans="1:45" ht="15.75" thickBot="1" x14ac:dyDescent="0.3">
      <c r="A19" s="180" t="s">
        <v>737</v>
      </c>
      <c r="B19" s="17">
        <v>-527.55388452</v>
      </c>
      <c r="C19" s="17"/>
      <c r="D19" s="17"/>
      <c r="E19" s="33"/>
      <c r="F19" s="17">
        <v>0</v>
      </c>
      <c r="G19" s="17">
        <v>2.3600000000000001E-3</v>
      </c>
      <c r="H19" s="17">
        <v>-1.2193000000000001E-2</v>
      </c>
      <c r="I19" s="185">
        <f t="shared" si="0"/>
        <v>9.1321425851030664</v>
      </c>
      <c r="J19" s="186">
        <f t="shared" si="1"/>
        <v>-331044.95944215194</v>
      </c>
      <c r="K19" s="186">
        <f t="shared" si="2"/>
        <v>-331044.95944215194</v>
      </c>
      <c r="L19" s="187">
        <f t="shared" si="3"/>
        <v>-331043.47852024576</v>
      </c>
      <c r="M19" s="187">
        <f t="shared" si="4"/>
        <v>-331043.47852024576</v>
      </c>
      <c r="N19" s="188">
        <f t="shared" si="5"/>
        <v>-331052.61066283088</v>
      </c>
      <c r="O19" s="188">
        <f t="shared" si="6"/>
        <v>-331052.61066283088</v>
      </c>
      <c r="Q19" s="6">
        <f>K22-(K3+K20)</f>
        <v>42.121938026015414</v>
      </c>
      <c r="R19" s="6"/>
      <c r="S19" s="90" t="s">
        <v>155</v>
      </c>
      <c r="T19" s="94">
        <f>(1/(T13*T10))</f>
        <v>1.21218372116066E+25</v>
      </c>
    </row>
    <row r="20" spans="1:45" x14ac:dyDescent="0.25">
      <c r="A20" s="180" t="s">
        <v>657</v>
      </c>
      <c r="B20" s="17">
        <v>-2.9130278600000001</v>
      </c>
      <c r="C20" s="17"/>
      <c r="D20" s="17"/>
      <c r="E20" s="33"/>
      <c r="F20" s="17">
        <v>0</v>
      </c>
      <c r="G20" s="17">
        <v>2.3600000000000001E-3</v>
      </c>
      <c r="H20" s="17">
        <v>-8.9339999999999992E-3</v>
      </c>
      <c r="I20" s="185">
        <f t="shared" si="0"/>
        <v>7.0870898341341313</v>
      </c>
      <c r="J20" s="186">
        <f t="shared" si="1"/>
        <v>-1827.9520217067034</v>
      </c>
      <c r="K20" s="186">
        <f t="shared" si="2"/>
        <v>-1827.9520217067034</v>
      </c>
      <c r="L20" s="187">
        <f t="shared" si="3"/>
        <v>-1826.4710998005091</v>
      </c>
      <c r="M20" s="187">
        <f t="shared" si="4"/>
        <v>-1826.4710998005091</v>
      </c>
      <c r="N20" s="188">
        <f t="shared" si="5"/>
        <v>-1833.5581896346432</v>
      </c>
      <c r="O20" s="188">
        <f t="shared" si="6"/>
        <v>-1833.5581896346432</v>
      </c>
      <c r="S20" s="22" t="s">
        <v>146</v>
      </c>
      <c r="T20" s="95" t="e">
        <f>((T19*T14)/T18)/SIN((T19*T14)/T18)-(T19/(T18-T19))*EXP((T19-T18)*((#REF!*1000/T16)))</f>
        <v>#REF!</v>
      </c>
    </row>
    <row r="21" spans="1:45" ht="15.75" thickBot="1" x14ac:dyDescent="0.3">
      <c r="A21" s="180" t="s">
        <v>671</v>
      </c>
      <c r="B21" s="17">
        <v>-154.52417854000001</v>
      </c>
      <c r="C21" s="17">
        <v>-151.43670302999999</v>
      </c>
      <c r="D21" s="17"/>
      <c r="E21" s="33"/>
      <c r="F21" s="17">
        <v>2.6481999999999999E-2</v>
      </c>
      <c r="G21" s="17">
        <v>3.3204999999999998E-2</v>
      </c>
      <c r="H21" s="17">
        <v>-3.0609999999999999E-3</v>
      </c>
      <c r="I21" s="185">
        <f t="shared" si="0"/>
        <v>22.757251631371386</v>
      </c>
      <c r="J21" s="186">
        <f t="shared" si="1"/>
        <v>-96948.738670601582</v>
      </c>
      <c r="K21" s="186">
        <f t="shared" si="2"/>
        <v>-96948.738670601582</v>
      </c>
      <c r="L21" s="187">
        <f t="shared" si="3"/>
        <v>-96944.519925696761</v>
      </c>
      <c r="M21" s="187">
        <f t="shared" si="4"/>
        <v>-96944.519925696761</v>
      </c>
      <c r="N21" s="188">
        <f t="shared" si="5"/>
        <v>-96967.277177328142</v>
      </c>
      <c r="O21" s="188">
        <f t="shared" si="6"/>
        <v>-96967.277177328142</v>
      </c>
      <c r="S21" s="72" t="s">
        <v>156</v>
      </c>
      <c r="T21" s="181" t="e">
        <f>(T15*T10*LN(T20)/1000)/T5</f>
        <v>#REF!</v>
      </c>
      <c r="AC21">
        <v>1.4189999999999999E-3</v>
      </c>
    </row>
    <row r="22" spans="1:45" x14ac:dyDescent="0.25">
      <c r="A22" s="180" t="s">
        <v>658</v>
      </c>
      <c r="B22" s="17">
        <v>-154.44828315000001</v>
      </c>
      <c r="C22" s="17">
        <v>-154.44908181</v>
      </c>
      <c r="D22" s="17">
        <v>0.99280000000000002</v>
      </c>
      <c r="E22" s="33">
        <v>209.85</v>
      </c>
      <c r="F22" s="17">
        <v>1.8561999999999999E-2</v>
      </c>
      <c r="G22" s="17">
        <v>2.6325000000000001E-2</v>
      </c>
      <c r="H22" s="17">
        <v>-1.0012999999999999E-2</v>
      </c>
      <c r="I22" s="185">
        <f t="shared" si="0"/>
        <v>22.802432299695955</v>
      </c>
      <c r="J22" s="186">
        <f t="shared" si="1"/>
        <v>-96906.08348240958</v>
      </c>
      <c r="K22" s="186">
        <f t="shared" si="2"/>
        <v>-96905.589481055184</v>
      </c>
      <c r="L22" s="187">
        <f t="shared" si="3"/>
        <v>-96901.212127851191</v>
      </c>
      <c r="M22" s="187">
        <f t="shared" si="4"/>
        <v>-96900.718126496795</v>
      </c>
      <c r="N22" s="188">
        <f t="shared" si="5"/>
        <v>-96924.014560150885</v>
      </c>
      <c r="O22" s="188">
        <f t="shared" si="6"/>
        <v>-96923.520558796488</v>
      </c>
      <c r="S22" s="22" t="s">
        <v>147</v>
      </c>
      <c r="T22" s="95" t="e">
        <f>(T19/(T19-T18))*(EXP((T19-T18)*((#REF!)*1000/T16))-1)</f>
        <v>#REF!</v>
      </c>
      <c r="AC22">
        <v>1.403E-3</v>
      </c>
    </row>
    <row r="23" spans="1:45" ht="15.75" thickBot="1" x14ac:dyDescent="0.3">
      <c r="A23" s="180" t="s">
        <v>738</v>
      </c>
      <c r="B23" s="17">
        <v>-679.08909998000001</v>
      </c>
      <c r="C23" s="17">
        <v>-679.08987602000002</v>
      </c>
      <c r="D23" s="17">
        <v>0.99180000000000001</v>
      </c>
      <c r="E23" s="33">
        <v>208.95</v>
      </c>
      <c r="F23" s="17">
        <v>1.8540000000000001E-2</v>
      </c>
      <c r="G23" s="17">
        <v>2.6315000000000002E-2</v>
      </c>
      <c r="H23" s="17">
        <v>-1.2754E-2</v>
      </c>
      <c r="I23" s="185">
        <f t="shared" si="0"/>
        <v>24.516160149618063</v>
      </c>
      <c r="J23" s="186">
        <f t="shared" si="1"/>
        <v>-426123.07971436431</v>
      </c>
      <c r="K23" s="186">
        <f t="shared" si="2"/>
        <v>-426122.60066345125</v>
      </c>
      <c r="L23" s="187">
        <f t="shared" si="3"/>
        <v>-426118.20082969457</v>
      </c>
      <c r="M23" s="187">
        <f t="shared" si="4"/>
        <v>-426117.7217787815</v>
      </c>
      <c r="N23" s="188">
        <f t="shared" si="5"/>
        <v>-426142.71698984416</v>
      </c>
      <c r="O23" s="188">
        <f t="shared" si="6"/>
        <v>-426142.2379389311</v>
      </c>
      <c r="S23" s="72" t="s">
        <v>157</v>
      </c>
      <c r="T23" s="182" t="e">
        <f>(T15*T10*LN(T22)/1000)/T5</f>
        <v>#REF!</v>
      </c>
      <c r="AC23">
        <v>1.3860000000000001E-3</v>
      </c>
      <c r="AJ23" t="s">
        <v>431</v>
      </c>
      <c r="AK23" t="s">
        <v>662</v>
      </c>
      <c r="AL23" t="s">
        <v>258</v>
      </c>
      <c r="AM23" t="s">
        <v>257</v>
      </c>
      <c r="AN23" t="s">
        <v>663</v>
      </c>
    </row>
    <row r="24" spans="1:45" ht="15.75" thickBot="1" x14ac:dyDescent="0.3">
      <c r="A24" s="180" t="s">
        <v>690</v>
      </c>
      <c r="B24" s="17">
        <v>-154.44929417</v>
      </c>
      <c r="C24" s="17"/>
      <c r="D24" s="17"/>
      <c r="E24" s="33">
        <v>142.49</v>
      </c>
      <c r="F24" s="17">
        <v>1.8783999999999999E-2</v>
      </c>
      <c r="G24" s="17">
        <v>2.6317E-2</v>
      </c>
      <c r="H24" s="17">
        <v>-1.0388E-2</v>
      </c>
      <c r="I24" s="185">
        <f t="shared" si="0"/>
        <v>23.032728206294788</v>
      </c>
      <c r="J24" s="186">
        <f t="shared" si="1"/>
        <v>-96906.57859978349</v>
      </c>
      <c r="K24" s="186">
        <f t="shared" si="2"/>
        <v>-96906.57859978349</v>
      </c>
      <c r="L24" s="187">
        <f t="shared" si="3"/>
        <v>-96901.851572360029</v>
      </c>
      <c r="M24" s="187">
        <f t="shared" si="4"/>
        <v>-96901.851572360029</v>
      </c>
      <c r="N24" s="188">
        <f t="shared" si="5"/>
        <v>-96924.884300566337</v>
      </c>
      <c r="O24" s="188">
        <f t="shared" si="6"/>
        <v>-96924.884300566337</v>
      </c>
      <c r="Q24" s="6">
        <f>J111-(J108+J106)</f>
        <v>42.509782632158021</v>
      </c>
      <c r="S24" s="96" t="s">
        <v>158</v>
      </c>
      <c r="T24" s="97"/>
      <c r="AC24">
        <v>1.3669999999999999E-3</v>
      </c>
      <c r="AJ24" t="s">
        <v>660</v>
      </c>
      <c r="AK24" s="6">
        <v>27580</v>
      </c>
      <c r="AL24" s="6">
        <v>-138900</v>
      </c>
      <c r="AM24" s="6">
        <v>194000</v>
      </c>
      <c r="AN24" s="6">
        <f>ABS(AL24-AM24)/3.92</f>
        <v>84923.469387755104</v>
      </c>
    </row>
    <row r="25" spans="1:45" x14ac:dyDescent="0.25">
      <c r="A25" s="180" t="s">
        <v>688</v>
      </c>
      <c r="B25" s="17">
        <v>-154.44922747000001</v>
      </c>
      <c r="C25" s="17"/>
      <c r="D25" s="17"/>
      <c r="E25" s="33">
        <v>792.9</v>
      </c>
      <c r="F25" s="17">
        <v>1.6410000000000001E-2</v>
      </c>
      <c r="G25" s="17">
        <v>2.3673E-2</v>
      </c>
      <c r="H25" s="17">
        <v>-1.2194E-2</v>
      </c>
      <c r="I25" s="185">
        <f t="shared" si="0"/>
        <v>22.506875427739409</v>
      </c>
      <c r="J25" s="186">
        <f t="shared" si="1"/>
        <v>-96908.026451950514</v>
      </c>
      <c r="K25" s="186">
        <f t="shared" si="2"/>
        <v>-96908.026451950514</v>
      </c>
      <c r="L25" s="187">
        <f t="shared" si="3"/>
        <v>-96903.468852033271</v>
      </c>
      <c r="M25" s="187">
        <f t="shared" si="4"/>
        <v>-96903.468852033271</v>
      </c>
      <c r="N25" s="188">
        <f t="shared" si="5"/>
        <v>-96925.975727461002</v>
      </c>
      <c r="O25" s="188">
        <f t="shared" si="6"/>
        <v>-96925.975727461002</v>
      </c>
      <c r="S25" s="98" t="s">
        <v>148</v>
      </c>
      <c r="T25" s="99">
        <f>1+(1/24)*(T12*T8*T17/(T10*T13))^2</f>
        <v>9663601959.2938538</v>
      </c>
      <c r="W25" s="18">
        <f>900*T15</f>
        <v>1.7884833479896751</v>
      </c>
      <c r="AC25">
        <v>1.348E-3</v>
      </c>
      <c r="AJ25" t="s">
        <v>661</v>
      </c>
      <c r="AK25" s="6">
        <v>-22740</v>
      </c>
      <c r="AL25" s="6">
        <v>-27170</v>
      </c>
      <c r="AM25" s="6">
        <v>-18310</v>
      </c>
      <c r="AN25" s="198">
        <f>ABS(AL25-AM25)/3.92</f>
        <v>2260.204081632653</v>
      </c>
    </row>
    <row r="26" spans="1:45" x14ac:dyDescent="0.25">
      <c r="A26" s="180" t="s">
        <v>670</v>
      </c>
      <c r="B26" s="17">
        <v>-154.44931582999999</v>
      </c>
      <c r="C26" s="17">
        <v>-154.44943275</v>
      </c>
      <c r="D26" s="17">
        <v>1.0051000000000001</v>
      </c>
      <c r="E26" s="33"/>
      <c r="F26" s="17">
        <v>1.9193999999999999E-2</v>
      </c>
      <c r="G26" s="17">
        <v>2.741E-2</v>
      </c>
      <c r="H26" s="17">
        <v>-9.6609999999999994E-3</v>
      </c>
      <c r="I26" s="185">
        <f t="shared" si="0"/>
        <v>23.262396603611336</v>
      </c>
      <c r="J26" s="186">
        <f t="shared" si="1"/>
        <v>-96906.334912828795</v>
      </c>
      <c r="K26" s="186">
        <f t="shared" si="2"/>
        <v>-96906.260792249799</v>
      </c>
      <c r="L26" s="187">
        <f t="shared" si="3"/>
        <v>-96901.179296565533</v>
      </c>
      <c r="M26" s="187">
        <f t="shared" si="4"/>
        <v>-96901.105175986537</v>
      </c>
      <c r="N26" s="188">
        <f t="shared" si="5"/>
        <v>-96924.441693169152</v>
      </c>
      <c r="O26" s="188">
        <f t="shared" si="6"/>
        <v>-96924.367572590156</v>
      </c>
      <c r="S26" s="98" t="s">
        <v>159</v>
      </c>
      <c r="T26" s="99">
        <f>(T10*T13)/(T8*T12*T17)</f>
        <v>2.0764661826072391E-6</v>
      </c>
      <c r="Z26">
        <f xml:space="preserve"> -743.87842- -743.892656</f>
        <v>1.4235999999982596E-2</v>
      </c>
      <c r="AJ26" s="5">
        <v>1.2999999999999999E-3</v>
      </c>
      <c r="AK26" s="2">
        <f>$AK$24*EXP($AK$25*AJ26)</f>
        <v>3.9992705752109143E-9</v>
      </c>
    </row>
    <row r="27" spans="1:45" ht="15.75" thickBot="1" x14ac:dyDescent="0.3">
      <c r="A27" s="180" t="s">
        <v>676</v>
      </c>
      <c r="B27" s="17">
        <v>-303.16198494000002</v>
      </c>
      <c r="C27" s="17">
        <v>-303.16156462999999</v>
      </c>
      <c r="D27" s="17">
        <v>0.97899999999999998</v>
      </c>
      <c r="E27" s="33">
        <v>259</v>
      </c>
      <c r="F27" s="17">
        <v>4.8462999999999999E-2</v>
      </c>
      <c r="G27" s="17">
        <v>5.6701000000000001E-2</v>
      </c>
      <c r="H27" s="17">
        <v>2.0584999999999999E-2</v>
      </c>
      <c r="I27" s="185">
        <f t="shared" si="0"/>
        <v>22.663125239028542</v>
      </c>
      <c r="J27" s="186">
        <f t="shared" si="1"/>
        <v>-190206.54860364506</v>
      </c>
      <c r="K27" s="186">
        <f t="shared" si="2"/>
        <v>-190206.80150247904</v>
      </c>
      <c r="L27" s="187">
        <f t="shared" si="3"/>
        <v>-190201.37918217762</v>
      </c>
      <c r="M27" s="187">
        <f t="shared" si="4"/>
        <v>-190201.6320810116</v>
      </c>
      <c r="N27" s="188">
        <f t="shared" si="5"/>
        <v>-190224.04230741665</v>
      </c>
      <c r="O27" s="188">
        <f t="shared" si="6"/>
        <v>-190224.29520625062</v>
      </c>
      <c r="S27" s="98" t="s">
        <v>440</v>
      </c>
      <c r="T27" s="115">
        <f>(T15*T10*LN(T25)/1000)/T5</f>
        <v>2.7299866882117926E-4</v>
      </c>
      <c r="Z27" s="11">
        <f>Z26*($T$3*$T$4)</f>
        <v>8.933222142607594</v>
      </c>
      <c r="AJ27" s="5">
        <v>1.31E-3</v>
      </c>
      <c r="AK27" s="2">
        <f t="shared" ref="AK27:AK45" si="7">$AK$24*EXP($AK$25*AJ27)</f>
        <v>3.1858272495870089E-9</v>
      </c>
    </row>
    <row r="28" spans="1:45" x14ac:dyDescent="0.25">
      <c r="A28" s="180" t="s">
        <v>700</v>
      </c>
      <c r="B28" s="17">
        <v>-151.53505488900001</v>
      </c>
      <c r="C28" s="17">
        <v>-151.53586744</v>
      </c>
      <c r="D28" s="17">
        <v>0.99339999999999995</v>
      </c>
      <c r="E28" s="33">
        <v>206.76</v>
      </c>
      <c r="F28" s="17">
        <v>1.8221000000000001E-2</v>
      </c>
      <c r="G28" s="17">
        <v>2.3460000000000002E-2</v>
      </c>
      <c r="H28" s="17">
        <v>-2.9139999999999999E-3</v>
      </c>
      <c r="I28" s="185">
        <f t="shared" si="0"/>
        <v>16.549929811001736</v>
      </c>
      <c r="J28" s="186">
        <f t="shared" si="1"/>
        <v>-95078.219687880453</v>
      </c>
      <c r="K28" s="186">
        <f t="shared" si="2"/>
        <v>-95077.716490915336</v>
      </c>
      <c r="L28" s="187">
        <f t="shared" si="3"/>
        <v>-95074.932166750572</v>
      </c>
      <c r="M28" s="187">
        <f t="shared" si="4"/>
        <v>-95074.428969785455</v>
      </c>
      <c r="N28" s="188">
        <f t="shared" si="5"/>
        <v>-95091.482096561565</v>
      </c>
      <c r="O28" s="188">
        <f t="shared" si="6"/>
        <v>-95090.978899596448</v>
      </c>
      <c r="S28" s="116" t="s">
        <v>160</v>
      </c>
      <c r="T28" s="26">
        <f>2*2*2</f>
        <v>8</v>
      </c>
      <c r="AJ28" s="5">
        <v>1.32E-3</v>
      </c>
      <c r="AK28" s="2">
        <f t="shared" si="7"/>
        <v>2.5378366062856091E-9</v>
      </c>
    </row>
    <row r="29" spans="1:45" ht="15.75" thickBot="1" x14ac:dyDescent="0.3">
      <c r="A29" s="180" t="s">
        <v>701</v>
      </c>
      <c r="B29" s="17">
        <v>-151.52355926000001</v>
      </c>
      <c r="C29" s="17">
        <v>-151.53830644999999</v>
      </c>
      <c r="D29" s="17">
        <v>1.0004</v>
      </c>
      <c r="E29" s="33"/>
      <c r="F29" s="17">
        <v>1.5923E-2</v>
      </c>
      <c r="G29" s="17">
        <v>2.0347000000000001E-2</v>
      </c>
      <c r="H29" s="17">
        <v>-3.9500000000000004E-3</v>
      </c>
      <c r="I29" s="185">
        <f t="shared" si="0"/>
        <v>15.24659303169444</v>
      </c>
      <c r="J29" s="186">
        <f t="shared" si="1"/>
        <v>-95072.448090307953</v>
      </c>
      <c r="K29" s="186">
        <f t="shared" si="2"/>
        <v>-95063.186685533961</v>
      </c>
      <c r="L29" s="187">
        <f t="shared" si="3"/>
        <v>-95069.671989243128</v>
      </c>
      <c r="M29" s="187">
        <f t="shared" si="4"/>
        <v>-95060.410584469137</v>
      </c>
      <c r="N29" s="188">
        <f t="shared" si="5"/>
        <v>-95084.918582274811</v>
      </c>
      <c r="O29" s="188">
        <f t="shared" si="6"/>
        <v>-95075.65717750082</v>
      </c>
      <c r="S29" s="102" t="s">
        <v>161</v>
      </c>
      <c r="T29" s="104">
        <f>(T10*T15*LN(T28)*10^-3)/T5</f>
        <v>2.469092953587983E-5</v>
      </c>
      <c r="AA29" t="s">
        <v>258</v>
      </c>
      <c r="AB29" t="s">
        <v>257</v>
      </c>
      <c r="AC29" t="s">
        <v>678</v>
      </c>
      <c r="AH29" t="s">
        <v>678</v>
      </c>
      <c r="AJ29" s="5">
        <v>1.33E-3</v>
      </c>
      <c r="AK29" s="2">
        <f t="shared" si="7"/>
        <v>2.0216459134870478E-9</v>
      </c>
    </row>
    <row r="30" spans="1:45" x14ac:dyDescent="0.25">
      <c r="A30" s="180" t="s">
        <v>709</v>
      </c>
      <c r="B30" s="17">
        <v>-151.52603821</v>
      </c>
      <c r="C30" s="17"/>
      <c r="D30" s="17"/>
      <c r="E30" s="33">
        <v>1206.4000000000001</v>
      </c>
      <c r="F30" s="17">
        <v>2.1722000000000002E-2</v>
      </c>
      <c r="G30" s="17">
        <v>2.5676999999999998E-2</v>
      </c>
      <c r="H30" s="17">
        <v>2.4399999999999999E-3</v>
      </c>
      <c r="I30" s="185">
        <f t="shared" si="0"/>
        <v>14.58143319247165</v>
      </c>
      <c r="J30" s="186">
        <f t="shared" si="1"/>
        <v>-95070.364728115281</v>
      </c>
      <c r="K30" s="186">
        <f t="shared" si="2"/>
        <v>-95070.364728115281</v>
      </c>
      <c r="L30" s="187">
        <f t="shared" si="3"/>
        <v>-95067.88292890384</v>
      </c>
      <c r="M30" s="187">
        <f t="shared" si="4"/>
        <v>-95067.88292890384</v>
      </c>
      <c r="N30" s="188">
        <f t="shared" si="5"/>
        <v>-95082.464362096303</v>
      </c>
      <c r="O30" s="188">
        <f t="shared" si="6"/>
        <v>-95082.464362096303</v>
      </c>
      <c r="AA30" s="2">
        <v>25300</v>
      </c>
      <c r="AB30" s="2">
        <v>15910</v>
      </c>
      <c r="AC30" s="127">
        <f xml:space="preserve"> (ABS(AA30-AB30) / 3.92)</f>
        <v>2395.408163265306</v>
      </c>
      <c r="AE30" s="1">
        <v>7.2930000000000001</v>
      </c>
      <c r="AF30" s="1">
        <v>0.79039999999999999</v>
      </c>
      <c r="AG30" s="1">
        <v>13.8</v>
      </c>
      <c r="AH30" s="1">
        <f xml:space="preserve"> (ABS(AF30-AG30) / 3.92)</f>
        <v>3.3187755102040817</v>
      </c>
      <c r="AJ30" s="5">
        <v>1.34E-3</v>
      </c>
      <c r="AK30" s="2">
        <f t="shared" si="7"/>
        <v>1.6104473351027499E-9</v>
      </c>
    </row>
    <row r="31" spans="1:45" x14ac:dyDescent="0.25">
      <c r="A31" s="180" t="s">
        <v>712</v>
      </c>
      <c r="B31" s="17">
        <v>-151.53442498999999</v>
      </c>
      <c r="C31" s="17">
        <v>-151.52357885000001</v>
      </c>
      <c r="D31" s="17">
        <v>0.4698</v>
      </c>
      <c r="E31" s="33">
        <v>356</v>
      </c>
      <c r="F31" s="17">
        <v>2.3547999999999999E-2</v>
      </c>
      <c r="G31" s="17">
        <v>2.7626000000000001E-2</v>
      </c>
      <c r="H31" s="17">
        <v>3.999E-3</v>
      </c>
      <c r="I31" s="185">
        <f t="shared" si="0"/>
        <v>14.826161812563056</v>
      </c>
      <c r="J31" s="186">
        <f t="shared" si="1"/>
        <v>-95074.481678464304</v>
      </c>
      <c r="K31" s="186">
        <f t="shared" si="2"/>
        <v>-95076.571264104728</v>
      </c>
      <c r="L31" s="187">
        <f t="shared" si="3"/>
        <v>-95071.922695611152</v>
      </c>
      <c r="M31" s="187">
        <f t="shared" si="4"/>
        <v>-95074.012281251576</v>
      </c>
      <c r="N31" s="188">
        <f t="shared" si="5"/>
        <v>-95086.748857423721</v>
      </c>
      <c r="O31" s="188">
        <f t="shared" si="6"/>
        <v>-95088.838443064131</v>
      </c>
      <c r="AA31" s="199">
        <f t="shared" ref="AA31:AA36" si="8">I43+$AC$30</f>
        <v>2436.3445598970698</v>
      </c>
      <c r="AB31" s="13">
        <f t="shared" ref="AB31:AB36" si="9">I43-$AC$30</f>
        <v>-2354.4717666335423</v>
      </c>
      <c r="AJ31" s="5">
        <v>1.3500000000000001E-3</v>
      </c>
      <c r="AK31" s="2">
        <f t="shared" si="7"/>
        <v>1.2828856932053316E-9</v>
      </c>
    </row>
    <row r="32" spans="1:45" x14ac:dyDescent="0.25">
      <c r="A32" s="180" t="s">
        <v>713</v>
      </c>
      <c r="B32" s="17">
        <v>-151.53604691000001</v>
      </c>
      <c r="C32" s="17"/>
      <c r="D32" s="17"/>
      <c r="E32" s="33">
        <v>152.9</v>
      </c>
      <c r="F32" s="17">
        <v>1.8415000000000001E-2</v>
      </c>
      <c r="G32" s="17">
        <v>2.3453999999999999E-2</v>
      </c>
      <c r="H32" s="17">
        <v>-3.4350000000000001E-3</v>
      </c>
      <c r="I32" s="185">
        <f t="shared" si="0"/>
        <v>16.873097091378845</v>
      </c>
      <c r="J32" s="186">
        <f t="shared" si="1"/>
        <v>-95078.720453465416</v>
      </c>
      <c r="K32" s="186">
        <f t="shared" si="2"/>
        <v>-95078.720453465416</v>
      </c>
      <c r="L32" s="187">
        <f t="shared" si="3"/>
        <v>-95075.558434191989</v>
      </c>
      <c r="M32" s="187">
        <f t="shared" si="4"/>
        <v>-95075.558434191989</v>
      </c>
      <c r="N32" s="188">
        <f t="shared" si="5"/>
        <v>-95092.431531283364</v>
      </c>
      <c r="O32" s="188">
        <f t="shared" si="6"/>
        <v>-95092.431531283364</v>
      </c>
      <c r="AA32" s="199">
        <f t="shared" si="8"/>
        <v>2436.3445598970698</v>
      </c>
      <c r="AB32" s="13">
        <f t="shared" si="9"/>
        <v>-2354.4717666335423</v>
      </c>
      <c r="AJ32" s="5">
        <v>1.3600000000000001E-3</v>
      </c>
      <c r="AK32" s="2">
        <f t="shared" si="7"/>
        <v>1.0219494086876921E-9</v>
      </c>
    </row>
    <row r="33" spans="1:37" x14ac:dyDescent="0.25">
      <c r="A33" s="180" t="s">
        <v>718</v>
      </c>
      <c r="B33" s="17">
        <v>-151.53601867</v>
      </c>
      <c r="C33" s="17"/>
      <c r="D33" s="17"/>
      <c r="E33" s="33">
        <v>795.6</v>
      </c>
      <c r="F33" s="17">
        <v>1.6074000000000001E-2</v>
      </c>
      <c r="G33" s="17">
        <v>2.0816999999999999E-2</v>
      </c>
      <c r="H33" s="17">
        <v>-5.1500000000000001E-3</v>
      </c>
      <c r="I33" s="185">
        <f t="shared" si="0"/>
        <v>16.294533533111473</v>
      </c>
      <c r="J33" s="186">
        <f t="shared" si="1"/>
        <v>-95080.171731833121</v>
      </c>
      <c r="K33" s="186">
        <f t="shared" si="2"/>
        <v>-95080.171731833121</v>
      </c>
      <c r="L33" s="187">
        <f t="shared" si="3"/>
        <v>-95077.195455307243</v>
      </c>
      <c r="M33" s="187">
        <f t="shared" si="4"/>
        <v>-95077.195455307243</v>
      </c>
      <c r="N33" s="188">
        <f t="shared" si="5"/>
        <v>-95093.489988840345</v>
      </c>
      <c r="O33" s="188">
        <f t="shared" si="6"/>
        <v>-95093.489988840345</v>
      </c>
      <c r="AA33" s="199">
        <f t="shared" si="8"/>
        <v>2436.3445598970698</v>
      </c>
      <c r="AB33" s="13">
        <f t="shared" si="9"/>
        <v>-2354.4717666335423</v>
      </c>
      <c r="AJ33" s="5">
        <v>1.3699999999999999E-3</v>
      </c>
      <c r="AK33" s="2">
        <f t="shared" si="7"/>
        <v>8.1408702228778314E-10</v>
      </c>
    </row>
    <row r="34" spans="1:37" x14ac:dyDescent="0.25">
      <c r="AA34" s="199">
        <f t="shared" si="8"/>
        <v>2436.3445598970698</v>
      </c>
      <c r="AB34" s="13">
        <f t="shared" si="9"/>
        <v>-2354.4717666335423</v>
      </c>
      <c r="AJ34" s="5">
        <v>1.3799999999999999E-3</v>
      </c>
      <c r="AK34" s="2">
        <f t="shared" si="7"/>
        <v>6.4850341340127701E-10</v>
      </c>
    </row>
    <row r="35" spans="1:37" x14ac:dyDescent="0.25">
      <c r="AA35" s="199">
        <f t="shared" si="8"/>
        <v>2436.3445598970698</v>
      </c>
      <c r="AB35" s="13">
        <f t="shared" si="9"/>
        <v>-2354.4717666335423</v>
      </c>
      <c r="AJ35" s="5">
        <v>1.39E-3</v>
      </c>
      <c r="AK35" s="2">
        <f t="shared" si="7"/>
        <v>5.1659916652551736E-10</v>
      </c>
    </row>
    <row r="36" spans="1:37" x14ac:dyDescent="0.25">
      <c r="Q36" s="6"/>
      <c r="S36" s="18"/>
      <c r="W36">
        <v>50</v>
      </c>
      <c r="AA36" s="199">
        <f t="shared" si="8"/>
        <v>2436.3445598970698</v>
      </c>
      <c r="AB36" s="13">
        <f t="shared" si="9"/>
        <v>-2354.4717666335423</v>
      </c>
      <c r="AJ36" s="5">
        <v>1.4E-3</v>
      </c>
      <c r="AK36" s="2">
        <f t="shared" si="7"/>
        <v>4.1152396940388055E-10</v>
      </c>
    </row>
    <row r="37" spans="1:37" x14ac:dyDescent="0.25">
      <c r="W37">
        <v>20</v>
      </c>
      <c r="AA37" s="199" t="e">
        <f>#REF!+$AC$30</f>
        <v>#REF!</v>
      </c>
      <c r="AB37" s="13" t="e">
        <f>#REF!-$AC$30</f>
        <v>#REF!</v>
      </c>
      <c r="AJ37" s="5">
        <v>1.41E-3</v>
      </c>
      <c r="AK37" s="2">
        <f t="shared" si="7"/>
        <v>3.2782084905969409E-10</v>
      </c>
    </row>
    <row r="38" spans="1:37" x14ac:dyDescent="0.25">
      <c r="D38" t="s">
        <v>741</v>
      </c>
      <c r="W38">
        <v>20</v>
      </c>
      <c r="AA38" s="199" t="e">
        <f>#REF!+$AC$30</f>
        <v>#REF!</v>
      </c>
      <c r="AB38" s="13" t="e">
        <f>#REF!-$AC$30</f>
        <v>#REF!</v>
      </c>
      <c r="AJ38" s="5">
        <v>1.42E-3</v>
      </c>
      <c r="AK38" s="2">
        <f t="shared" si="7"/>
        <v>2.6114276948166839E-10</v>
      </c>
    </row>
    <row r="39" spans="1:37" x14ac:dyDescent="0.25">
      <c r="D39" t="s">
        <v>742</v>
      </c>
      <c r="J39" t="s">
        <v>731</v>
      </c>
      <c r="W39">
        <v>20</v>
      </c>
      <c r="AA39" s="199" t="e">
        <f>#REF!+$AC$30</f>
        <v>#REF!</v>
      </c>
      <c r="AB39" s="13" t="e">
        <f>#REF!-$AC$30</f>
        <v>#REF!</v>
      </c>
      <c r="AJ39" s="5">
        <v>1.4300000000000001E-3</v>
      </c>
      <c r="AK39" s="2">
        <f t="shared" si="7"/>
        <v>2.0802687275127618E-10</v>
      </c>
    </row>
    <row r="40" spans="1:37" x14ac:dyDescent="0.25">
      <c r="I40" t="s">
        <v>732</v>
      </c>
      <c r="J40" t="s">
        <v>663</v>
      </c>
      <c r="W40">
        <v>20</v>
      </c>
      <c r="AA40" s="199">
        <f>I52+$AC$30</f>
        <v>2436.3445598970698</v>
      </c>
      <c r="AB40" s="13">
        <f>I52-$AC$30</f>
        <v>-2354.4717666335423</v>
      </c>
      <c r="AJ40" s="5">
        <v>1.4400000000000001E-3</v>
      </c>
      <c r="AK40" s="2">
        <f t="shared" si="7"/>
        <v>1.6571463905575661E-10</v>
      </c>
    </row>
    <row r="41" spans="1:37" x14ac:dyDescent="0.25">
      <c r="D41" t="s">
        <v>699</v>
      </c>
      <c r="E41" t="s">
        <v>685</v>
      </c>
      <c r="F41" t="s">
        <v>684</v>
      </c>
      <c r="I41" s="127">
        <v>20600</v>
      </c>
      <c r="J41">
        <v>2395</v>
      </c>
      <c r="W41">
        <v>20</v>
      </c>
      <c r="AJ41" s="5">
        <v>1.4499999999999999E-3</v>
      </c>
      <c r="AK41" s="2">
        <f t="shared" si="7"/>
        <v>1.3200862578083163E-10</v>
      </c>
    </row>
    <row r="42" spans="1:37" x14ac:dyDescent="0.25">
      <c r="C42" t="s">
        <v>162</v>
      </c>
      <c r="D42">
        <v>0</v>
      </c>
      <c r="E42" s="1">
        <v>0</v>
      </c>
      <c r="F42" s="1">
        <v>0</v>
      </c>
      <c r="I42" t="s">
        <v>253</v>
      </c>
      <c r="J42" s="6" t="s">
        <v>245</v>
      </c>
      <c r="K42" s="6" t="s">
        <v>723</v>
      </c>
      <c r="T42" s="18">
        <f>LN(2)*T15</f>
        <v>1.3774246557082832E-3</v>
      </c>
      <c r="W42">
        <v>20</v>
      </c>
      <c r="AJ42" s="5">
        <v>1.4599999999999999E-3</v>
      </c>
      <c r="AK42" s="2">
        <f t="shared" si="7"/>
        <v>1.051583455742879E-10</v>
      </c>
    </row>
    <row r="43" spans="1:37" x14ac:dyDescent="0.25">
      <c r="C43" t="s">
        <v>162</v>
      </c>
      <c r="D43">
        <v>1</v>
      </c>
      <c r="E43" s="1">
        <v>0</v>
      </c>
      <c r="F43" s="1">
        <v>0</v>
      </c>
      <c r="H43">
        <v>0</v>
      </c>
      <c r="I43" s="1">
        <f t="shared" ref="I43:I58" si="10">$I$41*$T$15</f>
        <v>40.936396631763671</v>
      </c>
      <c r="J43" s="1">
        <f>$I$41*$T$15-$J$41*$T$15</f>
        <v>36.177043722391147</v>
      </c>
      <c r="K43" s="1">
        <f>$I$41*$T$15+$J$41*$T$15</f>
        <v>45.695749541136195</v>
      </c>
      <c r="O43" s="6">
        <f>J11-J10</f>
        <v>-16.137311082427914</v>
      </c>
      <c r="W43">
        <v>20</v>
      </c>
      <c r="AJ43" s="5">
        <v>1.47E-3</v>
      </c>
      <c r="AK43" s="2">
        <f t="shared" si="7"/>
        <v>8.3769356574326222E-11</v>
      </c>
    </row>
    <row r="44" spans="1:37" x14ac:dyDescent="0.25">
      <c r="C44" t="s">
        <v>677</v>
      </c>
      <c r="D44">
        <v>2</v>
      </c>
      <c r="E44" s="1">
        <f>J28-(J3)</f>
        <v>41.539709494041745</v>
      </c>
      <c r="F44" s="1">
        <f>K28-(K3)</f>
        <v>42.042906459158985</v>
      </c>
      <c r="H44">
        <v>1</v>
      </c>
      <c r="I44" s="1">
        <f t="shared" si="10"/>
        <v>40.936396631763671</v>
      </c>
      <c r="J44" s="1">
        <f t="shared" ref="J44:J58" si="11">$I$41*$T$15-$J$41*$T$15</f>
        <v>36.177043722391147</v>
      </c>
      <c r="K44" s="1">
        <f t="shared" ref="K44:K58" si="12">$I$41*$T$15+$J$41*$T$15</f>
        <v>45.695749541136195</v>
      </c>
      <c r="N44" s="6">
        <f>K27-2*K3</f>
        <v>32.717292269953759</v>
      </c>
      <c r="W44">
        <v>20</v>
      </c>
      <c r="AJ44" s="5">
        <v>1.48E-3</v>
      </c>
      <c r="AK44" s="2">
        <f t="shared" si="7"/>
        <v>6.6730843496575534E-11</v>
      </c>
    </row>
    <row r="45" spans="1:37" x14ac:dyDescent="0.25">
      <c r="C45" t="s">
        <v>677</v>
      </c>
      <c r="D45">
        <v>3</v>
      </c>
      <c r="E45" s="1">
        <f>J28-(J3)</f>
        <v>41.539709494041745</v>
      </c>
      <c r="F45" s="1">
        <f>K28-(K3)</f>
        <v>42.042906459158985</v>
      </c>
      <c r="H45">
        <v>2</v>
      </c>
      <c r="I45" s="1">
        <f t="shared" si="10"/>
        <v>40.936396631763671</v>
      </c>
      <c r="J45" s="1">
        <f t="shared" si="11"/>
        <v>36.177043722391147</v>
      </c>
      <c r="K45" s="1">
        <f t="shared" si="12"/>
        <v>45.695749541136195</v>
      </c>
      <c r="W45">
        <v>50</v>
      </c>
      <c r="AJ45" s="5">
        <v>1.49E-3</v>
      </c>
      <c r="AK45" s="2">
        <f t="shared" si="7"/>
        <v>5.315792857753932E-11</v>
      </c>
    </row>
    <row r="46" spans="1:37" x14ac:dyDescent="0.25">
      <c r="C46" t="s">
        <v>704</v>
      </c>
      <c r="D46">
        <v>4</v>
      </c>
      <c r="E46" s="1">
        <f>(J12)-(J3)</f>
        <v>41.328338639883441</v>
      </c>
      <c r="F46" s="1">
        <f>(K12)-(K3)</f>
        <v>41.402744493068894</v>
      </c>
      <c r="H46">
        <v>3</v>
      </c>
      <c r="I46" s="1">
        <f t="shared" si="10"/>
        <v>40.936396631763671</v>
      </c>
      <c r="J46" s="1">
        <f t="shared" si="11"/>
        <v>36.177043722391147</v>
      </c>
      <c r="K46" s="1">
        <f t="shared" si="12"/>
        <v>45.695749541136195</v>
      </c>
      <c r="W46">
        <v>20</v>
      </c>
      <c r="AJ46" s="197"/>
    </row>
    <row r="47" spans="1:37" x14ac:dyDescent="0.25">
      <c r="C47" t="s">
        <v>704</v>
      </c>
      <c r="D47">
        <v>5</v>
      </c>
      <c r="E47" s="1">
        <f>(J12)-(J3)</f>
        <v>41.328338639883441</v>
      </c>
      <c r="F47" s="1">
        <f>(K12)-(K3)</f>
        <v>41.402744493068894</v>
      </c>
      <c r="H47">
        <v>4</v>
      </c>
      <c r="I47" s="1">
        <f t="shared" si="10"/>
        <v>40.936396631763671</v>
      </c>
      <c r="J47" s="1">
        <f t="shared" si="11"/>
        <v>36.177043722391147</v>
      </c>
      <c r="K47" s="1">
        <f t="shared" si="12"/>
        <v>45.695749541136195</v>
      </c>
      <c r="W47">
        <v>50</v>
      </c>
      <c r="AJ47" s="197"/>
    </row>
    <row r="48" spans="1:37" x14ac:dyDescent="0.25">
      <c r="C48" t="s">
        <v>702</v>
      </c>
      <c r="D48">
        <v>6</v>
      </c>
      <c r="E48" s="1">
        <f>2*J7-J3</f>
        <v>43.658839088267996</v>
      </c>
      <c r="F48" s="1">
        <f>2*K7-K3</f>
        <v>43.658839088267996</v>
      </c>
      <c r="H48">
        <v>5</v>
      </c>
      <c r="I48" s="1">
        <f t="shared" si="10"/>
        <v>40.936396631763671</v>
      </c>
      <c r="J48" s="1">
        <f t="shared" si="11"/>
        <v>36.177043722391147</v>
      </c>
      <c r="K48" s="1">
        <f t="shared" si="12"/>
        <v>45.695749541136195</v>
      </c>
      <c r="S48">
        <f>950+1250</f>
        <v>2200</v>
      </c>
      <c r="W48">
        <v>50</v>
      </c>
      <c r="AJ48" s="197"/>
    </row>
    <row r="49" spans="3:36" x14ac:dyDescent="0.25">
      <c r="C49" t="s">
        <v>702</v>
      </c>
      <c r="D49">
        <v>7</v>
      </c>
      <c r="E49" s="1">
        <f>2*J7-J3</f>
        <v>43.658839088267996</v>
      </c>
      <c r="F49" s="1">
        <f>2*K7-K3</f>
        <v>43.658839088267996</v>
      </c>
      <c r="H49">
        <v>6</v>
      </c>
      <c r="I49" s="1">
        <f t="shared" si="10"/>
        <v>40.936396631763671</v>
      </c>
      <c r="J49" s="1">
        <f t="shared" si="11"/>
        <v>36.177043722391147</v>
      </c>
      <c r="K49" s="1">
        <f t="shared" si="12"/>
        <v>45.695749541136195</v>
      </c>
      <c r="S49">
        <f>S48/2</f>
        <v>1100</v>
      </c>
      <c r="W49">
        <v>50</v>
      </c>
      <c r="AJ49" s="197"/>
    </row>
    <row r="50" spans="3:36" x14ac:dyDescent="0.25">
      <c r="C50" t="s">
        <v>703</v>
      </c>
      <c r="D50">
        <v>8</v>
      </c>
      <c r="E50" s="1">
        <f>(2*J5+J8)-(2*J3)</f>
        <v>-57.60709658957785</v>
      </c>
      <c r="F50" s="1">
        <f>(2*K5+K8)-(2*K3)</f>
        <v>-57.60709658957785</v>
      </c>
      <c r="H50">
        <v>7</v>
      </c>
      <c r="I50" s="1">
        <f t="shared" si="10"/>
        <v>40.936396631763671</v>
      </c>
      <c r="J50" s="1">
        <f t="shared" si="11"/>
        <v>36.177043722391147</v>
      </c>
      <c r="K50" s="1">
        <f t="shared" si="12"/>
        <v>45.695749541136195</v>
      </c>
      <c r="S50" s="18">
        <f>S49*T15</f>
        <v>2.1859240919873808</v>
      </c>
      <c r="W50">
        <v>20</v>
      </c>
      <c r="AJ50" s="197"/>
    </row>
    <row r="51" spans="3:36" x14ac:dyDescent="0.25">
      <c r="C51" t="s">
        <v>703</v>
      </c>
      <c r="D51">
        <v>9</v>
      </c>
      <c r="E51" s="1">
        <f>(2*J5+J8)-(2*J3)</f>
        <v>-57.60709658957785</v>
      </c>
      <c r="F51" s="1">
        <f>(2*K5+K8)-(2*K3)</f>
        <v>-57.60709658957785</v>
      </c>
      <c r="H51">
        <v>8</v>
      </c>
      <c r="I51" s="1">
        <f t="shared" si="10"/>
        <v>40.936396631763671</v>
      </c>
      <c r="J51" s="1">
        <f t="shared" si="11"/>
        <v>36.177043722391147</v>
      </c>
      <c r="K51" s="1">
        <f t="shared" si="12"/>
        <v>45.695749541136195</v>
      </c>
      <c r="W51">
        <v>20</v>
      </c>
      <c r="AA51" s="18">
        <f>300*T15</f>
        <v>0.59616111599655841</v>
      </c>
      <c r="AJ51" s="197"/>
    </row>
    <row r="52" spans="3:36" x14ac:dyDescent="0.25">
      <c r="E52" s="1"/>
      <c r="F52" s="1"/>
      <c r="H52">
        <v>9</v>
      </c>
      <c r="I52" s="1">
        <f t="shared" si="10"/>
        <v>40.936396631763671</v>
      </c>
      <c r="J52" s="1">
        <f t="shared" si="11"/>
        <v>36.177043722391147</v>
      </c>
      <c r="K52" s="1">
        <f t="shared" si="12"/>
        <v>45.695749541136195</v>
      </c>
      <c r="W52">
        <v>50</v>
      </c>
      <c r="AA52" s="18">
        <f>T15*600</f>
        <v>1.1923222319931168</v>
      </c>
      <c r="AJ52" s="197"/>
    </row>
    <row r="53" spans="3:36" x14ac:dyDescent="0.25">
      <c r="E53" s="1"/>
      <c r="F53" s="1"/>
      <c r="H53">
        <v>10</v>
      </c>
      <c r="I53" s="1">
        <f t="shared" si="10"/>
        <v>40.936396631763671</v>
      </c>
      <c r="J53" s="1">
        <f t="shared" si="11"/>
        <v>36.177043722391147</v>
      </c>
      <c r="K53" s="1">
        <f t="shared" si="12"/>
        <v>45.695749541136195</v>
      </c>
      <c r="W53">
        <v>50</v>
      </c>
      <c r="AA53" s="18">
        <f>AA52-AA51</f>
        <v>0.59616111599655841</v>
      </c>
      <c r="AJ53" s="197"/>
    </row>
    <row r="54" spans="3:36" x14ac:dyDescent="0.25">
      <c r="D54" t="s">
        <v>705</v>
      </c>
      <c r="E54" s="1" t="s">
        <v>685</v>
      </c>
      <c r="F54" s="1" t="s">
        <v>684</v>
      </c>
      <c r="H54">
        <v>11</v>
      </c>
      <c r="I54" s="1">
        <f t="shared" si="10"/>
        <v>40.936396631763671</v>
      </c>
      <c r="J54" s="1">
        <f t="shared" si="11"/>
        <v>36.177043722391147</v>
      </c>
      <c r="K54" s="1">
        <f t="shared" si="12"/>
        <v>45.695749541136195</v>
      </c>
      <c r="W54">
        <v>50</v>
      </c>
      <c r="AJ54" s="197"/>
    </row>
    <row r="55" spans="3:36" x14ac:dyDescent="0.25">
      <c r="C55" t="s">
        <v>162</v>
      </c>
      <c r="D55">
        <v>0</v>
      </c>
      <c r="E55" s="1">
        <v>0</v>
      </c>
      <c r="F55" s="1">
        <v>0</v>
      </c>
      <c r="H55">
        <v>12</v>
      </c>
      <c r="I55" s="1">
        <f t="shared" si="10"/>
        <v>40.936396631763671</v>
      </c>
      <c r="J55" s="1">
        <f t="shared" si="11"/>
        <v>36.177043722391147</v>
      </c>
      <c r="K55" s="1">
        <f t="shared" si="12"/>
        <v>45.695749541136195</v>
      </c>
      <c r="W55">
        <v>50</v>
      </c>
      <c r="AJ55" s="197"/>
    </row>
    <row r="56" spans="3:36" x14ac:dyDescent="0.25">
      <c r="C56" t="s">
        <v>162</v>
      </c>
      <c r="D56">
        <v>1</v>
      </c>
      <c r="E56" s="1">
        <v>0</v>
      </c>
      <c r="F56" s="1">
        <v>0</v>
      </c>
      <c r="H56">
        <v>13</v>
      </c>
      <c r="I56" s="1">
        <f t="shared" si="10"/>
        <v>40.936396631763671</v>
      </c>
      <c r="J56" s="1">
        <f t="shared" si="11"/>
        <v>36.177043722391147</v>
      </c>
      <c r="K56" s="1">
        <f t="shared" si="12"/>
        <v>45.695749541136195</v>
      </c>
      <c r="W56">
        <v>50</v>
      </c>
      <c r="AJ56" s="197"/>
    </row>
    <row r="57" spans="3:36" x14ac:dyDescent="0.25">
      <c r="C57" t="s">
        <v>686</v>
      </c>
      <c r="D57">
        <v>2</v>
      </c>
      <c r="E57" s="1">
        <f>J29-(J3)</f>
        <v>47.311307066542213</v>
      </c>
      <c r="F57" s="1">
        <f>K29-(K3)</f>
        <v>56.572711840533884</v>
      </c>
      <c r="H57">
        <v>14</v>
      </c>
      <c r="I57" s="1">
        <f t="shared" si="10"/>
        <v>40.936396631763671</v>
      </c>
      <c r="J57" s="1">
        <f t="shared" si="11"/>
        <v>36.177043722391147</v>
      </c>
      <c r="K57" s="1">
        <f t="shared" si="12"/>
        <v>45.695749541136195</v>
      </c>
      <c r="W57">
        <v>50</v>
      </c>
      <c r="AJ57" s="197"/>
    </row>
    <row r="58" spans="3:36" x14ac:dyDescent="0.25">
      <c r="C58" t="s">
        <v>686</v>
      </c>
      <c r="D58">
        <v>3</v>
      </c>
      <c r="E58" s="1">
        <f>J29-(J3)</f>
        <v>47.311307066542213</v>
      </c>
      <c r="F58" s="1">
        <f>K29-(K3)</f>
        <v>56.572711840533884</v>
      </c>
      <c r="H58">
        <v>15</v>
      </c>
      <c r="I58" s="1">
        <f t="shared" si="10"/>
        <v>40.936396631763671</v>
      </c>
      <c r="J58" s="1">
        <f t="shared" si="11"/>
        <v>36.177043722391147</v>
      </c>
      <c r="K58" s="1">
        <f t="shared" si="12"/>
        <v>45.695749541136195</v>
      </c>
      <c r="W58">
        <v>50</v>
      </c>
      <c r="AJ58" s="197"/>
    </row>
    <row r="59" spans="3:36" x14ac:dyDescent="0.25">
      <c r="C59" t="s">
        <v>706</v>
      </c>
      <c r="D59">
        <v>4</v>
      </c>
      <c r="E59" s="1">
        <f>J17-(J3)</f>
        <v>44.130820194943226</v>
      </c>
      <c r="F59" s="1">
        <f>K17-(K3)</f>
        <v>52.634663685312262</v>
      </c>
      <c r="W59">
        <v>20</v>
      </c>
      <c r="AJ59" s="197"/>
    </row>
    <row r="60" spans="3:36" x14ac:dyDescent="0.25">
      <c r="C60" t="s">
        <v>706</v>
      </c>
      <c r="D60">
        <v>5</v>
      </c>
      <c r="E60" s="1">
        <f>J17-(J3)</f>
        <v>44.130820194943226</v>
      </c>
      <c r="F60" s="1">
        <f>K17-(K3)</f>
        <v>52.634663685312262</v>
      </c>
      <c r="W60">
        <v>20</v>
      </c>
      <c r="AJ60" s="197"/>
    </row>
    <row r="61" spans="3:36" x14ac:dyDescent="0.25">
      <c r="C61" t="s">
        <v>707</v>
      </c>
      <c r="D61">
        <v>8</v>
      </c>
      <c r="E61" s="1">
        <f>(2*J5+J9)-(2*J3)</f>
        <v>-47.552534184796968</v>
      </c>
      <c r="F61" s="1">
        <f>(2*K5+K9)-(2*K3)</f>
        <v>-37.390620771446265</v>
      </c>
      <c r="L61" s="6"/>
      <c r="N61" t="s">
        <v>716</v>
      </c>
      <c r="O61" s="1" t="s">
        <v>685</v>
      </c>
      <c r="P61" s="1" t="s">
        <v>684</v>
      </c>
      <c r="Q61" s="1" t="s">
        <v>685</v>
      </c>
      <c r="R61" s="1" t="s">
        <v>684</v>
      </c>
      <c r="W61">
        <v>20</v>
      </c>
      <c r="AJ61" s="197"/>
    </row>
    <row r="62" spans="3:36" x14ac:dyDescent="0.25">
      <c r="C62" t="s">
        <v>707</v>
      </c>
      <c r="D62">
        <v>9</v>
      </c>
      <c r="E62" s="1">
        <f>(2*J5+J9)-(2*J3)</f>
        <v>-47.552534184796968</v>
      </c>
      <c r="F62" s="1">
        <f>(2*K5+K9)-(2*K3)</f>
        <v>-37.390620771446265</v>
      </c>
      <c r="K62" t="s">
        <v>714</v>
      </c>
      <c r="M62" t="s">
        <v>717</v>
      </c>
      <c r="N62">
        <v>4</v>
      </c>
      <c r="O62" s="1">
        <f>(J13)-(J3)</f>
        <v>40.903665457997704</v>
      </c>
      <c r="P62" s="1">
        <f>(K13)-(K3)</f>
        <v>40.903665457997704</v>
      </c>
      <c r="Q62" s="1">
        <f>(J13)-(J3)</f>
        <v>40.903665457997704</v>
      </c>
      <c r="R62" s="1">
        <f>(K13)-(K3)</f>
        <v>40.903665457997704</v>
      </c>
      <c r="W62">
        <v>20</v>
      </c>
      <c r="AJ62" s="197"/>
    </row>
    <row r="63" spans="3:36" x14ac:dyDescent="0.25">
      <c r="E63" s="1"/>
      <c r="F63" s="1"/>
      <c r="K63" t="s">
        <v>714</v>
      </c>
      <c r="M63" t="s">
        <v>717</v>
      </c>
      <c r="N63">
        <v>5</v>
      </c>
      <c r="O63" s="1">
        <f>(J13)-(J3)</f>
        <v>40.903665457997704</v>
      </c>
      <c r="P63" s="1">
        <f>(K13)-(K3)</f>
        <v>40.903665457997704</v>
      </c>
      <c r="Q63" s="1">
        <f>(J13)-(J3)</f>
        <v>40.903665457997704</v>
      </c>
      <c r="R63" s="1">
        <f>(K13)-(K3)</f>
        <v>40.903665457997704</v>
      </c>
      <c r="W63">
        <v>20</v>
      </c>
      <c r="AJ63" s="197"/>
    </row>
    <row r="64" spans="3:36" x14ac:dyDescent="0.25">
      <c r="E64" s="1"/>
      <c r="F64" s="1"/>
      <c r="K64" t="s">
        <v>715</v>
      </c>
      <c r="M64" t="s">
        <v>715</v>
      </c>
      <c r="N64">
        <v>6</v>
      </c>
      <c r="O64" s="1">
        <f>J32-J3</f>
        <v>41.038943909079535</v>
      </c>
      <c r="P64" s="1">
        <f>K32-K3</f>
        <v>41.038943909079535</v>
      </c>
      <c r="Q64" s="1">
        <f>2*J7-J3</f>
        <v>43.658839088267996</v>
      </c>
      <c r="R64" s="1">
        <f>2*K7-K3</f>
        <v>43.658839088267996</v>
      </c>
      <c r="W64">
        <v>20</v>
      </c>
      <c r="AJ64" s="197"/>
    </row>
    <row r="65" spans="3:36" x14ac:dyDescent="0.25">
      <c r="D65" t="s">
        <v>710</v>
      </c>
      <c r="E65" s="1" t="s">
        <v>685</v>
      </c>
      <c r="F65" s="1" t="s">
        <v>684</v>
      </c>
      <c r="K65" t="s">
        <v>715</v>
      </c>
      <c r="M65" t="s">
        <v>715</v>
      </c>
      <c r="N65">
        <v>7</v>
      </c>
      <c r="O65" s="1">
        <f>J32-J3</f>
        <v>41.038943909079535</v>
      </c>
      <c r="P65" s="1">
        <f>K32-K3</f>
        <v>41.038943909079535</v>
      </c>
      <c r="Q65" s="1">
        <f>2*J7-J3</f>
        <v>43.658839088267996</v>
      </c>
      <c r="R65" s="1">
        <f>2*K7-K3</f>
        <v>43.658839088267996</v>
      </c>
      <c r="W65">
        <v>20</v>
      </c>
      <c r="AJ65" s="197"/>
    </row>
    <row r="66" spans="3:36" x14ac:dyDescent="0.25">
      <c r="C66" t="s">
        <v>162</v>
      </c>
      <c r="D66">
        <v>0</v>
      </c>
      <c r="E66" s="1">
        <v>0</v>
      </c>
      <c r="F66" s="1">
        <v>0</v>
      </c>
      <c r="K66" t="s">
        <v>717</v>
      </c>
      <c r="M66" t="s">
        <v>714</v>
      </c>
      <c r="N66">
        <v>8</v>
      </c>
      <c r="O66" s="1">
        <f>J6-J3</f>
        <v>39.55669168321765</v>
      </c>
      <c r="P66" s="1">
        <f>K6-K3</f>
        <v>39.55669168321765</v>
      </c>
      <c r="W66">
        <v>20</v>
      </c>
      <c r="AJ66" s="197"/>
    </row>
    <row r="67" spans="3:36" x14ac:dyDescent="0.25">
      <c r="C67" t="s">
        <v>162</v>
      </c>
      <c r="D67">
        <v>1</v>
      </c>
      <c r="E67" s="1">
        <v>0</v>
      </c>
      <c r="F67" s="1">
        <v>0</v>
      </c>
      <c r="K67" t="s">
        <v>717</v>
      </c>
      <c r="M67" t="s">
        <v>714</v>
      </c>
      <c r="N67">
        <v>9</v>
      </c>
      <c r="O67" s="1">
        <f>J6-J3</f>
        <v>39.55669168321765</v>
      </c>
      <c r="P67" s="1">
        <f>K6-K3</f>
        <v>39.55669168321765</v>
      </c>
      <c r="W67">
        <v>50</v>
      </c>
      <c r="AJ67" s="197"/>
    </row>
    <row r="68" spans="3:36" x14ac:dyDescent="0.25">
      <c r="C68" t="s">
        <v>711</v>
      </c>
      <c r="D68">
        <v>2</v>
      </c>
      <c r="E68" s="1">
        <f>J30-(J3)</f>
        <v>49.394669259214425</v>
      </c>
      <c r="F68" s="1">
        <f>K30-(K3)</f>
        <v>49.394669259214425</v>
      </c>
      <c r="K68" t="s">
        <v>702</v>
      </c>
      <c r="M68" t="s">
        <v>720</v>
      </c>
      <c r="N68">
        <v>10</v>
      </c>
      <c r="O68" s="1">
        <f>J33-J3</f>
        <v>39.587665541374008</v>
      </c>
      <c r="P68" s="1">
        <f>K33-K3</f>
        <v>39.587665541374008</v>
      </c>
      <c r="W68">
        <f>-SUM(W36:W67)</f>
        <v>-1030</v>
      </c>
      <c r="AJ68" s="197"/>
    </row>
    <row r="69" spans="3:36" x14ac:dyDescent="0.25">
      <c r="C69" t="s">
        <v>711</v>
      </c>
      <c r="D69">
        <v>3</v>
      </c>
      <c r="E69" s="1">
        <f>J30-(J3)</f>
        <v>49.394669259214425</v>
      </c>
      <c r="F69" s="1">
        <f>K30-(K3)</f>
        <v>49.394669259214425</v>
      </c>
      <c r="K69" t="s">
        <v>702</v>
      </c>
      <c r="M69" t="s">
        <v>720</v>
      </c>
      <c r="N69">
        <v>11</v>
      </c>
      <c r="O69" s="1">
        <f>J33-J3</f>
        <v>39.587665541374008</v>
      </c>
      <c r="P69" s="1">
        <f>K33-K3</f>
        <v>39.587665541374008</v>
      </c>
      <c r="W69">
        <f>W68+695</f>
        <v>-335</v>
      </c>
      <c r="AJ69" s="197"/>
    </row>
    <row r="70" spans="3:36" x14ac:dyDescent="0.25">
      <c r="C70" t="s">
        <v>394</v>
      </c>
      <c r="D70">
        <v>4</v>
      </c>
      <c r="E70" s="1">
        <f>J4-(J3)</f>
        <v>44.403899684402859</v>
      </c>
      <c r="F70" s="1">
        <f>K4-(K3)</f>
        <v>44.403899684402859</v>
      </c>
      <c r="K70" t="s">
        <v>703</v>
      </c>
      <c r="M70" t="s">
        <v>721</v>
      </c>
      <c r="N70">
        <v>12</v>
      </c>
      <c r="O70" s="1">
        <f>J18-(J3)</f>
        <v>30.772546920794412</v>
      </c>
      <c r="P70" s="1">
        <f>K18-(K3)</f>
        <v>30.772546920794412</v>
      </c>
      <c r="W70">
        <f>1000+W69</f>
        <v>665</v>
      </c>
      <c r="AJ70" s="197"/>
    </row>
    <row r="71" spans="3:36" x14ac:dyDescent="0.25">
      <c r="C71" t="s">
        <v>394</v>
      </c>
      <c r="D71">
        <v>5</v>
      </c>
      <c r="E71" s="1">
        <f>J4-(J3)</f>
        <v>44.403899684402859</v>
      </c>
      <c r="F71" s="1">
        <f>K4-(K3)</f>
        <v>44.403899684402859</v>
      </c>
      <c r="K71" t="s">
        <v>703</v>
      </c>
      <c r="M71" t="s">
        <v>721</v>
      </c>
      <c r="N71">
        <v>13</v>
      </c>
      <c r="O71" s="1">
        <f>J18-(J3)</f>
        <v>30.772546920794412</v>
      </c>
      <c r="P71" s="1">
        <f>K18-(K3)</f>
        <v>30.772546920794412</v>
      </c>
      <c r="AJ71" s="197"/>
    </row>
    <row r="72" spans="3:36" x14ac:dyDescent="0.25">
      <c r="C72" t="s">
        <v>706</v>
      </c>
      <c r="D72">
        <v>6</v>
      </c>
      <c r="E72" s="6">
        <f>J17-(J3)</f>
        <v>44.130820194943226</v>
      </c>
      <c r="F72" s="6">
        <f>K17-(K3)</f>
        <v>52.634663685312262</v>
      </c>
      <c r="M72" t="s">
        <v>727</v>
      </c>
      <c r="N72">
        <v>14</v>
      </c>
      <c r="O72" s="6">
        <f>(J5+J11)-(J3)</f>
        <v>31.761865505046444</v>
      </c>
      <c r="P72" s="6">
        <f>(K5+K11)-(K3)</f>
        <v>31.761865505046444</v>
      </c>
      <c r="AJ72" s="197"/>
    </row>
    <row r="73" spans="3:36" x14ac:dyDescent="0.25">
      <c r="C73" t="s">
        <v>706</v>
      </c>
      <c r="D73">
        <v>7</v>
      </c>
      <c r="E73" s="6">
        <f>J17-(J3)</f>
        <v>44.130820194943226</v>
      </c>
      <c r="F73" s="6">
        <f>K17-(K3)</f>
        <v>52.634663685312262</v>
      </c>
      <c r="M73" t="s">
        <v>727</v>
      </c>
      <c r="N73">
        <v>15</v>
      </c>
      <c r="O73" s="6">
        <f>(J5+J11)-(J3)</f>
        <v>31.761865505046444</v>
      </c>
      <c r="P73" s="6">
        <f>(K5+K11)-(K3)</f>
        <v>31.761865505046444</v>
      </c>
      <c r="AA73">
        <f>20/4.2</f>
        <v>4.7619047619047619</v>
      </c>
      <c r="AJ73" s="197"/>
    </row>
    <row r="74" spans="3:36" x14ac:dyDescent="0.25">
      <c r="C74" t="s">
        <v>726</v>
      </c>
      <c r="D74">
        <v>8</v>
      </c>
      <c r="E74" s="6">
        <f>(J5+J10)-(J3)</f>
        <v>47.899176587481634</v>
      </c>
      <c r="F74" s="6">
        <f>(K5+K10)-(K3)</f>
        <v>64.127110355504556</v>
      </c>
      <c r="O74" s="1"/>
      <c r="P74" s="1"/>
      <c r="AJ74" s="197"/>
    </row>
    <row r="75" spans="3:36" x14ac:dyDescent="0.25">
      <c r="C75" t="s">
        <v>726</v>
      </c>
      <c r="D75">
        <v>9</v>
      </c>
      <c r="E75" s="6">
        <f>(J5+J10)-(J3)</f>
        <v>47.899176587481634</v>
      </c>
      <c r="F75" s="6">
        <f>(K5+K10)-(K3)</f>
        <v>64.127110355504556</v>
      </c>
      <c r="O75" s="1"/>
      <c r="P75" s="1"/>
      <c r="AJ75" s="197"/>
    </row>
    <row r="76" spans="3:36" x14ac:dyDescent="0.25">
      <c r="C76" t="s">
        <v>707</v>
      </c>
      <c r="D76">
        <v>10</v>
      </c>
      <c r="E76" s="1">
        <f>(2*J5+J9)-(2*J3)</f>
        <v>-47.552534184796968</v>
      </c>
      <c r="F76" s="1">
        <f>(2*K5+K9)-(2*K3)</f>
        <v>-37.390620771446265</v>
      </c>
      <c r="AJ76" s="197"/>
    </row>
    <row r="77" spans="3:36" x14ac:dyDescent="0.25">
      <c r="C77" t="s">
        <v>707</v>
      </c>
      <c r="D77">
        <v>11</v>
      </c>
      <c r="E77" s="1">
        <f>(2*J5+J9)-(2*J3)</f>
        <v>-47.552534184796968</v>
      </c>
      <c r="F77" s="1">
        <f>(2*K5+K9)-(2*K3)</f>
        <v>-37.390620771446265</v>
      </c>
      <c r="AJ77" s="197"/>
    </row>
    <row r="78" spans="3:36" x14ac:dyDescent="0.25">
      <c r="AJ78" s="197"/>
    </row>
    <row r="79" spans="3:36" x14ac:dyDescent="0.25">
      <c r="N79" t="s">
        <v>719</v>
      </c>
      <c r="O79" s="1" t="s">
        <v>685</v>
      </c>
      <c r="P79" s="1" t="s">
        <v>684</v>
      </c>
      <c r="AJ79" s="197"/>
    </row>
    <row r="80" spans="3:36" x14ac:dyDescent="0.25">
      <c r="K80" t="s">
        <v>714</v>
      </c>
      <c r="M80" t="s">
        <v>714</v>
      </c>
      <c r="N80">
        <v>0</v>
      </c>
      <c r="O80" s="1">
        <f>J6-J3</f>
        <v>39.55669168321765</v>
      </c>
      <c r="P80" s="1">
        <f>K6-K3</f>
        <v>39.55669168321765</v>
      </c>
      <c r="AJ80" s="197"/>
    </row>
    <row r="81" spans="11:36" x14ac:dyDescent="0.25">
      <c r="K81" t="s">
        <v>714</v>
      </c>
      <c r="M81" t="s">
        <v>714</v>
      </c>
      <c r="N81">
        <v>1</v>
      </c>
      <c r="O81" s="1">
        <f>J6-J3</f>
        <v>39.55669168321765</v>
      </c>
      <c r="P81" s="1">
        <f>K6-K3</f>
        <v>39.55669168321765</v>
      </c>
      <c r="AJ81" s="197"/>
    </row>
    <row r="82" spans="11:36" x14ac:dyDescent="0.25">
      <c r="K82" t="s">
        <v>720</v>
      </c>
      <c r="AJ82" s="197"/>
    </row>
    <row r="83" spans="11:36" x14ac:dyDescent="0.25">
      <c r="K83" t="s">
        <v>720</v>
      </c>
      <c r="AJ83" s="197"/>
    </row>
    <row r="84" spans="11:36" x14ac:dyDescent="0.25">
      <c r="K84" t="s">
        <v>721</v>
      </c>
      <c r="AJ84" s="197"/>
    </row>
    <row r="85" spans="11:36" x14ac:dyDescent="0.25">
      <c r="K85" t="s">
        <v>721</v>
      </c>
      <c r="AJ85" s="197"/>
    </row>
    <row r="86" spans="11:36" x14ac:dyDescent="0.25">
      <c r="K86" t="s">
        <v>727</v>
      </c>
      <c r="AJ86" s="197"/>
    </row>
    <row r="87" spans="11:36" x14ac:dyDescent="0.25">
      <c r="K87" t="s">
        <v>727</v>
      </c>
      <c r="AJ87" s="197"/>
    </row>
    <row r="88" spans="11:36" x14ac:dyDescent="0.25">
      <c r="K88" t="s">
        <v>703</v>
      </c>
      <c r="AJ88" s="197"/>
    </row>
    <row r="89" spans="11:36" x14ac:dyDescent="0.25">
      <c r="K89" t="s">
        <v>703</v>
      </c>
      <c r="AJ89" s="197"/>
    </row>
    <row r="90" spans="11:36" x14ac:dyDescent="0.25">
      <c r="W90" t="s">
        <v>693</v>
      </c>
      <c r="X90" t="s">
        <v>694</v>
      </c>
      <c r="AJ90" s="197"/>
    </row>
    <row r="91" spans="11:36" x14ac:dyDescent="0.25">
      <c r="R91">
        <v>2</v>
      </c>
      <c r="S91">
        <v>1</v>
      </c>
      <c r="U91" t="s">
        <v>685</v>
      </c>
      <c r="V91" t="s">
        <v>684</v>
      </c>
      <c r="AJ91" s="197"/>
    </row>
    <row r="92" spans="11:36" x14ac:dyDescent="0.25">
      <c r="R92" t="s">
        <v>696</v>
      </c>
      <c r="S92" t="s">
        <v>695</v>
      </c>
      <c r="T92" s="6">
        <v>0</v>
      </c>
      <c r="U92" s="6">
        <v>0</v>
      </c>
      <c r="V92" s="6">
        <v>0</v>
      </c>
      <c r="W92" s="6">
        <f>K6-K3</f>
        <v>39.55669168321765</v>
      </c>
      <c r="X92" s="6">
        <f>K6-K3</f>
        <v>39.55669168321765</v>
      </c>
      <c r="AJ92" s="197"/>
    </row>
    <row r="93" spans="11:36" x14ac:dyDescent="0.25">
      <c r="R93" t="s">
        <v>696</v>
      </c>
      <c r="S93" t="s">
        <v>695</v>
      </c>
      <c r="T93" s="6">
        <v>1</v>
      </c>
      <c r="U93" s="6">
        <v>0</v>
      </c>
      <c r="V93" s="6">
        <v>0</v>
      </c>
      <c r="W93" s="6">
        <f>K6-K3</f>
        <v>39.55669168321765</v>
      </c>
      <c r="X93" s="6">
        <f>K6-K3</f>
        <v>39.55669168321765</v>
      </c>
      <c r="AJ93" s="197"/>
    </row>
    <row r="94" spans="11:36" x14ac:dyDescent="0.25">
      <c r="R94" t="s">
        <v>686</v>
      </c>
      <c r="S94" t="s">
        <v>677</v>
      </c>
      <c r="T94" s="6">
        <v>2</v>
      </c>
      <c r="U94" s="6">
        <f>J22-(J20+J3)</f>
        <v>41.627936671618954</v>
      </c>
      <c r="V94" s="6">
        <f>K22-(K20+K3)</f>
        <v>42.121938026015414</v>
      </c>
      <c r="W94" s="6">
        <f>J24-(J20+J3)</f>
        <v>41.13281929770892</v>
      </c>
      <c r="X94" s="6">
        <f>K25-(K20+K3)</f>
        <v>39.684967130684527</v>
      </c>
      <c r="AJ94" s="197"/>
    </row>
    <row r="95" spans="11:36" x14ac:dyDescent="0.25">
      <c r="R95" t="s">
        <v>692</v>
      </c>
      <c r="S95" t="s">
        <v>677</v>
      </c>
      <c r="T95" s="6">
        <v>3</v>
      </c>
      <c r="U95" s="6">
        <f>J22-(J20+J3)</f>
        <v>41.627936671618954</v>
      </c>
      <c r="V95" s="6">
        <f>K22-(K20+K3)</f>
        <v>42.121938026015414</v>
      </c>
      <c r="W95" s="6">
        <f>J24-(J20+J3)</f>
        <v>41.13281929770892</v>
      </c>
      <c r="X95" s="6">
        <f>K25-(K20+K3)</f>
        <v>39.684967130684527</v>
      </c>
      <c r="AJ95" s="197"/>
    </row>
    <row r="96" spans="11:36" x14ac:dyDescent="0.25">
      <c r="R96" t="s">
        <v>691</v>
      </c>
      <c r="S96" t="s">
        <v>683</v>
      </c>
      <c r="T96" s="6">
        <v>4</v>
      </c>
      <c r="U96" s="6">
        <f>(J12)-(J3)</f>
        <v>41.328338639883441</v>
      </c>
      <c r="V96" s="6">
        <f>(K14)-(K3)</f>
        <v>42.006231462277356</v>
      </c>
      <c r="W96" s="6">
        <f>(K13)-(K3)</f>
        <v>40.903665457997704</v>
      </c>
      <c r="X96" s="6">
        <f>(K15)-(K3)</f>
        <v>30.772546920794412</v>
      </c>
      <c r="AJ96" s="197"/>
    </row>
    <row r="97" spans="1:36" x14ac:dyDescent="0.25">
      <c r="R97" t="s">
        <v>691</v>
      </c>
      <c r="S97" t="s">
        <v>683</v>
      </c>
      <c r="T97" s="6">
        <v>5</v>
      </c>
      <c r="U97" s="6">
        <f>(J12)-(J3)</f>
        <v>41.328338639883441</v>
      </c>
      <c r="V97" s="6">
        <f>(K14)-(K3)</f>
        <v>42.006231462277356</v>
      </c>
      <c r="W97" s="6">
        <f>(K13)-(K3)</f>
        <v>40.903665457997704</v>
      </c>
      <c r="X97" s="6">
        <f>(K15)-(K3)</f>
        <v>30.772546920794412</v>
      </c>
      <c r="AJ97" s="197"/>
    </row>
    <row r="98" spans="1:36" x14ac:dyDescent="0.25">
      <c r="S98" t="s">
        <v>680</v>
      </c>
      <c r="T98" s="6">
        <v>6</v>
      </c>
      <c r="U98" s="6">
        <f>2*J7-J3</f>
        <v>43.658839088267996</v>
      </c>
      <c r="V98" s="6">
        <f>2*K7-K3</f>
        <v>43.658839088267996</v>
      </c>
      <c r="W98" s="6">
        <f>2*J7-J3</f>
        <v>43.658839088267996</v>
      </c>
      <c r="AJ98" s="197"/>
    </row>
    <row r="99" spans="1:36" x14ac:dyDescent="0.25">
      <c r="S99" t="s">
        <v>680</v>
      </c>
      <c r="T99" s="6">
        <v>7</v>
      </c>
      <c r="U99" s="6">
        <f>2*J7-J3</f>
        <v>43.658839088267996</v>
      </c>
      <c r="V99" s="6">
        <f>2*K7-K3</f>
        <v>43.658839088267996</v>
      </c>
      <c r="W99" s="6">
        <f>2*J7-J3</f>
        <v>43.658839088267996</v>
      </c>
      <c r="AJ99" s="197"/>
    </row>
    <row r="100" spans="1:36" x14ac:dyDescent="0.25">
      <c r="T100" s="6"/>
      <c r="U100" s="6"/>
      <c r="V100" s="6"/>
      <c r="W100" s="6"/>
      <c r="AJ100" s="197"/>
    </row>
    <row r="101" spans="1:36" x14ac:dyDescent="0.25">
      <c r="T101" s="6">
        <v>9</v>
      </c>
      <c r="W101" s="6">
        <f>(K15)-(K3)</f>
        <v>30.772546920794412</v>
      </c>
    </row>
    <row r="104" spans="1:36" x14ac:dyDescent="0.25">
      <c r="A104" s="15" t="s">
        <v>730</v>
      </c>
      <c r="B104" s="15"/>
      <c r="C104" s="15"/>
      <c r="D104" s="15"/>
      <c r="E104" s="15"/>
      <c r="F104" s="15"/>
      <c r="G104" s="15"/>
    </row>
    <row r="105" spans="1:36" ht="60" x14ac:dyDescent="0.25">
      <c r="A105" s="167" t="s">
        <v>481</v>
      </c>
      <c r="B105" s="179" t="s">
        <v>667</v>
      </c>
      <c r="C105" s="179" t="s">
        <v>668</v>
      </c>
      <c r="D105" s="167" t="s">
        <v>669</v>
      </c>
      <c r="E105" s="179" t="s">
        <v>434</v>
      </c>
      <c r="F105" s="179" t="s">
        <v>436</v>
      </c>
      <c r="G105" s="179" t="s">
        <v>437</v>
      </c>
      <c r="H105" s="179" t="s">
        <v>438</v>
      </c>
      <c r="I105" s="179" t="s">
        <v>500</v>
      </c>
      <c r="J105" s="191" t="s">
        <v>648</v>
      </c>
      <c r="K105" s="191" t="s">
        <v>652</v>
      </c>
      <c r="L105" s="192" t="s">
        <v>651</v>
      </c>
      <c r="M105" s="192" t="s">
        <v>653</v>
      </c>
      <c r="N105" s="193" t="s">
        <v>649</v>
      </c>
      <c r="O105" s="193" t="s">
        <v>650</v>
      </c>
      <c r="S105" t="s">
        <v>766</v>
      </c>
      <c r="T105" s="6"/>
      <c r="U105" t="s">
        <v>685</v>
      </c>
      <c r="V105" s="6" t="s">
        <v>684</v>
      </c>
      <c r="W105" s="6" t="s">
        <v>732</v>
      </c>
    </row>
    <row r="106" spans="1:36" x14ac:dyDescent="0.25">
      <c r="A106" s="180" t="s">
        <v>162</v>
      </c>
      <c r="B106" s="17">
        <v>-151.55835734199999</v>
      </c>
      <c r="C106" s="17"/>
      <c r="D106" s="17"/>
      <c r="E106" s="33"/>
      <c r="F106" s="17">
        <v>2.6585000000000001E-2</v>
      </c>
      <c r="G106" s="17">
        <v>3.0773999999999999E-2</v>
      </c>
      <c r="H106" s="17">
        <v>7.2700000000000004E-3</v>
      </c>
      <c r="I106" s="185">
        <f t="shared" ref="I106:I113" si="13">(G106-H106)*($T$3*$T$4)</f>
        <v>14.748978170841918</v>
      </c>
      <c r="J106" s="186">
        <f t="shared" ref="J106:J113" si="14">(B106+F106)*($T$3*$T$4)</f>
        <v>-95087.593705800929</v>
      </c>
      <c r="K106" s="186">
        <f t="shared" ref="K106:K113" si="15">((((2-0)/(2-D106))*B106+(1-((2-0)/(2-D106)))*C106)+F106)*($T$3*$T$4)</f>
        <v>-95087.593705800929</v>
      </c>
      <c r="L106" s="187">
        <f t="shared" ref="L106:L113" si="16">(B106+G106)*($T$3*$T$4)</f>
        <v>-95084.965069417434</v>
      </c>
      <c r="M106" s="187">
        <f t="shared" ref="M106:M113" si="17">((((2-0)/(2-D106))*B106+(1-((2-0)/(2-D106)))*C106)+G106)*($T$3*$T$4)</f>
        <v>-95084.965069417434</v>
      </c>
      <c r="N106" s="188">
        <f t="shared" ref="N106:N113" si="18">(B106+H106)*($T$3*$T$4)</f>
        <v>-95099.714047588292</v>
      </c>
      <c r="O106" s="188">
        <f t="shared" ref="O106:O113" si="19">((((2-0)/(2-D106))*B106+(1-((2-0)/(2-D106)))*C106)+H106)*($T$3*$T$4)</f>
        <v>-95099.714047588292</v>
      </c>
      <c r="S106" t="s">
        <v>162</v>
      </c>
      <c r="T106" s="127">
        <v>0</v>
      </c>
      <c r="U106">
        <v>0</v>
      </c>
      <c r="V106">
        <v>0</v>
      </c>
      <c r="W106" s="6">
        <f>21960*$T$15</f>
        <v>43.63899369094807</v>
      </c>
    </row>
    <row r="107" spans="1:36" x14ac:dyDescent="0.25">
      <c r="A107" s="180" t="s">
        <v>672</v>
      </c>
      <c r="B107" s="17">
        <v>-75.739004871199995</v>
      </c>
      <c r="C107" s="17"/>
      <c r="D107" s="17"/>
      <c r="E107" s="33"/>
      <c r="F107" s="17">
        <v>8.1390000000000004E-3</v>
      </c>
      <c r="G107" s="17">
        <v>1.1443E-2</v>
      </c>
      <c r="H107" s="17">
        <v>-5.7850000000000002E-3</v>
      </c>
      <c r="I107" s="185">
        <f t="shared" si="13"/>
        <v>10.810729915217181</v>
      </c>
      <c r="J107" s="186">
        <f t="shared" si="14"/>
        <v>-47521.821289707543</v>
      </c>
      <c r="K107" s="186">
        <f t="shared" si="15"/>
        <v>-47521.821289707543</v>
      </c>
      <c r="L107" s="187">
        <f t="shared" si="16"/>
        <v>-47519.747999038875</v>
      </c>
      <c r="M107" s="187">
        <f t="shared" si="17"/>
        <v>-47519.747999038875</v>
      </c>
      <c r="N107" s="188">
        <f t="shared" si="18"/>
        <v>-47530.558728954093</v>
      </c>
      <c r="O107" s="188">
        <f t="shared" si="19"/>
        <v>-47530.558728954093</v>
      </c>
      <c r="R107" s="6"/>
      <c r="S107" t="s">
        <v>162</v>
      </c>
      <c r="T107" s="127">
        <v>1</v>
      </c>
      <c r="U107">
        <v>0</v>
      </c>
      <c r="V107">
        <v>0</v>
      </c>
      <c r="W107" s="6">
        <f t="shared" ref="W107:W113" si="20">21960*$T$15</f>
        <v>43.63899369094807</v>
      </c>
    </row>
    <row r="108" spans="1:36" x14ac:dyDescent="0.25">
      <c r="A108" s="180" t="s">
        <v>657</v>
      </c>
      <c r="B108" s="17">
        <v>-2.9070489744199999</v>
      </c>
      <c r="C108" s="17"/>
      <c r="D108" s="17"/>
      <c r="E108" s="33"/>
      <c r="F108" s="17">
        <v>0</v>
      </c>
      <c r="G108" s="17">
        <v>2.3600000000000001E-3</v>
      </c>
      <c r="H108" s="17">
        <v>-8.9339999999999992E-3</v>
      </c>
      <c r="I108" s="185">
        <f t="shared" si="13"/>
        <v>7.0870898341341313</v>
      </c>
      <c r="J108" s="186">
        <f t="shared" si="14"/>
        <v>-1824.2002155075293</v>
      </c>
      <c r="K108" s="186">
        <f t="shared" si="15"/>
        <v>-1824.2002155075293</v>
      </c>
      <c r="L108" s="187">
        <f t="shared" si="16"/>
        <v>-1822.7192936013353</v>
      </c>
      <c r="M108" s="187">
        <f t="shared" si="17"/>
        <v>-1822.7192936013353</v>
      </c>
      <c r="N108" s="188">
        <f t="shared" si="18"/>
        <v>-1829.8063834354693</v>
      </c>
      <c r="O108" s="188">
        <f t="shared" si="19"/>
        <v>-1829.8063834354693</v>
      </c>
      <c r="S108" t="s">
        <v>677</v>
      </c>
      <c r="T108" s="127">
        <v>2</v>
      </c>
      <c r="U108" s="6">
        <f>J113-(J106+J109)</f>
        <v>42.407301317725796</v>
      </c>
      <c r="V108" s="6">
        <f>K113-(K106+K109)</f>
        <v>43.272154608741403</v>
      </c>
      <c r="W108" s="6">
        <f t="shared" si="20"/>
        <v>43.63899369094807</v>
      </c>
    </row>
    <row r="109" spans="1:36" x14ac:dyDescent="0.25">
      <c r="A109" s="180" t="s">
        <v>737</v>
      </c>
      <c r="B109" s="17">
        <v>-527.51988759799997</v>
      </c>
      <c r="C109" s="17"/>
      <c r="D109" s="17"/>
      <c r="E109" s="33"/>
      <c r="F109" s="17">
        <v>0</v>
      </c>
      <c r="G109" s="17">
        <v>2.3600000000000001E-3</v>
      </c>
      <c r="H109" s="17">
        <v>-1.2193000000000001E-2</v>
      </c>
      <c r="I109" s="185">
        <f t="shared" si="13"/>
        <v>9.1321425851030664</v>
      </c>
      <c r="J109" s="186">
        <f t="shared" si="14"/>
        <v>-331023.62605802779</v>
      </c>
      <c r="K109" s="186">
        <f t="shared" si="15"/>
        <v>-331023.62605802779</v>
      </c>
      <c r="L109" s="187">
        <f t="shared" si="16"/>
        <v>-331022.1451361216</v>
      </c>
      <c r="M109" s="187">
        <f t="shared" si="17"/>
        <v>-331022.1451361216</v>
      </c>
      <c r="N109" s="188">
        <f t="shared" si="18"/>
        <v>-331031.27727870672</v>
      </c>
      <c r="O109" s="188">
        <f t="shared" si="19"/>
        <v>-331031.27727870672</v>
      </c>
      <c r="S109" t="s">
        <v>677</v>
      </c>
      <c r="T109" s="127">
        <v>3</v>
      </c>
      <c r="U109" s="6">
        <f>J113-(J106+J109)</f>
        <v>42.407301317725796</v>
      </c>
      <c r="V109" s="6">
        <f>K113-(K106+K109)</f>
        <v>43.272154608741403</v>
      </c>
      <c r="W109" s="6">
        <f t="shared" si="20"/>
        <v>43.63899369094807</v>
      </c>
    </row>
    <row r="110" spans="1:36" x14ac:dyDescent="0.25">
      <c r="A110" s="180" t="s">
        <v>740</v>
      </c>
      <c r="B110" s="17">
        <v>-151.48433418499999</v>
      </c>
      <c r="C110" s="17">
        <v>-151.48420014000001</v>
      </c>
      <c r="D110" s="17">
        <v>1.0048999999999999</v>
      </c>
      <c r="E110" s="33"/>
      <c r="F110" s="17">
        <v>1.8811000000000001E-2</v>
      </c>
      <c r="G110" s="17">
        <v>2.4348000000000002E-2</v>
      </c>
      <c r="H110" s="17">
        <v>-2.5240000000000002E-3</v>
      </c>
      <c r="I110" s="185">
        <f t="shared" si="13"/>
        <v>16.86242943357999</v>
      </c>
      <c r="J110" s="186">
        <f t="shared" si="14"/>
        <v>-95046.021744839847</v>
      </c>
      <c r="K110" s="186">
        <f t="shared" si="15"/>
        <v>-95046.106687702573</v>
      </c>
      <c r="L110" s="187">
        <f t="shared" si="16"/>
        <v>-95042.547225943825</v>
      </c>
      <c r="M110" s="187">
        <f t="shared" si="17"/>
        <v>-95042.632168806565</v>
      </c>
      <c r="N110" s="188">
        <f t="shared" si="18"/>
        <v>-95059.4096553774</v>
      </c>
      <c r="O110" s="188">
        <f t="shared" si="19"/>
        <v>-95059.49459824014</v>
      </c>
      <c r="S110" t="s">
        <v>740</v>
      </c>
      <c r="T110" s="127">
        <v>4</v>
      </c>
      <c r="U110" s="6">
        <f>J110-(J106)</f>
        <v>41.571960961082368</v>
      </c>
      <c r="V110" s="6">
        <f>K110-(K106)</f>
        <v>41.487018098356202</v>
      </c>
      <c r="W110" s="6">
        <f t="shared" si="20"/>
        <v>43.63899369094807</v>
      </c>
    </row>
    <row r="111" spans="1:36" x14ac:dyDescent="0.25">
      <c r="A111" s="180" t="s">
        <v>658</v>
      </c>
      <c r="B111" s="17">
        <v>-154.390773645</v>
      </c>
      <c r="C111" s="17">
        <v>-154.39247965300001</v>
      </c>
      <c r="D111" s="17">
        <v>0.98640000000000005</v>
      </c>
      <c r="E111" s="33"/>
      <c r="F111" s="17">
        <v>1.9696000000000002E-2</v>
      </c>
      <c r="G111" s="17">
        <v>2.6962E-2</v>
      </c>
      <c r="H111" s="17">
        <v>-6.9389999999999999E-3</v>
      </c>
      <c r="I111" s="185">
        <f t="shared" si="13"/>
        <v>21.273192178765825</v>
      </c>
      <c r="J111" s="186">
        <f t="shared" si="14"/>
        <v>-96869.284138676303</v>
      </c>
      <c r="K111" s="186">
        <f t="shared" si="15"/>
        <v>-96868.242330696798</v>
      </c>
      <c r="L111" s="187">
        <f t="shared" si="16"/>
        <v>-96864.724656231221</v>
      </c>
      <c r="M111" s="187">
        <f t="shared" si="17"/>
        <v>-96863.682848251716</v>
      </c>
      <c r="N111" s="188">
        <f t="shared" si="18"/>
        <v>-96885.997848409985</v>
      </c>
      <c r="O111" s="188">
        <f t="shared" si="19"/>
        <v>-96884.956040430479</v>
      </c>
      <c r="S111" t="s">
        <v>740</v>
      </c>
      <c r="T111" s="127">
        <v>5</v>
      </c>
      <c r="U111" s="6">
        <f>J110-(J106)</f>
        <v>41.571960961082368</v>
      </c>
      <c r="V111" s="6">
        <f>K110-(K106)</f>
        <v>41.487018098356202</v>
      </c>
      <c r="W111" s="6">
        <f t="shared" si="20"/>
        <v>43.63899369094807</v>
      </c>
    </row>
    <row r="112" spans="1:36" x14ac:dyDescent="0.25">
      <c r="A112" s="180" t="s">
        <v>466</v>
      </c>
      <c r="B112" s="17"/>
      <c r="C112" s="17"/>
      <c r="D112" s="17"/>
      <c r="E112" s="33"/>
      <c r="F112" s="17"/>
      <c r="G112" s="17"/>
      <c r="H112" s="17"/>
      <c r="I112" s="185">
        <f t="shared" si="13"/>
        <v>0</v>
      </c>
      <c r="J112" s="186">
        <f t="shared" si="14"/>
        <v>0</v>
      </c>
      <c r="K112" s="186">
        <f t="shared" si="15"/>
        <v>0</v>
      </c>
      <c r="L112" s="187">
        <f t="shared" si="16"/>
        <v>0</v>
      </c>
      <c r="M112" s="187">
        <f t="shared" si="17"/>
        <v>0</v>
      </c>
      <c r="N112" s="188">
        <f t="shared" si="18"/>
        <v>0</v>
      </c>
      <c r="O112" s="188">
        <f t="shared" si="19"/>
        <v>0</v>
      </c>
      <c r="S112" t="s">
        <v>743</v>
      </c>
      <c r="T112" s="127">
        <v>6</v>
      </c>
      <c r="U112" s="6">
        <f>2*J107-(J106)</f>
        <v>43.951126385843963</v>
      </c>
      <c r="V112" s="6">
        <f>2*K107-(K106)</f>
        <v>43.951126385843963</v>
      </c>
      <c r="W112" s="6">
        <f t="shared" si="20"/>
        <v>43.63899369094807</v>
      </c>
    </row>
    <row r="113" spans="1:23" x14ac:dyDescent="0.25">
      <c r="A113" s="180" t="s">
        <v>739</v>
      </c>
      <c r="B113" s="17">
        <v>-679.00293758299995</v>
      </c>
      <c r="C113" s="17">
        <v>-679.00433888500004</v>
      </c>
      <c r="D113" s="17">
        <v>0.99170000000000003</v>
      </c>
      <c r="E113" s="33">
        <v>137</v>
      </c>
      <c r="F113" s="17">
        <v>1.8858E-2</v>
      </c>
      <c r="G113" s="17">
        <v>2.6280999999999999E-2</v>
      </c>
      <c r="H113" s="17">
        <v>-1.1723000000000001E-2</v>
      </c>
      <c r="I113" s="185">
        <f t="shared" si="13"/>
        <v>23.847862763983844</v>
      </c>
      <c r="J113" s="186">
        <f t="shared" si="14"/>
        <v>-426068.81246251101</v>
      </c>
      <c r="K113" s="186">
        <f t="shared" si="15"/>
        <v>-426067.94760921999</v>
      </c>
      <c r="L113" s="187">
        <f t="shared" si="16"/>
        <v>-426064.15446110861</v>
      </c>
      <c r="M113" s="187">
        <f t="shared" si="17"/>
        <v>-426063.2896078176</v>
      </c>
      <c r="N113" s="188">
        <f t="shared" si="18"/>
        <v>-426088.00232387258</v>
      </c>
      <c r="O113" s="188">
        <f t="shared" si="19"/>
        <v>-426087.13747058157</v>
      </c>
      <c r="R113" s="6"/>
      <c r="S113" t="s">
        <v>743</v>
      </c>
      <c r="T113" s="127">
        <v>7</v>
      </c>
      <c r="U113" s="6">
        <f>2*J107-(J106)</f>
        <v>43.951126385843963</v>
      </c>
      <c r="V113" s="6">
        <f>2*K107-(K106)</f>
        <v>43.951126385843963</v>
      </c>
      <c r="W113" s="6">
        <f t="shared" si="20"/>
        <v>43.63899369094807</v>
      </c>
    </row>
    <row r="114" spans="1:23" x14ac:dyDescent="0.25">
      <c r="U114" s="6"/>
      <c r="V114" s="6"/>
    </row>
    <row r="115" spans="1:23" x14ac:dyDescent="0.25">
      <c r="S115" t="s">
        <v>767</v>
      </c>
      <c r="T115" s="6"/>
      <c r="U115" t="s">
        <v>685</v>
      </c>
      <c r="V115" s="6" t="s">
        <v>684</v>
      </c>
    </row>
    <row r="116" spans="1:23" x14ac:dyDescent="0.25">
      <c r="A116" s="15" t="s">
        <v>729</v>
      </c>
      <c r="B116" s="15"/>
      <c r="C116" s="15"/>
      <c r="D116" s="15"/>
      <c r="E116" s="15"/>
      <c r="F116" s="15"/>
      <c r="G116" s="15"/>
      <c r="S116" t="s">
        <v>162</v>
      </c>
      <c r="T116" s="127">
        <v>0</v>
      </c>
      <c r="U116" s="6">
        <v>0</v>
      </c>
      <c r="V116" s="6">
        <v>0</v>
      </c>
    </row>
    <row r="117" spans="1:23" ht="60" x14ac:dyDescent="0.25">
      <c r="A117" s="167" t="s">
        <v>481</v>
      </c>
      <c r="B117" s="179" t="s">
        <v>667</v>
      </c>
      <c r="C117" s="179" t="s">
        <v>668</v>
      </c>
      <c r="D117" s="167" t="s">
        <v>669</v>
      </c>
      <c r="E117" s="179" t="s">
        <v>434</v>
      </c>
      <c r="F117" s="179" t="s">
        <v>436</v>
      </c>
      <c r="G117" s="179" t="s">
        <v>437</v>
      </c>
      <c r="H117" s="179" t="s">
        <v>438</v>
      </c>
      <c r="I117" s="179" t="s">
        <v>500</v>
      </c>
      <c r="J117" s="191" t="s">
        <v>648</v>
      </c>
      <c r="K117" s="191" t="s">
        <v>652</v>
      </c>
      <c r="L117" s="192" t="s">
        <v>651</v>
      </c>
      <c r="M117" s="192" t="s">
        <v>653</v>
      </c>
      <c r="N117" s="193" t="s">
        <v>649</v>
      </c>
      <c r="O117" s="193" t="s">
        <v>650</v>
      </c>
      <c r="S117" t="s">
        <v>162</v>
      </c>
      <c r="T117" s="127">
        <v>1</v>
      </c>
      <c r="U117" s="1">
        <v>0</v>
      </c>
      <c r="V117" s="1">
        <v>0</v>
      </c>
    </row>
    <row r="118" spans="1:23" x14ac:dyDescent="0.25">
      <c r="A118" s="180" t="s">
        <v>162</v>
      </c>
      <c r="B118" s="17">
        <v>-151.60650998899999</v>
      </c>
      <c r="C118" s="17"/>
      <c r="D118" s="17"/>
      <c r="E118" s="33"/>
      <c r="F118" s="17">
        <v>2.6585000000000001E-2</v>
      </c>
      <c r="G118" s="17">
        <v>3.0773999999999999E-2</v>
      </c>
      <c r="H118" s="17">
        <v>7.2700000000000004E-3</v>
      </c>
      <c r="I118" s="185">
        <f t="shared" ref="I118:I124" si="21">(G118-H118)*($T$3*$T$4)</f>
        <v>14.748978170841918</v>
      </c>
      <c r="J118" s="186">
        <f t="shared" ref="J118:J124" si="22">(B118+F118)*($T$3*$T$4)</f>
        <v>-95117.809938760052</v>
      </c>
      <c r="K118" s="186">
        <f t="shared" ref="K118:K124" si="23">((((2-0)/(2-D118))*B118+(1-((2-0)/(2-D118)))*C118)+F118)*($T$3*$T$4)</f>
        <v>-95117.809938760052</v>
      </c>
      <c r="L118" s="187">
        <f t="shared" ref="L118:L124" si="24">(B118+G118)*($T$3*$T$4)</f>
        <v>-95115.181302376557</v>
      </c>
      <c r="M118" s="187">
        <f t="shared" ref="M118:M124" si="25">((((2-0)/(2-D118))*B118+(1-((2-0)/(2-D118)))*C118)+G118)*($T$3*$T$4)</f>
        <v>-95115.181302376557</v>
      </c>
      <c r="N118" s="188">
        <f t="shared" ref="N118:N124" si="26">(B118+H118)*($T$3*$T$4)</f>
        <v>-95129.9302805474</v>
      </c>
      <c r="O118" s="188">
        <f t="shared" ref="O118:O124" si="27">((((2-0)/(2-D118))*B118+(1-((2-0)/(2-D118)))*C118)+H118)*($T$3*$T$4)</f>
        <v>-95129.9302805474</v>
      </c>
      <c r="S118" t="s">
        <v>677</v>
      </c>
      <c r="T118" s="127">
        <v>2</v>
      </c>
      <c r="U118" s="1">
        <f>J124-(J118+J121)</f>
        <v>42.469095921725966</v>
      </c>
      <c r="V118" s="1">
        <f>K124-(K118+K121)</f>
        <v>43.336003179720137</v>
      </c>
    </row>
    <row r="119" spans="1:23" x14ac:dyDescent="0.25">
      <c r="A119" s="180" t="s">
        <v>672</v>
      </c>
      <c r="B119" s="17">
        <v>-75.763130680800003</v>
      </c>
      <c r="C119" s="17"/>
      <c r="D119" s="17"/>
      <c r="E119" s="33"/>
      <c r="F119" s="17">
        <v>8.1390000000000004E-3</v>
      </c>
      <c r="G119" s="17">
        <v>1.1443E-2</v>
      </c>
      <c r="H119" s="17">
        <v>-5.7850000000000002E-3</v>
      </c>
      <c r="I119" s="185">
        <f t="shared" si="21"/>
        <v>10.810729915217181</v>
      </c>
      <c r="J119" s="186">
        <f t="shared" si="22"/>
        <v>-47536.960459174203</v>
      </c>
      <c r="K119" s="186">
        <f t="shared" si="23"/>
        <v>-47536.960459174203</v>
      </c>
      <c r="L119" s="187">
        <f t="shared" si="24"/>
        <v>-47534.887168505535</v>
      </c>
      <c r="M119" s="187">
        <f t="shared" si="25"/>
        <v>-47534.887168505535</v>
      </c>
      <c r="N119" s="188">
        <f t="shared" si="26"/>
        <v>-47545.697898420753</v>
      </c>
      <c r="O119" s="188">
        <f t="shared" si="27"/>
        <v>-47545.697898420753</v>
      </c>
      <c r="S119" t="s">
        <v>677</v>
      </c>
      <c r="T119" s="127">
        <v>3</v>
      </c>
      <c r="U119" s="1">
        <f>J124-(J118+J121)</f>
        <v>42.469095921725966</v>
      </c>
      <c r="V119" s="1">
        <f>K124-(K118+K121)</f>
        <v>43.336003179720137</v>
      </c>
    </row>
    <row r="120" spans="1:23" x14ac:dyDescent="0.25">
      <c r="A120" s="180" t="s">
        <v>657</v>
      </c>
      <c r="B120" s="17">
        <v>-2.91302785869</v>
      </c>
      <c r="C120" s="17"/>
      <c r="D120" s="17"/>
      <c r="E120" s="33"/>
      <c r="F120" s="17">
        <v>0</v>
      </c>
      <c r="G120" s="17">
        <v>2.3600000000000001E-3</v>
      </c>
      <c r="H120" s="17">
        <v>-8.9339999999999992E-3</v>
      </c>
      <c r="I120" s="185">
        <f t="shared" si="21"/>
        <v>7.0870898341341313</v>
      </c>
      <c r="J120" s="186">
        <f t="shared" si="22"/>
        <v>-1827.9520208846661</v>
      </c>
      <c r="K120" s="186">
        <f t="shared" si="23"/>
        <v>-1827.9520208846661</v>
      </c>
      <c r="L120" s="187">
        <f t="shared" si="24"/>
        <v>-1826.4710989784719</v>
      </c>
      <c r="M120" s="187">
        <f t="shared" si="25"/>
        <v>-1826.4710989784719</v>
      </c>
      <c r="N120" s="188">
        <f t="shared" si="26"/>
        <v>-1833.558188812606</v>
      </c>
      <c r="O120" s="188">
        <f t="shared" si="27"/>
        <v>-1833.558188812606</v>
      </c>
      <c r="S120" t="s">
        <v>740</v>
      </c>
      <c r="T120" s="127">
        <v>4</v>
      </c>
      <c r="U120" s="1">
        <f>J122-J118</f>
        <v>41.708346338535193</v>
      </c>
      <c r="V120" s="1">
        <f>K122-K118</f>
        <v>41.608325751527445</v>
      </c>
    </row>
    <row r="121" spans="1:23" x14ac:dyDescent="0.25">
      <c r="A121" s="180" t="s">
        <v>737</v>
      </c>
      <c r="B121" s="17">
        <v>-527.55388452299997</v>
      </c>
      <c r="C121" s="17"/>
      <c r="D121" s="17"/>
      <c r="E121" s="33"/>
      <c r="F121" s="17">
        <v>0</v>
      </c>
      <c r="G121" s="17">
        <v>2.3600000000000001E-3</v>
      </c>
      <c r="H121" s="17">
        <v>-1.2193000000000001E-2</v>
      </c>
      <c r="I121" s="185">
        <f t="shared" si="21"/>
        <v>9.1321425851030664</v>
      </c>
      <c r="J121" s="186">
        <f t="shared" si="22"/>
        <v>-331044.95944403444</v>
      </c>
      <c r="K121" s="186">
        <f t="shared" si="23"/>
        <v>-331044.95944403444</v>
      </c>
      <c r="L121" s="187">
        <f t="shared" si="24"/>
        <v>-331043.47852212825</v>
      </c>
      <c r="M121" s="187">
        <f t="shared" si="25"/>
        <v>-331043.47852212825</v>
      </c>
      <c r="N121" s="188">
        <f t="shared" si="26"/>
        <v>-331052.61066471337</v>
      </c>
      <c r="O121" s="188">
        <f t="shared" si="27"/>
        <v>-331052.61066471337</v>
      </c>
      <c r="S121" t="s">
        <v>740</v>
      </c>
      <c r="T121" s="127">
        <v>5</v>
      </c>
      <c r="U121" s="1">
        <f>J122-J118</f>
        <v>41.708346338535193</v>
      </c>
      <c r="V121" s="1">
        <f>K122-K118</f>
        <v>41.608325751527445</v>
      </c>
    </row>
    <row r="122" spans="1:23" x14ac:dyDescent="0.25">
      <c r="A122" s="180" t="s">
        <v>740</v>
      </c>
      <c r="B122" s="17">
        <v>-151.532269488</v>
      </c>
      <c r="C122" s="17">
        <v>-151.532111681</v>
      </c>
      <c r="D122" s="17">
        <v>1.0049999999999999</v>
      </c>
      <c r="E122" s="33"/>
      <c r="F122" s="17">
        <v>1.8811000000000001E-2</v>
      </c>
      <c r="G122" s="17">
        <v>2.4348000000000002E-2</v>
      </c>
      <c r="H122" s="17">
        <v>-2.5240000000000002E-3</v>
      </c>
      <c r="I122" s="185">
        <f t="shared" si="21"/>
        <v>16.86242943357999</v>
      </c>
      <c r="J122" s="186">
        <f t="shared" si="22"/>
        <v>-95076.101592421517</v>
      </c>
      <c r="K122" s="186">
        <f t="shared" si="23"/>
        <v>-95076.201613008525</v>
      </c>
      <c r="L122" s="187">
        <f t="shared" si="24"/>
        <v>-95072.627073525495</v>
      </c>
      <c r="M122" s="187">
        <f t="shared" si="25"/>
        <v>-95072.727094112503</v>
      </c>
      <c r="N122" s="188">
        <f t="shared" si="26"/>
        <v>-95089.489502959084</v>
      </c>
      <c r="O122" s="188">
        <f t="shared" si="27"/>
        <v>-95089.589523546092</v>
      </c>
      <c r="S122" t="s">
        <v>743</v>
      </c>
      <c r="T122" s="127">
        <v>6</v>
      </c>
      <c r="U122" s="1">
        <f>2*J119-J118</f>
        <v>43.889020411646925</v>
      </c>
      <c r="V122" s="1">
        <f>2*K119-K118</f>
        <v>43.889020411646925</v>
      </c>
    </row>
    <row r="123" spans="1:23" x14ac:dyDescent="0.25">
      <c r="A123" s="180" t="s">
        <v>658</v>
      </c>
      <c r="B123" s="17">
        <v>-154.44435479699999</v>
      </c>
      <c r="C123" s="17">
        <v>-154.445984568</v>
      </c>
      <c r="D123" s="17">
        <v>0.98729999999999996</v>
      </c>
      <c r="E123" s="33"/>
      <c r="F123" s="17">
        <v>1.9696000000000002E-2</v>
      </c>
      <c r="G123" s="17">
        <v>2.6962E-2</v>
      </c>
      <c r="H123" s="17">
        <v>-6.9389999999999999E-3</v>
      </c>
      <c r="I123" s="185">
        <f t="shared" si="21"/>
        <v>21.273192178765825</v>
      </c>
      <c r="J123" s="186">
        <f t="shared" si="22"/>
        <v>-96902.906808911866</v>
      </c>
      <c r="K123" s="186">
        <f t="shared" si="23"/>
        <v>-96901.90976320648</v>
      </c>
      <c r="L123" s="187">
        <f t="shared" si="24"/>
        <v>-96898.347326466785</v>
      </c>
      <c r="M123" s="187">
        <f t="shared" si="25"/>
        <v>-96897.350280761399</v>
      </c>
      <c r="N123" s="188">
        <f t="shared" si="26"/>
        <v>-96919.620518645534</v>
      </c>
      <c r="O123" s="188">
        <f t="shared" si="27"/>
        <v>-96918.623472940162</v>
      </c>
      <c r="S123" t="s">
        <v>743</v>
      </c>
      <c r="T123" s="127">
        <v>7</v>
      </c>
      <c r="U123" s="1">
        <f>2*J119-J118</f>
        <v>43.889020411646925</v>
      </c>
      <c r="V123" s="1">
        <f>2*K119-K118</f>
        <v>43.889020411646925</v>
      </c>
    </row>
    <row r="124" spans="1:23" x14ac:dyDescent="0.25">
      <c r="A124" s="180" t="s">
        <v>738</v>
      </c>
      <c r="B124" s="17">
        <v>-679.08498867900005</v>
      </c>
      <c r="C124" s="17">
        <v>-679.08639387100004</v>
      </c>
      <c r="D124" s="17">
        <v>0.99150000000000005</v>
      </c>
      <c r="E124" s="33">
        <v>137</v>
      </c>
      <c r="F124" s="17">
        <v>1.8858E-2</v>
      </c>
      <c r="G124" s="17">
        <v>2.6280999999999999E-2</v>
      </c>
      <c r="H124" s="17">
        <v>-1.1723000000000001E-2</v>
      </c>
      <c r="I124" s="185">
        <f t="shared" si="21"/>
        <v>23.847862763983844</v>
      </c>
      <c r="J124" s="186">
        <f t="shared" si="22"/>
        <v>-426120.30028687278</v>
      </c>
      <c r="K124" s="186">
        <f t="shared" si="23"/>
        <v>-426119.43337961478</v>
      </c>
      <c r="L124" s="187">
        <f t="shared" si="24"/>
        <v>-426115.64228547039</v>
      </c>
      <c r="M124" s="187">
        <f t="shared" si="25"/>
        <v>-426114.77537821239</v>
      </c>
      <c r="N124" s="188">
        <f t="shared" si="26"/>
        <v>-426139.49014823436</v>
      </c>
      <c r="O124" s="188">
        <f t="shared" si="27"/>
        <v>-426138.62324097636</v>
      </c>
      <c r="U124" s="1"/>
      <c r="V124" s="1"/>
    </row>
    <row r="125" spans="1:23" x14ac:dyDescent="0.25">
      <c r="U125" s="1"/>
      <c r="V125" s="1"/>
    </row>
    <row r="126" spans="1:23" x14ac:dyDescent="0.25">
      <c r="S126" t="s">
        <v>768</v>
      </c>
      <c r="T126" s="6"/>
      <c r="U126" s="1" t="s">
        <v>685</v>
      </c>
      <c r="V126" s="1" t="s">
        <v>684</v>
      </c>
    </row>
    <row r="127" spans="1:23" x14ac:dyDescent="0.25">
      <c r="S127" t="s">
        <v>162</v>
      </c>
      <c r="T127" s="127">
        <v>0</v>
      </c>
      <c r="U127" s="1">
        <v>0</v>
      </c>
      <c r="V127" s="1">
        <v>0</v>
      </c>
    </row>
    <row r="128" spans="1:23" x14ac:dyDescent="0.25">
      <c r="S128" t="s">
        <v>162</v>
      </c>
      <c r="T128" s="127">
        <v>1</v>
      </c>
      <c r="U128" s="1">
        <v>0</v>
      </c>
      <c r="V128" s="1">
        <v>0</v>
      </c>
    </row>
    <row r="129" spans="1:24" x14ac:dyDescent="0.25">
      <c r="A129" s="15" t="s">
        <v>728</v>
      </c>
      <c r="B129" s="15"/>
      <c r="C129" s="15"/>
      <c r="D129" s="15"/>
      <c r="E129" s="15"/>
      <c r="F129" s="15"/>
      <c r="G129" s="15"/>
      <c r="S129" t="s">
        <v>677</v>
      </c>
      <c r="T129" s="127">
        <v>2</v>
      </c>
      <c r="U129" s="1">
        <f>J137-(J134+J131)</f>
        <v>43.476309188234154</v>
      </c>
      <c r="V129" s="1">
        <f>K137-(K134+K131)</f>
        <v>44.292225036944728</v>
      </c>
    </row>
    <row r="130" spans="1:24" ht="60" x14ac:dyDescent="0.25">
      <c r="A130" s="167" t="s">
        <v>481</v>
      </c>
      <c r="B130" s="179" t="s">
        <v>667</v>
      </c>
      <c r="C130" s="179" t="s">
        <v>668</v>
      </c>
      <c r="D130" s="167" t="s">
        <v>669</v>
      </c>
      <c r="E130" s="179" t="s">
        <v>434</v>
      </c>
      <c r="F130" s="179" t="s">
        <v>436</v>
      </c>
      <c r="G130" s="179" t="s">
        <v>437</v>
      </c>
      <c r="H130" s="179" t="s">
        <v>438</v>
      </c>
      <c r="I130" s="179" t="s">
        <v>500</v>
      </c>
      <c r="J130" s="191" t="s">
        <v>648</v>
      </c>
      <c r="K130" s="191" t="s">
        <v>652</v>
      </c>
      <c r="L130" s="192" t="s">
        <v>651</v>
      </c>
      <c r="M130" s="192" t="s">
        <v>653</v>
      </c>
      <c r="N130" s="193" t="s">
        <v>649</v>
      </c>
      <c r="O130" s="193" t="s">
        <v>650</v>
      </c>
      <c r="S130" t="s">
        <v>677</v>
      </c>
      <c r="T130" s="127">
        <v>3</v>
      </c>
      <c r="U130" s="1">
        <f>J137-(J134+J131)</f>
        <v>43.476309188234154</v>
      </c>
      <c r="V130" s="1">
        <f>K137-(K134+K131)</f>
        <v>44.292225036944728</v>
      </c>
    </row>
    <row r="131" spans="1:24" x14ac:dyDescent="0.25">
      <c r="A131" s="180" t="s">
        <v>162</v>
      </c>
      <c r="B131" s="17">
        <v>-151.61078092700001</v>
      </c>
      <c r="C131" s="17"/>
      <c r="D131" s="17"/>
      <c r="E131" s="33"/>
      <c r="F131" s="17">
        <v>2.5745000000000001E-2</v>
      </c>
      <c r="G131" s="17">
        <v>2.9954000000000001E-2</v>
      </c>
      <c r="H131" s="17">
        <v>6.417E-3</v>
      </c>
      <c r="I131" s="185">
        <f t="shared" ref="I131:I142" si="28">(G131-H131)*($T$3*$T$4)</f>
        <v>14.769685977157348</v>
      </c>
      <c r="J131" s="186">
        <f t="shared" ref="J131:J142" si="29">(B131+F131)*($T$3*$T$4)</f>
        <v>-95121.017099796256</v>
      </c>
      <c r="K131" s="186">
        <f t="shared" ref="K131:K142" si="30">((((2-0)/(2-D131))*B131+(1-((2-0)/(2-D131)))*C131)+F131)*($T$3*$T$4)</f>
        <v>-95121.017099796256</v>
      </c>
      <c r="L131" s="187">
        <f t="shared" ref="L131:L142" si="31">(B131+G131)*($T$3*$T$4)</f>
        <v>-95118.375913227123</v>
      </c>
      <c r="M131" s="187">
        <f t="shared" ref="M131:M142" si="32">((((2-0)/(2-D131))*B131+(1-((2-0)/(2-D131)))*C131)+G131)*($T$3*$T$4)</f>
        <v>-95118.375913227123</v>
      </c>
      <c r="N131" s="188">
        <f t="shared" ref="N131:N142" si="33">(B131+H131)*($T$3*$T$4)</f>
        <v>-95133.145599204276</v>
      </c>
      <c r="O131" s="188">
        <f t="shared" ref="O131:O142" si="34">((((2-0)/(2-D131))*B131+(1-((2-0)/(2-D131)))*C131)+H131)*($T$3*$T$4)</f>
        <v>-95133.145599204276</v>
      </c>
      <c r="S131" t="s">
        <v>740</v>
      </c>
      <c r="T131" s="127">
        <v>4</v>
      </c>
      <c r="U131" s="1">
        <f>J135-J131</f>
        <v>42.739713692310033</v>
      </c>
      <c r="V131" s="1">
        <f>K135-K131</f>
        <v>42.613977712069754</v>
      </c>
    </row>
    <row r="132" spans="1:24" x14ac:dyDescent="0.25">
      <c r="A132" s="180" t="s">
        <v>672</v>
      </c>
      <c r="B132" s="17">
        <v>-75.764996233700003</v>
      </c>
      <c r="C132" s="17"/>
      <c r="D132" s="17"/>
      <c r="E132" s="33"/>
      <c r="F132" s="17">
        <v>8.1390000000000004E-3</v>
      </c>
      <c r="G132" s="17">
        <v>1.1443E-2</v>
      </c>
      <c r="H132" s="17">
        <v>-5.7850000000000002E-3</v>
      </c>
      <c r="I132" s="185">
        <f t="shared" si="28"/>
        <v>10.810729915217181</v>
      </c>
      <c r="J132" s="186">
        <f t="shared" si="29"/>
        <v>-47538.131110935552</v>
      </c>
      <c r="K132" s="186">
        <f t="shared" si="30"/>
        <v>-47538.131110935552</v>
      </c>
      <c r="L132" s="187">
        <f t="shared" si="31"/>
        <v>-47536.057820266877</v>
      </c>
      <c r="M132" s="187">
        <f t="shared" si="32"/>
        <v>-47536.057820266877</v>
      </c>
      <c r="N132" s="188">
        <f t="shared" si="33"/>
        <v>-47546.868550182095</v>
      </c>
      <c r="O132" s="188">
        <f t="shared" si="34"/>
        <v>-47546.868550182095</v>
      </c>
      <c r="S132" t="s">
        <v>740</v>
      </c>
      <c r="T132" s="127">
        <v>5</v>
      </c>
      <c r="U132" s="1">
        <f>J135-J131</f>
        <v>42.739713692310033</v>
      </c>
      <c r="V132" s="1">
        <f>K135-K131</f>
        <v>42.613977712069754</v>
      </c>
    </row>
    <row r="133" spans="1:24" x14ac:dyDescent="0.25">
      <c r="A133" s="180" t="s">
        <v>657</v>
      </c>
      <c r="B133" s="17"/>
      <c r="C133" s="17"/>
      <c r="D133" s="17"/>
      <c r="E133" s="33"/>
      <c r="F133" s="17"/>
      <c r="G133" s="17"/>
      <c r="H133" s="17"/>
      <c r="I133" s="185">
        <f t="shared" si="28"/>
        <v>0</v>
      </c>
      <c r="J133" s="186">
        <f t="shared" si="29"/>
        <v>0</v>
      </c>
      <c r="K133" s="186">
        <f t="shared" si="30"/>
        <v>0</v>
      </c>
      <c r="L133" s="187">
        <f t="shared" si="31"/>
        <v>0</v>
      </c>
      <c r="M133" s="187">
        <f t="shared" si="32"/>
        <v>0</v>
      </c>
      <c r="N133" s="188">
        <f t="shared" si="33"/>
        <v>0</v>
      </c>
      <c r="O133" s="188">
        <f t="shared" si="34"/>
        <v>0</v>
      </c>
      <c r="S133" t="s">
        <v>743</v>
      </c>
      <c r="T133" s="127">
        <v>6</v>
      </c>
      <c r="U133" s="1">
        <f>2*J132-J131</f>
        <v>44.754877925151959</v>
      </c>
      <c r="V133" s="1">
        <f>2*K132-K131</f>
        <v>44.754877925151959</v>
      </c>
    </row>
    <row r="134" spans="1:24" x14ac:dyDescent="0.25">
      <c r="A134" s="180" t="s">
        <v>737</v>
      </c>
      <c r="B134" s="17">
        <v>-527.55388452299997</v>
      </c>
      <c r="C134" s="17"/>
      <c r="D134" s="17"/>
      <c r="E134" s="33"/>
      <c r="F134" s="17">
        <v>0</v>
      </c>
      <c r="G134" s="17">
        <v>2.3600000000000001E-3</v>
      </c>
      <c r="H134" s="17">
        <v>-1.2193000000000001E-2</v>
      </c>
      <c r="I134" s="185">
        <f t="shared" si="28"/>
        <v>9.1321425851030664</v>
      </c>
      <c r="J134" s="186">
        <f t="shared" si="29"/>
        <v>-331044.95944403444</v>
      </c>
      <c r="K134" s="186">
        <f t="shared" si="30"/>
        <v>-331044.95944403444</v>
      </c>
      <c r="L134" s="187">
        <f t="shared" si="31"/>
        <v>-331043.47852212825</v>
      </c>
      <c r="M134" s="187">
        <f t="shared" si="32"/>
        <v>-331043.47852212825</v>
      </c>
      <c r="N134" s="188">
        <f t="shared" si="33"/>
        <v>-331052.61066471337</v>
      </c>
      <c r="O134" s="188">
        <f t="shared" si="34"/>
        <v>-331052.61066471337</v>
      </c>
      <c r="S134" t="s">
        <v>743</v>
      </c>
      <c r="T134" s="127">
        <v>7</v>
      </c>
      <c r="U134" s="1">
        <f>2*J132-J131</f>
        <v>44.754877925151959</v>
      </c>
      <c r="V134" s="1">
        <f>2*K132-K131</f>
        <v>44.754877925151959</v>
      </c>
      <c r="W134" s="1">
        <f>2*M147-M146</f>
        <v>44.117757585190702</v>
      </c>
      <c r="X134" s="1">
        <f>2*N147-N146</f>
        <v>44.117757585190702</v>
      </c>
    </row>
    <row r="135" spans="1:24" x14ac:dyDescent="0.25">
      <c r="A135" s="180" t="s">
        <v>740</v>
      </c>
      <c r="B135" s="17">
        <v>-151.535736837</v>
      </c>
      <c r="C135" s="17">
        <v>-151.53553853700001</v>
      </c>
      <c r="D135" s="17">
        <v>1.0052000000000001</v>
      </c>
      <c r="E135" s="33"/>
      <c r="F135" s="17">
        <v>1.8811000000000001E-2</v>
      </c>
      <c r="G135" s="17">
        <v>2.4348000000000002E-2</v>
      </c>
      <c r="H135" s="17">
        <v>-2.5240000000000002E-3</v>
      </c>
      <c r="I135" s="185">
        <f t="shared" si="28"/>
        <v>16.86242943357999</v>
      </c>
      <c r="J135" s="186">
        <f t="shared" si="29"/>
        <v>-95078.277386103946</v>
      </c>
      <c r="K135" s="186">
        <f t="shared" si="30"/>
        <v>-95078.403122084186</v>
      </c>
      <c r="L135" s="187">
        <f t="shared" si="31"/>
        <v>-95074.802867207924</v>
      </c>
      <c r="M135" s="187">
        <f t="shared" si="32"/>
        <v>-95074.928603188164</v>
      </c>
      <c r="N135" s="188">
        <f t="shared" si="33"/>
        <v>-95091.665296641513</v>
      </c>
      <c r="O135" s="188">
        <f t="shared" si="34"/>
        <v>-95091.791032621753</v>
      </c>
      <c r="U135" s="1"/>
      <c r="V135" s="1"/>
    </row>
    <row r="136" spans="1:24" x14ac:dyDescent="0.25">
      <c r="A136" s="180" t="s">
        <v>658</v>
      </c>
      <c r="B136" s="17"/>
      <c r="C136" s="17"/>
      <c r="D136" s="17"/>
      <c r="E136" s="33"/>
      <c r="F136" s="17"/>
      <c r="G136" s="17"/>
      <c r="H136" s="17"/>
      <c r="I136" s="185">
        <f t="shared" si="28"/>
        <v>0</v>
      </c>
      <c r="J136" s="186">
        <f t="shared" si="29"/>
        <v>0</v>
      </c>
      <c r="K136" s="186">
        <f t="shared" si="30"/>
        <v>0</v>
      </c>
      <c r="L136" s="187">
        <f t="shared" si="31"/>
        <v>0</v>
      </c>
      <c r="M136" s="187">
        <f t="shared" si="32"/>
        <v>0</v>
      </c>
      <c r="N136" s="188">
        <f t="shared" si="33"/>
        <v>0</v>
      </c>
      <c r="O136" s="188">
        <f t="shared" si="34"/>
        <v>0</v>
      </c>
      <c r="U136" s="1"/>
      <c r="V136" s="1"/>
    </row>
    <row r="137" spans="1:24" x14ac:dyDescent="0.25">
      <c r="A137" s="180" t="s">
        <v>738</v>
      </c>
      <c r="B137" s="17">
        <v>-679.08849452000004</v>
      </c>
      <c r="C137" s="17">
        <v>-679.08982129799995</v>
      </c>
      <c r="D137" s="17">
        <v>0.9899</v>
      </c>
      <c r="E137" s="33">
        <v>137</v>
      </c>
      <c r="F137" s="17">
        <v>1.8858E-2</v>
      </c>
      <c r="G137" s="17">
        <v>2.6280999999999999E-2</v>
      </c>
      <c r="H137" s="17">
        <v>-1.1723000000000001E-2</v>
      </c>
      <c r="I137" s="185">
        <f t="shared" si="28"/>
        <v>23.847862763983844</v>
      </c>
      <c r="J137" s="186">
        <f t="shared" si="29"/>
        <v>-426122.50023464247</v>
      </c>
      <c r="K137" s="186">
        <f t="shared" si="30"/>
        <v>-426121.68431879376</v>
      </c>
      <c r="L137" s="187">
        <f t="shared" si="31"/>
        <v>-426117.84223324008</v>
      </c>
      <c r="M137" s="187">
        <f t="shared" si="32"/>
        <v>-426117.02631739137</v>
      </c>
      <c r="N137" s="188">
        <f t="shared" si="33"/>
        <v>-426141.69009600405</v>
      </c>
      <c r="O137" s="188">
        <f t="shared" si="34"/>
        <v>-426140.87418015534</v>
      </c>
      <c r="S137" t="s">
        <v>769</v>
      </c>
      <c r="U137" s="1" t="s">
        <v>685</v>
      </c>
      <c r="V137" s="1" t="s">
        <v>684</v>
      </c>
    </row>
    <row r="138" spans="1:24" x14ac:dyDescent="0.25">
      <c r="A138" s="180" t="s">
        <v>466</v>
      </c>
      <c r="B138" s="17">
        <v>-151.534436118</v>
      </c>
      <c r="C138" s="17">
        <v>-151.535627229</v>
      </c>
      <c r="D138" s="17">
        <v>0.98860000000000003</v>
      </c>
      <c r="E138" s="33">
        <v>176.4</v>
      </c>
      <c r="F138" s="17">
        <v>1.8391999999999999E-2</v>
      </c>
      <c r="G138" s="17">
        <v>2.3392E-2</v>
      </c>
      <c r="H138" s="17">
        <v>-2.5049999999999998E-3</v>
      </c>
      <c r="I138" s="185">
        <f t="shared" si="28"/>
        <v>16.250607883351481</v>
      </c>
      <c r="J138" s="186">
        <f t="shared" si="29"/>
        <v>-95077.724099247076</v>
      </c>
      <c r="K138" s="186">
        <f t="shared" si="30"/>
        <v>-95076.993515432419</v>
      </c>
      <c r="L138" s="187">
        <f t="shared" si="31"/>
        <v>-95074.586552835652</v>
      </c>
      <c r="M138" s="187">
        <f t="shared" si="32"/>
        <v>-95073.855969020995</v>
      </c>
      <c r="N138" s="188">
        <f t="shared" si="33"/>
        <v>-95090.837160719006</v>
      </c>
      <c r="O138" s="188">
        <f t="shared" si="34"/>
        <v>-95090.106576904363</v>
      </c>
      <c r="S138" t="s">
        <v>162</v>
      </c>
      <c r="T138" s="127">
        <v>0</v>
      </c>
      <c r="U138" s="1">
        <f t="shared" ref="U138:V144" si="35">E42</f>
        <v>0</v>
      </c>
      <c r="V138" s="1">
        <f t="shared" si="35"/>
        <v>0</v>
      </c>
    </row>
    <row r="139" spans="1:24" x14ac:dyDescent="0.25">
      <c r="A139" s="180" t="s">
        <v>734</v>
      </c>
      <c r="B139" s="17">
        <v>-304.55600267400001</v>
      </c>
      <c r="C139" s="17"/>
      <c r="D139" s="17"/>
      <c r="E139" s="33"/>
      <c r="F139" s="17">
        <v>7.6730000000000007E-2</v>
      </c>
      <c r="G139" s="17">
        <v>8.5619000000000001E-2</v>
      </c>
      <c r="H139" s="17">
        <v>4.8446999999999997E-2</v>
      </c>
      <c r="I139" s="185">
        <f t="shared" si="28"/>
        <v>23.325775041122188</v>
      </c>
      <c r="J139" s="186">
        <f t="shared" si="29"/>
        <v>-191063.56986651849</v>
      </c>
      <c r="K139" s="186">
        <f t="shared" si="30"/>
        <v>-191063.56986651849</v>
      </c>
      <c r="L139" s="187">
        <f t="shared" si="31"/>
        <v>-191057.99193650828</v>
      </c>
      <c r="M139" s="187">
        <f t="shared" si="32"/>
        <v>-191057.99193650828</v>
      </c>
      <c r="N139" s="188">
        <f t="shared" si="33"/>
        <v>-191081.31771154937</v>
      </c>
      <c r="O139" s="188">
        <f t="shared" si="34"/>
        <v>-191081.31771154937</v>
      </c>
      <c r="S139" t="s">
        <v>162</v>
      </c>
      <c r="T139" s="127">
        <v>1</v>
      </c>
      <c r="U139" s="1">
        <f t="shared" si="35"/>
        <v>0</v>
      </c>
      <c r="V139" s="1">
        <f t="shared" si="35"/>
        <v>0</v>
      </c>
    </row>
    <row r="140" spans="1:24" x14ac:dyDescent="0.25">
      <c r="A140" s="180" t="s">
        <v>733</v>
      </c>
      <c r="B140" s="17">
        <v>-304.48837194599997</v>
      </c>
      <c r="C140" s="17">
        <v>-304.48086688699999</v>
      </c>
      <c r="D140" s="17">
        <v>0.95309999999999995</v>
      </c>
      <c r="E140" s="33">
        <v>147.35</v>
      </c>
      <c r="F140" s="17">
        <v>7.0683999999999997E-2</v>
      </c>
      <c r="G140" s="17">
        <v>7.9384999999999997E-2</v>
      </c>
      <c r="H140" s="17">
        <v>4.2777999999999997E-2</v>
      </c>
      <c r="I140" s="185">
        <f t="shared" si="28"/>
        <v>22.971232296630795</v>
      </c>
      <c r="J140" s="186">
        <f t="shared" si="29"/>
        <v>-191024.92487805142</v>
      </c>
      <c r="K140" s="186">
        <f t="shared" si="30"/>
        <v>-191029.21241163556</v>
      </c>
      <c r="L140" s="187">
        <f t="shared" si="31"/>
        <v>-191019.46491978626</v>
      </c>
      <c r="M140" s="187">
        <f t="shared" si="32"/>
        <v>-191023.7524533704</v>
      </c>
      <c r="N140" s="188">
        <f t="shared" si="33"/>
        <v>-191042.4361520829</v>
      </c>
      <c r="O140" s="188">
        <f t="shared" si="34"/>
        <v>-191046.72368566704</v>
      </c>
      <c r="S140" t="s">
        <v>677</v>
      </c>
      <c r="T140" s="127">
        <v>2</v>
      </c>
      <c r="U140" s="1">
        <f>E44</f>
        <v>41.539709494041745</v>
      </c>
      <c r="V140" s="1">
        <f t="shared" si="35"/>
        <v>42.042906459158985</v>
      </c>
    </row>
    <row r="141" spans="1:24" x14ac:dyDescent="0.25">
      <c r="A141" s="180" t="s">
        <v>736</v>
      </c>
      <c r="B141" s="17">
        <v>-303.99574992399999</v>
      </c>
      <c r="C141" s="17"/>
      <c r="D141" s="17"/>
      <c r="E141" s="33"/>
      <c r="F141" s="17">
        <v>6.2162000000000002E-2</v>
      </c>
      <c r="G141" s="17">
        <v>7.0569999999999994E-2</v>
      </c>
      <c r="H141" s="17">
        <v>3.3999000000000001E-2</v>
      </c>
      <c r="I141" s="185">
        <f t="shared" si="28"/>
        <v>22.948641962468503</v>
      </c>
      <c r="J141" s="186">
        <f t="shared" si="29"/>
        <v>-190721.14762069177</v>
      </c>
      <c r="K141" s="186">
        <f t="shared" si="30"/>
        <v>-190721.14762069177</v>
      </c>
      <c r="L141" s="187">
        <f t="shared" si="31"/>
        <v>-190715.87152264634</v>
      </c>
      <c r="M141" s="187">
        <f t="shared" si="32"/>
        <v>-190715.87152264634</v>
      </c>
      <c r="N141" s="188">
        <f t="shared" si="33"/>
        <v>-190738.82016460877</v>
      </c>
      <c r="O141" s="188">
        <f t="shared" si="34"/>
        <v>-190738.82016460877</v>
      </c>
      <c r="S141" t="s">
        <v>677</v>
      </c>
      <c r="T141" s="127">
        <v>3</v>
      </c>
      <c r="U141" s="1">
        <f t="shared" si="35"/>
        <v>41.539709494041745</v>
      </c>
      <c r="V141" s="1">
        <f t="shared" si="35"/>
        <v>42.042906459158985</v>
      </c>
    </row>
    <row r="142" spans="1:24" x14ac:dyDescent="0.25">
      <c r="A142" s="180" t="s">
        <v>735</v>
      </c>
      <c r="B142" s="17">
        <v>-303.939732171</v>
      </c>
      <c r="C142" s="17">
        <v>-303.94458502200001</v>
      </c>
      <c r="D142" s="17">
        <v>0.93489999999999995</v>
      </c>
      <c r="E142" s="33">
        <v>380.28</v>
      </c>
      <c r="F142" s="17">
        <v>5.8977000000000002E-2</v>
      </c>
      <c r="G142" s="17">
        <v>6.7360000000000003E-2</v>
      </c>
      <c r="H142" s="17">
        <v>3.1109000000000001E-2</v>
      </c>
      <c r="I142" s="185">
        <f t="shared" si="28"/>
        <v>22.747838992137105</v>
      </c>
      <c r="J142" s="186">
        <f t="shared" si="29"/>
        <v>-190687.99457777556</v>
      </c>
      <c r="K142" s="186">
        <f t="shared" si="30"/>
        <v>-190685.32162130284</v>
      </c>
      <c r="L142" s="187">
        <f t="shared" si="31"/>
        <v>-190682.73416746216</v>
      </c>
      <c r="M142" s="187">
        <f t="shared" si="32"/>
        <v>-190680.06121098946</v>
      </c>
      <c r="N142" s="188">
        <f t="shared" si="33"/>
        <v>-190705.48200645429</v>
      </c>
      <c r="O142" s="188">
        <f t="shared" si="34"/>
        <v>-190702.80904998159</v>
      </c>
      <c r="S142" t="s">
        <v>740</v>
      </c>
      <c r="T142" s="127">
        <v>4</v>
      </c>
      <c r="U142" s="1">
        <f t="shared" si="35"/>
        <v>41.328338639883441</v>
      </c>
      <c r="V142" s="1">
        <f t="shared" si="35"/>
        <v>41.402744493068894</v>
      </c>
    </row>
    <row r="143" spans="1:24" x14ac:dyDescent="0.25">
      <c r="S143" t="s">
        <v>740</v>
      </c>
      <c r="T143" s="127">
        <v>5</v>
      </c>
      <c r="U143" s="1">
        <f t="shared" si="35"/>
        <v>41.328338639883441</v>
      </c>
      <c r="V143" s="1">
        <f t="shared" si="35"/>
        <v>41.402744493068894</v>
      </c>
    </row>
    <row r="144" spans="1:24" x14ac:dyDescent="0.25">
      <c r="A144" s="15" t="s">
        <v>778</v>
      </c>
      <c r="B144" s="15"/>
      <c r="C144" s="15"/>
      <c r="D144" s="15"/>
      <c r="E144" s="15"/>
      <c r="F144" s="15"/>
      <c r="G144" s="15"/>
      <c r="S144" t="s">
        <v>743</v>
      </c>
      <c r="T144" s="127">
        <v>6</v>
      </c>
      <c r="U144" s="1">
        <f t="shared" si="35"/>
        <v>43.658839088267996</v>
      </c>
      <c r="V144" s="1">
        <f t="shared" si="35"/>
        <v>43.658839088267996</v>
      </c>
    </row>
    <row r="145" spans="1:45" ht="75" x14ac:dyDescent="0.25">
      <c r="A145" s="167" t="s">
        <v>481</v>
      </c>
      <c r="B145" s="179" t="s">
        <v>667</v>
      </c>
      <c r="C145" s="179" t="s">
        <v>668</v>
      </c>
      <c r="D145" s="167" t="s">
        <v>669</v>
      </c>
      <c r="E145" s="167" t="s">
        <v>774</v>
      </c>
      <c r="F145" s="167" t="s">
        <v>775</v>
      </c>
      <c r="G145" s="167" t="s">
        <v>776</v>
      </c>
      <c r="H145" s="179" t="s">
        <v>434</v>
      </c>
      <c r="I145" s="179" t="s">
        <v>436</v>
      </c>
      <c r="J145" s="179" t="s">
        <v>437</v>
      </c>
      <c r="K145" s="179" t="s">
        <v>438</v>
      </c>
      <c r="L145" s="179" t="s">
        <v>500</v>
      </c>
      <c r="M145" s="191" t="s">
        <v>648</v>
      </c>
      <c r="N145" s="191" t="s">
        <v>652</v>
      </c>
      <c r="O145" s="191" t="s">
        <v>779</v>
      </c>
      <c r="P145" s="191" t="s">
        <v>777</v>
      </c>
      <c r="Q145" s="192" t="s">
        <v>651</v>
      </c>
      <c r="R145" s="192" t="s">
        <v>653</v>
      </c>
      <c r="S145" s="193" t="s">
        <v>649</v>
      </c>
      <c r="T145" s="193" t="s">
        <v>650</v>
      </c>
      <c r="W145" t="s">
        <v>743</v>
      </c>
      <c r="X145" s="127">
        <v>7</v>
      </c>
      <c r="Y145" s="1">
        <f>E49</f>
        <v>43.658839088267996</v>
      </c>
      <c r="Z145" s="1">
        <f>F49</f>
        <v>43.658839088267996</v>
      </c>
    </row>
    <row r="146" spans="1:45" x14ac:dyDescent="0.25">
      <c r="A146" s="180" t="s">
        <v>162</v>
      </c>
      <c r="B146" s="17">
        <v>-151.61296965099999</v>
      </c>
      <c r="C146" s="17"/>
      <c r="D146" s="17"/>
      <c r="E146" s="17"/>
      <c r="F146" s="17"/>
      <c r="G146" s="17"/>
      <c r="H146" s="33"/>
      <c r="I146" s="17">
        <v>2.6585000000000001E-2</v>
      </c>
      <c r="J146" s="17">
        <v>3.0773999999999999E-2</v>
      </c>
      <c r="K146" s="17">
        <v>7.2700000000000004E-3</v>
      </c>
      <c r="L146" s="185">
        <f t="shared" ref="L146:L174" si="36">(J146-K146)*($T$3*$T$4)</f>
        <v>14.748978170841918</v>
      </c>
      <c r="M146" s="186">
        <f t="shared" ref="M146:M162" si="37">(B146+I146)*($T$3*$T$4)</f>
        <v>-95121.863436625485</v>
      </c>
      <c r="N146" s="186">
        <f t="shared" ref="N146:N162" si="38">((((2-0)/(2-D146))*B146+(1-((2-0)/(2-D146)))*C146)+I146)*($T$3*$T$4)</f>
        <v>-95121.863436625485</v>
      </c>
      <c r="O146" s="186">
        <f>(E146)</f>
        <v>0</v>
      </c>
      <c r="P146" s="186">
        <f>((((2-0)/(2-G146))*E146+(1-((2-0)/(2-G146)))*F146))</f>
        <v>0</v>
      </c>
      <c r="Q146" s="187">
        <f t="shared" ref="Q146:Q162" si="39">(B146+J146)*($T$3*$T$4)</f>
        <v>-95119.234800241989</v>
      </c>
      <c r="R146" s="187">
        <f>((((2-0)/(2-D146))*B146+(1-((2-0)/(2-D146)))*C146)+J146)*($T$3*$T$4)</f>
        <v>-95119.234800241989</v>
      </c>
      <c r="S146" s="188">
        <f t="shared" ref="S146:S162" si="40">(B146+K146)*($T$3*$T$4)</f>
        <v>-95133.983778412832</v>
      </c>
      <c r="T146" s="188">
        <f t="shared" ref="T146:T162" si="41">((((2-0)/(2-D146))*B146+(1-((2-0)/(2-D146)))*C146)+K146)*($T$3*$T$4)</f>
        <v>-95133.983778412832</v>
      </c>
      <c r="Y146" s="1"/>
      <c r="Z146" s="1"/>
    </row>
    <row r="147" spans="1:45" x14ac:dyDescent="0.25">
      <c r="A147" s="180" t="s">
        <v>672</v>
      </c>
      <c r="B147" s="17">
        <v>-75.766178253800007</v>
      </c>
      <c r="C147" s="17"/>
      <c r="D147" s="17"/>
      <c r="E147" s="17"/>
      <c r="F147" s="17"/>
      <c r="G147" s="17"/>
      <c r="H147" s="33"/>
      <c r="I147" s="17">
        <v>8.1390000000000004E-3</v>
      </c>
      <c r="J147" s="17">
        <v>1.1443E-2</v>
      </c>
      <c r="K147" s="17">
        <v>-5.7850000000000002E-3</v>
      </c>
      <c r="L147" s="185">
        <f t="shared" si="36"/>
        <v>10.810729915217181</v>
      </c>
      <c r="M147" s="186">
        <f t="shared" si="37"/>
        <v>-47538.872839520147</v>
      </c>
      <c r="N147" s="186">
        <f t="shared" si="38"/>
        <v>-47538.872839520147</v>
      </c>
      <c r="O147" s="186">
        <f t="shared" ref="O147:O162" si="42">(E147)</f>
        <v>0</v>
      </c>
      <c r="P147" s="186">
        <f t="shared" ref="P147:P162" si="43">((((2-0)/(2-G147))*E147+(1-((2-0)/(2-G147)))*F147))</f>
        <v>0</v>
      </c>
      <c r="Q147" s="187">
        <f t="shared" si="39"/>
        <v>-47536.799548851479</v>
      </c>
      <c r="R147" s="187">
        <f t="shared" ref="R147:R162" si="44">((((2-0)/(2-D147))*B147+(1-((2-0)/(2-D147)))*C147)+J147)*($T$3*$T$4)</f>
        <v>-47536.799548851479</v>
      </c>
      <c r="S147" s="188">
        <f t="shared" si="40"/>
        <v>-47547.610278766697</v>
      </c>
      <c r="T147" s="188">
        <f t="shared" si="41"/>
        <v>-47547.610278766697</v>
      </c>
      <c r="W147" s="6">
        <f>N165-(N150+N146)</f>
        <v>43.594978511566296</v>
      </c>
      <c r="Y147" s="1"/>
      <c r="Z147" s="1"/>
    </row>
    <row r="148" spans="1:45" x14ac:dyDescent="0.25">
      <c r="A148" s="180" t="s">
        <v>439</v>
      </c>
      <c r="B148" s="17">
        <v>-76.464378689</v>
      </c>
      <c r="C148" s="17"/>
      <c r="D148" s="17"/>
      <c r="E148" s="17"/>
      <c r="F148" s="17"/>
      <c r="G148" s="17"/>
      <c r="H148" s="33"/>
      <c r="I148" s="17">
        <v>2.0750999999999999E-2</v>
      </c>
      <c r="J148" s="17">
        <v>2.453E-2</v>
      </c>
      <c r="K148" s="17">
        <v>5.4479999999999997E-3</v>
      </c>
      <c r="L148" s="185">
        <f t="shared" si="36"/>
        <v>11.974132124574776</v>
      </c>
      <c r="M148" s="186">
        <f t="shared" si="37"/>
        <v>-47969.085946435836</v>
      </c>
      <c r="N148" s="186">
        <f t="shared" si="38"/>
        <v>-47969.085946435836</v>
      </c>
      <c r="O148" s="186">
        <f t="shared" si="42"/>
        <v>0</v>
      </c>
      <c r="P148" s="186">
        <f t="shared" si="43"/>
        <v>0</v>
      </c>
      <c r="Q148" s="187">
        <f t="shared" si="39"/>
        <v>-47966.714588858085</v>
      </c>
      <c r="R148" s="187">
        <f t="shared" si="44"/>
        <v>-47966.714588858085</v>
      </c>
      <c r="S148" s="188">
        <f t="shared" si="40"/>
        <v>-47978.688720982653</v>
      </c>
      <c r="T148" s="188">
        <f t="shared" si="41"/>
        <v>-47978.688720982653</v>
      </c>
      <c r="W148" t="s">
        <v>771</v>
      </c>
      <c r="AB148" t="s">
        <v>745</v>
      </c>
    </row>
    <row r="149" spans="1:45" x14ac:dyDescent="0.25">
      <c r="A149" s="180" t="s">
        <v>725</v>
      </c>
      <c r="B149" s="17">
        <v>-75.090912951600004</v>
      </c>
      <c r="C149" s="17"/>
      <c r="D149" s="17"/>
      <c r="E149" s="17"/>
      <c r="F149" s="17"/>
      <c r="G149" s="17"/>
      <c r="H149" s="33"/>
      <c r="I149" s="17">
        <v>0</v>
      </c>
      <c r="J149" s="17">
        <v>2.3600000000000001E-3</v>
      </c>
      <c r="K149" s="17">
        <v>-1.1932999999999999E-2</v>
      </c>
      <c r="L149" s="185">
        <f t="shared" si="36"/>
        <v>8.9689901717087963</v>
      </c>
      <c r="M149" s="186">
        <f t="shared" si="37"/>
        <v>-47120.244892432747</v>
      </c>
      <c r="N149" s="186">
        <f t="shared" si="38"/>
        <v>-47120.244892432747</v>
      </c>
      <c r="O149" s="186">
        <f t="shared" si="42"/>
        <v>0</v>
      </c>
      <c r="P149" s="186">
        <f t="shared" si="43"/>
        <v>0</v>
      </c>
      <c r="Q149" s="187">
        <f t="shared" si="39"/>
        <v>-47118.763970526554</v>
      </c>
      <c r="R149" s="187">
        <f t="shared" si="44"/>
        <v>-47118.763970526554</v>
      </c>
      <c r="S149" s="188">
        <f>(B149+K149)*($T$3*$T$4)</f>
        <v>-47127.73296069826</v>
      </c>
      <c r="T149" s="188">
        <f t="shared" si="41"/>
        <v>-47127.73296069826</v>
      </c>
      <c r="W149" t="s">
        <v>772</v>
      </c>
      <c r="X149" s="6"/>
      <c r="Y149" s="1" t="s">
        <v>685</v>
      </c>
      <c r="Z149" s="1" t="s">
        <v>684</v>
      </c>
      <c r="AB149" t="s">
        <v>748</v>
      </c>
      <c r="AC149" s="6"/>
      <c r="AD149" s="1" t="s">
        <v>685</v>
      </c>
      <c r="AE149" s="1" t="s">
        <v>684</v>
      </c>
    </row>
    <row r="150" spans="1:45" x14ac:dyDescent="0.25">
      <c r="A150" s="180" t="s">
        <v>737</v>
      </c>
      <c r="B150" s="17">
        <v>-527.55388452299997</v>
      </c>
      <c r="C150" s="17"/>
      <c r="D150" s="17"/>
      <c r="E150" s="17"/>
      <c r="F150" s="17"/>
      <c r="G150" s="17"/>
      <c r="H150" s="33"/>
      <c r="I150" s="17">
        <v>0</v>
      </c>
      <c r="J150" s="17">
        <v>2.3600000000000001E-3</v>
      </c>
      <c r="K150" s="17">
        <v>-1.2193000000000001E-2</v>
      </c>
      <c r="L150" s="185">
        <f t="shared" si="36"/>
        <v>9.1321425851030664</v>
      </c>
      <c r="M150" s="186">
        <f t="shared" si="37"/>
        <v>-331044.95944403444</v>
      </c>
      <c r="N150" s="186">
        <f t="shared" si="38"/>
        <v>-331044.95944403444</v>
      </c>
      <c r="O150" s="186">
        <f t="shared" si="42"/>
        <v>0</v>
      </c>
      <c r="P150" s="186">
        <f t="shared" si="43"/>
        <v>0</v>
      </c>
      <c r="Q150" s="187">
        <f t="shared" si="39"/>
        <v>-331043.47852212825</v>
      </c>
      <c r="R150" s="187">
        <f t="shared" si="44"/>
        <v>-331043.47852212825</v>
      </c>
      <c r="S150" s="188">
        <f t="shared" si="40"/>
        <v>-331052.61066471337</v>
      </c>
      <c r="T150" s="188">
        <f t="shared" si="41"/>
        <v>-331052.61066471337</v>
      </c>
      <c r="W150" t="s">
        <v>162</v>
      </c>
      <c r="X150" s="127">
        <v>0</v>
      </c>
      <c r="Y150" s="1">
        <v>0</v>
      </c>
      <c r="Z150" s="1">
        <v>0</v>
      </c>
      <c r="AB150" t="s">
        <v>162</v>
      </c>
      <c r="AC150" s="127">
        <v>0</v>
      </c>
      <c r="AD150" s="1"/>
      <c r="AE150" s="1"/>
    </row>
    <row r="151" spans="1:45" x14ac:dyDescent="0.25">
      <c r="A151" s="180" t="s">
        <v>757</v>
      </c>
      <c r="B151" s="17">
        <v>-151.53823578999999</v>
      </c>
      <c r="C151" s="17">
        <v>-151.53801844200001</v>
      </c>
      <c r="D151" s="17">
        <v>1.0053000000000001</v>
      </c>
      <c r="E151" s="17"/>
      <c r="F151" s="17"/>
      <c r="G151" s="17"/>
      <c r="H151" s="33"/>
      <c r="I151" s="17">
        <v>1.8811000000000001E-2</v>
      </c>
      <c r="J151" s="17">
        <v>2.4348000000000002E-2</v>
      </c>
      <c r="K151" s="17">
        <v>-2.5240000000000002E-3</v>
      </c>
      <c r="L151" s="185">
        <f t="shared" si="36"/>
        <v>16.86242943357999</v>
      </c>
      <c r="M151" s="186">
        <f t="shared" si="37"/>
        <v>-95079.845502307435</v>
      </c>
      <c r="N151" s="186">
        <f t="shared" si="38"/>
        <v>-95079.983343609594</v>
      </c>
      <c r="O151" s="186">
        <f t="shared" si="42"/>
        <v>0</v>
      </c>
      <c r="P151" s="186">
        <f t="shared" si="43"/>
        <v>0</v>
      </c>
      <c r="Q151" s="187">
        <f t="shared" si="39"/>
        <v>-95076.370983411412</v>
      </c>
      <c r="R151" s="187">
        <f t="shared" si="44"/>
        <v>-95076.508824713586</v>
      </c>
      <c r="S151" s="188">
        <f t="shared" si="40"/>
        <v>-95093.233412844987</v>
      </c>
      <c r="T151" s="188">
        <f t="shared" si="41"/>
        <v>-95093.371254147161</v>
      </c>
      <c r="W151" t="s">
        <v>162</v>
      </c>
      <c r="X151" s="127">
        <v>1</v>
      </c>
      <c r="Y151" s="1">
        <v>0</v>
      </c>
      <c r="Z151" s="1">
        <v>0</v>
      </c>
      <c r="AB151" t="s">
        <v>162</v>
      </c>
      <c r="AC151" s="127">
        <v>1</v>
      </c>
      <c r="AD151" s="1"/>
      <c r="AE151" s="1"/>
    </row>
    <row r="152" spans="1:45" x14ac:dyDescent="0.25">
      <c r="A152" s="180" t="s">
        <v>759</v>
      </c>
      <c r="B152" s="17">
        <v>-151.53801844200001</v>
      </c>
      <c r="C152" s="17"/>
      <c r="D152" s="17"/>
      <c r="E152" s="17"/>
      <c r="F152" s="17"/>
      <c r="G152" s="17"/>
      <c r="H152" s="33"/>
      <c r="I152" s="17">
        <v>1.8811000000000001E-2</v>
      </c>
      <c r="J152" s="17">
        <v>2.4348000000000002E-2</v>
      </c>
      <c r="K152" s="17">
        <v>-2.5240000000000002E-3</v>
      </c>
      <c r="L152" s="185">
        <f t="shared" si="36"/>
        <v>16.86242943357999</v>
      </c>
      <c r="M152" s="186">
        <f t="shared" si="37"/>
        <v>-95079.709114419966</v>
      </c>
      <c r="N152" s="186">
        <f t="shared" si="38"/>
        <v>-95079.709114419966</v>
      </c>
      <c r="O152" s="186">
        <f t="shared" si="42"/>
        <v>0</v>
      </c>
      <c r="P152" s="186">
        <f t="shared" si="43"/>
        <v>0</v>
      </c>
      <c r="Q152" s="187">
        <f t="shared" si="39"/>
        <v>-95076.234595523943</v>
      </c>
      <c r="R152" s="187">
        <f t="shared" si="44"/>
        <v>-95076.234595523943</v>
      </c>
      <c r="S152" s="188">
        <f t="shared" si="40"/>
        <v>-95093.097024957518</v>
      </c>
      <c r="T152" s="188">
        <f t="shared" si="41"/>
        <v>-95093.097024957518</v>
      </c>
      <c r="W152" t="s">
        <v>677</v>
      </c>
      <c r="X152" s="127">
        <v>2</v>
      </c>
      <c r="Y152" s="1">
        <f>M165-(M150+M146)</f>
        <v>42.785803621576633</v>
      </c>
      <c r="Z152" s="1">
        <f>N165-(N150+N146)</f>
        <v>43.594978511566296</v>
      </c>
      <c r="AB152" t="s">
        <v>677</v>
      </c>
      <c r="AC152" s="127">
        <v>2</v>
      </c>
      <c r="AD152" s="1"/>
      <c r="AE152" s="1"/>
    </row>
    <row r="153" spans="1:45" x14ac:dyDescent="0.25">
      <c r="A153" s="180" t="s">
        <v>758</v>
      </c>
      <c r="B153" s="17">
        <v>-151.53838163</v>
      </c>
      <c r="C153" s="17"/>
      <c r="D153" s="17"/>
      <c r="E153" s="17"/>
      <c r="F153" s="17"/>
      <c r="G153" s="17"/>
      <c r="H153" s="33"/>
      <c r="I153" s="17">
        <v>1.8818999999999999E-2</v>
      </c>
      <c r="J153" s="17">
        <v>2.4355000000000002E-2</v>
      </c>
      <c r="K153" s="17">
        <v>-3.5639999999999999E-3</v>
      </c>
      <c r="L153" s="185">
        <f t="shared" si="36"/>
        <v>17.519431652133068</v>
      </c>
      <c r="M153" s="186">
        <f t="shared" si="37"/>
        <v>-95079.931998186905</v>
      </c>
      <c r="N153" s="186">
        <f t="shared" si="38"/>
        <v>-95079.931998186905</v>
      </c>
      <c r="O153" s="186">
        <f t="shared" si="42"/>
        <v>0</v>
      </c>
      <c r="P153" s="186">
        <f t="shared" si="43"/>
        <v>0</v>
      </c>
      <c r="Q153" s="187">
        <f t="shared" si="39"/>
        <v>-95076.458106800172</v>
      </c>
      <c r="R153" s="187">
        <f t="shared" si="44"/>
        <v>-95076.458106800172</v>
      </c>
      <c r="S153" s="188">
        <f t="shared" si="40"/>
        <v>-95093.977538452324</v>
      </c>
      <c r="T153" s="188">
        <f t="shared" si="41"/>
        <v>-95093.977538452324</v>
      </c>
      <c r="W153" t="s">
        <v>677</v>
      </c>
      <c r="X153" s="127">
        <v>3</v>
      </c>
      <c r="Y153" s="1">
        <f>M165-(M150+M146)</f>
        <v>42.785803621576633</v>
      </c>
      <c r="Z153" s="1">
        <f>N165-(N150+N146)</f>
        <v>43.594978511566296</v>
      </c>
      <c r="AB153" t="s">
        <v>677</v>
      </c>
      <c r="AC153" s="127">
        <v>3</v>
      </c>
      <c r="AD153" s="1"/>
      <c r="AE153" s="1"/>
    </row>
    <row r="154" spans="1:45" x14ac:dyDescent="0.25">
      <c r="A154" s="180" t="s">
        <v>746</v>
      </c>
      <c r="B154" s="17">
        <v>-151.536752831</v>
      </c>
      <c r="C154" s="17">
        <v>-151.53793631900001</v>
      </c>
      <c r="D154" s="17">
        <v>0.98809999999999998</v>
      </c>
      <c r="E154" s="17"/>
      <c r="F154" s="17"/>
      <c r="G154" s="17"/>
      <c r="H154" s="33">
        <v>176.4</v>
      </c>
      <c r="I154" s="17">
        <v>1.8391999999999999E-2</v>
      </c>
      <c r="J154" s="17">
        <v>2.3392E-2</v>
      </c>
      <c r="K154" s="17">
        <v>-2.5049999999999998E-3</v>
      </c>
      <c r="L154" s="185">
        <f t="shared" si="36"/>
        <v>16.250607883351481</v>
      </c>
      <c r="M154" s="186">
        <f t="shared" si="37"/>
        <v>-95079.177858158961</v>
      </c>
      <c r="N154" s="186">
        <f t="shared" si="38"/>
        <v>-95078.45267565675</v>
      </c>
      <c r="O154" s="186">
        <f t="shared" si="42"/>
        <v>0</v>
      </c>
      <c r="P154" s="186">
        <f t="shared" si="43"/>
        <v>0</v>
      </c>
      <c r="Q154" s="187">
        <f t="shared" si="39"/>
        <v>-95076.040311747536</v>
      </c>
      <c r="R154" s="187">
        <f t="shared" si="44"/>
        <v>-95075.315129245326</v>
      </c>
      <c r="S154" s="188">
        <f t="shared" si="40"/>
        <v>-95092.290919630905</v>
      </c>
      <c r="T154" s="188">
        <f t="shared" si="41"/>
        <v>-95091.565737128694</v>
      </c>
      <c r="W154" t="s">
        <v>740</v>
      </c>
      <c r="X154" s="127">
        <v>4</v>
      </c>
      <c r="Y154" s="1">
        <f>M151-M146</f>
        <v>42.017934318049811</v>
      </c>
      <c r="Z154" s="1">
        <f>N151-N146</f>
        <v>41.880093015890452</v>
      </c>
      <c r="AB154" t="s">
        <v>740</v>
      </c>
      <c r="AC154" s="127">
        <v>4</v>
      </c>
      <c r="AD154" s="1" t="e">
        <f>#REF!-M146</f>
        <v>#REF!</v>
      </c>
      <c r="AE154" s="1" t="e">
        <f>#REF!-N146</f>
        <v>#REF!</v>
      </c>
    </row>
    <row r="155" spans="1:45" x14ac:dyDescent="0.25">
      <c r="A155" s="180" t="s">
        <v>751</v>
      </c>
      <c r="B155" s="17">
        <v>-151.536022562</v>
      </c>
      <c r="C155" s="17">
        <v>-151.535139243</v>
      </c>
      <c r="D155" s="17">
        <v>1.0028999999999999</v>
      </c>
      <c r="E155" s="17"/>
      <c r="F155" s="17"/>
      <c r="G155" s="17"/>
      <c r="H155" s="33"/>
      <c r="I155" s="17">
        <v>1.8898999999999999E-2</v>
      </c>
      <c r="J155" s="17">
        <v>2.4559000000000001E-2</v>
      </c>
      <c r="K155" s="17">
        <v>-2.8440000000000002E-3</v>
      </c>
      <c r="L155" s="185">
        <f t="shared" si="36"/>
        <v>17.19563686247367</v>
      </c>
      <c r="M155" s="186">
        <f t="shared" si="37"/>
        <v>-95078.401460376786</v>
      </c>
      <c r="N155" s="186">
        <f t="shared" si="38"/>
        <v>-95078.958975485846</v>
      </c>
      <c r="O155" s="186">
        <f t="shared" si="42"/>
        <v>0</v>
      </c>
      <c r="P155" s="186">
        <f t="shared" si="43"/>
        <v>0</v>
      </c>
      <c r="Q155" s="187">
        <f t="shared" si="39"/>
        <v>-95074.849757839038</v>
      </c>
      <c r="R155" s="187">
        <f t="shared" si="44"/>
        <v>-95075.407272948098</v>
      </c>
      <c r="S155" s="188">
        <f t="shared" si="40"/>
        <v>-95092.045394701534</v>
      </c>
      <c r="T155" s="188">
        <f t="shared" si="41"/>
        <v>-95092.602909810594</v>
      </c>
      <c r="W155" t="s">
        <v>740</v>
      </c>
      <c r="X155" s="127">
        <v>5</v>
      </c>
      <c r="Y155" s="1">
        <f>M151-M146</f>
        <v>42.017934318049811</v>
      </c>
      <c r="Z155" s="1">
        <f>N151-N146</f>
        <v>41.880093015890452</v>
      </c>
      <c r="AB155" t="s">
        <v>740</v>
      </c>
      <c r="AC155" s="127">
        <v>5</v>
      </c>
      <c r="AD155" s="1" t="e">
        <f>#REF!-M146</f>
        <v>#REF!</v>
      </c>
      <c r="AE155" s="1" t="e">
        <f>#REF!-N146</f>
        <v>#REF!</v>
      </c>
    </row>
    <row r="156" spans="1:45" x14ac:dyDescent="0.25">
      <c r="A156" s="180" t="s">
        <v>756</v>
      </c>
      <c r="B156" s="17">
        <v>-151.535139243</v>
      </c>
      <c r="C156" s="17"/>
      <c r="D156" s="17"/>
      <c r="E156" s="17"/>
      <c r="F156" s="17"/>
      <c r="G156" s="17"/>
      <c r="H156" s="33"/>
      <c r="I156" s="17">
        <v>1.8898999999999999E-2</v>
      </c>
      <c r="J156" s="17">
        <v>2.4559000000000001E-2</v>
      </c>
      <c r="K156" s="17">
        <v>-2.8440000000000002E-3</v>
      </c>
      <c r="L156" s="185">
        <f t="shared" si="36"/>
        <v>17.19563686247367</v>
      </c>
      <c r="M156" s="186">
        <f t="shared" si="37"/>
        <v>-95077.847169505068</v>
      </c>
      <c r="N156" s="186">
        <f t="shared" si="38"/>
        <v>-95077.847169505068</v>
      </c>
      <c r="O156" s="186">
        <f>(E156)</f>
        <v>0</v>
      </c>
      <c r="P156" s="186">
        <f t="shared" si="43"/>
        <v>0</v>
      </c>
      <c r="Q156" s="187">
        <f t="shared" si="39"/>
        <v>-95074.29546696732</v>
      </c>
      <c r="R156" s="187">
        <f t="shared" si="44"/>
        <v>-95074.29546696732</v>
      </c>
      <c r="S156" s="188">
        <f t="shared" si="40"/>
        <v>-95091.491103829816</v>
      </c>
      <c r="T156" s="188">
        <f t="shared" si="41"/>
        <v>-95091.491103829816</v>
      </c>
      <c r="W156" t="s">
        <v>743</v>
      </c>
      <c r="X156" s="127">
        <v>6</v>
      </c>
      <c r="Y156" s="1">
        <f>2*M147-M146</f>
        <v>44.117757585190702</v>
      </c>
      <c r="Z156" s="1">
        <f>2*N147-N146</f>
        <v>44.117757585190702</v>
      </c>
      <c r="AB156" t="s">
        <v>743</v>
      </c>
      <c r="AC156" s="127">
        <v>6</v>
      </c>
      <c r="AD156" s="1"/>
      <c r="AE156" s="1"/>
    </row>
    <row r="157" spans="1:45" x14ac:dyDescent="0.25">
      <c r="A157" s="180" t="s">
        <v>747</v>
      </c>
      <c r="B157" s="17">
        <v>-151.53713784000001</v>
      </c>
      <c r="C157" s="17"/>
      <c r="D157" s="17"/>
      <c r="E157" s="17"/>
      <c r="F157" s="17"/>
      <c r="G157" s="17"/>
      <c r="H157" s="33">
        <v>266.39</v>
      </c>
      <c r="I157" s="17">
        <v>1.8360999999999999E-2</v>
      </c>
      <c r="J157" s="17">
        <v>2.3387000000000002E-2</v>
      </c>
      <c r="K157" s="17">
        <v>-3.7369999999999999E-3</v>
      </c>
      <c r="L157" s="185">
        <f t="shared" si="36"/>
        <v>17.020561772715975</v>
      </c>
      <c r="M157" s="186">
        <f t="shared" si="37"/>
        <v>-95079.438907667994</v>
      </c>
      <c r="N157" s="186">
        <f t="shared" si="38"/>
        <v>-95079.438907667994</v>
      </c>
      <c r="O157" s="186">
        <f t="shared" si="42"/>
        <v>0</v>
      </c>
      <c r="P157" s="186">
        <f t="shared" si="43"/>
        <v>0</v>
      </c>
      <c r="Q157" s="187">
        <f t="shared" si="39"/>
        <v>-95076.285046015211</v>
      </c>
      <c r="R157" s="187">
        <f t="shared" si="44"/>
        <v>-95076.285046015211</v>
      </c>
      <c r="S157" s="188">
        <f t="shared" si="40"/>
        <v>-95093.305607787945</v>
      </c>
      <c r="T157" s="188">
        <f t="shared" si="41"/>
        <v>-95093.305607787945</v>
      </c>
      <c r="W157" t="s">
        <v>743</v>
      </c>
      <c r="X157" s="127">
        <v>7</v>
      </c>
      <c r="Y157" s="1">
        <f>2*M147-M146</f>
        <v>44.117757585190702</v>
      </c>
      <c r="Z157" s="1">
        <f>2*N147-N146</f>
        <v>44.117757585190702</v>
      </c>
      <c r="AB157" t="s">
        <v>743</v>
      </c>
      <c r="AC157" s="127">
        <v>7</v>
      </c>
      <c r="AD157" s="1"/>
      <c r="AE157" s="1"/>
    </row>
    <row r="158" spans="1:45" x14ac:dyDescent="0.25">
      <c r="A158" s="180" t="s">
        <v>749</v>
      </c>
      <c r="B158" s="17"/>
      <c r="C158" s="17"/>
      <c r="D158" s="17"/>
      <c r="E158" s="17"/>
      <c r="F158" s="17"/>
      <c r="G158" s="17"/>
      <c r="H158" s="33"/>
      <c r="I158" s="17"/>
      <c r="J158" s="17"/>
      <c r="K158" s="17"/>
      <c r="L158" s="185">
        <f t="shared" si="36"/>
        <v>0</v>
      </c>
      <c r="M158" s="186">
        <f t="shared" si="37"/>
        <v>0</v>
      </c>
      <c r="N158" s="186">
        <f t="shared" si="38"/>
        <v>0</v>
      </c>
      <c r="O158" s="186">
        <f t="shared" si="42"/>
        <v>0</v>
      </c>
      <c r="P158" s="186">
        <f t="shared" si="43"/>
        <v>0</v>
      </c>
      <c r="Q158" s="187">
        <f t="shared" si="39"/>
        <v>0</v>
      </c>
      <c r="R158" s="187">
        <f t="shared" si="44"/>
        <v>0</v>
      </c>
      <c r="S158" s="188">
        <f t="shared" si="40"/>
        <v>0</v>
      </c>
      <c r="T158" s="188">
        <f t="shared" si="41"/>
        <v>0</v>
      </c>
    </row>
    <row r="159" spans="1:45" x14ac:dyDescent="0.25">
      <c r="A159" s="180" t="s">
        <v>750</v>
      </c>
      <c r="B159" s="17">
        <v>-151.54444541999999</v>
      </c>
      <c r="C159" s="17"/>
      <c r="D159" s="17"/>
      <c r="E159" s="17"/>
      <c r="F159" s="17"/>
      <c r="G159" s="17"/>
      <c r="H159" s="33"/>
      <c r="I159" s="17">
        <v>2.2433999999999999E-2</v>
      </c>
      <c r="J159" s="17">
        <v>2.6782E-2</v>
      </c>
      <c r="K159" s="17">
        <v>1.611E-3</v>
      </c>
      <c r="L159" s="185">
        <f t="shared" si="36"/>
        <v>15.795036144412098</v>
      </c>
      <c r="M159" s="186">
        <f t="shared" si="37"/>
        <v>-95081.468636642268</v>
      </c>
      <c r="N159" s="186">
        <f t="shared" si="38"/>
        <v>-95081.468636642268</v>
      </c>
      <c r="O159" s="186">
        <f t="shared" si="42"/>
        <v>0</v>
      </c>
      <c r="P159" s="186">
        <f t="shared" si="43"/>
        <v>0</v>
      </c>
      <c r="Q159" s="187">
        <f t="shared" si="39"/>
        <v>-95078.740226282898</v>
      </c>
      <c r="R159" s="187">
        <f t="shared" si="44"/>
        <v>-95078.740226282898</v>
      </c>
      <c r="S159" s="188">
        <f t="shared" si="40"/>
        <v>-95094.535262427307</v>
      </c>
      <c r="T159" s="188">
        <f t="shared" si="41"/>
        <v>-95094.535262427307</v>
      </c>
    </row>
    <row r="160" spans="1:45" x14ac:dyDescent="0.25">
      <c r="A160" s="180" t="s">
        <v>761</v>
      </c>
      <c r="B160" s="17">
        <v>-151.53814944999999</v>
      </c>
      <c r="C160" s="17"/>
      <c r="D160" s="17"/>
      <c r="E160" s="17"/>
      <c r="F160" s="17"/>
      <c r="G160" s="17"/>
      <c r="H160" s="33">
        <v>1000.24</v>
      </c>
      <c r="I160" s="17">
        <v>1.6271000000000001E-2</v>
      </c>
      <c r="J160" s="17">
        <v>2.0757999999999999E-2</v>
      </c>
      <c r="K160" s="17">
        <v>-4.7089999999999996E-3</v>
      </c>
      <c r="L160" s="185">
        <f t="shared" si="36"/>
        <v>15.980778891968649</v>
      </c>
      <c r="M160" s="186">
        <f t="shared" si="37"/>
        <v>-95081.385196733012</v>
      </c>
      <c r="N160" s="186">
        <f t="shared" si="38"/>
        <v>-95081.385196733012</v>
      </c>
      <c r="O160" s="186">
        <f t="shared" si="42"/>
        <v>0</v>
      </c>
      <c r="P160" s="186">
        <f t="shared" si="43"/>
        <v>0</v>
      </c>
      <c r="Q160" s="187">
        <f t="shared" si="39"/>
        <v>-95078.569562583391</v>
      </c>
      <c r="R160" s="187">
        <f t="shared" si="44"/>
        <v>-95078.569562583391</v>
      </c>
      <c r="S160" s="188">
        <f t="shared" si="40"/>
        <v>-95094.550341475362</v>
      </c>
      <c r="T160" s="188">
        <f t="shared" si="41"/>
        <v>-95094.550341475362</v>
      </c>
      <c r="AK160" t="s">
        <v>744</v>
      </c>
      <c r="AL160" s="6"/>
      <c r="AM160" s="1" t="s">
        <v>685</v>
      </c>
      <c r="AN160" s="1" t="s">
        <v>684</v>
      </c>
      <c r="AP160" t="s">
        <v>770</v>
      </c>
      <c r="AQ160" s="6"/>
      <c r="AR160" s="1" t="s">
        <v>685</v>
      </c>
      <c r="AS160" s="1" t="s">
        <v>684</v>
      </c>
    </row>
    <row r="161" spans="1:44" x14ac:dyDescent="0.25">
      <c r="A161" s="180" t="s">
        <v>762</v>
      </c>
      <c r="B161" s="17"/>
      <c r="C161" s="17"/>
      <c r="D161" s="17"/>
      <c r="E161" s="17"/>
      <c r="F161" s="17"/>
      <c r="G161" s="17"/>
      <c r="H161" s="33"/>
      <c r="I161" s="17"/>
      <c r="J161" s="17"/>
      <c r="K161" s="17"/>
      <c r="L161" s="185">
        <f t="shared" si="36"/>
        <v>0</v>
      </c>
      <c r="M161" s="186">
        <f t="shared" si="37"/>
        <v>0</v>
      </c>
      <c r="N161" s="186">
        <f t="shared" si="38"/>
        <v>0</v>
      </c>
      <c r="O161" s="186">
        <f t="shared" si="42"/>
        <v>0</v>
      </c>
      <c r="P161" s="186">
        <f t="shared" si="43"/>
        <v>0</v>
      </c>
      <c r="Q161" s="187">
        <f t="shared" si="39"/>
        <v>0</v>
      </c>
      <c r="R161" s="187">
        <f t="shared" si="44"/>
        <v>0</v>
      </c>
      <c r="S161" s="188">
        <f t="shared" si="40"/>
        <v>0</v>
      </c>
      <c r="T161" s="188">
        <f t="shared" si="41"/>
        <v>0</v>
      </c>
      <c r="AK161" t="s">
        <v>743</v>
      </c>
      <c r="AL161">
        <v>6</v>
      </c>
      <c r="AM161" s="1">
        <f>2*L182-L180</f>
        <v>45.003823658640613</v>
      </c>
      <c r="AN161" s="1">
        <f>2*M182-M180</f>
        <v>45.003823658640613</v>
      </c>
      <c r="AP161">
        <v>0</v>
      </c>
      <c r="AQ161" s="1">
        <f>Z228</f>
        <v>42.497669752250658</v>
      </c>
      <c r="AR161" s="6">
        <f>X257</f>
        <v>45.003823658640613</v>
      </c>
    </row>
    <row r="162" spans="1:44" x14ac:dyDescent="0.25">
      <c r="A162" s="180" t="s">
        <v>763</v>
      </c>
      <c r="B162" s="17">
        <v>-151.55821243</v>
      </c>
      <c r="C162" s="17"/>
      <c r="D162" s="17"/>
      <c r="E162" s="17"/>
      <c r="F162" s="17"/>
      <c r="G162" s="17"/>
      <c r="H162" s="33"/>
      <c r="I162" s="17">
        <v>2.2249999999999999E-2</v>
      </c>
      <c r="J162" s="17">
        <v>2.7557000000000002E-2</v>
      </c>
      <c r="K162" s="17">
        <v>9.5000000000000005E-5</v>
      </c>
      <c r="L162" s="185">
        <f t="shared" si="36"/>
        <v>17.232659910128522</v>
      </c>
      <c r="M162" s="186">
        <f t="shared" si="37"/>
        <v>-95090.223024914521</v>
      </c>
      <c r="N162" s="186">
        <f t="shared" si="38"/>
        <v>-95090.223024914521</v>
      </c>
      <c r="O162" s="186">
        <f t="shared" si="42"/>
        <v>0</v>
      </c>
      <c r="P162" s="186">
        <f t="shared" si="43"/>
        <v>0</v>
      </c>
      <c r="Q162" s="187">
        <f t="shared" si="39"/>
        <v>-95086.892833153441</v>
      </c>
      <c r="R162" s="187">
        <f t="shared" si="44"/>
        <v>-95086.892833153441</v>
      </c>
      <c r="S162" s="188">
        <f t="shared" si="40"/>
        <v>-95104.125493063577</v>
      </c>
      <c r="T162" s="188">
        <f t="shared" si="41"/>
        <v>-95104.125493063577</v>
      </c>
      <c r="AK162" t="s">
        <v>743</v>
      </c>
      <c r="AL162">
        <v>7</v>
      </c>
      <c r="AM162" s="1">
        <f>2*L182-L180</f>
        <v>45.003823658640613</v>
      </c>
      <c r="AN162" s="1">
        <f>2*M182-M180</f>
        <v>45.003823658640613</v>
      </c>
      <c r="AP162">
        <v>1</v>
      </c>
      <c r="AQ162" s="1">
        <f>Z228</f>
        <v>42.497669752250658</v>
      </c>
      <c r="AR162" s="6">
        <f>X257</f>
        <v>45.003823658640613</v>
      </c>
    </row>
    <row r="163" spans="1:44" x14ac:dyDescent="0.25">
      <c r="A163" s="180" t="s">
        <v>709</v>
      </c>
      <c r="B163" s="17">
        <v>-151.52752944700001</v>
      </c>
      <c r="C163" s="17"/>
      <c r="D163" s="17"/>
      <c r="E163" s="17"/>
      <c r="F163" s="17"/>
      <c r="G163" s="17"/>
      <c r="H163" s="33">
        <v>2039.62</v>
      </c>
      <c r="I163" s="17">
        <v>1.6847000000000001E-2</v>
      </c>
      <c r="J163" s="17">
        <v>2.1103E-2</v>
      </c>
      <c r="K163" s="17">
        <v>-3.9969999999999997E-3</v>
      </c>
      <c r="L163" s="185">
        <f t="shared" si="36"/>
        <v>15.750482985369818</v>
      </c>
      <c r="M163" s="186">
        <f t="shared" ref="M163:M174" si="45">(B163+I163)*($T$3*$T$4)</f>
        <v>-95074.359600926007</v>
      </c>
      <c r="N163" s="186">
        <f t="shared" ref="N163:N174" si="46">((((2-0)/(2-D163))*B163+(1-((2-0)/(2-D163)))*C163)+I163)*($T$3*$T$4)</f>
        <v>-95074.359600926007</v>
      </c>
      <c r="O163" s="186">
        <f t="shared" ref="O163:O174" si="47">(E163)</f>
        <v>0</v>
      </c>
      <c r="P163" s="186">
        <f t="shared" ref="P163:P174" si="48">((((2-0)/(2-G163))*E163+(1-((2-0)/(2-G163)))*F163))</f>
        <v>0</v>
      </c>
      <c r="Q163" s="187">
        <f t="shared" ref="Q163:Q174" si="49">(B163+J163)*($T$3*$T$4)</f>
        <v>-95071.688921420602</v>
      </c>
      <c r="R163" s="187">
        <f t="shared" ref="R163:R174" si="50">((((2-0)/(2-D163))*B163+(1-((2-0)/(2-D163)))*C163)+J163)*($T$3*$T$4)</f>
        <v>-95071.688921420602</v>
      </c>
      <c r="S163" s="188">
        <f t="shared" ref="S163:S174" si="51">(B163+K163)*($T$3*$T$4)</f>
        <v>-95087.439404405974</v>
      </c>
      <c r="T163" s="188">
        <f t="shared" ref="T163:T174" si="52">((((2-0)/(2-D163))*B163+(1-((2-0)/(2-D163)))*C163)+K163)*($T$3*$T$4)</f>
        <v>-95087.439404405974</v>
      </c>
      <c r="AK163" t="s">
        <v>758</v>
      </c>
      <c r="AL163">
        <v>8</v>
      </c>
      <c r="AM163" s="1">
        <f>L188-L180</f>
        <v>42.341841431887588</v>
      </c>
      <c r="AN163" s="1">
        <f>M188-M180</f>
        <v>42.341841431887588</v>
      </c>
      <c r="AP163">
        <v>2</v>
      </c>
      <c r="AQ163" s="1">
        <f>Z228</f>
        <v>42.497669752250658</v>
      </c>
      <c r="AR163" s="6">
        <f>X257</f>
        <v>45.003823658640613</v>
      </c>
    </row>
    <row r="164" spans="1:44" x14ac:dyDescent="0.25">
      <c r="A164" s="180" t="s">
        <v>789</v>
      </c>
      <c r="B164" s="17">
        <v>-151.558016912</v>
      </c>
      <c r="C164" s="17"/>
      <c r="D164" s="17"/>
      <c r="E164" s="17"/>
      <c r="F164" s="17"/>
      <c r="G164" s="17"/>
      <c r="H164" s="33"/>
      <c r="I164" s="17">
        <v>2.1874000000000001E-2</v>
      </c>
      <c r="J164" s="17">
        <v>2.7470999999999999E-2</v>
      </c>
      <c r="K164" s="17">
        <v>-9.6900000000000003E-4</v>
      </c>
      <c r="L164" s="185">
        <f t="shared" si="36"/>
        <v>17.84636398820389</v>
      </c>
      <c r="M164" s="186">
        <f t="shared" si="45"/>
        <v>-95090.33627904483</v>
      </c>
      <c r="N164" s="186">
        <f t="shared" si="46"/>
        <v>-95090.33627904483</v>
      </c>
      <c r="O164" s="186">
        <f t="shared" si="47"/>
        <v>0</v>
      </c>
      <c r="P164" s="186">
        <f t="shared" si="48"/>
        <v>0</v>
      </c>
      <c r="Q164" s="187">
        <f t="shared" si="49"/>
        <v>-95086.824109591878</v>
      </c>
      <c r="R164" s="187">
        <f t="shared" si="50"/>
        <v>-95086.824109591878</v>
      </c>
      <c r="S164" s="188">
        <f t="shared" si="51"/>
        <v>-95104.670473580074</v>
      </c>
      <c r="T164" s="188">
        <f t="shared" si="52"/>
        <v>-95104.670473580074</v>
      </c>
      <c r="Z164" t="s">
        <v>162</v>
      </c>
      <c r="AA164" t="s">
        <v>564</v>
      </c>
      <c r="AB164" t="s">
        <v>858</v>
      </c>
      <c r="AK164" t="s">
        <v>758</v>
      </c>
      <c r="AL164">
        <v>9</v>
      </c>
      <c r="AM164" s="1">
        <f>L188-L180</f>
        <v>42.341841431887588</v>
      </c>
      <c r="AN164" s="1">
        <f>M188-M180</f>
        <v>42.341841431887588</v>
      </c>
      <c r="AP164">
        <v>3</v>
      </c>
      <c r="AQ164" s="1">
        <f>Z228</f>
        <v>42.497669752250658</v>
      </c>
      <c r="AR164" s="6">
        <f>X257</f>
        <v>45.003823658640613</v>
      </c>
    </row>
    <row r="165" spans="1:44" x14ac:dyDescent="0.25">
      <c r="A165" s="180" t="s">
        <v>765</v>
      </c>
      <c r="B165" s="17">
        <v>-679.09094363500003</v>
      </c>
      <c r="C165" s="17">
        <v>-679.09226076799996</v>
      </c>
      <c r="D165" s="17">
        <v>0.98939999999999995</v>
      </c>
      <c r="E165" s="17"/>
      <c r="F165" s="17"/>
      <c r="G165" s="17"/>
      <c r="H165" s="33">
        <v>137</v>
      </c>
      <c r="I165" s="17">
        <v>1.8858E-2</v>
      </c>
      <c r="J165" s="17">
        <v>2.6280999999999999E-2</v>
      </c>
      <c r="K165" s="17">
        <v>-1.1723000000000001E-2</v>
      </c>
      <c r="L165" s="185">
        <f t="shared" si="36"/>
        <v>23.847862763983844</v>
      </c>
      <c r="M165" s="186">
        <f t="shared" si="45"/>
        <v>-426124.03707703837</v>
      </c>
      <c r="N165" s="186">
        <f t="shared" si="46"/>
        <v>-426123.22790214838</v>
      </c>
      <c r="O165" s="186">
        <f t="shared" si="47"/>
        <v>0</v>
      </c>
      <c r="P165" s="186">
        <f t="shared" si="48"/>
        <v>0</v>
      </c>
      <c r="Q165" s="187">
        <f t="shared" si="49"/>
        <v>-426119.37907563598</v>
      </c>
      <c r="R165" s="187">
        <f t="shared" si="50"/>
        <v>-426118.56990074599</v>
      </c>
      <c r="S165" s="188">
        <f t="shared" si="51"/>
        <v>-426143.22693839995</v>
      </c>
      <c r="T165" s="188">
        <f t="shared" si="52"/>
        <v>-426142.41776350996</v>
      </c>
      <c r="W165" t="s">
        <v>855</v>
      </c>
      <c r="X165" t="s">
        <v>854</v>
      </c>
      <c r="Y165" t="s">
        <v>857</v>
      </c>
      <c r="Z165">
        <v>-151.24380314000001</v>
      </c>
      <c r="AA165">
        <v>-151.17286813999999</v>
      </c>
      <c r="AB165" s="6">
        <f>(AA165-Z165)*($T$3*$T$4)</f>
        <v>44.512370938945111</v>
      </c>
      <c r="AP165">
        <v>4</v>
      </c>
      <c r="AQ165" s="1">
        <f>Z228</f>
        <v>42.497669752250658</v>
      </c>
      <c r="AR165" s="6">
        <f>X257</f>
        <v>45.003823658640613</v>
      </c>
    </row>
    <row r="166" spans="1:44" x14ac:dyDescent="0.25">
      <c r="A166" s="180" t="s">
        <v>780</v>
      </c>
      <c r="B166" s="17">
        <v>-304.56223970500002</v>
      </c>
      <c r="C166" s="17"/>
      <c r="D166" s="17"/>
      <c r="E166" s="17">
        <v>-14.09</v>
      </c>
      <c r="F166" s="17"/>
      <c r="G166" s="17"/>
      <c r="H166" s="33"/>
      <c r="I166" s="17">
        <v>7.6730000000000007E-2</v>
      </c>
      <c r="J166" s="17">
        <v>8.5619000000000001E-2</v>
      </c>
      <c r="K166" s="17">
        <v>4.8446999999999997E-2</v>
      </c>
      <c r="L166" s="185">
        <f t="shared" si="36"/>
        <v>23.325775041122188</v>
      </c>
      <c r="M166" s="186">
        <f t="shared" si="45"/>
        <v>-191067.48366136491</v>
      </c>
      <c r="N166" s="186">
        <f t="shared" si="46"/>
        <v>-191067.48366136491</v>
      </c>
      <c r="O166" s="186">
        <f t="shared" si="47"/>
        <v>-14.09</v>
      </c>
      <c r="P166" s="186">
        <f t="shared" si="48"/>
        <v>-14.09</v>
      </c>
      <c r="Q166" s="187">
        <f t="shared" si="49"/>
        <v>-191061.90573135467</v>
      </c>
      <c r="R166" s="187">
        <f t="shared" si="50"/>
        <v>-191061.90573135467</v>
      </c>
      <c r="S166" s="188">
        <f t="shared" si="51"/>
        <v>-191085.23150639579</v>
      </c>
      <c r="T166" s="188">
        <f t="shared" si="52"/>
        <v>-191085.23150639579</v>
      </c>
      <c r="W166" t="s">
        <v>855</v>
      </c>
      <c r="X166" t="s">
        <v>859</v>
      </c>
      <c r="Y166" t="s">
        <v>857</v>
      </c>
      <c r="Z166">
        <v>-151.18414228</v>
      </c>
      <c r="AA166">
        <v>-151.33500002</v>
      </c>
      <c r="AB166" s="6">
        <f>(AA166-Z166)*($T$3*$T$4)</f>
        <v>-94.664632154630311</v>
      </c>
      <c r="AP166">
        <v>5</v>
      </c>
      <c r="AQ166" s="1">
        <f>Z228</f>
        <v>42.497669752250658</v>
      </c>
      <c r="AR166" s="6">
        <f>X257</f>
        <v>45.003823658640613</v>
      </c>
    </row>
    <row r="167" spans="1:44" x14ac:dyDescent="0.25">
      <c r="A167" s="180" t="s">
        <v>781</v>
      </c>
      <c r="B167" s="17">
        <v>-304.49483698900002</v>
      </c>
      <c r="C167" s="17">
        <v>-304.48722964299998</v>
      </c>
      <c r="D167" s="17">
        <v>0.95320000000000005</v>
      </c>
      <c r="E167" s="17">
        <v>-11.11</v>
      </c>
      <c r="F167" s="17">
        <v>-12.32</v>
      </c>
      <c r="G167" s="17">
        <v>0.95389999999999997</v>
      </c>
      <c r="H167" s="33">
        <v>147.35</v>
      </c>
      <c r="I167" s="17">
        <v>7.0683999999999997E-2</v>
      </c>
      <c r="J167" s="17">
        <v>7.9384999999999997E-2</v>
      </c>
      <c r="K167" s="17">
        <v>4.2777999999999997E-2</v>
      </c>
      <c r="L167" s="185">
        <f t="shared" si="36"/>
        <v>22.971232296630795</v>
      </c>
      <c r="M167" s="186">
        <f t="shared" si="45"/>
        <v>-191028.98175254432</v>
      </c>
      <c r="N167" s="186">
        <f t="shared" si="46"/>
        <v>-191033.32859243147</v>
      </c>
      <c r="O167" s="186">
        <f t="shared" si="47"/>
        <v>-11.11</v>
      </c>
      <c r="P167" s="186">
        <f t="shared" si="48"/>
        <v>-10.006645636172451</v>
      </c>
      <c r="Q167" s="187">
        <f t="shared" si="49"/>
        <v>-191023.52179427916</v>
      </c>
      <c r="R167" s="187">
        <f t="shared" si="50"/>
        <v>-191027.86863416631</v>
      </c>
      <c r="S167" s="188">
        <f t="shared" si="51"/>
        <v>-191046.4930265758</v>
      </c>
      <c r="T167" s="188">
        <f t="shared" si="52"/>
        <v>-191050.83986646295</v>
      </c>
      <c r="W167" t="s">
        <v>856</v>
      </c>
      <c r="X167" t="s">
        <v>854</v>
      </c>
      <c r="Y167" t="s">
        <v>857</v>
      </c>
      <c r="Z167">
        <v>-151.24380314000001</v>
      </c>
      <c r="AA167">
        <v>-151.17655368000001</v>
      </c>
      <c r="AB167" s="6">
        <f>(AA167-Z167)*($T$3*$T$4)</f>
        <v>42.199660378697104</v>
      </c>
    </row>
    <row r="168" spans="1:44" x14ac:dyDescent="0.25">
      <c r="A168" s="180" t="s">
        <v>782</v>
      </c>
      <c r="B168" s="17"/>
      <c r="C168" s="17"/>
      <c r="D168" s="17"/>
      <c r="E168" s="17"/>
      <c r="F168" s="17"/>
      <c r="G168" s="17"/>
      <c r="H168" s="33"/>
      <c r="I168" s="17">
        <v>7.0390999999999995E-2</v>
      </c>
      <c r="J168" s="17">
        <v>7.9751000000000002E-2</v>
      </c>
      <c r="K168" s="17">
        <v>4.1362999999999997E-2</v>
      </c>
      <c r="L168" s="185">
        <f t="shared" si="36"/>
        <v>24.08882632838154</v>
      </c>
      <c r="M168" s="186">
        <f t="shared" si="45"/>
        <v>44.171005889369191</v>
      </c>
      <c r="N168" s="186">
        <f t="shared" si="46"/>
        <v>44.171005889369191</v>
      </c>
      <c r="O168" s="186">
        <f t="shared" si="47"/>
        <v>0</v>
      </c>
      <c r="P168" s="186">
        <f t="shared" si="48"/>
        <v>0</v>
      </c>
      <c r="Q168" s="187">
        <f t="shared" si="49"/>
        <v>50.044492771562879</v>
      </c>
      <c r="R168" s="187">
        <f t="shared" si="50"/>
        <v>50.044492771562879</v>
      </c>
      <c r="S168" s="188">
        <f t="shared" si="51"/>
        <v>25.955666443181343</v>
      </c>
      <c r="T168" s="188">
        <f t="shared" si="52"/>
        <v>25.955666443181343</v>
      </c>
      <c r="Z168">
        <f>Z165-Z166</f>
        <v>-5.9660860000008142E-2</v>
      </c>
      <c r="AA168">
        <f>AA165-AA166</f>
        <v>0.162131880000004</v>
      </c>
      <c r="AB168" s="6">
        <f>(AA168-Z168)*($T$3*$T$4)</f>
        <v>139.17700309357542</v>
      </c>
      <c r="AJ168" s="1"/>
    </row>
    <row r="169" spans="1:44" x14ac:dyDescent="0.25">
      <c r="A169" s="180" t="s">
        <v>783</v>
      </c>
      <c r="B169" s="17">
        <v>-304.56715001600003</v>
      </c>
      <c r="C169" s="17"/>
      <c r="D169" s="17"/>
      <c r="E169" s="17">
        <v>-15.33</v>
      </c>
      <c r="F169" s="17"/>
      <c r="G169" s="17"/>
      <c r="H169" s="33"/>
      <c r="I169" s="17">
        <v>7.639E-2</v>
      </c>
      <c r="J169" s="17">
        <v>8.5264999999999994E-2</v>
      </c>
      <c r="K169" s="17">
        <v>4.8057000000000002E-2</v>
      </c>
      <c r="L169" s="185">
        <f t="shared" si="36"/>
        <v>23.348365375284462</v>
      </c>
      <c r="M169" s="186">
        <f t="shared" si="45"/>
        <v>-191070.7782802523</v>
      </c>
      <c r="N169" s="186">
        <f t="shared" si="46"/>
        <v>-191070.7782802523</v>
      </c>
      <c r="O169" s="186">
        <f t="shared" si="47"/>
        <v>-15.33</v>
      </c>
      <c r="P169" s="186">
        <f t="shared" si="48"/>
        <v>-15.33</v>
      </c>
      <c r="Q169" s="187">
        <f t="shared" si="49"/>
        <v>-191065.20913537202</v>
      </c>
      <c r="R169" s="187">
        <f t="shared" si="50"/>
        <v>-191065.20913537202</v>
      </c>
      <c r="S169" s="188">
        <f t="shared" si="51"/>
        <v>-191088.55750074732</v>
      </c>
      <c r="T169" s="188">
        <f t="shared" si="52"/>
        <v>-191088.55750074732</v>
      </c>
      <c r="AB169" s="6"/>
      <c r="AJ169" s="1"/>
    </row>
    <row r="170" spans="1:44" x14ac:dyDescent="0.25">
      <c r="A170" s="180" t="s">
        <v>784</v>
      </c>
      <c r="B170" s="17">
        <v>-304.49675499300002</v>
      </c>
      <c r="C170" s="17">
        <v>-304.49473853900002</v>
      </c>
      <c r="D170" s="17">
        <v>0.91949999999999998</v>
      </c>
      <c r="E170" s="17">
        <v>-11.11</v>
      </c>
      <c r="F170" s="17">
        <v>-11.45</v>
      </c>
      <c r="G170" s="17">
        <v>0.92110000000000003</v>
      </c>
      <c r="H170" s="33">
        <v>369.4</v>
      </c>
      <c r="I170" s="17">
        <v>6.9829000000000002E-2</v>
      </c>
      <c r="J170" s="17">
        <v>7.8931000000000001E-2</v>
      </c>
      <c r="K170" s="17">
        <v>4.0931000000000002E-2</v>
      </c>
      <c r="L170" s="185">
        <f t="shared" si="36"/>
        <v>23.845352726854703</v>
      </c>
      <c r="M170" s="186">
        <f t="shared" si="45"/>
        <v>-191030.72183829415</v>
      </c>
      <c r="N170" s="186">
        <f t="shared" si="46"/>
        <v>-191031.79863925881</v>
      </c>
      <c r="O170" s="186">
        <f t="shared" si="47"/>
        <v>-11.11</v>
      </c>
      <c r="P170" s="186">
        <f t="shared" si="48"/>
        <v>-10.819728427101678</v>
      </c>
      <c r="Q170" s="187">
        <f t="shared" si="49"/>
        <v>-191025.01024880679</v>
      </c>
      <c r="R170" s="187">
        <f t="shared" si="50"/>
        <v>-191026.08704977145</v>
      </c>
      <c r="S170" s="188">
        <f t="shared" si="51"/>
        <v>-191048.85560153367</v>
      </c>
      <c r="T170" s="188">
        <f t="shared" si="52"/>
        <v>-191049.93240249832</v>
      </c>
      <c r="Y170" s="1"/>
      <c r="Z170" s="1"/>
      <c r="AB170" s="6"/>
    </row>
    <row r="171" spans="1:44" x14ac:dyDescent="0.25">
      <c r="A171" s="180" t="s">
        <v>785</v>
      </c>
      <c r="B171" s="17"/>
      <c r="C171" s="17"/>
      <c r="D171" s="17"/>
      <c r="E171" s="17"/>
      <c r="F171" s="17"/>
      <c r="G171" s="17"/>
      <c r="H171" s="33"/>
      <c r="I171" s="17"/>
      <c r="J171" s="17"/>
      <c r="K171" s="17"/>
      <c r="L171" s="185">
        <f t="shared" si="36"/>
        <v>0</v>
      </c>
      <c r="M171" s="186">
        <f t="shared" si="45"/>
        <v>0</v>
      </c>
      <c r="N171" s="186">
        <f t="shared" si="46"/>
        <v>0</v>
      </c>
      <c r="O171" s="186">
        <f t="shared" si="47"/>
        <v>0</v>
      </c>
      <c r="P171" s="186">
        <f t="shared" si="48"/>
        <v>0</v>
      </c>
      <c r="Q171" s="187">
        <f t="shared" si="49"/>
        <v>0</v>
      </c>
      <c r="R171" s="187">
        <f t="shared" si="50"/>
        <v>0</v>
      </c>
      <c r="S171" s="188">
        <f t="shared" si="51"/>
        <v>0</v>
      </c>
      <c r="T171" s="188">
        <f t="shared" si="52"/>
        <v>0</v>
      </c>
      <c r="Y171" s="1" t="s">
        <v>162</v>
      </c>
      <c r="Z171" s="1" t="s">
        <v>564</v>
      </c>
      <c r="AB171" s="6"/>
    </row>
    <row r="172" spans="1:44" x14ac:dyDescent="0.25">
      <c r="A172" s="180" t="s">
        <v>786</v>
      </c>
      <c r="B172" s="17">
        <v>-304.00155814300001</v>
      </c>
      <c r="C172" s="17"/>
      <c r="D172" s="17"/>
      <c r="E172" s="17">
        <v>-71.53</v>
      </c>
      <c r="F172" s="17"/>
      <c r="G172" s="17"/>
      <c r="H172" s="33"/>
      <c r="I172" s="17">
        <v>6.2162000000000002E-2</v>
      </c>
      <c r="J172" s="17">
        <v>7.0569999999999994E-2</v>
      </c>
      <c r="K172" s="17">
        <v>3.3999000000000001E-2</v>
      </c>
      <c r="L172" s="185">
        <f t="shared" si="36"/>
        <v>22.948641962468503</v>
      </c>
      <c r="M172" s="186">
        <f t="shared" si="45"/>
        <v>-190724.79233202784</v>
      </c>
      <c r="N172" s="186">
        <f t="shared" si="46"/>
        <v>-190724.79233202784</v>
      </c>
      <c r="O172" s="186">
        <f t="shared" si="47"/>
        <v>-71.53</v>
      </c>
      <c r="P172" s="186">
        <f t="shared" si="48"/>
        <v>-71.53</v>
      </c>
      <c r="Q172" s="187">
        <f t="shared" si="49"/>
        <v>-190719.51623398237</v>
      </c>
      <c r="R172" s="187">
        <f t="shared" si="50"/>
        <v>-190719.51623398237</v>
      </c>
      <c r="S172" s="188">
        <f t="shared" si="51"/>
        <v>-190742.46487594483</v>
      </c>
      <c r="T172" s="188">
        <f t="shared" si="52"/>
        <v>-190742.46487594483</v>
      </c>
      <c r="W172" s="1" t="s">
        <v>855</v>
      </c>
      <c r="X172" t="s">
        <v>860</v>
      </c>
      <c r="Y172" s="13">
        <v>-151.31063856</v>
      </c>
      <c r="Z172" s="13">
        <v>-151.15374779999999</v>
      </c>
      <c r="AA172" s="13">
        <f>(Z172-Y172)*($T$3*$T$4)</f>
        <v>98.4504082048566</v>
      </c>
      <c r="AB172" s="6"/>
    </row>
    <row r="173" spans="1:44" x14ac:dyDescent="0.25">
      <c r="A173" s="180" t="s">
        <v>788</v>
      </c>
      <c r="B173" s="17">
        <v>-303.94527047100001</v>
      </c>
      <c r="C173" s="17">
        <v>-303.95004474299998</v>
      </c>
      <c r="D173" s="17">
        <v>0.9345</v>
      </c>
      <c r="E173" s="17">
        <v>-61.99</v>
      </c>
      <c r="F173" s="17">
        <v>-62.05</v>
      </c>
      <c r="G173" s="17">
        <v>0.9254</v>
      </c>
      <c r="H173" s="33">
        <v>380.28</v>
      </c>
      <c r="I173" s="17">
        <v>5.8977000000000002E-2</v>
      </c>
      <c r="J173" s="17">
        <v>6.7360000000000003E-2</v>
      </c>
      <c r="K173" s="17">
        <v>3.1109000000000001E-2</v>
      </c>
      <c r="L173" s="185">
        <f t="shared" si="36"/>
        <v>22.747838992137105</v>
      </c>
      <c r="M173" s="186">
        <f t="shared" si="45"/>
        <v>-190691.46991243365</v>
      </c>
      <c r="N173" s="186">
        <f t="shared" si="46"/>
        <v>-190688.84234927417</v>
      </c>
      <c r="O173" s="186">
        <f t="shared" si="47"/>
        <v>-61.99</v>
      </c>
      <c r="P173" s="186">
        <f t="shared" si="48"/>
        <v>-61.938330541596876</v>
      </c>
      <c r="Q173" s="187">
        <f t="shared" si="49"/>
        <v>-190686.20950212024</v>
      </c>
      <c r="R173" s="187">
        <f t="shared" si="50"/>
        <v>-190683.58193896079</v>
      </c>
      <c r="S173" s="188">
        <f t="shared" si="51"/>
        <v>-190708.95734111237</v>
      </c>
      <c r="T173" s="188">
        <f t="shared" si="52"/>
        <v>-190706.32977795292</v>
      </c>
      <c r="W173" t="s">
        <v>861</v>
      </c>
      <c r="X173" t="s">
        <v>860</v>
      </c>
      <c r="Y173" s="13">
        <v>-151.31063856</v>
      </c>
      <c r="Z173" s="13">
        <v>-151.17967734000001</v>
      </c>
      <c r="AA173" s="13">
        <f>(Z173-Y173)*($T$3*$T$4)</f>
        <v>82.179381169446216</v>
      </c>
      <c r="AB173" s="6"/>
    </row>
    <row r="174" spans="1:44" x14ac:dyDescent="0.25">
      <c r="A174" s="180" t="s">
        <v>787</v>
      </c>
      <c r="B174" s="17"/>
      <c r="C174" s="17"/>
      <c r="D174" s="17"/>
      <c r="E174" s="17"/>
      <c r="F174" s="17"/>
      <c r="G174" s="17"/>
      <c r="H174" s="33"/>
      <c r="I174" s="17">
        <v>5.8804000000000002E-2</v>
      </c>
      <c r="J174" s="17">
        <v>6.7357E-2</v>
      </c>
      <c r="K174" s="17">
        <v>3.0013000000000001E-2</v>
      </c>
      <c r="L174" s="185">
        <f t="shared" si="36"/>
        <v>23.433706637675318</v>
      </c>
      <c r="M174" s="186">
        <f t="shared" si="45"/>
        <v>36.900055835525372</v>
      </c>
      <c r="N174" s="186">
        <f t="shared" si="46"/>
        <v>36.900055835525372</v>
      </c>
      <c r="O174" s="186">
        <f t="shared" si="47"/>
        <v>0</v>
      </c>
      <c r="P174" s="186">
        <f t="shared" si="48"/>
        <v>0</v>
      </c>
      <c r="Q174" s="187">
        <f t="shared" si="49"/>
        <v>42.267142726914535</v>
      </c>
      <c r="R174" s="187">
        <f t="shared" si="50"/>
        <v>42.267142726914535</v>
      </c>
      <c r="S174" s="188">
        <f t="shared" si="51"/>
        <v>18.833436089239218</v>
      </c>
      <c r="T174" s="188">
        <f t="shared" si="52"/>
        <v>18.833436089239218</v>
      </c>
      <c r="V174" t="s">
        <v>862</v>
      </c>
      <c r="W174" t="s">
        <v>861</v>
      </c>
      <c r="X174" t="s">
        <v>860</v>
      </c>
      <c r="Y174" s="13">
        <v>-151.31063856</v>
      </c>
      <c r="Z174" s="13">
        <v>-151.19733393000001</v>
      </c>
      <c r="AA174" s="13">
        <f>(Z174-Y174)*($T$3*$T$4)</f>
        <v>71.099707050933347</v>
      </c>
    </row>
    <row r="175" spans="1:44" x14ac:dyDescent="0.25">
      <c r="V175" t="s">
        <v>863</v>
      </c>
      <c r="W175" t="s">
        <v>861</v>
      </c>
      <c r="X175" t="s">
        <v>860</v>
      </c>
      <c r="Y175" s="13">
        <v>-151.31063856</v>
      </c>
      <c r="Z175" s="13">
        <v>-151.19881405000001</v>
      </c>
      <c r="AA175" s="13">
        <f>(Z175-Y175)*($T$3*$T$4)</f>
        <v>70.170918012038882</v>
      </c>
      <c r="AC175" s="1"/>
      <c r="AD175" s="1"/>
    </row>
    <row r="176" spans="1:44" x14ac:dyDescent="0.25">
      <c r="V176" t="s">
        <v>864</v>
      </c>
      <c r="W176" t="s">
        <v>861</v>
      </c>
      <c r="X176" t="s">
        <v>860</v>
      </c>
      <c r="Y176" s="13">
        <v>-151.31063856</v>
      </c>
      <c r="Z176" s="13">
        <v>-151.20728686999999</v>
      </c>
      <c r="AA176" s="13">
        <f>(Z176-Y176)*($T$3*$T$4)</f>
        <v>64.854144814915827</v>
      </c>
    </row>
    <row r="177" spans="1:38" x14ac:dyDescent="0.25">
      <c r="Y177" s="1"/>
      <c r="Z177" s="1"/>
    </row>
    <row r="178" spans="1:38" x14ac:dyDescent="0.25">
      <c r="A178" s="15" t="s">
        <v>792</v>
      </c>
      <c r="B178" s="15"/>
      <c r="C178" s="15"/>
      <c r="D178" s="15"/>
      <c r="E178" s="15"/>
      <c r="F178" s="15"/>
      <c r="G178" s="15"/>
    </row>
    <row r="179" spans="1:38" ht="60" x14ac:dyDescent="0.25">
      <c r="A179" s="167" t="s">
        <v>482</v>
      </c>
      <c r="B179" s="179" t="s">
        <v>667</v>
      </c>
      <c r="C179" s="179" t="s">
        <v>668</v>
      </c>
      <c r="D179" s="167" t="s">
        <v>669</v>
      </c>
      <c r="E179" s="179" t="s">
        <v>489</v>
      </c>
      <c r="F179" s="179" t="s">
        <v>484</v>
      </c>
      <c r="G179" s="179" t="s">
        <v>485</v>
      </c>
      <c r="H179" s="179" t="s">
        <v>486</v>
      </c>
      <c r="I179" s="179" t="s">
        <v>499</v>
      </c>
      <c r="J179" s="201" t="s">
        <v>800</v>
      </c>
      <c r="K179" s="201" t="s">
        <v>801</v>
      </c>
      <c r="L179" s="191" t="s">
        <v>648</v>
      </c>
      <c r="M179" s="191" t="s">
        <v>652</v>
      </c>
      <c r="N179" s="192" t="s">
        <v>651</v>
      </c>
      <c r="O179" s="192" t="s">
        <v>653</v>
      </c>
      <c r="P179" s="193" t="s">
        <v>649</v>
      </c>
      <c r="Q179" s="193" t="s">
        <v>650</v>
      </c>
    </row>
    <row r="180" spans="1:38" x14ac:dyDescent="0.25">
      <c r="A180" s="180" t="s">
        <v>162</v>
      </c>
      <c r="B180" s="17">
        <v>-151.61319538000001</v>
      </c>
      <c r="C180" s="17"/>
      <c r="D180" s="17"/>
      <c r="E180" s="33"/>
      <c r="F180" s="17">
        <v>2.5694999999999999E-2</v>
      </c>
      <c r="G180" s="17">
        <v>2.9867999999999999E-2</v>
      </c>
      <c r="H180" s="17">
        <v>6.424E-3</v>
      </c>
      <c r="I180" s="185">
        <f>(G180-H180)*($T$3*$T$4)</f>
        <v>14.71132761390478</v>
      </c>
      <c r="J180" s="202">
        <f>(B180)*($T$3*$T$4)</f>
        <v>-95138.68741793785</v>
      </c>
      <c r="K180" s="202">
        <f>((((2-0)/(2-D180))*B180+(1-((2-0)/(2-D180)))*C180))*($T$3*$T$4)</f>
        <v>-95138.68741793785</v>
      </c>
      <c r="L180" s="186">
        <f>(B180+F180)*($T$3*$T$4)</f>
        <v>-95122.563566929515</v>
      </c>
      <c r="M180" s="186">
        <f>((((2-0)/(2-D180))*B180+(1-((2-0)/(2-D180)))*C180)+F180)*($T$3*$T$4)</f>
        <v>-95122.563566929515</v>
      </c>
      <c r="N180" s="187">
        <f>(B180+G180)*($T$3*$T$4)</f>
        <v>-95119.944970694545</v>
      </c>
      <c r="O180" s="187">
        <f>((((2-0)/(2-D180))*B180+(1-((2-0)/(2-D180)))*C180)+G180)*($T$3*$T$4)</f>
        <v>-95119.944970694545</v>
      </c>
      <c r="P180" s="188">
        <f>(B180+H180)*($T$3*$T$4)</f>
        <v>-95134.656298308444</v>
      </c>
      <c r="Q180" s="188">
        <f>((((2-0)/(2-D180))*B180+(1-((2-0)/(2-D180)))*C180)+H180)*($T$3*$T$4)</f>
        <v>-95134.656298308444</v>
      </c>
      <c r="AC180" s="6"/>
      <c r="AK180" s="18"/>
    </row>
    <row r="181" spans="1:38" x14ac:dyDescent="0.25">
      <c r="A181" s="180" t="s">
        <v>837</v>
      </c>
      <c r="B181" s="17">
        <v>-151.43874926000001</v>
      </c>
      <c r="C181" s="17"/>
      <c r="D181" s="17"/>
      <c r="E181" s="33"/>
      <c r="F181" s="17">
        <v>2.6237E-2</v>
      </c>
      <c r="G181" s="17">
        <v>3.0397E-2</v>
      </c>
      <c r="H181" s="17">
        <v>6.9740000000000002E-3</v>
      </c>
      <c r="I181" s="185">
        <f t="shared" ref="I181:I206" si="53">(G181-H181)*($T$3*$T$4)</f>
        <v>14.698149918976782</v>
      </c>
      <c r="J181" s="202">
        <f t="shared" ref="J181:J206" si="54">(B181)*($T$3*$T$4)</f>
        <v>-95029.220858379136</v>
      </c>
      <c r="K181" s="202">
        <f t="shared" ref="K181:K206" si="55">((((2-0)/(2-D181))*B181+(1-((2-0)/(2-D181)))*C181))*($T$3*$T$4)</f>
        <v>-95029.220858379136</v>
      </c>
      <c r="L181" s="186">
        <f t="shared" ref="L181:L206" si="56">(B181+F181)*($T$3*$T$4)</f>
        <v>-95012.756897339801</v>
      </c>
      <c r="M181" s="186">
        <f t="shared" ref="M181:M206" si="57">((((2-0)/(2-D181))*B181+(1-((2-0)/(2-D181)))*C181)+F181)*($T$3*$T$4)</f>
        <v>-95012.756897339801</v>
      </c>
      <c r="N181" s="187">
        <f t="shared" ref="N181:N206" si="58">(B181+G181)*($T$3*$T$4)</f>
        <v>-95010.146458725503</v>
      </c>
      <c r="O181" s="187">
        <f t="shared" ref="O181:O206" si="59">((((2-0)/(2-D181))*B181+(1-((2-0)/(2-D181)))*C181)+G181)*($T$3*$T$4)</f>
        <v>-95010.146458725503</v>
      </c>
      <c r="P181" s="188">
        <f t="shared" ref="P181:P206" si="60">(B181+H181)*($T$3*$T$4)</f>
        <v>-95024.84460864446</v>
      </c>
      <c r="Q181" s="188">
        <f>((((2-0)/(2-D181))*B181+(1-((2-0)/(2-D181)))*C181)+H181)*($T$3*$T$4)</f>
        <v>-95024.84460864446</v>
      </c>
    </row>
    <row r="182" spans="1:38" x14ac:dyDescent="0.25">
      <c r="A182" s="180" t="s">
        <v>672</v>
      </c>
      <c r="B182" s="17">
        <v>-75.766244099999994</v>
      </c>
      <c r="C182" s="17"/>
      <c r="D182" s="17"/>
      <c r="E182" s="33"/>
      <c r="F182" s="17">
        <v>8.3529999999999993E-3</v>
      </c>
      <c r="G182" s="17">
        <v>1.1658E-2</v>
      </c>
      <c r="H182" s="17">
        <v>-5.5529999999999998E-3</v>
      </c>
      <c r="I182" s="185">
        <f t="shared" si="53"/>
        <v>10.800062257418324</v>
      </c>
      <c r="J182" s="202">
        <f t="shared" si="54"/>
        <v>-47544.021456670365</v>
      </c>
      <c r="K182" s="202">
        <f t="shared" si="55"/>
        <v>-47544.021456670365</v>
      </c>
      <c r="L182" s="186">
        <f t="shared" si="56"/>
        <v>-47538.779871635437</v>
      </c>
      <c r="M182" s="186">
        <f t="shared" si="57"/>
        <v>-47538.779871635437</v>
      </c>
      <c r="N182" s="187">
        <f t="shared" si="58"/>
        <v>-47536.705953457487</v>
      </c>
      <c r="O182" s="187">
        <f t="shared" si="59"/>
        <v>-47536.705953457487</v>
      </c>
      <c r="P182" s="188">
        <f t="shared" si="60"/>
        <v>-47547.506015714906</v>
      </c>
      <c r="Q182" s="188">
        <f t="shared" ref="Q182:Q206" si="61">((((2-0)/(2-D182))*B182+(1-((2-0)/(2-D182)))*C182)+H182)*($T$3*$T$4)</f>
        <v>-47547.506015714906</v>
      </c>
    </row>
    <row r="183" spans="1:38" x14ac:dyDescent="0.25">
      <c r="A183" s="180" t="s">
        <v>439</v>
      </c>
      <c r="B183" s="17">
        <v>-76.464512740000004</v>
      </c>
      <c r="C183" s="17"/>
      <c r="D183" s="17"/>
      <c r="E183" s="33"/>
      <c r="F183" s="17">
        <v>2.1045000000000001E-2</v>
      </c>
      <c r="G183" s="17">
        <v>2.4825E-2</v>
      </c>
      <c r="H183" s="17">
        <v>5.7689999999999998E-3</v>
      </c>
      <c r="I183" s="185">
        <f t="shared" si="53"/>
        <v>11.957816883235349</v>
      </c>
      <c r="J183" s="202">
        <f t="shared" si="54"/>
        <v>-47982.191509799348</v>
      </c>
      <c r="K183" s="202">
        <f t="shared" si="55"/>
        <v>-47982.191509799348</v>
      </c>
      <c r="L183" s="186">
        <f t="shared" si="56"/>
        <v>-47968.985576953652</v>
      </c>
      <c r="M183" s="186">
        <f t="shared" si="57"/>
        <v>-47968.985576953652</v>
      </c>
      <c r="N183" s="187">
        <f t="shared" si="58"/>
        <v>-47966.613591866604</v>
      </c>
      <c r="O183" s="187">
        <f t="shared" si="59"/>
        <v>-47966.613591866604</v>
      </c>
      <c r="P183" s="188">
        <f t="shared" si="60"/>
        <v>-47978.571408749842</v>
      </c>
      <c r="Q183" s="188">
        <f t="shared" si="61"/>
        <v>-47978.571408749842</v>
      </c>
      <c r="AL183" s="6"/>
    </row>
    <row r="184" spans="1:38" x14ac:dyDescent="0.25">
      <c r="A184" s="180" t="s">
        <v>725</v>
      </c>
      <c r="B184" s="17">
        <v>-75.090913009999994</v>
      </c>
      <c r="C184" s="17"/>
      <c r="D184" s="17"/>
      <c r="E184" s="33"/>
      <c r="F184" s="17">
        <v>0</v>
      </c>
      <c r="G184" s="17">
        <v>2.3600000000000001E-3</v>
      </c>
      <c r="H184" s="17">
        <v>-1.1932999999999999E-2</v>
      </c>
      <c r="I184" s="185">
        <f t="shared" si="53"/>
        <v>8.9689901717087963</v>
      </c>
      <c r="J184" s="202">
        <f t="shared" si="54"/>
        <v>-47120.244929079279</v>
      </c>
      <c r="K184" s="202">
        <f t="shared" si="55"/>
        <v>-47120.244929079279</v>
      </c>
      <c r="L184" s="186">
        <f t="shared" si="56"/>
        <v>-47120.244929079279</v>
      </c>
      <c r="M184" s="186">
        <f t="shared" si="57"/>
        <v>-47120.244929079279</v>
      </c>
      <c r="N184" s="187">
        <f t="shared" si="58"/>
        <v>-47118.764007173093</v>
      </c>
      <c r="O184" s="187">
        <f t="shared" si="59"/>
        <v>-47118.764007173093</v>
      </c>
      <c r="P184" s="188">
        <f t="shared" si="60"/>
        <v>-47127.7329973448</v>
      </c>
      <c r="Q184" s="188">
        <f t="shared" si="61"/>
        <v>-47127.7329973448</v>
      </c>
    </row>
    <row r="185" spans="1:38" x14ac:dyDescent="0.25">
      <c r="A185" s="180" t="s">
        <v>724</v>
      </c>
      <c r="B185" s="17">
        <v>-75.065237870000004</v>
      </c>
      <c r="C185" s="17">
        <v>-75.090913009999994</v>
      </c>
      <c r="D185" s="17">
        <v>1.0028999999999999</v>
      </c>
      <c r="E185" s="33"/>
      <c r="F185" s="17">
        <v>0</v>
      </c>
      <c r="G185" s="17">
        <v>2.3600000000000001E-3</v>
      </c>
      <c r="H185" s="17">
        <v>-1.1932999999999999E-2</v>
      </c>
      <c r="I185" s="185">
        <f t="shared" si="53"/>
        <v>8.9689901717087963</v>
      </c>
      <c r="J185" s="202">
        <f t="shared" si="54"/>
        <v>-47104.133540405302</v>
      </c>
      <c r="K185" s="202">
        <f t="shared" si="55"/>
        <v>-47087.928433895293</v>
      </c>
      <c r="L185" s="186">
        <f t="shared" si="56"/>
        <v>-47104.133540405302</v>
      </c>
      <c r="M185" s="186">
        <f t="shared" si="57"/>
        <v>-47087.928433895293</v>
      </c>
      <c r="N185" s="187">
        <f t="shared" si="58"/>
        <v>-47102.652618499116</v>
      </c>
      <c r="O185" s="187">
        <f t="shared" si="59"/>
        <v>-47086.447511989099</v>
      </c>
      <c r="P185" s="188">
        <f t="shared" si="60"/>
        <v>-47111.621608670815</v>
      </c>
      <c r="Q185" s="188">
        <f t="shared" si="61"/>
        <v>-47095.416502160806</v>
      </c>
      <c r="S185">
        <f>-151.50281163--151.57869252</f>
        <v>7.5880890000007639E-2</v>
      </c>
    </row>
    <row r="186" spans="1:38" x14ac:dyDescent="0.25">
      <c r="A186" s="180" t="s">
        <v>793</v>
      </c>
      <c r="B186" s="17">
        <v>-151.53851868999999</v>
      </c>
      <c r="C186" s="17">
        <v>-151.53820861</v>
      </c>
      <c r="D186" s="17">
        <v>1.0052000000000001</v>
      </c>
      <c r="E186" s="33"/>
      <c r="F186" s="17">
        <v>1.9056E-2</v>
      </c>
      <c r="G186" s="17">
        <v>2.4662E-2</v>
      </c>
      <c r="H186" s="17">
        <v>-2.3189999999999999E-3</v>
      </c>
      <c r="I186" s="185">
        <f t="shared" si="53"/>
        <v>16.930827945349122</v>
      </c>
      <c r="J186" s="202">
        <f t="shared" si="54"/>
        <v>-95091.827101792471</v>
      </c>
      <c r="K186" s="202">
        <f t="shared" si="55"/>
        <v>-95092.023714060502</v>
      </c>
      <c r="L186" s="186">
        <f t="shared" si="56"/>
        <v>-95079.869284909233</v>
      </c>
      <c r="M186" s="186">
        <f t="shared" si="57"/>
        <v>-95080.065897177265</v>
      </c>
      <c r="N186" s="187">
        <f t="shared" si="58"/>
        <v>-95076.351467872737</v>
      </c>
      <c r="O186" s="187">
        <f t="shared" si="59"/>
        <v>-95076.548080140783</v>
      </c>
      <c r="P186" s="188">
        <f t="shared" si="60"/>
        <v>-95093.282295818091</v>
      </c>
      <c r="Q186" s="188">
        <f t="shared" si="61"/>
        <v>-95093.478908086123</v>
      </c>
      <c r="S186" s="6">
        <f>S185*($T$3*$T$4)</f>
        <v>47.615962823101157</v>
      </c>
    </row>
    <row r="187" spans="1:38" x14ac:dyDescent="0.25">
      <c r="A187" s="180" t="s">
        <v>838</v>
      </c>
      <c r="B187" s="17">
        <v>-151.53820861</v>
      </c>
      <c r="C187" s="17"/>
      <c r="D187" s="17"/>
      <c r="E187" s="33"/>
      <c r="F187" s="17">
        <v>1.9056E-2</v>
      </c>
      <c r="G187" s="17">
        <v>2.4662E-2</v>
      </c>
      <c r="H187" s="17">
        <v>-2.3189999999999999E-3</v>
      </c>
      <c r="I187" s="185">
        <f t="shared" si="53"/>
        <v>16.930827945349122</v>
      </c>
      <c r="J187" s="202">
        <f t="shared" si="54"/>
        <v>-95091.632523714215</v>
      </c>
      <c r="K187" s="202">
        <f t="shared" si="55"/>
        <v>-95091.632523714215</v>
      </c>
      <c r="L187" s="186">
        <f t="shared" si="56"/>
        <v>-95079.674706830978</v>
      </c>
      <c r="M187" s="186">
        <f t="shared" si="57"/>
        <v>-95079.674706830978</v>
      </c>
      <c r="N187" s="187">
        <f t="shared" si="58"/>
        <v>-95076.156889794482</v>
      </c>
      <c r="O187" s="187">
        <f t="shared" si="59"/>
        <v>-95076.156889794482</v>
      </c>
      <c r="P187" s="188">
        <f t="shared" si="60"/>
        <v>-95093.087717739836</v>
      </c>
      <c r="Q187" s="188">
        <f t="shared" si="61"/>
        <v>-95093.087717739836</v>
      </c>
    </row>
    <row r="188" spans="1:38" x14ac:dyDescent="0.25">
      <c r="A188" s="180" t="s">
        <v>794</v>
      </c>
      <c r="B188" s="17">
        <v>-151.53865633999999</v>
      </c>
      <c r="C188" s="17"/>
      <c r="D188" s="17"/>
      <c r="E188" s="33"/>
      <c r="F188" s="17">
        <v>1.8631999999999999E-2</v>
      </c>
      <c r="G188" s="17">
        <v>2.4471E-2</v>
      </c>
      <c r="H188" s="17">
        <v>-4.0720000000000001E-3</v>
      </c>
      <c r="I188" s="185">
        <f t="shared" si="53"/>
        <v>17.91099744427931</v>
      </c>
      <c r="J188" s="202">
        <f t="shared" si="54"/>
        <v>-95091.913478445174</v>
      </c>
      <c r="K188" s="202">
        <f t="shared" si="55"/>
        <v>-95091.913478445174</v>
      </c>
      <c r="L188" s="186">
        <f t="shared" si="56"/>
        <v>-95080.221725497628</v>
      </c>
      <c r="M188" s="186">
        <f t="shared" si="57"/>
        <v>-95080.221725497628</v>
      </c>
      <c r="N188" s="187">
        <f t="shared" si="58"/>
        <v>-95076.557698798351</v>
      </c>
      <c r="O188" s="187">
        <f t="shared" si="59"/>
        <v>-95076.557698798351</v>
      </c>
      <c r="P188" s="188">
        <f t="shared" si="60"/>
        <v>-95094.468696242649</v>
      </c>
      <c r="Q188" s="188">
        <f t="shared" si="61"/>
        <v>-95094.468696242649</v>
      </c>
    </row>
    <row r="189" spans="1:38" x14ac:dyDescent="0.25">
      <c r="A189" s="180" t="s">
        <v>842</v>
      </c>
      <c r="B189" s="17">
        <v>-151.53836446</v>
      </c>
      <c r="C189" s="17">
        <v>-151.53865633999999</v>
      </c>
      <c r="D189" s="17">
        <v>1.0037</v>
      </c>
      <c r="E189" s="33"/>
      <c r="F189" s="17">
        <v>1.8631999999999999E-2</v>
      </c>
      <c r="G189" s="17">
        <v>2.4471E-2</v>
      </c>
      <c r="H189" s="17">
        <v>-4.0720000000000001E-3</v>
      </c>
      <c r="I189" s="185">
        <f t="shared" si="53"/>
        <v>17.91099744427931</v>
      </c>
      <c r="J189" s="202">
        <f t="shared" si="54"/>
        <v>-95091.730321035866</v>
      </c>
      <c r="K189" s="202">
        <f t="shared" si="55"/>
        <v>-95091.545803228248</v>
      </c>
      <c r="L189" s="186">
        <f t="shared" si="56"/>
        <v>-95080.038568088319</v>
      </c>
      <c r="M189" s="186">
        <f t="shared" si="57"/>
        <v>-95079.854050280701</v>
      </c>
      <c r="N189" s="187">
        <f t="shared" si="58"/>
        <v>-95076.374541389043</v>
      </c>
      <c r="O189" s="187">
        <f t="shared" si="59"/>
        <v>-95076.190023581439</v>
      </c>
      <c r="P189" s="188">
        <f t="shared" si="60"/>
        <v>-95094.285538833341</v>
      </c>
      <c r="Q189" s="188">
        <f t="shared" si="61"/>
        <v>-95094.101021025723</v>
      </c>
      <c r="S189">
        <f>-151.4962542--151.57816926</f>
        <v>8.191506000000004E-2</v>
      </c>
    </row>
    <row r="190" spans="1:38" x14ac:dyDescent="0.25">
      <c r="A190" s="180"/>
      <c r="B190" s="17"/>
      <c r="C190" s="17"/>
      <c r="D190" s="17"/>
      <c r="E190" s="33"/>
      <c r="F190" s="17"/>
      <c r="G190" s="17"/>
      <c r="H190" s="17"/>
      <c r="I190" s="185">
        <f t="shared" si="53"/>
        <v>0</v>
      </c>
      <c r="J190" s="202">
        <f t="shared" si="54"/>
        <v>0</v>
      </c>
      <c r="K190" s="202">
        <f t="shared" si="55"/>
        <v>0</v>
      </c>
      <c r="L190" s="186">
        <f t="shared" si="56"/>
        <v>0</v>
      </c>
      <c r="M190" s="186">
        <f t="shared" si="57"/>
        <v>0</v>
      </c>
      <c r="N190" s="187">
        <f t="shared" si="58"/>
        <v>0</v>
      </c>
      <c r="O190" s="187">
        <f t="shared" si="59"/>
        <v>0</v>
      </c>
      <c r="P190" s="188">
        <f t="shared" si="60"/>
        <v>0</v>
      </c>
      <c r="Q190" s="188">
        <f t="shared" si="61"/>
        <v>0</v>
      </c>
      <c r="S190" s="1">
        <f>($T$3*$T$4)*S189</f>
        <v>51.402460508985989</v>
      </c>
    </row>
    <row r="191" spans="1:38" x14ac:dyDescent="0.25">
      <c r="A191" s="180" t="s">
        <v>746</v>
      </c>
      <c r="B191" s="183">
        <v>-151.53736918000001</v>
      </c>
      <c r="C191" s="17">
        <v>-151.53818158999999</v>
      </c>
      <c r="D191" s="17">
        <v>0.99119999999999997</v>
      </c>
      <c r="E191" s="33">
        <v>217.52</v>
      </c>
      <c r="F191" s="17">
        <v>1.9056E-2</v>
      </c>
      <c r="G191" s="17">
        <v>2.4662E-2</v>
      </c>
      <c r="H191" s="17">
        <v>-2.3189999999999999E-3</v>
      </c>
      <c r="I191" s="185">
        <f t="shared" si="53"/>
        <v>16.930827945349122</v>
      </c>
      <c r="J191" s="202">
        <f t="shared" si="54"/>
        <v>-95091.105773597403</v>
      </c>
      <c r="K191" s="202">
        <f t="shared" si="55"/>
        <v>-95090.604872901895</v>
      </c>
      <c r="L191" s="186">
        <f t="shared" si="56"/>
        <v>-95079.147956714165</v>
      </c>
      <c r="M191" s="186">
        <f t="shared" si="57"/>
        <v>-95078.647056018657</v>
      </c>
      <c r="N191" s="187">
        <f t="shared" si="58"/>
        <v>-95075.630139677669</v>
      </c>
      <c r="O191" s="187">
        <f t="shared" si="59"/>
        <v>-95075.129238982161</v>
      </c>
      <c r="P191" s="188">
        <f t="shared" si="60"/>
        <v>-95092.560967623023</v>
      </c>
      <c r="Q191" s="188">
        <f t="shared" si="61"/>
        <v>-95092.060066927515</v>
      </c>
      <c r="AI191" s="6" t="s">
        <v>798</v>
      </c>
      <c r="AJ191" t="s">
        <v>799</v>
      </c>
      <c r="AK191" t="s">
        <v>831</v>
      </c>
    </row>
    <row r="192" spans="1:38" x14ac:dyDescent="0.25">
      <c r="A192" s="180" t="s">
        <v>839</v>
      </c>
      <c r="B192" s="17">
        <v>-151.53818158999999</v>
      </c>
      <c r="C192" s="17"/>
      <c r="D192" s="17"/>
      <c r="E192" s="33">
        <v>217.52</v>
      </c>
      <c r="F192" s="17">
        <v>1.8324E-2</v>
      </c>
      <c r="G192" s="17">
        <v>2.3525000000000001E-2</v>
      </c>
      <c r="H192" s="17">
        <v>-2.7539999999999999E-3</v>
      </c>
      <c r="I192" s="185">
        <f t="shared" si="53"/>
        <v>16.490316429184599</v>
      </c>
      <c r="J192" s="202">
        <f t="shared" si="54"/>
        <v>-95091.615568413414</v>
      </c>
      <c r="K192" s="202">
        <f t="shared" si="55"/>
        <v>-95091.615568413414</v>
      </c>
      <c r="L192" s="186">
        <f t="shared" si="56"/>
        <v>-95080.117088324798</v>
      </c>
      <c r="M192" s="186">
        <f t="shared" si="57"/>
        <v>-95080.117088324798</v>
      </c>
      <c r="N192" s="187">
        <f t="shared" si="58"/>
        <v>-95076.853412547644</v>
      </c>
      <c r="O192" s="187">
        <f t="shared" si="59"/>
        <v>-95076.853412547644</v>
      </c>
      <c r="P192" s="188">
        <f t="shared" si="60"/>
        <v>-95093.343728976834</v>
      </c>
      <c r="Q192" s="188">
        <f t="shared" si="61"/>
        <v>-95093.343728976834</v>
      </c>
      <c r="AH192">
        <v>0</v>
      </c>
      <c r="AI192" s="6">
        <f>21250*$T$15</f>
        <v>42.228079049756218</v>
      </c>
      <c r="AJ192" s="6">
        <f>21962*$T$15</f>
        <v>43.642968098388046</v>
      </c>
      <c r="AK192">
        <v>54.5</v>
      </c>
    </row>
    <row r="193" spans="1:45" x14ac:dyDescent="0.25">
      <c r="A193" s="180"/>
      <c r="B193" s="17"/>
      <c r="C193" s="17"/>
      <c r="D193" s="17"/>
      <c r="E193" s="33"/>
      <c r="F193" s="17"/>
      <c r="G193" s="17"/>
      <c r="H193" s="17"/>
      <c r="I193" s="185">
        <f t="shared" si="53"/>
        <v>0</v>
      </c>
      <c r="J193" s="202">
        <f t="shared" si="54"/>
        <v>0</v>
      </c>
      <c r="K193" s="202">
        <f t="shared" si="55"/>
        <v>0</v>
      </c>
      <c r="L193" s="186">
        <f t="shared" si="56"/>
        <v>0</v>
      </c>
      <c r="M193" s="186">
        <f t="shared" si="57"/>
        <v>0</v>
      </c>
      <c r="N193" s="187">
        <f t="shared" si="58"/>
        <v>0</v>
      </c>
      <c r="O193" s="187">
        <f t="shared" si="59"/>
        <v>0</v>
      </c>
      <c r="P193" s="188">
        <f t="shared" si="60"/>
        <v>0</v>
      </c>
      <c r="Q193" s="188">
        <f t="shared" si="61"/>
        <v>0</v>
      </c>
      <c r="AH193">
        <v>1</v>
      </c>
      <c r="AI193" s="6">
        <f t="shared" ref="AI193:AI212" si="62">21250*$T$15</f>
        <v>42.228079049756218</v>
      </c>
      <c r="AJ193" s="6">
        <f t="shared" ref="AJ193:AJ212" si="63">21962*$T$15</f>
        <v>43.642968098388046</v>
      </c>
      <c r="AK193">
        <v>54.5</v>
      </c>
      <c r="AQ193" s="6">
        <f t="shared" ref="AQ193:AQ212" si="64">-1063*$T$15</f>
        <v>-2.1123975543478051</v>
      </c>
      <c r="AS193">
        <v>-15</v>
      </c>
    </row>
    <row r="194" spans="1:45" x14ac:dyDescent="0.25">
      <c r="A194" s="180" t="s">
        <v>747</v>
      </c>
      <c r="B194" s="17">
        <v>-151.53848395</v>
      </c>
      <c r="C194" s="17"/>
      <c r="D194" s="17"/>
      <c r="E194" s="33">
        <v>145.66</v>
      </c>
      <c r="F194" s="17">
        <v>1.7946E-2</v>
      </c>
      <c r="G194" s="17">
        <v>2.3168000000000001E-2</v>
      </c>
      <c r="H194" s="17">
        <v>-3.1619999999999999E-3</v>
      </c>
      <c r="I194" s="185">
        <f t="shared" si="53"/>
        <v>16.522319402581168</v>
      </c>
      <c r="J194" s="202">
        <f t="shared" si="54"/>
        <v>-95091.805302120003</v>
      </c>
      <c r="K194" s="202">
        <f t="shared" si="55"/>
        <v>-95091.805302120003</v>
      </c>
      <c r="L194" s="186">
        <f t="shared" si="56"/>
        <v>-95080.54402054011</v>
      </c>
      <c r="M194" s="186">
        <f t="shared" si="57"/>
        <v>-95080.54402054011</v>
      </c>
      <c r="N194" s="187">
        <f t="shared" si="58"/>
        <v>-95077.267167068014</v>
      </c>
      <c r="O194" s="187">
        <f t="shared" si="59"/>
        <v>-95077.267167068014</v>
      </c>
      <c r="P194" s="188">
        <f t="shared" si="60"/>
        <v>-95093.789486470603</v>
      </c>
      <c r="Q194" s="188">
        <f t="shared" si="61"/>
        <v>-95093.789486470603</v>
      </c>
      <c r="T194" s="1"/>
      <c r="AH194">
        <v>2</v>
      </c>
      <c r="AI194" s="6">
        <f t="shared" si="62"/>
        <v>42.228079049756218</v>
      </c>
      <c r="AJ194" s="6">
        <f t="shared" si="63"/>
        <v>43.642968098388046</v>
      </c>
      <c r="AK194">
        <v>54.5</v>
      </c>
      <c r="AQ194" s="6">
        <f t="shared" si="64"/>
        <v>-2.1123975543478051</v>
      </c>
      <c r="AS194">
        <v>-15</v>
      </c>
    </row>
    <row r="195" spans="1:45" x14ac:dyDescent="0.25">
      <c r="A195" s="180" t="s">
        <v>750</v>
      </c>
      <c r="B195" s="17">
        <v>-151.54459338999999</v>
      </c>
      <c r="C195" s="17"/>
      <c r="D195" s="17"/>
      <c r="E195" s="33"/>
      <c r="F195" s="17">
        <v>2.2603999999999999E-2</v>
      </c>
      <c r="G195" s="17">
        <v>2.6983E-2</v>
      </c>
      <c r="H195" s="17">
        <v>2.4120000000000001E-3</v>
      </c>
      <c r="I195" s="185">
        <f t="shared" si="53"/>
        <v>15.418530575040709</v>
      </c>
      <c r="J195" s="202">
        <f t="shared" si="54"/>
        <v>-95095.639032429564</v>
      </c>
      <c r="K195" s="202">
        <f t="shared" si="55"/>
        <v>-95095.639032429564</v>
      </c>
      <c r="L195" s="186">
        <f t="shared" si="56"/>
        <v>-95081.454812612777</v>
      </c>
      <c r="M195" s="186">
        <f t="shared" si="57"/>
        <v>-95081.454812612777</v>
      </c>
      <c r="N195" s="187">
        <f t="shared" si="58"/>
        <v>-95078.706949465646</v>
      </c>
      <c r="O195" s="187">
        <f t="shared" si="59"/>
        <v>-95078.706949465646</v>
      </c>
      <c r="P195" s="188">
        <f t="shared" si="60"/>
        <v>-95094.125480040704</v>
      </c>
      <c r="Q195" s="188">
        <f t="shared" si="61"/>
        <v>-95094.125480040704</v>
      </c>
      <c r="AH195">
        <v>3</v>
      </c>
      <c r="AI195" s="6">
        <f t="shared" si="62"/>
        <v>42.228079049756218</v>
      </c>
      <c r="AJ195" s="6">
        <f t="shared" si="63"/>
        <v>43.642968098388046</v>
      </c>
      <c r="AK195">
        <v>54.5</v>
      </c>
      <c r="AQ195" s="6">
        <f t="shared" si="64"/>
        <v>-2.1123975543478051</v>
      </c>
      <c r="AS195">
        <v>-15</v>
      </c>
    </row>
    <row r="196" spans="1:45" x14ac:dyDescent="0.25">
      <c r="A196" s="180"/>
      <c r="B196" s="17"/>
      <c r="C196" s="17"/>
      <c r="D196" s="17"/>
      <c r="E196" s="33"/>
      <c r="F196" s="17"/>
      <c r="G196" s="17"/>
      <c r="H196" s="17"/>
      <c r="I196" s="185">
        <f t="shared" si="53"/>
        <v>0</v>
      </c>
      <c r="J196" s="202">
        <f t="shared" si="54"/>
        <v>0</v>
      </c>
      <c r="K196" s="202">
        <f t="shared" si="55"/>
        <v>0</v>
      </c>
      <c r="L196" s="186">
        <f t="shared" si="56"/>
        <v>0</v>
      </c>
      <c r="M196" s="186">
        <f t="shared" si="57"/>
        <v>0</v>
      </c>
      <c r="N196" s="187">
        <f t="shared" si="58"/>
        <v>0</v>
      </c>
      <c r="O196" s="187">
        <f t="shared" si="59"/>
        <v>0</v>
      </c>
      <c r="P196" s="188">
        <f t="shared" si="60"/>
        <v>0</v>
      </c>
      <c r="Q196" s="188">
        <f t="shared" si="61"/>
        <v>0</v>
      </c>
      <c r="AH196">
        <v>4</v>
      </c>
      <c r="AI196" s="6">
        <f t="shared" si="62"/>
        <v>42.228079049756218</v>
      </c>
      <c r="AJ196" s="6">
        <f t="shared" si="63"/>
        <v>43.642968098388046</v>
      </c>
      <c r="AK196">
        <v>54.5</v>
      </c>
      <c r="AQ196" s="6">
        <f t="shared" si="64"/>
        <v>-2.1123975543478051</v>
      </c>
      <c r="AS196">
        <v>-15</v>
      </c>
    </row>
    <row r="197" spans="1:45" x14ac:dyDescent="0.25">
      <c r="A197" s="180" t="s">
        <v>761</v>
      </c>
      <c r="B197" s="17">
        <v>-151.53866572999999</v>
      </c>
      <c r="C197" s="17"/>
      <c r="D197" s="17"/>
      <c r="E197" s="33">
        <v>784.07</v>
      </c>
      <c r="F197" s="17">
        <v>1.6056000000000001E-2</v>
      </c>
      <c r="G197" s="17">
        <v>2.0826999999999998E-2</v>
      </c>
      <c r="H197" s="17">
        <v>-5.2110000000000004E-3</v>
      </c>
      <c r="I197" s="185">
        <f t="shared" si="53"/>
        <v>16.339086692153757</v>
      </c>
      <c r="J197" s="202">
        <f t="shared" si="54"/>
        <v>-95091.919370757329</v>
      </c>
      <c r="K197" s="202">
        <f t="shared" si="55"/>
        <v>-95091.919370757329</v>
      </c>
      <c r="L197" s="186">
        <f t="shared" si="56"/>
        <v>-95081.844081720963</v>
      </c>
      <c r="M197" s="186">
        <f t="shared" si="57"/>
        <v>-95081.844081720963</v>
      </c>
      <c r="N197" s="187">
        <f t="shared" si="58"/>
        <v>-95078.850234935177</v>
      </c>
      <c r="O197" s="187">
        <f t="shared" si="59"/>
        <v>-95078.850234935177</v>
      </c>
      <c r="P197" s="188">
        <f t="shared" si="60"/>
        <v>-95095.189321627331</v>
      </c>
      <c r="Q197" s="188">
        <f t="shared" si="61"/>
        <v>-95095.189321627331</v>
      </c>
      <c r="AH197">
        <v>5</v>
      </c>
      <c r="AI197" s="6">
        <f t="shared" si="62"/>
        <v>42.228079049756218</v>
      </c>
      <c r="AJ197" s="6">
        <f t="shared" si="63"/>
        <v>43.642968098388046</v>
      </c>
      <c r="AK197">
        <v>54.5</v>
      </c>
      <c r="AQ197" s="6">
        <f t="shared" si="64"/>
        <v>-2.1123975543478051</v>
      </c>
      <c r="AS197">
        <v>-15</v>
      </c>
    </row>
    <row r="198" spans="1:45" x14ac:dyDescent="0.25">
      <c r="A198" s="180" t="s">
        <v>763</v>
      </c>
      <c r="B198" s="17">
        <v>-151.55889199000001</v>
      </c>
      <c r="C198" s="17"/>
      <c r="D198" s="17"/>
      <c r="E198" s="33"/>
      <c r="F198" s="17">
        <v>2.2093000000000002E-2</v>
      </c>
      <c r="G198" s="17">
        <v>2.7744999999999999E-2</v>
      </c>
      <c r="H198" s="17">
        <v>-9.1600000000000004E-4</v>
      </c>
      <c r="I198" s="185">
        <f t="shared" si="53"/>
        <v>17.985043539589018</v>
      </c>
      <c r="J198" s="202">
        <f t="shared" si="54"/>
        <v>-95104.611536653261</v>
      </c>
      <c r="K198" s="202">
        <f t="shared" si="55"/>
        <v>-95104.611536653261</v>
      </c>
      <c r="L198" s="186">
        <f t="shared" si="56"/>
        <v>-95090.747974079728</v>
      </c>
      <c r="M198" s="186">
        <f t="shared" si="57"/>
        <v>-95090.747974079728</v>
      </c>
      <c r="N198" s="187">
        <f t="shared" si="58"/>
        <v>-95087.201291616249</v>
      </c>
      <c r="O198" s="187">
        <f t="shared" si="59"/>
        <v>-95087.201291616249</v>
      </c>
      <c r="P198" s="188">
        <f t="shared" si="60"/>
        <v>-95105.186335155842</v>
      </c>
      <c r="Q198" s="188">
        <f t="shared" si="61"/>
        <v>-95105.186335155842</v>
      </c>
      <c r="AH198">
        <v>6</v>
      </c>
      <c r="AI198" s="6">
        <f t="shared" si="62"/>
        <v>42.228079049756218</v>
      </c>
      <c r="AJ198" s="6">
        <f t="shared" si="63"/>
        <v>43.642968098388046</v>
      </c>
      <c r="AK198">
        <v>54.5</v>
      </c>
      <c r="AQ198" s="6">
        <f t="shared" si="64"/>
        <v>-2.1123975543478051</v>
      </c>
      <c r="AS198">
        <v>-15</v>
      </c>
    </row>
    <row r="199" spans="1:45" x14ac:dyDescent="0.25">
      <c r="A199" s="180"/>
      <c r="B199" s="17"/>
      <c r="C199" s="17"/>
      <c r="D199" s="17"/>
      <c r="E199" s="33"/>
      <c r="F199" s="17"/>
      <c r="G199" s="17"/>
      <c r="H199" s="17"/>
      <c r="I199" s="185">
        <f t="shared" si="53"/>
        <v>0</v>
      </c>
      <c r="J199" s="202">
        <f t="shared" si="54"/>
        <v>0</v>
      </c>
      <c r="K199" s="202">
        <f t="shared" si="55"/>
        <v>0</v>
      </c>
      <c r="L199" s="186">
        <f t="shared" si="56"/>
        <v>0</v>
      </c>
      <c r="M199" s="186">
        <f t="shared" si="57"/>
        <v>0</v>
      </c>
      <c r="N199" s="187">
        <f t="shared" si="58"/>
        <v>0</v>
      </c>
      <c r="O199" s="187">
        <f t="shared" si="59"/>
        <v>0</v>
      </c>
      <c r="P199" s="188">
        <f t="shared" si="60"/>
        <v>0</v>
      </c>
      <c r="Q199" s="188">
        <f t="shared" si="61"/>
        <v>0</v>
      </c>
      <c r="AH199">
        <v>7</v>
      </c>
      <c r="AI199" s="6">
        <f t="shared" si="62"/>
        <v>42.228079049756218</v>
      </c>
      <c r="AJ199" s="6">
        <f t="shared" si="63"/>
        <v>43.642968098388046</v>
      </c>
      <c r="AK199">
        <v>54.5</v>
      </c>
      <c r="AQ199" s="6">
        <f t="shared" si="64"/>
        <v>-2.1123975543478051</v>
      </c>
      <c r="AS199">
        <v>-15</v>
      </c>
    </row>
    <row r="200" spans="1:45" x14ac:dyDescent="0.25">
      <c r="A200" s="180" t="s">
        <v>796</v>
      </c>
      <c r="B200" s="17">
        <v>-151.52762962</v>
      </c>
      <c r="C200" s="17"/>
      <c r="D200" s="17"/>
      <c r="E200" s="33">
        <v>2029.13</v>
      </c>
      <c r="F200" s="17">
        <v>1.7392000000000001E-2</v>
      </c>
      <c r="G200" s="17">
        <v>2.1621999999999999E-2</v>
      </c>
      <c r="H200" s="17">
        <v>-3.4099999999999998E-3</v>
      </c>
      <c r="I200" s="185">
        <f t="shared" si="53"/>
        <v>15.707812354174392</v>
      </c>
      <c r="J200" s="202">
        <f t="shared" si="54"/>
        <v>-95084.99410929202</v>
      </c>
      <c r="K200" s="202">
        <f t="shared" si="55"/>
        <v>-95084.99410929202</v>
      </c>
      <c r="L200" s="186">
        <f t="shared" si="56"/>
        <v>-95074.080467854496</v>
      </c>
      <c r="M200" s="186">
        <f t="shared" si="57"/>
        <v>-95074.080467854496</v>
      </c>
      <c r="N200" s="187">
        <f t="shared" si="58"/>
        <v>-95071.426103590435</v>
      </c>
      <c r="O200" s="187">
        <f t="shared" si="59"/>
        <v>-95071.426103590435</v>
      </c>
      <c r="P200" s="188">
        <f t="shared" si="60"/>
        <v>-95087.133915944607</v>
      </c>
      <c r="Q200" s="188">
        <f t="shared" si="61"/>
        <v>-95087.133915944607</v>
      </c>
      <c r="AH200">
        <v>8</v>
      </c>
      <c r="AI200" s="6">
        <f t="shared" si="62"/>
        <v>42.228079049756218</v>
      </c>
      <c r="AJ200" s="6">
        <f t="shared" si="63"/>
        <v>43.642968098388046</v>
      </c>
      <c r="AK200">
        <v>54.5</v>
      </c>
      <c r="AQ200" s="6">
        <f t="shared" si="64"/>
        <v>-2.1123975543478051</v>
      </c>
      <c r="AS200">
        <v>-15</v>
      </c>
    </row>
    <row r="201" spans="1:45" x14ac:dyDescent="0.25">
      <c r="A201" s="180" t="s">
        <v>845</v>
      </c>
      <c r="B201" s="17">
        <v>-151.52025370999999</v>
      </c>
      <c r="C201" s="17">
        <v>-151.52762962</v>
      </c>
      <c r="D201" s="17">
        <v>1.0055000000000001</v>
      </c>
      <c r="E201" s="33">
        <v>2029.13</v>
      </c>
      <c r="F201" s="17">
        <v>1.7392000000000001E-2</v>
      </c>
      <c r="G201" s="17">
        <v>2.1621999999999999E-2</v>
      </c>
      <c r="H201" s="17">
        <v>-3.4099999999999998E-3</v>
      </c>
      <c r="I201" s="185">
        <f t="shared" si="53"/>
        <v>15.707812354174392</v>
      </c>
      <c r="J201" s="202">
        <f t="shared" si="54"/>
        <v>-95080.365657301707</v>
      </c>
      <c r="K201" s="202">
        <f t="shared" si="55"/>
        <v>-95075.686010769525</v>
      </c>
      <c r="L201" s="186">
        <f t="shared" si="56"/>
        <v>-95069.452015864197</v>
      </c>
      <c r="M201" s="186">
        <f t="shared" si="57"/>
        <v>-95064.772369332015</v>
      </c>
      <c r="N201" s="187">
        <f t="shared" si="58"/>
        <v>-95066.797651600122</v>
      </c>
      <c r="O201" s="187">
        <f t="shared" si="59"/>
        <v>-95062.11800506794</v>
      </c>
      <c r="P201" s="188">
        <f t="shared" si="60"/>
        <v>-95082.505463954309</v>
      </c>
      <c r="Q201" s="188">
        <f t="shared" si="61"/>
        <v>-95077.825817422126</v>
      </c>
      <c r="AH201">
        <v>9</v>
      </c>
      <c r="AI201" s="6">
        <f t="shared" si="62"/>
        <v>42.228079049756218</v>
      </c>
      <c r="AJ201" s="6">
        <f t="shared" si="63"/>
        <v>43.642968098388046</v>
      </c>
      <c r="AK201">
        <v>54.5</v>
      </c>
      <c r="AQ201" s="6">
        <f t="shared" si="64"/>
        <v>-2.1123975543478051</v>
      </c>
      <c r="AS201">
        <v>-15</v>
      </c>
    </row>
    <row r="202" spans="1:45" x14ac:dyDescent="0.25">
      <c r="A202" s="180" t="s">
        <v>797</v>
      </c>
      <c r="B202" s="17">
        <v>-151.55817601000001</v>
      </c>
      <c r="C202" s="17"/>
      <c r="D202" s="17"/>
      <c r="E202" s="33"/>
      <c r="F202" s="17">
        <v>2.2141999999999998E-2</v>
      </c>
      <c r="G202" s="17">
        <v>2.7723000000000001E-2</v>
      </c>
      <c r="H202" s="17">
        <v>-6.6799999999999997E-4</v>
      </c>
      <c r="I202" s="185">
        <f t="shared" si="53"/>
        <v>17.815616033371892</v>
      </c>
      <c r="J202" s="202">
        <f t="shared" si="54"/>
        <v>-95104.162252557333</v>
      </c>
      <c r="K202" s="202">
        <f t="shared" si="55"/>
        <v>-95104.162252557333</v>
      </c>
      <c r="L202" s="186">
        <f t="shared" si="56"/>
        <v>-95090.267942028964</v>
      </c>
      <c r="M202" s="186">
        <f t="shared" si="57"/>
        <v>-95090.267942028964</v>
      </c>
      <c r="N202" s="187">
        <f t="shared" si="58"/>
        <v>-95086.765812724523</v>
      </c>
      <c r="O202" s="187">
        <f t="shared" si="59"/>
        <v>-95086.765812724523</v>
      </c>
      <c r="P202" s="188">
        <f t="shared" si="60"/>
        <v>-95104.581428757898</v>
      </c>
      <c r="Q202" s="188">
        <f t="shared" si="61"/>
        <v>-95104.581428757898</v>
      </c>
      <c r="AE202" s="6">
        <f>AI192+AJ192</f>
        <v>85.871047148144271</v>
      </c>
      <c r="AH202">
        <v>10</v>
      </c>
      <c r="AI202" s="6">
        <f t="shared" si="62"/>
        <v>42.228079049756218</v>
      </c>
      <c r="AJ202" s="6">
        <f t="shared" si="63"/>
        <v>43.642968098388046</v>
      </c>
      <c r="AK202">
        <v>54.5</v>
      </c>
      <c r="AQ202" s="6">
        <f t="shared" si="64"/>
        <v>-2.1123975543478051</v>
      </c>
      <c r="AS202">
        <v>-15</v>
      </c>
    </row>
    <row r="203" spans="1:45" x14ac:dyDescent="0.25">
      <c r="A203" s="180" t="s">
        <v>847</v>
      </c>
      <c r="B203" s="17">
        <v>-151.53244566999999</v>
      </c>
      <c r="C203" s="17">
        <v>-151.55817601000001</v>
      </c>
      <c r="D203" s="17">
        <v>1.0028999999999999</v>
      </c>
      <c r="E203" s="33"/>
      <c r="F203" s="17">
        <v>2.2141999999999998E-2</v>
      </c>
      <c r="G203" s="17">
        <v>2.7723000000000001E-2</v>
      </c>
      <c r="H203" s="17">
        <v>-6.6799999999999997E-4</v>
      </c>
      <c r="I203" s="185">
        <f t="shared" si="53"/>
        <v>17.815616033371892</v>
      </c>
      <c r="J203" s="202">
        <f t="shared" si="54"/>
        <v>-95088.016225370957</v>
      </c>
      <c r="K203" s="202">
        <f t="shared" si="55"/>
        <v>-95071.776278860852</v>
      </c>
      <c r="L203" s="186">
        <f t="shared" si="56"/>
        <v>-95074.121914842588</v>
      </c>
      <c r="M203" s="186">
        <f t="shared" si="57"/>
        <v>-95057.881968332484</v>
      </c>
      <c r="N203" s="187">
        <f t="shared" si="58"/>
        <v>-95070.619785538147</v>
      </c>
      <c r="O203" s="187">
        <f t="shared" si="59"/>
        <v>-95054.379839028043</v>
      </c>
      <c r="P203" s="188">
        <f t="shared" si="60"/>
        <v>-95088.435401571522</v>
      </c>
      <c r="Q203" s="188">
        <f t="shared" si="61"/>
        <v>-95072.195455061417</v>
      </c>
      <c r="AE203">
        <f>AE202/2</f>
        <v>42.935523574072135</v>
      </c>
      <c r="AH203">
        <v>11</v>
      </c>
      <c r="AI203" s="6">
        <f t="shared" si="62"/>
        <v>42.228079049756218</v>
      </c>
      <c r="AJ203" s="6">
        <f t="shared" si="63"/>
        <v>43.642968098388046</v>
      </c>
      <c r="AK203">
        <v>54.5</v>
      </c>
      <c r="AQ203" s="6">
        <f t="shared" si="64"/>
        <v>-2.1123975543478051</v>
      </c>
      <c r="AS203">
        <v>-15</v>
      </c>
    </row>
    <row r="204" spans="1:45" x14ac:dyDescent="0.25">
      <c r="A204" s="180" t="s">
        <v>835</v>
      </c>
      <c r="B204" s="17">
        <v>-151.52181582</v>
      </c>
      <c r="C204" s="17">
        <v>-151.54010084000001</v>
      </c>
      <c r="D204" s="17">
        <v>0.96740000000000004</v>
      </c>
      <c r="E204" s="33">
        <v>1632.83</v>
      </c>
      <c r="F204" s="17">
        <v>1.6067999999999999E-2</v>
      </c>
      <c r="G204" s="17">
        <v>2.0448999999999998E-2</v>
      </c>
      <c r="H204" s="17">
        <v>-3.8249999999999998E-3</v>
      </c>
      <c r="I204" s="185">
        <f t="shared" si="53"/>
        <v>15.232160318201869</v>
      </c>
      <c r="J204" s="202">
        <f t="shared" si="54"/>
        <v>-95081.345895826656</v>
      </c>
      <c r="K204" s="202">
        <f t="shared" si="55"/>
        <v>-95070.596363837438</v>
      </c>
      <c r="L204" s="186">
        <f t="shared" si="56"/>
        <v>-95071.263076678908</v>
      </c>
      <c r="M204" s="186">
        <f t="shared" si="57"/>
        <v>-95060.513544689689</v>
      </c>
      <c r="N204" s="187">
        <f t="shared" si="58"/>
        <v>-95068.513958513198</v>
      </c>
      <c r="O204" s="187">
        <f t="shared" si="59"/>
        <v>-95057.76442652398</v>
      </c>
      <c r="P204" s="188">
        <f t="shared" si="60"/>
        <v>-95083.746118831405</v>
      </c>
      <c r="Q204" s="188">
        <f t="shared" si="61"/>
        <v>-95072.996586842186</v>
      </c>
      <c r="T204" t="s">
        <v>844</v>
      </c>
      <c r="AH204">
        <v>12</v>
      </c>
      <c r="AI204" s="6">
        <f t="shared" si="62"/>
        <v>42.228079049756218</v>
      </c>
      <c r="AJ204" s="6">
        <f t="shared" si="63"/>
        <v>43.642968098388046</v>
      </c>
      <c r="AK204">
        <v>54.5</v>
      </c>
      <c r="AQ204" s="6">
        <f t="shared" si="64"/>
        <v>-2.1123975543478051</v>
      </c>
      <c r="AS204">
        <v>-15</v>
      </c>
    </row>
    <row r="205" spans="1:45" x14ac:dyDescent="0.25">
      <c r="A205" s="180" t="s">
        <v>836</v>
      </c>
      <c r="B205" s="17">
        <v>-151.53646416000001</v>
      </c>
      <c r="C205" s="17">
        <v>-151.55573641000001</v>
      </c>
      <c r="D205" s="17">
        <v>0.90469999999999995</v>
      </c>
      <c r="E205" s="33"/>
      <c r="F205" s="17">
        <v>2.315E-2</v>
      </c>
      <c r="G205" s="17">
        <v>2.8122999999999999E-2</v>
      </c>
      <c r="H205" s="17">
        <v>2.5530000000000001E-3</v>
      </c>
      <c r="I205" s="185">
        <f t="shared" si="53"/>
        <v>16.045412348044071</v>
      </c>
      <c r="J205" s="202">
        <f t="shared" si="54"/>
        <v>-95090.537865146747</v>
      </c>
      <c r="K205" s="202">
        <f t="shared" si="55"/>
        <v>-95080.548817659233</v>
      </c>
      <c r="L205" s="186">
        <f t="shared" si="56"/>
        <v>-95076.011025261847</v>
      </c>
      <c r="M205" s="186">
        <f t="shared" si="57"/>
        <v>-95066.021977774319</v>
      </c>
      <c r="N205" s="187">
        <f t="shared" si="58"/>
        <v>-95072.890421601027</v>
      </c>
      <c r="O205" s="187">
        <f t="shared" si="59"/>
        <v>-95062.901374113513</v>
      </c>
      <c r="P205" s="188">
        <f t="shared" si="60"/>
        <v>-95088.935833949072</v>
      </c>
      <c r="Q205" s="188">
        <f t="shared" si="61"/>
        <v>-95078.946786461544</v>
      </c>
      <c r="T205" t="s">
        <v>853</v>
      </c>
      <c r="AH205">
        <v>13</v>
      </c>
      <c r="AI205" s="6">
        <f t="shared" si="62"/>
        <v>42.228079049756218</v>
      </c>
      <c r="AJ205" s="6">
        <f t="shared" si="63"/>
        <v>43.642968098388046</v>
      </c>
      <c r="AK205">
        <v>54.5</v>
      </c>
      <c r="AQ205" s="6">
        <f t="shared" si="64"/>
        <v>-2.1123975543478051</v>
      </c>
      <c r="AS205">
        <v>-15</v>
      </c>
    </row>
    <row r="206" spans="1:45" x14ac:dyDescent="0.25">
      <c r="A206" s="180"/>
      <c r="B206" s="17"/>
      <c r="C206" s="17"/>
      <c r="D206" s="17"/>
      <c r="E206" s="33"/>
      <c r="F206" s="17"/>
      <c r="G206" s="17"/>
      <c r="H206" s="17"/>
      <c r="I206" s="185">
        <f t="shared" si="53"/>
        <v>0</v>
      </c>
      <c r="J206" s="202">
        <f t="shared" si="54"/>
        <v>0</v>
      </c>
      <c r="K206" s="202">
        <f t="shared" si="55"/>
        <v>0</v>
      </c>
      <c r="L206" s="186">
        <f t="shared" si="56"/>
        <v>0</v>
      </c>
      <c r="M206" s="186">
        <f t="shared" si="57"/>
        <v>0</v>
      </c>
      <c r="N206" s="187">
        <f t="shared" si="58"/>
        <v>0</v>
      </c>
      <c r="O206" s="187">
        <f t="shared" si="59"/>
        <v>0</v>
      </c>
      <c r="P206" s="188">
        <f t="shared" si="60"/>
        <v>0</v>
      </c>
      <c r="Q206" s="188">
        <f t="shared" si="61"/>
        <v>0</v>
      </c>
      <c r="T206" t="s">
        <v>823</v>
      </c>
      <c r="AH206">
        <v>14</v>
      </c>
      <c r="AI206" s="6">
        <f t="shared" si="62"/>
        <v>42.228079049756218</v>
      </c>
      <c r="AJ206" s="6">
        <f t="shared" si="63"/>
        <v>43.642968098388046</v>
      </c>
      <c r="AK206">
        <v>54.5</v>
      </c>
      <c r="AQ206" s="6">
        <f t="shared" si="64"/>
        <v>-2.1123975543478051</v>
      </c>
      <c r="AS206">
        <v>-15</v>
      </c>
    </row>
    <row r="207" spans="1:45" x14ac:dyDescent="0.25">
      <c r="T207" t="s">
        <v>824</v>
      </c>
      <c r="AH207">
        <v>15</v>
      </c>
      <c r="AI207" s="6">
        <f t="shared" si="62"/>
        <v>42.228079049756218</v>
      </c>
      <c r="AJ207" s="6">
        <f t="shared" si="63"/>
        <v>43.642968098388046</v>
      </c>
      <c r="AK207">
        <v>54.5</v>
      </c>
      <c r="AQ207" s="6">
        <f t="shared" si="64"/>
        <v>-2.1123975543478051</v>
      </c>
      <c r="AS207">
        <v>-15</v>
      </c>
    </row>
    <row r="208" spans="1:45" x14ac:dyDescent="0.25">
      <c r="A208" s="15" t="s">
        <v>809</v>
      </c>
      <c r="B208" s="15"/>
      <c r="C208" s="15"/>
      <c r="D208" s="15"/>
      <c r="E208" s="15"/>
      <c r="F208" s="15"/>
      <c r="G208" s="15"/>
      <c r="T208" t="s">
        <v>851</v>
      </c>
      <c r="AH208">
        <v>16</v>
      </c>
      <c r="AI208" s="6">
        <f t="shared" si="62"/>
        <v>42.228079049756218</v>
      </c>
      <c r="AJ208" s="6">
        <f t="shared" si="63"/>
        <v>43.642968098388046</v>
      </c>
      <c r="AK208">
        <v>54.5</v>
      </c>
      <c r="AQ208" s="6">
        <f t="shared" si="64"/>
        <v>-2.1123975543478051</v>
      </c>
      <c r="AS208">
        <v>-15</v>
      </c>
    </row>
    <row r="209" spans="1:45" ht="60" x14ac:dyDescent="0.25">
      <c r="A209" s="167" t="s">
        <v>482</v>
      </c>
      <c r="B209" s="179" t="s">
        <v>667</v>
      </c>
      <c r="C209" s="179" t="s">
        <v>668</v>
      </c>
      <c r="D209" s="167" t="s">
        <v>669</v>
      </c>
      <c r="E209" s="179" t="s">
        <v>489</v>
      </c>
      <c r="F209" s="179" t="s">
        <v>484</v>
      </c>
      <c r="G209" s="179" t="s">
        <v>485</v>
      </c>
      <c r="H209" s="179" t="s">
        <v>486</v>
      </c>
      <c r="I209" s="179" t="s">
        <v>499</v>
      </c>
      <c r="J209" s="201" t="s">
        <v>800</v>
      </c>
      <c r="K209" s="201" t="s">
        <v>801</v>
      </c>
      <c r="L209" s="191" t="s">
        <v>648</v>
      </c>
      <c r="M209" s="191" t="s">
        <v>652</v>
      </c>
      <c r="N209" s="192" t="s">
        <v>651</v>
      </c>
      <c r="O209" s="192" t="s">
        <v>653</v>
      </c>
      <c r="P209" s="193" t="s">
        <v>649</v>
      </c>
      <c r="Q209" s="193" t="s">
        <v>650</v>
      </c>
      <c r="T209" t="s">
        <v>827</v>
      </c>
      <c r="AH209">
        <v>17</v>
      </c>
      <c r="AI209" s="6">
        <f t="shared" si="62"/>
        <v>42.228079049756218</v>
      </c>
      <c r="AJ209" s="6">
        <f t="shared" si="63"/>
        <v>43.642968098388046</v>
      </c>
      <c r="AK209">
        <v>54.5</v>
      </c>
      <c r="AQ209" s="6">
        <f t="shared" si="64"/>
        <v>-2.1123975543478051</v>
      </c>
      <c r="AS209">
        <v>-15</v>
      </c>
    </row>
    <row r="210" spans="1:45" x14ac:dyDescent="0.25">
      <c r="A210" s="180" t="s">
        <v>162</v>
      </c>
      <c r="B210" s="17">
        <v>-151.53331660399999</v>
      </c>
      <c r="C210" s="17"/>
      <c r="D210" s="17"/>
      <c r="E210" s="33"/>
      <c r="F210" s="17">
        <v>2.6237E-2</v>
      </c>
      <c r="G210" s="17">
        <v>3.0397E-2</v>
      </c>
      <c r="H210" s="17">
        <v>6.9740000000000002E-3</v>
      </c>
      <c r="I210" s="185">
        <f>(G210-H210)*($T$3*$T$4)</f>
        <v>14.698149918976782</v>
      </c>
      <c r="J210" s="202">
        <f>(B210)*($T$3*$T$4)</f>
        <v>-95088.562744540221</v>
      </c>
      <c r="K210" s="202">
        <f>((((2-0)/(2-D210))*B210+(1-((2-0)/(2-D210)))*C210))*($T$3*$T$4)</f>
        <v>-95088.562744540221</v>
      </c>
      <c r="L210" s="186">
        <f>(B210+F210)*($T$3*$T$4)</f>
        <v>-95072.098783500885</v>
      </c>
      <c r="M210" s="186">
        <f>((((2-0)/(2-D210))*B210+(1-((2-0)/(2-D210)))*C210)+F210)*($T$3*$T$4)</f>
        <v>-95072.098783500885</v>
      </c>
      <c r="N210" s="187">
        <f>(B210+G210)*($T$3*$T$4)</f>
        <v>-95069.488344886588</v>
      </c>
      <c r="O210" s="187">
        <f>((((2-0)/(2-D210))*B210+(1-((2-0)/(2-D210)))*C210)+G210)*($T$3*$T$4)</f>
        <v>-95069.488344886588</v>
      </c>
      <c r="P210" s="188">
        <f>(B210+H210)*($T$3*$T$4)</f>
        <v>-95084.186494805559</v>
      </c>
      <c r="Q210" s="188">
        <f>((((2-0)/(2-D210))*B210+(1-((2-0)/(2-D210)))*C210)+H210)*($T$3*$T$4)</f>
        <v>-95084.186494805559</v>
      </c>
      <c r="T210" t="s">
        <v>828</v>
      </c>
      <c r="AH210">
        <v>18</v>
      </c>
      <c r="AI210" s="6">
        <f t="shared" si="62"/>
        <v>42.228079049756218</v>
      </c>
      <c r="AJ210" s="6">
        <f t="shared" si="63"/>
        <v>43.642968098388046</v>
      </c>
      <c r="AK210">
        <v>54.5</v>
      </c>
      <c r="AQ210" s="6">
        <f t="shared" si="64"/>
        <v>-2.1123975543478051</v>
      </c>
      <c r="AS210">
        <v>-15</v>
      </c>
    </row>
    <row r="211" spans="1:45" x14ac:dyDescent="0.25">
      <c r="A211" s="180" t="s">
        <v>837</v>
      </c>
      <c r="B211" s="17"/>
      <c r="C211" s="17"/>
      <c r="D211" s="17"/>
      <c r="E211" s="33"/>
      <c r="F211" s="17">
        <v>2.6237E-2</v>
      </c>
      <c r="G211" s="17">
        <v>3.0397E-2</v>
      </c>
      <c r="H211" s="17">
        <v>6.9740000000000002E-3</v>
      </c>
      <c r="I211" s="185">
        <f t="shared" ref="I211:I230" si="65">(G211-H211)*($T$3*$T$4)</f>
        <v>14.698149918976782</v>
      </c>
      <c r="J211" s="202">
        <f t="shared" ref="J211:J230" si="66">(B211)*($T$3*$T$4)</f>
        <v>0</v>
      </c>
      <c r="K211" s="202">
        <f t="shared" ref="K211:K230" si="67">((((2-0)/(2-D211))*B211+(1-((2-0)/(2-D211)))*C211))*($T$3*$T$4)</f>
        <v>0</v>
      </c>
      <c r="L211" s="186">
        <f t="shared" ref="L211:L230" si="68">(B211+F211)*($T$3*$T$4)</f>
        <v>16.463961039328602</v>
      </c>
      <c r="M211" s="186">
        <f t="shared" ref="M211:M230" si="69">((((2-0)/(2-D211))*B211+(1-((2-0)/(2-D211)))*C211)+F211)*($T$3*$T$4)</f>
        <v>16.463961039328602</v>
      </c>
      <c r="N211" s="187">
        <f t="shared" ref="N211:N230" si="70">(B211+G211)*($T$3*$T$4)</f>
        <v>19.074399653636906</v>
      </c>
      <c r="O211" s="187">
        <f t="shared" ref="O211:O230" si="71">((((2-0)/(2-D211))*B211+(1-((2-0)/(2-D211)))*C211)+G211)*($T$3*$T$4)</f>
        <v>19.074399653636906</v>
      </c>
      <c r="P211" s="188">
        <f t="shared" ref="P211:P230" si="72">(B211+H211)*($T$3*$T$4)</f>
        <v>4.3762497346601243</v>
      </c>
      <c r="Q211" s="188">
        <f t="shared" ref="Q211:Q230" si="73">((((2-0)/(2-D211))*B211+(1-((2-0)/(2-D211)))*C211)+H211)*($T$3*$T$4)</f>
        <v>4.3762497346601243</v>
      </c>
      <c r="T211" t="s">
        <v>852</v>
      </c>
      <c r="AH211">
        <v>19</v>
      </c>
      <c r="AI211" s="6">
        <f t="shared" si="62"/>
        <v>42.228079049756218</v>
      </c>
      <c r="AJ211" s="6">
        <f t="shared" si="63"/>
        <v>43.642968098388046</v>
      </c>
      <c r="AK211">
        <v>54.5</v>
      </c>
      <c r="AQ211" s="6">
        <f t="shared" si="64"/>
        <v>-2.1123975543478051</v>
      </c>
      <c r="AS211">
        <v>-15</v>
      </c>
    </row>
    <row r="212" spans="1:45" x14ac:dyDescent="0.25">
      <c r="A212" s="180" t="s">
        <v>672</v>
      </c>
      <c r="B212" s="17">
        <v>-75.727050269399996</v>
      </c>
      <c r="C212" s="17"/>
      <c r="D212" s="17"/>
      <c r="E212" s="33"/>
      <c r="F212" s="17">
        <v>8.3529999999999993E-3</v>
      </c>
      <c r="G212" s="17">
        <v>1.1658E-2</v>
      </c>
      <c r="H212" s="17">
        <v>-5.5529999999999998E-3</v>
      </c>
      <c r="I212" s="185">
        <f t="shared" si="65"/>
        <v>10.800062257418324</v>
      </c>
      <c r="J212" s="202">
        <f t="shared" si="66"/>
        <v>-47519.426964160535</v>
      </c>
      <c r="K212" s="202">
        <f t="shared" si="67"/>
        <v>-47519.426964160535</v>
      </c>
      <c r="L212" s="186">
        <f t="shared" si="68"/>
        <v>-47514.185379125607</v>
      </c>
      <c r="M212" s="186">
        <f t="shared" si="69"/>
        <v>-47514.185379125607</v>
      </c>
      <c r="N212" s="187">
        <f t="shared" si="70"/>
        <v>-47512.11146094765</v>
      </c>
      <c r="O212" s="187">
        <f t="shared" si="71"/>
        <v>-47512.11146094765</v>
      </c>
      <c r="P212" s="188">
        <f t="shared" si="72"/>
        <v>-47522.911523205075</v>
      </c>
      <c r="Q212" s="188">
        <f t="shared" si="73"/>
        <v>-47522.911523205075</v>
      </c>
      <c r="T212" t="s">
        <v>829</v>
      </c>
      <c r="AH212">
        <v>20</v>
      </c>
      <c r="AI212" s="6">
        <f t="shared" si="62"/>
        <v>42.228079049756218</v>
      </c>
      <c r="AJ212" s="6">
        <f t="shared" si="63"/>
        <v>43.642968098388046</v>
      </c>
      <c r="AK212">
        <v>54.5</v>
      </c>
      <c r="AQ212" s="6">
        <f t="shared" si="64"/>
        <v>-2.1123975543478051</v>
      </c>
      <c r="AS212">
        <v>-15</v>
      </c>
    </row>
    <row r="213" spans="1:45" x14ac:dyDescent="0.25">
      <c r="A213" s="180" t="s">
        <v>439</v>
      </c>
      <c r="B213" s="17">
        <v>-76.4233798124</v>
      </c>
      <c r="C213" s="17"/>
      <c r="D213" s="17"/>
      <c r="E213" s="33"/>
      <c r="F213" s="17">
        <v>2.1045000000000001E-2</v>
      </c>
      <c r="G213" s="17">
        <v>2.4825E-2</v>
      </c>
      <c r="H213" s="17">
        <v>5.7689999999999998E-3</v>
      </c>
      <c r="I213" s="185">
        <f t="shared" si="65"/>
        <v>11.957816883235349</v>
      </c>
      <c r="J213" s="202">
        <f t="shared" si="66"/>
        <v>-47956.380215922763</v>
      </c>
      <c r="K213" s="202">
        <f t="shared" si="67"/>
        <v>-47956.380215922763</v>
      </c>
      <c r="L213" s="186">
        <f t="shared" si="68"/>
        <v>-47943.17428307706</v>
      </c>
      <c r="M213" s="186">
        <f t="shared" si="69"/>
        <v>-47943.17428307706</v>
      </c>
      <c r="N213" s="187">
        <f t="shared" si="70"/>
        <v>-47940.80229799002</v>
      </c>
      <c r="O213" s="187">
        <f t="shared" si="71"/>
        <v>-47940.80229799002</v>
      </c>
      <c r="P213" s="188">
        <f t="shared" si="72"/>
        <v>-47952.760114873257</v>
      </c>
      <c r="Q213" s="188">
        <f t="shared" si="73"/>
        <v>-47952.760114873257</v>
      </c>
      <c r="T213" t="s">
        <v>830</v>
      </c>
      <c r="AI213" s="6"/>
    </row>
    <row r="214" spans="1:45" x14ac:dyDescent="0.25">
      <c r="A214" s="180" t="s">
        <v>725</v>
      </c>
      <c r="B214" s="17">
        <v>-75.059349964600003</v>
      </c>
      <c r="C214" s="17"/>
      <c r="D214" s="17"/>
      <c r="E214" s="33"/>
      <c r="F214" s="17">
        <v>0</v>
      </c>
      <c r="G214" s="17">
        <v>2.3600000000000001E-3</v>
      </c>
      <c r="H214" s="17">
        <v>-1.1932999999999999E-2</v>
      </c>
      <c r="I214" s="185">
        <f t="shared" si="65"/>
        <v>8.9689901717087963</v>
      </c>
      <c r="J214" s="202">
        <f t="shared" si="66"/>
        <v>-47100.438825113582</v>
      </c>
      <c r="K214" s="202">
        <f t="shared" si="67"/>
        <v>-47100.438825113582</v>
      </c>
      <c r="L214" s="186">
        <f t="shared" si="68"/>
        <v>-47100.438825113582</v>
      </c>
      <c r="M214" s="186">
        <f t="shared" si="69"/>
        <v>-47100.438825113582</v>
      </c>
      <c r="N214" s="187">
        <f t="shared" si="70"/>
        <v>-47098.957903207389</v>
      </c>
      <c r="O214" s="187">
        <f t="shared" si="71"/>
        <v>-47098.957903207389</v>
      </c>
      <c r="P214" s="188">
        <f t="shared" si="72"/>
        <v>-47107.926893379095</v>
      </c>
      <c r="Q214" s="188">
        <f t="shared" si="73"/>
        <v>-47107.926893379095</v>
      </c>
      <c r="T214" t="s">
        <v>825</v>
      </c>
    </row>
    <row r="215" spans="1:45" x14ac:dyDescent="0.25">
      <c r="A215" s="180" t="s">
        <v>724</v>
      </c>
      <c r="B215" s="17"/>
      <c r="C215" s="17"/>
      <c r="D215" s="17"/>
      <c r="E215" s="33"/>
      <c r="F215" s="17">
        <v>0</v>
      </c>
      <c r="G215" s="17">
        <v>2.3600000000000001E-3</v>
      </c>
      <c r="H215" s="17">
        <v>-1.1932999999999999E-2</v>
      </c>
      <c r="I215" s="185">
        <f t="shared" si="65"/>
        <v>8.9689901717087963</v>
      </c>
      <c r="J215" s="202">
        <f t="shared" si="66"/>
        <v>0</v>
      </c>
      <c r="K215" s="202">
        <f t="shared" si="67"/>
        <v>0</v>
      </c>
      <c r="L215" s="186">
        <f t="shared" si="68"/>
        <v>0</v>
      </c>
      <c r="M215" s="186">
        <f t="shared" si="69"/>
        <v>0</v>
      </c>
      <c r="N215" s="187">
        <f t="shared" si="70"/>
        <v>1.4809219061941343</v>
      </c>
      <c r="O215" s="187">
        <f t="shared" si="71"/>
        <v>1.4809219061941343</v>
      </c>
      <c r="P215" s="188">
        <f t="shared" si="72"/>
        <v>-7.488068265514662</v>
      </c>
      <c r="Q215" s="188">
        <f t="shared" si="73"/>
        <v>-7.488068265514662</v>
      </c>
      <c r="T215" t="s">
        <v>816</v>
      </c>
    </row>
    <row r="216" spans="1:45" x14ac:dyDescent="0.25">
      <c r="A216" s="180" t="s">
        <v>793</v>
      </c>
      <c r="B216" s="17">
        <v>-151.46110918900001</v>
      </c>
      <c r="C216" s="17">
        <v>-151.46080760999999</v>
      </c>
      <c r="D216" s="17">
        <v>1.0093000000000001</v>
      </c>
      <c r="E216" s="33"/>
      <c r="F216" s="17"/>
      <c r="G216" s="17"/>
      <c r="H216" s="17"/>
      <c r="I216" s="185">
        <f t="shared" si="65"/>
        <v>0</v>
      </c>
      <c r="J216" s="202">
        <f t="shared" si="66"/>
        <v>-95043.251921377887</v>
      </c>
      <c r="K216" s="202">
        <f t="shared" si="67"/>
        <v>-95043.444717973762</v>
      </c>
      <c r="L216" s="186">
        <f t="shared" si="68"/>
        <v>-95043.251921377887</v>
      </c>
      <c r="M216" s="186">
        <f t="shared" si="69"/>
        <v>-95043.444717973762</v>
      </c>
      <c r="N216" s="187">
        <f t="shared" si="70"/>
        <v>-95043.251921377887</v>
      </c>
      <c r="O216" s="187">
        <f t="shared" si="71"/>
        <v>-95043.444717973762</v>
      </c>
      <c r="P216" s="188">
        <f t="shared" si="72"/>
        <v>-95043.251921377887</v>
      </c>
      <c r="Q216" s="188">
        <f t="shared" si="73"/>
        <v>-95043.444717973762</v>
      </c>
      <c r="T216" t="s">
        <v>817</v>
      </c>
    </row>
    <row r="217" spans="1:45" x14ac:dyDescent="0.25">
      <c r="A217" s="180" t="s">
        <v>794</v>
      </c>
      <c r="B217" s="17">
        <v>-151.46119578700001</v>
      </c>
      <c r="C217" s="17"/>
      <c r="D217" s="17"/>
      <c r="E217" s="33"/>
      <c r="F217" s="17">
        <v>1.8631999999999999E-2</v>
      </c>
      <c r="G217" s="17">
        <v>2.4471E-2</v>
      </c>
      <c r="H217" s="17">
        <v>-4.0720000000000001E-3</v>
      </c>
      <c r="I217" s="185">
        <f t="shared" si="65"/>
        <v>17.91099744427931</v>
      </c>
      <c r="J217" s="202">
        <f t="shared" si="66"/>
        <v>-95043.306262426704</v>
      </c>
      <c r="K217" s="202">
        <f t="shared" si="67"/>
        <v>-95043.306262426704</v>
      </c>
      <c r="L217" s="186">
        <f t="shared" si="68"/>
        <v>-95031.614509479157</v>
      </c>
      <c r="M217" s="186">
        <f t="shared" si="69"/>
        <v>-95031.614509479157</v>
      </c>
      <c r="N217" s="187">
        <f t="shared" si="70"/>
        <v>-95027.950482779896</v>
      </c>
      <c r="O217" s="187">
        <f t="shared" si="71"/>
        <v>-95027.950482779896</v>
      </c>
      <c r="P217" s="188">
        <f t="shared" si="72"/>
        <v>-95045.861480224179</v>
      </c>
      <c r="Q217" s="188">
        <f t="shared" si="73"/>
        <v>-95045.861480224179</v>
      </c>
      <c r="T217" t="s">
        <v>826</v>
      </c>
    </row>
    <row r="218" spans="1:45" x14ac:dyDescent="0.25">
      <c r="A218" s="180"/>
      <c r="B218" s="17"/>
      <c r="C218" s="17"/>
      <c r="D218" s="17"/>
      <c r="E218" s="33"/>
      <c r="F218" s="17"/>
      <c r="G218" s="17"/>
      <c r="H218" s="17"/>
      <c r="I218" s="185">
        <f t="shared" si="65"/>
        <v>0</v>
      </c>
      <c r="J218" s="202">
        <f t="shared" si="66"/>
        <v>0</v>
      </c>
      <c r="K218" s="202">
        <f t="shared" si="67"/>
        <v>0</v>
      </c>
      <c r="L218" s="186">
        <f t="shared" si="68"/>
        <v>0</v>
      </c>
      <c r="M218" s="186">
        <f t="shared" si="69"/>
        <v>0</v>
      </c>
      <c r="N218" s="187">
        <f t="shared" si="70"/>
        <v>0</v>
      </c>
      <c r="O218" s="187">
        <f t="shared" si="71"/>
        <v>0</v>
      </c>
      <c r="P218" s="188">
        <f t="shared" si="72"/>
        <v>0</v>
      </c>
      <c r="Q218" s="188">
        <f t="shared" si="73"/>
        <v>0</v>
      </c>
      <c r="T218" t="s">
        <v>224</v>
      </c>
    </row>
    <row r="219" spans="1:45" x14ac:dyDescent="0.25">
      <c r="A219" s="180" t="s">
        <v>746</v>
      </c>
      <c r="B219" s="183">
        <v>-151.46004115100001</v>
      </c>
      <c r="C219" s="17">
        <v>-151.46106391399999</v>
      </c>
      <c r="D219" s="17">
        <v>0.99229999999999996</v>
      </c>
      <c r="E219" s="33">
        <v>217.52</v>
      </c>
      <c r="F219" s="17">
        <v>1.8324E-2</v>
      </c>
      <c r="G219" s="17">
        <v>2.3525000000000001E-2</v>
      </c>
      <c r="H219" s="17">
        <v>-2.7539999999999999E-3</v>
      </c>
      <c r="I219" s="185">
        <f t="shared" si="65"/>
        <v>16.490316429184599</v>
      </c>
      <c r="J219" s="202">
        <f t="shared" si="66"/>
        <v>-95042.581717619047</v>
      </c>
      <c r="K219" s="202">
        <f t="shared" si="67"/>
        <v>-95041.949732437104</v>
      </c>
      <c r="L219" s="186">
        <f t="shared" si="68"/>
        <v>-95031.083237530445</v>
      </c>
      <c r="M219" s="186">
        <f t="shared" si="69"/>
        <v>-95030.451252348503</v>
      </c>
      <c r="N219" s="187">
        <f t="shared" si="70"/>
        <v>-95027.819561753277</v>
      </c>
      <c r="O219" s="187">
        <f t="shared" si="71"/>
        <v>-95027.187576571334</v>
      </c>
      <c r="P219" s="188">
        <f t="shared" si="72"/>
        <v>-95044.309878182466</v>
      </c>
      <c r="Q219" s="188">
        <f t="shared" si="73"/>
        <v>-95043.677893000524</v>
      </c>
    </row>
    <row r="220" spans="1:45" x14ac:dyDescent="0.25">
      <c r="A220" s="180" t="s">
        <v>747</v>
      </c>
      <c r="B220" s="17">
        <v>-151.46102904</v>
      </c>
      <c r="C220" s="17"/>
      <c r="D220" s="17"/>
      <c r="E220" s="33">
        <v>145.66</v>
      </c>
      <c r="F220" s="17">
        <v>1.8526000000000001E-2</v>
      </c>
      <c r="G220" s="17">
        <v>2.3501999999999999E-2</v>
      </c>
      <c r="H220" s="17">
        <v>-3.235E-3</v>
      </c>
      <c r="I220" s="185">
        <f t="shared" si="65"/>
        <v>16.777715680471424</v>
      </c>
      <c r="J220" s="202">
        <f t="shared" si="66"/>
        <v>-95043.201627136412</v>
      </c>
      <c r="K220" s="202">
        <f t="shared" si="67"/>
        <v>-95043.201627136412</v>
      </c>
      <c r="L220" s="186">
        <f t="shared" si="68"/>
        <v>-95031.576390172777</v>
      </c>
      <c r="M220" s="186">
        <f t="shared" si="69"/>
        <v>-95031.576390172777</v>
      </c>
      <c r="N220" s="187">
        <f t="shared" si="70"/>
        <v>-95028.453903984118</v>
      </c>
      <c r="O220" s="187">
        <f t="shared" si="71"/>
        <v>-95028.453903984118</v>
      </c>
      <c r="P220" s="188">
        <f t="shared" si="72"/>
        <v>-95045.231619664599</v>
      </c>
      <c r="Q220" s="188">
        <f t="shared" si="73"/>
        <v>-95045.231619664599</v>
      </c>
    </row>
    <row r="221" spans="1:45" x14ac:dyDescent="0.25">
      <c r="A221" s="180" t="s">
        <v>750</v>
      </c>
      <c r="B221" s="17">
        <v>-151.45815862399999</v>
      </c>
      <c r="C221" s="17"/>
      <c r="D221" s="17"/>
      <c r="E221" s="33"/>
      <c r="F221" s="17">
        <v>2.2603999999999999E-2</v>
      </c>
      <c r="G221" s="17">
        <v>2.6983E-2</v>
      </c>
      <c r="H221" s="17">
        <v>2.4120000000000001E-3</v>
      </c>
      <c r="I221" s="185">
        <f t="shared" si="65"/>
        <v>15.418530575040709</v>
      </c>
      <c r="J221" s="202">
        <f t="shared" si="66"/>
        <v>-95041.400414452379</v>
      </c>
      <c r="K221" s="202">
        <f t="shared" si="67"/>
        <v>-95041.400414452379</v>
      </c>
      <c r="L221" s="186">
        <f t="shared" si="68"/>
        <v>-95027.216194635592</v>
      </c>
      <c r="M221" s="186">
        <f t="shared" si="69"/>
        <v>-95027.216194635592</v>
      </c>
      <c r="N221" s="187">
        <f t="shared" si="70"/>
        <v>-95024.468331488461</v>
      </c>
      <c r="O221" s="187">
        <f t="shared" si="71"/>
        <v>-95024.468331488461</v>
      </c>
      <c r="P221" s="188">
        <f t="shared" si="72"/>
        <v>-95039.886862063518</v>
      </c>
      <c r="Q221" s="188">
        <f t="shared" si="73"/>
        <v>-95039.886862063518</v>
      </c>
    </row>
    <row r="222" spans="1:45" x14ac:dyDescent="0.25">
      <c r="A222" s="180"/>
      <c r="B222" s="17"/>
      <c r="C222" s="17"/>
      <c r="D222" s="17"/>
      <c r="E222" s="33"/>
      <c r="F222" s="17"/>
      <c r="G222" s="17"/>
      <c r="H222" s="17"/>
      <c r="I222" s="185">
        <f t="shared" si="65"/>
        <v>0</v>
      </c>
      <c r="J222" s="202">
        <f t="shared" si="66"/>
        <v>0</v>
      </c>
      <c r="K222" s="202">
        <f t="shared" si="67"/>
        <v>0</v>
      </c>
      <c r="L222" s="186">
        <f t="shared" si="68"/>
        <v>0</v>
      </c>
      <c r="M222" s="186">
        <f t="shared" si="69"/>
        <v>0</v>
      </c>
      <c r="N222" s="187">
        <f t="shared" si="70"/>
        <v>0</v>
      </c>
      <c r="O222" s="187">
        <f t="shared" si="71"/>
        <v>0</v>
      </c>
      <c r="P222" s="188">
        <f t="shared" si="72"/>
        <v>0</v>
      </c>
      <c r="Q222" s="188">
        <f t="shared" si="73"/>
        <v>0</v>
      </c>
      <c r="AA222" t="s">
        <v>808</v>
      </c>
      <c r="AB222" t="s">
        <v>807</v>
      </c>
      <c r="AC222" t="s">
        <v>806</v>
      </c>
      <c r="AD222" t="s">
        <v>805</v>
      </c>
      <c r="AE222" t="s">
        <v>815</v>
      </c>
      <c r="AG222" t="s">
        <v>815</v>
      </c>
      <c r="AI222" t="s">
        <v>815</v>
      </c>
      <c r="AJ222" t="s">
        <v>818</v>
      </c>
      <c r="AK222" t="s">
        <v>818</v>
      </c>
      <c r="AL222" t="s">
        <v>818</v>
      </c>
      <c r="AM222" t="s">
        <v>818</v>
      </c>
    </row>
    <row r="223" spans="1:45" x14ac:dyDescent="0.25">
      <c r="A223" s="180" t="s">
        <v>761</v>
      </c>
      <c r="B223" s="17">
        <v>-151.456749785</v>
      </c>
      <c r="C223" s="17"/>
      <c r="D223" s="17"/>
      <c r="E223" s="33">
        <v>784.07</v>
      </c>
      <c r="F223" s="17">
        <v>1.6056000000000001E-2</v>
      </c>
      <c r="G223" s="17">
        <v>2.0826999999999998E-2</v>
      </c>
      <c r="H223" s="17">
        <v>-5.2110000000000004E-3</v>
      </c>
      <c r="I223" s="185">
        <f t="shared" si="65"/>
        <v>16.339086692153757</v>
      </c>
      <c r="J223" s="202">
        <f t="shared" si="66"/>
        <v>-95040.516354902633</v>
      </c>
      <c r="K223" s="202">
        <f t="shared" si="67"/>
        <v>-95040.516354902633</v>
      </c>
      <c r="L223" s="186">
        <f t="shared" si="68"/>
        <v>-95030.441065866267</v>
      </c>
      <c r="M223" s="186">
        <f t="shared" si="69"/>
        <v>-95030.441065866267</v>
      </c>
      <c r="N223" s="187">
        <f t="shared" si="70"/>
        <v>-95027.447219080481</v>
      </c>
      <c r="O223" s="187">
        <f t="shared" si="71"/>
        <v>-95027.447219080481</v>
      </c>
      <c r="P223" s="188">
        <f t="shared" si="72"/>
        <v>-95043.786305772635</v>
      </c>
      <c r="Q223" s="188">
        <f t="shared" si="73"/>
        <v>-95043.786305772635</v>
      </c>
      <c r="U223" s="6"/>
      <c r="V223" s="1" t="s">
        <v>685</v>
      </c>
      <c r="W223" s="1" t="s">
        <v>684</v>
      </c>
      <c r="X223" t="s">
        <v>224</v>
      </c>
      <c r="Y223" s="1" t="s">
        <v>802</v>
      </c>
      <c r="Z223" s="1" t="s">
        <v>803</v>
      </c>
      <c r="AA223" s="1" t="s">
        <v>804</v>
      </c>
      <c r="AB223" t="s">
        <v>804</v>
      </c>
      <c r="AC223" t="s">
        <v>804</v>
      </c>
      <c r="AD223" t="s">
        <v>804</v>
      </c>
      <c r="AE223" t="s">
        <v>812</v>
      </c>
      <c r="AF223" t="s">
        <v>822</v>
      </c>
      <c r="AG223" t="s">
        <v>821</v>
      </c>
      <c r="AH223" t="s">
        <v>820</v>
      </c>
      <c r="AI223" t="s">
        <v>814</v>
      </c>
      <c r="AJ223" t="s">
        <v>812</v>
      </c>
      <c r="AK223" t="s">
        <v>813</v>
      </c>
      <c r="AL223" t="s">
        <v>820</v>
      </c>
      <c r="AM223" t="s">
        <v>814</v>
      </c>
    </row>
    <row r="224" spans="1:45" x14ac:dyDescent="0.25">
      <c r="A224" s="180" t="s">
        <v>763</v>
      </c>
      <c r="B224" s="17">
        <v>-151.48633527499999</v>
      </c>
      <c r="C224" s="17"/>
      <c r="D224" s="17"/>
      <c r="E224" s="33"/>
      <c r="F224" s="17">
        <v>2.2093000000000002E-2</v>
      </c>
      <c r="G224" s="17">
        <v>2.7744999999999999E-2</v>
      </c>
      <c r="H224" s="17">
        <v>-9.1600000000000004E-4</v>
      </c>
      <c r="I224" s="185">
        <f t="shared" si="65"/>
        <v>17.985043539589018</v>
      </c>
      <c r="J224" s="202">
        <f t="shared" si="66"/>
        <v>-95059.081524498601</v>
      </c>
      <c r="K224" s="202">
        <f t="shared" si="67"/>
        <v>-95059.081524498601</v>
      </c>
      <c r="L224" s="186">
        <f t="shared" si="68"/>
        <v>-95045.217961925053</v>
      </c>
      <c r="M224" s="186">
        <f t="shared" si="69"/>
        <v>-95045.217961925053</v>
      </c>
      <c r="N224" s="187">
        <f t="shared" si="70"/>
        <v>-95041.671279461574</v>
      </c>
      <c r="O224" s="187">
        <f t="shared" si="71"/>
        <v>-95041.671279461574</v>
      </c>
      <c r="P224" s="188">
        <f t="shared" si="72"/>
        <v>-95059.656323001167</v>
      </c>
      <c r="Q224" s="188">
        <f t="shared" si="73"/>
        <v>-95059.656323001167</v>
      </c>
      <c r="T224" t="s">
        <v>162</v>
      </c>
      <c r="U224">
        <v>0</v>
      </c>
      <c r="V224" s="1">
        <v>0</v>
      </c>
      <c r="W224" s="1">
        <v>0</v>
      </c>
      <c r="X224">
        <v>0</v>
      </c>
      <c r="Y224" s="1">
        <v>0</v>
      </c>
      <c r="Z224" s="1">
        <v>0</v>
      </c>
      <c r="AA224" s="1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 s="180"/>
      <c r="B225" s="17"/>
      <c r="C225" s="17"/>
      <c r="D225" s="17"/>
      <c r="E225" s="33"/>
      <c r="F225" s="17"/>
      <c r="G225" s="17"/>
      <c r="H225" s="17"/>
      <c r="I225" s="185">
        <f t="shared" si="65"/>
        <v>0</v>
      </c>
      <c r="J225" s="202">
        <f t="shared" si="66"/>
        <v>0</v>
      </c>
      <c r="K225" s="202">
        <f t="shared" si="67"/>
        <v>0</v>
      </c>
      <c r="L225" s="186">
        <f t="shared" si="68"/>
        <v>0</v>
      </c>
      <c r="M225" s="186">
        <f t="shared" si="69"/>
        <v>0</v>
      </c>
      <c r="N225" s="187">
        <f t="shared" si="70"/>
        <v>0</v>
      </c>
      <c r="O225" s="187">
        <f t="shared" si="71"/>
        <v>0</v>
      </c>
      <c r="P225" s="188">
        <f t="shared" si="72"/>
        <v>0</v>
      </c>
      <c r="Q225" s="188">
        <f t="shared" si="73"/>
        <v>0</v>
      </c>
      <c r="T225" t="s">
        <v>162</v>
      </c>
      <c r="U225">
        <v>1</v>
      </c>
      <c r="V225" s="1">
        <v>0</v>
      </c>
      <c r="W225" s="1">
        <v>0</v>
      </c>
      <c r="X225">
        <v>0</v>
      </c>
      <c r="Y225" s="1">
        <v>0</v>
      </c>
      <c r="Z225" s="1">
        <v>0</v>
      </c>
      <c r="AA225" s="1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 s="180" t="s">
        <v>796</v>
      </c>
      <c r="B226" s="17">
        <v>-151.44370244199999</v>
      </c>
      <c r="C226" s="17"/>
      <c r="D226" s="17"/>
      <c r="E226" s="33">
        <v>2029.13</v>
      </c>
      <c r="F226" s="17">
        <v>1.7392000000000001E-2</v>
      </c>
      <c r="G226" s="17">
        <v>2.1621999999999999E-2</v>
      </c>
      <c r="H226" s="17">
        <v>-3.4099999999999998E-3</v>
      </c>
      <c r="I226" s="185">
        <f t="shared" si="65"/>
        <v>15.707812354174392</v>
      </c>
      <c r="J226" s="202">
        <f t="shared" si="66"/>
        <v>-95032.329026060965</v>
      </c>
      <c r="K226" s="202">
        <f t="shared" si="67"/>
        <v>-95032.329026060965</v>
      </c>
      <c r="L226" s="186">
        <f t="shared" si="68"/>
        <v>-95021.415384623455</v>
      </c>
      <c r="M226" s="186">
        <f t="shared" si="69"/>
        <v>-95021.415384623455</v>
      </c>
      <c r="N226" s="187">
        <f t="shared" si="70"/>
        <v>-95018.761020359379</v>
      </c>
      <c r="O226" s="187">
        <f t="shared" si="71"/>
        <v>-95018.761020359379</v>
      </c>
      <c r="P226" s="188">
        <f t="shared" si="72"/>
        <v>-95034.468832713566</v>
      </c>
      <c r="Q226" s="188">
        <f t="shared" si="73"/>
        <v>-95034.468832713566</v>
      </c>
      <c r="T226" t="s">
        <v>752</v>
      </c>
      <c r="U226">
        <v>2</v>
      </c>
      <c r="V226" s="1">
        <f>J191-J180</f>
        <v>47.581644340447383</v>
      </c>
      <c r="W226" s="1">
        <f>K191-K180</f>
        <v>48.082545035955263</v>
      </c>
      <c r="Y226" s="1">
        <f>L191-L180</f>
        <v>43.415610215350171</v>
      </c>
      <c r="Z226" s="1">
        <f>M191-M180</f>
        <v>43.916510910858051</v>
      </c>
      <c r="AA226">
        <v>47.67</v>
      </c>
      <c r="AE226" s="1">
        <f>J219-J210</f>
        <v>45.981026921173907</v>
      </c>
      <c r="AF226" s="1">
        <f>K219-K210</f>
        <v>46.613012103116489</v>
      </c>
      <c r="AG226" s="1">
        <f>J249-J241</f>
        <v>48.013374491725699</v>
      </c>
      <c r="AH226" s="1">
        <f>K249-K241</f>
        <v>47.962534641686943</v>
      </c>
      <c r="AI226" s="1">
        <f>J286-J278</f>
        <v>40.497301741954288</v>
      </c>
      <c r="AJ226" s="1">
        <f>L219-L210</f>
        <v>41.015545970440144</v>
      </c>
      <c r="AK226" s="1">
        <f>L249-L241</f>
        <v>43.047893541006488</v>
      </c>
      <c r="AL226" s="1">
        <f>M249-M241</f>
        <v>42.99705369095318</v>
      </c>
      <c r="AM226" s="1">
        <f>L286-L278</f>
        <v>35.531820791220525</v>
      </c>
    </row>
    <row r="227" spans="1:39" x14ac:dyDescent="0.25">
      <c r="A227" s="180" t="s">
        <v>797</v>
      </c>
      <c r="B227" s="17">
        <v>-151.48630803200001</v>
      </c>
      <c r="C227" s="17"/>
      <c r="D227" s="17"/>
      <c r="E227" s="33"/>
      <c r="F227" s="17">
        <v>2.2141999999999998E-2</v>
      </c>
      <c r="G227" s="17">
        <v>2.7723000000000001E-2</v>
      </c>
      <c r="H227" s="17">
        <v>-6.6799999999999997E-4</v>
      </c>
      <c r="I227" s="185">
        <f t="shared" si="65"/>
        <v>17.815616033371892</v>
      </c>
      <c r="J227" s="202">
        <f t="shared" si="66"/>
        <v>-95059.064429263235</v>
      </c>
      <c r="K227" s="202">
        <f t="shared" si="67"/>
        <v>-95059.064429263235</v>
      </c>
      <c r="L227" s="186">
        <f t="shared" si="68"/>
        <v>-95045.170118734866</v>
      </c>
      <c r="M227" s="186">
        <f t="shared" si="69"/>
        <v>-95045.170118734866</v>
      </c>
      <c r="N227" s="187">
        <f t="shared" si="70"/>
        <v>-95041.667989430425</v>
      </c>
      <c r="O227" s="187">
        <f t="shared" si="71"/>
        <v>-95041.667989430425</v>
      </c>
      <c r="P227" s="188">
        <f t="shared" si="72"/>
        <v>-95059.4836054638</v>
      </c>
      <c r="Q227" s="188">
        <f t="shared" si="73"/>
        <v>-95059.4836054638</v>
      </c>
      <c r="T227" t="s">
        <v>752</v>
      </c>
      <c r="U227">
        <v>3</v>
      </c>
      <c r="V227" s="1">
        <f>J191-J180</f>
        <v>47.581644340447383</v>
      </c>
      <c r="W227" s="1">
        <f>K191-K180</f>
        <v>48.082545035955263</v>
      </c>
      <c r="Y227" s="1">
        <f>L191-L180</f>
        <v>43.415610215350171</v>
      </c>
      <c r="Z227" s="1">
        <f>M191-M180</f>
        <v>43.916510910858051</v>
      </c>
      <c r="AA227">
        <v>47.67</v>
      </c>
      <c r="AE227" s="1">
        <f>J219-J210</f>
        <v>45.981026921173907</v>
      </c>
      <c r="AF227" s="1">
        <f>K219-K210</f>
        <v>46.613012103116489</v>
      </c>
      <c r="AG227" s="1">
        <f>J249-J241</f>
        <v>48.013374491725699</v>
      </c>
      <c r="AH227" s="1">
        <f>K249-K241</f>
        <v>47.962534641686943</v>
      </c>
      <c r="AI227" s="1">
        <f>J286-J278</f>
        <v>40.497301741954288</v>
      </c>
      <c r="AJ227" s="1">
        <f>L219-L210</f>
        <v>41.015545970440144</v>
      </c>
      <c r="AK227" s="1">
        <f>L249-L241</f>
        <v>43.047893541006488</v>
      </c>
      <c r="AL227" s="1">
        <f>M249-M241</f>
        <v>42.99705369095318</v>
      </c>
      <c r="AM227" s="1">
        <f>L286-L278</f>
        <v>35.531820791220525</v>
      </c>
    </row>
    <row r="228" spans="1:39" x14ac:dyDescent="0.25">
      <c r="A228" s="180" t="s">
        <v>835</v>
      </c>
      <c r="B228" s="17"/>
      <c r="C228" s="17"/>
      <c r="D228" s="17"/>
      <c r="E228" s="33"/>
      <c r="F228" s="17"/>
      <c r="G228" s="17"/>
      <c r="H228" s="17"/>
      <c r="I228" s="185">
        <f t="shared" si="65"/>
        <v>0</v>
      </c>
      <c r="J228" s="202">
        <f t="shared" si="66"/>
        <v>0</v>
      </c>
      <c r="K228" s="202">
        <f t="shared" si="67"/>
        <v>0</v>
      </c>
      <c r="L228" s="186">
        <f t="shared" si="68"/>
        <v>0</v>
      </c>
      <c r="M228" s="186">
        <f t="shared" si="69"/>
        <v>0</v>
      </c>
      <c r="N228" s="187">
        <f t="shared" si="70"/>
        <v>0</v>
      </c>
      <c r="O228" s="187">
        <f t="shared" si="71"/>
        <v>0</v>
      </c>
      <c r="P228" s="188">
        <f t="shared" si="72"/>
        <v>0</v>
      </c>
      <c r="Q228" s="188">
        <f t="shared" si="73"/>
        <v>0</v>
      </c>
      <c r="T228" t="s">
        <v>757</v>
      </c>
      <c r="U228">
        <v>4</v>
      </c>
      <c r="V228" s="1">
        <f>J186-J180</f>
        <v>46.860316145379329</v>
      </c>
      <c r="W228" s="1">
        <f>K186-K180</f>
        <v>46.663703877347871</v>
      </c>
      <c r="Y228" s="1">
        <f>L186-L180</f>
        <v>42.694282020282117</v>
      </c>
      <c r="Z228" s="1">
        <f>M186-M180</f>
        <v>42.497669752250658</v>
      </c>
      <c r="AA228" s="1">
        <v>47.31</v>
      </c>
      <c r="AE228" s="1">
        <f>J216-J210</f>
        <v>45.310823162333691</v>
      </c>
      <c r="AF228" s="1">
        <f>K216-K210</f>
        <v>45.118026566458866</v>
      </c>
      <c r="AG228" s="1">
        <f>J246-J241</f>
        <v>47.523098351928638</v>
      </c>
      <c r="AH228" s="1">
        <f>K246-K241</f>
        <v>47.528230207579327</v>
      </c>
      <c r="AI228" s="1">
        <f>J283-J278</f>
        <v>39.365495879974333</v>
      </c>
      <c r="AJ228" s="1">
        <f>L216-L210</f>
        <v>28.846862122998573</v>
      </c>
      <c r="AK228" s="1">
        <f>L246-L241</f>
        <v>43.016954195831204</v>
      </c>
      <c r="AL228" s="1">
        <f>M246-M241</f>
        <v>43.022086051481892</v>
      </c>
      <c r="AM228" s="1">
        <f>L283-L278</f>
        <v>34.85935172389145</v>
      </c>
    </row>
    <row r="229" spans="1:39" x14ac:dyDescent="0.25">
      <c r="A229" s="180" t="s">
        <v>836</v>
      </c>
      <c r="B229" s="17"/>
      <c r="C229" s="17"/>
      <c r="D229" s="17"/>
      <c r="E229" s="33"/>
      <c r="F229" s="17"/>
      <c r="G229" s="17"/>
      <c r="H229" s="17"/>
      <c r="I229" s="185">
        <f t="shared" si="65"/>
        <v>0</v>
      </c>
      <c r="J229" s="202">
        <f t="shared" si="66"/>
        <v>0</v>
      </c>
      <c r="K229" s="202">
        <f t="shared" si="67"/>
        <v>0</v>
      </c>
      <c r="L229" s="186">
        <f t="shared" si="68"/>
        <v>0</v>
      </c>
      <c r="M229" s="186">
        <f t="shared" si="69"/>
        <v>0</v>
      </c>
      <c r="N229" s="187">
        <f t="shared" si="70"/>
        <v>0</v>
      </c>
      <c r="O229" s="187">
        <f t="shared" si="71"/>
        <v>0</v>
      </c>
      <c r="P229" s="188">
        <f t="shared" si="72"/>
        <v>0</v>
      </c>
      <c r="Q229" s="188">
        <f t="shared" si="73"/>
        <v>0</v>
      </c>
      <c r="T229" t="s">
        <v>757</v>
      </c>
      <c r="U229">
        <v>5</v>
      </c>
      <c r="V229" s="1">
        <f>J186-J180</f>
        <v>46.860316145379329</v>
      </c>
      <c r="W229" s="1">
        <f>K186-K180</f>
        <v>46.663703877347871</v>
      </c>
      <c r="Y229" s="1">
        <f>L186-L180</f>
        <v>42.694282020282117</v>
      </c>
      <c r="Z229" s="1">
        <f>M186-M180</f>
        <v>42.497669752250658</v>
      </c>
      <c r="AA229" s="1">
        <v>47.31</v>
      </c>
      <c r="AE229" s="1">
        <f>J216-J210</f>
        <v>45.310823162333691</v>
      </c>
      <c r="AF229" s="1">
        <f>K216-K210</f>
        <v>45.118026566458866</v>
      </c>
      <c r="AG229" s="1">
        <f>J246-J241</f>
        <v>47.523098351928638</v>
      </c>
      <c r="AH229" s="1">
        <f>K246-K241</f>
        <v>47.528230207579327</v>
      </c>
      <c r="AI229" s="1">
        <f>J283-J278</f>
        <v>39.365495879974333</v>
      </c>
      <c r="AJ229" s="1">
        <f>L216-L210</f>
        <v>28.846862122998573</v>
      </c>
      <c r="AK229" s="1">
        <f>L246-L241</f>
        <v>43.016954195831204</v>
      </c>
      <c r="AL229" s="1">
        <f>M246-M241</f>
        <v>43.022086051481892</v>
      </c>
      <c r="AM229" s="1">
        <f>L283-L278</f>
        <v>34.85935172389145</v>
      </c>
    </row>
    <row r="230" spans="1:39" x14ac:dyDescent="0.25">
      <c r="A230" s="180"/>
      <c r="B230" s="17"/>
      <c r="C230" s="17"/>
      <c r="D230" s="17"/>
      <c r="E230" s="33"/>
      <c r="F230" s="17"/>
      <c r="G230" s="17"/>
      <c r="H230" s="17"/>
      <c r="I230" s="185">
        <f t="shared" si="65"/>
        <v>0</v>
      </c>
      <c r="J230" s="202">
        <f t="shared" si="66"/>
        <v>0</v>
      </c>
      <c r="K230" s="202">
        <f t="shared" si="67"/>
        <v>0</v>
      </c>
      <c r="L230" s="186">
        <f t="shared" si="68"/>
        <v>0</v>
      </c>
      <c r="M230" s="186">
        <f t="shared" si="69"/>
        <v>0</v>
      </c>
      <c r="N230" s="187">
        <f t="shared" si="70"/>
        <v>0</v>
      </c>
      <c r="O230" s="187">
        <f t="shared" si="71"/>
        <v>0</v>
      </c>
      <c r="P230" s="188">
        <f t="shared" si="72"/>
        <v>0</v>
      </c>
      <c r="Q230" s="188">
        <f t="shared" si="73"/>
        <v>0</v>
      </c>
      <c r="T230" t="s">
        <v>743</v>
      </c>
      <c r="U230">
        <v>6</v>
      </c>
      <c r="V230" s="1">
        <f>2*J182-J180</f>
        <v>50.644504597119521</v>
      </c>
      <c r="W230" s="1">
        <f>2*K182-K180</f>
        <v>50.644504597119521</v>
      </c>
      <c r="X230" s="1">
        <f>(2*(-75.649756)--151.378801)*($T$3*$T$4)</f>
        <v>49.754583483157603</v>
      </c>
      <c r="Y230" s="1">
        <f>2*L182-L180</f>
        <v>45.003823658640613</v>
      </c>
      <c r="Z230" s="1">
        <f>2*M182-M180</f>
        <v>45.003823658640613</v>
      </c>
      <c r="AA230" s="1">
        <v>51.2</v>
      </c>
      <c r="AB230">
        <v>54.4</v>
      </c>
      <c r="AC230">
        <v>52.2</v>
      </c>
      <c r="AD230" s="1">
        <v>45.4</v>
      </c>
      <c r="AE230" s="1">
        <f>2*J212-J210</f>
        <v>49.708816219150322</v>
      </c>
      <c r="AF230" s="1">
        <f>2*K212-K210</f>
        <v>49.708816219150322</v>
      </c>
      <c r="AG230" s="1">
        <f>2*J242-J241</f>
        <v>51.508953226759331</v>
      </c>
      <c r="AH230" s="1">
        <f>2*K242-K241</f>
        <v>51.508953226759331</v>
      </c>
      <c r="AI230" s="1"/>
      <c r="AJ230" s="1">
        <f>2*L212-L210</f>
        <v>43.728025249671191</v>
      </c>
      <c r="AK230" s="1">
        <f>2*N242-N241</f>
        <v>47.065559998896788</v>
      </c>
      <c r="AL230" s="1">
        <f>2*M242-M241</f>
        <v>45.528162257294753</v>
      </c>
      <c r="AM230" s="1"/>
    </row>
    <row r="231" spans="1:39" x14ac:dyDescent="0.25">
      <c r="T231" t="s">
        <v>743</v>
      </c>
      <c r="U231">
        <v>7</v>
      </c>
      <c r="V231" s="1">
        <f>2*J182-J180</f>
        <v>50.644504597119521</v>
      </c>
      <c r="W231" s="1">
        <f>2*K182-K180</f>
        <v>50.644504597119521</v>
      </c>
      <c r="X231" s="1">
        <f>(2*(-75.649756)--151.378801)*($T$3*$T$4)</f>
        <v>49.754583483157603</v>
      </c>
      <c r="Y231" s="1">
        <f>2*L182-L180</f>
        <v>45.003823658640613</v>
      </c>
      <c r="Z231" s="1">
        <f>2*M182-M180</f>
        <v>45.003823658640613</v>
      </c>
      <c r="AA231" s="1">
        <v>51.2</v>
      </c>
      <c r="AB231">
        <v>54.4</v>
      </c>
      <c r="AC231">
        <v>52.2</v>
      </c>
      <c r="AD231" s="1">
        <v>45.4</v>
      </c>
      <c r="AE231" s="1">
        <f>2*J212-J210</f>
        <v>49.708816219150322</v>
      </c>
      <c r="AF231" s="1">
        <f>2*K212-K210</f>
        <v>49.708816219150322</v>
      </c>
      <c r="AG231" s="1">
        <f>2*J242-J241</f>
        <v>51.508953226759331</v>
      </c>
      <c r="AH231" s="1">
        <f>2*K242-K241</f>
        <v>51.508953226759331</v>
      </c>
      <c r="AI231" s="1"/>
      <c r="AJ231" s="1">
        <f>2*L212-L210</f>
        <v>43.728025249671191</v>
      </c>
      <c r="AK231" s="1">
        <f>2*L242-L241</f>
        <v>45.528162257294753</v>
      </c>
      <c r="AL231" s="1">
        <f>2*M242-M241</f>
        <v>45.528162257294753</v>
      </c>
      <c r="AM231" s="1"/>
    </row>
    <row r="232" spans="1:39" x14ac:dyDescent="0.25">
      <c r="T232" t="s">
        <v>843</v>
      </c>
      <c r="U232">
        <v>8</v>
      </c>
      <c r="V232" s="6">
        <f>J189-J180</f>
        <v>46.957096901984187</v>
      </c>
      <c r="W232" s="1">
        <f>K189-K180</f>
        <v>47.141614709602436</v>
      </c>
      <c r="AD232" s="1"/>
      <c r="AE232" s="1"/>
      <c r="AF232" s="1"/>
      <c r="AG232" s="1"/>
      <c r="AH232" s="1"/>
      <c r="AI232" s="1"/>
    </row>
    <row r="233" spans="1:39" x14ac:dyDescent="0.25">
      <c r="T233" t="s">
        <v>843</v>
      </c>
      <c r="U233">
        <v>9</v>
      </c>
      <c r="V233" s="6">
        <f>J189-J180</f>
        <v>46.957096901984187</v>
      </c>
      <c r="W233" s="1">
        <f>K189-K180</f>
        <v>47.141614709602436</v>
      </c>
    </row>
    <row r="234" spans="1:39" x14ac:dyDescent="0.25">
      <c r="T234" t="s">
        <v>846</v>
      </c>
      <c r="U234">
        <v>10</v>
      </c>
      <c r="V234" s="6">
        <f>J201-J180</f>
        <v>58.321760636143154</v>
      </c>
      <c r="W234" s="1">
        <f>K201-K180</f>
        <v>63.001407168325386</v>
      </c>
    </row>
    <row r="235" spans="1:39" x14ac:dyDescent="0.25">
      <c r="T235" t="s">
        <v>846</v>
      </c>
      <c r="U235">
        <v>11</v>
      </c>
      <c r="V235" s="6">
        <f>J201-J180</f>
        <v>58.321760636143154</v>
      </c>
      <c r="W235" s="1">
        <f>K201-K180</f>
        <v>63.001407168325386</v>
      </c>
    </row>
    <row r="236" spans="1:39" x14ac:dyDescent="0.25">
      <c r="T236" t="s">
        <v>848</v>
      </c>
      <c r="U236">
        <v>12</v>
      </c>
      <c r="V236" s="6">
        <f>J203-J180</f>
        <v>50.671192566893296</v>
      </c>
      <c r="W236" s="1">
        <f>K203-K180</f>
        <v>66.911139076997642</v>
      </c>
    </row>
    <row r="237" spans="1:39" x14ac:dyDescent="0.25">
      <c r="T237" t="s">
        <v>848</v>
      </c>
      <c r="U237">
        <v>13</v>
      </c>
      <c r="V237" s="6">
        <f>J203-J180</f>
        <v>50.671192566893296</v>
      </c>
      <c r="W237" s="1">
        <f>K203-K180</f>
        <v>66.911139076997642</v>
      </c>
    </row>
    <row r="238" spans="1:39" x14ac:dyDescent="0.25">
      <c r="T238" t="s">
        <v>849</v>
      </c>
      <c r="U238">
        <v>14</v>
      </c>
      <c r="V238" s="6">
        <f>(J185+J183)-J180</f>
        <v>52.362367733207066</v>
      </c>
      <c r="W238" s="1">
        <f>(K185+K183)-K180</f>
        <v>68.567474243202014</v>
      </c>
    </row>
    <row r="239" spans="1:39" x14ac:dyDescent="0.25">
      <c r="A239" s="15" t="s">
        <v>810</v>
      </c>
      <c r="B239" s="15"/>
      <c r="C239" s="15"/>
      <c r="D239" s="15"/>
      <c r="E239" s="15"/>
      <c r="F239" s="15"/>
      <c r="G239" s="15"/>
      <c r="T239" t="s">
        <v>849</v>
      </c>
      <c r="U239">
        <v>15</v>
      </c>
      <c r="V239" s="6">
        <f>(J185+J183)-J180</f>
        <v>52.362367733207066</v>
      </c>
      <c r="W239" s="1">
        <f>(K185+K183)-K180</f>
        <v>68.567474243202014</v>
      </c>
    </row>
    <row r="240" spans="1:39" ht="60" x14ac:dyDescent="0.25">
      <c r="A240" s="167" t="s">
        <v>482</v>
      </c>
      <c r="B240" s="179" t="s">
        <v>667</v>
      </c>
      <c r="C240" s="179" t="s">
        <v>668</v>
      </c>
      <c r="D240" s="167" t="s">
        <v>669</v>
      </c>
      <c r="E240" s="179" t="s">
        <v>489</v>
      </c>
      <c r="F240" s="179" t="s">
        <v>484</v>
      </c>
      <c r="G240" s="179" t="s">
        <v>485</v>
      </c>
      <c r="H240" s="179" t="s">
        <v>486</v>
      </c>
      <c r="I240" s="179" t="s">
        <v>499</v>
      </c>
      <c r="J240" s="201" t="s">
        <v>800</v>
      </c>
      <c r="K240" s="201" t="s">
        <v>801</v>
      </c>
      <c r="L240" s="191" t="s">
        <v>648</v>
      </c>
      <c r="M240" s="191" t="s">
        <v>652</v>
      </c>
      <c r="N240" s="192" t="s">
        <v>651</v>
      </c>
      <c r="O240" s="192" t="s">
        <v>653</v>
      </c>
      <c r="P240" s="193" t="s">
        <v>649</v>
      </c>
      <c r="Q240" s="193" t="s">
        <v>650</v>
      </c>
      <c r="T240" t="s">
        <v>757</v>
      </c>
      <c r="U240">
        <v>4</v>
      </c>
      <c r="V240" s="6">
        <f>J186-J180</f>
        <v>46.860316145379329</v>
      </c>
      <c r="W240" s="1">
        <f>K186-K180</f>
        <v>46.663703877347871</v>
      </c>
    </row>
    <row r="241" spans="1:52" x14ac:dyDescent="0.25">
      <c r="A241" s="180" t="s">
        <v>162</v>
      </c>
      <c r="B241" s="17">
        <v>-151.58189038200001</v>
      </c>
      <c r="C241" s="17"/>
      <c r="D241" s="17"/>
      <c r="E241" s="33"/>
      <c r="F241" s="17">
        <v>2.6237E-2</v>
      </c>
      <c r="G241" s="17">
        <v>3.0397E-2</v>
      </c>
      <c r="H241" s="17">
        <v>6.9740000000000002E-3</v>
      </c>
      <c r="I241" s="185">
        <f t="shared" ref="I241:I253" si="74">(G241-H241)*($T$3*$T$4)</f>
        <v>14.698149918976782</v>
      </c>
      <c r="J241" s="202">
        <f>(B241)*($T$3*$T$4)</f>
        <v>-95119.043241110921</v>
      </c>
      <c r="K241" s="202">
        <f>((((2-0)/(2-D241))*B241+(1-((2-0)/(2-D241)))*C241))*($T$3*$T$4)</f>
        <v>-95119.043241110921</v>
      </c>
      <c r="L241" s="186">
        <f t="shared" ref="L241:L260" si="75">(B241+F241)*($T$3*$T$4)</f>
        <v>-95102.579280071586</v>
      </c>
      <c r="M241" s="186">
        <f t="shared" ref="M241:M260" si="76">((((2-0)/(2-D241))*B241+(1-((2-0)/(2-D241)))*C241)+F241)*($T$3*$T$4)</f>
        <v>-95102.579280071586</v>
      </c>
      <c r="N241" s="187">
        <f t="shared" ref="N241:N260" si="77">(B241+G241)*($T$3*$T$4)</f>
        <v>-95099.968841457288</v>
      </c>
      <c r="O241" s="187">
        <f t="shared" ref="O241:O260" si="78">((((2-0)/(2-D241))*B241+(1-((2-0)/(2-D241)))*C241)+G241)*($T$3*$T$4)</f>
        <v>-95099.968841457288</v>
      </c>
      <c r="P241" s="188">
        <f t="shared" ref="P241:P260" si="79">(B241+H241)*($T$3*$T$4)</f>
        <v>-95114.666991376245</v>
      </c>
      <c r="Q241" s="188">
        <f t="shared" ref="Q241:Q260" si="80">((((2-0)/(2-D241))*B241+(1-((2-0)/(2-D241)))*C241)+H241)*($T$3*$T$4)</f>
        <v>-95114.666991376245</v>
      </c>
      <c r="T241" t="s">
        <v>757</v>
      </c>
      <c r="U241">
        <v>5</v>
      </c>
      <c r="V241" s="6">
        <f>J186-J180</f>
        <v>46.860316145379329</v>
      </c>
      <c r="W241" s="1">
        <f>K186-K180</f>
        <v>46.663703877347871</v>
      </c>
    </row>
    <row r="242" spans="1:52" x14ac:dyDescent="0.25">
      <c r="A242" s="180" t="s">
        <v>672</v>
      </c>
      <c r="B242" s="17">
        <v>-75.749902807500007</v>
      </c>
      <c r="C242" s="17"/>
      <c r="D242" s="17"/>
      <c r="E242" s="33"/>
      <c r="F242" s="17">
        <v>8.3529999999999993E-3</v>
      </c>
      <c r="G242" s="17">
        <v>1.1658E-2</v>
      </c>
      <c r="H242" s="17">
        <v>-5.5529999999999998E-3</v>
      </c>
      <c r="I242" s="185">
        <f t="shared" si="74"/>
        <v>10.800062257418324</v>
      </c>
      <c r="J242" s="202">
        <f t="shared" ref="J242:J260" si="81">(B242)*($T$3*$T$4)</f>
        <v>-47533.767143942081</v>
      </c>
      <c r="K242" s="202">
        <f t="shared" ref="K242:K260" si="82">((((2-0)/(2-D242))*B242+(1-((2-0)/(2-D242)))*C242))*($T$3*$T$4)</f>
        <v>-47533.767143942081</v>
      </c>
      <c r="L242" s="186">
        <f t="shared" si="75"/>
        <v>-47528.525558907146</v>
      </c>
      <c r="M242" s="186">
        <f t="shared" si="76"/>
        <v>-47528.525558907146</v>
      </c>
      <c r="N242" s="187">
        <f t="shared" si="77"/>
        <v>-47526.451640729196</v>
      </c>
      <c r="O242" s="187">
        <f t="shared" si="78"/>
        <v>-47526.451640729196</v>
      </c>
      <c r="P242" s="188">
        <f t="shared" si="79"/>
        <v>-47537.251702986614</v>
      </c>
      <c r="Q242" s="188">
        <f t="shared" si="80"/>
        <v>-47537.251702986614</v>
      </c>
      <c r="T242" t="s">
        <v>833</v>
      </c>
      <c r="U242">
        <v>6</v>
      </c>
      <c r="V242" s="6">
        <f>J204-J180</f>
        <v>57.341522111193626</v>
      </c>
      <c r="W242" s="1">
        <f>K204-K180</f>
        <v>68.091054100412293</v>
      </c>
    </row>
    <row r="243" spans="1:52" x14ac:dyDescent="0.25">
      <c r="A243" s="180" t="s">
        <v>439</v>
      </c>
      <c r="B243" s="17">
        <v>-76.448147286400001</v>
      </c>
      <c r="C243" s="17"/>
      <c r="D243" s="17"/>
      <c r="E243" s="33"/>
      <c r="F243" s="17">
        <v>2.1045000000000001E-2</v>
      </c>
      <c r="G243" s="17">
        <v>2.4825E-2</v>
      </c>
      <c r="H243" s="17">
        <v>5.7689999999999998E-3</v>
      </c>
      <c r="I243" s="185">
        <f t="shared" si="74"/>
        <v>11.957816883235349</v>
      </c>
      <c r="J243" s="202">
        <f t="shared" si="81"/>
        <v>-47971.922035756535</v>
      </c>
      <c r="K243" s="202">
        <f t="shared" si="82"/>
        <v>-47971.922035756535</v>
      </c>
      <c r="L243" s="186">
        <f t="shared" si="75"/>
        <v>-47958.716102910832</v>
      </c>
      <c r="M243" s="186">
        <f t="shared" si="76"/>
        <v>-47958.716102910832</v>
      </c>
      <c r="N243" s="187">
        <f t="shared" si="77"/>
        <v>-47956.344117823792</v>
      </c>
      <c r="O243" s="187">
        <f t="shared" si="78"/>
        <v>-47956.344117823792</v>
      </c>
      <c r="P243" s="188">
        <f t="shared" si="79"/>
        <v>-47968.301934707029</v>
      </c>
      <c r="Q243" s="188">
        <f t="shared" si="80"/>
        <v>-47968.301934707029</v>
      </c>
      <c r="T243" t="s">
        <v>833</v>
      </c>
      <c r="U243">
        <v>7</v>
      </c>
      <c r="V243" s="6">
        <f>J204-J180</f>
        <v>57.341522111193626</v>
      </c>
      <c r="W243" s="1">
        <f>K204-K180</f>
        <v>68.091054100412293</v>
      </c>
      <c r="AE243" t="s">
        <v>850</v>
      </c>
      <c r="AF243" s="2">
        <f>70*1.6*10^-19*10^-3</f>
        <v>1.1199999999999999E-20</v>
      </c>
    </row>
    <row r="244" spans="1:52" x14ac:dyDescent="0.25">
      <c r="A244" s="180" t="s">
        <v>725</v>
      </c>
      <c r="B244" s="17">
        <v>-75.080494016399996</v>
      </c>
      <c r="C244" s="17"/>
      <c r="D244" s="17"/>
      <c r="E244" s="33"/>
      <c r="F244" s="17">
        <v>0</v>
      </c>
      <c r="G244" s="17">
        <v>2.3600000000000001E-3</v>
      </c>
      <c r="H244" s="17">
        <v>-1.1932999999999999E-2</v>
      </c>
      <c r="I244" s="185">
        <f t="shared" si="74"/>
        <v>8.9689901717087963</v>
      </c>
      <c r="J244" s="202">
        <f t="shared" si="81"/>
        <v>-47113.706913883208</v>
      </c>
      <c r="K244" s="202">
        <f t="shared" si="82"/>
        <v>-47113.706913883208</v>
      </c>
      <c r="L244" s="186">
        <f t="shared" si="75"/>
        <v>-47113.706913883208</v>
      </c>
      <c r="M244" s="186">
        <f t="shared" si="76"/>
        <v>-47113.706913883208</v>
      </c>
      <c r="N244" s="187">
        <f t="shared" si="77"/>
        <v>-47112.225991977015</v>
      </c>
      <c r="O244" s="187">
        <f t="shared" si="78"/>
        <v>-47112.225991977015</v>
      </c>
      <c r="P244" s="188">
        <f t="shared" si="79"/>
        <v>-47121.194982148721</v>
      </c>
      <c r="Q244" s="188">
        <f t="shared" si="80"/>
        <v>-47121.194982148721</v>
      </c>
      <c r="T244" t="s">
        <v>834</v>
      </c>
      <c r="U244">
        <v>8</v>
      </c>
      <c r="V244" s="6">
        <f>J205-J180</f>
        <v>48.149552791102906</v>
      </c>
      <c r="W244" s="1">
        <f>K205-K180</f>
        <v>58.13860027861665</v>
      </c>
      <c r="AE244" t="s">
        <v>239</v>
      </c>
      <c r="AF244" s="1">
        <f>T16*AF243</f>
        <v>6744.7967999999992</v>
      </c>
    </row>
    <row r="245" spans="1:52" x14ac:dyDescent="0.25">
      <c r="A245" s="180"/>
      <c r="B245" s="17"/>
      <c r="C245" s="17"/>
      <c r="D245" s="17"/>
      <c r="E245" s="33"/>
      <c r="F245" s="17"/>
      <c r="G245" s="17"/>
      <c r="H245" s="17"/>
      <c r="I245" s="185">
        <f t="shared" si="74"/>
        <v>0</v>
      </c>
      <c r="J245" s="202">
        <f t="shared" si="81"/>
        <v>0</v>
      </c>
      <c r="K245" s="202">
        <f t="shared" si="82"/>
        <v>0</v>
      </c>
      <c r="L245" s="186">
        <f t="shared" si="75"/>
        <v>0</v>
      </c>
      <c r="M245" s="186">
        <f t="shared" si="76"/>
        <v>0</v>
      </c>
      <c r="N245" s="187">
        <f t="shared" si="77"/>
        <v>0</v>
      </c>
      <c r="O245" s="187">
        <f t="shared" si="78"/>
        <v>0</v>
      </c>
      <c r="P245" s="188">
        <f t="shared" si="79"/>
        <v>0</v>
      </c>
      <c r="Q245" s="188">
        <f t="shared" si="80"/>
        <v>0</v>
      </c>
      <c r="T245" t="s">
        <v>834</v>
      </c>
      <c r="U245">
        <v>9</v>
      </c>
      <c r="V245" s="6">
        <f>J205-J180</f>
        <v>48.149552791102906</v>
      </c>
      <c r="W245" s="1">
        <f>K205-K180</f>
        <v>58.13860027861665</v>
      </c>
    </row>
    <row r="246" spans="1:52" x14ac:dyDescent="0.25">
      <c r="A246" s="180" t="s">
        <v>793</v>
      </c>
      <c r="B246" s="17">
        <v>-151.506157481</v>
      </c>
      <c r="C246" s="17">
        <v>-151.506165581</v>
      </c>
      <c r="D246" s="17">
        <v>1.0047999999999999</v>
      </c>
      <c r="E246" s="33"/>
      <c r="F246" s="17">
        <v>1.9056E-2</v>
      </c>
      <c r="G246" s="17">
        <v>2.4662E-2</v>
      </c>
      <c r="H246" s="17">
        <v>-2.3189999999999999E-3</v>
      </c>
      <c r="I246" s="185">
        <f t="shared" si="74"/>
        <v>16.930827945349122</v>
      </c>
      <c r="J246" s="202">
        <f t="shared" si="81"/>
        <v>-95071.520142758993</v>
      </c>
      <c r="K246" s="202">
        <f t="shared" si="82"/>
        <v>-95071.515010903342</v>
      </c>
      <c r="L246" s="186">
        <f t="shared" si="75"/>
        <v>-95059.562325875755</v>
      </c>
      <c r="M246" s="186">
        <f t="shared" si="76"/>
        <v>-95059.557194020104</v>
      </c>
      <c r="N246" s="187">
        <f t="shared" si="77"/>
        <v>-95056.044508839259</v>
      </c>
      <c r="O246" s="187">
        <f t="shared" si="78"/>
        <v>-95056.039376983608</v>
      </c>
      <c r="P246" s="188">
        <f t="shared" si="79"/>
        <v>-95072.975336784613</v>
      </c>
      <c r="Q246" s="188">
        <f t="shared" si="80"/>
        <v>-95072.970204928963</v>
      </c>
      <c r="T246" t="s">
        <v>832</v>
      </c>
      <c r="U246">
        <v>10</v>
      </c>
      <c r="V246" s="6">
        <f>(J183+J185)-J180</f>
        <v>52.362367733207066</v>
      </c>
      <c r="W246" s="1">
        <f>(K183+K185)-K180</f>
        <v>68.567474243202014</v>
      </c>
      <c r="Y246" s="206">
        <f>W238-36.25</f>
        <v>32.317474243202014</v>
      </c>
    </row>
    <row r="247" spans="1:52" x14ac:dyDescent="0.25">
      <c r="A247" s="180" t="s">
        <v>794</v>
      </c>
      <c r="B247" s="17">
        <v>-151.50612551</v>
      </c>
      <c r="C247" s="17"/>
      <c r="D247" s="17"/>
      <c r="E247" s="33"/>
      <c r="F247" s="17">
        <v>1.8631999999999999E-2</v>
      </c>
      <c r="G247" s="17">
        <v>2.4471E-2</v>
      </c>
      <c r="H247" s="17">
        <v>-4.0720000000000001E-3</v>
      </c>
      <c r="I247" s="185">
        <f t="shared" si="74"/>
        <v>17.91099744427931</v>
      </c>
      <c r="J247" s="202">
        <f t="shared" si="81"/>
        <v>-95071.500080659724</v>
      </c>
      <c r="K247" s="202">
        <f t="shared" si="82"/>
        <v>-95071.500080659724</v>
      </c>
      <c r="L247" s="186">
        <f t="shared" si="75"/>
        <v>-95059.808327712177</v>
      </c>
      <c r="M247" s="186">
        <f t="shared" si="76"/>
        <v>-95059.808327712177</v>
      </c>
      <c r="N247" s="187">
        <f t="shared" si="77"/>
        <v>-95056.144301012915</v>
      </c>
      <c r="O247" s="187">
        <f t="shared" si="78"/>
        <v>-95056.144301012915</v>
      </c>
      <c r="P247" s="188">
        <f t="shared" si="79"/>
        <v>-95074.055298457199</v>
      </c>
      <c r="Q247" s="188">
        <f t="shared" si="80"/>
        <v>-95074.055298457199</v>
      </c>
      <c r="T247" t="s">
        <v>832</v>
      </c>
      <c r="U247">
        <v>11</v>
      </c>
      <c r="V247" s="6">
        <f>(J183+J185)-J180</f>
        <v>52.362367733207066</v>
      </c>
      <c r="W247" s="1">
        <f>(K183+K185)-K180</f>
        <v>68.567474243202014</v>
      </c>
    </row>
    <row r="248" spans="1:52" x14ac:dyDescent="0.25">
      <c r="A248" s="180"/>
      <c r="B248" s="17"/>
      <c r="C248" s="17"/>
      <c r="D248" s="17"/>
      <c r="E248" s="33"/>
      <c r="F248" s="17"/>
      <c r="G248" s="17"/>
      <c r="H248" s="17"/>
      <c r="I248" s="185">
        <f t="shared" si="74"/>
        <v>0</v>
      </c>
      <c r="J248" s="202">
        <f t="shared" si="81"/>
        <v>0</v>
      </c>
      <c r="K248" s="202">
        <f t="shared" si="82"/>
        <v>0</v>
      </c>
      <c r="L248" s="186">
        <f t="shared" si="75"/>
        <v>0</v>
      </c>
      <c r="M248" s="186">
        <f t="shared" si="76"/>
        <v>0</v>
      </c>
      <c r="N248" s="187">
        <f t="shared" si="77"/>
        <v>0</v>
      </c>
      <c r="O248" s="187">
        <f t="shared" si="78"/>
        <v>0</v>
      </c>
      <c r="P248" s="188">
        <f t="shared" si="79"/>
        <v>0</v>
      </c>
      <c r="Q248" s="188">
        <f t="shared" si="80"/>
        <v>0</v>
      </c>
      <c r="T248" t="s">
        <v>757</v>
      </c>
      <c r="U248">
        <v>4</v>
      </c>
      <c r="V248" s="6">
        <f>J186-J180</f>
        <v>46.860316145379329</v>
      </c>
      <c r="W248" s="1">
        <f>K186-K180</f>
        <v>46.663703877347871</v>
      </c>
    </row>
    <row r="249" spans="1:52" x14ac:dyDescent="0.25">
      <c r="A249" s="180" t="s">
        <v>746</v>
      </c>
      <c r="B249" s="183">
        <v>-151.505376176</v>
      </c>
      <c r="C249" s="17">
        <v>-151.50529424499999</v>
      </c>
      <c r="D249" s="17">
        <v>0.99439999999999995</v>
      </c>
      <c r="E249" s="33">
        <v>217.52</v>
      </c>
      <c r="F249" s="17">
        <v>1.8324E-2</v>
      </c>
      <c r="G249" s="17">
        <v>2.3525000000000001E-2</v>
      </c>
      <c r="H249" s="17">
        <v>-2.7539999999999999E-3</v>
      </c>
      <c r="I249" s="185">
        <f t="shared" si="74"/>
        <v>16.490316429184599</v>
      </c>
      <c r="J249" s="202">
        <f t="shared" si="81"/>
        <v>-95071.029866619196</v>
      </c>
      <c r="K249" s="202">
        <f t="shared" si="82"/>
        <v>-95071.080706469234</v>
      </c>
      <c r="L249" s="186">
        <f t="shared" si="75"/>
        <v>-95059.53138653058</v>
      </c>
      <c r="M249" s="186">
        <f t="shared" si="76"/>
        <v>-95059.582226380633</v>
      </c>
      <c r="N249" s="187">
        <f t="shared" si="77"/>
        <v>-95056.267710753411</v>
      </c>
      <c r="O249" s="187">
        <f t="shared" si="78"/>
        <v>-95056.318550603464</v>
      </c>
      <c r="P249" s="188">
        <f t="shared" si="79"/>
        <v>-95072.758027182615</v>
      </c>
      <c r="Q249" s="188">
        <f t="shared" si="80"/>
        <v>-95072.808867032654</v>
      </c>
      <c r="T249" t="s">
        <v>757</v>
      </c>
      <c r="U249">
        <v>5</v>
      </c>
      <c r="V249" s="6">
        <f>J186-J180</f>
        <v>46.860316145379329</v>
      </c>
      <c r="W249" s="1">
        <f>K186-K180</f>
        <v>46.663703877347871</v>
      </c>
    </row>
    <row r="250" spans="1:52" x14ac:dyDescent="0.25">
      <c r="A250" s="180" t="s">
        <v>747</v>
      </c>
      <c r="B250" s="17">
        <v>-151.50546084699999</v>
      </c>
      <c r="C250" s="17"/>
      <c r="D250" s="17"/>
      <c r="E250" s="33">
        <v>145.66</v>
      </c>
      <c r="F250" s="17">
        <v>1.8526000000000001E-2</v>
      </c>
      <c r="G250" s="17">
        <v>2.3501999999999999E-2</v>
      </c>
      <c r="H250" s="17">
        <v>-3.235E-3</v>
      </c>
      <c r="I250" s="185">
        <f t="shared" si="74"/>
        <v>16.777715680471424</v>
      </c>
      <c r="J250" s="202">
        <f t="shared" si="81"/>
        <v>-95071.082998457627</v>
      </c>
      <c r="K250" s="202">
        <f t="shared" si="82"/>
        <v>-95071.082998457627</v>
      </c>
      <c r="L250" s="186">
        <f t="shared" si="75"/>
        <v>-95059.457761494006</v>
      </c>
      <c r="M250" s="186">
        <f t="shared" si="76"/>
        <v>-95059.457761494006</v>
      </c>
      <c r="N250" s="187">
        <f t="shared" si="77"/>
        <v>-95056.335275305348</v>
      </c>
      <c r="O250" s="187">
        <f t="shared" si="78"/>
        <v>-95056.335275305348</v>
      </c>
      <c r="P250" s="188">
        <f t="shared" si="79"/>
        <v>-95073.112990985814</v>
      </c>
      <c r="Q250" s="188">
        <f t="shared" si="80"/>
        <v>-95073.112990985814</v>
      </c>
      <c r="T250" t="s">
        <v>843</v>
      </c>
      <c r="U250">
        <v>8</v>
      </c>
      <c r="V250" s="6">
        <f>J189-J180</f>
        <v>46.957096901984187</v>
      </c>
      <c r="W250" s="1">
        <f>K189-K180</f>
        <v>47.141614709602436</v>
      </c>
    </row>
    <row r="251" spans="1:52" x14ac:dyDescent="0.25">
      <c r="A251" s="180" t="s">
        <v>750</v>
      </c>
      <c r="B251" s="17">
        <v>-151.49535007</v>
      </c>
      <c r="C251" s="17"/>
      <c r="D251" s="17"/>
      <c r="E251" s="33"/>
      <c r="F251" s="17">
        <v>2.2603999999999999E-2</v>
      </c>
      <c r="G251" s="17">
        <v>2.6983E-2</v>
      </c>
      <c r="H251" s="17">
        <v>2.4120000000000001E-3</v>
      </c>
      <c r="I251" s="185">
        <f t="shared" si="74"/>
        <v>15.418530575040709</v>
      </c>
      <c r="J251" s="202">
        <f t="shared" si="81"/>
        <v>-95064.738392039013</v>
      </c>
      <c r="K251" s="202">
        <f t="shared" si="82"/>
        <v>-95064.738392039013</v>
      </c>
      <c r="L251" s="186">
        <f t="shared" si="75"/>
        <v>-95050.554172222226</v>
      </c>
      <c r="M251" s="186">
        <f t="shared" si="76"/>
        <v>-95050.554172222226</v>
      </c>
      <c r="N251" s="187">
        <f t="shared" si="77"/>
        <v>-95047.806309075095</v>
      </c>
      <c r="O251" s="187">
        <f t="shared" si="78"/>
        <v>-95047.806309075095</v>
      </c>
      <c r="P251" s="188">
        <f t="shared" si="79"/>
        <v>-95063.224839650138</v>
      </c>
      <c r="Q251" s="188">
        <f t="shared" si="80"/>
        <v>-95063.224839650138</v>
      </c>
      <c r="T251" t="s">
        <v>843</v>
      </c>
      <c r="U251">
        <v>9</v>
      </c>
      <c r="V251" s="6">
        <f>J189-J180</f>
        <v>46.957096901984187</v>
      </c>
      <c r="W251" s="1">
        <f>K189-K180</f>
        <v>47.141614709602436</v>
      </c>
      <c r="AZ251" t="s">
        <v>819</v>
      </c>
    </row>
    <row r="252" spans="1:52" x14ac:dyDescent="0.25">
      <c r="A252" s="180"/>
      <c r="B252" s="17"/>
      <c r="C252" s="17"/>
      <c r="D252" s="17"/>
      <c r="E252" s="33"/>
      <c r="F252" s="17"/>
      <c r="G252" s="17"/>
      <c r="H252" s="17"/>
      <c r="I252" s="185">
        <f t="shared" si="74"/>
        <v>0</v>
      </c>
      <c r="J252" s="202">
        <f t="shared" si="81"/>
        <v>0</v>
      </c>
      <c r="K252" s="202">
        <f t="shared" si="82"/>
        <v>0</v>
      </c>
      <c r="L252" s="186">
        <f t="shared" si="75"/>
        <v>0</v>
      </c>
      <c r="M252" s="186">
        <f t="shared" si="76"/>
        <v>0</v>
      </c>
      <c r="N252" s="187">
        <f t="shared" si="77"/>
        <v>0</v>
      </c>
      <c r="O252" s="187">
        <f t="shared" si="78"/>
        <v>0</v>
      </c>
      <c r="P252" s="188">
        <f t="shared" si="79"/>
        <v>0</v>
      </c>
      <c r="Q252" s="188">
        <f t="shared" si="80"/>
        <v>0</v>
      </c>
      <c r="AX252" t="s">
        <v>743</v>
      </c>
      <c r="AY252">
        <v>6</v>
      </c>
      <c r="AZ252">
        <v>46.1</v>
      </c>
    </row>
    <row r="253" spans="1:52" x14ac:dyDescent="0.25">
      <c r="A253" s="180" t="s">
        <v>761</v>
      </c>
      <c r="B253" s="17">
        <v>-151.49904029800001</v>
      </c>
      <c r="C253" s="17"/>
      <c r="D253" s="17"/>
      <c r="E253" s="33">
        <v>784.07</v>
      </c>
      <c r="F253" s="17">
        <v>1.6056000000000001E-2</v>
      </c>
      <c r="G253" s="17">
        <v>2.0826999999999998E-2</v>
      </c>
      <c r="H253" s="17">
        <v>-5.2110000000000004E-3</v>
      </c>
      <c r="I253" s="185">
        <f t="shared" si="74"/>
        <v>16.339086692153757</v>
      </c>
      <c r="J253" s="202">
        <f t="shared" si="81"/>
        <v>-95067.054044362769</v>
      </c>
      <c r="K253" s="202">
        <f t="shared" si="82"/>
        <v>-95067.054044362769</v>
      </c>
      <c r="L253" s="186">
        <f t="shared" si="75"/>
        <v>-95056.978755326403</v>
      </c>
      <c r="M253" s="186">
        <f t="shared" si="76"/>
        <v>-95056.978755326403</v>
      </c>
      <c r="N253" s="187">
        <f t="shared" si="77"/>
        <v>-95053.984908540602</v>
      </c>
      <c r="O253" s="187">
        <f t="shared" si="78"/>
        <v>-95053.984908540602</v>
      </c>
      <c r="P253" s="188">
        <f t="shared" si="79"/>
        <v>-95070.323995232757</v>
      </c>
      <c r="Q253" s="188">
        <f t="shared" si="80"/>
        <v>-95070.323995232757</v>
      </c>
      <c r="AX253" t="s">
        <v>743</v>
      </c>
      <c r="AY253">
        <v>7</v>
      </c>
      <c r="AZ253">
        <v>46.1</v>
      </c>
    </row>
    <row r="254" spans="1:52" x14ac:dyDescent="0.25">
      <c r="A254" s="180" t="s">
        <v>763</v>
      </c>
      <c r="B254" s="17">
        <v>-151.53123322100001</v>
      </c>
      <c r="C254" s="17"/>
      <c r="D254" s="17"/>
      <c r="E254" s="33"/>
      <c r="F254" s="17">
        <v>2.2093000000000002E-2</v>
      </c>
      <c r="G254" s="17">
        <v>2.7744999999999999E-2</v>
      </c>
      <c r="H254" s="17">
        <v>-9.1600000000000004E-4</v>
      </c>
      <c r="I254" s="185">
        <f t="shared" ref="I254:I260" si="83">(G254-H254)*($T$3*$T$4)</f>
        <v>17.985043539589018</v>
      </c>
      <c r="J254" s="202">
        <f t="shared" si="81"/>
        <v>-95087.255402369177</v>
      </c>
      <c r="K254" s="202">
        <f t="shared" si="82"/>
        <v>-95087.255402369177</v>
      </c>
      <c r="L254" s="186">
        <f t="shared" si="75"/>
        <v>-95073.391839795629</v>
      </c>
      <c r="M254" s="186">
        <f t="shared" si="76"/>
        <v>-95073.391839795629</v>
      </c>
      <c r="N254" s="187">
        <f t="shared" si="77"/>
        <v>-95069.845157332151</v>
      </c>
      <c r="O254" s="187">
        <f t="shared" si="78"/>
        <v>-95069.845157332151</v>
      </c>
      <c r="P254" s="188">
        <f t="shared" si="79"/>
        <v>-95087.830200871744</v>
      </c>
      <c r="Q254" s="188">
        <f t="shared" si="80"/>
        <v>-95087.830200871744</v>
      </c>
      <c r="AU254" t="s">
        <v>819</v>
      </c>
      <c r="AX254" t="s">
        <v>758</v>
      </c>
      <c r="AY254">
        <v>8</v>
      </c>
      <c r="AZ254">
        <v>43.6</v>
      </c>
    </row>
    <row r="255" spans="1:52" x14ac:dyDescent="0.25">
      <c r="A255" s="180"/>
      <c r="B255" s="17"/>
      <c r="C255" s="17"/>
      <c r="D255" s="17"/>
      <c r="E255" s="33"/>
      <c r="F255" s="17"/>
      <c r="G255" s="17"/>
      <c r="H255" s="17"/>
      <c r="I255" s="185">
        <f t="shared" si="83"/>
        <v>0</v>
      </c>
      <c r="J255" s="202">
        <f t="shared" si="81"/>
        <v>0</v>
      </c>
      <c r="K255" s="202">
        <f t="shared" si="82"/>
        <v>0</v>
      </c>
      <c r="L255" s="186">
        <f t="shared" si="75"/>
        <v>0</v>
      </c>
      <c r="M255" s="186">
        <f t="shared" si="76"/>
        <v>0</v>
      </c>
      <c r="N255" s="187">
        <f t="shared" si="77"/>
        <v>0</v>
      </c>
      <c r="O255" s="187">
        <f t="shared" si="78"/>
        <v>0</v>
      </c>
      <c r="P255" s="188">
        <f t="shared" si="79"/>
        <v>0</v>
      </c>
      <c r="Q255" s="188">
        <f t="shared" si="80"/>
        <v>0</v>
      </c>
      <c r="Z255" t="s">
        <v>169</v>
      </c>
      <c r="AD255" t="s">
        <v>192</v>
      </c>
      <c r="AX255" t="s">
        <v>758</v>
      </c>
      <c r="AY255">
        <v>9</v>
      </c>
      <c r="AZ255">
        <v>43.6</v>
      </c>
    </row>
    <row r="256" spans="1:52" x14ac:dyDescent="0.25">
      <c r="A256" s="180" t="s">
        <v>796</v>
      </c>
      <c r="B256" s="17">
        <v>-151.47877683799999</v>
      </c>
      <c r="C256" s="17"/>
      <c r="D256" s="17"/>
      <c r="E256" s="33">
        <v>2029.13</v>
      </c>
      <c r="F256" s="17">
        <v>1.7392000000000001E-2</v>
      </c>
      <c r="G256" s="17">
        <v>2.1621999999999999E-2</v>
      </c>
      <c r="H256" s="17">
        <v>-3.4099999999999998E-3</v>
      </c>
      <c r="I256" s="185">
        <f t="shared" si="83"/>
        <v>15.707812354174392</v>
      </c>
      <c r="J256" s="202">
        <f t="shared" si="81"/>
        <v>-95054.338535121526</v>
      </c>
      <c r="K256" s="202">
        <f t="shared" si="82"/>
        <v>-95054.338535121526</v>
      </c>
      <c r="L256" s="186">
        <f t="shared" si="75"/>
        <v>-95043.424893684016</v>
      </c>
      <c r="M256" s="186">
        <f t="shared" si="76"/>
        <v>-95043.424893684016</v>
      </c>
      <c r="N256" s="187">
        <f t="shared" si="77"/>
        <v>-95040.77052941994</v>
      </c>
      <c r="O256" s="187">
        <f t="shared" si="78"/>
        <v>-95040.77052941994</v>
      </c>
      <c r="P256" s="188">
        <f t="shared" si="79"/>
        <v>-95056.478341774127</v>
      </c>
      <c r="Q256" s="188">
        <f t="shared" si="80"/>
        <v>-95056.478341774127</v>
      </c>
      <c r="T256" t="s">
        <v>795</v>
      </c>
      <c r="U256" s="6"/>
      <c r="V256" t="s">
        <v>685</v>
      </c>
      <c r="W256" t="s">
        <v>684</v>
      </c>
      <c r="X256" s="1" t="s">
        <v>802</v>
      </c>
      <c r="Y256" s="1" t="s">
        <v>803</v>
      </c>
      <c r="Z256" t="s">
        <v>685</v>
      </c>
      <c r="AA256" t="s">
        <v>684</v>
      </c>
      <c r="AB256" t="s">
        <v>802</v>
      </c>
      <c r="AC256" t="s">
        <v>803</v>
      </c>
      <c r="AD256" t="s">
        <v>685</v>
      </c>
      <c r="AE256" t="s">
        <v>684</v>
      </c>
      <c r="AF256" t="s">
        <v>802</v>
      </c>
      <c r="AG256" t="s">
        <v>803</v>
      </c>
      <c r="AX256" t="s">
        <v>790</v>
      </c>
      <c r="AY256">
        <v>14</v>
      </c>
      <c r="AZ256">
        <v>47.6</v>
      </c>
    </row>
    <row r="257" spans="1:52" x14ac:dyDescent="0.25">
      <c r="A257" s="180" t="s">
        <v>797</v>
      </c>
      <c r="B257" s="17">
        <v>-151.53164726399999</v>
      </c>
      <c r="C257" s="17"/>
      <c r="D257" s="17"/>
      <c r="E257" s="33"/>
      <c r="F257" s="17">
        <v>2.2141999999999998E-2</v>
      </c>
      <c r="G257" s="17">
        <v>2.7723000000000001E-2</v>
      </c>
      <c r="H257" s="17">
        <v>-6.6799999999999997E-4</v>
      </c>
      <c r="I257" s="185">
        <f t="shared" si="83"/>
        <v>17.815616033371892</v>
      </c>
      <c r="J257" s="202">
        <f t="shared" si="81"/>
        <v>-95087.515218194923</v>
      </c>
      <c r="K257" s="202">
        <f t="shared" si="82"/>
        <v>-95087.515218194923</v>
      </c>
      <c r="L257" s="186">
        <f t="shared" si="75"/>
        <v>-95073.620907666555</v>
      </c>
      <c r="M257" s="186">
        <f t="shared" si="76"/>
        <v>-95073.620907666555</v>
      </c>
      <c r="N257" s="187">
        <f t="shared" si="77"/>
        <v>-95070.118778362114</v>
      </c>
      <c r="O257" s="187">
        <f t="shared" si="78"/>
        <v>-95070.118778362114</v>
      </c>
      <c r="P257" s="188">
        <f t="shared" si="79"/>
        <v>-95087.934394395488</v>
      </c>
      <c r="Q257" s="188">
        <f t="shared" si="80"/>
        <v>-95087.934394395488</v>
      </c>
      <c r="T257" t="s">
        <v>743</v>
      </c>
      <c r="U257">
        <v>6</v>
      </c>
      <c r="V257" s="13">
        <f>2*J182-J180</f>
        <v>50.644504597119521</v>
      </c>
      <c r="W257" s="1">
        <f>2*K182-K180</f>
        <v>50.644504597119521</v>
      </c>
      <c r="X257" s="1">
        <f>2*L182-L180</f>
        <v>45.003823658640613</v>
      </c>
      <c r="Y257" s="1">
        <f>2*M182-M180</f>
        <v>45.003823658640613</v>
      </c>
      <c r="Z257" s="1">
        <f>2*J212-J210</f>
        <v>49.708816219150322</v>
      </c>
      <c r="AA257" s="1">
        <f>2*K212-K210</f>
        <v>49.708816219150322</v>
      </c>
      <c r="AB257" s="1">
        <f>2*L212-L210</f>
        <v>43.728025249671191</v>
      </c>
      <c r="AC257" s="1">
        <f>2*M212-M210</f>
        <v>43.728025249671191</v>
      </c>
      <c r="AD257" s="1">
        <f>2*J242-J241</f>
        <v>51.508953226759331</v>
      </c>
      <c r="AE257" s="1">
        <f>2*K242-K241</f>
        <v>51.508953226759331</v>
      </c>
      <c r="AF257" s="1">
        <f>2*L242-L241</f>
        <v>45.528162257294753</v>
      </c>
      <c r="AG257" s="1">
        <f>2*M242-M241</f>
        <v>45.528162257294753</v>
      </c>
      <c r="AU257">
        <v>43.6</v>
      </c>
      <c r="AX257" t="s">
        <v>790</v>
      </c>
      <c r="AY257">
        <v>15</v>
      </c>
      <c r="AZ257">
        <v>47.6</v>
      </c>
    </row>
    <row r="258" spans="1:52" x14ac:dyDescent="0.25">
      <c r="A258" s="180"/>
      <c r="B258" s="17"/>
      <c r="C258" s="17"/>
      <c r="D258" s="17"/>
      <c r="E258" s="33"/>
      <c r="F258" s="17"/>
      <c r="G258" s="17"/>
      <c r="H258" s="17"/>
      <c r="I258" s="185">
        <f t="shared" si="83"/>
        <v>0</v>
      </c>
      <c r="J258" s="202">
        <f t="shared" si="81"/>
        <v>0</v>
      </c>
      <c r="K258" s="202">
        <f t="shared" si="82"/>
        <v>0</v>
      </c>
      <c r="L258" s="186">
        <f t="shared" si="75"/>
        <v>0</v>
      </c>
      <c r="M258" s="186">
        <f t="shared" si="76"/>
        <v>0</v>
      </c>
      <c r="N258" s="187">
        <f t="shared" si="77"/>
        <v>0</v>
      </c>
      <c r="O258" s="187">
        <f t="shared" si="78"/>
        <v>0</v>
      </c>
      <c r="P258" s="188">
        <f t="shared" si="79"/>
        <v>0</v>
      </c>
      <c r="Q258" s="188">
        <f t="shared" si="80"/>
        <v>0</v>
      </c>
      <c r="T258" t="s">
        <v>743</v>
      </c>
      <c r="U258">
        <v>7</v>
      </c>
      <c r="V258" s="13">
        <f>2*J182-J180</f>
        <v>50.644504597119521</v>
      </c>
      <c r="W258" s="1">
        <f>2*K182-K180</f>
        <v>50.644504597119521</v>
      </c>
      <c r="X258" s="1">
        <f>2*L182-L180</f>
        <v>45.003823658640613</v>
      </c>
      <c r="Y258" s="1">
        <f>2*M182-M180</f>
        <v>45.003823658640613</v>
      </c>
      <c r="Z258" s="1">
        <f>2*J212-J210</f>
        <v>49.708816219150322</v>
      </c>
      <c r="AA258" s="1">
        <f>2*K212-K210</f>
        <v>49.708816219150322</v>
      </c>
      <c r="AB258" s="1">
        <f>2*L212-L210</f>
        <v>43.728025249671191</v>
      </c>
      <c r="AC258" s="1">
        <f>2*M212-M210</f>
        <v>43.728025249671191</v>
      </c>
      <c r="AD258" s="1">
        <f>2*J242-J241</f>
        <v>51.508953226759331</v>
      </c>
      <c r="AE258" s="1">
        <f>2*K242-K241</f>
        <v>51.508953226759331</v>
      </c>
      <c r="AF258" s="1">
        <f>2*L242-L241</f>
        <v>45.528162257294753</v>
      </c>
      <c r="AG258" s="1">
        <f>2*M242-M241</f>
        <v>45.528162257294753</v>
      </c>
      <c r="AU258">
        <v>43.6</v>
      </c>
      <c r="AX258" t="s">
        <v>791</v>
      </c>
      <c r="AY258">
        <v>16</v>
      </c>
      <c r="AZ258">
        <v>28.8</v>
      </c>
    </row>
    <row r="259" spans="1:52" x14ac:dyDescent="0.25">
      <c r="A259" s="180"/>
      <c r="B259" s="17"/>
      <c r="C259" s="17"/>
      <c r="D259" s="17"/>
      <c r="E259" s="33"/>
      <c r="F259" s="17"/>
      <c r="G259" s="17"/>
      <c r="H259" s="17"/>
      <c r="I259" s="185">
        <f t="shared" si="83"/>
        <v>0</v>
      </c>
      <c r="J259" s="202">
        <f t="shared" si="81"/>
        <v>0</v>
      </c>
      <c r="K259" s="202">
        <f t="shared" si="82"/>
        <v>0</v>
      </c>
      <c r="L259" s="186">
        <f t="shared" si="75"/>
        <v>0</v>
      </c>
      <c r="M259" s="186">
        <f t="shared" si="76"/>
        <v>0</v>
      </c>
      <c r="N259" s="187">
        <f t="shared" si="77"/>
        <v>0</v>
      </c>
      <c r="O259" s="187">
        <f t="shared" si="78"/>
        <v>0</v>
      </c>
      <c r="P259" s="188">
        <f t="shared" si="79"/>
        <v>0</v>
      </c>
      <c r="Q259" s="188">
        <f t="shared" si="80"/>
        <v>0</v>
      </c>
      <c r="T259" t="s">
        <v>758</v>
      </c>
      <c r="U259">
        <v>8</v>
      </c>
      <c r="V259" s="13">
        <f>J188-J180</f>
        <v>46.773939492675709</v>
      </c>
      <c r="W259" s="1">
        <f>K188-K180</f>
        <v>46.773939492675709</v>
      </c>
      <c r="X259" s="1">
        <f>L188-L180</f>
        <v>42.341841431887588</v>
      </c>
      <c r="Y259" s="1">
        <f>M188-M180</f>
        <v>42.341841431887588</v>
      </c>
      <c r="Z259" s="1">
        <f>J217-J210</f>
        <v>45.25648211351654</v>
      </c>
      <c r="AA259" s="1">
        <f>K217-K210</f>
        <v>45.25648211351654</v>
      </c>
      <c r="AB259" s="1">
        <f>L217-L210</f>
        <v>40.484274021728197</v>
      </c>
      <c r="AC259" s="1">
        <f>M217-M210</f>
        <v>40.484274021728197</v>
      </c>
      <c r="AD259" s="1">
        <f>J247-J241</f>
        <v>47.543160451197764</v>
      </c>
      <c r="AE259" s="1">
        <f>K247-K241</f>
        <v>47.543160451197764</v>
      </c>
      <c r="AF259" s="1">
        <f>L247-L241</f>
        <v>42.770952359409421</v>
      </c>
      <c r="AG259" s="1">
        <f>M247-M241</f>
        <v>42.770952359409421</v>
      </c>
      <c r="AX259" t="s">
        <v>791</v>
      </c>
      <c r="AY259">
        <v>17</v>
      </c>
      <c r="AZ259">
        <v>28.8</v>
      </c>
    </row>
    <row r="260" spans="1:52" x14ac:dyDescent="0.25">
      <c r="A260" s="180"/>
      <c r="B260" s="17"/>
      <c r="C260" s="17"/>
      <c r="D260" s="17"/>
      <c r="E260" s="33"/>
      <c r="F260" s="17"/>
      <c r="G260" s="17"/>
      <c r="H260" s="17"/>
      <c r="I260" s="185">
        <f t="shared" si="83"/>
        <v>0</v>
      </c>
      <c r="J260" s="202">
        <f t="shared" si="81"/>
        <v>0</v>
      </c>
      <c r="K260" s="202">
        <f t="shared" si="82"/>
        <v>0</v>
      </c>
      <c r="L260" s="186">
        <f t="shared" si="75"/>
        <v>0</v>
      </c>
      <c r="M260" s="186">
        <f t="shared" si="76"/>
        <v>0</v>
      </c>
      <c r="N260" s="187">
        <f t="shared" si="77"/>
        <v>0</v>
      </c>
      <c r="O260" s="187">
        <f t="shared" si="78"/>
        <v>0</v>
      </c>
      <c r="P260" s="188">
        <f t="shared" si="79"/>
        <v>0</v>
      </c>
      <c r="Q260" s="188">
        <f t="shared" si="80"/>
        <v>0</v>
      </c>
      <c r="T260" t="s">
        <v>758</v>
      </c>
      <c r="U260">
        <v>9</v>
      </c>
      <c r="V260" s="13">
        <f>J188-J180</f>
        <v>46.773939492675709</v>
      </c>
      <c r="W260" s="1">
        <f>K188-K180</f>
        <v>46.773939492675709</v>
      </c>
      <c r="X260" s="1">
        <f>L188-L180</f>
        <v>42.341841431887588</v>
      </c>
      <c r="Y260" s="1">
        <f>M188-M180</f>
        <v>42.341841431887588</v>
      </c>
      <c r="Z260" s="1">
        <f>J217-J210</f>
        <v>45.25648211351654</v>
      </c>
      <c r="AA260" s="1">
        <f>K217-K210</f>
        <v>45.25648211351654</v>
      </c>
      <c r="AB260" s="1">
        <f>L217-L210</f>
        <v>40.484274021728197</v>
      </c>
      <c r="AC260" s="1">
        <f>M217-M210</f>
        <v>40.484274021728197</v>
      </c>
      <c r="AD260" s="1">
        <f>J247-J241</f>
        <v>47.543160451197764</v>
      </c>
      <c r="AE260" s="1">
        <f>K247-K241</f>
        <v>47.543160451197764</v>
      </c>
      <c r="AF260" s="1">
        <f>L247-L241</f>
        <v>42.770952359409421</v>
      </c>
      <c r="AG260" s="1">
        <f>M247-M241</f>
        <v>42.770952359409421</v>
      </c>
      <c r="AX260" t="s">
        <v>755</v>
      </c>
      <c r="AY260">
        <v>18</v>
      </c>
      <c r="AZ260">
        <v>30</v>
      </c>
    </row>
    <row r="261" spans="1:52" x14ac:dyDescent="0.25">
      <c r="T261" t="s">
        <v>753</v>
      </c>
      <c r="U261">
        <v>10</v>
      </c>
      <c r="V261" s="13">
        <f>J194-J180</f>
        <v>46.88211581784708</v>
      </c>
      <c r="W261" s="1">
        <f>K194-K180</f>
        <v>46.88211581784708</v>
      </c>
      <c r="X261" s="1">
        <f>L194-L180</f>
        <v>42.01954638940515</v>
      </c>
      <c r="Y261" s="1">
        <f>M194-M180</f>
        <v>42.01954638940515</v>
      </c>
      <c r="Z261" s="1">
        <f>J220-J210</f>
        <v>45.361117403808748</v>
      </c>
      <c r="AA261" s="1">
        <f>K220-K210</f>
        <v>45.361117403808748</v>
      </c>
      <c r="AB261" s="1">
        <f>L220-L210</f>
        <v>40.522393328108592</v>
      </c>
      <c r="AC261" s="1">
        <f>M220-M210</f>
        <v>40.522393328108592</v>
      </c>
      <c r="AD261" s="1">
        <f>J250-J241</f>
        <v>47.960242653294699</v>
      </c>
      <c r="AE261" s="1">
        <f>K250-K241</f>
        <v>47.960242653294699</v>
      </c>
      <c r="AF261" s="1">
        <f>L250-L241</f>
        <v>43.121518577579991</v>
      </c>
      <c r="AG261" s="1">
        <f>M250-M241</f>
        <v>43.121518577579991</v>
      </c>
      <c r="AU261">
        <v>46.2</v>
      </c>
      <c r="AX261" t="s">
        <v>755</v>
      </c>
      <c r="AY261">
        <v>19</v>
      </c>
      <c r="AZ261">
        <v>30</v>
      </c>
    </row>
    <row r="262" spans="1:52" x14ac:dyDescent="0.25">
      <c r="T262" t="s">
        <v>753</v>
      </c>
      <c r="U262">
        <v>11</v>
      </c>
      <c r="V262" s="13">
        <f>J194-J180</f>
        <v>46.88211581784708</v>
      </c>
      <c r="W262" s="1">
        <f>K194-K180</f>
        <v>46.88211581784708</v>
      </c>
      <c r="X262" s="1">
        <f>L194-L180</f>
        <v>42.01954638940515</v>
      </c>
      <c r="Y262" s="1">
        <f>M194-M180</f>
        <v>42.01954638940515</v>
      </c>
      <c r="Z262" s="1">
        <f>J220-J210</f>
        <v>45.361117403808748</v>
      </c>
      <c r="AA262" s="1">
        <f>K220-K210</f>
        <v>45.361117403808748</v>
      </c>
      <c r="AB262" s="1">
        <f>L220-L210</f>
        <v>40.522393328108592</v>
      </c>
      <c r="AC262" s="1">
        <f>M220-M210</f>
        <v>40.522393328108592</v>
      </c>
      <c r="AD262" s="1">
        <f>J250-J241</f>
        <v>47.960242653294699</v>
      </c>
      <c r="AE262" s="1">
        <f>K250-K241</f>
        <v>47.960242653294699</v>
      </c>
      <c r="AF262" s="1">
        <f>L250-L241</f>
        <v>43.121518577579991</v>
      </c>
      <c r="AG262" s="1">
        <f>M250-M241</f>
        <v>43.121518577579991</v>
      </c>
      <c r="AU262">
        <v>46.2</v>
      </c>
    </row>
    <row r="263" spans="1:52" x14ac:dyDescent="0.25">
      <c r="T263" t="s">
        <v>754</v>
      </c>
      <c r="U263">
        <v>12</v>
      </c>
      <c r="V263" s="13">
        <f>J195-J180</f>
        <v>43.048385508285719</v>
      </c>
      <c r="W263" s="1">
        <f>K195-K180</f>
        <v>43.048385508285719</v>
      </c>
      <c r="X263" s="1">
        <f>L195-L180</f>
        <v>41.108754316737759</v>
      </c>
      <c r="Y263" s="1">
        <f>M195-M180</f>
        <v>41.108754316737759</v>
      </c>
      <c r="Z263" s="1">
        <f>J221-J210</f>
        <v>47.162330087841838</v>
      </c>
      <c r="AA263" s="1">
        <f>K221-K210</f>
        <v>47.162330087841838</v>
      </c>
      <c r="AB263" s="1">
        <f>L221-L210</f>
        <v>44.882588865293656</v>
      </c>
      <c r="AC263" s="1">
        <f>M221-M210</f>
        <v>44.882588865293656</v>
      </c>
      <c r="AD263" s="1">
        <f>J251-J241</f>
        <v>54.304849071908393</v>
      </c>
      <c r="AE263" s="1">
        <f>K251-K241</f>
        <v>54.304849071908393</v>
      </c>
      <c r="AF263" s="1">
        <f>L251-L241</f>
        <v>52.025107849360211</v>
      </c>
      <c r="AG263" s="1">
        <f>M251-M241</f>
        <v>52.025107849360211</v>
      </c>
    </row>
    <row r="264" spans="1:52" x14ac:dyDescent="0.25">
      <c r="T264" t="s">
        <v>754</v>
      </c>
      <c r="U264">
        <v>13</v>
      </c>
      <c r="V264" s="13">
        <f>J195-J180</f>
        <v>43.048385508285719</v>
      </c>
      <c r="W264" s="1">
        <f>K195-K180</f>
        <v>43.048385508285719</v>
      </c>
      <c r="X264" s="1">
        <f>L195-L180</f>
        <v>41.108754316737759</v>
      </c>
      <c r="Y264" s="1">
        <f>M195-M180</f>
        <v>41.108754316737759</v>
      </c>
      <c r="Z264" s="1">
        <f>J221-J210</f>
        <v>47.162330087841838</v>
      </c>
      <c r="AA264" s="1">
        <f>K221-K210</f>
        <v>47.162330087841838</v>
      </c>
      <c r="AB264" s="1">
        <f>L221-L210</f>
        <v>44.882588865293656</v>
      </c>
      <c r="AC264" s="1">
        <f>M221-M210</f>
        <v>44.882588865293656</v>
      </c>
      <c r="AD264" s="1">
        <f>J251-J241</f>
        <v>54.304849071908393</v>
      </c>
      <c r="AE264" s="1">
        <f>K251-K241</f>
        <v>54.304849071908393</v>
      </c>
      <c r="AF264" s="1">
        <f>L251-L241</f>
        <v>52.025107849360211</v>
      </c>
      <c r="AG264" s="1">
        <f>M251-M241</f>
        <v>52.025107849360211</v>
      </c>
    </row>
    <row r="265" spans="1:52" x14ac:dyDescent="0.25">
      <c r="T265" t="s">
        <v>760</v>
      </c>
      <c r="U265">
        <v>14</v>
      </c>
      <c r="V265" s="13">
        <f>J197-J180</f>
        <v>46.768047180521535</v>
      </c>
      <c r="W265" s="1">
        <f>K197-K180</f>
        <v>46.768047180521535</v>
      </c>
      <c r="X265" s="1">
        <f>L197-L180</f>
        <v>40.719485208552214</v>
      </c>
      <c r="Y265" s="1">
        <f>M197-M180</f>
        <v>40.719485208552214</v>
      </c>
      <c r="Z265" s="1">
        <f>J223-J210</f>
        <v>48.046389637587708</v>
      </c>
      <c r="AA265" s="1">
        <f>K223-K210</f>
        <v>48.046389637587708</v>
      </c>
      <c r="AB265" s="1">
        <f>L223-L210</f>
        <v>41.657717634618166</v>
      </c>
      <c r="AC265" s="1">
        <f>M223-M210</f>
        <v>41.657717634618166</v>
      </c>
      <c r="AD265" s="1">
        <f>J253-J241</f>
        <v>51.989196748152608</v>
      </c>
      <c r="AE265" s="1">
        <f>K253-K241</f>
        <v>51.989196748152608</v>
      </c>
      <c r="AF265" s="1">
        <f>L253-L241</f>
        <v>45.600524745183066</v>
      </c>
      <c r="AG265" s="1">
        <f>M253-M241</f>
        <v>45.600524745183066</v>
      </c>
    </row>
    <row r="266" spans="1:52" x14ac:dyDescent="0.25">
      <c r="T266" t="s">
        <v>760</v>
      </c>
      <c r="U266">
        <v>15</v>
      </c>
      <c r="V266" s="13">
        <f>J197-J180</f>
        <v>46.768047180521535</v>
      </c>
      <c r="W266" s="1">
        <f>K197-K180</f>
        <v>46.768047180521535</v>
      </c>
      <c r="X266" s="1">
        <f>L197-L180</f>
        <v>40.719485208552214</v>
      </c>
      <c r="Y266" s="1">
        <f>M197-M180</f>
        <v>40.719485208552214</v>
      </c>
      <c r="Z266" s="1">
        <f>J223-J210</f>
        <v>48.046389637587708</v>
      </c>
      <c r="AA266" s="1">
        <f>K223-K210</f>
        <v>48.046389637587708</v>
      </c>
      <c r="AB266" s="1">
        <f>L223-L210</f>
        <v>41.657717634618166</v>
      </c>
      <c r="AC266" s="1">
        <f>M223-M210</f>
        <v>41.657717634618166</v>
      </c>
      <c r="AD266" s="1">
        <f>J253-J241</f>
        <v>51.989196748152608</v>
      </c>
      <c r="AE266" s="1">
        <f>K253-K241</f>
        <v>51.989196748152608</v>
      </c>
      <c r="AF266" s="1">
        <f>L253-L241</f>
        <v>45.600524745183066</v>
      </c>
      <c r="AG266" s="1">
        <f>M253-M241</f>
        <v>45.600524745183066</v>
      </c>
    </row>
    <row r="267" spans="1:52" x14ac:dyDescent="0.25">
      <c r="T267" t="s">
        <v>764</v>
      </c>
      <c r="U267">
        <v>16</v>
      </c>
      <c r="V267" s="13">
        <f>J198-J180</f>
        <v>34.075881284588831</v>
      </c>
      <c r="W267" s="1">
        <f>K198-K180</f>
        <v>34.075881284588831</v>
      </c>
      <c r="X267" s="1">
        <f>L198-L180</f>
        <v>31.815592849787208</v>
      </c>
      <c r="Y267" s="1">
        <f>M198-M180</f>
        <v>31.815592849787208</v>
      </c>
      <c r="Z267" s="1">
        <f>J224-J210</f>
        <v>29.481220041619963</v>
      </c>
      <c r="AA267" s="1">
        <f>K224-K210</f>
        <v>29.481220041619963</v>
      </c>
      <c r="AB267" s="1">
        <f>L224-L210</f>
        <v>26.88082157583267</v>
      </c>
      <c r="AC267" s="1">
        <f>M224-M210</f>
        <v>26.88082157583267</v>
      </c>
      <c r="AD267" s="1">
        <f>J257-J241</f>
        <v>31.528022915998008</v>
      </c>
      <c r="AE267" s="1">
        <f>K257-K241</f>
        <v>31.528022915998008</v>
      </c>
      <c r="AF267" s="1">
        <f>L257-L241</f>
        <v>28.958372405031696</v>
      </c>
      <c r="AG267" s="1">
        <f>M257-M241</f>
        <v>28.958372405031696</v>
      </c>
    </row>
    <row r="268" spans="1:52" x14ac:dyDescent="0.25">
      <c r="T268" t="s">
        <v>764</v>
      </c>
      <c r="U268">
        <v>17</v>
      </c>
      <c r="V268" s="13">
        <f>J198-J180</f>
        <v>34.075881284588831</v>
      </c>
      <c r="W268" s="1">
        <f>K198-K180</f>
        <v>34.075881284588831</v>
      </c>
      <c r="X268" s="1">
        <f>L198-L180</f>
        <v>31.815592849787208</v>
      </c>
      <c r="Y268" s="1">
        <f>M198-M180</f>
        <v>31.815592849787208</v>
      </c>
      <c r="Z268" s="1">
        <f>J224-J210</f>
        <v>29.481220041619963</v>
      </c>
      <c r="AA268" s="1">
        <f>K224-K210</f>
        <v>29.481220041619963</v>
      </c>
      <c r="AB268" s="1">
        <f>L224-L210</f>
        <v>26.88082157583267</v>
      </c>
      <c r="AC268" s="1">
        <f>M224-M210</f>
        <v>26.88082157583267</v>
      </c>
      <c r="AD268" s="1">
        <f>J257-J241</f>
        <v>31.528022915998008</v>
      </c>
      <c r="AE268" s="1">
        <f>K257-K241</f>
        <v>31.528022915998008</v>
      </c>
      <c r="AF268" s="1">
        <f>L257-L241</f>
        <v>28.958372405031696</v>
      </c>
      <c r="AG268" s="1">
        <f>M257-M241</f>
        <v>28.958372405031696</v>
      </c>
    </row>
    <row r="269" spans="1:52" x14ac:dyDescent="0.25">
      <c r="T269" t="s">
        <v>755</v>
      </c>
      <c r="U269">
        <v>18</v>
      </c>
      <c r="V269" s="13">
        <f>(J184+J183)-J180</f>
        <v>36.250979059230303</v>
      </c>
      <c r="W269" s="1">
        <f>(K184+K183)-K180</f>
        <v>36.250979059230303</v>
      </c>
      <c r="X269" s="1">
        <f>(L184+L183)-L180</f>
        <v>33.333060896577081</v>
      </c>
      <c r="Y269" s="1">
        <f>(M184+M183)-M180</f>
        <v>33.333060896577081</v>
      </c>
      <c r="Z269" s="1">
        <f>(J214+J213)-J210</f>
        <v>31.743703503874713</v>
      </c>
      <c r="AA269" s="1">
        <f>(K214+K213)-K210</f>
        <v>31.743703503874713</v>
      </c>
      <c r="AB269" s="1">
        <f>(L214+L213)-L210</f>
        <v>28.48567531023582</v>
      </c>
      <c r="AC269" s="1">
        <f>(M214+M213)-M210</f>
        <v>28.48567531023582</v>
      </c>
      <c r="AD269" s="1">
        <f>(J244+J243)-J241</f>
        <v>33.414291471184697</v>
      </c>
      <c r="AE269" s="1">
        <f>(K244+K243)-K241</f>
        <v>33.414291471184697</v>
      </c>
      <c r="AF269" s="1">
        <f>(L244+L243)-L241</f>
        <v>30.156263277545804</v>
      </c>
      <c r="AG269" s="1">
        <f>(M244+M243)-M241</f>
        <v>30.156263277545804</v>
      </c>
    </row>
    <row r="270" spans="1:52" x14ac:dyDescent="0.25">
      <c r="T270" t="s">
        <v>755</v>
      </c>
      <c r="U270">
        <v>19</v>
      </c>
      <c r="V270" s="13">
        <f>(J184+J183)-J180</f>
        <v>36.250979059230303</v>
      </c>
      <c r="W270" s="1">
        <f>(K184+K183)-K180</f>
        <v>36.250979059230303</v>
      </c>
      <c r="X270" s="1">
        <f>(L184+L183)-L180</f>
        <v>33.333060896577081</v>
      </c>
      <c r="Y270" s="1">
        <f>(M184+M183)-M180</f>
        <v>33.333060896577081</v>
      </c>
      <c r="Z270" s="1">
        <f>(J214+J213)-J210</f>
        <v>31.743703503874713</v>
      </c>
      <c r="AA270" s="1">
        <f>(K214+K213)-K210</f>
        <v>31.743703503874713</v>
      </c>
      <c r="AB270" s="1">
        <f>(L214+L213)-L210</f>
        <v>28.48567531023582</v>
      </c>
      <c r="AC270" s="1">
        <f>(M214+M213)-M210</f>
        <v>28.48567531023582</v>
      </c>
      <c r="AD270" s="1">
        <f>(J244+J243)-J241</f>
        <v>33.414291471184697</v>
      </c>
      <c r="AE270" s="1">
        <f>(K244+K243)-K241</f>
        <v>33.414291471184697</v>
      </c>
      <c r="AF270" s="1">
        <f>(L244+L243)-L241</f>
        <v>30.156263277545804</v>
      </c>
      <c r="AG270" s="1">
        <f>(M244+M243)-M241</f>
        <v>30.156263277545804</v>
      </c>
    </row>
    <row r="276" spans="1:43" x14ac:dyDescent="0.25">
      <c r="A276" s="15" t="s">
        <v>811</v>
      </c>
      <c r="B276" s="15"/>
      <c r="C276" s="15"/>
      <c r="D276" s="15"/>
      <c r="E276" s="15"/>
      <c r="F276" s="15"/>
      <c r="G276" s="15"/>
    </row>
    <row r="277" spans="1:43" ht="60" x14ac:dyDescent="0.25">
      <c r="A277" s="167" t="s">
        <v>482</v>
      </c>
      <c r="B277" s="179" t="s">
        <v>667</v>
      </c>
      <c r="C277" s="179" t="s">
        <v>668</v>
      </c>
      <c r="D277" s="167" t="s">
        <v>669</v>
      </c>
      <c r="E277" s="179" t="s">
        <v>489</v>
      </c>
      <c r="F277" s="179" t="s">
        <v>484</v>
      </c>
      <c r="G277" s="179" t="s">
        <v>485</v>
      </c>
      <c r="H277" s="179" t="s">
        <v>486</v>
      </c>
      <c r="I277" s="179" t="s">
        <v>499</v>
      </c>
      <c r="J277" s="201" t="s">
        <v>800</v>
      </c>
      <c r="K277" s="201" t="s">
        <v>801</v>
      </c>
      <c r="L277" s="191" t="s">
        <v>648</v>
      </c>
      <c r="M277" s="191" t="s">
        <v>652</v>
      </c>
      <c r="N277" s="192" t="s">
        <v>651</v>
      </c>
      <c r="O277" s="192" t="s">
        <v>653</v>
      </c>
      <c r="P277" s="193" t="s">
        <v>649</v>
      </c>
      <c r="Q277" s="193" t="s">
        <v>650</v>
      </c>
    </row>
    <row r="278" spans="1:43" x14ac:dyDescent="0.25">
      <c r="A278" s="180" t="s">
        <v>162</v>
      </c>
      <c r="B278" s="17">
        <v>-151.54498057800001</v>
      </c>
      <c r="C278" s="17"/>
      <c r="D278" s="17"/>
      <c r="E278" s="33"/>
      <c r="F278" s="17">
        <v>2.6237E-2</v>
      </c>
      <c r="G278" s="17">
        <v>3.0397E-2</v>
      </c>
      <c r="H278" s="17">
        <v>6.9740000000000002E-3</v>
      </c>
      <c r="I278" s="185">
        <f t="shared" ref="I278:I290" si="84">(G278-H278)*($T$3*$T$4)</f>
        <v>14.698149918976782</v>
      </c>
      <c r="J278" s="202">
        <f>(B278)*($T$3*$T$4)</f>
        <v>-95095.881996493568</v>
      </c>
      <c r="K278" s="202">
        <f>((((2-0)/(2-D278))*B278+(1-((2-0)/(2-D278)))*C278))*($T$3*$T$4)</f>
        <v>-95095.881996493568</v>
      </c>
      <c r="L278" s="186">
        <f t="shared" ref="L278:L297" si="85">(B278+F278)*($T$3*$T$4)</f>
        <v>-95079.418035454233</v>
      </c>
      <c r="M278" s="186">
        <f t="shared" ref="M278:M297" si="86">((((2-0)/(2-D278))*B278+(1-((2-0)/(2-D278)))*C278)+F278)*($T$3*$T$4)</f>
        <v>-95079.418035454233</v>
      </c>
      <c r="N278" s="187">
        <f>(B278+G278)*($T$3*$T$4)</f>
        <v>-95076.807596839935</v>
      </c>
      <c r="O278" s="187">
        <f t="shared" ref="O278:O297" si="87">((((2-0)/(2-D278))*B278+(1-((2-0)/(2-D278)))*C278)+G278)*($T$3*$T$4)</f>
        <v>-95076.807596839935</v>
      </c>
      <c r="P278" s="188">
        <f t="shared" ref="P278:P297" si="88">(B278+H278)*($T$3*$T$4)</f>
        <v>-95091.505746758907</v>
      </c>
      <c r="Q278" s="188">
        <f t="shared" ref="Q278:Q297" si="89">((((2-0)/(2-D278))*B278+(1-((2-0)/(2-D278)))*C278)+H278)*($T$3*$T$4)</f>
        <v>-95091.505746758907</v>
      </c>
      <c r="U278">
        <f>-151.04433656--151.13626709</f>
        <v>9.1930529999984856E-2</v>
      </c>
      <c r="AH278" t="s">
        <v>212</v>
      </c>
      <c r="AL278" t="s">
        <v>169</v>
      </c>
      <c r="AP278" t="s">
        <v>192</v>
      </c>
    </row>
    <row r="279" spans="1:43" x14ac:dyDescent="0.25">
      <c r="A279" s="180" t="s">
        <v>672</v>
      </c>
      <c r="B279" s="17"/>
      <c r="C279" s="17"/>
      <c r="D279" s="17"/>
      <c r="E279" s="33"/>
      <c r="F279" s="17">
        <v>8.3529999999999993E-3</v>
      </c>
      <c r="G279" s="17">
        <v>1.1658E-2</v>
      </c>
      <c r="H279" s="17">
        <v>-5.5529999999999998E-3</v>
      </c>
      <c r="I279" s="185">
        <f t="shared" si="84"/>
        <v>10.800062257418324</v>
      </c>
      <c r="J279" s="202">
        <f t="shared" ref="J279:J297" si="90">(B279)*($T$3*$T$4)</f>
        <v>0</v>
      </c>
      <c r="K279" s="202">
        <f t="shared" ref="K279:K297" si="91">((((2-0)/(2-D279))*B279+(1-((2-0)/(2-D279)))*C279))*($T$3*$T$4)</f>
        <v>0</v>
      </c>
      <c r="L279" s="186">
        <f t="shared" si="85"/>
        <v>5.2415850349320348</v>
      </c>
      <c r="M279" s="186">
        <f t="shared" si="86"/>
        <v>5.2415850349320348</v>
      </c>
      <c r="N279" s="187">
        <f t="shared" ref="N279:N297" si="92">(B279+G279)*($T$3*$T$4)</f>
        <v>7.3155032128861093</v>
      </c>
      <c r="O279" s="187">
        <f t="shared" si="87"/>
        <v>7.3155032128861093</v>
      </c>
      <c r="P279" s="188">
        <f t="shared" si="88"/>
        <v>-3.4845590445322148</v>
      </c>
      <c r="Q279" s="188">
        <f t="shared" si="89"/>
        <v>-3.4845590445322148</v>
      </c>
      <c r="U279" s="6">
        <f>U278*($T$3*$T$4)</f>
        <v>57.687260900429919</v>
      </c>
      <c r="AF279" t="s">
        <v>773</v>
      </c>
      <c r="AG279" s="6"/>
      <c r="AH279" s="1" t="s">
        <v>685</v>
      </c>
      <c r="AI279" s="1" t="s">
        <v>684</v>
      </c>
      <c r="AJ279" t="s">
        <v>802</v>
      </c>
      <c r="AK279" t="s">
        <v>803</v>
      </c>
      <c r="AL279" t="s">
        <v>685</v>
      </c>
      <c r="AM279" t="s">
        <v>684</v>
      </c>
      <c r="AN279" t="s">
        <v>802</v>
      </c>
      <c r="AO279" t="s">
        <v>803</v>
      </c>
      <c r="AP279" t="s">
        <v>685</v>
      </c>
      <c r="AQ279" t="s">
        <v>684</v>
      </c>
    </row>
    <row r="280" spans="1:43" x14ac:dyDescent="0.25">
      <c r="A280" s="180" t="s">
        <v>439</v>
      </c>
      <c r="B280" s="17">
        <v>-76.4323536144</v>
      </c>
      <c r="C280" s="17"/>
      <c r="D280" s="17"/>
      <c r="E280" s="33"/>
      <c r="F280" s="17">
        <v>2.1045000000000001E-2</v>
      </c>
      <c r="G280" s="17">
        <v>2.4825E-2</v>
      </c>
      <c r="H280" s="17">
        <v>5.7689999999999998E-3</v>
      </c>
      <c r="I280" s="185">
        <f t="shared" si="84"/>
        <v>11.957816883235349</v>
      </c>
      <c r="J280" s="202">
        <f t="shared" si="90"/>
        <v>-47962.011359975157</v>
      </c>
      <c r="K280" s="202">
        <f t="shared" si="91"/>
        <v>-47962.011359975157</v>
      </c>
      <c r="L280" s="186">
        <f t="shared" si="85"/>
        <v>-47948.805427129453</v>
      </c>
      <c r="M280" s="186">
        <f t="shared" si="86"/>
        <v>-47948.805427129453</v>
      </c>
      <c r="N280" s="187">
        <f t="shared" si="92"/>
        <v>-47946.433442042413</v>
      </c>
      <c r="O280" s="187">
        <f t="shared" si="87"/>
        <v>-47946.433442042413</v>
      </c>
      <c r="P280" s="188">
        <f t="shared" si="88"/>
        <v>-47958.391258925651</v>
      </c>
      <c r="Q280" s="188">
        <f t="shared" si="89"/>
        <v>-47958.391258925651</v>
      </c>
      <c r="AF280" t="s">
        <v>837</v>
      </c>
      <c r="AG280">
        <v>0</v>
      </c>
      <c r="AH280" s="6">
        <f>J181-J180</f>
        <v>109.46655955871393</v>
      </c>
      <c r="AI280" s="6">
        <f>K181-K180</f>
        <v>109.46655955871393</v>
      </c>
    </row>
    <row r="281" spans="1:43" x14ac:dyDescent="0.25">
      <c r="A281" s="180" t="s">
        <v>725</v>
      </c>
      <c r="B281" s="17"/>
      <c r="C281" s="17"/>
      <c r="D281" s="17"/>
      <c r="E281" s="33"/>
      <c r="F281" s="17">
        <v>0</v>
      </c>
      <c r="G281" s="17">
        <v>2.3600000000000001E-3</v>
      </c>
      <c r="H281" s="17">
        <v>-1.1932999999999999E-2</v>
      </c>
      <c r="I281" s="185">
        <f t="shared" si="84"/>
        <v>8.9689901717087963</v>
      </c>
      <c r="J281" s="202">
        <f t="shared" si="90"/>
        <v>0</v>
      </c>
      <c r="K281" s="202">
        <f t="shared" si="91"/>
        <v>0</v>
      </c>
      <c r="L281" s="186">
        <f t="shared" si="85"/>
        <v>0</v>
      </c>
      <c r="M281" s="186">
        <f t="shared" si="86"/>
        <v>0</v>
      </c>
      <c r="N281" s="187">
        <f t="shared" si="92"/>
        <v>1.4809219061941343</v>
      </c>
      <c r="O281" s="187">
        <f t="shared" si="87"/>
        <v>1.4809219061941343</v>
      </c>
      <c r="P281" s="188">
        <f t="shared" si="88"/>
        <v>-7.488068265514662</v>
      </c>
      <c r="Q281" s="188">
        <f t="shared" si="89"/>
        <v>-7.488068265514662</v>
      </c>
      <c r="AF281" t="s">
        <v>837</v>
      </c>
      <c r="AG281">
        <v>1</v>
      </c>
      <c r="AH281" s="6">
        <f>J181-J180</f>
        <v>109.46655955871393</v>
      </c>
      <c r="AI281" s="6">
        <f>K181-K180</f>
        <v>109.46655955871393</v>
      </c>
    </row>
    <row r="282" spans="1:43" x14ac:dyDescent="0.25">
      <c r="A282" s="180"/>
      <c r="B282" s="17"/>
      <c r="C282" s="17"/>
      <c r="D282" s="17"/>
      <c r="E282" s="33"/>
      <c r="F282" s="17"/>
      <c r="G282" s="17"/>
      <c r="H282" s="17"/>
      <c r="I282" s="185">
        <f t="shared" si="84"/>
        <v>0</v>
      </c>
      <c r="J282" s="202">
        <f t="shared" si="90"/>
        <v>0</v>
      </c>
      <c r="K282" s="202">
        <f t="shared" si="91"/>
        <v>0</v>
      </c>
      <c r="L282" s="186">
        <f t="shared" si="85"/>
        <v>0</v>
      </c>
      <c r="M282" s="186">
        <f t="shared" si="86"/>
        <v>0</v>
      </c>
      <c r="N282" s="187">
        <f t="shared" si="92"/>
        <v>0</v>
      </c>
      <c r="O282" s="187">
        <f t="shared" si="87"/>
        <v>0</v>
      </c>
      <c r="P282" s="188">
        <f t="shared" si="88"/>
        <v>0</v>
      </c>
      <c r="Q282" s="188">
        <f t="shared" si="89"/>
        <v>0</v>
      </c>
      <c r="AF282" t="s">
        <v>841</v>
      </c>
      <c r="AG282">
        <v>2</v>
      </c>
      <c r="AH282" s="1">
        <f>J192-J180</f>
        <v>47.071849524436402</v>
      </c>
      <c r="AI282" s="1">
        <f>K192-K180</f>
        <v>47.071849524436402</v>
      </c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80" t="s">
        <v>793</v>
      </c>
      <c r="B283" s="17">
        <v>-151.482247648</v>
      </c>
      <c r="C283" s="17">
        <v>-151.48224049300001</v>
      </c>
      <c r="D283" s="17">
        <v>1.0067999999999999</v>
      </c>
      <c r="E283" s="33"/>
      <c r="F283" s="17">
        <v>1.9056E-2</v>
      </c>
      <c r="G283" s="17">
        <v>2.4662E-2</v>
      </c>
      <c r="H283" s="17">
        <v>-2.3189999999999999E-3</v>
      </c>
      <c r="I283" s="185">
        <f t="shared" si="84"/>
        <v>16.930827945349122</v>
      </c>
      <c r="J283" s="202">
        <f t="shared" si="90"/>
        <v>-95056.516500613594</v>
      </c>
      <c r="K283" s="202">
        <f t="shared" si="91"/>
        <v>-95056.521051922216</v>
      </c>
      <c r="L283" s="186">
        <f t="shared" si="85"/>
        <v>-95044.558683730342</v>
      </c>
      <c r="M283" s="186">
        <f t="shared" si="86"/>
        <v>-95044.563235038979</v>
      </c>
      <c r="N283" s="187">
        <f t="shared" si="92"/>
        <v>-95041.04086669386</v>
      </c>
      <c r="O283" s="187">
        <f t="shared" si="87"/>
        <v>-95041.045418002483</v>
      </c>
      <c r="P283" s="188">
        <f t="shared" si="88"/>
        <v>-95057.9716946392</v>
      </c>
      <c r="Q283" s="188">
        <f t="shared" si="89"/>
        <v>-95057.976245947837</v>
      </c>
      <c r="AF283" t="s">
        <v>841</v>
      </c>
      <c r="AG283">
        <v>3</v>
      </c>
      <c r="AH283" s="1">
        <f>J192-J180</f>
        <v>47.071849524436402</v>
      </c>
      <c r="AI283" s="1">
        <f>K192-K180</f>
        <v>47.071849524436402</v>
      </c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80" t="s">
        <v>794</v>
      </c>
      <c r="B284" s="17"/>
      <c r="C284" s="17"/>
      <c r="D284" s="17"/>
      <c r="E284" s="33"/>
      <c r="F284" s="17">
        <v>1.8631999999999999E-2</v>
      </c>
      <c r="G284" s="17">
        <v>2.4471E-2</v>
      </c>
      <c r="H284" s="17">
        <v>-4.0720000000000001E-3</v>
      </c>
      <c r="I284" s="185">
        <f t="shared" si="84"/>
        <v>17.91099744427931</v>
      </c>
      <c r="J284" s="202">
        <f t="shared" si="90"/>
        <v>0</v>
      </c>
      <c r="K284" s="202">
        <f t="shared" si="91"/>
        <v>0</v>
      </c>
      <c r="L284" s="186">
        <f t="shared" si="85"/>
        <v>11.691752947546233</v>
      </c>
      <c r="M284" s="186">
        <f t="shared" si="86"/>
        <v>11.691752947546233</v>
      </c>
      <c r="N284" s="187">
        <f t="shared" si="92"/>
        <v>15.355779646812143</v>
      </c>
      <c r="O284" s="187">
        <f t="shared" si="87"/>
        <v>15.355779646812143</v>
      </c>
      <c r="P284" s="188">
        <f t="shared" si="88"/>
        <v>-2.5552177974671673</v>
      </c>
      <c r="Q284" s="188">
        <f t="shared" si="89"/>
        <v>-2.5552177974671673</v>
      </c>
      <c r="AF284" t="s">
        <v>840</v>
      </c>
      <c r="AG284">
        <v>4</v>
      </c>
      <c r="AH284" s="1">
        <f>J187-J180</f>
        <v>47.054894223634619</v>
      </c>
      <c r="AI284" s="1">
        <f>K187-K180</f>
        <v>47.054894223634619</v>
      </c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80"/>
      <c r="B285" s="17"/>
      <c r="C285" s="17"/>
      <c r="D285" s="17"/>
      <c r="E285" s="33"/>
      <c r="F285" s="17"/>
      <c r="G285" s="17"/>
      <c r="H285" s="17"/>
      <c r="I285" s="185">
        <f t="shared" si="84"/>
        <v>0</v>
      </c>
      <c r="J285" s="202">
        <f t="shared" si="90"/>
        <v>0</v>
      </c>
      <c r="K285" s="202">
        <f t="shared" si="91"/>
        <v>0</v>
      </c>
      <c r="L285" s="186">
        <f t="shared" si="85"/>
        <v>0</v>
      </c>
      <c r="M285" s="186">
        <f t="shared" si="86"/>
        <v>0</v>
      </c>
      <c r="N285" s="187">
        <f t="shared" si="92"/>
        <v>0</v>
      </c>
      <c r="O285" s="187">
        <f t="shared" si="87"/>
        <v>0</v>
      </c>
      <c r="P285" s="188">
        <f t="shared" si="88"/>
        <v>0</v>
      </c>
      <c r="Q285" s="188">
        <f t="shared" si="89"/>
        <v>0</v>
      </c>
      <c r="U285">
        <f>-151.1492088--151.22565212</f>
        <v>7.6443320000009862E-2</v>
      </c>
      <c r="AF285" t="s">
        <v>840</v>
      </c>
      <c r="AG285">
        <v>5</v>
      </c>
      <c r="AH285" s="1">
        <f>J187-J180</f>
        <v>47.054894223634619</v>
      </c>
      <c r="AI285" s="1">
        <f>K187-K180</f>
        <v>47.054894223634619</v>
      </c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80" t="s">
        <v>746</v>
      </c>
      <c r="B286" s="183">
        <v>-151.48044400000001</v>
      </c>
      <c r="C286" s="17">
        <v>-151.480323809</v>
      </c>
      <c r="D286" s="17">
        <v>0.99950000000000006</v>
      </c>
      <c r="E286" s="33">
        <v>217.52</v>
      </c>
      <c r="F286" s="17">
        <v>1.8324E-2</v>
      </c>
      <c r="G286" s="17">
        <v>2.3525000000000001E-2</v>
      </c>
      <c r="H286" s="17">
        <v>-2.7539999999999999E-3</v>
      </c>
      <c r="I286" s="185">
        <f t="shared" si="84"/>
        <v>16.490316429184599</v>
      </c>
      <c r="J286" s="202">
        <f t="shared" si="90"/>
        <v>-95055.384694751614</v>
      </c>
      <c r="K286" s="202">
        <f t="shared" si="91"/>
        <v>-95055.460040336504</v>
      </c>
      <c r="L286" s="186">
        <f t="shared" si="85"/>
        <v>-95043.886214663013</v>
      </c>
      <c r="M286" s="186">
        <f t="shared" si="86"/>
        <v>-95043.961560247888</v>
      </c>
      <c r="N286" s="187">
        <f t="shared" si="92"/>
        <v>-95040.622538885844</v>
      </c>
      <c r="O286" s="187">
        <f t="shared" si="87"/>
        <v>-95040.697884470719</v>
      </c>
      <c r="P286" s="188">
        <f t="shared" si="88"/>
        <v>-95057.112855315034</v>
      </c>
      <c r="Q286" s="188">
        <f t="shared" si="89"/>
        <v>-95057.188200899924</v>
      </c>
      <c r="U286" s="6">
        <f>U285*($T$3*$T$4)</f>
        <v>47.968892868738472</v>
      </c>
      <c r="AF286" t="s">
        <v>743</v>
      </c>
      <c r="AG286">
        <v>6</v>
      </c>
      <c r="AH286" s="1">
        <f>2*J182-J180</f>
        <v>50.644504597119521</v>
      </c>
      <c r="AI286" s="1">
        <f>2*K182-K180</f>
        <v>50.644504597119521</v>
      </c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80" t="s">
        <v>747</v>
      </c>
      <c r="B287" s="17"/>
      <c r="C287" s="17"/>
      <c r="D287" s="17"/>
      <c r="E287" s="33">
        <v>145.66</v>
      </c>
      <c r="F287" s="17">
        <v>1.8526000000000001E-2</v>
      </c>
      <c r="G287" s="17">
        <v>2.3501999999999999E-2</v>
      </c>
      <c r="H287" s="17">
        <v>-3.235E-3</v>
      </c>
      <c r="I287" s="185">
        <f t="shared" si="84"/>
        <v>16.777715680471424</v>
      </c>
      <c r="J287" s="202">
        <f t="shared" si="90"/>
        <v>0</v>
      </c>
      <c r="K287" s="202">
        <f t="shared" si="91"/>
        <v>0</v>
      </c>
      <c r="L287" s="186">
        <f t="shared" si="85"/>
        <v>11.625236963623955</v>
      </c>
      <c r="M287" s="186">
        <f t="shared" si="86"/>
        <v>11.625236963623955</v>
      </c>
      <c r="N287" s="187">
        <f t="shared" si="92"/>
        <v>14.747723152277349</v>
      </c>
      <c r="O287" s="187">
        <f t="shared" si="87"/>
        <v>14.747723152277349</v>
      </c>
      <c r="P287" s="188">
        <f t="shared" si="88"/>
        <v>-2.0299925281940783</v>
      </c>
      <c r="Q287" s="188">
        <f t="shared" si="89"/>
        <v>-2.0299925281940783</v>
      </c>
      <c r="AF287" t="s">
        <v>743</v>
      </c>
      <c r="AG287">
        <v>7</v>
      </c>
      <c r="AH287" s="1">
        <f>2*J182-J180</f>
        <v>50.644504597119521</v>
      </c>
      <c r="AI287" s="1">
        <f>2*K182-K180</f>
        <v>50.644504597119521</v>
      </c>
      <c r="AJ287" s="1">
        <f>2*L182-L180</f>
        <v>45.003823658640613</v>
      </c>
      <c r="AK287" s="1">
        <f>2*M182-M180</f>
        <v>45.003823658640613</v>
      </c>
      <c r="AL287" s="1">
        <f>2*J212-J210</f>
        <v>49.708816219150322</v>
      </c>
      <c r="AM287" s="1">
        <f>2*K212-K210</f>
        <v>49.708816219150322</v>
      </c>
      <c r="AN287" s="1">
        <f>2*L212-L210</f>
        <v>43.728025249671191</v>
      </c>
      <c r="AO287" s="1">
        <f>2*M212-M210</f>
        <v>43.728025249671191</v>
      </c>
      <c r="AP287" s="1">
        <f>2*J242-J241</f>
        <v>51.508953226759331</v>
      </c>
      <c r="AQ287" s="1">
        <f>2*K242-K241</f>
        <v>51.508953226759331</v>
      </c>
    </row>
    <row r="288" spans="1:43" x14ac:dyDescent="0.25">
      <c r="A288" s="180" t="s">
        <v>750</v>
      </c>
      <c r="B288" s="17"/>
      <c r="C288" s="17"/>
      <c r="D288" s="17"/>
      <c r="E288" s="33"/>
      <c r="F288" s="17">
        <v>2.2603999999999999E-2</v>
      </c>
      <c r="G288" s="17">
        <v>2.6983E-2</v>
      </c>
      <c r="H288" s="17">
        <v>2.4120000000000001E-3</v>
      </c>
      <c r="I288" s="185">
        <f t="shared" si="84"/>
        <v>15.418530575040709</v>
      </c>
      <c r="J288" s="202">
        <f t="shared" si="90"/>
        <v>0</v>
      </c>
      <c r="K288" s="202">
        <f t="shared" si="91"/>
        <v>0</v>
      </c>
      <c r="L288" s="186">
        <f t="shared" si="85"/>
        <v>14.184219816784834</v>
      </c>
      <c r="M288" s="186">
        <f t="shared" si="86"/>
        <v>14.184219816784834</v>
      </c>
      <c r="N288" s="187">
        <f t="shared" si="92"/>
        <v>16.932082963913697</v>
      </c>
      <c r="O288" s="187">
        <f t="shared" si="87"/>
        <v>16.932082963913697</v>
      </c>
      <c r="P288" s="188">
        <f t="shared" si="88"/>
        <v>1.513552388872988</v>
      </c>
      <c r="Q288" s="188">
        <f t="shared" si="89"/>
        <v>1.513552388872988</v>
      </c>
      <c r="AF288" t="s">
        <v>758</v>
      </c>
      <c r="AG288">
        <v>8</v>
      </c>
      <c r="AH288" s="1">
        <f>J188-J180</f>
        <v>46.773939492675709</v>
      </c>
      <c r="AI288" s="1">
        <f>K188-K180</f>
        <v>46.773939492675709</v>
      </c>
      <c r="AJ288" s="1">
        <f>L188-L180</f>
        <v>42.341841431887588</v>
      </c>
      <c r="AK288" s="1">
        <f>M188-M180</f>
        <v>42.341841431887588</v>
      </c>
      <c r="AL288" s="1">
        <f>J217-J210</f>
        <v>45.25648211351654</v>
      </c>
      <c r="AM288" s="1">
        <f>K217-K210</f>
        <v>45.25648211351654</v>
      </c>
      <c r="AN288" s="1">
        <f>L217-L210</f>
        <v>40.484274021728197</v>
      </c>
      <c r="AO288" s="1">
        <f>M217-M210</f>
        <v>40.484274021728197</v>
      </c>
      <c r="AP288" s="1">
        <f>J247-J241</f>
        <v>47.543160451197764</v>
      </c>
      <c r="AQ288" s="1">
        <f>K247-K241</f>
        <v>47.543160451197764</v>
      </c>
    </row>
    <row r="289" spans="1:43" x14ac:dyDescent="0.25">
      <c r="A289" s="180"/>
      <c r="B289" s="17"/>
      <c r="C289" s="17"/>
      <c r="D289" s="17"/>
      <c r="E289" s="33"/>
      <c r="F289" s="17"/>
      <c r="G289" s="17"/>
      <c r="H289" s="17"/>
      <c r="I289" s="185">
        <f t="shared" si="84"/>
        <v>0</v>
      </c>
      <c r="J289" s="202">
        <f t="shared" si="90"/>
        <v>0</v>
      </c>
      <c r="K289" s="202">
        <f t="shared" si="91"/>
        <v>0</v>
      </c>
      <c r="L289" s="186">
        <f t="shared" si="85"/>
        <v>0</v>
      </c>
      <c r="M289" s="186">
        <f t="shared" si="86"/>
        <v>0</v>
      </c>
      <c r="N289" s="187">
        <f t="shared" si="92"/>
        <v>0</v>
      </c>
      <c r="O289" s="187">
        <f t="shared" si="87"/>
        <v>0</v>
      </c>
      <c r="P289" s="188">
        <f t="shared" si="88"/>
        <v>0</v>
      </c>
      <c r="Q289" s="188">
        <f t="shared" si="89"/>
        <v>0</v>
      </c>
      <c r="AF289" t="s">
        <v>758</v>
      </c>
      <c r="AG289">
        <v>9</v>
      </c>
      <c r="AH289" s="1">
        <f>J188-J180</f>
        <v>46.773939492675709</v>
      </c>
      <c r="AI289" s="1">
        <f>K188-K180</f>
        <v>46.773939492675709</v>
      </c>
      <c r="AJ289" s="1">
        <f>L188-L180</f>
        <v>42.341841431887588</v>
      </c>
      <c r="AK289" s="1">
        <f>M188-M180</f>
        <v>42.341841431887588</v>
      </c>
      <c r="AL289" s="1">
        <f>J217-J210</f>
        <v>45.25648211351654</v>
      </c>
      <c r="AM289" s="1">
        <f>K217-K210</f>
        <v>45.25648211351654</v>
      </c>
      <c r="AN289" s="1">
        <f>L217-L210</f>
        <v>40.484274021728197</v>
      </c>
      <c r="AO289" s="1">
        <f>M217-M210</f>
        <v>40.484274021728197</v>
      </c>
      <c r="AP289" s="1">
        <f>J247-J241</f>
        <v>47.543160451197764</v>
      </c>
      <c r="AQ289" s="1">
        <f>K247-K241</f>
        <v>47.543160451197764</v>
      </c>
    </row>
    <row r="290" spans="1:43" x14ac:dyDescent="0.25">
      <c r="A290" s="180" t="s">
        <v>761</v>
      </c>
      <c r="B290" s="17"/>
      <c r="C290" s="17"/>
      <c r="D290" s="17"/>
      <c r="E290" s="33">
        <v>784.07</v>
      </c>
      <c r="F290" s="17">
        <v>1.6056000000000001E-2</v>
      </c>
      <c r="G290" s="17">
        <v>2.0826999999999998E-2</v>
      </c>
      <c r="H290" s="17">
        <v>-5.2110000000000004E-3</v>
      </c>
      <c r="I290" s="185">
        <f t="shared" si="84"/>
        <v>16.339086692153757</v>
      </c>
      <c r="J290" s="202">
        <f t="shared" si="90"/>
        <v>0</v>
      </c>
      <c r="K290" s="202">
        <f t="shared" si="91"/>
        <v>0</v>
      </c>
      <c r="L290" s="186">
        <f t="shared" si="85"/>
        <v>10.075289036378399</v>
      </c>
      <c r="M290" s="186">
        <f t="shared" si="86"/>
        <v>10.075289036378399</v>
      </c>
      <c r="N290" s="187">
        <f t="shared" si="92"/>
        <v>13.069135822163233</v>
      </c>
      <c r="O290" s="187">
        <f t="shared" si="87"/>
        <v>13.069135822163233</v>
      </c>
      <c r="P290" s="188">
        <f t="shared" si="88"/>
        <v>-3.2699508699905229</v>
      </c>
      <c r="Q290" s="188">
        <f t="shared" si="89"/>
        <v>-3.2699508699905229</v>
      </c>
      <c r="AF290" t="s">
        <v>790</v>
      </c>
      <c r="AG290">
        <v>10</v>
      </c>
      <c r="AH290" s="200">
        <f>J200-J180</f>
        <v>53.693308645830257</v>
      </c>
      <c r="AI290" s="200">
        <f>K200-K180</f>
        <v>53.693308645830257</v>
      </c>
      <c r="AJ290" s="200">
        <f>L200-L180</f>
        <v>48.483099075019709</v>
      </c>
      <c r="AK290" s="200">
        <f>M200-M180</f>
        <v>48.483099075019709</v>
      </c>
      <c r="AL290" s="1">
        <f>J226-J210</f>
        <v>56.233718479255913</v>
      </c>
      <c r="AM290" s="1">
        <f>K226-K210</f>
        <v>56.233718479255913</v>
      </c>
      <c r="AN290" s="1">
        <f>L226-L210</f>
        <v>50.683398877430591</v>
      </c>
      <c r="AO290" s="1">
        <f>M226-M210</f>
        <v>50.683398877430591</v>
      </c>
      <c r="AP290" s="1">
        <f>J256-J241</f>
        <v>64.704705989395734</v>
      </c>
      <c r="AQ290" s="1">
        <f>K256-K241</f>
        <v>64.704705989395734</v>
      </c>
    </row>
    <row r="291" spans="1:43" x14ac:dyDescent="0.25">
      <c r="A291" s="180" t="s">
        <v>763</v>
      </c>
      <c r="B291" s="17"/>
      <c r="C291" s="17"/>
      <c r="D291" s="17"/>
      <c r="E291" s="33"/>
      <c r="F291" s="17">
        <v>2.2093000000000002E-2</v>
      </c>
      <c r="G291" s="17">
        <v>2.7744999999999999E-2</v>
      </c>
      <c r="H291" s="17">
        <v>-9.1600000000000004E-4</v>
      </c>
      <c r="I291" s="185">
        <f t="shared" ref="I291:I297" si="93">(G291-H291)*($T$3*$T$4)</f>
        <v>17.985043539589018</v>
      </c>
      <c r="J291" s="202">
        <f t="shared" si="90"/>
        <v>0</v>
      </c>
      <c r="K291" s="202">
        <f t="shared" si="91"/>
        <v>0</v>
      </c>
      <c r="L291" s="186">
        <f t="shared" si="85"/>
        <v>13.863562573536869</v>
      </c>
      <c r="M291" s="186">
        <f t="shared" si="86"/>
        <v>13.863562573536869</v>
      </c>
      <c r="N291" s="187">
        <f t="shared" si="92"/>
        <v>17.410245037015361</v>
      </c>
      <c r="O291" s="187">
        <f t="shared" si="87"/>
        <v>17.410245037015361</v>
      </c>
      <c r="P291" s="188">
        <f t="shared" si="88"/>
        <v>-0.5747985025736555</v>
      </c>
      <c r="Q291" s="188">
        <f t="shared" si="89"/>
        <v>-0.5747985025736555</v>
      </c>
      <c r="AF291" t="s">
        <v>790</v>
      </c>
      <c r="AG291">
        <v>11</v>
      </c>
      <c r="AH291" s="1">
        <f>J200-J180</f>
        <v>53.693308645830257</v>
      </c>
      <c r="AI291" s="1">
        <f>K200-K180</f>
        <v>53.693308645830257</v>
      </c>
      <c r="AJ291" s="1">
        <f>L200-L180</f>
        <v>48.483099075019709</v>
      </c>
      <c r="AK291" s="1">
        <f>M200-M180</f>
        <v>48.483099075019709</v>
      </c>
      <c r="AL291" s="1">
        <f>J226-J210</f>
        <v>56.233718479255913</v>
      </c>
      <c r="AM291" s="1">
        <f>K226-K210</f>
        <v>56.233718479255913</v>
      </c>
      <c r="AN291" s="1">
        <f>L226-L210</f>
        <v>50.683398877430591</v>
      </c>
      <c r="AO291" s="1">
        <f>M226-M210</f>
        <v>50.683398877430591</v>
      </c>
      <c r="AP291" s="1">
        <f>J256-J241</f>
        <v>64.704705989395734</v>
      </c>
      <c r="AQ291" s="1">
        <f>K256-K241</f>
        <v>64.704705989395734</v>
      </c>
    </row>
    <row r="292" spans="1:43" x14ac:dyDescent="0.25">
      <c r="A292" s="180"/>
      <c r="B292" s="17"/>
      <c r="C292" s="17"/>
      <c r="D292" s="17"/>
      <c r="E292" s="33"/>
      <c r="F292" s="17"/>
      <c r="G292" s="17"/>
      <c r="H292" s="17"/>
      <c r="I292" s="185">
        <f t="shared" si="93"/>
        <v>0</v>
      </c>
      <c r="J292" s="202">
        <f t="shared" si="90"/>
        <v>0</v>
      </c>
      <c r="K292" s="202">
        <f t="shared" si="91"/>
        <v>0</v>
      </c>
      <c r="L292" s="186">
        <f t="shared" si="85"/>
        <v>0</v>
      </c>
      <c r="M292" s="186">
        <f t="shared" si="86"/>
        <v>0</v>
      </c>
      <c r="N292" s="187">
        <f t="shared" si="92"/>
        <v>0</v>
      </c>
      <c r="O292" s="187">
        <f t="shared" si="87"/>
        <v>0</v>
      </c>
      <c r="P292" s="188">
        <f t="shared" si="88"/>
        <v>0</v>
      </c>
      <c r="Q292" s="188">
        <f t="shared" si="89"/>
        <v>0</v>
      </c>
      <c r="AF292" t="s">
        <v>791</v>
      </c>
      <c r="AG292">
        <v>12</v>
      </c>
      <c r="AH292" s="1">
        <f>J202-J180</f>
        <v>34.525165380517137</v>
      </c>
      <c r="AI292" s="1">
        <f>K202-K180</f>
        <v>34.525165380517137</v>
      </c>
      <c r="AJ292" s="1">
        <f>L202-L180</f>
        <v>32.295624900551047</v>
      </c>
      <c r="AK292" s="1">
        <f>M202-M180</f>
        <v>32.295624900551047</v>
      </c>
      <c r="AL292" s="1">
        <f>J227-J210</f>
        <v>29.498315276985522</v>
      </c>
      <c r="AM292" s="1">
        <f>K227-K210</f>
        <v>29.498315276985522</v>
      </c>
      <c r="AN292" s="1">
        <f>L227-L210</f>
        <v>26.92866476601921</v>
      </c>
      <c r="AO292" s="1">
        <f>M227-M210</f>
        <v>26.92866476601921</v>
      </c>
      <c r="AP292" s="1">
        <f>J257-J241</f>
        <v>31.528022915998008</v>
      </c>
      <c r="AQ292" s="1">
        <f>K257-K241</f>
        <v>31.528022915998008</v>
      </c>
    </row>
    <row r="293" spans="1:43" x14ac:dyDescent="0.25">
      <c r="A293" s="180" t="s">
        <v>796</v>
      </c>
      <c r="B293" s="17"/>
      <c r="C293" s="17"/>
      <c r="D293" s="17"/>
      <c r="E293" s="33">
        <v>2029.13</v>
      </c>
      <c r="F293" s="17">
        <v>1.7392000000000001E-2</v>
      </c>
      <c r="G293" s="17">
        <v>2.1621999999999999E-2</v>
      </c>
      <c r="H293" s="17">
        <v>-3.4099999999999998E-3</v>
      </c>
      <c r="I293" s="185">
        <f t="shared" si="93"/>
        <v>15.707812354174392</v>
      </c>
      <c r="J293" s="202">
        <f t="shared" si="90"/>
        <v>0</v>
      </c>
      <c r="K293" s="202">
        <f t="shared" si="91"/>
        <v>0</v>
      </c>
      <c r="L293" s="186">
        <f t="shared" si="85"/>
        <v>10.913641437512027</v>
      </c>
      <c r="M293" s="186">
        <f t="shared" si="86"/>
        <v>10.913641437512027</v>
      </c>
      <c r="N293" s="187">
        <f t="shared" si="92"/>
        <v>13.568005701580326</v>
      </c>
      <c r="O293" s="187">
        <f t="shared" si="87"/>
        <v>13.568005701580326</v>
      </c>
      <c r="P293" s="188">
        <f t="shared" si="88"/>
        <v>-2.1398066525940669</v>
      </c>
      <c r="Q293" s="188">
        <f t="shared" si="89"/>
        <v>-2.1398066525940669</v>
      </c>
      <c r="AF293" t="s">
        <v>791</v>
      </c>
      <c r="AG293">
        <v>13</v>
      </c>
      <c r="AH293" s="1">
        <f>J202-J180</f>
        <v>34.525165380517137</v>
      </c>
      <c r="AI293" s="1">
        <f>K202-K180</f>
        <v>34.525165380517137</v>
      </c>
      <c r="AJ293" s="1">
        <f>L202-L180</f>
        <v>32.295624900551047</v>
      </c>
      <c r="AK293" s="1">
        <f>M202-M180</f>
        <v>32.295624900551047</v>
      </c>
      <c r="AL293" s="1">
        <f>J227-J210</f>
        <v>29.498315276985522</v>
      </c>
      <c r="AM293" s="1">
        <f>K227-K210</f>
        <v>29.498315276985522</v>
      </c>
      <c r="AN293" s="1">
        <f>L227-L210</f>
        <v>26.92866476601921</v>
      </c>
      <c r="AO293" s="1">
        <f>M227-M210</f>
        <v>26.92866476601921</v>
      </c>
      <c r="AP293" s="1">
        <f>J257-J241</f>
        <v>31.528022915998008</v>
      </c>
      <c r="AQ293" s="1">
        <f>K257-K241</f>
        <v>31.528022915998008</v>
      </c>
    </row>
    <row r="294" spans="1:43" x14ac:dyDescent="0.25">
      <c r="A294" s="180" t="s">
        <v>797</v>
      </c>
      <c r="B294" s="17"/>
      <c r="C294" s="17"/>
      <c r="D294" s="17"/>
      <c r="E294" s="33"/>
      <c r="F294" s="17">
        <v>2.2141999999999998E-2</v>
      </c>
      <c r="G294" s="17">
        <v>2.7723000000000001E-2</v>
      </c>
      <c r="H294" s="17">
        <v>-6.6799999999999997E-4</v>
      </c>
      <c r="I294" s="185">
        <f t="shared" si="93"/>
        <v>17.815616033371892</v>
      </c>
      <c r="J294" s="202">
        <f t="shared" si="90"/>
        <v>0</v>
      </c>
      <c r="K294" s="202">
        <f t="shared" si="91"/>
        <v>0</v>
      </c>
      <c r="L294" s="186">
        <f t="shared" si="85"/>
        <v>13.894310528368864</v>
      </c>
      <c r="M294" s="186">
        <f t="shared" si="86"/>
        <v>13.894310528368864</v>
      </c>
      <c r="N294" s="187">
        <f t="shared" si="92"/>
        <v>17.396439832805079</v>
      </c>
      <c r="O294" s="187">
        <f t="shared" si="87"/>
        <v>17.396439832805079</v>
      </c>
      <c r="P294" s="188">
        <f t="shared" si="88"/>
        <v>-0.41917620056681426</v>
      </c>
      <c r="Q294" s="188">
        <f t="shared" si="89"/>
        <v>-0.41917620056681426</v>
      </c>
      <c r="AF294" t="s">
        <v>755</v>
      </c>
      <c r="AG294">
        <v>14</v>
      </c>
      <c r="AH294" s="1">
        <f>(J184+J183)-J180</f>
        <v>36.250979059230303</v>
      </c>
      <c r="AI294" s="1">
        <f>(K184+K183)-K180</f>
        <v>36.250979059230303</v>
      </c>
      <c r="AJ294" s="1">
        <f>(L184+L183)-L180</f>
        <v>33.333060896577081</v>
      </c>
      <c r="AK294" s="1">
        <f>(M184+M183)-M180</f>
        <v>33.333060896577081</v>
      </c>
      <c r="AL294" s="1">
        <f>(J214+J213)-J210</f>
        <v>31.743703503874713</v>
      </c>
      <c r="AM294" s="1">
        <f>(K214+K213)-K210</f>
        <v>31.743703503874713</v>
      </c>
      <c r="AN294" s="1">
        <f>(L214+L213)-L210</f>
        <v>28.48567531023582</v>
      </c>
      <c r="AO294" s="1">
        <f>(M214+M213)-M210</f>
        <v>28.48567531023582</v>
      </c>
      <c r="AP294" s="1">
        <f>(J244+J243)-J241</f>
        <v>33.414291471184697</v>
      </c>
      <c r="AQ294" s="1">
        <f>(K244+K243)-K241</f>
        <v>33.414291471184697</v>
      </c>
    </row>
    <row r="295" spans="1:43" x14ac:dyDescent="0.25">
      <c r="A295" s="180"/>
      <c r="B295" s="17"/>
      <c r="C295" s="17"/>
      <c r="D295" s="17"/>
      <c r="E295" s="33"/>
      <c r="F295" s="17"/>
      <c r="G295" s="17"/>
      <c r="H295" s="17"/>
      <c r="I295" s="185">
        <f t="shared" si="93"/>
        <v>0</v>
      </c>
      <c r="J295" s="202">
        <f t="shared" si="90"/>
        <v>0</v>
      </c>
      <c r="K295" s="202">
        <f t="shared" si="91"/>
        <v>0</v>
      </c>
      <c r="L295" s="186">
        <f t="shared" si="85"/>
        <v>0</v>
      </c>
      <c r="M295" s="186">
        <f t="shared" si="86"/>
        <v>0</v>
      </c>
      <c r="N295" s="187">
        <f t="shared" si="92"/>
        <v>0</v>
      </c>
      <c r="O295" s="187">
        <f t="shared" si="87"/>
        <v>0</v>
      </c>
      <c r="P295" s="188">
        <f t="shared" si="88"/>
        <v>0</v>
      </c>
      <c r="Q295" s="188">
        <f t="shared" si="89"/>
        <v>0</v>
      </c>
      <c r="AF295" t="s">
        <v>755</v>
      </c>
      <c r="AG295">
        <v>15</v>
      </c>
      <c r="AH295" s="1">
        <f>(J184+J183)-J180</f>
        <v>36.250979059230303</v>
      </c>
      <c r="AI295" s="1">
        <f>(K184+K183)-K180</f>
        <v>36.250979059230303</v>
      </c>
      <c r="AJ295" s="1">
        <f>(L184+L183)-L180</f>
        <v>33.333060896577081</v>
      </c>
      <c r="AK295" s="1">
        <f>(M184+M183)-M180</f>
        <v>33.333060896577081</v>
      </c>
      <c r="AL295" s="1">
        <f>(J214+J213)-J210</f>
        <v>31.743703503874713</v>
      </c>
      <c r="AM295" s="1">
        <f>(K214+K213)-K210</f>
        <v>31.743703503874713</v>
      </c>
      <c r="AN295" s="1">
        <f>(L214+L213)-L210</f>
        <v>28.48567531023582</v>
      </c>
      <c r="AO295" s="1">
        <f>(M214+M213)-M210</f>
        <v>28.48567531023582</v>
      </c>
      <c r="AP295" s="1">
        <f>(J244+J243)-J241</f>
        <v>33.414291471184697</v>
      </c>
      <c r="AQ295" s="1">
        <f>(K244+K243)-K241</f>
        <v>33.414291471184697</v>
      </c>
    </row>
    <row r="296" spans="1:43" x14ac:dyDescent="0.25">
      <c r="A296" s="180"/>
      <c r="B296" s="17"/>
      <c r="C296" s="17"/>
      <c r="D296" s="17"/>
      <c r="E296" s="33"/>
      <c r="F296" s="17"/>
      <c r="G296" s="17"/>
      <c r="H296" s="17"/>
      <c r="I296" s="185">
        <f t="shared" si="93"/>
        <v>0</v>
      </c>
      <c r="J296" s="202">
        <f t="shared" si="90"/>
        <v>0</v>
      </c>
      <c r="K296" s="202">
        <f t="shared" si="91"/>
        <v>0</v>
      </c>
      <c r="L296" s="186">
        <f t="shared" si="85"/>
        <v>0</v>
      </c>
      <c r="M296" s="186">
        <f t="shared" si="86"/>
        <v>0</v>
      </c>
      <c r="N296" s="187">
        <f t="shared" si="92"/>
        <v>0</v>
      </c>
      <c r="O296" s="187">
        <f t="shared" si="87"/>
        <v>0</v>
      </c>
      <c r="P296" s="188">
        <f t="shared" si="88"/>
        <v>0</v>
      </c>
      <c r="Q296" s="188">
        <f t="shared" si="89"/>
        <v>0</v>
      </c>
      <c r="AF296" t="s">
        <v>840</v>
      </c>
      <c r="AG296">
        <v>4</v>
      </c>
      <c r="AH296" s="6">
        <f>J187-J180</f>
        <v>47.054894223634619</v>
      </c>
      <c r="AI296" s="6">
        <f>K187-K180</f>
        <v>47.054894223634619</v>
      </c>
    </row>
    <row r="297" spans="1:43" x14ac:dyDescent="0.25">
      <c r="A297" s="180"/>
      <c r="B297" s="17"/>
      <c r="C297" s="17"/>
      <c r="D297" s="17"/>
      <c r="E297" s="33"/>
      <c r="F297" s="17"/>
      <c r="G297" s="17"/>
      <c r="H297" s="17"/>
      <c r="I297" s="185">
        <f t="shared" si="93"/>
        <v>0</v>
      </c>
      <c r="J297" s="202">
        <f t="shared" si="90"/>
        <v>0</v>
      </c>
      <c r="K297" s="202">
        <f t="shared" si="91"/>
        <v>0</v>
      </c>
      <c r="L297" s="186">
        <f t="shared" si="85"/>
        <v>0</v>
      </c>
      <c r="M297" s="186">
        <f t="shared" si="86"/>
        <v>0</v>
      </c>
      <c r="N297" s="187">
        <f t="shared" si="92"/>
        <v>0</v>
      </c>
      <c r="O297" s="187">
        <f t="shared" si="87"/>
        <v>0</v>
      </c>
      <c r="P297" s="188">
        <f t="shared" si="88"/>
        <v>0</v>
      </c>
      <c r="Q297" s="188">
        <f t="shared" si="89"/>
        <v>0</v>
      </c>
      <c r="AF297" t="s">
        <v>840</v>
      </c>
      <c r="AG297">
        <v>5</v>
      </c>
      <c r="AH297" s="6">
        <f>J187-J180</f>
        <v>47.054894223634619</v>
      </c>
      <c r="AI297" s="6">
        <f>K187-K180</f>
        <v>47.054894223634619</v>
      </c>
    </row>
    <row r="298" spans="1:43" x14ac:dyDescent="0.25">
      <c r="AF298" t="s">
        <v>758</v>
      </c>
      <c r="AG298">
        <v>8</v>
      </c>
      <c r="AH298" s="6">
        <f>J188-J180</f>
        <v>46.773939492675709</v>
      </c>
      <c r="AI298" s="6">
        <f>K188-K180</f>
        <v>46.773939492675709</v>
      </c>
    </row>
    <row r="299" spans="1:43" x14ac:dyDescent="0.25">
      <c r="A299" s="15" t="s">
        <v>865</v>
      </c>
      <c r="B299" s="15"/>
      <c r="C299" s="15"/>
      <c r="D299" s="15"/>
      <c r="E299" s="15"/>
      <c r="F299" s="15"/>
      <c r="G299" s="15"/>
      <c r="AF299" t="s">
        <v>758</v>
      </c>
      <c r="AG299">
        <v>9</v>
      </c>
      <c r="AH299" s="6">
        <f>J188-J180</f>
        <v>46.773939492675709</v>
      </c>
      <c r="AI299" s="6">
        <f>K188-K180</f>
        <v>46.773939492675709</v>
      </c>
    </row>
    <row r="300" spans="1:43" ht="60" x14ac:dyDescent="0.25">
      <c r="A300" s="167" t="s">
        <v>482</v>
      </c>
      <c r="B300" s="179" t="s">
        <v>667</v>
      </c>
      <c r="C300" s="179" t="s">
        <v>668</v>
      </c>
      <c r="D300" s="167" t="s">
        <v>669</v>
      </c>
      <c r="E300" s="179" t="s">
        <v>489</v>
      </c>
      <c r="F300" s="179" t="s">
        <v>484</v>
      </c>
      <c r="G300" s="179" t="s">
        <v>485</v>
      </c>
      <c r="H300" s="179" t="s">
        <v>486</v>
      </c>
      <c r="I300" s="179" t="s">
        <v>499</v>
      </c>
      <c r="J300" s="201" t="s">
        <v>800</v>
      </c>
      <c r="K300" s="201" t="s">
        <v>801</v>
      </c>
      <c r="L300" s="191" t="s">
        <v>648</v>
      </c>
      <c r="M300" s="191" t="s">
        <v>652</v>
      </c>
      <c r="N300" s="192" t="s">
        <v>651</v>
      </c>
      <c r="O300" s="192" t="s">
        <v>653</v>
      </c>
      <c r="P300" s="193" t="s">
        <v>649</v>
      </c>
      <c r="Q300" s="193" t="s">
        <v>650</v>
      </c>
    </row>
    <row r="301" spans="1:43" x14ac:dyDescent="0.25">
      <c r="A301" s="180" t="s">
        <v>162</v>
      </c>
      <c r="B301" s="17">
        <v>-151.57994024999999</v>
      </c>
      <c r="C301" s="17"/>
      <c r="D301" s="17"/>
      <c r="E301" s="33"/>
      <c r="F301" s="17">
        <v>2.6331E-2</v>
      </c>
      <c r="G301" s="17">
        <v>3.0483E-2</v>
      </c>
      <c r="H301" s="17">
        <v>7.1069999999999996E-3</v>
      </c>
      <c r="I301" s="185">
        <f>(G301-H301)*($T$3*$T$4)</f>
        <v>14.668656982709358</v>
      </c>
      <c r="J301" s="202">
        <f>(B301)*($T$3*$T$4)</f>
        <v>-95117.819515179217</v>
      </c>
      <c r="K301" s="202">
        <f>((((2-0)/(2-D301))*B301+(1-((2-0)/(2-D301)))*C301))*($T$3*$T$4)</f>
        <v>-95117.819515179217</v>
      </c>
      <c r="L301" s="186">
        <f>(B301+F301)*($T$3*$T$4)</f>
        <v>-95101.296568267353</v>
      </c>
      <c r="M301" s="186">
        <f>((((2-0)/(2-D301))*B301+(1-((2-0)/(2-D301)))*C301)+F301)*($T$3*$T$4)</f>
        <v>-95101.296568267353</v>
      </c>
      <c r="N301" s="187">
        <f>(B301+G301)*($T$3*$T$4)</f>
        <v>-95098.69114972731</v>
      </c>
      <c r="O301" s="187">
        <f>((((2-0)/(2-D301))*B301+(1-((2-0)/(2-D301)))*C301)+G301)*($T$3*$T$4)</f>
        <v>-95098.69114972731</v>
      </c>
      <c r="P301" s="188">
        <f>(B301+H301)*($T$3*$T$4)</f>
        <v>-95113.359806710025</v>
      </c>
      <c r="Q301" s="188">
        <f>((((2-0)/(2-D301))*B301+(1-((2-0)/(2-D301)))*C301)+H301)*($T$3*$T$4)</f>
        <v>-95113.359806710025</v>
      </c>
    </row>
    <row r="302" spans="1:43" x14ac:dyDescent="0.25">
      <c r="A302" s="180" t="s">
        <v>672</v>
      </c>
      <c r="B302" s="17">
        <v>-75.748716979999998</v>
      </c>
      <c r="C302" s="17"/>
      <c r="D302" s="17"/>
      <c r="E302" s="33"/>
      <c r="F302" s="17">
        <v>8.3260000000000001E-3</v>
      </c>
      <c r="G302" s="17">
        <v>1.1631000000000001E-2</v>
      </c>
      <c r="H302" s="17">
        <v>-5.5700000000000003E-3</v>
      </c>
      <c r="I302" s="185">
        <f t="shared" ref="I302:I314" si="94">(G302-H302)*($T$3*$T$4)</f>
        <v>10.793787164595468</v>
      </c>
      <c r="J302" s="202">
        <f t="shared" ref="J302:J314" si="95">(B302)*($T$3*$T$4)</f>
        <v>-47533.023026178635</v>
      </c>
      <c r="K302" s="202">
        <f t="shared" ref="K302:K314" si="96">((((2-0)/(2-D302))*B302+(1-((2-0)/(2-D302)))*C302))*($T$3*$T$4)</f>
        <v>-47533.023026178635</v>
      </c>
      <c r="L302" s="186">
        <f t="shared" ref="L302:L314" si="97">(B302+F302)*($T$3*$T$4)</f>
        <v>-47527.798383894326</v>
      </c>
      <c r="M302" s="186">
        <f t="shared" ref="M302:M314" si="98">((((2-0)/(2-D302))*B302+(1-((2-0)/(2-D302)))*C302)+F302)*($T$3*$T$4)</f>
        <v>-47527.798383894326</v>
      </c>
      <c r="N302" s="187">
        <f t="shared" ref="N302:N314" si="99">(B302+G302)*($T$3*$T$4)</f>
        <v>-47525.724465716376</v>
      </c>
      <c r="O302" s="187">
        <f t="shared" ref="O302:O314" si="100">((((2-0)/(2-D302))*B302+(1-((2-0)/(2-D302)))*C302)+G302)*($T$3*$T$4)</f>
        <v>-47525.724465716376</v>
      </c>
      <c r="P302" s="188">
        <f t="shared" ref="P302:P314" si="101">(B302+H302)*($T$3*$T$4)</f>
        <v>-47536.518252880967</v>
      </c>
      <c r="Q302" s="188">
        <f t="shared" ref="Q302:Q314" si="102">((((2-0)/(2-D302))*B302+(1-((2-0)/(2-D302)))*C302)+H302)*($T$3*$T$4)</f>
        <v>-47536.518252880967</v>
      </c>
    </row>
    <row r="303" spans="1:43" x14ac:dyDescent="0.25">
      <c r="A303" s="180" t="s">
        <v>439</v>
      </c>
      <c r="B303" s="17">
        <v>-76.445935919999997</v>
      </c>
      <c r="C303" s="17"/>
      <c r="D303" s="17"/>
      <c r="E303" s="33"/>
      <c r="F303" s="17">
        <v>2.0822E-2</v>
      </c>
      <c r="G303" s="17">
        <v>2.4601999999999999E-2</v>
      </c>
      <c r="H303" s="17">
        <v>5.5620000000000001E-3</v>
      </c>
      <c r="I303" s="185">
        <f t="shared" si="94"/>
        <v>11.947776734718776</v>
      </c>
      <c r="J303" s="202">
        <f t="shared" si="95"/>
        <v>-47970.534382813996</v>
      </c>
      <c r="K303" s="202">
        <f t="shared" si="96"/>
        <v>-47970.534382813996</v>
      </c>
      <c r="L303" s="186">
        <f t="shared" si="97"/>
        <v>-47957.468384538246</v>
      </c>
      <c r="M303" s="186">
        <f t="shared" si="98"/>
        <v>-47957.468384538246</v>
      </c>
      <c r="N303" s="187">
        <f t="shared" si="99"/>
        <v>-47955.096399451206</v>
      </c>
      <c r="O303" s="187">
        <f t="shared" si="100"/>
        <v>-47955.096399451206</v>
      </c>
      <c r="P303" s="188">
        <f t="shared" si="101"/>
        <v>-47967.044176185926</v>
      </c>
      <c r="Q303" s="188">
        <f t="shared" si="102"/>
        <v>-47967.044176185926</v>
      </c>
    </row>
    <row r="304" spans="1:43" x14ac:dyDescent="0.25">
      <c r="A304" s="180" t="s">
        <v>725</v>
      </c>
      <c r="B304" s="17">
        <v>-75.080500999999998</v>
      </c>
      <c r="C304" s="17"/>
      <c r="D304" s="17"/>
      <c r="E304" s="33"/>
      <c r="F304" s="17">
        <v>0</v>
      </c>
      <c r="G304" s="17">
        <v>2.3600000000000001E-3</v>
      </c>
      <c r="H304" s="17">
        <v>-1.1932999999999999E-2</v>
      </c>
      <c r="I304" s="185">
        <f t="shared" si="94"/>
        <v>8.9689901717087963</v>
      </c>
      <c r="J304" s="202">
        <f t="shared" si="95"/>
        <v>-47113.711296157031</v>
      </c>
      <c r="K304" s="202">
        <f t="shared" si="96"/>
        <v>-47113.711296157031</v>
      </c>
      <c r="L304" s="186">
        <f t="shared" si="97"/>
        <v>-47113.711296157031</v>
      </c>
      <c r="M304" s="186">
        <f t="shared" si="98"/>
        <v>-47113.711296157031</v>
      </c>
      <c r="N304" s="187">
        <f t="shared" si="99"/>
        <v>-47112.230374250845</v>
      </c>
      <c r="O304" s="187">
        <f t="shared" si="100"/>
        <v>-47112.230374250845</v>
      </c>
      <c r="P304" s="188">
        <f t="shared" si="101"/>
        <v>-47121.199364422551</v>
      </c>
      <c r="Q304" s="188">
        <f t="shared" si="102"/>
        <v>-47121.199364422551</v>
      </c>
      <c r="S304" t="s">
        <v>874</v>
      </c>
    </row>
    <row r="305" spans="1:25" x14ac:dyDescent="0.25">
      <c r="A305" s="180"/>
      <c r="B305" s="17"/>
      <c r="C305" s="17"/>
      <c r="D305" s="17"/>
      <c r="E305" s="33"/>
      <c r="F305" s="17"/>
      <c r="G305" s="17"/>
      <c r="H305" s="17"/>
      <c r="I305" s="185">
        <f t="shared" si="94"/>
        <v>0</v>
      </c>
      <c r="J305" s="202">
        <f t="shared" si="95"/>
        <v>0</v>
      </c>
      <c r="K305" s="202">
        <f t="shared" si="96"/>
        <v>0</v>
      </c>
      <c r="L305" s="186">
        <f t="shared" si="97"/>
        <v>0</v>
      </c>
      <c r="M305" s="186">
        <f t="shared" si="98"/>
        <v>0</v>
      </c>
      <c r="N305" s="187">
        <f t="shared" si="99"/>
        <v>0</v>
      </c>
      <c r="O305" s="187">
        <f t="shared" si="100"/>
        <v>0</v>
      </c>
      <c r="P305" s="188">
        <f t="shared" si="101"/>
        <v>0</v>
      </c>
      <c r="Q305" s="188">
        <f t="shared" si="102"/>
        <v>0</v>
      </c>
    </row>
    <row r="306" spans="1:25" x14ac:dyDescent="0.25">
      <c r="A306" s="180" t="s">
        <v>793</v>
      </c>
      <c r="B306" s="17">
        <v>-151.50374807</v>
      </c>
      <c r="C306" s="17">
        <v>-151.50375453999999</v>
      </c>
      <c r="D306" s="17">
        <v>1.0046999999999999</v>
      </c>
      <c r="E306" s="33"/>
      <c r="F306" s="17">
        <v>1.8544000000000001E-2</v>
      </c>
      <c r="G306" s="17">
        <v>2.4465000000000001E-2</v>
      </c>
      <c r="H306" s="17">
        <v>-3.3040000000000001E-3</v>
      </c>
      <c r="I306" s="185">
        <f t="shared" si="94"/>
        <v>17.425305259790218</v>
      </c>
      <c r="J306" s="202">
        <f t="shared" si="95"/>
        <v>-95070.008214991642</v>
      </c>
      <c r="K306" s="202">
        <f t="shared" si="96"/>
        <v>-95070.004116662531</v>
      </c>
      <c r="L306" s="186">
        <f t="shared" si="97"/>
        <v>-95058.371682860947</v>
      </c>
      <c r="M306" s="186">
        <f t="shared" si="98"/>
        <v>-95058.367584531836</v>
      </c>
      <c r="N306" s="187">
        <f t="shared" si="99"/>
        <v>-95054.656200400539</v>
      </c>
      <c r="O306" s="187">
        <f t="shared" si="100"/>
        <v>-95054.652102071428</v>
      </c>
      <c r="P306" s="188">
        <f t="shared" si="101"/>
        <v>-95072.081505660331</v>
      </c>
      <c r="Q306" s="188">
        <f t="shared" si="102"/>
        <v>-95072.07740733122</v>
      </c>
    </row>
    <row r="307" spans="1:25" x14ac:dyDescent="0.25">
      <c r="A307" s="180" t="s">
        <v>838</v>
      </c>
      <c r="B307" s="17">
        <v>-151.50375453999999</v>
      </c>
      <c r="C307" s="17"/>
      <c r="D307" s="17"/>
      <c r="E307" s="33"/>
      <c r="F307" s="17">
        <v>1.8544000000000001E-2</v>
      </c>
      <c r="G307" s="17">
        <v>2.4465000000000001E-2</v>
      </c>
      <c r="H307" s="17">
        <v>-3.3040000000000001E-3</v>
      </c>
      <c r="I307" s="185">
        <f t="shared" si="94"/>
        <v>17.425305259790218</v>
      </c>
      <c r="J307" s="202">
        <f t="shared" si="95"/>
        <v>-95070.012274976689</v>
      </c>
      <c r="K307" s="202">
        <f t="shared" si="96"/>
        <v>-95070.012274976689</v>
      </c>
      <c r="L307" s="186">
        <f t="shared" si="97"/>
        <v>-95058.375742845994</v>
      </c>
      <c r="M307" s="186">
        <f t="shared" si="98"/>
        <v>-95058.375742845994</v>
      </c>
      <c r="N307" s="187">
        <f t="shared" si="99"/>
        <v>-95054.660260385586</v>
      </c>
      <c r="O307" s="187">
        <f t="shared" si="100"/>
        <v>-95054.660260385586</v>
      </c>
      <c r="P307" s="188">
        <f t="shared" si="101"/>
        <v>-95072.085565645379</v>
      </c>
      <c r="Q307" s="188">
        <f t="shared" si="102"/>
        <v>-95072.085565645379</v>
      </c>
    </row>
    <row r="308" spans="1:25" x14ac:dyDescent="0.25">
      <c r="A308" s="180" t="s">
        <v>794</v>
      </c>
      <c r="B308" s="17">
        <v>-151.50375715999999</v>
      </c>
      <c r="C308" s="17"/>
      <c r="D308" s="17"/>
      <c r="E308" s="33"/>
      <c r="F308" s="17">
        <v>1.8551999999999999E-2</v>
      </c>
      <c r="G308" s="17">
        <v>2.4476000000000001E-2</v>
      </c>
      <c r="H308" s="17">
        <v>-4.398E-3</v>
      </c>
      <c r="I308" s="185">
        <f t="shared" si="94"/>
        <v>18.118703016715862</v>
      </c>
      <c r="J308" s="202">
        <f t="shared" si="95"/>
        <v>-95070.013919051024</v>
      </c>
      <c r="K308" s="202">
        <f t="shared" si="96"/>
        <v>-95070.013919051024</v>
      </c>
      <c r="L308" s="186">
        <f t="shared" si="97"/>
        <v>-95058.372366846059</v>
      </c>
      <c r="M308" s="186">
        <f t="shared" si="98"/>
        <v>-95058.372366846059</v>
      </c>
      <c r="N308" s="187">
        <f t="shared" si="99"/>
        <v>-95054.655001857798</v>
      </c>
      <c r="O308" s="187">
        <f t="shared" si="100"/>
        <v>-95054.655001857798</v>
      </c>
      <c r="P308" s="188">
        <f t="shared" si="101"/>
        <v>-95072.773704874518</v>
      </c>
      <c r="Q308" s="188">
        <f t="shared" si="102"/>
        <v>-95072.773704874518</v>
      </c>
    </row>
    <row r="309" spans="1:25" x14ac:dyDescent="0.25">
      <c r="A309" s="180" t="s">
        <v>842</v>
      </c>
      <c r="B309" s="17">
        <v>-151.50371808</v>
      </c>
      <c r="C309" s="17"/>
      <c r="D309" s="17"/>
      <c r="E309" s="33"/>
      <c r="F309" s="17">
        <v>1.8551999999999999E-2</v>
      </c>
      <c r="G309" s="17">
        <v>2.4476000000000001E-2</v>
      </c>
      <c r="H309" s="17">
        <v>-4.398E-3</v>
      </c>
      <c r="I309" s="185">
        <f t="shared" si="94"/>
        <v>18.118703016715862</v>
      </c>
      <c r="J309" s="202">
        <f t="shared" si="95"/>
        <v>-95069.989395988276</v>
      </c>
      <c r="K309" s="202">
        <f t="shared" si="96"/>
        <v>-95069.989395988276</v>
      </c>
      <c r="L309" s="186">
        <f t="shared" si="97"/>
        <v>-95058.347843783311</v>
      </c>
      <c r="M309" s="186">
        <f t="shared" si="98"/>
        <v>-95058.347843783311</v>
      </c>
      <c r="N309" s="187">
        <f t="shared" si="99"/>
        <v>-95054.63047879505</v>
      </c>
      <c r="O309" s="187">
        <f t="shared" si="100"/>
        <v>-95054.63047879505</v>
      </c>
      <c r="P309" s="188">
        <f t="shared" si="101"/>
        <v>-95072.749181811771</v>
      </c>
      <c r="Q309" s="188">
        <f t="shared" si="102"/>
        <v>-95072.749181811771</v>
      </c>
    </row>
    <row r="310" spans="1:25" x14ac:dyDescent="0.25">
      <c r="A310" s="180"/>
      <c r="B310" s="17"/>
      <c r="C310" s="17"/>
      <c r="D310" s="17"/>
      <c r="E310" s="33"/>
      <c r="F310" s="17"/>
      <c r="G310" s="17"/>
      <c r="H310" s="17"/>
      <c r="I310" s="185">
        <f t="shared" si="94"/>
        <v>0</v>
      </c>
      <c r="J310" s="202">
        <f t="shared" si="95"/>
        <v>0</v>
      </c>
      <c r="K310" s="202">
        <f t="shared" si="96"/>
        <v>0</v>
      </c>
      <c r="L310" s="186">
        <f t="shared" si="97"/>
        <v>0</v>
      </c>
      <c r="M310" s="186">
        <f t="shared" si="98"/>
        <v>0</v>
      </c>
      <c r="N310" s="187">
        <f t="shared" si="99"/>
        <v>0</v>
      </c>
      <c r="O310" s="187">
        <f t="shared" si="100"/>
        <v>0</v>
      </c>
      <c r="P310" s="188">
        <f t="shared" si="101"/>
        <v>0</v>
      </c>
      <c r="Q310" s="188">
        <f t="shared" si="102"/>
        <v>0</v>
      </c>
    </row>
    <row r="311" spans="1:25" x14ac:dyDescent="0.25">
      <c r="A311" s="180" t="s">
        <v>746</v>
      </c>
      <c r="B311" s="183">
        <v>-151.50307609999999</v>
      </c>
      <c r="C311" s="17"/>
      <c r="D311" s="17"/>
      <c r="E311" s="33">
        <v>609.84</v>
      </c>
      <c r="F311" s="17">
        <v>1.8526999999999998E-2</v>
      </c>
      <c r="G311" s="17">
        <v>2.4034E-2</v>
      </c>
      <c r="H311" s="17">
        <v>-6.3889999999999997E-3</v>
      </c>
      <c r="I311" s="185">
        <f t="shared" si="94"/>
        <v>19.090714894976333</v>
      </c>
      <c r="J311" s="202">
        <f t="shared" si="95"/>
        <v>-95069.586547579223</v>
      </c>
      <c r="K311" s="202">
        <f t="shared" si="96"/>
        <v>-95069.586547579223</v>
      </c>
      <c r="L311" s="186">
        <f t="shared" si="97"/>
        <v>-95057.960683106314</v>
      </c>
      <c r="M311" s="186">
        <f t="shared" si="98"/>
        <v>-95057.960683106314</v>
      </c>
      <c r="N311" s="187">
        <f t="shared" si="99"/>
        <v>-95054.504989488763</v>
      </c>
      <c r="O311" s="187">
        <f t="shared" si="100"/>
        <v>-95054.504989488763</v>
      </c>
      <c r="P311" s="188">
        <f t="shared" si="101"/>
        <v>-95073.595704383755</v>
      </c>
      <c r="Q311" s="188">
        <f t="shared" si="102"/>
        <v>-95073.595704383755</v>
      </c>
    </row>
    <row r="312" spans="1:25" x14ac:dyDescent="0.25">
      <c r="A312" s="180" t="s">
        <v>747</v>
      </c>
      <c r="B312" s="17">
        <v>-151.5032204</v>
      </c>
      <c r="C312" s="17"/>
      <c r="D312" s="17"/>
      <c r="E312" s="33">
        <v>213.83</v>
      </c>
      <c r="F312" s="17">
        <v>1.8051999999999999E-2</v>
      </c>
      <c r="G312" s="17">
        <v>2.3404000000000001E-2</v>
      </c>
      <c r="H312" s="17">
        <v>-4.3800000000000002E-3</v>
      </c>
      <c r="I312" s="185">
        <f t="shared" si="94"/>
        <v>17.434717899024506</v>
      </c>
      <c r="J312" s="202">
        <f t="shared" si="95"/>
        <v>-95069.677097168664</v>
      </c>
      <c r="K312" s="202">
        <f t="shared" si="96"/>
        <v>-95069.677097168664</v>
      </c>
      <c r="L312" s="186">
        <f t="shared" si="97"/>
        <v>-95058.349299604844</v>
      </c>
      <c r="M312" s="186">
        <f t="shared" si="98"/>
        <v>-95058.349299604844</v>
      </c>
      <c r="N312" s="187">
        <f t="shared" si="99"/>
        <v>-95054.990869926056</v>
      </c>
      <c r="O312" s="187">
        <f t="shared" si="100"/>
        <v>-95054.990869926056</v>
      </c>
      <c r="P312" s="188">
        <f t="shared" si="101"/>
        <v>-95072.42558782507</v>
      </c>
      <c r="Q312" s="188">
        <f t="shared" si="102"/>
        <v>-95072.42558782507</v>
      </c>
    </row>
    <row r="313" spans="1:25" x14ac:dyDescent="0.25">
      <c r="A313" s="180" t="s">
        <v>750</v>
      </c>
      <c r="B313" s="17">
        <v>-151.50424616999999</v>
      </c>
      <c r="C313" s="17"/>
      <c r="D313" s="17"/>
      <c r="E313" s="33"/>
      <c r="F313" s="17">
        <v>1.9210000000000001E-2</v>
      </c>
      <c r="G313" s="17">
        <v>2.4805000000000001E-2</v>
      </c>
      <c r="H313" s="17">
        <v>-3.1580000000000002E-3</v>
      </c>
      <c r="I313" s="185">
        <f t="shared" si="94"/>
        <v>17.547042060553636</v>
      </c>
      <c r="J313" s="202">
        <f t="shared" si="95"/>
        <v>-95070.320777365152</v>
      </c>
      <c r="K313" s="202">
        <f t="shared" si="96"/>
        <v>-95070.320777365152</v>
      </c>
      <c r="L313" s="186">
        <f t="shared" si="97"/>
        <v>-95058.266324052442</v>
      </c>
      <c r="M313" s="186">
        <f t="shared" si="98"/>
        <v>-95058.266324052442</v>
      </c>
      <c r="N313" s="187">
        <f t="shared" si="99"/>
        <v>-95054.755409618054</v>
      </c>
      <c r="O313" s="187">
        <f t="shared" si="100"/>
        <v>-95054.755409618054</v>
      </c>
      <c r="P313" s="188">
        <f t="shared" si="101"/>
        <v>-95072.30245167861</v>
      </c>
      <c r="Q313" s="188">
        <f t="shared" si="102"/>
        <v>-95072.30245167861</v>
      </c>
    </row>
    <row r="314" spans="1:25" x14ac:dyDescent="0.25">
      <c r="A314" s="180" t="s">
        <v>873</v>
      </c>
      <c r="B314" s="17">
        <v>-151.42143662999999</v>
      </c>
      <c r="C314" s="17"/>
      <c r="D314" s="17"/>
      <c r="E314" s="33"/>
      <c r="F314" s="17">
        <v>1.9210000000000001E-2</v>
      </c>
      <c r="G314" s="17">
        <v>2.4805000000000001E-2</v>
      </c>
      <c r="H314" s="17">
        <v>-3.1580000000000002E-3</v>
      </c>
      <c r="I314" s="185">
        <f t="shared" si="94"/>
        <v>17.547042060553636</v>
      </c>
      <c r="J314" s="202">
        <f t="shared" si="95"/>
        <v>-95018.357022353346</v>
      </c>
      <c r="K314" s="202">
        <f t="shared" si="96"/>
        <v>-95018.357022353346</v>
      </c>
      <c r="L314" s="186">
        <f t="shared" si="97"/>
        <v>-95006.302569040636</v>
      </c>
      <c r="M314" s="186">
        <f t="shared" si="98"/>
        <v>-95006.302569040636</v>
      </c>
      <c r="N314" s="187">
        <f t="shared" si="99"/>
        <v>-95002.791654606248</v>
      </c>
      <c r="O314" s="187">
        <f t="shared" si="100"/>
        <v>-95002.791654606248</v>
      </c>
      <c r="P314" s="188">
        <f t="shared" si="101"/>
        <v>-95020.338696666804</v>
      </c>
      <c r="Q314" s="188">
        <f t="shared" si="102"/>
        <v>-95020.338696666804</v>
      </c>
    </row>
    <row r="315" spans="1:25" x14ac:dyDescent="0.25">
      <c r="A315" s="180"/>
      <c r="B315" s="17"/>
      <c r="C315" s="17"/>
      <c r="D315" s="17"/>
      <c r="E315" s="33"/>
      <c r="F315" s="17"/>
      <c r="G315" s="17"/>
      <c r="H315" s="17"/>
      <c r="I315" s="185">
        <f t="shared" ref="I315:I324" si="103">(G315-H315)*($T$3*$T$4)</f>
        <v>0</v>
      </c>
      <c r="J315" s="202">
        <f t="shared" ref="J315:J324" si="104">(B315)*($T$3*$T$4)</f>
        <v>0</v>
      </c>
      <c r="K315" s="202">
        <f t="shared" ref="K315:K324" si="105">((((2-0)/(2-D315))*B315+(1-((2-0)/(2-D315)))*C315))*($T$3*$T$4)</f>
        <v>0</v>
      </c>
      <c r="L315" s="186">
        <f t="shared" ref="L315:L324" si="106">(B315+F315)*($T$3*$T$4)</f>
        <v>0</v>
      </c>
      <c r="M315" s="186">
        <f t="shared" ref="M315:M324" si="107">((((2-0)/(2-D315))*B315+(1-((2-0)/(2-D315)))*C315)+F315)*($T$3*$T$4)</f>
        <v>0</v>
      </c>
      <c r="N315" s="187">
        <f t="shared" ref="N315:N324" si="108">(B315+G315)*($T$3*$T$4)</f>
        <v>0</v>
      </c>
      <c r="O315" s="187">
        <f t="shared" ref="O315:O324" si="109">((((2-0)/(2-D315))*B315+(1-((2-0)/(2-D315)))*C315)+G315)*($T$3*$T$4)</f>
        <v>0</v>
      </c>
      <c r="P315" s="188">
        <f t="shared" ref="P315:P324" si="110">(B315+H315)*($T$3*$T$4)</f>
        <v>0</v>
      </c>
      <c r="Q315" s="188">
        <f t="shared" ref="Q315:Q324" si="111">((((2-0)/(2-D315))*B315+(1-((2-0)/(2-D315)))*C315)+H315)*($T$3*$T$4)</f>
        <v>0</v>
      </c>
    </row>
    <row r="316" spans="1:25" x14ac:dyDescent="0.25">
      <c r="A316" s="180" t="s">
        <v>761</v>
      </c>
      <c r="B316" s="17">
        <v>-151.49625420000001</v>
      </c>
      <c r="C316" s="17"/>
      <c r="D316" s="17"/>
      <c r="E316" s="33">
        <v>1248.8399999999999</v>
      </c>
      <c r="F316" s="17">
        <v>1.5754000000000001E-2</v>
      </c>
      <c r="G316" s="17">
        <v>2.034E-2</v>
      </c>
      <c r="H316" s="17">
        <v>-5.293E-3</v>
      </c>
      <c r="I316" s="185">
        <f t="shared" si="103"/>
        <v>16.084945432828068</v>
      </c>
      <c r="J316" s="202">
        <f t="shared" si="104"/>
        <v>-95065.305742006414</v>
      </c>
      <c r="K316" s="202">
        <f t="shared" si="105"/>
        <v>-95065.305742006414</v>
      </c>
      <c r="L316" s="186">
        <f t="shared" si="106"/>
        <v>-95055.419960773288</v>
      </c>
      <c r="M316" s="186">
        <f t="shared" si="107"/>
        <v>-95055.419960773288</v>
      </c>
      <c r="N316" s="187">
        <f t="shared" si="108"/>
        <v>-95052.542203204721</v>
      </c>
      <c r="O316" s="187">
        <f t="shared" si="109"/>
        <v>-95052.542203204721</v>
      </c>
      <c r="P316" s="188">
        <f t="shared" si="110"/>
        <v>-95068.627148637548</v>
      </c>
      <c r="Q316" s="188">
        <f t="shared" si="111"/>
        <v>-95068.627148637548</v>
      </c>
    </row>
    <row r="317" spans="1:25" x14ac:dyDescent="0.25">
      <c r="A317" s="180" t="s">
        <v>871</v>
      </c>
      <c r="B317" s="17">
        <v>-151.52947732000001</v>
      </c>
      <c r="C317" s="17"/>
      <c r="D317" s="17"/>
      <c r="E317" s="33"/>
      <c r="F317" s="17">
        <v>2.1679E-2</v>
      </c>
      <c r="G317" s="17">
        <v>2.7491999999999999E-2</v>
      </c>
      <c r="H317" s="17">
        <v>-1.676E-3</v>
      </c>
      <c r="I317" s="185">
        <f t="shared" si="103"/>
        <v>18.303190745707841</v>
      </c>
      <c r="J317" s="202">
        <f t="shared" si="104"/>
        <v>-95086.153558192906</v>
      </c>
      <c r="K317" s="202">
        <f t="shared" si="105"/>
        <v>-95086.153558192906</v>
      </c>
      <c r="L317" s="186">
        <f t="shared" si="106"/>
        <v>-95072.54978446223</v>
      </c>
      <c r="M317" s="186">
        <f t="shared" si="107"/>
        <v>-95072.54978446223</v>
      </c>
      <c r="N317" s="187">
        <f t="shared" si="108"/>
        <v>-95068.902073004312</v>
      </c>
      <c r="O317" s="187">
        <f t="shared" si="109"/>
        <v>-95068.902073004312</v>
      </c>
      <c r="P317" s="188">
        <f t="shared" si="110"/>
        <v>-95087.205263750016</v>
      </c>
      <c r="Q317" s="188">
        <f t="shared" si="111"/>
        <v>-95087.205263750016</v>
      </c>
    </row>
    <row r="318" spans="1:25" x14ac:dyDescent="0.25">
      <c r="A318" s="180" t="s">
        <v>872</v>
      </c>
      <c r="B318" s="17">
        <v>-151.52923197000001</v>
      </c>
      <c r="C318" s="17"/>
      <c r="D318" s="17"/>
      <c r="E318" s="33"/>
      <c r="F318" s="17">
        <v>2.1961000000000001E-2</v>
      </c>
      <c r="G318" s="17">
        <v>2.7564000000000002E-2</v>
      </c>
      <c r="H318" s="17">
        <v>-9.3700000000000001E-4</v>
      </c>
      <c r="I318" s="185">
        <f t="shared" si="103"/>
        <v>17.884642054423313</v>
      </c>
      <c r="J318" s="202">
        <f t="shared" si="104"/>
        <v>-95085.999598790499</v>
      </c>
      <c r="K318" s="202">
        <f t="shared" si="105"/>
        <v>-95085.999598790499</v>
      </c>
      <c r="L318" s="186">
        <f t="shared" si="106"/>
        <v>-95072.218867442221</v>
      </c>
      <c r="M318" s="186">
        <f t="shared" si="107"/>
        <v>-95072.218867442221</v>
      </c>
      <c r="N318" s="187">
        <f t="shared" si="108"/>
        <v>-95068.702932933564</v>
      </c>
      <c r="O318" s="187">
        <f t="shared" si="109"/>
        <v>-95068.702932933564</v>
      </c>
      <c r="P318" s="188">
        <f t="shared" si="110"/>
        <v>-95086.587574987992</v>
      </c>
      <c r="Q318" s="188">
        <f t="shared" si="111"/>
        <v>-95086.587574987992</v>
      </c>
    </row>
    <row r="319" spans="1:25" x14ac:dyDescent="0.25">
      <c r="A319" s="180"/>
      <c r="B319" s="17"/>
      <c r="C319" s="17"/>
      <c r="D319" s="17"/>
      <c r="E319" s="33"/>
      <c r="F319" s="17"/>
      <c r="G319" s="17"/>
      <c r="H319" s="17"/>
      <c r="I319" s="185">
        <f t="shared" si="103"/>
        <v>0</v>
      </c>
      <c r="J319" s="202">
        <f t="shared" si="104"/>
        <v>0</v>
      </c>
      <c r="K319" s="202">
        <f t="shared" si="105"/>
        <v>0</v>
      </c>
      <c r="L319" s="186">
        <f t="shared" si="106"/>
        <v>0</v>
      </c>
      <c r="M319" s="186">
        <f t="shared" si="107"/>
        <v>0</v>
      </c>
      <c r="N319" s="187">
        <f t="shared" si="108"/>
        <v>0</v>
      </c>
      <c r="O319" s="187">
        <f t="shared" si="109"/>
        <v>0</v>
      </c>
      <c r="P319" s="188">
        <f t="shared" si="110"/>
        <v>0</v>
      </c>
      <c r="Q319" s="188">
        <f t="shared" si="111"/>
        <v>0</v>
      </c>
    </row>
    <row r="320" spans="1:25" x14ac:dyDescent="0.25">
      <c r="A320" s="180" t="s">
        <v>796</v>
      </c>
      <c r="B320" s="17">
        <v>-151.47653975</v>
      </c>
      <c r="C320" s="17"/>
      <c r="D320" s="17"/>
      <c r="E320" s="33">
        <v>4698.09</v>
      </c>
      <c r="F320" s="17">
        <v>1.6167999999999998E-2</v>
      </c>
      <c r="G320" s="17">
        <v>2.0417999999999999E-2</v>
      </c>
      <c r="H320" s="17">
        <v>-4.6119999999999998E-3</v>
      </c>
      <c r="I320" s="185">
        <f t="shared" si="103"/>
        <v>15.706557335609819</v>
      </c>
      <c r="J320" s="202">
        <f t="shared" si="104"/>
        <v>-95052.934741636243</v>
      </c>
      <c r="K320" s="202">
        <f t="shared" si="105"/>
        <v>-95052.934741636243</v>
      </c>
      <c r="L320" s="186">
        <f t="shared" si="106"/>
        <v>-95042.78917156026</v>
      </c>
      <c r="M320" s="186">
        <f t="shared" si="107"/>
        <v>-95042.78917156026</v>
      </c>
      <c r="N320" s="187">
        <f t="shared" si="108"/>
        <v>-95040.122257110532</v>
      </c>
      <c r="O320" s="187">
        <f t="shared" si="109"/>
        <v>-95040.122257110532</v>
      </c>
      <c r="P320" s="188">
        <f t="shared" si="110"/>
        <v>-95055.828814446155</v>
      </c>
      <c r="Q320" s="188">
        <f t="shared" si="111"/>
        <v>-95055.828814446155</v>
      </c>
      <c r="V320" t="s">
        <v>508</v>
      </c>
      <c r="Y320" t="s">
        <v>881</v>
      </c>
    </row>
    <row r="321" spans="1:25" x14ac:dyDescent="0.25">
      <c r="A321" s="180" t="s">
        <v>797</v>
      </c>
      <c r="B321" s="17"/>
      <c r="C321" s="17"/>
      <c r="D321" s="17"/>
      <c r="E321" s="33"/>
      <c r="F321" s="17"/>
      <c r="G321" s="17"/>
      <c r="H321" s="17"/>
      <c r="I321" s="185">
        <f t="shared" si="103"/>
        <v>0</v>
      </c>
      <c r="J321" s="202">
        <f t="shared" si="104"/>
        <v>0</v>
      </c>
      <c r="K321" s="202">
        <f t="shared" si="105"/>
        <v>0</v>
      </c>
      <c r="L321" s="186">
        <f t="shared" si="106"/>
        <v>0</v>
      </c>
      <c r="M321" s="186">
        <f t="shared" si="107"/>
        <v>0</v>
      </c>
      <c r="N321" s="187">
        <f t="shared" si="108"/>
        <v>0</v>
      </c>
      <c r="O321" s="187">
        <f t="shared" si="109"/>
        <v>0</v>
      </c>
      <c r="P321" s="188">
        <f t="shared" si="110"/>
        <v>0</v>
      </c>
      <c r="Q321" s="188">
        <f t="shared" si="111"/>
        <v>0</v>
      </c>
      <c r="T321" t="s">
        <v>869</v>
      </c>
      <c r="V321" t="s">
        <v>815</v>
      </c>
      <c r="W321" t="s">
        <v>868</v>
      </c>
      <c r="X321" t="s">
        <v>818</v>
      </c>
      <c r="Y321" t="s">
        <v>815</v>
      </c>
    </row>
    <row r="322" spans="1:25" x14ac:dyDescent="0.25">
      <c r="A322" s="180"/>
      <c r="B322" s="17"/>
      <c r="C322" s="17"/>
      <c r="D322" s="17"/>
      <c r="E322" s="33"/>
      <c r="F322" s="17"/>
      <c r="G322" s="17"/>
      <c r="H322" s="17"/>
      <c r="I322" s="185">
        <f t="shared" si="103"/>
        <v>0</v>
      </c>
      <c r="J322" s="202">
        <f t="shared" si="104"/>
        <v>0</v>
      </c>
      <c r="K322" s="202">
        <f t="shared" si="105"/>
        <v>0</v>
      </c>
      <c r="L322" s="186">
        <f t="shared" si="106"/>
        <v>0</v>
      </c>
      <c r="M322" s="186">
        <f t="shared" si="107"/>
        <v>0</v>
      </c>
      <c r="N322" s="187">
        <f t="shared" si="108"/>
        <v>0</v>
      </c>
      <c r="O322" s="187">
        <f t="shared" si="109"/>
        <v>0</v>
      </c>
      <c r="P322" s="188">
        <f t="shared" si="110"/>
        <v>0</v>
      </c>
      <c r="Q322" s="188">
        <f t="shared" si="111"/>
        <v>0</v>
      </c>
      <c r="T322" t="s">
        <v>162</v>
      </c>
      <c r="U322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 x14ac:dyDescent="0.25">
      <c r="A323" s="180"/>
      <c r="B323" s="17"/>
      <c r="C323" s="17"/>
      <c r="D323" s="17"/>
      <c r="E323" s="33"/>
      <c r="F323" s="17"/>
      <c r="G323" s="17"/>
      <c r="H323" s="17"/>
      <c r="I323" s="185">
        <f t="shared" si="103"/>
        <v>0</v>
      </c>
      <c r="J323" s="202">
        <f t="shared" si="104"/>
        <v>0</v>
      </c>
      <c r="K323" s="202">
        <f t="shared" si="105"/>
        <v>0</v>
      </c>
      <c r="L323" s="186">
        <f t="shared" si="106"/>
        <v>0</v>
      </c>
      <c r="M323" s="186">
        <f t="shared" si="107"/>
        <v>0</v>
      </c>
      <c r="N323" s="187">
        <f t="shared" si="108"/>
        <v>0</v>
      </c>
      <c r="O323" s="187">
        <f t="shared" si="109"/>
        <v>0</v>
      </c>
      <c r="P323" s="188">
        <f t="shared" si="110"/>
        <v>0</v>
      </c>
      <c r="Q323" s="188">
        <f t="shared" si="111"/>
        <v>0</v>
      </c>
      <c r="T323" t="s">
        <v>162</v>
      </c>
      <c r="U323">
        <v>1</v>
      </c>
      <c r="V323" s="1">
        <v>0</v>
      </c>
      <c r="W323" s="1">
        <v>0</v>
      </c>
      <c r="X323" s="1">
        <v>0</v>
      </c>
      <c r="Y323" s="1">
        <v>0</v>
      </c>
    </row>
    <row r="324" spans="1:25" x14ac:dyDescent="0.25">
      <c r="A324" s="180"/>
      <c r="B324" s="17"/>
      <c r="C324" s="17"/>
      <c r="D324" s="17"/>
      <c r="E324" s="33"/>
      <c r="F324" s="17"/>
      <c r="G324" s="17"/>
      <c r="H324" s="17"/>
      <c r="I324" s="185">
        <f t="shared" si="103"/>
        <v>0</v>
      </c>
      <c r="J324" s="202">
        <f t="shared" si="104"/>
        <v>0</v>
      </c>
      <c r="K324" s="202">
        <f t="shared" si="105"/>
        <v>0</v>
      </c>
      <c r="L324" s="186">
        <f t="shared" si="106"/>
        <v>0</v>
      </c>
      <c r="M324" s="186">
        <f t="shared" si="107"/>
        <v>0</v>
      </c>
      <c r="N324" s="187">
        <f t="shared" si="108"/>
        <v>0</v>
      </c>
      <c r="O324" s="187">
        <f t="shared" si="109"/>
        <v>0</v>
      </c>
      <c r="P324" s="188">
        <f t="shared" si="110"/>
        <v>0</v>
      </c>
      <c r="Q324" s="188">
        <f t="shared" si="111"/>
        <v>0</v>
      </c>
      <c r="T324" t="s">
        <v>752</v>
      </c>
      <c r="U324">
        <v>2</v>
      </c>
      <c r="V324" s="1">
        <f>J311-J301</f>
        <v>48.232967599993572</v>
      </c>
      <c r="W324" s="1">
        <f>K311-K301</f>
        <v>48.232967599993572</v>
      </c>
      <c r="X324" s="1">
        <f>L311-L301</f>
        <v>43.335885161039187</v>
      </c>
      <c r="Y324" s="1">
        <f>J339-J329</f>
        <v>47.644458019596641</v>
      </c>
    </row>
    <row r="325" spans="1:25" x14ac:dyDescent="0.25">
      <c r="T325" t="s">
        <v>752</v>
      </c>
      <c r="U325">
        <v>3</v>
      </c>
      <c r="V325" s="1">
        <f>J311-J301</f>
        <v>48.232967599993572</v>
      </c>
      <c r="W325" s="1">
        <f>K311-K301</f>
        <v>48.232967599993572</v>
      </c>
      <c r="X325" s="1">
        <f>L311-L301</f>
        <v>43.335885161039187</v>
      </c>
      <c r="Y325" s="1">
        <f>J339-J329</f>
        <v>47.644458019596641</v>
      </c>
    </row>
    <row r="326" spans="1:25" x14ac:dyDescent="0.25">
      <c r="T326" t="s">
        <v>866</v>
      </c>
      <c r="U326">
        <v>4</v>
      </c>
      <c r="V326" s="1">
        <f>J306-J301</f>
        <v>47.811300187575398</v>
      </c>
      <c r="W326" s="1">
        <f>K306-K301</f>
        <v>47.8153985166864</v>
      </c>
      <c r="X326" s="1">
        <f>L306-L301</f>
        <v>42.924885406406247</v>
      </c>
      <c r="Y326" s="1">
        <f>J334-J329</f>
        <v>45.846800803177757</v>
      </c>
    </row>
    <row r="327" spans="1:25" x14ac:dyDescent="0.25">
      <c r="A327" s="15" t="s">
        <v>875</v>
      </c>
      <c r="B327" s="15"/>
      <c r="C327" s="15"/>
      <c r="D327" s="15"/>
      <c r="E327" s="15"/>
      <c r="F327" s="15"/>
      <c r="G327" s="15"/>
      <c r="T327" t="s">
        <v>866</v>
      </c>
      <c r="U327">
        <v>5</v>
      </c>
      <c r="V327" s="1">
        <f>J306-J301</f>
        <v>47.811300187575398</v>
      </c>
      <c r="W327" s="1">
        <f>K306-K301</f>
        <v>47.8153985166864</v>
      </c>
      <c r="X327" s="1">
        <f>L306-L301</f>
        <v>42.924885406406247</v>
      </c>
      <c r="Y327" s="1">
        <f>J334-J329</f>
        <v>45.846800803177757</v>
      </c>
    </row>
    <row r="328" spans="1:25" ht="60" x14ac:dyDescent="0.25">
      <c r="A328" s="167" t="s">
        <v>482</v>
      </c>
      <c r="B328" s="179" t="s">
        <v>876</v>
      </c>
      <c r="C328" s="179"/>
      <c r="D328" s="167"/>
      <c r="E328" s="179"/>
      <c r="F328" s="179" t="s">
        <v>877</v>
      </c>
      <c r="G328" s="179" t="s">
        <v>878</v>
      </c>
      <c r="H328" s="179" t="s">
        <v>879</v>
      </c>
      <c r="I328" s="179" t="s">
        <v>880</v>
      </c>
      <c r="J328" s="201" t="s">
        <v>800</v>
      </c>
      <c r="K328" s="201" t="s">
        <v>801</v>
      </c>
      <c r="L328" s="191" t="s">
        <v>648</v>
      </c>
      <c r="M328" s="191" t="s">
        <v>652</v>
      </c>
      <c r="N328" s="192" t="s">
        <v>651</v>
      </c>
      <c r="O328" s="192" t="s">
        <v>653</v>
      </c>
      <c r="P328" s="193" t="s">
        <v>649</v>
      </c>
      <c r="Q328" s="193" t="s">
        <v>650</v>
      </c>
      <c r="T328" t="s">
        <v>743</v>
      </c>
      <c r="U328">
        <v>6</v>
      </c>
      <c r="V328" s="1">
        <f>(2*J302)-J301</f>
        <v>51.77346282194776</v>
      </c>
      <c r="W328" s="1">
        <f>(2*K302)-K301</f>
        <v>51.77346282194776</v>
      </c>
      <c r="X328" s="1">
        <f>(2*L302)-L301</f>
        <v>45.699800478701945</v>
      </c>
      <c r="Y328" s="1">
        <f>2*J330-J329</f>
        <v>51.041197140075383</v>
      </c>
    </row>
    <row r="329" spans="1:25" x14ac:dyDescent="0.25">
      <c r="A329" s="180" t="s">
        <v>162</v>
      </c>
      <c r="B329" s="17">
        <v>-151.22333831</v>
      </c>
      <c r="C329" s="17"/>
      <c r="D329" s="17"/>
      <c r="E329" s="33"/>
      <c r="F329" s="17"/>
      <c r="G329" s="17"/>
      <c r="H329" s="17"/>
      <c r="I329" s="185">
        <f t="shared" ref="I329:I343" si="112">(G329-H329)*($T$3*$T$4)</f>
        <v>0</v>
      </c>
      <c r="J329" s="202">
        <f>(B329)*($T$3*$T$4)</f>
        <v>-94894.04848774815</v>
      </c>
      <c r="K329" s="202">
        <f>((((2-0)/(2-D329))*B329+(1-((2-0)/(2-D329)))*C329))*($T$3*$T$4)</f>
        <v>-94894.04848774815</v>
      </c>
      <c r="L329" s="186">
        <f t="shared" ref="L329:L343" si="113">(B329+F329)*($T$3*$T$4)</f>
        <v>-94894.04848774815</v>
      </c>
      <c r="M329" s="186">
        <f t="shared" ref="M329:M343" si="114">((((2-0)/(2-D329))*B329+(1-((2-0)/(2-D329)))*C329)+F329)*($T$3*$T$4)</f>
        <v>-94894.04848774815</v>
      </c>
      <c r="N329" s="187">
        <f t="shared" ref="N329:N343" si="115">(B329+G329)*($T$3*$T$4)</f>
        <v>-94894.04848774815</v>
      </c>
      <c r="O329" s="187">
        <f t="shared" ref="O329:O343" si="116">((((2-0)/(2-D329))*B329+(1-((2-0)/(2-D329)))*C329)+G329)*($T$3*$T$4)</f>
        <v>-94894.04848774815</v>
      </c>
      <c r="P329" s="188">
        <f t="shared" ref="P329:P343" si="117">(B329+H329)*($T$3*$T$4)</f>
        <v>-94894.04848774815</v>
      </c>
      <c r="Q329" s="188">
        <f t="shared" ref="Q329:Q343" si="118">((((2-0)/(2-D329))*B329+(1-((2-0)/(2-D329)))*C329)+H329)*($T$3*$T$4)</f>
        <v>-94894.04848774815</v>
      </c>
      <c r="T329" t="s">
        <v>743</v>
      </c>
      <c r="U329">
        <v>7</v>
      </c>
      <c r="V329" s="1">
        <f>(2*J302)-J301</f>
        <v>51.77346282194776</v>
      </c>
      <c r="W329" s="1">
        <f>(2*K302)-K301</f>
        <v>51.77346282194776</v>
      </c>
      <c r="X329" s="1">
        <f>(2*L302)-L301</f>
        <v>45.699800478701945</v>
      </c>
      <c r="Y329" s="1">
        <f>2*J330-J329</f>
        <v>51.041197140075383</v>
      </c>
    </row>
    <row r="330" spans="1:25" x14ac:dyDescent="0.25">
      <c r="A330" s="180" t="s">
        <v>672</v>
      </c>
      <c r="B330" s="17">
        <v>-75.570999479999998</v>
      </c>
      <c r="C330" s="17"/>
      <c r="D330" s="17"/>
      <c r="E330" s="33"/>
      <c r="F330" s="17"/>
      <c r="G330" s="17"/>
      <c r="H330" s="17"/>
      <c r="I330" s="185">
        <f t="shared" si="112"/>
        <v>0</v>
      </c>
      <c r="J330" s="202">
        <f t="shared" ref="J330:J343" si="119">(B330)*($T$3*$T$4)</f>
        <v>-47421.503645304037</v>
      </c>
      <c r="K330" s="202">
        <f t="shared" ref="K330:K343" si="120">((((2-0)/(2-D330))*B330+(1-((2-0)/(2-D330)))*C330))*($T$3*$T$4)</f>
        <v>-47421.503645304037</v>
      </c>
      <c r="L330" s="186">
        <f t="shared" si="113"/>
        <v>-47421.503645304037</v>
      </c>
      <c r="M330" s="186">
        <f t="shared" si="114"/>
        <v>-47421.503645304037</v>
      </c>
      <c r="N330" s="187">
        <f t="shared" si="115"/>
        <v>-47421.503645304037</v>
      </c>
      <c r="O330" s="187">
        <f t="shared" si="116"/>
        <v>-47421.503645304037</v>
      </c>
      <c r="P330" s="188">
        <f t="shared" si="117"/>
        <v>-47421.503645304037</v>
      </c>
      <c r="Q330" s="188">
        <f t="shared" si="118"/>
        <v>-47421.503645304037</v>
      </c>
      <c r="T330" t="s">
        <v>866</v>
      </c>
      <c r="U330">
        <v>4</v>
      </c>
      <c r="V330" s="1">
        <f>J306-J301</f>
        <v>47.811300187575398</v>
      </c>
      <c r="W330" s="1">
        <f>K306-K301</f>
        <v>47.8153985166864</v>
      </c>
      <c r="X330" s="1">
        <f>L306-L301</f>
        <v>42.924885406406247</v>
      </c>
      <c r="Y330" s="1"/>
    </row>
    <row r="331" spans="1:25" x14ac:dyDescent="0.25">
      <c r="A331" s="180" t="s">
        <v>439</v>
      </c>
      <c r="B331" s="17"/>
      <c r="C331" s="17"/>
      <c r="D331" s="17"/>
      <c r="E331" s="33"/>
      <c r="F331" s="17"/>
      <c r="G331" s="17"/>
      <c r="H331" s="17"/>
      <c r="I331" s="185">
        <f t="shared" si="112"/>
        <v>0</v>
      </c>
      <c r="J331" s="202">
        <f t="shared" si="119"/>
        <v>0</v>
      </c>
      <c r="K331" s="202">
        <f t="shared" si="120"/>
        <v>0</v>
      </c>
      <c r="L331" s="186">
        <f t="shared" si="113"/>
        <v>0</v>
      </c>
      <c r="M331" s="186">
        <f t="shared" si="114"/>
        <v>0</v>
      </c>
      <c r="N331" s="187">
        <f t="shared" si="115"/>
        <v>0</v>
      </c>
      <c r="O331" s="187">
        <f t="shared" si="116"/>
        <v>0</v>
      </c>
      <c r="P331" s="188">
        <f t="shared" si="117"/>
        <v>0</v>
      </c>
      <c r="Q331" s="188">
        <f t="shared" si="118"/>
        <v>0</v>
      </c>
      <c r="T331" t="s">
        <v>866</v>
      </c>
      <c r="U331">
        <v>5</v>
      </c>
      <c r="V331" s="1">
        <f>J306-J301</f>
        <v>47.811300187575398</v>
      </c>
      <c r="W331" s="1">
        <f>K306-K301</f>
        <v>47.8153985166864</v>
      </c>
      <c r="X331" s="1">
        <f>L306-L301</f>
        <v>42.924885406406247</v>
      </c>
      <c r="Y331" s="1"/>
    </row>
    <row r="332" spans="1:25" x14ac:dyDescent="0.25">
      <c r="A332" s="180" t="s">
        <v>725</v>
      </c>
      <c r="B332" s="17"/>
      <c r="C332" s="17"/>
      <c r="D332" s="17"/>
      <c r="E332" s="33"/>
      <c r="F332" s="17"/>
      <c r="G332" s="17"/>
      <c r="H332" s="17"/>
      <c r="I332" s="185">
        <f t="shared" si="112"/>
        <v>0</v>
      </c>
      <c r="J332" s="202">
        <f t="shared" si="119"/>
        <v>0</v>
      </c>
      <c r="K332" s="202">
        <f t="shared" si="120"/>
        <v>0</v>
      </c>
      <c r="L332" s="186">
        <f t="shared" si="113"/>
        <v>0</v>
      </c>
      <c r="M332" s="186">
        <f t="shared" si="114"/>
        <v>0</v>
      </c>
      <c r="N332" s="187">
        <f t="shared" si="115"/>
        <v>0</v>
      </c>
      <c r="O332" s="187">
        <f t="shared" si="116"/>
        <v>0</v>
      </c>
      <c r="P332" s="188">
        <f t="shared" si="117"/>
        <v>0</v>
      </c>
      <c r="Q332" s="188">
        <f t="shared" si="118"/>
        <v>0</v>
      </c>
      <c r="T332" t="s">
        <v>867</v>
      </c>
      <c r="U332">
        <v>8</v>
      </c>
      <c r="V332" s="1">
        <f>J309-J301</f>
        <v>47.830119190941332</v>
      </c>
      <c r="W332" s="1">
        <f>K309-K301</f>
        <v>47.830119190941332</v>
      </c>
      <c r="X332" s="1">
        <f>L309-L301</f>
        <v>42.948724484042032</v>
      </c>
      <c r="Y332" s="1"/>
    </row>
    <row r="333" spans="1:25" x14ac:dyDescent="0.25">
      <c r="A333" s="180"/>
      <c r="B333" s="17"/>
      <c r="C333" s="17"/>
      <c r="D333" s="17"/>
      <c r="E333" s="33"/>
      <c r="F333" s="17"/>
      <c r="G333" s="17"/>
      <c r="H333" s="17"/>
      <c r="I333" s="185">
        <f t="shared" si="112"/>
        <v>0</v>
      </c>
      <c r="J333" s="202">
        <f t="shared" si="119"/>
        <v>0</v>
      </c>
      <c r="K333" s="202">
        <f t="shared" si="120"/>
        <v>0</v>
      </c>
      <c r="L333" s="186">
        <f t="shared" si="113"/>
        <v>0</v>
      </c>
      <c r="M333" s="186">
        <f t="shared" si="114"/>
        <v>0</v>
      </c>
      <c r="N333" s="187">
        <f t="shared" si="115"/>
        <v>0</v>
      </c>
      <c r="O333" s="187">
        <f t="shared" si="116"/>
        <v>0</v>
      </c>
      <c r="P333" s="188">
        <f t="shared" si="117"/>
        <v>0</v>
      </c>
      <c r="Q333" s="188">
        <f t="shared" si="118"/>
        <v>0</v>
      </c>
      <c r="T333" t="s">
        <v>867</v>
      </c>
      <c r="U333">
        <v>9</v>
      </c>
      <c r="V333" s="1">
        <f>J309-J301</f>
        <v>47.830119190941332</v>
      </c>
      <c r="W333" s="1">
        <f>K309-K301</f>
        <v>47.830119190941332</v>
      </c>
      <c r="X333" s="1">
        <f>L309-L301</f>
        <v>42.948724484042032</v>
      </c>
      <c r="Y333" s="1"/>
    </row>
    <row r="334" spans="1:25" x14ac:dyDescent="0.25">
      <c r="A334" s="180" t="s">
        <v>793</v>
      </c>
      <c r="B334" s="17">
        <v>-151.15027676</v>
      </c>
      <c r="C334" s="17"/>
      <c r="D334" s="17"/>
      <c r="E334" s="33"/>
      <c r="F334" s="17"/>
      <c r="G334" s="17"/>
      <c r="H334" s="17"/>
      <c r="I334" s="185">
        <f t="shared" si="112"/>
        <v>0</v>
      </c>
      <c r="J334" s="202">
        <f t="shared" si="119"/>
        <v>-94848.201686944973</v>
      </c>
      <c r="K334" s="202">
        <f t="shared" si="120"/>
        <v>-94848.201686944973</v>
      </c>
      <c r="L334" s="186">
        <f t="shared" si="113"/>
        <v>-94848.201686944973</v>
      </c>
      <c r="M334" s="186">
        <f t="shared" si="114"/>
        <v>-94848.201686944973</v>
      </c>
      <c r="N334" s="187">
        <f t="shared" si="115"/>
        <v>-94848.201686944973</v>
      </c>
      <c r="O334" s="187">
        <f t="shared" si="116"/>
        <v>-94848.201686944973</v>
      </c>
      <c r="P334" s="188">
        <f t="shared" si="117"/>
        <v>-94848.201686944973</v>
      </c>
      <c r="Q334" s="188">
        <f t="shared" si="118"/>
        <v>-94848.201686944973</v>
      </c>
      <c r="Y334" s="1"/>
    </row>
    <row r="335" spans="1:25" x14ac:dyDescent="0.25">
      <c r="A335" s="180" t="s">
        <v>838</v>
      </c>
      <c r="B335" s="17"/>
      <c r="C335" s="17"/>
      <c r="D335" s="17"/>
      <c r="E335" s="33"/>
      <c r="F335" s="17"/>
      <c r="G335" s="17"/>
      <c r="H335" s="17"/>
      <c r="I335" s="185">
        <f t="shared" si="112"/>
        <v>0</v>
      </c>
      <c r="J335" s="202">
        <f t="shared" si="119"/>
        <v>0</v>
      </c>
      <c r="K335" s="202">
        <f t="shared" si="120"/>
        <v>0</v>
      </c>
      <c r="L335" s="186">
        <f t="shared" si="113"/>
        <v>0</v>
      </c>
      <c r="M335" s="186">
        <f t="shared" si="114"/>
        <v>0</v>
      </c>
      <c r="N335" s="187">
        <f t="shared" si="115"/>
        <v>0</v>
      </c>
      <c r="O335" s="187">
        <f t="shared" si="116"/>
        <v>0</v>
      </c>
      <c r="P335" s="188">
        <f t="shared" si="117"/>
        <v>0</v>
      </c>
      <c r="Q335" s="188">
        <f t="shared" si="118"/>
        <v>0</v>
      </c>
      <c r="T335" t="s">
        <v>745</v>
      </c>
      <c r="Y335" s="1"/>
    </row>
    <row r="336" spans="1:25" x14ac:dyDescent="0.25">
      <c r="A336" s="180" t="s">
        <v>794</v>
      </c>
      <c r="B336" s="17">
        <v>-151.15304451</v>
      </c>
      <c r="C336" s="17"/>
      <c r="D336" s="17"/>
      <c r="E336" s="33"/>
      <c r="F336" s="17"/>
      <c r="G336" s="17"/>
      <c r="H336" s="17"/>
      <c r="I336" s="185">
        <f t="shared" si="112"/>
        <v>0</v>
      </c>
      <c r="J336" s="202">
        <f t="shared" si="119"/>
        <v>-94849.938475761024</v>
      </c>
      <c r="K336" s="202">
        <f t="shared" si="120"/>
        <v>-94849.938475761024</v>
      </c>
      <c r="L336" s="186">
        <f t="shared" si="113"/>
        <v>-94849.938475761024</v>
      </c>
      <c r="M336" s="186">
        <f t="shared" si="114"/>
        <v>-94849.938475761024</v>
      </c>
      <c r="N336" s="187">
        <f t="shared" si="115"/>
        <v>-94849.938475761024</v>
      </c>
      <c r="O336" s="187">
        <f t="shared" si="116"/>
        <v>-94849.938475761024</v>
      </c>
      <c r="P336" s="188">
        <f t="shared" si="117"/>
        <v>-94849.938475761024</v>
      </c>
      <c r="Q336" s="188">
        <f t="shared" si="118"/>
        <v>-94849.938475761024</v>
      </c>
      <c r="T336" t="s">
        <v>743</v>
      </c>
      <c r="U336">
        <v>6</v>
      </c>
      <c r="V336" s="1">
        <f>(2*J302)-J301</f>
        <v>51.77346282194776</v>
      </c>
      <c r="W336" s="1">
        <f>(2*K302)-K301</f>
        <v>51.77346282194776</v>
      </c>
      <c r="X336" s="1">
        <f>(2*L302)-L301</f>
        <v>45.699800478701945</v>
      </c>
      <c r="Y336" s="1">
        <f>2*J330-J329</f>
        <v>51.041197140075383</v>
      </c>
    </row>
    <row r="337" spans="1:25" x14ac:dyDescent="0.25">
      <c r="A337" s="180" t="s">
        <v>842</v>
      </c>
      <c r="B337" s="17"/>
      <c r="C337" s="17"/>
      <c r="D337" s="17"/>
      <c r="E337" s="33"/>
      <c r="F337" s="17"/>
      <c r="G337" s="17"/>
      <c r="H337" s="17"/>
      <c r="I337" s="185">
        <f t="shared" si="112"/>
        <v>0</v>
      </c>
      <c r="J337" s="202">
        <f t="shared" si="119"/>
        <v>0</v>
      </c>
      <c r="K337" s="202">
        <f t="shared" si="120"/>
        <v>0</v>
      </c>
      <c r="L337" s="186">
        <f t="shared" si="113"/>
        <v>0</v>
      </c>
      <c r="M337" s="186">
        <f t="shared" si="114"/>
        <v>0</v>
      </c>
      <c r="N337" s="187">
        <f t="shared" si="115"/>
        <v>0</v>
      </c>
      <c r="O337" s="187">
        <f t="shared" si="116"/>
        <v>0</v>
      </c>
      <c r="P337" s="188">
        <f t="shared" si="117"/>
        <v>0</v>
      </c>
      <c r="Q337" s="188">
        <f t="shared" si="118"/>
        <v>0</v>
      </c>
      <c r="T337" t="s">
        <v>743</v>
      </c>
      <c r="U337">
        <v>7</v>
      </c>
      <c r="V337" s="1">
        <f>(2*J302)-J301</f>
        <v>51.77346282194776</v>
      </c>
      <c r="W337" s="1">
        <f>(2*K302)-K301</f>
        <v>51.77346282194776</v>
      </c>
      <c r="X337" s="1">
        <f>(2*L302)-L301</f>
        <v>45.699800478701945</v>
      </c>
      <c r="Y337" s="1">
        <f>2*J330-J329</f>
        <v>51.041197140075383</v>
      </c>
    </row>
    <row r="338" spans="1:25" x14ac:dyDescent="0.25">
      <c r="A338" s="180"/>
      <c r="B338" s="17"/>
      <c r="C338" s="17"/>
      <c r="D338" s="17"/>
      <c r="E338" s="33"/>
      <c r="F338" s="17"/>
      <c r="G338" s="17"/>
      <c r="H338" s="17"/>
      <c r="I338" s="185">
        <f t="shared" si="112"/>
        <v>0</v>
      </c>
      <c r="J338" s="202">
        <f t="shared" si="119"/>
        <v>0</v>
      </c>
      <c r="K338" s="202">
        <f t="shared" si="120"/>
        <v>0</v>
      </c>
      <c r="L338" s="186">
        <f t="shared" si="113"/>
        <v>0</v>
      </c>
      <c r="M338" s="186">
        <f t="shared" si="114"/>
        <v>0</v>
      </c>
      <c r="N338" s="187">
        <f t="shared" si="115"/>
        <v>0</v>
      </c>
      <c r="O338" s="187">
        <f t="shared" si="116"/>
        <v>0</v>
      </c>
      <c r="P338" s="188">
        <f t="shared" si="117"/>
        <v>0</v>
      </c>
      <c r="Q338" s="188">
        <f t="shared" si="118"/>
        <v>0</v>
      </c>
      <c r="T338" t="s">
        <v>870</v>
      </c>
      <c r="U338">
        <v>4</v>
      </c>
      <c r="V338" s="1">
        <f>J308-J301</f>
        <v>47.805596128193429</v>
      </c>
      <c r="W338" s="1">
        <f>K308-K301</f>
        <v>47.805596128193429</v>
      </c>
      <c r="X338" s="1">
        <f>L308-L301</f>
        <v>42.924201421294129</v>
      </c>
      <c r="Y338" s="1">
        <f>J336-J329</f>
        <v>44.1100119871262</v>
      </c>
    </row>
    <row r="339" spans="1:25" x14ac:dyDescent="0.25">
      <c r="A339" s="180" t="s">
        <v>746</v>
      </c>
      <c r="B339" s="183">
        <v>-151.14741201000001</v>
      </c>
      <c r="C339" s="17"/>
      <c r="D339" s="17"/>
      <c r="E339" s="33"/>
      <c r="F339" s="17"/>
      <c r="G339" s="17"/>
      <c r="H339" s="17"/>
      <c r="I339" s="185">
        <f t="shared" si="112"/>
        <v>0</v>
      </c>
      <c r="J339" s="202">
        <f t="shared" si="119"/>
        <v>-94846.404029728554</v>
      </c>
      <c r="K339" s="202">
        <f t="shared" si="120"/>
        <v>-94846.404029728554</v>
      </c>
      <c r="L339" s="186">
        <f t="shared" si="113"/>
        <v>-94846.404029728554</v>
      </c>
      <c r="M339" s="186">
        <f t="shared" si="114"/>
        <v>-94846.404029728554</v>
      </c>
      <c r="N339" s="187">
        <f t="shared" si="115"/>
        <v>-94846.404029728554</v>
      </c>
      <c r="O339" s="187">
        <f t="shared" si="116"/>
        <v>-94846.404029728554</v>
      </c>
      <c r="P339" s="188">
        <f t="shared" si="117"/>
        <v>-94846.404029728554</v>
      </c>
      <c r="Q339" s="188">
        <f t="shared" si="118"/>
        <v>-94846.404029728554</v>
      </c>
      <c r="T339" t="s">
        <v>870</v>
      </c>
      <c r="U339">
        <v>5</v>
      </c>
      <c r="V339" s="1">
        <f>J308-J301</f>
        <v>47.805596128193429</v>
      </c>
      <c r="W339" s="1">
        <f>K308-K301</f>
        <v>47.805596128193429</v>
      </c>
      <c r="X339" s="1">
        <f>L308-L301</f>
        <v>42.924201421294129</v>
      </c>
      <c r="Y339" s="1">
        <f>J336-J329</f>
        <v>44.1100119871262</v>
      </c>
    </row>
    <row r="340" spans="1:25" x14ac:dyDescent="0.25">
      <c r="A340" s="180" t="s">
        <v>747</v>
      </c>
      <c r="B340" s="17">
        <v>-151.15100967000001</v>
      </c>
      <c r="C340" s="17"/>
      <c r="D340" s="17"/>
      <c r="E340" s="33"/>
      <c r="F340" s="17"/>
      <c r="G340" s="17"/>
      <c r="H340" s="17"/>
      <c r="I340" s="185">
        <f t="shared" si="112"/>
        <v>0</v>
      </c>
      <c r="J340" s="202">
        <f t="shared" si="119"/>
        <v>-94848.661594773061</v>
      </c>
      <c r="K340" s="202">
        <f t="shared" si="120"/>
        <v>-94848.661594773061</v>
      </c>
      <c r="L340" s="186">
        <f t="shared" si="113"/>
        <v>-94848.661594773061</v>
      </c>
      <c r="M340" s="186">
        <f t="shared" si="114"/>
        <v>-94848.661594773061</v>
      </c>
      <c r="N340" s="187">
        <f t="shared" si="115"/>
        <v>-94848.661594773061</v>
      </c>
      <c r="O340" s="187">
        <f t="shared" si="116"/>
        <v>-94848.661594773061</v>
      </c>
      <c r="P340" s="188">
        <f t="shared" si="117"/>
        <v>-94848.661594773061</v>
      </c>
      <c r="Q340" s="188">
        <f t="shared" si="118"/>
        <v>-94848.661594773061</v>
      </c>
      <c r="T340" t="s">
        <v>753</v>
      </c>
      <c r="U340">
        <v>6</v>
      </c>
      <c r="V340" s="1">
        <f>J312-J301</f>
        <v>48.142418010553229</v>
      </c>
      <c r="W340" s="1">
        <f>K312-K301</f>
        <v>48.142418010553229</v>
      </c>
      <c r="X340" s="1">
        <f>L312-L301</f>
        <v>42.947268662508577</v>
      </c>
      <c r="Y340" s="1">
        <f>J340-J329</f>
        <v>45.386892975089722</v>
      </c>
    </row>
    <row r="341" spans="1:25" x14ac:dyDescent="0.25">
      <c r="A341" s="180" t="s">
        <v>750</v>
      </c>
      <c r="B341" s="17">
        <v>-151.17164688</v>
      </c>
      <c r="C341" s="17"/>
      <c r="D341" s="17"/>
      <c r="E341" s="33"/>
      <c r="F341" s="17"/>
      <c r="G341" s="17"/>
      <c r="H341" s="17"/>
      <c r="I341" s="185">
        <f t="shared" si="112"/>
        <v>0</v>
      </c>
      <c r="J341" s="202">
        <f t="shared" si="119"/>
        <v>-94861.61163560854</v>
      </c>
      <c r="K341" s="202">
        <f t="shared" si="120"/>
        <v>-94861.61163560854</v>
      </c>
      <c r="L341" s="186">
        <f t="shared" si="113"/>
        <v>-94861.61163560854</v>
      </c>
      <c r="M341" s="186">
        <f t="shared" si="114"/>
        <v>-94861.61163560854</v>
      </c>
      <c r="N341" s="187">
        <f t="shared" si="115"/>
        <v>-94861.61163560854</v>
      </c>
      <c r="O341" s="187">
        <f t="shared" si="116"/>
        <v>-94861.61163560854</v>
      </c>
      <c r="P341" s="188">
        <f t="shared" si="117"/>
        <v>-94861.61163560854</v>
      </c>
      <c r="Q341" s="188">
        <f t="shared" si="118"/>
        <v>-94861.61163560854</v>
      </c>
      <c r="T341" t="s">
        <v>753</v>
      </c>
      <c r="U341">
        <v>7</v>
      </c>
      <c r="V341" s="1">
        <f>J312-J301</f>
        <v>48.142418010553229</v>
      </c>
      <c r="W341" s="1">
        <f>K312-K301</f>
        <v>48.142418010553229</v>
      </c>
      <c r="X341" s="1">
        <f>L312-L301</f>
        <v>42.947268662508577</v>
      </c>
      <c r="Y341" s="1">
        <f>J340-J329</f>
        <v>45.386892975089722</v>
      </c>
    </row>
    <row r="342" spans="1:25" x14ac:dyDescent="0.25">
      <c r="A342" s="180" t="s">
        <v>873</v>
      </c>
      <c r="B342" s="17"/>
      <c r="C342" s="17"/>
      <c r="D342" s="17"/>
      <c r="E342" s="33"/>
      <c r="F342" s="17"/>
      <c r="G342" s="17"/>
      <c r="H342" s="17"/>
      <c r="I342" s="185">
        <f t="shared" si="112"/>
        <v>0</v>
      </c>
      <c r="J342" s="202">
        <f t="shared" si="119"/>
        <v>0</v>
      </c>
      <c r="K342" s="202">
        <f t="shared" si="120"/>
        <v>0</v>
      </c>
      <c r="L342" s="186">
        <f t="shared" si="113"/>
        <v>0</v>
      </c>
      <c r="M342" s="186">
        <f t="shared" si="114"/>
        <v>0</v>
      </c>
      <c r="N342" s="187">
        <f t="shared" si="115"/>
        <v>0</v>
      </c>
      <c r="O342" s="187">
        <f t="shared" si="116"/>
        <v>0</v>
      </c>
      <c r="P342" s="188">
        <f t="shared" si="117"/>
        <v>0</v>
      </c>
      <c r="Q342" s="188">
        <f t="shared" si="118"/>
        <v>0</v>
      </c>
      <c r="T342" t="s">
        <v>754</v>
      </c>
      <c r="U342">
        <v>8</v>
      </c>
      <c r="V342" s="1">
        <f>J313-J301</f>
        <v>47.498737814064953</v>
      </c>
      <c r="W342" s="1">
        <f>K313-K301</f>
        <v>47.498737814064953</v>
      </c>
      <c r="X342" s="1">
        <f>L313-L301</f>
        <v>43.030244214911363</v>
      </c>
      <c r="Y342" s="1">
        <f>J341-J329</f>
        <v>32.436852139609982</v>
      </c>
    </row>
    <row r="343" spans="1:25" x14ac:dyDescent="0.25">
      <c r="A343" s="180"/>
      <c r="B343" s="17"/>
      <c r="C343" s="17"/>
      <c r="D343" s="17"/>
      <c r="E343" s="33"/>
      <c r="F343" s="17"/>
      <c r="G343" s="17"/>
      <c r="H343" s="17"/>
      <c r="I343" s="185">
        <f t="shared" si="112"/>
        <v>0</v>
      </c>
      <c r="J343" s="202">
        <f t="shared" si="119"/>
        <v>0</v>
      </c>
      <c r="K343" s="202">
        <f t="shared" si="120"/>
        <v>0</v>
      </c>
      <c r="L343" s="186">
        <f t="shared" si="113"/>
        <v>0</v>
      </c>
      <c r="M343" s="186">
        <f t="shared" si="114"/>
        <v>0</v>
      </c>
      <c r="N343" s="187">
        <f t="shared" si="115"/>
        <v>0</v>
      </c>
      <c r="O343" s="187">
        <f t="shared" si="116"/>
        <v>0</v>
      </c>
      <c r="P343" s="188">
        <f t="shared" si="117"/>
        <v>0</v>
      </c>
      <c r="Q343" s="188">
        <f t="shared" si="118"/>
        <v>0</v>
      </c>
      <c r="T343" t="s">
        <v>754</v>
      </c>
      <c r="U343">
        <v>9</v>
      </c>
      <c r="V343" s="1">
        <f>J313-J301</f>
        <v>47.498737814064953</v>
      </c>
      <c r="W343" s="1">
        <f>K313-K301</f>
        <v>47.498737814064953</v>
      </c>
      <c r="X343" s="1">
        <f>L313-L301</f>
        <v>43.030244214911363</v>
      </c>
      <c r="Y343" s="1">
        <f>J341-J329</f>
        <v>32.436852139609982</v>
      </c>
    </row>
    <row r="344" spans="1:25" x14ac:dyDescent="0.25">
      <c r="A344" s="180" t="s">
        <v>761</v>
      </c>
      <c r="B344" s="17">
        <v>-151.13441379</v>
      </c>
      <c r="C344" s="17"/>
      <c r="D344" s="17"/>
      <c r="E344" s="33"/>
      <c r="F344" s="17"/>
      <c r="G344" s="17"/>
      <c r="H344" s="17"/>
      <c r="I344" s="185">
        <f t="shared" ref="I344:I352" si="121">(G344-H344)*($T$3*$T$4)</f>
        <v>0</v>
      </c>
      <c r="J344" s="202">
        <f t="shared" ref="J344:J352" si="122">(B344)*($T$3*$T$4)</f>
        <v>-94838.247526025356</v>
      </c>
      <c r="K344" s="202">
        <f t="shared" ref="K344:K352" si="123">((((2-0)/(2-D344))*B344+(1-((2-0)/(2-D344)))*C344))*($T$3*$T$4)</f>
        <v>-94838.247526025356</v>
      </c>
      <c r="L344" s="186">
        <f t="shared" ref="L344:L352" si="124">(B344+F344)*($T$3*$T$4)</f>
        <v>-94838.247526025356</v>
      </c>
      <c r="M344" s="186">
        <f t="shared" ref="M344:M352" si="125">((((2-0)/(2-D344))*B344+(1-((2-0)/(2-D344)))*C344)+F344)*($T$3*$T$4)</f>
        <v>-94838.247526025356</v>
      </c>
      <c r="N344" s="187">
        <f t="shared" ref="N344:N352" si="126">(B344+G344)*($T$3*$T$4)</f>
        <v>-94838.247526025356</v>
      </c>
      <c r="O344" s="187">
        <f t="shared" ref="O344:O352" si="127">((((2-0)/(2-D344))*B344+(1-((2-0)/(2-D344)))*C344)+G344)*($T$3*$T$4)</f>
        <v>-94838.247526025356</v>
      </c>
      <c r="P344" s="188">
        <f t="shared" ref="P344:P352" si="128">(B344+H344)*($T$3*$T$4)</f>
        <v>-94838.247526025356</v>
      </c>
      <c r="Q344" s="188">
        <f t="shared" ref="Q344:Q352" si="129">((((2-0)/(2-D344))*B344+(1-((2-0)/(2-D344)))*C344)+H344)*($T$3*$T$4)</f>
        <v>-94838.247526025356</v>
      </c>
      <c r="T344" t="s">
        <v>760</v>
      </c>
      <c r="U344">
        <v>10</v>
      </c>
      <c r="V344" s="1">
        <f>J316-J301</f>
        <v>52.513773172802757</v>
      </c>
      <c r="W344" s="1">
        <f>K316-K301</f>
        <v>52.513773172802757</v>
      </c>
      <c r="X344" s="1">
        <f>L316-L301</f>
        <v>45.876607494064956</v>
      </c>
      <c r="Y344" s="1">
        <f>J344-J329</f>
        <v>55.800961722794455</v>
      </c>
    </row>
    <row r="345" spans="1:25" x14ac:dyDescent="0.25">
      <c r="A345" s="180" t="s">
        <v>871</v>
      </c>
      <c r="B345" s="17"/>
      <c r="C345" s="17"/>
      <c r="D345" s="17"/>
      <c r="E345" s="33"/>
      <c r="F345" s="17"/>
      <c r="G345" s="17"/>
      <c r="H345" s="17"/>
      <c r="I345" s="185">
        <f t="shared" si="121"/>
        <v>0</v>
      </c>
      <c r="J345" s="202">
        <f t="shared" si="122"/>
        <v>0</v>
      </c>
      <c r="K345" s="202">
        <f t="shared" si="123"/>
        <v>0</v>
      </c>
      <c r="L345" s="186">
        <f t="shared" si="124"/>
        <v>0</v>
      </c>
      <c r="M345" s="186">
        <f t="shared" si="125"/>
        <v>0</v>
      </c>
      <c r="N345" s="187">
        <f t="shared" si="126"/>
        <v>0</v>
      </c>
      <c r="O345" s="187">
        <f t="shared" si="127"/>
        <v>0</v>
      </c>
      <c r="P345" s="188">
        <f t="shared" si="128"/>
        <v>0</v>
      </c>
      <c r="Q345" s="188">
        <f t="shared" si="129"/>
        <v>0</v>
      </c>
      <c r="T345" t="s">
        <v>760</v>
      </c>
      <c r="U345">
        <v>11</v>
      </c>
      <c r="V345" s="1">
        <f>J316-J301</f>
        <v>52.513773172802757</v>
      </c>
      <c r="W345" s="1">
        <f>K316-K301</f>
        <v>52.513773172802757</v>
      </c>
      <c r="X345" s="1">
        <f>L316-L301</f>
        <v>45.876607494064956</v>
      </c>
      <c r="Y345" s="1">
        <f>J344-J329</f>
        <v>55.800961722794455</v>
      </c>
    </row>
    <row r="346" spans="1:25" x14ac:dyDescent="0.25">
      <c r="A346" s="180" t="s">
        <v>872</v>
      </c>
      <c r="B346" s="17"/>
      <c r="C346" s="17"/>
      <c r="D346" s="17"/>
      <c r="E346" s="33"/>
      <c r="F346" s="17"/>
      <c r="G346" s="17"/>
      <c r="H346" s="17"/>
      <c r="I346" s="185">
        <f t="shared" si="121"/>
        <v>0</v>
      </c>
      <c r="J346" s="202">
        <f t="shared" si="122"/>
        <v>0</v>
      </c>
      <c r="K346" s="202">
        <f t="shared" si="123"/>
        <v>0</v>
      </c>
      <c r="L346" s="186">
        <f t="shared" si="124"/>
        <v>0</v>
      </c>
      <c r="M346" s="186">
        <f t="shared" si="125"/>
        <v>0</v>
      </c>
      <c r="N346" s="187">
        <f t="shared" si="126"/>
        <v>0</v>
      </c>
      <c r="O346" s="187">
        <f t="shared" si="127"/>
        <v>0</v>
      </c>
      <c r="P346" s="188">
        <f t="shared" si="128"/>
        <v>0</v>
      </c>
      <c r="Q346" s="188">
        <f t="shared" si="129"/>
        <v>0</v>
      </c>
      <c r="T346" t="s">
        <v>764</v>
      </c>
      <c r="U346">
        <v>12</v>
      </c>
      <c r="V346" s="1">
        <f>J317-J301</f>
        <v>31.665956986311357</v>
      </c>
      <c r="W346" s="1">
        <f>K317-K301</f>
        <v>31.665956986311357</v>
      </c>
      <c r="X346" s="1">
        <f>L317-L301</f>
        <v>28.746783805123414</v>
      </c>
      <c r="Y346" s="1"/>
    </row>
    <row r="347" spans="1:25" x14ac:dyDescent="0.25">
      <c r="A347" s="180"/>
      <c r="B347" s="17"/>
      <c r="C347" s="17"/>
      <c r="D347" s="17"/>
      <c r="E347" s="33"/>
      <c r="F347" s="17"/>
      <c r="G347" s="17"/>
      <c r="H347" s="17"/>
      <c r="I347" s="185">
        <f t="shared" si="121"/>
        <v>0</v>
      </c>
      <c r="J347" s="202">
        <f t="shared" si="122"/>
        <v>0</v>
      </c>
      <c r="K347" s="202">
        <f t="shared" si="123"/>
        <v>0</v>
      </c>
      <c r="L347" s="186">
        <f t="shared" si="124"/>
        <v>0</v>
      </c>
      <c r="M347" s="186">
        <f t="shared" si="125"/>
        <v>0</v>
      </c>
      <c r="N347" s="187">
        <f t="shared" si="126"/>
        <v>0</v>
      </c>
      <c r="O347" s="187">
        <f t="shared" si="127"/>
        <v>0</v>
      </c>
      <c r="P347" s="188">
        <f t="shared" si="128"/>
        <v>0</v>
      </c>
      <c r="Q347" s="188">
        <f t="shared" si="129"/>
        <v>0</v>
      </c>
      <c r="T347" t="s">
        <v>764</v>
      </c>
      <c r="U347">
        <v>13</v>
      </c>
      <c r="V347" s="1">
        <f>J317-J301</f>
        <v>31.665956986311357</v>
      </c>
      <c r="W347" s="1">
        <f>K317-K301</f>
        <v>31.665956986311357</v>
      </c>
      <c r="X347" s="1">
        <f>L317-L301</f>
        <v>28.746783805123414</v>
      </c>
      <c r="Y347" s="1"/>
    </row>
    <row r="348" spans="1:25" x14ac:dyDescent="0.25">
      <c r="A348" s="180" t="s">
        <v>796</v>
      </c>
      <c r="B348" s="17"/>
      <c r="C348" s="17"/>
      <c r="D348" s="17"/>
      <c r="E348" s="33"/>
      <c r="F348" s="17"/>
      <c r="G348" s="17"/>
      <c r="H348" s="17"/>
      <c r="I348" s="185">
        <f t="shared" si="121"/>
        <v>0</v>
      </c>
      <c r="J348" s="202">
        <f t="shared" si="122"/>
        <v>0</v>
      </c>
      <c r="K348" s="202">
        <f t="shared" si="123"/>
        <v>0</v>
      </c>
      <c r="L348" s="186">
        <f t="shared" si="124"/>
        <v>0</v>
      </c>
      <c r="M348" s="186">
        <f t="shared" si="125"/>
        <v>0</v>
      </c>
      <c r="N348" s="187">
        <f t="shared" si="126"/>
        <v>0</v>
      </c>
      <c r="O348" s="187">
        <f t="shared" si="127"/>
        <v>0</v>
      </c>
      <c r="P348" s="188">
        <f t="shared" si="128"/>
        <v>0</v>
      </c>
      <c r="Q348" s="188">
        <f t="shared" si="129"/>
        <v>0</v>
      </c>
      <c r="T348" t="s">
        <v>755</v>
      </c>
      <c r="U348">
        <v>14</v>
      </c>
      <c r="V348" s="1">
        <f>(J303+J304)-J301</f>
        <v>33.573836208190187</v>
      </c>
      <c r="W348" s="1">
        <f>(K303+K304)-K301</f>
        <v>33.573836208190187</v>
      </c>
      <c r="X348" s="1">
        <f>(L303+L304)-L301</f>
        <v>30.116887572075939</v>
      </c>
      <c r="Y348" s="1"/>
    </row>
    <row r="349" spans="1:25" x14ac:dyDescent="0.25">
      <c r="A349" s="180" t="s">
        <v>797</v>
      </c>
      <c r="B349" s="17"/>
      <c r="C349" s="17"/>
      <c r="D349" s="17"/>
      <c r="E349" s="33"/>
      <c r="F349" s="17"/>
      <c r="G349" s="17"/>
      <c r="H349" s="17"/>
      <c r="I349" s="185">
        <f t="shared" si="121"/>
        <v>0</v>
      </c>
      <c r="J349" s="202">
        <f t="shared" si="122"/>
        <v>0</v>
      </c>
      <c r="K349" s="202">
        <f t="shared" si="123"/>
        <v>0</v>
      </c>
      <c r="L349" s="186">
        <f t="shared" si="124"/>
        <v>0</v>
      </c>
      <c r="M349" s="186">
        <f t="shared" si="125"/>
        <v>0</v>
      </c>
      <c r="N349" s="187">
        <f t="shared" si="126"/>
        <v>0</v>
      </c>
      <c r="O349" s="187">
        <f t="shared" si="127"/>
        <v>0</v>
      </c>
      <c r="P349" s="188">
        <f t="shared" si="128"/>
        <v>0</v>
      </c>
      <c r="Q349" s="188">
        <f t="shared" si="129"/>
        <v>0</v>
      </c>
      <c r="T349" t="s">
        <v>755</v>
      </c>
      <c r="U349">
        <v>15</v>
      </c>
      <c r="V349" s="1">
        <f>(J303+J304)-J301</f>
        <v>33.573836208190187</v>
      </c>
      <c r="W349" s="1">
        <f>(K303+K304)-K301</f>
        <v>33.573836208190187</v>
      </c>
      <c r="X349" s="1">
        <f>(L303+L304)-L301</f>
        <v>30.116887572075939</v>
      </c>
      <c r="Y349" s="1"/>
    </row>
    <row r="350" spans="1:25" x14ac:dyDescent="0.25">
      <c r="A350" s="180"/>
      <c r="B350" s="17"/>
      <c r="C350" s="17"/>
      <c r="D350" s="17"/>
      <c r="E350" s="33"/>
      <c r="F350" s="17"/>
      <c r="G350" s="17"/>
      <c r="H350" s="17"/>
      <c r="I350" s="185">
        <f t="shared" si="121"/>
        <v>0</v>
      </c>
      <c r="J350" s="202">
        <f t="shared" si="122"/>
        <v>0</v>
      </c>
      <c r="K350" s="202">
        <f t="shared" si="123"/>
        <v>0</v>
      </c>
      <c r="L350" s="186">
        <f t="shared" si="124"/>
        <v>0</v>
      </c>
      <c r="M350" s="186">
        <f t="shared" si="125"/>
        <v>0</v>
      </c>
      <c r="N350" s="187">
        <f t="shared" si="126"/>
        <v>0</v>
      </c>
      <c r="O350" s="187">
        <f t="shared" si="127"/>
        <v>0</v>
      </c>
      <c r="P350" s="188">
        <f t="shared" si="128"/>
        <v>0</v>
      </c>
      <c r="Q350" s="188">
        <f t="shared" si="129"/>
        <v>0</v>
      </c>
      <c r="Y350" s="1"/>
    </row>
    <row r="351" spans="1:25" x14ac:dyDescent="0.25">
      <c r="A351" s="180"/>
      <c r="B351" s="17"/>
      <c r="C351" s="17"/>
      <c r="D351" s="17"/>
      <c r="E351" s="33"/>
      <c r="F351" s="17"/>
      <c r="G351" s="17"/>
      <c r="H351" s="17"/>
      <c r="I351" s="185">
        <f t="shared" si="121"/>
        <v>0</v>
      </c>
      <c r="J351" s="202">
        <f t="shared" si="122"/>
        <v>0</v>
      </c>
      <c r="K351" s="202">
        <f t="shared" si="123"/>
        <v>0</v>
      </c>
      <c r="L351" s="186">
        <f t="shared" si="124"/>
        <v>0</v>
      </c>
      <c r="M351" s="186">
        <f t="shared" si="125"/>
        <v>0</v>
      </c>
      <c r="N351" s="187">
        <f t="shared" si="126"/>
        <v>0</v>
      </c>
      <c r="O351" s="187">
        <f t="shared" si="127"/>
        <v>0</v>
      </c>
      <c r="P351" s="188">
        <f t="shared" si="128"/>
        <v>0</v>
      </c>
      <c r="Q351" s="188">
        <f t="shared" si="129"/>
        <v>0</v>
      </c>
      <c r="Y351" s="1"/>
    </row>
    <row r="352" spans="1:25" x14ac:dyDescent="0.25">
      <c r="A352" s="180"/>
      <c r="B352" s="17"/>
      <c r="C352" s="17"/>
      <c r="D352" s="17"/>
      <c r="E352" s="33"/>
      <c r="F352" s="17"/>
      <c r="G352" s="17"/>
      <c r="H352" s="17"/>
      <c r="I352" s="185">
        <f t="shared" si="121"/>
        <v>0</v>
      </c>
      <c r="J352" s="202">
        <f t="shared" si="122"/>
        <v>0</v>
      </c>
      <c r="K352" s="202">
        <f t="shared" si="123"/>
        <v>0</v>
      </c>
      <c r="L352" s="186">
        <f t="shared" si="124"/>
        <v>0</v>
      </c>
      <c r="M352" s="186">
        <f t="shared" si="125"/>
        <v>0</v>
      </c>
      <c r="N352" s="187">
        <f t="shared" si="126"/>
        <v>0</v>
      </c>
      <c r="O352" s="187">
        <f t="shared" si="127"/>
        <v>0</v>
      </c>
      <c r="P352" s="188">
        <f t="shared" si="128"/>
        <v>0</v>
      </c>
      <c r="Q352" s="188">
        <f t="shared" si="129"/>
        <v>0</v>
      </c>
      <c r="Y352" s="1"/>
    </row>
    <row r="353" spans="20:28" x14ac:dyDescent="0.25">
      <c r="T353" t="s">
        <v>870</v>
      </c>
      <c r="U353">
        <v>4</v>
      </c>
      <c r="V353" s="1">
        <f>J308-J301</f>
        <v>47.805596128193429</v>
      </c>
      <c r="W353" s="1">
        <f>K308-K301</f>
        <v>47.805596128193429</v>
      </c>
      <c r="X353" s="1">
        <f>L308-L301</f>
        <v>42.924201421294129</v>
      </c>
      <c r="Y353" s="1">
        <f>J336-J329</f>
        <v>44.1100119871262</v>
      </c>
    </row>
    <row r="354" spans="20:28" x14ac:dyDescent="0.25">
      <c r="T354" t="s">
        <v>870</v>
      </c>
      <c r="U354">
        <v>5</v>
      </c>
      <c r="V354" s="1">
        <f>J308-J301</f>
        <v>47.805596128193429</v>
      </c>
      <c r="W354" s="1">
        <f>K308-K301</f>
        <v>47.805596128193429</v>
      </c>
      <c r="X354" s="1">
        <f>L308-L301</f>
        <v>42.924201421294129</v>
      </c>
      <c r="Y354" s="1">
        <f>J336-J329</f>
        <v>44.1100119871262</v>
      </c>
    </row>
    <row r="355" spans="20:28" x14ac:dyDescent="0.25">
      <c r="T355" t="s">
        <v>743</v>
      </c>
      <c r="U355">
        <v>6</v>
      </c>
      <c r="V355" s="1">
        <f>(2*J302)-J301</f>
        <v>51.77346282194776</v>
      </c>
      <c r="W355" s="1">
        <f>(2*K302)-K301</f>
        <v>51.77346282194776</v>
      </c>
      <c r="X355" s="1">
        <f>(2*L302)-L301</f>
        <v>45.699800478701945</v>
      </c>
      <c r="Y355" s="1">
        <f>2*J330-J329</f>
        <v>51.041197140075383</v>
      </c>
    </row>
    <row r="356" spans="20:28" x14ac:dyDescent="0.25">
      <c r="T356" t="s">
        <v>743</v>
      </c>
      <c r="U356">
        <v>7</v>
      </c>
      <c r="V356" s="1">
        <f>(2*J302)-J301</f>
        <v>51.77346282194776</v>
      </c>
      <c r="W356" s="1">
        <f>(2*K302)-K301</f>
        <v>51.77346282194776</v>
      </c>
      <c r="X356" s="1">
        <f>(2*L302)-L301</f>
        <v>45.699800478701945</v>
      </c>
      <c r="Y356" s="1">
        <f>2*J330-J329</f>
        <v>51.041197140075383</v>
      </c>
    </row>
    <row r="357" spans="20:28" x14ac:dyDescent="0.25">
      <c r="T357" t="s">
        <v>754</v>
      </c>
      <c r="U357">
        <v>8</v>
      </c>
      <c r="V357" s="1">
        <f>J313-J301</f>
        <v>47.498737814064953</v>
      </c>
      <c r="W357" s="1">
        <f>K313-K301</f>
        <v>47.498737814064953</v>
      </c>
      <c r="X357" s="1">
        <f>L313-L301</f>
        <v>43.030244214911363</v>
      </c>
      <c r="Y357" s="1">
        <f>J341-J329</f>
        <v>32.436852139609982</v>
      </c>
    </row>
    <row r="358" spans="20:28" x14ac:dyDescent="0.25">
      <c r="T358" t="s">
        <v>754</v>
      </c>
      <c r="U358">
        <v>9</v>
      </c>
      <c r="V358" s="1">
        <f>J313-J301</f>
        <v>47.498737814064953</v>
      </c>
      <c r="W358" s="1">
        <f>K313-K301</f>
        <v>47.498737814064953</v>
      </c>
      <c r="X358" s="1">
        <f>L313-L301</f>
        <v>43.030244214911363</v>
      </c>
      <c r="Y358" s="1">
        <f>J341-J329</f>
        <v>32.436852139609982</v>
      </c>
    </row>
    <row r="359" spans="20:28" x14ac:dyDescent="0.25">
      <c r="T359" t="s">
        <v>870</v>
      </c>
      <c r="U359">
        <v>4</v>
      </c>
      <c r="V359" s="1">
        <f>J308-J301</f>
        <v>47.805596128193429</v>
      </c>
      <c r="W359" s="1">
        <f>K308-K301</f>
        <v>47.805596128193429</v>
      </c>
      <c r="X359" s="1">
        <f>L308-L301</f>
        <v>42.924201421294129</v>
      </c>
      <c r="Y359" s="1">
        <f>J341-J329</f>
        <v>32.436852139609982</v>
      </c>
    </row>
    <row r="360" spans="20:28" x14ac:dyDescent="0.25">
      <c r="T360" t="s">
        <v>870</v>
      </c>
      <c r="U360">
        <v>5</v>
      </c>
      <c r="V360" s="1">
        <f>J308-J301</f>
        <v>47.805596128193429</v>
      </c>
      <c r="W360" s="1">
        <f>K308-K301</f>
        <v>47.805596128193429</v>
      </c>
      <c r="X360" s="1">
        <f>L308-L301</f>
        <v>42.924201421294129</v>
      </c>
      <c r="Y360" s="1">
        <f>J341-J329</f>
        <v>32.436852139609982</v>
      </c>
    </row>
    <row r="361" spans="20:28" x14ac:dyDescent="0.25">
      <c r="T361" t="s">
        <v>790</v>
      </c>
      <c r="U361">
        <v>6</v>
      </c>
      <c r="V361" s="1">
        <f>J320-J301</f>
        <v>64.884773542973562</v>
      </c>
      <c r="W361" s="1">
        <f>K320-K301</f>
        <v>64.884773542973562</v>
      </c>
      <c r="X361" s="1">
        <f>L320-L301</f>
        <v>58.507396707092994</v>
      </c>
      <c r="Y361" s="1"/>
    </row>
    <row r="362" spans="20:28" x14ac:dyDescent="0.25">
      <c r="T362" t="s">
        <v>790</v>
      </c>
      <c r="U362">
        <v>7</v>
      </c>
      <c r="V362" s="1">
        <f>J320-J301</f>
        <v>64.884773542973562</v>
      </c>
      <c r="W362" s="1">
        <f>K320-K301</f>
        <v>64.884773542973562</v>
      </c>
      <c r="X362" s="1">
        <f>L320-L301</f>
        <v>58.507396707092994</v>
      </c>
      <c r="Y362" s="1"/>
      <c r="AB362">
        <f>64-22</f>
        <v>42</v>
      </c>
    </row>
    <row r="363" spans="20:28" x14ac:dyDescent="0.25">
      <c r="T363" t="s">
        <v>791</v>
      </c>
      <c r="U363">
        <v>8</v>
      </c>
      <c r="V363" s="1">
        <f>J318-J301</f>
        <v>31.819916388718411</v>
      </c>
      <c r="W363" s="1">
        <f>K318-K301</f>
        <v>31.819916388718411</v>
      </c>
      <c r="X363" s="1">
        <f>L318-L301</f>
        <v>29.077700825131615</v>
      </c>
      <c r="Y363" s="1"/>
    </row>
    <row r="364" spans="20:28" x14ac:dyDescent="0.25">
      <c r="T364" t="s">
        <v>791</v>
      </c>
      <c r="U364">
        <v>9</v>
      </c>
      <c r="V364" s="1">
        <f>J318-J301</f>
        <v>31.819916388718411</v>
      </c>
      <c r="W364" s="1">
        <f>K318-K301</f>
        <v>31.819916388718411</v>
      </c>
      <c r="X364" s="1">
        <f>L318-L301</f>
        <v>29.077700825131615</v>
      </c>
      <c r="Y364" s="1"/>
    </row>
    <row r="365" spans="20:28" x14ac:dyDescent="0.25">
      <c r="V365" s="1"/>
      <c r="W365" s="1"/>
      <c r="X365" s="1"/>
      <c r="Y365" s="1"/>
    </row>
    <row r="366" spans="20:28" x14ac:dyDescent="0.25">
      <c r="T366" t="s">
        <v>791</v>
      </c>
      <c r="U366">
        <v>8</v>
      </c>
      <c r="V366" s="1">
        <f>J318-J301</f>
        <v>31.819916388718411</v>
      </c>
      <c r="W366" s="1">
        <f>K318-K301</f>
        <v>31.819916388718411</v>
      </c>
      <c r="X366" s="1">
        <f>L318-L301</f>
        <v>29.077700825131615</v>
      </c>
      <c r="Y366" s="1"/>
    </row>
    <row r="367" spans="20:28" x14ac:dyDescent="0.25">
      <c r="T367" t="s">
        <v>791</v>
      </c>
      <c r="U367">
        <v>9</v>
      </c>
      <c r="V367" s="1">
        <f>J318-J301</f>
        <v>31.819916388718411</v>
      </c>
      <c r="W367" s="1">
        <f>K318-K301</f>
        <v>31.819916388718411</v>
      </c>
      <c r="X367" s="1">
        <f>L318-L301</f>
        <v>29.077700825131615</v>
      </c>
      <c r="Y367" s="1"/>
    </row>
    <row r="368" spans="20:28" x14ac:dyDescent="0.25">
      <c r="T368" t="s">
        <v>755</v>
      </c>
      <c r="U368">
        <v>10</v>
      </c>
      <c r="V368" s="1">
        <f>(J303+J304)-J301</f>
        <v>33.573836208190187</v>
      </c>
      <c r="W368" s="1">
        <f>(K303+K304)-K301</f>
        <v>33.573836208190187</v>
      </c>
      <c r="X368" s="1">
        <f>(L303+L304)-L301</f>
        <v>30.116887572075939</v>
      </c>
      <c r="Y368" s="1"/>
    </row>
    <row r="369" spans="20:25" x14ac:dyDescent="0.25">
      <c r="T369" t="s">
        <v>755</v>
      </c>
      <c r="U369">
        <v>11</v>
      </c>
      <c r="V369" s="1">
        <f>(J303+J304)-J301</f>
        <v>33.573836208190187</v>
      </c>
      <c r="W369" s="1">
        <f>(K303+K304)-K301</f>
        <v>33.573836208190187</v>
      </c>
      <c r="X369" s="1">
        <f>(L303+L304)-L301</f>
        <v>30.116887572075939</v>
      </c>
      <c r="Y369" s="1"/>
    </row>
    <row r="370" spans="20:25" x14ac:dyDescent="0.25">
      <c r="T370" t="s">
        <v>764</v>
      </c>
      <c r="U370">
        <v>12</v>
      </c>
      <c r="V370" s="1">
        <f>J317-J301</f>
        <v>31.665956986311357</v>
      </c>
      <c r="W370" s="1">
        <f>K317-K301</f>
        <v>31.665956986311357</v>
      </c>
      <c r="X370" s="1">
        <f>L317-L301</f>
        <v>28.746783805123414</v>
      </c>
      <c r="Y370" s="1"/>
    </row>
    <row r="371" spans="20:25" x14ac:dyDescent="0.25">
      <c r="T371" t="s">
        <v>764</v>
      </c>
      <c r="U371">
        <v>13</v>
      </c>
      <c r="V371" s="1">
        <f>J317-J301</f>
        <v>31.665956986311357</v>
      </c>
      <c r="W371" s="1">
        <f>K317-K301</f>
        <v>31.665956986311357</v>
      </c>
      <c r="X371" s="1">
        <f>L317-L301</f>
        <v>28.746783805123414</v>
      </c>
      <c r="Y371" s="1"/>
    </row>
  </sheetData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zoomScale="30" zoomScaleNormal="30" workbookViewId="0">
      <selection activeCell="R80" sqref="R80"/>
    </sheetView>
  </sheetViews>
  <sheetFormatPr defaultRowHeight="15" x14ac:dyDescent="0.25"/>
  <cols>
    <col min="1" max="1" width="33.5703125" customWidth="1"/>
    <col min="2" max="2" width="11" customWidth="1"/>
    <col min="3" max="3" width="10.7109375" customWidth="1"/>
    <col min="4" max="4" width="12.7109375" customWidth="1"/>
    <col min="6" max="6" width="11.140625" customWidth="1"/>
    <col min="7" max="7" width="10.42578125" customWidth="1"/>
    <col min="9" max="9" width="11.42578125" customWidth="1"/>
    <col min="10" max="10" width="12.5703125" customWidth="1"/>
    <col min="11" max="11" width="10" customWidth="1"/>
    <col min="12" max="12" width="10.28515625" customWidth="1"/>
    <col min="13" max="13" width="10.28515625" bestFit="1" customWidth="1"/>
    <col min="14" max="14" width="10.140625" customWidth="1"/>
    <col min="16" max="16" width="11.7109375" customWidth="1"/>
    <col min="17" max="17" width="13.28515625" customWidth="1"/>
    <col min="18" max="18" width="10.7109375" customWidth="1"/>
    <col min="19" max="19" width="13" customWidth="1"/>
    <col min="20" max="20" width="16" customWidth="1"/>
    <col min="21" max="21" width="41.7109375" customWidth="1"/>
  </cols>
  <sheetData>
    <row r="1" spans="1:18" x14ac:dyDescent="0.25">
      <c r="A1" t="s">
        <v>907</v>
      </c>
    </row>
    <row r="2" spans="1:18" x14ac:dyDescent="0.25">
      <c r="A2" t="s">
        <v>900</v>
      </c>
    </row>
    <row r="3" spans="1:18" x14ac:dyDescent="0.25">
      <c r="A3" t="s">
        <v>891</v>
      </c>
    </row>
    <row r="4" spans="1:18" x14ac:dyDescent="0.25">
      <c r="A4" t="s">
        <v>892</v>
      </c>
    </row>
    <row r="5" spans="1:18" x14ac:dyDescent="0.25">
      <c r="A5" t="s">
        <v>893</v>
      </c>
    </row>
    <row r="6" spans="1:18" x14ac:dyDescent="0.25">
      <c r="A6" t="s">
        <v>894</v>
      </c>
    </row>
    <row r="9" spans="1:18" x14ac:dyDescent="0.25">
      <c r="B9" t="s">
        <v>887</v>
      </c>
      <c r="C9" t="s">
        <v>888</v>
      </c>
      <c r="D9" t="s">
        <v>889</v>
      </c>
      <c r="E9" t="s">
        <v>890</v>
      </c>
      <c r="F9" t="s">
        <v>895</v>
      </c>
      <c r="G9" t="s">
        <v>898</v>
      </c>
      <c r="H9" t="s">
        <v>897</v>
      </c>
      <c r="I9" t="s">
        <v>899</v>
      </c>
      <c r="J9" t="s">
        <v>901</v>
      </c>
      <c r="K9" t="s">
        <v>903</v>
      </c>
      <c r="L9" t="s">
        <v>904</v>
      </c>
      <c r="M9" t="s">
        <v>905</v>
      </c>
      <c r="N9" t="s">
        <v>906</v>
      </c>
      <c r="O9" t="s">
        <v>923</v>
      </c>
      <c r="P9" t="s">
        <v>924</v>
      </c>
      <c r="Q9" t="s">
        <v>925</v>
      </c>
      <c r="R9" t="s">
        <v>926</v>
      </c>
    </row>
    <row r="10" spans="1:18" x14ac:dyDescent="0.25">
      <c r="B10" t="s">
        <v>886</v>
      </c>
      <c r="C10" t="s">
        <v>886</v>
      </c>
      <c r="D10" t="s">
        <v>886</v>
      </c>
      <c r="E10" t="s">
        <v>886</v>
      </c>
      <c r="F10" t="s">
        <v>896</v>
      </c>
      <c r="G10" t="s">
        <v>886</v>
      </c>
      <c r="H10" t="s">
        <v>886</v>
      </c>
      <c r="I10" t="s">
        <v>886</v>
      </c>
      <c r="J10" t="s">
        <v>902</v>
      </c>
      <c r="K10" t="s">
        <v>902</v>
      </c>
      <c r="L10" t="s">
        <v>902</v>
      </c>
      <c r="M10" t="s">
        <v>902</v>
      </c>
      <c r="N10" t="s">
        <v>902</v>
      </c>
      <c r="O10" t="s">
        <v>902</v>
      </c>
      <c r="P10" t="s">
        <v>902</v>
      </c>
      <c r="Q10" t="s">
        <v>902</v>
      </c>
      <c r="R10" t="s">
        <v>902</v>
      </c>
    </row>
    <row r="11" spans="1:18" x14ac:dyDescent="0.25">
      <c r="A11" t="s">
        <v>162</v>
      </c>
      <c r="B11" s="14">
        <v>-151.53321384</v>
      </c>
      <c r="C11" s="14">
        <v>-151.62067694199999</v>
      </c>
      <c r="D11" s="14">
        <v>-151.54133461800001</v>
      </c>
      <c r="E11" s="14">
        <v>-151.55414916999999</v>
      </c>
      <c r="F11" s="14"/>
      <c r="G11" s="14">
        <v>2.6255000000000001E-2</v>
      </c>
      <c r="H11" s="14">
        <v>3.0452E-2</v>
      </c>
      <c r="I11" s="14">
        <v>3.9160000000000002E-3</v>
      </c>
      <c r="J11" s="149">
        <f t="shared" ref="J11:J21" si="0">(H11-I11)*627.509469</f>
        <v>16.651591269383999</v>
      </c>
      <c r="K11" s="207">
        <f t="shared" ref="K11:K21" si="1">(B11+H11)*627.509469</f>
        <v>-95069.417634251862</v>
      </c>
      <c r="L11" s="149">
        <f t="shared" ref="L11:L21" si="2">(C11+H11)*627.509469</f>
        <v>-95124.301558944964</v>
      </c>
      <c r="M11" s="149">
        <f t="shared" ref="M11:M21" si="3">(D11+H11)*627.509469</f>
        <v>-95074.513499342516</v>
      </c>
      <c r="N11" s="149">
        <f t="shared" ref="N11:N21" si="4">(E11+H11)*627.509469</f>
        <v>-95082.554752063486</v>
      </c>
      <c r="O11" s="207">
        <f t="shared" ref="O11:O21" si="5">(B11+I11)*627.509469</f>
        <v>-95086.069225521234</v>
      </c>
      <c r="P11" s="207">
        <f t="shared" ref="P11:P21" si="6">(C11+I11)*627.509469</f>
        <v>-95140.953150214351</v>
      </c>
      <c r="Q11" s="207">
        <f t="shared" ref="Q11:Q21" si="7">(D11+I11)*627.509469</f>
        <v>-95091.165090611888</v>
      </c>
      <c r="R11" s="207">
        <f t="shared" ref="R11:R21" si="8">(E11+I11)*627.509469</f>
        <v>-95099.206343332873</v>
      </c>
    </row>
    <row r="12" spans="1:18" x14ac:dyDescent="0.25">
      <c r="A12" t="s">
        <v>439</v>
      </c>
      <c r="B12" s="14">
        <v>-76.408953859999997</v>
      </c>
      <c r="C12" s="14">
        <v>-76.472342553299995</v>
      </c>
      <c r="D12" s="14">
        <v>-76.432368932100005</v>
      </c>
      <c r="E12" s="14">
        <v>-76.435106912899997</v>
      </c>
      <c r="F12" s="14"/>
      <c r="G12" s="14">
        <v>2.1162E-2</v>
      </c>
      <c r="H12" s="14">
        <v>2.4941000000000001E-2</v>
      </c>
      <c r="I12" s="14">
        <v>2.8400000000000001E-3</v>
      </c>
      <c r="J12" s="149">
        <f t="shared" si="0"/>
        <v>13.868586774369001</v>
      </c>
      <c r="K12" s="207">
        <f t="shared" si="1"/>
        <v>-47931.691349867768</v>
      </c>
      <c r="L12" s="149">
        <f t="shared" si="2"/>
        <v>-47971.468355141056</v>
      </c>
      <c r="M12" s="149">
        <f t="shared" si="3"/>
        <v>-47946.384529327843</v>
      </c>
      <c r="N12" s="149">
        <f t="shared" si="4"/>
        <v>-47948.102638205775</v>
      </c>
      <c r="O12" s="207">
        <f t="shared" si="5"/>
        <v>-47945.55993664213</v>
      </c>
      <c r="P12" s="207">
        <f t="shared" si="6"/>
        <v>-47985.336941915419</v>
      </c>
      <c r="Q12" s="207">
        <f t="shared" si="7"/>
        <v>-47960.253116102205</v>
      </c>
      <c r="R12" s="207">
        <f t="shared" si="8"/>
        <v>-47961.971224980138</v>
      </c>
    </row>
    <row r="13" spans="1:18" x14ac:dyDescent="0.25">
      <c r="A13" t="s">
        <v>332</v>
      </c>
      <c r="B13" s="14">
        <v>-150.88698828</v>
      </c>
      <c r="C13" s="14">
        <v>-151.13991697700001</v>
      </c>
      <c r="D13" s="14">
        <v>-151.059545947</v>
      </c>
      <c r="E13" s="14">
        <v>-151.070985511</v>
      </c>
      <c r="F13" s="14"/>
      <c r="G13" s="14">
        <v>1.2503999999999999E-2</v>
      </c>
      <c r="H13" s="14">
        <v>1.6396999999999998E-2</v>
      </c>
      <c r="I13" s="14">
        <v>-9.3139999999999994E-3</v>
      </c>
      <c r="J13" s="149">
        <f t="shared" si="0"/>
        <v>16.133895957458996</v>
      </c>
      <c r="K13" s="207">
        <f t="shared" si="1"/>
        <v>-94672.72462182882</v>
      </c>
      <c r="L13" s="149">
        <f t="shared" si="2"/>
        <v>-94831.439774178158</v>
      </c>
      <c r="M13" s="149">
        <f t="shared" si="3"/>
        <v>-94781.006191819863</v>
      </c>
      <c r="N13" s="149">
        <f t="shared" si="4"/>
        <v>-94788.184626551098</v>
      </c>
      <c r="O13" s="207">
        <f t="shared" si="5"/>
        <v>-94688.85851778627</v>
      </c>
      <c r="P13" s="207">
        <f t="shared" si="6"/>
        <v>-94847.573670135622</v>
      </c>
      <c r="Q13" s="207">
        <f t="shared" si="7"/>
        <v>-94797.140087777327</v>
      </c>
      <c r="R13" s="207">
        <f t="shared" si="8"/>
        <v>-94804.318522508562</v>
      </c>
    </row>
    <row r="14" spans="1:18" x14ac:dyDescent="0.25">
      <c r="A14" t="s">
        <v>353</v>
      </c>
      <c r="B14" s="14">
        <v>-151.72068411999999</v>
      </c>
      <c r="C14" s="14">
        <v>-151.81609115378399</v>
      </c>
      <c r="D14" s="14">
        <v>-151.73647423355999</v>
      </c>
      <c r="E14" s="14">
        <v>-151.736474233558</v>
      </c>
      <c r="F14" s="14"/>
      <c r="G14" s="14">
        <v>6.2575000000000006E-2</v>
      </c>
      <c r="H14" s="14">
        <v>7.2793999999999998E-2</v>
      </c>
      <c r="I14" s="14">
        <v>2.9416999999999999E-2</v>
      </c>
      <c r="J14" s="149">
        <f t="shared" si="0"/>
        <v>27.219478236812996</v>
      </c>
      <c r="K14" s="207">
        <f t="shared" si="1"/>
        <v>-95160.487004171548</v>
      </c>
      <c r="L14" s="149">
        <f t="shared" si="2"/>
        <v>-95220.355821280202</v>
      </c>
      <c r="M14" s="149">
        <f t="shared" si="3"/>
        <v>-95170.395449947027</v>
      </c>
      <c r="N14" s="149">
        <f t="shared" si="4"/>
        <v>-95170.395449945776</v>
      </c>
      <c r="O14" s="207">
        <f t="shared" si="5"/>
        <v>-95187.70648240835</v>
      </c>
      <c r="P14" s="207">
        <f t="shared" si="6"/>
        <v>-95247.575299517019</v>
      </c>
      <c r="Q14" s="207">
        <f t="shared" si="7"/>
        <v>-95197.61492818383</v>
      </c>
      <c r="R14" s="207">
        <f t="shared" si="8"/>
        <v>-95197.614928182593</v>
      </c>
    </row>
    <row r="15" spans="1:18" x14ac:dyDescent="0.25">
      <c r="A15" t="s">
        <v>951</v>
      </c>
      <c r="B15" s="14">
        <v>-151.13919197999999</v>
      </c>
      <c r="C15" s="14">
        <v>-151.35177873616701</v>
      </c>
      <c r="D15" s="14">
        <v>-151.27085880585199</v>
      </c>
      <c r="E15" s="14">
        <v>-151.28193870406301</v>
      </c>
      <c r="F15" s="14"/>
      <c r="G15" s="14">
        <v>4.8936E-2</v>
      </c>
      <c r="H15" s="14">
        <v>5.7896999999999997E-2</v>
      </c>
      <c r="I15" s="14">
        <v>1.6205000000000001E-2</v>
      </c>
      <c r="J15" s="149">
        <f t="shared" si="0"/>
        <v>26.162124781547995</v>
      </c>
      <c r="K15" s="207">
        <f t="shared" si="1"/>
        <v>-94804.943188732155</v>
      </c>
      <c r="L15" s="149">
        <f t="shared" si="2"/>
        <v>-94938.343391210947</v>
      </c>
      <c r="M15" s="149">
        <f t="shared" si="3"/>
        <v>-94887.565368707452</v>
      </c>
      <c r="N15" s="149">
        <f t="shared" si="4"/>
        <v>-94894.518109750425</v>
      </c>
      <c r="O15" s="207">
        <f t="shared" si="5"/>
        <v>-94831.10531351369</v>
      </c>
      <c r="P15" s="207">
        <f t="shared" si="6"/>
        <v>-94964.505515992496</v>
      </c>
      <c r="Q15" s="207">
        <f t="shared" si="7"/>
        <v>-94913.727493489001</v>
      </c>
      <c r="R15" s="207">
        <f t="shared" si="8"/>
        <v>-94920.680234531974</v>
      </c>
    </row>
    <row r="16" spans="1:18" x14ac:dyDescent="0.25">
      <c r="A16" t="s">
        <v>882</v>
      </c>
      <c r="B16" s="14">
        <v>-572.22520863</v>
      </c>
      <c r="C16" s="14">
        <v>-572.540001377311</v>
      </c>
      <c r="D16" s="14">
        <v>-572.22113315133004</v>
      </c>
      <c r="E16" s="14">
        <v>-572.31698462493796</v>
      </c>
      <c r="F16" s="14"/>
      <c r="G16" s="14">
        <v>0.94003700000000001</v>
      </c>
      <c r="H16" s="14">
        <v>1.013307</v>
      </c>
      <c r="I16" s="14">
        <v>0.83048999999999995</v>
      </c>
      <c r="J16" s="149">
        <f t="shared" si="0"/>
        <v>114.719398594173</v>
      </c>
      <c r="K16" s="207">
        <f t="shared" si="1"/>
        <v>-358440.87707832147</v>
      </c>
      <c r="L16" s="149">
        <f t="shared" si="2"/>
        <v>-358638.41250803164</v>
      </c>
      <c r="M16" s="149">
        <f t="shared" si="3"/>
        <v>-358438.31967686536</v>
      </c>
      <c r="N16" s="149">
        <f t="shared" si="4"/>
        <v>-358498.46738417196</v>
      </c>
      <c r="O16" s="207">
        <f t="shared" si="5"/>
        <v>-358555.59647691564</v>
      </c>
      <c r="P16" s="207">
        <f t="shared" si="6"/>
        <v>-358753.13190662581</v>
      </c>
      <c r="Q16" s="207">
        <f t="shared" si="7"/>
        <v>-358553.03907545953</v>
      </c>
      <c r="R16" s="207">
        <f t="shared" si="8"/>
        <v>-358613.18678276613</v>
      </c>
    </row>
    <row r="17" spans="1:18" x14ac:dyDescent="0.25">
      <c r="A17" t="s">
        <v>883</v>
      </c>
      <c r="B17" s="14">
        <v>-648.65373556999998</v>
      </c>
      <c r="C17" s="14">
        <v>-649.01646281049</v>
      </c>
      <c r="D17" s="14">
        <v>-648.66949293807795</v>
      </c>
      <c r="E17" s="14">
        <v>-648.77582660691996</v>
      </c>
      <c r="F17" s="14"/>
      <c r="G17" s="14">
        <v>0.96882500000000005</v>
      </c>
      <c r="H17" s="14">
        <v>1.043067</v>
      </c>
      <c r="I17" s="14">
        <v>0.85999199999999998</v>
      </c>
      <c r="J17" s="149">
        <f t="shared" si="0"/>
        <v>114.88129603717499</v>
      </c>
      <c r="K17" s="207">
        <f t="shared" si="1"/>
        <v>-406381.82675309567</v>
      </c>
      <c r="L17" s="149">
        <f t="shared" si="2"/>
        <v>-406609.44153116742</v>
      </c>
      <c r="M17" s="149">
        <f t="shared" si="3"/>
        <v>-406391.71465077111</v>
      </c>
      <c r="N17" s="149">
        <f t="shared" si="4"/>
        <v>-406458.44003484299</v>
      </c>
      <c r="O17" s="207">
        <f t="shared" si="5"/>
        <v>-406496.70804913284</v>
      </c>
      <c r="P17" s="207">
        <f t="shared" si="6"/>
        <v>-406724.32282720454</v>
      </c>
      <c r="Q17" s="207">
        <f t="shared" si="7"/>
        <v>-406506.59594680823</v>
      </c>
      <c r="R17" s="207">
        <f t="shared" si="8"/>
        <v>-406573.32133088011</v>
      </c>
    </row>
    <row r="18" spans="1:18" x14ac:dyDescent="0.25">
      <c r="A18" t="s">
        <v>884</v>
      </c>
      <c r="B18" s="14">
        <v>-723.78845187000002</v>
      </c>
      <c r="C18" s="14">
        <v>-724.17191581555801</v>
      </c>
      <c r="D18" s="14">
        <v>-723.78872955440795</v>
      </c>
      <c r="E18" s="14">
        <v>-723.90452981267003</v>
      </c>
      <c r="F18" s="14"/>
      <c r="G18" s="14">
        <v>0.97256500000000001</v>
      </c>
      <c r="H18" s="14">
        <v>1.047555</v>
      </c>
      <c r="I18" s="14">
        <v>0.86338499999999996</v>
      </c>
      <c r="J18" s="149">
        <f t="shared" si="0"/>
        <v>115.56841890573003</v>
      </c>
      <c r="K18" s="207">
        <f t="shared" si="1"/>
        <v>-453526.75641947746</v>
      </c>
      <c r="L18" s="149">
        <f t="shared" si="2"/>
        <v>-453767.38367633522</v>
      </c>
      <c r="M18" s="149">
        <f t="shared" si="3"/>
        <v>-453526.93066907284</v>
      </c>
      <c r="N18" s="149">
        <f t="shared" si="4"/>
        <v>-453599.59642764495</v>
      </c>
      <c r="O18" s="207">
        <f t="shared" si="5"/>
        <v>-453642.32483838318</v>
      </c>
      <c r="P18" s="207">
        <f t="shared" si="6"/>
        <v>-453882.95209524094</v>
      </c>
      <c r="Q18" s="207">
        <f t="shared" si="7"/>
        <v>-453642.49908797856</v>
      </c>
      <c r="R18" s="207">
        <f t="shared" si="8"/>
        <v>-453715.16484655067</v>
      </c>
    </row>
    <row r="19" spans="1:18" x14ac:dyDescent="0.25">
      <c r="A19" t="s">
        <v>915</v>
      </c>
      <c r="B19" s="14">
        <v>-647.29858090000005</v>
      </c>
      <c r="C19" s="14">
        <v>-647.64716765385901</v>
      </c>
      <c r="D19" s="14">
        <v>-647.28946445025497</v>
      </c>
      <c r="E19" s="14">
        <v>-647.39205648494499</v>
      </c>
      <c r="F19" s="14"/>
      <c r="G19" s="14">
        <v>0.94213800000000003</v>
      </c>
      <c r="H19" s="14">
        <v>1.0157879999999999</v>
      </c>
      <c r="I19" s="14">
        <v>0.83476499999999998</v>
      </c>
      <c r="J19" s="149">
        <f t="shared" si="0"/>
        <v>113.59364660678695</v>
      </c>
      <c r="K19" s="207">
        <f t="shared" si="1"/>
        <v>-405548.57219651598</v>
      </c>
      <c r="L19" s="149">
        <f t="shared" si="2"/>
        <v>-405767.31368533045</v>
      </c>
      <c r="M19" s="149">
        <f t="shared" si="3"/>
        <v>-405542.85153797723</v>
      </c>
      <c r="N19" s="149">
        <f t="shared" si="4"/>
        <v>-405607.22901118919</v>
      </c>
      <c r="O19" s="207">
        <f t="shared" si="5"/>
        <v>-405662.16584312281</v>
      </c>
      <c r="P19" s="207">
        <f t="shared" si="6"/>
        <v>-405880.90733193728</v>
      </c>
      <c r="Q19" s="207">
        <f t="shared" si="7"/>
        <v>-405656.44518458412</v>
      </c>
      <c r="R19" s="207">
        <f t="shared" si="8"/>
        <v>-405720.82265779609</v>
      </c>
    </row>
    <row r="20" spans="1:18" x14ac:dyDescent="0.25">
      <c r="A20" t="s">
        <v>885</v>
      </c>
      <c r="B20" s="14">
        <v>-798.91195131999996</v>
      </c>
      <c r="C20" s="14">
        <v>-799.321603764325</v>
      </c>
      <c r="D20" s="14">
        <v>-798.90155367627494</v>
      </c>
      <c r="E20" s="14">
        <v>-799.02759836386599</v>
      </c>
      <c r="F20" s="14"/>
      <c r="G20" s="14">
        <v>0.97599000000000002</v>
      </c>
      <c r="H20" s="14">
        <v>1.052189</v>
      </c>
      <c r="I20" s="14">
        <v>0.86429100000000003</v>
      </c>
      <c r="J20" s="149">
        <f t="shared" si="0"/>
        <v>117.907774206162</v>
      </c>
      <c r="K20" s="207">
        <f t="shared" si="1"/>
        <v>-500664.55578988936</v>
      </c>
      <c r="L20" s="149">
        <f t="shared" si="2"/>
        <v>-500921.61657770234</v>
      </c>
      <c r="M20" s="149">
        <f t="shared" si="3"/>
        <v>-500658.0311699966</v>
      </c>
      <c r="N20" s="149">
        <f t="shared" si="4"/>
        <v>-500737.12540497712</v>
      </c>
      <c r="O20" s="207">
        <f t="shared" si="5"/>
        <v>-500782.46356409555</v>
      </c>
      <c r="P20" s="207">
        <f t="shared" si="6"/>
        <v>-501039.52435190848</v>
      </c>
      <c r="Q20" s="207">
        <f t="shared" si="7"/>
        <v>-500775.93894420279</v>
      </c>
      <c r="R20" s="207">
        <f t="shared" si="8"/>
        <v>-500855.03317918332</v>
      </c>
    </row>
    <row r="21" spans="1:18" x14ac:dyDescent="0.25">
      <c r="A21" t="s">
        <v>952</v>
      </c>
      <c r="B21" s="14">
        <v>-798.38255890000005</v>
      </c>
      <c r="C21" s="14">
        <v>-798.84781495504296</v>
      </c>
      <c r="D21" s="14">
        <v>-798.42776135627003</v>
      </c>
      <c r="E21" s="14">
        <v>-798.554913511785</v>
      </c>
      <c r="F21" s="14"/>
      <c r="G21" s="14">
        <v>0.96277400000000002</v>
      </c>
      <c r="H21" s="14">
        <v>1.037833</v>
      </c>
      <c r="I21" s="14">
        <v>0.85397100000000004</v>
      </c>
      <c r="J21" s="149">
        <f t="shared" si="0"/>
        <v>115.37514598927798</v>
      </c>
      <c r="K21" s="207">
        <f t="shared" si="1"/>
        <v>-500341.36555945955</v>
      </c>
      <c r="L21" s="149">
        <f t="shared" si="2"/>
        <v>-500633.3181395086</v>
      </c>
      <c r="M21" s="149">
        <f t="shared" si="3"/>
        <v>-500369.73052879103</v>
      </c>
      <c r="N21" s="149">
        <f t="shared" si="4"/>
        <v>-500449.51971038047</v>
      </c>
      <c r="O21" s="207">
        <f t="shared" si="5"/>
        <v>-500456.74070544884</v>
      </c>
      <c r="P21" s="207">
        <f t="shared" si="6"/>
        <v>-500748.69328549784</v>
      </c>
      <c r="Q21" s="207">
        <f t="shared" si="7"/>
        <v>-500485.10567478032</v>
      </c>
      <c r="R21" s="207">
        <f t="shared" si="8"/>
        <v>-500564.8948563697</v>
      </c>
    </row>
    <row r="23" spans="1:18" x14ac:dyDescent="0.25">
      <c r="A23" t="s">
        <v>917</v>
      </c>
      <c r="B23" s="14">
        <v>-648.65661635000004</v>
      </c>
      <c r="C23" s="14">
        <v>-649.017397212947</v>
      </c>
      <c r="D23" s="14">
        <v>-648.65898535049701</v>
      </c>
      <c r="E23" s="14">
        <v>-648.75823521503196</v>
      </c>
      <c r="F23" s="14"/>
      <c r="G23" s="14">
        <v>0.96461399999999997</v>
      </c>
      <c r="H23" s="14">
        <v>1.040413</v>
      </c>
      <c r="I23" s="14">
        <v>0.85397699999999999</v>
      </c>
      <c r="J23" s="149">
        <f>(H23-I23)*627.509469</f>
        <v>116.99035536248402</v>
      </c>
      <c r="K23" s="207">
        <f>(B23+H23)*627.509469</f>
        <v>-406385.29987995455</v>
      </c>
      <c r="L23" s="149">
        <f>(C23+H23)*627.509469</f>
        <v>-406611.69328768778</v>
      </c>
      <c r="M23" s="149">
        <f>(D23+H23)*627.509469</f>
        <v>-406386.78645019844</v>
      </c>
      <c r="N23" s="149">
        <f>(E23+H23)*627.509469</f>
        <v>-406449.06667999114</v>
      </c>
      <c r="O23" s="207">
        <f>(B23+I23)*627.509469</f>
        <v>-406502.29023531702</v>
      </c>
      <c r="P23" s="207">
        <f>(C23+I23)*627.509469</f>
        <v>-406728.6836430502</v>
      </c>
      <c r="Q23" s="207">
        <f>(D23+I23)*627.509469</f>
        <v>-406503.77680556092</v>
      </c>
      <c r="R23" s="207">
        <f>(E23+I23)*627.509469</f>
        <v>-406566.05703535356</v>
      </c>
    </row>
    <row r="24" spans="1:18" x14ac:dyDescent="0.25">
      <c r="A24" t="s">
        <v>918</v>
      </c>
      <c r="B24" s="14">
        <v>-725.08110761</v>
      </c>
      <c r="C24" s="14">
        <v>-725.49355662983396</v>
      </c>
      <c r="D24" s="14">
        <v>-725.10803715281202</v>
      </c>
      <c r="E24" s="14">
        <v>-725.21785293283097</v>
      </c>
      <c r="F24" s="14"/>
      <c r="G24" s="14">
        <v>0.99294499999999997</v>
      </c>
      <c r="H24" s="14">
        <v>1.069971</v>
      </c>
      <c r="I24" s="14">
        <v>0.88083500000000003</v>
      </c>
      <c r="J24" s="149">
        <f>(H24-I24)*627.509469</f>
        <v>118.68463092878397</v>
      </c>
      <c r="K24" s="207">
        <f>(B24+H24)*627.509469</f>
        <v>-454323.84388422751</v>
      </c>
      <c r="L24" s="149">
        <f>(C24+H24)*627.509469</f>
        <v>-454582.65954965312</v>
      </c>
      <c r="M24" s="149">
        <f>(D24+H24)*627.509469</f>
        <v>-454340.74242733791</v>
      </c>
      <c r="N24" s="149">
        <f>(E24+H24)*627.509469</f>
        <v>-454409.65286914544</v>
      </c>
      <c r="O24" s="207">
        <f>(B24+I24)*627.509469</f>
        <v>-454442.5285151563</v>
      </c>
      <c r="P24" s="207">
        <f>(C24+I24)*627.509469</f>
        <v>-454701.34418058186</v>
      </c>
      <c r="Q24" s="207">
        <f>(D24+I24)*627.509469</f>
        <v>-454459.42705826665</v>
      </c>
      <c r="R24" s="207">
        <f>(E24+I24)*627.509469</f>
        <v>-454528.33750007418</v>
      </c>
    </row>
    <row r="25" spans="1:18" x14ac:dyDescent="0.25">
      <c r="A25" t="s">
        <v>919</v>
      </c>
      <c r="B25" s="14">
        <v>-800.21478237999997</v>
      </c>
      <c r="C25" s="14">
        <v>-800.64893937472505</v>
      </c>
      <c r="D25" s="14">
        <v>-800.22772698143206</v>
      </c>
      <c r="E25" s="14">
        <v>-800.34686214221699</v>
      </c>
      <c r="F25" s="14"/>
      <c r="G25" s="14">
        <v>0.996479</v>
      </c>
      <c r="H25" s="14">
        <v>1.074398</v>
      </c>
      <c r="I25" s="14">
        <v>0.883907</v>
      </c>
      <c r="J25" s="149">
        <f>(H25-I25)*627.509469</f>
        <v>119.53490625927897</v>
      </c>
      <c r="K25" s="207">
        <f>(B25+H25)*627.509469</f>
        <v>-501468.1582587497</v>
      </c>
      <c r="L25" s="149">
        <f>(C25+H25)*627.509469</f>
        <v>-501740.59588397224</v>
      </c>
      <c r="M25" s="149">
        <f>(D25+H25)*627.509469</f>
        <v>-501476.28111872071</v>
      </c>
      <c r="N25" s="149">
        <f>(E25+H25)*627.509469</f>
        <v>-501551.03956020414</v>
      </c>
      <c r="O25" s="207">
        <f>(B25+I25)*627.509469</f>
        <v>-501587.69316500891</v>
      </c>
      <c r="P25" s="207">
        <f>(C25+I25)*627.509469</f>
        <v>-501860.13079023146</v>
      </c>
      <c r="Q25" s="207">
        <f>(D25+I25)*627.509469</f>
        <v>-501595.81602497998</v>
      </c>
      <c r="R25" s="207">
        <f>(E25+I25)*627.509469</f>
        <v>-501670.57446646335</v>
      </c>
    </row>
    <row r="26" spans="1:18" x14ac:dyDescent="0.25">
      <c r="A26" t="s">
        <v>920</v>
      </c>
      <c r="B26" s="14">
        <v>-723.73688892999996</v>
      </c>
      <c r="C26" s="14">
        <v>-724.13059509041</v>
      </c>
      <c r="D26" s="14">
        <v>-723.73453307537295</v>
      </c>
      <c r="E26" s="14">
        <v>-723.84102375667203</v>
      </c>
      <c r="F26" s="14"/>
      <c r="G26" s="14">
        <v>0.96782199999999996</v>
      </c>
      <c r="H26" s="14">
        <v>1.0437829999999999</v>
      </c>
      <c r="I26" s="14">
        <v>0.85824599999999995</v>
      </c>
      <c r="J26" s="149">
        <f>(H26-I26)*627.509469</f>
        <v>116.42622434985296</v>
      </c>
      <c r="K26" s="207">
        <f>(B26+H26)*627.509469</f>
        <v>-453496.76715209504</v>
      </c>
      <c r="L26" s="149">
        <f>(C26+H26)*627.509469</f>
        <v>-453743.82149575598</v>
      </c>
      <c r="M26" s="149">
        <f>(D26+H26)*627.509469</f>
        <v>-453495.28883100901</v>
      </c>
      <c r="N26" s="149">
        <f>(E26+H26)*627.509469</f>
        <v>-453562.11274188443</v>
      </c>
      <c r="O26" s="207">
        <f>(B26+I26)*627.509469</f>
        <v>-453613.19337644486</v>
      </c>
      <c r="P26" s="207">
        <f>(C26+I26)*627.509469</f>
        <v>-453860.24772010581</v>
      </c>
      <c r="Q26" s="207">
        <f>(D26+I26)*627.509469</f>
        <v>-453611.71505535883</v>
      </c>
      <c r="R26" s="207">
        <f>(E26+I26)*627.509469</f>
        <v>-453678.53896623425</v>
      </c>
    </row>
    <row r="27" spans="1:18" x14ac:dyDescent="0.25">
      <c r="A27" t="s">
        <v>921</v>
      </c>
      <c r="B27" s="14">
        <v>-875.33639043000005</v>
      </c>
      <c r="C27" s="14">
        <v>-875.794053180324</v>
      </c>
      <c r="D27" s="14">
        <v>-875.33675933577297</v>
      </c>
      <c r="E27" s="14">
        <v>-875.46641078459504</v>
      </c>
      <c r="F27" s="14"/>
      <c r="G27" s="14">
        <v>1.000335</v>
      </c>
      <c r="H27" s="14">
        <v>1.079477</v>
      </c>
      <c r="I27" s="14">
        <v>0.88580400000000004</v>
      </c>
      <c r="J27" s="149">
        <f>(H27-I27)*627.509469</f>
        <v>121.53164138963699</v>
      </c>
      <c r="K27" s="207">
        <f>(B27+H27)*627.509469</f>
        <v>-548604.49151603831</v>
      </c>
      <c r="L27" s="149">
        <f>(C27+H27)*627.509469</f>
        <v>-548891.67922547518</v>
      </c>
      <c r="M27" s="149">
        <f>(D27+H27)*627.509469</f>
        <v>-548604.7230079039</v>
      </c>
      <c r="N27" s="149">
        <f>(E27+H27)*627.509469</f>
        <v>-548686.08051970939</v>
      </c>
      <c r="O27" s="207">
        <f>(B27+I27)*627.509469</f>
        <v>-548726.0231574279</v>
      </c>
      <c r="P27" s="207">
        <f>(C27+I27)*627.509469</f>
        <v>-549013.21086686477</v>
      </c>
      <c r="Q27" s="207">
        <f>(D27+I27)*627.509469</f>
        <v>-548726.25464929361</v>
      </c>
      <c r="R27" s="207">
        <f>(E27+I27)*627.509469</f>
        <v>-548807.61216109898</v>
      </c>
    </row>
    <row r="29" spans="1:18" x14ac:dyDescent="0.25">
      <c r="B29" t="s">
        <v>950</v>
      </c>
    </row>
    <row r="30" spans="1:18" x14ac:dyDescent="0.25">
      <c r="B30" t="s">
        <v>239</v>
      </c>
    </row>
    <row r="31" spans="1:18" x14ac:dyDescent="0.25">
      <c r="A31" t="s">
        <v>949</v>
      </c>
      <c r="B31">
        <f>(R21+R11)-(R20+R13)</f>
        <v>-4.7494980107294396</v>
      </c>
    </row>
    <row r="34" spans="18:29" x14ac:dyDescent="0.25">
      <c r="U34" t="s">
        <v>916</v>
      </c>
      <c r="V34" t="s">
        <v>903</v>
      </c>
      <c r="W34" t="s">
        <v>923</v>
      </c>
      <c r="X34" t="s">
        <v>908</v>
      </c>
      <c r="Y34" t="s">
        <v>924</v>
      </c>
      <c r="Z34" t="s">
        <v>913</v>
      </c>
      <c r="AA34" t="s">
        <v>925</v>
      </c>
      <c r="AB34" t="s">
        <v>914</v>
      </c>
      <c r="AC34" t="s">
        <v>926</v>
      </c>
    </row>
    <row r="35" spans="18:29" x14ac:dyDescent="0.25">
      <c r="U35" t="s">
        <v>909</v>
      </c>
      <c r="V35" s="208">
        <f>K17-(K16+K12)</f>
        <v>-9.2583249064045958</v>
      </c>
      <c r="W35" s="209">
        <f>O17-(O16+O12)</f>
        <v>4.4483644249266945</v>
      </c>
      <c r="X35" s="208">
        <f>L17-(L16+L12)</f>
        <v>0.43933200527681038</v>
      </c>
      <c r="Y35" s="209">
        <f>P17-(P16+P12)</f>
        <v>14.146021336724516</v>
      </c>
      <c r="Z35" s="208">
        <f>M17-(M16+M12)</f>
        <v>-7.0104445778997615</v>
      </c>
      <c r="AA35" s="209">
        <f>Q17-(Q16+Q12)</f>
        <v>6.6962447534897365</v>
      </c>
      <c r="AB35" s="208">
        <f>N17-(N16+N12)</f>
        <v>-11.870012465224136</v>
      </c>
      <c r="AC35" s="209">
        <f>R17-(R16+R12)</f>
        <v>1.8366768661653623</v>
      </c>
    </row>
    <row r="36" spans="18:29" x14ac:dyDescent="0.25">
      <c r="U36" t="s">
        <v>910</v>
      </c>
      <c r="V36" s="208">
        <f>K18-(K16+K11)</f>
        <v>-16.461706904112361</v>
      </c>
      <c r="W36" s="209">
        <f>O18-(O16+O11)</f>
        <v>-0.65913594630546868</v>
      </c>
      <c r="X36" s="208">
        <f>L18-(L16+L11)</f>
        <v>-4.6696093585924245</v>
      </c>
      <c r="Y36" s="209">
        <f>P18-(P16+P11)</f>
        <v>11.132961599214468</v>
      </c>
      <c r="Z36" s="208">
        <f>M18-(M16+M11)</f>
        <v>-14.097492864995729</v>
      </c>
      <c r="AA36" s="209">
        <f>Q18-(Q16+Q11)</f>
        <v>1.7050780928693712</v>
      </c>
      <c r="AB36" s="208">
        <f>N18-(N16+N11)</f>
        <v>-18.574291409517173</v>
      </c>
      <c r="AC36" s="209">
        <f>R18-(R16+R11)</f>
        <v>-2.7717204516520724</v>
      </c>
    </row>
    <row r="37" spans="18:29" x14ac:dyDescent="0.25">
      <c r="U37" t="s">
        <v>911</v>
      </c>
      <c r="V37" s="208">
        <f>(K20+K12)-(K16+2*K11)</f>
        <v>-16.534792931983247</v>
      </c>
      <c r="W37" s="209">
        <f>(O20+O12)-(O16+2*O11)</f>
        <v>-0.28857277962379158</v>
      </c>
      <c r="X37" s="208">
        <f>(L20+L12)-(L16+2*L11)</f>
        <v>-6.0693069219123572</v>
      </c>
      <c r="Y37" s="209">
        <f>(P20+P12)-(P16+2*P11)</f>
        <v>10.176913230563514</v>
      </c>
      <c r="Z37" s="208">
        <f>(M20+M12)-(M16+2*M11)</f>
        <v>-17.069023774121888</v>
      </c>
      <c r="AA37" s="209">
        <f>(Q20+Q12)-(Q16+2*Q11)</f>
        <v>-0.82280362176243216</v>
      </c>
      <c r="AB37" s="208">
        <f>(N20+N12)-(N16+2*N11)</f>
        <v>-21.651154883904383</v>
      </c>
      <c r="AC37" s="209">
        <f>(R20+R12)-(R16+2*R11)</f>
        <v>-5.4049347315449268</v>
      </c>
    </row>
    <row r="38" spans="18:29" x14ac:dyDescent="0.25">
      <c r="U38" t="s">
        <v>912</v>
      </c>
      <c r="V38" s="208">
        <f>(K19+K12)-(K16+K11)</f>
        <v>30.031166189583018</v>
      </c>
      <c r="W38" s="209">
        <f>(O19+O12)-(O16+O11)</f>
        <v>33.939922671939712</v>
      </c>
      <c r="X38" s="208">
        <f>(L19+L12)-(L16+L11)</f>
        <v>23.93202650512103</v>
      </c>
      <c r="Y38" s="209">
        <f>(P19+P12)-(P16+P11)</f>
        <v>27.840782987477724</v>
      </c>
      <c r="Z38" s="208">
        <f>(M19+M12)-(M16+M11)</f>
        <v>23.597108902758919</v>
      </c>
      <c r="AA38" s="209">
        <f>(Q19+Q12)-(Q16+Q11)</f>
        <v>27.505865385115612</v>
      </c>
      <c r="AB38" s="208">
        <f>(N19+N12)-(N16+N11)</f>
        <v>25.690486840496305</v>
      </c>
      <c r="AC38" s="209">
        <f>(R19+R12)-(R16+R11)</f>
        <v>29.599243322794791</v>
      </c>
    </row>
    <row r="39" spans="18:29" x14ac:dyDescent="0.25">
      <c r="V39" s="1"/>
      <c r="W39" s="1"/>
      <c r="X39" s="1"/>
      <c r="Y39" s="1"/>
      <c r="Z39" s="1"/>
      <c r="AA39" s="1"/>
      <c r="AB39" s="1"/>
      <c r="AC39" s="1"/>
    </row>
    <row r="40" spans="18:29" x14ac:dyDescent="0.25">
      <c r="V40" s="1"/>
      <c r="W40" s="1"/>
      <c r="X40" s="1"/>
      <c r="Y40" s="1"/>
      <c r="Z40" s="1"/>
      <c r="AA40" s="1"/>
      <c r="AB40" s="1"/>
      <c r="AC40" s="1"/>
    </row>
    <row r="41" spans="18:29" x14ac:dyDescent="0.25">
      <c r="V41" s="1"/>
      <c r="W41" s="1"/>
      <c r="X41" s="1"/>
      <c r="Y41" s="1"/>
      <c r="Z41" s="1"/>
      <c r="AA41" s="1"/>
      <c r="AB41" s="1"/>
      <c r="AC41" s="1"/>
    </row>
    <row r="42" spans="18:29" x14ac:dyDescent="0.25">
      <c r="U42" t="s">
        <v>922</v>
      </c>
      <c r="V42" s="1" t="s">
        <v>903</v>
      </c>
      <c r="W42" t="s">
        <v>923</v>
      </c>
      <c r="X42" s="1" t="s">
        <v>908</v>
      </c>
      <c r="Y42" t="s">
        <v>924</v>
      </c>
      <c r="Z42" s="1" t="s">
        <v>913</v>
      </c>
      <c r="AA42" t="s">
        <v>925</v>
      </c>
      <c r="AB42" s="1" t="s">
        <v>914</v>
      </c>
      <c r="AC42" s="1" t="s">
        <v>926</v>
      </c>
    </row>
    <row r="43" spans="18:29" x14ac:dyDescent="0.25">
      <c r="U43" t="s">
        <v>909</v>
      </c>
      <c r="V43" s="208">
        <f>K24-(K23+K12)</f>
        <v>-6.8526544051710516</v>
      </c>
      <c r="W43" s="209">
        <f>O24-(O23+O12)</f>
        <v>5.3216568028437905</v>
      </c>
      <c r="X43" s="208">
        <f>L24-(L23+L12)</f>
        <v>0.50209317571716383</v>
      </c>
      <c r="Y43" s="209">
        <f>P24-(P23+P12)</f>
        <v>12.676404383732006</v>
      </c>
      <c r="Z43" s="208">
        <f>M24-(M23+M12)</f>
        <v>-7.571447811613325</v>
      </c>
      <c r="AA43" s="209">
        <f>Q24-(Q23+Q12)</f>
        <v>4.6028633964597248</v>
      </c>
      <c r="AB43" s="208">
        <f>N24-(N23+N12)</f>
        <v>-12.483550948498305</v>
      </c>
      <c r="AC43" s="209">
        <f>R24-(R23+R12)</f>
        <v>-0.30923974048346281</v>
      </c>
    </row>
    <row r="44" spans="18:29" x14ac:dyDescent="0.25">
      <c r="U44" t="s">
        <v>910</v>
      </c>
      <c r="V44" s="208">
        <f>K25-(K23+K11)</f>
        <v>-13.440744543273468</v>
      </c>
      <c r="W44" s="209">
        <f>O25-(O23+O11)</f>
        <v>0.66629582934547216</v>
      </c>
      <c r="X44" s="208">
        <f>L25-(L23+L11)</f>
        <v>-4.6010373394819908</v>
      </c>
      <c r="Y44" s="209">
        <f>P25-(P23+P11)</f>
        <v>9.5060030330787413</v>
      </c>
      <c r="Z44" s="208">
        <f>M25-(M23+M11)</f>
        <v>-14.981169179722201</v>
      </c>
      <c r="AA44" s="209">
        <f>Q25-(Q23+Q11)</f>
        <v>-0.87412880716146901</v>
      </c>
      <c r="AB44" s="208">
        <f>N25-(N23+N11)</f>
        <v>-19.418128149525728</v>
      </c>
      <c r="AC44" s="209">
        <f>R25-(R23+R11)</f>
        <v>-5.3110877769067883</v>
      </c>
    </row>
    <row r="45" spans="18:29" x14ac:dyDescent="0.25">
      <c r="U45" t="s">
        <v>911</v>
      </c>
      <c r="V45" s="208">
        <f>(K27+K12)-(K23+2*K11)</f>
        <v>-12.047717447741888</v>
      </c>
      <c r="W45" s="209">
        <f>(O27+O12)-(O23+2*O11)</f>
        <v>2.8455922893481329</v>
      </c>
      <c r="X45" s="208">
        <f>(L27+L12)-(L23+2*L11)</f>
        <v>-2.8511750384932384</v>
      </c>
      <c r="Y45" s="209">
        <f>(P27+P12)-(P23+2*P11)</f>
        <v>12.042134698713198</v>
      </c>
      <c r="Z45" s="208">
        <f>(M27+M12)-(M23+2*M11)</f>
        <v>-15.294088348280638</v>
      </c>
      <c r="AA45" s="209">
        <f>(Q27+Q12)-(Q23+2*Q11)</f>
        <v>-0.40077861107420176</v>
      </c>
      <c r="AB45" s="208">
        <f>(N27+N12)-(N23+2*N11)</f>
        <v>-20.006973796989769</v>
      </c>
      <c r="AC45" s="209">
        <f>(R27+R12)-(R23+2*R11)</f>
        <v>-5.1136640598997474</v>
      </c>
    </row>
    <row r="46" spans="18:29" x14ac:dyDescent="0.25">
      <c r="R46" s="1"/>
      <c r="S46" s="1"/>
      <c r="T46" s="1"/>
      <c r="U46" t="s">
        <v>912</v>
      </c>
      <c r="V46" s="208">
        <f>(K26+K12)-(K23+K11)</f>
        <v>26.259012243594043</v>
      </c>
      <c r="W46" s="209">
        <f>(O26+O12)-(O23+O11)</f>
        <v>29.606147751270328</v>
      </c>
      <c r="X46" s="208">
        <f>(L26+L12)-(L23+L11)</f>
        <v>20.70499573572306</v>
      </c>
      <c r="Y46" s="209">
        <f>(P26+P12)-(P23+P11)</f>
        <v>24.052131243282929</v>
      </c>
      <c r="Z46" s="208">
        <f>(M26+M12)-(M23+M11)</f>
        <v>19.626589204126503</v>
      </c>
      <c r="AA46" s="209">
        <f>(Q26+Q12)-(Q23+Q11)</f>
        <v>22.973724711802788</v>
      </c>
      <c r="AB46" s="208">
        <f>(N26+N12)-(N23+N11)</f>
        <v>21.406051964440849</v>
      </c>
      <c r="AC46" s="209">
        <f>(R26+R12)-(R23+R11)</f>
        <v>24.753187472058926</v>
      </c>
    </row>
    <row r="50" spans="1:23" x14ac:dyDescent="0.25">
      <c r="M50" t="s">
        <v>898</v>
      </c>
      <c r="N50" t="s">
        <v>897</v>
      </c>
      <c r="O50" t="s">
        <v>899</v>
      </c>
      <c r="P50" t="s">
        <v>901</v>
      </c>
      <c r="Q50" t="s">
        <v>937</v>
      </c>
      <c r="R50" t="s">
        <v>936</v>
      </c>
      <c r="S50" t="s">
        <v>938</v>
      </c>
      <c r="T50" t="s">
        <v>939</v>
      </c>
      <c r="U50" t="s">
        <v>940</v>
      </c>
      <c r="V50" t="s">
        <v>941</v>
      </c>
      <c r="W50" t="s">
        <v>942</v>
      </c>
    </row>
    <row r="51" spans="1:23" ht="30" x14ac:dyDescent="0.25">
      <c r="A51" s="167" t="s">
        <v>481</v>
      </c>
      <c r="B51" t="s">
        <v>887</v>
      </c>
      <c r="C51" t="s">
        <v>927</v>
      </c>
      <c r="D51" t="s">
        <v>928</v>
      </c>
      <c r="E51" s="210" t="s">
        <v>931</v>
      </c>
      <c r="F51" t="s">
        <v>929</v>
      </c>
      <c r="G51" t="s">
        <v>930</v>
      </c>
      <c r="H51" s="210" t="s">
        <v>932</v>
      </c>
      <c r="I51" t="s">
        <v>933</v>
      </c>
      <c r="J51" t="s">
        <v>934</v>
      </c>
      <c r="K51" s="210" t="s">
        <v>935</v>
      </c>
      <c r="L51" t="s">
        <v>945</v>
      </c>
      <c r="M51" t="s">
        <v>886</v>
      </c>
      <c r="N51" t="s">
        <v>886</v>
      </c>
      <c r="O51" t="s">
        <v>886</v>
      </c>
      <c r="P51" t="s">
        <v>886</v>
      </c>
      <c r="Q51" t="s">
        <v>902</v>
      </c>
      <c r="R51" t="s">
        <v>902</v>
      </c>
      <c r="S51" t="s">
        <v>902</v>
      </c>
      <c r="T51" t="s">
        <v>902</v>
      </c>
      <c r="U51" t="s">
        <v>902</v>
      </c>
      <c r="V51" t="s">
        <v>902</v>
      </c>
      <c r="W51" t="s">
        <v>902</v>
      </c>
    </row>
    <row r="52" spans="1:23" x14ac:dyDescent="0.25">
      <c r="A52" s="180" t="s">
        <v>943</v>
      </c>
      <c r="B52" s="17">
        <v>-839.47792509999999</v>
      </c>
      <c r="C52" s="17">
        <v>-1071.0706153593401</v>
      </c>
      <c r="D52" s="17"/>
      <c r="E52" s="17"/>
      <c r="F52" s="17">
        <v>-1070.42562964584</v>
      </c>
      <c r="G52" s="17"/>
      <c r="H52" s="17"/>
      <c r="I52" s="17">
        <v>-1070.65241029099</v>
      </c>
      <c r="J52" s="17"/>
      <c r="K52" s="17"/>
      <c r="L52" s="14"/>
      <c r="M52" s="17">
        <v>1.1005199999999999</v>
      </c>
      <c r="N52" s="17">
        <v>1.184099</v>
      </c>
      <c r="O52" s="17">
        <v>0.98270900000000005</v>
      </c>
      <c r="P52" s="185">
        <f t="shared" ref="P52:P58" si="9">(N52-O52)*627.509469</f>
        <v>126.37413196190997</v>
      </c>
      <c r="Q52" s="81">
        <f t="shared" ref="Q52:Q58" si="10">(B52+N52)*627.509469</f>
        <v>-526037.31368198933</v>
      </c>
      <c r="R52" s="81">
        <f t="shared" ref="R52:R58" si="11">(C52+N52)*627.509469</f>
        <v>-671363.91977090924</v>
      </c>
      <c r="S52" s="81">
        <f t="shared" ref="S52:S58" si="12">(D52+N52)*627.509469</f>
        <v>743.03333473343093</v>
      </c>
      <c r="T52" s="81">
        <f t="shared" ref="T52:T58" si="13">(F52+N52)*627.509469</f>
        <v>-670959.18512831826</v>
      </c>
      <c r="U52" s="81">
        <f t="shared" ref="U52:U58" si="14">(G52+N52)*627.509469</f>
        <v>743.03333473343093</v>
      </c>
      <c r="V52" s="81">
        <f t="shared" ref="V52:V58" si="15">(I52+N52)*627.509469</f>
        <v>-671101.49213053577</v>
      </c>
      <c r="W52" s="81">
        <f t="shared" ref="W52:W58" si="16">(J52+N52)*627.509469</f>
        <v>743.03333473343093</v>
      </c>
    </row>
    <row r="53" spans="1:23" x14ac:dyDescent="0.25">
      <c r="A53" s="180" t="s">
        <v>948</v>
      </c>
      <c r="B53" s="17">
        <v>-839.41459950000001</v>
      </c>
      <c r="C53" s="17">
        <v>-1071.0141948102801</v>
      </c>
      <c r="D53" s="17">
        <v>-1070.98404135136</v>
      </c>
      <c r="E53" s="17">
        <v>0.27450000000000002</v>
      </c>
      <c r="F53" s="17">
        <v>-1070.3623151547399</v>
      </c>
      <c r="G53" s="17">
        <v>-1070.33317037031</v>
      </c>
      <c r="H53" s="17">
        <v>0.32700000000000001</v>
      </c>
      <c r="I53" s="17">
        <v>-1070.5735851537299</v>
      </c>
      <c r="J53" s="17">
        <v>-1070.54804618502</v>
      </c>
      <c r="K53" s="17">
        <v>0.54549999999999998</v>
      </c>
      <c r="L53" s="14">
        <v>1461.95</v>
      </c>
      <c r="M53" s="17">
        <v>1.0919989999999999</v>
      </c>
      <c r="N53" s="17">
        <v>1.175959</v>
      </c>
      <c r="O53" s="17">
        <v>0.97164600000000001</v>
      </c>
      <c r="P53" s="185">
        <f t="shared" si="9"/>
        <v>128.20834213979697</v>
      </c>
      <c r="Q53" s="81">
        <f t="shared" si="10"/>
        <v>-526002.68419543689</v>
      </c>
      <c r="R53" s="81">
        <f t="shared" si="11"/>
        <v>-671333.62326920568</v>
      </c>
      <c r="S53" s="81">
        <f t="shared" si="12"/>
        <v>-671314.70168821025</v>
      </c>
      <c r="T53" s="81">
        <f t="shared" si="13"/>
        <v>-670924.56261270575</v>
      </c>
      <c r="U53" s="81">
        <f t="shared" si="14"/>
        <v>-670906.27398450393</v>
      </c>
      <c r="V53" s="81">
        <f t="shared" si="15"/>
        <v>-671057.13653758762</v>
      </c>
      <c r="W53" s="81">
        <f t="shared" si="16"/>
        <v>-671041.11059289356</v>
      </c>
    </row>
    <row r="54" spans="1:23" x14ac:dyDescent="0.25">
      <c r="A54" s="180" t="s">
        <v>946</v>
      </c>
      <c r="B54" s="17">
        <v>-914.10641217</v>
      </c>
      <c r="C54" s="17">
        <v>-1145.7646219139499</v>
      </c>
      <c r="D54" s="17"/>
      <c r="E54" s="17"/>
      <c r="F54" s="17">
        <v>-1145.0835298217801</v>
      </c>
      <c r="G54" s="17"/>
      <c r="H54" s="17"/>
      <c r="I54" s="17">
        <v>-1145.3192825403</v>
      </c>
      <c r="J54" s="17"/>
      <c r="K54" s="17"/>
      <c r="L54" s="14"/>
      <c r="M54" s="17">
        <v>1.0900030000000001</v>
      </c>
      <c r="N54" s="17">
        <v>1.1734039999999999</v>
      </c>
      <c r="O54" s="17">
        <v>0.97209900000000005</v>
      </c>
      <c r="P54" s="185">
        <f t="shared" si="9"/>
        <v>126.3207936570449</v>
      </c>
      <c r="Q54" s="81">
        <f t="shared" si="10"/>
        <v>-572874.10718932934</v>
      </c>
      <c r="R54" s="81">
        <f t="shared" si="11"/>
        <v>-718241.82737524598</v>
      </c>
      <c r="S54" s="81">
        <f t="shared" si="12"/>
        <v>736.32212096247588</v>
      </c>
      <c r="T54" s="81">
        <f t="shared" si="13"/>
        <v>-717814.43563814845</v>
      </c>
      <c r="U54" s="81">
        <f t="shared" si="14"/>
        <v>736.32212096247588</v>
      </c>
      <c r="V54" s="81">
        <f t="shared" si="15"/>
        <v>-717962.37270136224</v>
      </c>
      <c r="W54" s="81">
        <f t="shared" si="16"/>
        <v>736.32212096247588</v>
      </c>
    </row>
    <row r="55" spans="1:23" x14ac:dyDescent="0.25">
      <c r="A55" s="180" t="s">
        <v>947</v>
      </c>
      <c r="B55" s="17">
        <v>-914.05709852999996</v>
      </c>
      <c r="C55" s="17">
        <v>-1145.7178342350301</v>
      </c>
      <c r="D55" s="17">
        <v>-1145.7070171673299</v>
      </c>
      <c r="E55" s="17">
        <v>0.84799999999999998</v>
      </c>
      <c r="F55" s="17">
        <v>-1145.02914784262</v>
      </c>
      <c r="G55" s="17">
        <v>-1145.0185265487601</v>
      </c>
      <c r="H55" s="17">
        <v>0.86809999999999998</v>
      </c>
      <c r="I55" s="17">
        <v>-1145.25131020157</v>
      </c>
      <c r="J55" s="17">
        <v>-1145.2426403915699</v>
      </c>
      <c r="K55" s="17">
        <v>0.96989999999999998</v>
      </c>
      <c r="L55" s="14">
        <v>224.4</v>
      </c>
      <c r="M55" s="17">
        <v>1.084066</v>
      </c>
      <c r="N55" s="17">
        <v>1.168093</v>
      </c>
      <c r="O55" s="17">
        <v>0.96604699999999999</v>
      </c>
      <c r="P55" s="185">
        <f t="shared" si="9"/>
        <v>126.78577817357403</v>
      </c>
      <c r="Q55" s="81">
        <f t="shared" si="10"/>
        <v>-572846.49511606828</v>
      </c>
      <c r="R55" s="81">
        <f t="shared" si="11"/>
        <v>-718215.80036648107</v>
      </c>
      <c r="S55" s="81">
        <f t="shared" si="12"/>
        <v>-718209.01255407243</v>
      </c>
      <c r="T55" s="81">
        <f t="shared" si="13"/>
        <v>-717783.64313407231</v>
      </c>
      <c r="U55" s="81">
        <f t="shared" si="14"/>
        <v>-717776.97817160212</v>
      </c>
      <c r="V55" s="81">
        <f t="shared" si="15"/>
        <v>-717923.05211796879</v>
      </c>
      <c r="W55" s="81">
        <f t="shared" si="16"/>
        <v>-717917.61173009931</v>
      </c>
    </row>
    <row r="56" spans="1:23" x14ac:dyDescent="0.25">
      <c r="A56" s="180" t="s">
        <v>953</v>
      </c>
      <c r="B56" s="17">
        <v>-914.60698975000003</v>
      </c>
      <c r="C56" s="17">
        <v>-1146.22515381331</v>
      </c>
      <c r="D56" s="17"/>
      <c r="E56" s="17"/>
      <c r="F56" s="17">
        <v>-1145.54421979325</v>
      </c>
      <c r="G56" s="17"/>
      <c r="H56" s="17"/>
      <c r="I56" s="17">
        <v>-1145.78094615604</v>
      </c>
      <c r="J56" s="17"/>
      <c r="K56" s="17"/>
      <c r="L56" s="14"/>
      <c r="M56" s="17">
        <v>1.104006</v>
      </c>
      <c r="N56" s="17">
        <v>1.1887350000000001</v>
      </c>
      <c r="O56" s="17">
        <v>0.98380699999999999</v>
      </c>
      <c r="P56" s="185">
        <f t="shared" si="9"/>
        <v>128.59426046323208</v>
      </c>
      <c r="Q56" s="81">
        <f t="shared" si="10"/>
        <v>-573178.6040130792</v>
      </c>
      <c r="R56" s="81">
        <f t="shared" si="11"/>
        <v>-718521.19515520183</v>
      </c>
      <c r="S56" s="81">
        <f t="shared" si="12"/>
        <v>745.94246863171497</v>
      </c>
      <c r="T56" s="81">
        <f t="shared" si="13"/>
        <v>-718093.90260984993</v>
      </c>
      <c r="U56" s="81">
        <f t="shared" si="14"/>
        <v>745.94246863171497</v>
      </c>
      <c r="V56" s="81">
        <f t="shared" si="15"/>
        <v>-718242.4506440626</v>
      </c>
      <c r="W56" s="81">
        <f t="shared" si="16"/>
        <v>745.94246863171497</v>
      </c>
    </row>
    <row r="57" spans="1:23" x14ac:dyDescent="0.25">
      <c r="A57" s="180" t="s">
        <v>944</v>
      </c>
      <c r="B57" s="17">
        <v>-914.55115968999996</v>
      </c>
      <c r="C57" s="17">
        <v>-1146.1688586355799</v>
      </c>
      <c r="D57" s="17">
        <v>-1146.14038073401</v>
      </c>
      <c r="E57" s="17">
        <v>0.2382</v>
      </c>
      <c r="F57" s="17">
        <v>-1145.47942595926</v>
      </c>
      <c r="G57" s="17">
        <v>-1145.45129319477</v>
      </c>
      <c r="H57" s="17">
        <v>0.29260000000000003</v>
      </c>
      <c r="I57" s="17">
        <v>-1145.6983012440601</v>
      </c>
      <c r="J57" s="17">
        <v>-1145.6733686856101</v>
      </c>
      <c r="K57" s="17">
        <v>0.51390000000000002</v>
      </c>
      <c r="L57" s="14">
        <v>1048.45</v>
      </c>
      <c r="M57" s="17">
        <v>1.0963149999999999</v>
      </c>
      <c r="N57" s="17">
        <v>1.1808449999999999</v>
      </c>
      <c r="O57" s="17">
        <v>0.97719400000000001</v>
      </c>
      <c r="P57" s="185">
        <f t="shared" si="9"/>
        <v>127.79293087131894</v>
      </c>
      <c r="Q57" s="81">
        <f t="shared" si="10"/>
        <v>-573148.52117148472</v>
      </c>
      <c r="R57" s="81">
        <f t="shared" si="11"/>
        <v>-718490.82044782746</v>
      </c>
      <c r="S57" s="81">
        <f t="shared" si="12"/>
        <v>-718472.95029493503</v>
      </c>
      <c r="T57" s="81">
        <f t="shared" si="13"/>
        <v>-718058.1949151986</v>
      </c>
      <c r="U57" s="81">
        <f t="shared" si="14"/>
        <v>-718040.54133909196</v>
      </c>
      <c r="V57" s="81">
        <f t="shared" si="15"/>
        <v>-718195.54122894083</v>
      </c>
      <c r="W57" s="81">
        <f t="shared" si="16"/>
        <v>-718179.89581242704</v>
      </c>
    </row>
    <row r="58" spans="1:23" x14ac:dyDescent="0.25">
      <c r="A58" s="223" t="s">
        <v>999</v>
      </c>
      <c r="B58" s="17">
        <v>-914.17102467999996</v>
      </c>
      <c r="C58" s="17">
        <v>-1260.3236640520599</v>
      </c>
      <c r="D58" s="17"/>
      <c r="E58" s="17"/>
      <c r="F58" s="17">
        <v>-1259.5784218123699</v>
      </c>
      <c r="G58" s="17"/>
      <c r="H58" s="17"/>
      <c r="I58" s="17">
        <v>-1259.8343921894</v>
      </c>
      <c r="J58" s="17"/>
      <c r="K58" s="17"/>
      <c r="L58" s="14"/>
      <c r="M58" s="17">
        <v>1.118603</v>
      </c>
      <c r="N58" s="17">
        <v>1.2048939999999999</v>
      </c>
      <c r="O58" s="17">
        <v>0.99667700000000004</v>
      </c>
      <c r="P58" s="185">
        <f t="shared" si="9"/>
        <v>130.65813910677292</v>
      </c>
      <c r="Q58" s="81">
        <f t="shared" si="10"/>
        <v>-572894.89187799138</v>
      </c>
      <c r="R58" s="81">
        <f t="shared" si="11"/>
        <v>-790108.95080330118</v>
      </c>
      <c r="S58" s="81">
        <f t="shared" si="12"/>
        <v>756.08239414128593</v>
      </c>
      <c r="T58" s="81">
        <f t="shared" si="13"/>
        <v>-789641.30424119695</v>
      </c>
      <c r="U58" s="81">
        <f t="shared" si="14"/>
        <v>756.08239414128593</v>
      </c>
      <c r="V58" s="81">
        <f t="shared" si="15"/>
        <v>-789801.92807656678</v>
      </c>
      <c r="W58" s="81">
        <f t="shared" si="16"/>
        <v>756.08239414128593</v>
      </c>
    </row>
    <row r="59" spans="1:23" x14ac:dyDescent="0.25">
      <c r="A59" s="223" t="s">
        <v>1000</v>
      </c>
      <c r="B59" s="218">
        <v>-914.12291454000001</v>
      </c>
      <c r="C59" s="218">
        <v>-1260.27989962422</v>
      </c>
      <c r="D59" s="218">
        <v>-1260.2872389560901</v>
      </c>
      <c r="E59" s="218">
        <v>0.85489999999999999</v>
      </c>
      <c r="F59" s="218">
        <v>-1259.5269739016401</v>
      </c>
      <c r="G59" s="218">
        <v>-1259.5344643041699</v>
      </c>
      <c r="H59" s="218">
        <v>0.87350000000000005</v>
      </c>
      <c r="I59" s="218">
        <v>1259.7692376160001</v>
      </c>
      <c r="J59" s="218">
        <v>-1259.7786745650201</v>
      </c>
      <c r="K59" s="218">
        <v>0.9748</v>
      </c>
      <c r="L59" s="217"/>
      <c r="M59" s="218">
        <v>1.1253960000000001</v>
      </c>
      <c r="N59" s="218">
        <v>1.212734</v>
      </c>
      <c r="O59" s="218">
        <v>1.0024219999999999</v>
      </c>
      <c r="P59" s="224">
        <f>(N59-O59)*627.509469</f>
        <v>131.97277144432803</v>
      </c>
      <c r="Q59" s="219">
        <f>(B59+N59)*627.509469</f>
        <v>-572859.78263534955</v>
      </c>
      <c r="R59" s="219">
        <f>(C59+N59)*627.509469</f>
        <v>-790076.56853618927</v>
      </c>
      <c r="S59" s="219">
        <f>(D59+N59)*627.509469</f>
        <v>-790081.17403643392</v>
      </c>
      <c r="T59" s="219">
        <f>(F59+N59)*627.509469</f>
        <v>-789604.10051581671</v>
      </c>
      <c r="U59" s="219">
        <f>(G59+N59)*627.509469</f>
        <v>-789608.80081433081</v>
      </c>
      <c r="V59" s="219">
        <f>(I59+N59)*627.509469</f>
        <v>791278.12742732919</v>
      </c>
      <c r="W59" s="219">
        <f>(J59+N59)*627.509469</f>
        <v>-789762.04506544129</v>
      </c>
    </row>
    <row r="60" spans="1:23" x14ac:dyDescent="0.25">
      <c r="A60" s="223" t="s">
        <v>1001</v>
      </c>
      <c r="B60" s="218">
        <v>-914.10612034999997</v>
      </c>
      <c r="C60" s="218">
        <v>-3719.3042643856002</v>
      </c>
      <c r="D60" s="218"/>
      <c r="E60" s="218"/>
      <c r="F60" s="218">
        <v>-3718.4987971811302</v>
      </c>
      <c r="G60" s="218"/>
      <c r="H60" s="218"/>
      <c r="I60" s="218">
        <v>-3718.8896444396701</v>
      </c>
      <c r="J60" s="218"/>
      <c r="K60" s="218"/>
      <c r="L60" s="217"/>
      <c r="M60" s="218">
        <v>1.0808340000000001</v>
      </c>
      <c r="N60" s="218">
        <v>1.1657949999999999</v>
      </c>
      <c r="O60" s="218">
        <v>0.95950800000000003</v>
      </c>
      <c r="P60" s="224">
        <f>(N60-O60)*627.509469</f>
        <v>129.44704583160294</v>
      </c>
      <c r="Q60" s="219">
        <f>(B60+N60)*627.509469</f>
        <v>-572878.6987890657</v>
      </c>
      <c r="R60" s="219">
        <f>(C60+N60)*627.509469</f>
        <v>-2333167.0965926307</v>
      </c>
      <c r="S60" s="219">
        <f>(D60+N60)*627.509469</f>
        <v>731.54740141285492</v>
      </c>
      <c r="T60" s="219">
        <f>(F60+N60)*627.509469</f>
        <v>-2332661.6582948565</v>
      </c>
      <c r="U60" s="219">
        <f>(G60+N60)*627.509469</f>
        <v>731.54740141285492</v>
      </c>
      <c r="V60" s="219">
        <f>(I60+N60)*627.509469</f>
        <v>-2332906.9186505233</v>
      </c>
      <c r="W60" s="219">
        <f>(J60+N60)*627.509469</f>
        <v>731.54740141285492</v>
      </c>
    </row>
    <row r="61" spans="1:23" x14ac:dyDescent="0.25">
      <c r="A61" s="223" t="s">
        <v>1002</v>
      </c>
      <c r="B61" s="218">
        <v>-914.05596752999998</v>
      </c>
      <c r="C61" s="218">
        <v>-3719.25745721257</v>
      </c>
      <c r="D61" s="218">
        <v>-3719.2488522034701</v>
      </c>
      <c r="E61" s="218">
        <v>0.82869999999999999</v>
      </c>
      <c r="F61" s="218">
        <v>-3718.4441861141499</v>
      </c>
      <c r="G61" s="218">
        <v>-3718.4357875738401</v>
      </c>
      <c r="H61" s="218">
        <v>0.84870000000000001</v>
      </c>
      <c r="I61" s="218">
        <v>-3718.8207822101299</v>
      </c>
      <c r="J61" s="218">
        <v>-3718.81439833491</v>
      </c>
      <c r="K61" s="218">
        <v>0.95789999999999997</v>
      </c>
      <c r="L61" s="217">
        <v>218.24</v>
      </c>
      <c r="M61" s="218">
        <v>1.074862</v>
      </c>
      <c r="N61" s="218">
        <v>1.160439</v>
      </c>
      <c r="O61" s="218">
        <v>0.95372999999999997</v>
      </c>
      <c r="P61" s="224">
        <f>(N61-O61)*627.509469</f>
        <v>129.71185482752102</v>
      </c>
      <c r="Q61" s="219">
        <f>(B61+N61)*627.509469</f>
        <v>-572850.58836033463</v>
      </c>
      <c r="R61" s="219">
        <f>(C61+N61)*627.509469</f>
        <v>-2333141.0855890526</v>
      </c>
      <c r="S61" s="219">
        <f>(D61+N61)*627.509469</f>
        <v>-2333135.6858643619</v>
      </c>
      <c r="T61" s="219">
        <f>(F61+N61)*627.509469</f>
        <v>-2332630.7502739304</v>
      </c>
      <c r="U61" s="219">
        <f>(G61+N61)*627.509469</f>
        <v>-2332625.4801103598</v>
      </c>
      <c r="V61" s="219">
        <f>(I61+N61)*627.509469</f>
        <v>-2332867.0678901463</v>
      </c>
      <c r="W61" s="219">
        <f>(J61+N61)*627.509469</f>
        <v>-2332863.0619479967</v>
      </c>
    </row>
    <row r="62" spans="1:23" x14ac:dyDescent="0.25">
      <c r="A62" s="223" t="s">
        <v>1004</v>
      </c>
      <c r="B62" s="218">
        <v>-914.67424525000001</v>
      </c>
      <c r="C62" s="218">
        <v>-1260.7825514449801</v>
      </c>
      <c r="D62" s="218"/>
      <c r="E62" s="218"/>
      <c r="F62" s="218">
        <v>-1260.03878866236</v>
      </c>
      <c r="G62" s="218"/>
      <c r="H62" s="218"/>
      <c r="I62" s="218">
        <v>-1260.2954675093299</v>
      </c>
      <c r="J62" s="218"/>
      <c r="K62" s="218"/>
      <c r="L62" s="217"/>
      <c r="M62" s="218">
        <v>1.1327739999999999</v>
      </c>
      <c r="N62" s="218">
        <v>1.220132</v>
      </c>
      <c r="O62" s="218">
        <v>1.0106440000000001</v>
      </c>
      <c r="P62" s="224">
        <f>(N62-O62)*627.509469</f>
        <v>131.45570364187193</v>
      </c>
      <c r="Q62" s="219">
        <f>(B62+N62)*627.509469</f>
        <v>-573201.10556137329</v>
      </c>
      <c r="R62" s="219">
        <f>(C62+N62)*627.509469</f>
        <v>-790387.3449982747</v>
      </c>
      <c r="S62" s="219">
        <f>(D62+N62)*627.509469</f>
        <v>765.64438342990798</v>
      </c>
      <c r="T62" s="219">
        <f>(F62+N62)*627.509469</f>
        <v>-789920.62680949084</v>
      </c>
      <c r="U62" s="219">
        <f>(G62+N62)*627.509469</f>
        <v>765.64438342990798</v>
      </c>
      <c r="V62" s="219">
        <f>(I62+N62)*627.509469</f>
        <v>-790081.69521645643</v>
      </c>
      <c r="W62" s="219">
        <f>(J62+N62)*627.509469</f>
        <v>765.64438342990798</v>
      </c>
    </row>
    <row r="63" spans="1:23" x14ac:dyDescent="0.25">
      <c r="A63" s="223" t="s">
        <v>1005</v>
      </c>
      <c r="B63" s="218">
        <v>-914.61918106999997</v>
      </c>
      <c r="C63" s="218">
        <v>-1260.7314041311199</v>
      </c>
      <c r="D63" s="218">
        <v>-1260.74692695978</v>
      </c>
      <c r="E63" s="218">
        <v>0.19639999999999999</v>
      </c>
      <c r="F63" s="218">
        <v>-1259.97764320646</v>
      </c>
      <c r="G63" s="218">
        <v>-1259.9961848365399</v>
      </c>
      <c r="H63" s="218">
        <v>0.23519999999999999</v>
      </c>
      <c r="I63" s="218">
        <v>-1260.2158211471699</v>
      </c>
      <c r="J63" s="218">
        <v>-1260.23209534137</v>
      </c>
      <c r="K63" s="218">
        <v>0.4607</v>
      </c>
      <c r="L63" s="217"/>
      <c r="M63" s="218">
        <v>1.1253960000000001</v>
      </c>
      <c r="N63" s="218">
        <v>1.212734</v>
      </c>
      <c r="O63" s="218">
        <v>1.0024219999999999</v>
      </c>
      <c r="P63" s="224">
        <f>(N63-O63)*627.509469</f>
        <v>131.97277144432803</v>
      </c>
      <c r="Q63" s="219">
        <f>(B63+N63)*627.509469</f>
        <v>-573171.19458207232</v>
      </c>
      <c r="R63" s="219">
        <f>(C63+N63)*627.509469</f>
        <v>-790359.89188956516</v>
      </c>
      <c r="S63" s="219">
        <f>(D63+N63)*627.509469</f>
        <v>-790369.63261153502</v>
      </c>
      <c r="T63" s="219">
        <f>(F63+N63)*627.509469</f>
        <v>-789886.89977197896</v>
      </c>
      <c r="U63" s="219">
        <f>(G63+N63)*627.509469</f>
        <v>-789898.53482042474</v>
      </c>
      <c r="V63" s="219">
        <f>(I63+N63)*627.509469</f>
        <v>-790036.35868508124</v>
      </c>
      <c r="W63" s="219">
        <f>(J63+N63)*627.509469</f>
        <v>-790046.57089604228</v>
      </c>
    </row>
    <row r="72" spans="9:20" ht="15.75" thickBot="1" x14ac:dyDescent="0.3"/>
    <row r="73" spans="9:20" x14ac:dyDescent="0.25">
      <c r="I73" s="6">
        <f>R53-R52</f>
        <v>30.296501703560352</v>
      </c>
      <c r="P73" s="22" t="s">
        <v>230</v>
      </c>
      <c r="Q73" s="25" t="s">
        <v>239</v>
      </c>
      <c r="R73" s="25" t="s">
        <v>231</v>
      </c>
      <c r="S73" s="25" t="s">
        <v>232</v>
      </c>
      <c r="T73" s="26" t="s">
        <v>233</v>
      </c>
    </row>
    <row r="74" spans="9:20" x14ac:dyDescent="0.25">
      <c r="P74" s="72" t="s">
        <v>234</v>
      </c>
      <c r="Q74" s="125">
        <f>R63</f>
        <v>-790359.89188956516</v>
      </c>
      <c r="R74" s="125">
        <v>0.1</v>
      </c>
      <c r="S74" s="125">
        <f>(R74-R76)/(R75-R74)</f>
        <v>5.2631578947368425E-2</v>
      </c>
      <c r="T74" s="80">
        <f>Q74+S74*(Q74-Q75)</f>
        <v>-790359.37921998778</v>
      </c>
    </row>
    <row r="75" spans="9:20" x14ac:dyDescent="0.25">
      <c r="L75" t="s">
        <v>956</v>
      </c>
      <c r="M75" t="s">
        <v>956</v>
      </c>
      <c r="P75" s="72" t="s">
        <v>235</v>
      </c>
      <c r="Q75" s="125">
        <f>S63</f>
        <v>-790369.63261153502</v>
      </c>
      <c r="R75" s="125">
        <v>2</v>
      </c>
      <c r="S75" s="125"/>
      <c r="T75" s="73" t="s">
        <v>236</v>
      </c>
    </row>
    <row r="76" spans="9:20" ht="15.75" thickBot="1" x14ac:dyDescent="0.3">
      <c r="L76" t="s">
        <v>955</v>
      </c>
      <c r="M76" t="s">
        <v>954</v>
      </c>
      <c r="P76" s="23" t="s">
        <v>237</v>
      </c>
      <c r="Q76" s="126"/>
      <c r="R76" s="126">
        <v>0</v>
      </c>
      <c r="S76" s="126"/>
      <c r="T76" s="104">
        <f>(Q74-T74)</f>
        <v>-0.51266957737971097</v>
      </c>
    </row>
    <row r="77" spans="9:20" x14ac:dyDescent="0.25">
      <c r="J77" t="s">
        <v>73</v>
      </c>
      <c r="K77" t="s">
        <v>685</v>
      </c>
      <c r="L77" s="6">
        <f>T57-T56</f>
        <v>35.707694651326165</v>
      </c>
      <c r="M77" s="6">
        <f>T55-T54</f>
        <v>30.792504076147452</v>
      </c>
      <c r="N77" s="215">
        <f>Q57-Q56</f>
        <v>30.082841594470665</v>
      </c>
    </row>
    <row r="78" spans="9:20" x14ac:dyDescent="0.25">
      <c r="J78" t="s">
        <v>73</v>
      </c>
      <c r="K78" t="s">
        <v>957</v>
      </c>
      <c r="L78" s="6">
        <f>L77-3</f>
        <v>32.707694651326165</v>
      </c>
      <c r="M78" s="6">
        <f>M77-5.1</f>
        <v>25.692504076147451</v>
      </c>
    </row>
    <row r="79" spans="9:20" x14ac:dyDescent="0.25">
      <c r="J79" t="s">
        <v>19</v>
      </c>
      <c r="K79" s="213" t="s">
        <v>685</v>
      </c>
      <c r="L79" s="215">
        <f>T63-T62</f>
        <v>33.727037511882372</v>
      </c>
      <c r="M79" s="215">
        <f>T59-T58</f>
        <v>37.20372538024094</v>
      </c>
    </row>
    <row r="80" spans="9:20" x14ac:dyDescent="0.25">
      <c r="J80" t="s">
        <v>19</v>
      </c>
      <c r="K80" s="213" t="s">
        <v>957</v>
      </c>
      <c r="R80" s="6">
        <f>T57-T56</f>
        <v>35.707694651326165</v>
      </c>
    </row>
    <row r="81" spans="10:13" x14ac:dyDescent="0.25">
      <c r="J81" t="s">
        <v>1003</v>
      </c>
      <c r="K81" s="213" t="s">
        <v>685</v>
      </c>
      <c r="M81" s="215">
        <f>T61-T60</f>
        <v>30.908020926173776</v>
      </c>
    </row>
    <row r="82" spans="10:13" x14ac:dyDescent="0.25">
      <c r="J82" t="s">
        <v>1003</v>
      </c>
      <c r="K82" s="213" t="s">
        <v>957</v>
      </c>
      <c r="M82" s="6">
        <f>M81-3.9</f>
        <v>27.008020926173778</v>
      </c>
    </row>
    <row r="89" spans="10:13" x14ac:dyDescent="0.25">
      <c r="J89" t="s">
        <v>958</v>
      </c>
      <c r="K89">
        <f>-1260.21582114717--1260.29546750933</f>
        <v>7.9646362160019635E-2</v>
      </c>
      <c r="L89">
        <f>K89*627.509469</f>
        <v>49.978846426815615</v>
      </c>
    </row>
    <row r="90" spans="10:13" x14ac:dyDescent="0.25">
      <c r="J90" t="s">
        <v>959</v>
      </c>
      <c r="K90" s="142">
        <f>I57-I56</f>
        <v>8.2644911979969038E-2</v>
      </c>
      <c r="L90">
        <f>K90*627.509469</f>
        <v>51.86046483210211</v>
      </c>
    </row>
    <row r="91" spans="10:13" x14ac:dyDescent="0.25">
      <c r="J91" t="s">
        <v>958</v>
      </c>
      <c r="K91">
        <f>-1259.769237616--1259.8343921894</f>
        <v>6.515457339992281E-2</v>
      </c>
      <c r="L91">
        <f>K91*627.509469</f>
        <v>40.885111757107083</v>
      </c>
    </row>
    <row r="92" spans="10:13" x14ac:dyDescent="0.25">
      <c r="J92" t="s">
        <v>959</v>
      </c>
      <c r="K92" s="142">
        <f>I55-I54</f>
        <v>6.7972338729987314E-2</v>
      </c>
      <c r="L92">
        <f>K92*627.509469</f>
        <v>42.65328618314247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110"/>
  <sheetViews>
    <sheetView topLeftCell="K67" zoomScale="70" zoomScaleNormal="70" workbookViewId="0">
      <selection activeCell="AD30" sqref="AD30"/>
    </sheetView>
  </sheetViews>
  <sheetFormatPr defaultRowHeight="15" x14ac:dyDescent="0.25"/>
  <cols>
    <col min="1" max="1" width="26.28515625" customWidth="1"/>
    <col min="3" max="3" width="11.85546875" customWidth="1"/>
    <col min="4" max="4" width="11.5703125" customWidth="1"/>
    <col min="5" max="5" width="12.140625" customWidth="1"/>
    <col min="6" max="6" width="11.7109375" customWidth="1"/>
    <col min="7" max="7" width="10.85546875" customWidth="1"/>
    <col min="9" max="9" width="11.42578125" customWidth="1"/>
    <col min="10" max="10" width="11.140625" customWidth="1"/>
    <col min="11" max="12" width="10.28515625" customWidth="1"/>
    <col min="15" max="15" width="12.28515625" bestFit="1" customWidth="1"/>
    <col min="17" max="17" width="11" customWidth="1"/>
    <col min="18" max="18" width="10.85546875" customWidth="1"/>
    <col min="19" max="19" width="11.28515625" customWidth="1"/>
    <col min="20" max="20" width="10" customWidth="1"/>
    <col min="21" max="21" width="14.140625" customWidth="1"/>
    <col min="24" max="24" width="12.28515625" bestFit="1" customWidth="1"/>
    <col min="25" max="25" width="17.5703125" bestFit="1" customWidth="1"/>
    <col min="26" max="30" width="12.28515625" bestFit="1" customWidth="1"/>
    <col min="35" max="35" width="16.28515625" customWidth="1"/>
    <col min="36" max="36" width="14.85546875" customWidth="1"/>
  </cols>
  <sheetData>
    <row r="2" spans="1:36" x14ac:dyDescent="0.25">
      <c r="A2" t="s">
        <v>900</v>
      </c>
    </row>
    <row r="3" spans="1:36" x14ac:dyDescent="0.25">
      <c r="A3" t="s">
        <v>961</v>
      </c>
      <c r="O3" s="6">
        <f>W20</f>
        <v>-312524.86717502557</v>
      </c>
    </row>
    <row r="4" spans="1:36" x14ac:dyDescent="0.25">
      <c r="A4" t="s">
        <v>962</v>
      </c>
    </row>
    <row r="5" spans="1:36" x14ac:dyDescent="0.25">
      <c r="A5" t="s">
        <v>963</v>
      </c>
    </row>
    <row r="6" spans="1:36" ht="15.75" thickBot="1" x14ac:dyDescent="0.3">
      <c r="A6" t="s">
        <v>964</v>
      </c>
    </row>
    <row r="7" spans="1:36" x14ac:dyDescent="0.25">
      <c r="AI7" s="22" t="s">
        <v>134</v>
      </c>
      <c r="AJ7" s="83">
        <v>4.35974394E-18</v>
      </c>
    </row>
    <row r="8" spans="1:36" x14ac:dyDescent="0.25">
      <c r="M8" t="s">
        <v>898</v>
      </c>
      <c r="N8" t="s">
        <v>897</v>
      </c>
      <c r="O8" t="s">
        <v>899</v>
      </c>
      <c r="P8" t="s">
        <v>901</v>
      </c>
      <c r="Q8" s="144" t="s">
        <v>937</v>
      </c>
      <c r="R8" s="144" t="s">
        <v>936</v>
      </c>
      <c r="S8" s="144" t="s">
        <v>938</v>
      </c>
      <c r="T8" s="144" t="s">
        <v>939</v>
      </c>
      <c r="U8" s="144" t="s">
        <v>940</v>
      </c>
      <c r="V8" s="144" t="s">
        <v>941</v>
      </c>
      <c r="W8" s="144" t="s">
        <v>942</v>
      </c>
      <c r="X8" s="146" t="s">
        <v>971</v>
      </c>
      <c r="Y8" s="146" t="s">
        <v>972</v>
      </c>
      <c r="Z8" s="146" t="s">
        <v>973</v>
      </c>
      <c r="AA8" s="146" t="s">
        <v>974</v>
      </c>
      <c r="AB8" s="146" t="s">
        <v>975</v>
      </c>
      <c r="AC8" s="146" t="s">
        <v>976</v>
      </c>
      <c r="AD8" s="146" t="s">
        <v>977</v>
      </c>
      <c r="AI8" s="72" t="s">
        <v>135</v>
      </c>
      <c r="AJ8" s="84">
        <v>6.0221399999999997E+23</v>
      </c>
    </row>
    <row r="9" spans="1:36" ht="30.75" thickBot="1" x14ac:dyDescent="0.3">
      <c r="A9" s="167" t="s">
        <v>481</v>
      </c>
      <c r="B9" t="s">
        <v>887</v>
      </c>
      <c r="C9" t="s">
        <v>927</v>
      </c>
      <c r="D9" t="s">
        <v>928</v>
      </c>
      <c r="E9" s="210" t="s">
        <v>931</v>
      </c>
      <c r="F9" t="s">
        <v>929</v>
      </c>
      <c r="G9" t="s">
        <v>930</v>
      </c>
      <c r="H9" s="210" t="s">
        <v>932</v>
      </c>
      <c r="I9" t="s">
        <v>933</v>
      </c>
      <c r="J9" t="s">
        <v>934</v>
      </c>
      <c r="K9" s="210" t="s">
        <v>935</v>
      </c>
      <c r="L9" t="s">
        <v>945</v>
      </c>
      <c r="M9" t="s">
        <v>886</v>
      </c>
      <c r="N9" t="s">
        <v>886</v>
      </c>
      <c r="O9" t="s">
        <v>886</v>
      </c>
      <c r="P9" t="s">
        <v>886</v>
      </c>
      <c r="Q9" s="144" t="s">
        <v>902</v>
      </c>
      <c r="R9" s="144" t="s">
        <v>902</v>
      </c>
      <c r="S9" s="144" t="s">
        <v>902</v>
      </c>
      <c r="T9" s="144" t="s">
        <v>902</v>
      </c>
      <c r="U9" s="144" t="s">
        <v>902</v>
      </c>
      <c r="V9" s="144" t="s">
        <v>902</v>
      </c>
      <c r="W9" s="144" t="s">
        <v>902</v>
      </c>
      <c r="X9" s="146" t="s">
        <v>902</v>
      </c>
      <c r="Y9" s="146" t="s">
        <v>902</v>
      </c>
      <c r="Z9" s="146" t="s">
        <v>902</v>
      </c>
      <c r="AA9" s="146" t="s">
        <v>902</v>
      </c>
      <c r="AB9" s="146" t="s">
        <v>902</v>
      </c>
      <c r="AC9" s="146" t="s">
        <v>902</v>
      </c>
      <c r="AD9" s="146" t="s">
        <v>902</v>
      </c>
      <c r="AI9" s="23" t="s">
        <v>136</v>
      </c>
      <c r="AJ9" s="85">
        <v>4.1840000000000002</v>
      </c>
    </row>
    <row r="10" spans="1:36" ht="15.75" thickBot="1" x14ac:dyDescent="0.3">
      <c r="A10" s="14" t="s">
        <v>162</v>
      </c>
      <c r="B10" s="14">
        <v>-151.53321382999999</v>
      </c>
      <c r="C10" s="17">
        <v>-151.62069727400001</v>
      </c>
      <c r="D10" s="17"/>
      <c r="E10" s="17"/>
      <c r="F10" s="17">
        <v>-151.54135294400001</v>
      </c>
      <c r="G10" s="17"/>
      <c r="H10" s="17"/>
      <c r="I10" s="17">
        <v>-151.55416655600001</v>
      </c>
      <c r="J10" s="17"/>
      <c r="K10" s="17"/>
      <c r="L10" s="14"/>
      <c r="M10" s="14">
        <v>2.6254E-2</v>
      </c>
      <c r="N10" s="14">
        <v>3.0450999999999999E-2</v>
      </c>
      <c r="O10" s="14">
        <v>3.9150000000000001E-3</v>
      </c>
      <c r="P10" s="185">
        <f t="shared" ref="P10:P25" si="0">(N10-O10)*627.509469</f>
        <v>16.651591269383996</v>
      </c>
      <c r="Q10" s="212">
        <f t="shared" ref="Q10:Q25" si="1">(B10+N10)*627.509469</f>
        <v>-95069.418255486235</v>
      </c>
      <c r="R10" s="212">
        <f t="shared" ref="R10:R25" si="2">(C10+N10)*627.509469</f>
        <v>-95124.31494497697</v>
      </c>
      <c r="S10" s="212">
        <f t="shared" ref="S10:S25" si="3">(D10+N10)*627.509469</f>
        <v>19.108290840518997</v>
      </c>
      <c r="T10" s="212">
        <f t="shared" ref="T10:T25" si="4">(F10+N10)*627.509469</f>
        <v>-95074.525626590505</v>
      </c>
      <c r="U10" s="212">
        <f t="shared" ref="U10:U25" si="5">(G10+N10)*627.509469</f>
        <v>19.108290840518997</v>
      </c>
      <c r="V10" s="212">
        <f t="shared" ref="V10:V25" si="6">(I10+N10)*627.509469</f>
        <v>-95082.566289452603</v>
      </c>
      <c r="W10" s="212">
        <f t="shared" ref="W10:W25" si="7">(J10+N10)*627.509469</f>
        <v>19.108290840518997</v>
      </c>
      <c r="X10" s="211">
        <f>(B10+O10)*627.509469</f>
        <v>-95086.069846755607</v>
      </c>
      <c r="Y10" s="211">
        <f>(C10+O10)*627.509469</f>
        <v>-95140.966536246342</v>
      </c>
      <c r="Z10" s="211">
        <f>(D10+O10)*627.509469</f>
        <v>2.4566995711349997</v>
      </c>
      <c r="AA10" s="211">
        <f>(F10+O10)*627.509469</f>
        <v>-95091.177217859891</v>
      </c>
      <c r="AB10" s="211">
        <f>(G10+O10)*627.509469</f>
        <v>2.4566995711349997</v>
      </c>
      <c r="AC10" s="211">
        <f>(I10+O10)*627.509469</f>
        <v>-95099.21788072199</v>
      </c>
      <c r="AD10" s="211">
        <f>(J10+O10)*627.509469</f>
        <v>2.4566995711349997</v>
      </c>
    </row>
    <row r="11" spans="1:36" ht="15.75" thickBot="1" x14ac:dyDescent="0.3">
      <c r="A11" s="14" t="s">
        <v>332</v>
      </c>
      <c r="B11" s="14">
        <v>-150.88698789</v>
      </c>
      <c r="C11" s="17">
        <v>-151.13989593100001</v>
      </c>
      <c r="D11" s="17"/>
      <c r="E11" s="17"/>
      <c r="F11" s="17">
        <v>-151.059523834</v>
      </c>
      <c r="G11" s="17"/>
      <c r="H11" s="17"/>
      <c r="I11" s="17">
        <v>-151.07095950799999</v>
      </c>
      <c r="J11" s="17"/>
      <c r="K11" s="17"/>
      <c r="L11" s="14"/>
      <c r="M11" s="14">
        <v>1.2503E-2</v>
      </c>
      <c r="N11" s="14">
        <v>1.6396000000000001E-2</v>
      </c>
      <c r="O11" s="14">
        <v>-9.3150000000000004E-3</v>
      </c>
      <c r="P11" s="185">
        <f t="shared" si="0"/>
        <v>16.133895957459</v>
      </c>
      <c r="Q11" s="212">
        <f t="shared" si="1"/>
        <v>-94672.725004609616</v>
      </c>
      <c r="R11" s="212">
        <f t="shared" si="2"/>
        <v>-94831.427195123353</v>
      </c>
      <c r="S11" s="212">
        <f t="shared" si="3"/>
        <v>10.288645253724001</v>
      </c>
      <c r="T11" s="212">
        <f t="shared" si="4"/>
        <v>-94780.992943212463</v>
      </c>
      <c r="U11" s="212">
        <f t="shared" si="5"/>
        <v>10.288645253724001</v>
      </c>
      <c r="V11" s="212">
        <f t="shared" si="6"/>
        <v>-94788.168936931848</v>
      </c>
      <c r="W11" s="212">
        <f t="shared" si="7"/>
        <v>10.288645253724001</v>
      </c>
      <c r="X11" s="211">
        <f>(B11+O11)*627.509469</f>
        <v>-94688.858900567051</v>
      </c>
      <c r="Y11" s="211">
        <f>(C11+O11)*627.509469</f>
        <v>-94847.561091080803</v>
      </c>
      <c r="Z11" s="211">
        <f>(D11+O11)*627.509469</f>
        <v>-5.8452507037350001</v>
      </c>
      <c r="AA11" s="211">
        <f>(F11+O11)*627.509469</f>
        <v>-94797.126839169912</v>
      </c>
      <c r="AB11" s="211">
        <f>(G11+O11)*627.509469</f>
        <v>-5.8452507037350001</v>
      </c>
      <c r="AC11" s="211">
        <f>(I11+O11)*627.509469</f>
        <v>-94804.302832889298</v>
      </c>
      <c r="AD11" s="211">
        <f>(J11+O11)*627.509469</f>
        <v>-5.8452507037350001</v>
      </c>
      <c r="AI11" s="86" t="s">
        <v>137</v>
      </c>
      <c r="AJ11" s="32"/>
    </row>
    <row r="12" spans="1:36" x14ac:dyDescent="0.25">
      <c r="A12" s="217" t="s">
        <v>998</v>
      </c>
      <c r="B12" s="217">
        <v>-162.08123032</v>
      </c>
      <c r="C12" s="218">
        <v>-162.20265158399999</v>
      </c>
      <c r="D12" s="218"/>
      <c r="E12" s="218"/>
      <c r="F12" s="218">
        <v>-162.19055697900001</v>
      </c>
      <c r="G12" s="218"/>
      <c r="H12" s="218"/>
      <c r="I12" s="218">
        <v>-162.165296993</v>
      </c>
      <c r="J12" s="218"/>
      <c r="K12" s="218"/>
      <c r="L12" s="217"/>
      <c r="M12" s="217">
        <v>0</v>
      </c>
      <c r="N12" s="217">
        <v>2.3600000000000001E-3</v>
      </c>
      <c r="O12" s="217">
        <v>-1.4429000000000001E-2</v>
      </c>
      <c r="P12" s="224">
        <f t="shared" si="0"/>
        <v>10.535256475041001</v>
      </c>
      <c r="Q12" s="227">
        <f t="shared" si="1"/>
        <v>-101706.02585062305</v>
      </c>
      <c r="R12" s="227">
        <f t="shared" si="2"/>
        <v>-101782.218843521</v>
      </c>
      <c r="S12" s="227">
        <f t="shared" si="3"/>
        <v>1.4809223468399999</v>
      </c>
      <c r="T12" s="227">
        <f t="shared" si="4"/>
        <v>-101774.62936435969</v>
      </c>
      <c r="U12" s="227">
        <f t="shared" si="5"/>
        <v>1.4809223468399999</v>
      </c>
      <c r="V12" s="227">
        <f t="shared" si="6"/>
        <v>-101758.77848395787</v>
      </c>
      <c r="W12" s="227">
        <f t="shared" si="7"/>
        <v>1.4809223468399999</v>
      </c>
      <c r="X12" s="226">
        <f>(B12+O12)*627.509469</f>
        <v>-101716.5611070981</v>
      </c>
      <c r="Y12" s="226">
        <f>(C12+O12)*627.509469</f>
        <v>-101792.75409999605</v>
      </c>
      <c r="Z12" s="226">
        <f>(D12+O12)*627.509469</f>
        <v>-9.0543341282010008</v>
      </c>
      <c r="AA12" s="226">
        <f>(F12+O12)*627.509469</f>
        <v>-101785.16462083474</v>
      </c>
      <c r="AB12" s="226">
        <f>(G12+O12)*627.509469</f>
        <v>-9.0543341282010008</v>
      </c>
      <c r="AC12" s="226">
        <f>(I12+O12)*627.509469</f>
        <v>-101769.31374043293</v>
      </c>
      <c r="AD12" s="226">
        <f>(J12+O12)*627.509469</f>
        <v>-9.0543341282010008</v>
      </c>
      <c r="AI12" s="87" t="s">
        <v>138</v>
      </c>
      <c r="AJ12" s="106">
        <v>1315</v>
      </c>
    </row>
    <row r="13" spans="1:36" x14ac:dyDescent="0.25">
      <c r="A13" s="14" t="s">
        <v>163</v>
      </c>
      <c r="B13" s="14">
        <v>-313.25386261</v>
      </c>
      <c r="C13" s="17">
        <v>-313.37428874199998</v>
      </c>
      <c r="D13" s="17"/>
      <c r="E13" s="17"/>
      <c r="F13" s="17">
        <v>-313.27794218899999</v>
      </c>
      <c r="G13" s="17"/>
      <c r="H13" s="17"/>
      <c r="I13" s="17">
        <v>-313.27065735399998</v>
      </c>
      <c r="J13" s="17"/>
      <c r="K13" s="17"/>
      <c r="L13" s="14"/>
      <c r="M13" s="14">
        <v>1.5772000000000001E-2</v>
      </c>
      <c r="N13" s="14">
        <v>2.0622000000000001E-2</v>
      </c>
      <c r="O13" s="14">
        <v>-9.8659999999999998E-3</v>
      </c>
      <c r="P13" s="185">
        <f t="shared" si="0"/>
        <v>19.131508690872</v>
      </c>
      <c r="Q13" s="212">
        <f t="shared" si="1"/>
        <v>-196556.82448833031</v>
      </c>
      <c r="R13" s="212">
        <f t="shared" si="2"/>
        <v>-196632.39302647536</v>
      </c>
      <c r="S13" s="212">
        <f t="shared" si="3"/>
        <v>12.940500269718001</v>
      </c>
      <c r="T13" s="212">
        <f t="shared" si="4"/>
        <v>-196571.93465216234</v>
      </c>
      <c r="U13" s="212">
        <f t="shared" si="5"/>
        <v>12.940500269718001</v>
      </c>
      <c r="V13" s="212">
        <f t="shared" si="6"/>
        <v>-196567.36334921976</v>
      </c>
      <c r="W13" s="212">
        <f t="shared" si="7"/>
        <v>12.940500269718001</v>
      </c>
      <c r="X13" s="211">
        <f>(B13+O13)*627.509469</f>
        <v>-196575.9559970212</v>
      </c>
      <c r="Y13" s="211">
        <f>(C13+O13)*627.509469</f>
        <v>-196651.52453516622</v>
      </c>
      <c r="Z13" s="211">
        <f>(D13+O13)*627.509469</f>
        <v>-6.1910084211539997</v>
      </c>
      <c r="AA13" s="211">
        <f>(F13+O13)*627.509469</f>
        <v>-196591.06616085322</v>
      </c>
      <c r="AB13" s="211">
        <f>(G13+O13)*627.509469</f>
        <v>-6.1910084211539997</v>
      </c>
      <c r="AC13" s="211">
        <f>(I13+O13)*627.509469</f>
        <v>-196586.49485791061</v>
      </c>
      <c r="AD13" s="211">
        <f>(J13+O13)*627.509469</f>
        <v>-6.1910084211539997</v>
      </c>
      <c r="AI13" s="88" t="s">
        <v>139</v>
      </c>
      <c r="AJ13" s="89">
        <f>30.7*4.2</f>
        <v>128.94</v>
      </c>
    </row>
    <row r="14" spans="1:36" x14ac:dyDescent="0.25">
      <c r="A14" s="14" t="s">
        <v>73</v>
      </c>
      <c r="B14" s="14">
        <v>-346.77059350000002</v>
      </c>
      <c r="C14" s="17">
        <v>-346.89306750600002</v>
      </c>
      <c r="D14" s="17"/>
      <c r="E14" s="17"/>
      <c r="F14" s="17">
        <v>-346.628860051</v>
      </c>
      <c r="G14" s="17"/>
      <c r="H14" s="17"/>
      <c r="I14" s="17">
        <v>-346.73958691600001</v>
      </c>
      <c r="J14" s="17"/>
      <c r="K14" s="17"/>
      <c r="L14" s="14"/>
      <c r="M14" s="14">
        <v>0.133745</v>
      </c>
      <c r="N14" s="14">
        <v>0.14164099999999999</v>
      </c>
      <c r="O14" s="14">
        <v>0.10220799999999999</v>
      </c>
      <c r="P14" s="185">
        <f t="shared" si="0"/>
        <v>24.744580891076996</v>
      </c>
      <c r="Q14" s="212">
        <f t="shared" si="1"/>
        <v>-217512.94992330123</v>
      </c>
      <c r="R14" s="212">
        <f t="shared" si="2"/>
        <v>-217589.80352177258</v>
      </c>
      <c r="S14" s="212">
        <f t="shared" si="3"/>
        <v>88.881068698628994</v>
      </c>
      <c r="T14" s="212">
        <f t="shared" si="4"/>
        <v>-217424.0108419797</v>
      </c>
      <c r="U14" s="212">
        <f t="shared" si="5"/>
        <v>88.881068698628994</v>
      </c>
      <c r="V14" s="212">
        <f t="shared" si="6"/>
        <v>-217493.49299823988</v>
      </c>
      <c r="W14" s="212">
        <f t="shared" si="7"/>
        <v>88.881068698628994</v>
      </c>
      <c r="X14" s="211">
        <f t="shared" ref="X14:X24" si="8">(B14+O14)*627.509469</f>
        <v>-217537.69450419227</v>
      </c>
      <c r="Y14" s="211">
        <f t="shared" ref="Y14:Y24" si="9">(C14+O14)*627.509469</f>
        <v>-217614.54810266366</v>
      </c>
      <c r="Z14" s="211">
        <f t="shared" ref="Z14:Z24" si="10">(D14+O14)*627.509469</f>
        <v>64.136487807551987</v>
      </c>
      <c r="AA14" s="211">
        <f t="shared" ref="AA14:AA24" si="11">(F14+O14)*627.509469</f>
        <v>-217448.75542287074</v>
      </c>
      <c r="AB14" s="211">
        <f t="shared" ref="AB14:AB24" si="12">(G14+O14)*627.509469</f>
        <v>64.136487807551987</v>
      </c>
      <c r="AC14" s="211">
        <f t="shared" ref="AC14:AC24" si="13">(I14+O14)*627.509469</f>
        <v>-217518.23757913095</v>
      </c>
      <c r="AD14" s="211">
        <f t="shared" ref="AD14:AD24" si="14">(J14+O14)*627.509469</f>
        <v>64.136487807551987</v>
      </c>
      <c r="AI14" s="88" t="s">
        <v>140</v>
      </c>
      <c r="AJ14" s="107">
        <v>298</v>
      </c>
    </row>
    <row r="15" spans="1:36" x14ac:dyDescent="0.25">
      <c r="A15" s="14" t="s">
        <v>965</v>
      </c>
      <c r="B15" s="14"/>
      <c r="C15" s="17"/>
      <c r="D15" s="17"/>
      <c r="E15" s="17"/>
      <c r="F15" s="17"/>
      <c r="G15" s="17"/>
      <c r="H15" s="17"/>
      <c r="I15" s="17"/>
      <c r="J15" s="17"/>
      <c r="K15" s="17"/>
      <c r="L15" s="14"/>
      <c r="M15" s="14"/>
      <c r="N15" s="14"/>
      <c r="O15" s="14"/>
      <c r="P15" s="185">
        <f t="shared" si="0"/>
        <v>0</v>
      </c>
      <c r="Q15" s="212">
        <f t="shared" si="1"/>
        <v>0</v>
      </c>
      <c r="R15" s="212">
        <f t="shared" si="2"/>
        <v>0</v>
      </c>
      <c r="S15" s="212">
        <f t="shared" si="3"/>
        <v>0</v>
      </c>
      <c r="T15" s="212">
        <f t="shared" si="4"/>
        <v>0</v>
      </c>
      <c r="U15" s="212">
        <f t="shared" si="5"/>
        <v>0</v>
      </c>
      <c r="V15" s="212">
        <f t="shared" si="6"/>
        <v>0</v>
      </c>
      <c r="W15" s="212">
        <f t="shared" si="7"/>
        <v>0</v>
      </c>
      <c r="X15" s="211">
        <f t="shared" si="8"/>
        <v>0</v>
      </c>
      <c r="Y15" s="211">
        <f t="shared" si="9"/>
        <v>0</v>
      </c>
      <c r="Z15" s="211">
        <f t="shared" si="10"/>
        <v>0</v>
      </c>
      <c r="AA15" s="211">
        <f t="shared" si="11"/>
        <v>0</v>
      </c>
      <c r="AB15" s="211">
        <f t="shared" si="12"/>
        <v>0</v>
      </c>
      <c r="AC15" s="211">
        <f t="shared" si="13"/>
        <v>0</v>
      </c>
      <c r="AD15" s="211">
        <f t="shared" si="14"/>
        <v>0</v>
      </c>
      <c r="AI15" s="88" t="s">
        <v>152</v>
      </c>
      <c r="AJ15" s="108">
        <f>6.62606896E-34/(2*AJ18)</f>
        <v>1.0545716294567979E-34</v>
      </c>
    </row>
    <row r="16" spans="1:36" x14ac:dyDescent="0.25">
      <c r="A16" s="14" t="s">
        <v>966</v>
      </c>
      <c r="B16" s="14">
        <v>-693.55490267000005</v>
      </c>
      <c r="C16" s="17"/>
      <c r="D16" s="17"/>
      <c r="E16" s="17"/>
      <c r="F16" s="17"/>
      <c r="G16" s="17"/>
      <c r="H16" s="17"/>
      <c r="I16" s="17"/>
      <c r="J16" s="17"/>
      <c r="K16" s="17"/>
      <c r="L16" s="14"/>
      <c r="M16" s="14">
        <v>0.26980799999999999</v>
      </c>
      <c r="N16" s="14">
        <v>0.28614699999999998</v>
      </c>
      <c r="O16" s="14">
        <v>0.22304599999999999</v>
      </c>
      <c r="P16" s="185">
        <f t="shared" si="0"/>
        <v>39.596475003368994</v>
      </c>
      <c r="Q16" s="212">
        <f t="shared" si="1"/>
        <v>-435032.70874477242</v>
      </c>
      <c r="R16" s="212">
        <f t="shared" si="2"/>
        <v>179.55995202594298</v>
      </c>
      <c r="S16" s="212">
        <f t="shared" si="3"/>
        <v>179.55995202594298</v>
      </c>
      <c r="T16" s="212">
        <f t="shared" si="4"/>
        <v>179.55995202594298</v>
      </c>
      <c r="U16" s="212">
        <f t="shared" si="5"/>
        <v>179.55995202594298</v>
      </c>
      <c r="V16" s="212">
        <f t="shared" si="6"/>
        <v>179.55995202594298</v>
      </c>
      <c r="W16" s="212">
        <f t="shared" si="7"/>
        <v>179.55995202594298</v>
      </c>
      <c r="X16" s="211">
        <f t="shared" si="8"/>
        <v>-435072.30521977582</v>
      </c>
      <c r="Y16" s="211">
        <f t="shared" si="9"/>
        <v>139.96347702257398</v>
      </c>
      <c r="Z16" s="211">
        <f t="shared" si="10"/>
        <v>139.96347702257398</v>
      </c>
      <c r="AA16" s="211">
        <f t="shared" si="11"/>
        <v>139.96347702257398</v>
      </c>
      <c r="AB16" s="211">
        <f t="shared" si="12"/>
        <v>139.96347702257398</v>
      </c>
      <c r="AC16" s="211">
        <f t="shared" si="13"/>
        <v>139.96347702257398</v>
      </c>
      <c r="AD16" s="211">
        <f t="shared" si="14"/>
        <v>139.96347702257398</v>
      </c>
      <c r="AI16" s="88" t="s">
        <v>141</v>
      </c>
      <c r="AJ16" s="109">
        <v>6.6260695699999996E-34</v>
      </c>
    </row>
    <row r="17" spans="1:36" x14ac:dyDescent="0.25">
      <c r="A17" s="14" t="s">
        <v>967</v>
      </c>
      <c r="B17" s="14">
        <v>-845.10857897999995</v>
      </c>
      <c r="C17" s="17">
        <v>-845.41522160199997</v>
      </c>
      <c r="D17" s="17"/>
      <c r="E17" s="17"/>
      <c r="F17" s="17">
        <v>-844.81966406200002</v>
      </c>
      <c r="G17" s="17"/>
      <c r="H17" s="17"/>
      <c r="I17" s="17">
        <v>-845.05395805299997</v>
      </c>
      <c r="J17" s="17"/>
      <c r="K17" s="17"/>
      <c r="L17" s="14"/>
      <c r="M17" s="14">
        <v>0.29930000000000001</v>
      </c>
      <c r="N17" s="14">
        <v>0.31935000000000002</v>
      </c>
      <c r="O17" s="14">
        <v>0.24904399999999999</v>
      </c>
      <c r="P17" s="185">
        <f t="shared" si="0"/>
        <v>44.117680727514021</v>
      </c>
      <c r="Q17" s="212">
        <f t="shared" si="1"/>
        <v>-530113.24049415917</v>
      </c>
      <c r="R17" s="212">
        <f t="shared" si="2"/>
        <v>-530305.66164306318</v>
      </c>
      <c r="S17" s="212">
        <f t="shared" si="3"/>
        <v>200.39514892515001</v>
      </c>
      <c r="T17" s="212">
        <f t="shared" si="4"/>
        <v>-529931.94364737882</v>
      </c>
      <c r="U17" s="212">
        <f t="shared" si="5"/>
        <v>200.39514892515001</v>
      </c>
      <c r="V17" s="212">
        <f t="shared" si="6"/>
        <v>-530078.96534526115</v>
      </c>
      <c r="W17" s="212">
        <f t="shared" si="7"/>
        <v>200.39514892515001</v>
      </c>
      <c r="X17" s="211">
        <f t="shared" si="8"/>
        <v>-530157.35817488667</v>
      </c>
      <c r="Y17" s="211">
        <f t="shared" si="9"/>
        <v>-530349.77932379069</v>
      </c>
      <c r="Z17" s="211">
        <f t="shared" si="10"/>
        <v>156.27746819763598</v>
      </c>
      <c r="AA17" s="211">
        <f t="shared" si="11"/>
        <v>-529976.06132810633</v>
      </c>
      <c r="AB17" s="211">
        <f t="shared" si="12"/>
        <v>156.27746819763598</v>
      </c>
      <c r="AC17" s="211">
        <f t="shared" si="13"/>
        <v>-530123.08302598866</v>
      </c>
      <c r="AD17" s="211">
        <f t="shared" si="14"/>
        <v>156.27746819763598</v>
      </c>
      <c r="AI17" s="88" t="s">
        <v>142</v>
      </c>
      <c r="AJ17" s="110">
        <v>1.3806488E-23</v>
      </c>
    </row>
    <row r="18" spans="1:36" x14ac:dyDescent="0.25">
      <c r="A18" s="14" t="s">
        <v>968</v>
      </c>
      <c r="B18" s="14">
        <v>-845.05440067999996</v>
      </c>
      <c r="C18" s="17">
        <v>-845.36739258</v>
      </c>
      <c r="D18" s="17">
        <v>-845.33433927700003</v>
      </c>
      <c r="E18" s="17">
        <v>0.2606</v>
      </c>
      <c r="F18" s="17">
        <v>-844.76197302599996</v>
      </c>
      <c r="G18" s="17">
        <v>-844.73019443400005</v>
      </c>
      <c r="H18" s="17">
        <v>0.3165</v>
      </c>
      <c r="I18" s="17">
        <v>-844.98235708000004</v>
      </c>
      <c r="J18" s="17">
        <v>-844.95349927500001</v>
      </c>
      <c r="K18" s="17">
        <v>0.52239999999999998</v>
      </c>
      <c r="L18" s="14">
        <v>1117.8900000000001</v>
      </c>
      <c r="M18" s="14">
        <v>0.29128199999999999</v>
      </c>
      <c r="N18" s="14">
        <v>0.31076799999999999</v>
      </c>
      <c r="O18" s="14">
        <v>0.242312</v>
      </c>
      <c r="P18" s="185">
        <f t="shared" si="0"/>
        <v>42.956788209863994</v>
      </c>
      <c r="Q18" s="212">
        <f t="shared" si="1"/>
        <v>-530084.62838415778</v>
      </c>
      <c r="R18" s="212">
        <f t="shared" si="2"/>
        <v>-530281.03376512812</v>
      </c>
      <c r="S18" s="212">
        <f t="shared" si="3"/>
        <v>-530260.29250451387</v>
      </c>
      <c r="T18" s="212">
        <f t="shared" si="4"/>
        <v>-529901.12726227532</v>
      </c>
      <c r="U18" s="212">
        <f t="shared" si="5"/>
        <v>-529881.18589488382</v>
      </c>
      <c r="V18" s="212">
        <f t="shared" si="6"/>
        <v>-530039.42034297693</v>
      </c>
      <c r="W18" s="212">
        <f t="shared" si="7"/>
        <v>-530021.31179708487</v>
      </c>
      <c r="X18" s="211">
        <f t="shared" si="8"/>
        <v>-530127.58517236763</v>
      </c>
      <c r="Y18" s="211">
        <f t="shared" si="9"/>
        <v>-530323.99055333796</v>
      </c>
      <c r="Z18" s="211">
        <f t="shared" si="10"/>
        <v>-530303.24929272383</v>
      </c>
      <c r="AA18" s="211">
        <f t="shared" si="11"/>
        <v>-529944.08405048517</v>
      </c>
      <c r="AB18" s="211">
        <f t="shared" si="12"/>
        <v>-529924.14268309379</v>
      </c>
      <c r="AC18" s="211">
        <f t="shared" si="13"/>
        <v>-530082.37713118689</v>
      </c>
      <c r="AD18" s="211">
        <f t="shared" si="14"/>
        <v>-530064.26858529483</v>
      </c>
      <c r="AI18" s="91" t="s">
        <v>143</v>
      </c>
      <c r="AJ18" s="110">
        <v>3.1415926500000002</v>
      </c>
    </row>
    <row r="19" spans="1:36" x14ac:dyDescent="0.25">
      <c r="A19" s="14" t="s">
        <v>969</v>
      </c>
      <c r="B19" s="14">
        <v>-498.32080975000002</v>
      </c>
      <c r="C19" s="17">
        <v>-498.516172912</v>
      </c>
      <c r="D19" s="17"/>
      <c r="E19" s="17"/>
      <c r="F19" s="17">
        <v>-498.17684648199997</v>
      </c>
      <c r="G19" s="17"/>
      <c r="H19" s="17"/>
      <c r="I19" s="17">
        <v>-498.30169097499999</v>
      </c>
      <c r="J19" s="17"/>
      <c r="K19" s="17"/>
      <c r="L19" s="14"/>
      <c r="M19" s="14">
        <v>0.16359799999999999</v>
      </c>
      <c r="N19" s="14">
        <v>0.175205</v>
      </c>
      <c r="O19" s="14">
        <v>0.12619900000000001</v>
      </c>
      <c r="P19" s="185">
        <f t="shared" si="0"/>
        <v>30.751729037813995</v>
      </c>
      <c r="Q19" s="212">
        <f t="shared" si="1"/>
        <v>-312591.08392135636</v>
      </c>
      <c r="R19" s="212">
        <f t="shared" si="2"/>
        <v>-312713.67615540512</v>
      </c>
      <c r="S19" s="212">
        <f t="shared" si="3"/>
        <v>109.94279651614499</v>
      </c>
      <c r="T19" s="212">
        <f t="shared" si="4"/>
        <v>-312500.74560749816</v>
      </c>
      <c r="U19" s="212">
        <f t="shared" si="5"/>
        <v>109.94279651614499</v>
      </c>
      <c r="V19" s="212">
        <f t="shared" si="6"/>
        <v>-312579.08670900814</v>
      </c>
      <c r="W19" s="212">
        <f t="shared" si="7"/>
        <v>109.94279651614499</v>
      </c>
      <c r="X19" s="211">
        <f t="shared" si="8"/>
        <v>-312621.83565039421</v>
      </c>
      <c r="Y19" s="211">
        <f t="shared" si="9"/>
        <v>-312744.42788444296</v>
      </c>
      <c r="Z19" s="211">
        <f t="shared" si="10"/>
        <v>79.191067478330993</v>
      </c>
      <c r="AA19" s="211">
        <f t="shared" si="11"/>
        <v>-312531.49733653601</v>
      </c>
      <c r="AB19" s="211">
        <f t="shared" si="12"/>
        <v>79.191067478330993</v>
      </c>
      <c r="AC19" s="211">
        <f t="shared" si="13"/>
        <v>-312609.83843804599</v>
      </c>
      <c r="AD19" s="211">
        <f t="shared" si="14"/>
        <v>79.191067478330993</v>
      </c>
      <c r="AI19" s="92" t="s">
        <v>144</v>
      </c>
      <c r="AJ19" s="111">
        <f>AJ17*AJ20</f>
        <v>8.3144603644319997</v>
      </c>
    </row>
    <row r="20" spans="1:36" x14ac:dyDescent="0.25">
      <c r="A20" s="14" t="s">
        <v>970</v>
      </c>
      <c r="B20" s="14">
        <v>-498.28538361</v>
      </c>
      <c r="C20" s="17">
        <v>-498.46951127300002</v>
      </c>
      <c r="D20" s="17">
        <v>-498.43935302099999</v>
      </c>
      <c r="E20" s="17">
        <v>0.38269999999999998</v>
      </c>
      <c r="F20" s="17">
        <v>-498.119172875</v>
      </c>
      <c r="G20" s="17">
        <v>-498.09098114400001</v>
      </c>
      <c r="H20" s="17">
        <v>0.4587</v>
      </c>
      <c r="I20" s="17">
        <v>-498.228757137</v>
      </c>
      <c r="J20" s="17">
        <v>-498.20488164699998</v>
      </c>
      <c r="K20" s="17">
        <v>0.65049999999999997</v>
      </c>
      <c r="L20" s="14">
        <v>1315.44</v>
      </c>
      <c r="M20" s="14">
        <v>0.15239</v>
      </c>
      <c r="N20" s="14">
        <v>0.1648</v>
      </c>
      <c r="O20" s="14">
        <v>0.11367099999999999</v>
      </c>
      <c r="P20" s="185">
        <f t="shared" si="0"/>
        <v>32.083931640501007</v>
      </c>
      <c r="Q20" s="212">
        <f t="shared" si="1"/>
        <v>-312575.3829190812</v>
      </c>
      <c r="R20" s="212">
        <f t="shared" si="2"/>
        <v>-312690.92477111856</v>
      </c>
      <c r="S20" s="212">
        <f t="shared" si="3"/>
        <v>-312672.00018242002</v>
      </c>
      <c r="T20" s="212">
        <f t="shared" si="4"/>
        <v>-312471.08410901926</v>
      </c>
      <c r="U20" s="212">
        <f t="shared" si="5"/>
        <v>-312453.39353086922</v>
      </c>
      <c r="V20" s="212">
        <f t="shared" si="6"/>
        <v>-312539.8492710776</v>
      </c>
      <c r="W20" s="212">
        <f t="shared" si="7"/>
        <v>-312524.86717502557</v>
      </c>
      <c r="X20" s="211">
        <f t="shared" si="8"/>
        <v>-312607.46685072168</v>
      </c>
      <c r="Y20" s="211">
        <f t="shared" si="9"/>
        <v>-312723.00870275905</v>
      </c>
      <c r="Z20" s="211">
        <f t="shared" si="10"/>
        <v>-312704.0841140605</v>
      </c>
      <c r="AA20" s="211">
        <f t="shared" si="11"/>
        <v>-312503.16804065974</v>
      </c>
      <c r="AB20" s="211">
        <f t="shared" si="12"/>
        <v>-312485.47746250976</v>
      </c>
      <c r="AC20" s="211">
        <f t="shared" si="13"/>
        <v>-312571.93320271809</v>
      </c>
      <c r="AD20" s="211">
        <f t="shared" si="14"/>
        <v>-312556.95110666606</v>
      </c>
      <c r="AI20" s="88" t="s">
        <v>145</v>
      </c>
      <c r="AJ20" s="110">
        <v>6.0221399999999997E+23</v>
      </c>
    </row>
    <row r="21" spans="1:36" ht="15.75" thickBot="1" x14ac:dyDescent="0.3">
      <c r="A21" s="180" t="s">
        <v>989</v>
      </c>
      <c r="B21" s="17">
        <v>-497.74739700999999</v>
      </c>
      <c r="C21" s="17">
        <v>-498.03266474200001</v>
      </c>
      <c r="D21" s="17"/>
      <c r="E21" s="17"/>
      <c r="F21" s="17">
        <v>-497.69292376099997</v>
      </c>
      <c r="G21" s="17"/>
      <c r="H21" s="17"/>
      <c r="I21" s="17">
        <v>-497.815496333</v>
      </c>
      <c r="J21" s="17"/>
      <c r="K21" s="17"/>
      <c r="L21" s="14"/>
      <c r="M21" s="17">
        <v>0.148567</v>
      </c>
      <c r="N21" s="17">
        <v>0.159694</v>
      </c>
      <c r="O21" s="17">
        <v>0.110793</v>
      </c>
      <c r="P21" s="185">
        <f t="shared" si="0"/>
        <v>30.685840543568997</v>
      </c>
      <c r="Q21" s="212">
        <f t="shared" si="1"/>
        <v>-312240.99529673479</v>
      </c>
      <c r="R21" s="212">
        <f t="shared" si="2"/>
        <v>-312420.00349976495</v>
      </c>
      <c r="S21" s="212">
        <f t="shared" si="3"/>
        <v>100.209497142486</v>
      </c>
      <c r="T21" s="212">
        <f t="shared" si="4"/>
        <v>-312206.81281718006</v>
      </c>
      <c r="U21" s="212">
        <f t="shared" si="5"/>
        <v>100.209497142486</v>
      </c>
      <c r="V21" s="212">
        <f t="shared" si="6"/>
        <v>-312283.72826674976</v>
      </c>
      <c r="W21" s="212">
        <f t="shared" si="7"/>
        <v>100.209497142486</v>
      </c>
      <c r="X21" s="211">
        <f t="shared" si="8"/>
        <v>-312271.68113727833</v>
      </c>
      <c r="Y21" s="211">
        <f t="shared" si="9"/>
        <v>-312450.68934030854</v>
      </c>
      <c r="Z21" s="211">
        <f t="shared" si="10"/>
        <v>69.523656598917</v>
      </c>
      <c r="AA21" s="211">
        <f t="shared" si="11"/>
        <v>-312237.49865772366</v>
      </c>
      <c r="AB21" s="211">
        <f t="shared" si="12"/>
        <v>69.523656598917</v>
      </c>
      <c r="AC21" s="211">
        <f t="shared" si="13"/>
        <v>-312314.41410729336</v>
      </c>
      <c r="AD21" s="211">
        <f t="shared" si="14"/>
        <v>69.523656598917</v>
      </c>
      <c r="AI21" s="90" t="s">
        <v>153</v>
      </c>
      <c r="AJ21" s="112">
        <v>29979245800</v>
      </c>
    </row>
    <row r="22" spans="1:36" x14ac:dyDescent="0.25">
      <c r="A22" s="180" t="s">
        <v>990</v>
      </c>
      <c r="B22" s="17">
        <v>-497.82601775000001</v>
      </c>
      <c r="C22" s="17">
        <v>-497.99564674099997</v>
      </c>
      <c r="D22" s="17"/>
      <c r="E22" s="17"/>
      <c r="F22" s="17">
        <v>-497.651982078</v>
      </c>
      <c r="G22" s="17"/>
      <c r="H22" s="17"/>
      <c r="I22" s="17">
        <v>-497.76339507699998</v>
      </c>
      <c r="J22" s="17"/>
      <c r="K22" s="17"/>
      <c r="L22" s="14">
        <v>462.91</v>
      </c>
      <c r="M22" s="17">
        <v>0.14163000000000001</v>
      </c>
      <c r="N22" s="17">
        <v>0.15368200000000001</v>
      </c>
      <c r="O22" s="17">
        <v>0.102992</v>
      </c>
      <c r="P22" s="185">
        <f t="shared" si="0"/>
        <v>31.808454983610005</v>
      </c>
      <c r="Q22" s="212">
        <f t="shared" si="1"/>
        <v>-312294.10314247222</v>
      </c>
      <c r="R22" s="212">
        <f t="shared" si="2"/>
        <v>-312400.54694054159</v>
      </c>
      <c r="S22" s="212">
        <f t="shared" si="3"/>
        <v>96.436910214858003</v>
      </c>
      <c r="T22" s="212">
        <f t="shared" si="4"/>
        <v>-312184.89411034842</v>
      </c>
      <c r="U22" s="212">
        <f t="shared" si="5"/>
        <v>96.436910214858003</v>
      </c>
      <c r="V22" s="212">
        <f t="shared" si="6"/>
        <v>-312254.80682219059</v>
      </c>
      <c r="W22" s="212">
        <f t="shared" si="7"/>
        <v>96.436910214858003</v>
      </c>
      <c r="X22" s="211">
        <f t="shared" si="8"/>
        <v>-312325.91159745585</v>
      </c>
      <c r="Y22" s="211">
        <f t="shared" si="9"/>
        <v>-312432.35539552523</v>
      </c>
      <c r="Z22" s="211">
        <f t="shared" si="10"/>
        <v>64.628455231247997</v>
      </c>
      <c r="AA22" s="211">
        <f t="shared" si="11"/>
        <v>-312216.70256533206</v>
      </c>
      <c r="AB22" s="211">
        <f t="shared" si="12"/>
        <v>64.628455231247997</v>
      </c>
      <c r="AC22" s="211">
        <f t="shared" si="13"/>
        <v>-312286.61527717422</v>
      </c>
      <c r="AD22" s="211">
        <f t="shared" si="14"/>
        <v>64.628455231247997</v>
      </c>
      <c r="AI22" s="87" t="s">
        <v>154</v>
      </c>
      <c r="AJ22" s="93">
        <f>((2*AJ18)/(AJ16*AJ12*AJ21))</f>
        <v>2.4053452459593879E+20</v>
      </c>
    </row>
    <row r="23" spans="1:36" ht="15.75" thickBot="1" x14ac:dyDescent="0.3">
      <c r="A23" s="223" t="s">
        <v>997</v>
      </c>
      <c r="B23" s="218">
        <v>-497.69146777999998</v>
      </c>
      <c r="C23" s="218">
        <v>-497.99542062099999</v>
      </c>
      <c r="D23" s="218"/>
      <c r="E23" s="218">
        <v>9.4700000000000006E-2</v>
      </c>
      <c r="F23" s="218">
        <v>-497.64762296800001</v>
      </c>
      <c r="G23" s="218"/>
      <c r="H23" s="218">
        <v>0.10249999999999999</v>
      </c>
      <c r="I23" s="218">
        <v>-497.75393666999997</v>
      </c>
      <c r="J23" s="218"/>
      <c r="K23" s="218"/>
      <c r="L23" s="217">
        <v>777.76</v>
      </c>
      <c r="M23" s="218">
        <v>0.14180799999999999</v>
      </c>
      <c r="N23" s="218">
        <v>0.15329899999999999</v>
      </c>
      <c r="O23" s="218">
        <v>0.10416</v>
      </c>
      <c r="P23" s="224">
        <f t="shared" si="0"/>
        <v>30.83518779719099</v>
      </c>
      <c r="Q23" s="227">
        <f t="shared" si="1"/>
        <v>-312209.91209837014</v>
      </c>
      <c r="R23" s="227">
        <f t="shared" si="2"/>
        <v>-312400.6453842271</v>
      </c>
      <c r="S23" s="227">
        <f t="shared" si="3"/>
        <v>96.196574088230989</v>
      </c>
      <c r="T23" s="227">
        <f t="shared" si="4"/>
        <v>-312182.39906367363</v>
      </c>
      <c r="U23" s="227">
        <f t="shared" si="5"/>
        <v>96.196574088230989</v>
      </c>
      <c r="V23" s="227">
        <f t="shared" si="6"/>
        <v>-312249.11191836308</v>
      </c>
      <c r="W23" s="227">
        <f t="shared" si="7"/>
        <v>96.196574088230989</v>
      </c>
      <c r="X23" s="226">
        <f t="shared" si="8"/>
        <v>-312240.74728616735</v>
      </c>
      <c r="Y23" s="226">
        <f t="shared" si="9"/>
        <v>-312431.4805720243</v>
      </c>
      <c r="Z23" s="226">
        <f t="shared" si="10"/>
        <v>65.361386291039992</v>
      </c>
      <c r="AA23" s="226">
        <f t="shared" si="11"/>
        <v>-312213.23425147083</v>
      </c>
      <c r="AB23" s="226">
        <f t="shared" si="12"/>
        <v>65.361386291039992</v>
      </c>
      <c r="AC23" s="226">
        <f t="shared" si="13"/>
        <v>-312279.94710616028</v>
      </c>
      <c r="AD23" s="226">
        <f t="shared" si="14"/>
        <v>65.361386291039992</v>
      </c>
      <c r="AI23" s="90" t="s">
        <v>155</v>
      </c>
      <c r="AJ23" s="94">
        <f>(1/(AJ17*AJ14))</f>
        <v>2.430527370890104E+20</v>
      </c>
    </row>
    <row r="24" spans="1:36" x14ac:dyDescent="0.25">
      <c r="A24" s="180" t="s">
        <v>993</v>
      </c>
      <c r="B24" s="17">
        <v>-660.07360973000004</v>
      </c>
      <c r="C24" s="17">
        <v>-660.28253379</v>
      </c>
      <c r="D24" s="17"/>
      <c r="E24" s="17"/>
      <c r="F24" s="17">
        <v>-659.92428092399996</v>
      </c>
      <c r="G24" s="17"/>
      <c r="H24" s="17"/>
      <c r="I24" s="17">
        <v>-660.03239803099996</v>
      </c>
      <c r="J24" s="17"/>
      <c r="K24" s="17"/>
      <c r="L24" s="14"/>
      <c r="M24" s="17">
        <v>0.15078800000000001</v>
      </c>
      <c r="N24" s="17">
        <v>0.163605</v>
      </c>
      <c r="O24" s="17">
        <v>0.111084</v>
      </c>
      <c r="P24" s="185">
        <f t="shared" si="0"/>
        <v>32.957424821348994</v>
      </c>
      <c r="Q24" s="212">
        <f t="shared" si="1"/>
        <v>-414099.77665590984</v>
      </c>
      <c r="R24" s="212">
        <f t="shared" si="2"/>
        <v>-414230.87848186173</v>
      </c>
      <c r="S24" s="212">
        <f t="shared" si="3"/>
        <v>102.663686675745</v>
      </c>
      <c r="T24" s="212">
        <f t="shared" si="4"/>
        <v>-414006.07141615031</v>
      </c>
      <c r="U24" s="212">
        <f t="shared" si="5"/>
        <v>102.663686675745</v>
      </c>
      <c r="V24" s="212">
        <f t="shared" si="6"/>
        <v>-414073.9159245537</v>
      </c>
      <c r="W24" s="212">
        <f t="shared" si="7"/>
        <v>102.663686675745</v>
      </c>
      <c r="X24" s="211">
        <f t="shared" si="8"/>
        <v>-414132.73408073111</v>
      </c>
      <c r="Y24" s="211">
        <f t="shared" si="9"/>
        <v>-414263.83590668306</v>
      </c>
      <c r="Z24" s="211">
        <f t="shared" si="10"/>
        <v>69.706261854396004</v>
      </c>
      <c r="AA24" s="211">
        <f t="shared" si="11"/>
        <v>-414039.02884097164</v>
      </c>
      <c r="AB24" s="211">
        <f t="shared" si="12"/>
        <v>69.706261854396004</v>
      </c>
      <c r="AC24" s="211">
        <f t="shared" si="13"/>
        <v>-414106.87334937503</v>
      </c>
      <c r="AD24" s="211">
        <f t="shared" si="14"/>
        <v>69.706261854396004</v>
      </c>
      <c r="AI24" s="22" t="s">
        <v>146</v>
      </c>
      <c r="AJ24" s="95">
        <f>((AJ23*AJ18)/AJ22)/SIN((AJ23*AJ18)/AJ22)-(AJ23/(AJ22-AJ23))*EXP((AJ23-AJ22)*((AJ13*1000/AJ20)))</f>
        <v>68.95341010858462</v>
      </c>
    </row>
    <row r="25" spans="1:36" ht="15.75" thickBot="1" x14ac:dyDescent="0.3">
      <c r="A25" s="180" t="s">
        <v>994</v>
      </c>
      <c r="B25" s="17">
        <v>-660.03003121999996</v>
      </c>
      <c r="C25" s="17">
        <v>-660.24198136699999</v>
      </c>
      <c r="D25" s="17"/>
      <c r="E25" s="17"/>
      <c r="F25" s="17">
        <v>-659.87931227000001</v>
      </c>
      <c r="G25" s="17"/>
      <c r="H25" s="17"/>
      <c r="I25" s="17">
        <v>-659.97528621799995</v>
      </c>
      <c r="J25" s="17"/>
      <c r="K25" s="17"/>
      <c r="L25" s="14">
        <v>534.41999999999996</v>
      </c>
      <c r="M25" s="17" t="s">
        <v>995</v>
      </c>
      <c r="N25" s="17">
        <v>0.15868499999999999</v>
      </c>
      <c r="O25" s="17">
        <v>0.106049</v>
      </c>
      <c r="P25" s="185">
        <f t="shared" si="0"/>
        <v>33.029588410283992</v>
      </c>
      <c r="Q25" s="212">
        <f t="shared" si="1"/>
        <v>-414075.51807482733</v>
      </c>
      <c r="R25" s="212">
        <f t="shared" si="2"/>
        <v>-414208.5187990258</v>
      </c>
      <c r="S25" s="212">
        <f t="shared" si="3"/>
        <v>99.576340088264985</v>
      </c>
      <c r="T25" s="212">
        <f t="shared" si="4"/>
        <v>-413980.9405065446</v>
      </c>
      <c r="U25" s="212">
        <f t="shared" si="5"/>
        <v>99.576340088264985</v>
      </c>
      <c r="V25" s="212">
        <f t="shared" si="6"/>
        <v>-414041.16506769188</v>
      </c>
      <c r="W25" s="212">
        <f t="shared" si="7"/>
        <v>99.576340088264985</v>
      </c>
      <c r="X25" s="211">
        <f>(B25+O25)*627.509469</f>
        <v>-414108.54766323761</v>
      </c>
      <c r="Y25" s="211">
        <f>(C25+O25)*627.509469</f>
        <v>-414241.54838743608</v>
      </c>
      <c r="Z25" s="211">
        <f>(D25+O25)*627.509469</f>
        <v>66.546751677980993</v>
      </c>
      <c r="AA25" s="211">
        <f>(F25+O25)*627.509469</f>
        <v>-414013.97009495489</v>
      </c>
      <c r="AB25" s="211">
        <f>(G25+O25)*627.509469</f>
        <v>66.546751677980993</v>
      </c>
      <c r="AC25" s="211">
        <f>(I25+O25)*627.509469</f>
        <v>-414074.19465610216</v>
      </c>
      <c r="AD25" s="211">
        <f>(J25+O25)*627.509469</f>
        <v>66.546751677980993</v>
      </c>
      <c r="AI25" s="72" t="s">
        <v>156</v>
      </c>
      <c r="AJ25" s="181">
        <f>(AJ19*AJ14*LN(AJ24)/1000)/AJ9</f>
        <v>2.5069816057482504</v>
      </c>
    </row>
    <row r="26" spans="1:36" x14ac:dyDescent="0.25">
      <c r="AI26" s="22" t="s">
        <v>147</v>
      </c>
      <c r="AJ26" s="95">
        <f>(AJ23/(AJ23-AJ22))*(EXP((AJ23-AJ22)*((AJ13)*1000/AJ20))-1)</f>
        <v>68.970824331838031</v>
      </c>
    </row>
    <row r="27" spans="1:36" ht="15.75" thickBot="1" x14ac:dyDescent="0.3">
      <c r="AI27" s="72" t="s">
        <v>157</v>
      </c>
      <c r="AJ27" s="182">
        <f>(AJ19*AJ14*LN(AJ26)/1000)/AJ9</f>
        <v>2.5071311439588069</v>
      </c>
    </row>
    <row r="28" spans="1:36" ht="15.75" thickBot="1" x14ac:dyDescent="0.3">
      <c r="R28" s="6">
        <f>AA13-(AA11+AA12)</f>
        <v>-8.7747008485894185</v>
      </c>
      <c r="AI28" s="96" t="s">
        <v>158</v>
      </c>
      <c r="AJ28" s="97"/>
    </row>
    <row r="29" spans="1:36" x14ac:dyDescent="0.25">
      <c r="AD29" s="1">
        <f>AJ19*AJ14*LN(55/0.00001)/(1000*4.2)</f>
        <v>9.155877968349353</v>
      </c>
      <c r="AI29" s="98" t="s">
        <v>148</v>
      </c>
      <c r="AJ29" s="99">
        <f>1+(1/24)*(AJ16*AJ12*AJ21/(AJ14*AJ17))^2</f>
        <v>2.679556758831207</v>
      </c>
    </row>
    <row r="30" spans="1:36" x14ac:dyDescent="0.25">
      <c r="AI30" s="98" t="s">
        <v>159</v>
      </c>
      <c r="AJ30" s="99">
        <f>(AJ14*AJ17)/(AJ12*AJ16*AJ21)</f>
        <v>0.15750597617597256</v>
      </c>
    </row>
    <row r="31" spans="1:36" ht="15.75" thickBot="1" x14ac:dyDescent="0.3">
      <c r="AI31" s="98" t="s">
        <v>440</v>
      </c>
      <c r="AJ31" s="115">
        <f>(AJ19*AJ14*LN(AJ29)/1000)/AJ9</f>
        <v>0.58368965381922466</v>
      </c>
    </row>
    <row r="32" spans="1:36" x14ac:dyDescent="0.25">
      <c r="AI32" s="116" t="s">
        <v>160</v>
      </c>
      <c r="AJ32" s="26">
        <v>2</v>
      </c>
    </row>
    <row r="33" spans="14:36" ht="15.75" thickBot="1" x14ac:dyDescent="0.3">
      <c r="AI33" s="102" t="s">
        <v>161</v>
      </c>
      <c r="AJ33" s="104">
        <f>(AJ14*AJ19*LN(AJ32)*10^-3)/AJ9</f>
        <v>0.41047254740106837</v>
      </c>
    </row>
    <row r="35" spans="14:36" x14ac:dyDescent="0.25">
      <c r="T35" t="s">
        <v>986</v>
      </c>
    </row>
    <row r="36" spans="14:36" x14ac:dyDescent="0.25">
      <c r="V36" t="s">
        <v>983</v>
      </c>
      <c r="W36" t="s">
        <v>983</v>
      </c>
      <c r="X36" t="s">
        <v>983</v>
      </c>
      <c r="Y36" t="s">
        <v>982</v>
      </c>
      <c r="Z36" t="s">
        <v>982</v>
      </c>
      <c r="AA36" t="s">
        <v>982</v>
      </c>
    </row>
    <row r="37" spans="14:36" x14ac:dyDescent="0.25">
      <c r="V37" t="s">
        <v>979</v>
      </c>
      <c r="W37" t="s">
        <v>980</v>
      </c>
      <c r="X37" t="s">
        <v>981</v>
      </c>
    </row>
    <row r="38" spans="14:36" ht="15.75" thickBot="1" x14ac:dyDescent="0.3">
      <c r="U38" t="s">
        <v>978</v>
      </c>
      <c r="V38">
        <f>(Y10+2*Y14)-Y17</f>
        <v>-20.283417782979086</v>
      </c>
      <c r="W38">
        <f>(AA10+2*AA14)-AA17</f>
        <v>-12.626735495054163</v>
      </c>
      <c r="X38">
        <f>(AC10+2*AC14)-AC17</f>
        <v>-12.610012995195575</v>
      </c>
    </row>
    <row r="39" spans="14:36" x14ac:dyDescent="0.25">
      <c r="N39" s="22" t="s">
        <v>230</v>
      </c>
      <c r="O39" s="25" t="s">
        <v>239</v>
      </c>
      <c r="P39" s="25" t="s">
        <v>231</v>
      </c>
      <c r="Q39" s="25" t="s">
        <v>232</v>
      </c>
      <c r="R39" s="26" t="s">
        <v>233</v>
      </c>
      <c r="U39" t="s">
        <v>984</v>
      </c>
      <c r="V39" s="6">
        <f>Y18-Y17</f>
        <v>25.788770452723838</v>
      </c>
      <c r="W39" s="6">
        <f>AA18-AA17</f>
        <v>31.977277621161193</v>
      </c>
      <c r="X39" s="6">
        <f>AC18-AC17</f>
        <v>40.70589480176568</v>
      </c>
    </row>
    <row r="40" spans="14:36" x14ac:dyDescent="0.25">
      <c r="N40" s="72" t="s">
        <v>234</v>
      </c>
      <c r="O40" s="125">
        <f>AC20</f>
        <v>-312571.93320271809</v>
      </c>
      <c r="P40" s="125">
        <f>K20</f>
        <v>0.65049999999999997</v>
      </c>
      <c r="Q40" s="125">
        <f>(P40-P42)/(P41-P40)</f>
        <v>0.48203038162282325</v>
      </c>
      <c r="R40" s="80">
        <f>O40+Q40*(O40-O41)</f>
        <v>-312579.15502819559</v>
      </c>
      <c r="U40" t="s">
        <v>985</v>
      </c>
      <c r="V40" s="6">
        <f>V39-3.1</f>
        <v>22.688770452723837</v>
      </c>
      <c r="W40" s="6">
        <f>W39-3.7</f>
        <v>28.277277621161193</v>
      </c>
      <c r="X40" s="6">
        <f>X39-6.4</f>
        <v>34.305894801765682</v>
      </c>
    </row>
    <row r="41" spans="14:36" x14ac:dyDescent="0.25">
      <c r="N41" s="72" t="s">
        <v>235</v>
      </c>
      <c r="O41" s="125">
        <f>AD20</f>
        <v>-312556.95110666606</v>
      </c>
      <c r="P41" s="125">
        <v>2</v>
      </c>
      <c r="Q41" s="125"/>
      <c r="R41" s="73" t="s">
        <v>236</v>
      </c>
      <c r="V41" s="6">
        <f>V40-V38</f>
        <v>42.972188235702923</v>
      </c>
      <c r="W41" s="6">
        <f>W40-W38</f>
        <v>40.904013116215353</v>
      </c>
      <c r="X41" s="6">
        <f>X40-X38</f>
        <v>46.915907796961257</v>
      </c>
    </row>
    <row r="42" spans="14:36" ht="15.75" thickBot="1" x14ac:dyDescent="0.3">
      <c r="N42" s="23" t="s">
        <v>237</v>
      </c>
      <c r="O42" s="126"/>
      <c r="P42" s="126">
        <v>0</v>
      </c>
      <c r="Q42" s="126"/>
      <c r="R42" s="104">
        <f>(O40-R40)</f>
        <v>7.2218254774925299</v>
      </c>
      <c r="T42" t="s">
        <v>987</v>
      </c>
    </row>
    <row r="43" spans="14:36" x14ac:dyDescent="0.25">
      <c r="V43" t="s">
        <v>983</v>
      </c>
      <c r="W43" t="s">
        <v>983</v>
      </c>
      <c r="X43" t="s">
        <v>983</v>
      </c>
      <c r="Y43" t="s">
        <v>982</v>
      </c>
      <c r="Z43" t="s">
        <v>982</v>
      </c>
      <c r="AA43" t="s">
        <v>982</v>
      </c>
    </row>
    <row r="44" spans="14:36" x14ac:dyDescent="0.25">
      <c r="V44" t="s">
        <v>979</v>
      </c>
      <c r="W44" t="s">
        <v>980</v>
      </c>
      <c r="X44" t="s">
        <v>981</v>
      </c>
      <c r="Y44" t="s">
        <v>979</v>
      </c>
      <c r="Z44" t="s">
        <v>980</v>
      </c>
      <c r="AA44" t="s">
        <v>981</v>
      </c>
    </row>
    <row r="45" spans="14:36" x14ac:dyDescent="0.25">
      <c r="U45" t="s">
        <v>978</v>
      </c>
      <c r="V45" s="6">
        <f>(Y10+Y14)-Y19</f>
        <v>-11.086754467047285</v>
      </c>
      <c r="W45" s="6">
        <f>(AA10+AA14)-AA19</f>
        <v>-8.4353041946305893</v>
      </c>
      <c r="X45" s="6">
        <f>(AC10+AC14)-AC19</f>
        <v>-7.6170218069455586</v>
      </c>
      <c r="Y45" s="6">
        <f>V45-2.19</f>
        <v>-13.276754467047285</v>
      </c>
      <c r="Z45" s="6">
        <f>W45-2.19</f>
        <v>-10.625304194630589</v>
      </c>
      <c r="AA45" s="6">
        <f>X45-2.19</f>
        <v>-9.8070218069455581</v>
      </c>
    </row>
    <row r="46" spans="14:36" x14ac:dyDescent="0.25">
      <c r="U46" t="s">
        <v>984</v>
      </c>
      <c r="V46" s="6">
        <f>Y20-Y19</f>
        <v>21.419181683915667</v>
      </c>
      <c r="W46" s="6">
        <f>AA20-AA19</f>
        <v>28.329295876261313</v>
      </c>
      <c r="X46" s="6">
        <f>AC20-AC19</f>
        <v>37.905235327896662</v>
      </c>
      <c r="Y46" s="6"/>
      <c r="Z46" s="6"/>
      <c r="AA46" s="6"/>
    </row>
    <row r="47" spans="14:36" x14ac:dyDescent="0.25">
      <c r="U47" t="s">
        <v>985</v>
      </c>
      <c r="V47" s="6">
        <f>V46-4.5</f>
        <v>16.919181683915667</v>
      </c>
      <c r="W47" s="6">
        <f>W46-5.3</f>
        <v>23.029295876261312</v>
      </c>
      <c r="X47" s="6">
        <f>X46-7.2</f>
        <v>30.705235327896663</v>
      </c>
      <c r="Y47" s="6"/>
      <c r="Z47" s="6"/>
      <c r="AA47" s="6"/>
    </row>
    <row r="48" spans="14:36" x14ac:dyDescent="0.25">
      <c r="U48" t="s">
        <v>988</v>
      </c>
      <c r="V48" s="6">
        <f>V47-2.08</f>
        <v>14.839181683915667</v>
      </c>
      <c r="W48" s="6">
        <f>W47-2.29</f>
        <v>20.739295876261313</v>
      </c>
      <c r="X48" s="6">
        <f>X47-2.51</f>
        <v>28.195235327896661</v>
      </c>
      <c r="Y48" s="6"/>
      <c r="Z48" s="6"/>
      <c r="AA48" s="6"/>
    </row>
    <row r="49" spans="20:27" x14ac:dyDescent="0.25">
      <c r="V49" s="6">
        <f>V48-V45</f>
        <v>25.925936150962954</v>
      </c>
      <c r="W49" s="6">
        <f>W48-W45</f>
        <v>29.174600070891902</v>
      </c>
      <c r="X49" s="6">
        <f>X48-X45</f>
        <v>35.81225713484222</v>
      </c>
      <c r="Y49" s="6">
        <f>V48-Y45</f>
        <v>28.115936150962952</v>
      </c>
      <c r="Z49" s="6">
        <f>W48-Z45</f>
        <v>31.364600070891903</v>
      </c>
      <c r="AA49" s="6">
        <f>X48-AA45</f>
        <v>38.002257134842218</v>
      </c>
    </row>
    <row r="50" spans="20:27" x14ac:dyDescent="0.25">
      <c r="T50" t="s">
        <v>991</v>
      </c>
      <c r="Y50" s="6"/>
      <c r="Z50" s="6"/>
      <c r="AA50" s="6"/>
    </row>
    <row r="51" spans="20:27" x14ac:dyDescent="0.25">
      <c r="V51" t="s">
        <v>983</v>
      </c>
      <c r="W51" t="s">
        <v>983</v>
      </c>
      <c r="X51" t="s">
        <v>983</v>
      </c>
      <c r="Y51" t="s">
        <v>982</v>
      </c>
      <c r="Z51" t="s">
        <v>982</v>
      </c>
      <c r="AA51" t="s">
        <v>982</v>
      </c>
    </row>
    <row r="52" spans="20:27" x14ac:dyDescent="0.25">
      <c r="V52" t="s">
        <v>979</v>
      </c>
      <c r="W52" t="s">
        <v>980</v>
      </c>
      <c r="X52" t="s">
        <v>981</v>
      </c>
      <c r="Y52" t="s">
        <v>979</v>
      </c>
      <c r="Z52" t="s">
        <v>980</v>
      </c>
      <c r="AA52" t="s">
        <v>981</v>
      </c>
    </row>
    <row r="53" spans="20:27" x14ac:dyDescent="0.25">
      <c r="U53" t="s">
        <v>978</v>
      </c>
      <c r="V53" s="6">
        <f>(Y11+Y14)-Y21</f>
        <v>-11.419853435945697</v>
      </c>
      <c r="W53" s="6">
        <f>(AA11+AA14)-AA21</f>
        <v>-8.3836043169721961</v>
      </c>
      <c r="X53" s="6">
        <f>(AC11+AC14)-AC21</f>
        <v>-8.1263047268730588</v>
      </c>
    </row>
    <row r="54" spans="20:27" x14ac:dyDescent="0.25">
      <c r="U54" t="s">
        <v>992</v>
      </c>
      <c r="V54" s="6">
        <f>Y22-Y21</f>
        <v>18.3339447833132</v>
      </c>
      <c r="W54" s="6">
        <f>AA22-AA21</f>
        <v>20.796092391596176</v>
      </c>
      <c r="X54" s="6">
        <f>AC22-AC21</f>
        <v>27.798830119136255</v>
      </c>
    </row>
    <row r="55" spans="20:27" x14ac:dyDescent="0.25">
      <c r="V55" s="6">
        <f>V54-V53</f>
        <v>29.753798219258897</v>
      </c>
      <c r="W55" s="6">
        <f>W54-W53</f>
        <v>29.179696708568372</v>
      </c>
      <c r="X55" s="6">
        <f>X54-X53</f>
        <v>35.925134846009314</v>
      </c>
    </row>
    <row r="57" spans="20:27" x14ac:dyDescent="0.25">
      <c r="T57" t="s">
        <v>996</v>
      </c>
    </row>
    <row r="58" spans="20:27" x14ac:dyDescent="0.25">
      <c r="V58" s="213" t="s">
        <v>983</v>
      </c>
      <c r="W58" s="213" t="s">
        <v>983</v>
      </c>
      <c r="X58" s="213" t="s">
        <v>983</v>
      </c>
      <c r="Y58" s="213" t="s">
        <v>982</v>
      </c>
      <c r="Z58" s="213" t="s">
        <v>982</v>
      </c>
      <c r="AA58" s="213" t="s">
        <v>982</v>
      </c>
    </row>
    <row r="59" spans="20:27" x14ac:dyDescent="0.25">
      <c r="V59" s="213" t="s">
        <v>979</v>
      </c>
      <c r="W59" s="213" t="s">
        <v>980</v>
      </c>
      <c r="X59" s="213" t="s">
        <v>981</v>
      </c>
      <c r="Y59" s="213" t="s">
        <v>979</v>
      </c>
      <c r="Z59" s="213" t="s">
        <v>980</v>
      </c>
      <c r="AA59" s="213" t="s">
        <v>981</v>
      </c>
    </row>
    <row r="60" spans="20:27" x14ac:dyDescent="0.25">
      <c r="U60" s="213" t="s">
        <v>978</v>
      </c>
      <c r="V60" s="215">
        <f>(Y13+Y14)-Y24</f>
        <v>-2.2367311468115076</v>
      </c>
      <c r="W60" s="215">
        <f>(AA13+AA14)-AA24</f>
        <v>-0.79274275235366076</v>
      </c>
      <c r="X60" s="215">
        <f>(AC13+AC14)-AC24</f>
        <v>2.1409123334451579</v>
      </c>
    </row>
    <row r="61" spans="20:27" x14ac:dyDescent="0.25">
      <c r="U61" s="213" t="s">
        <v>992</v>
      </c>
      <c r="V61" s="215">
        <f>Y25-Y24</f>
        <v>22.287519246980082</v>
      </c>
      <c r="W61" s="6">
        <f>AA25-AA24</f>
        <v>25.05874601675896</v>
      </c>
      <c r="X61" s="6">
        <f>AC25-AC24</f>
        <v>32.678693272871897</v>
      </c>
    </row>
    <row r="62" spans="20:27" x14ac:dyDescent="0.25">
      <c r="V62" s="6">
        <f>V61-V60</f>
        <v>24.52425039379159</v>
      </c>
      <c r="W62" s="215">
        <f>W61-W60</f>
        <v>25.851488769112621</v>
      </c>
      <c r="X62" s="215">
        <f>X61-X60</f>
        <v>30.537780939426739</v>
      </c>
    </row>
    <row r="65" spans="1:30" x14ac:dyDescent="0.2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 t="s">
        <v>898</v>
      </c>
      <c r="N65" s="213" t="s">
        <v>897</v>
      </c>
      <c r="O65" s="213" t="s">
        <v>899</v>
      </c>
      <c r="P65" s="213" t="s">
        <v>901</v>
      </c>
      <c r="Q65" s="220" t="s">
        <v>937</v>
      </c>
      <c r="R65" s="220" t="s">
        <v>936</v>
      </c>
      <c r="S65" s="220" t="s">
        <v>938</v>
      </c>
      <c r="T65" s="220" t="s">
        <v>939</v>
      </c>
      <c r="U65" s="220" t="s">
        <v>940</v>
      </c>
      <c r="V65" s="220" t="s">
        <v>941</v>
      </c>
      <c r="W65" s="220" t="s">
        <v>942</v>
      </c>
      <c r="X65" s="221" t="s">
        <v>971</v>
      </c>
      <c r="Y65" s="221" t="s">
        <v>972</v>
      </c>
      <c r="Z65" s="221" t="s">
        <v>973</v>
      </c>
      <c r="AA65" s="221" t="s">
        <v>974</v>
      </c>
      <c r="AB65" s="221" t="s">
        <v>975</v>
      </c>
      <c r="AC65" s="221" t="s">
        <v>976</v>
      </c>
      <c r="AD65" s="221" t="s">
        <v>977</v>
      </c>
    </row>
    <row r="66" spans="1:30" ht="30" x14ac:dyDescent="0.25">
      <c r="A66" s="222" t="s">
        <v>481</v>
      </c>
      <c r="B66" s="213" t="s">
        <v>887</v>
      </c>
      <c r="C66" s="213" t="s">
        <v>927</v>
      </c>
      <c r="D66" s="213" t="s">
        <v>928</v>
      </c>
      <c r="E66" s="225" t="s">
        <v>931</v>
      </c>
      <c r="F66" s="213" t="s">
        <v>929</v>
      </c>
      <c r="G66" s="213" t="s">
        <v>930</v>
      </c>
      <c r="H66" s="225" t="s">
        <v>932</v>
      </c>
      <c r="I66" s="213" t="s">
        <v>933</v>
      </c>
      <c r="J66" s="213" t="s">
        <v>934</v>
      </c>
      <c r="K66" s="225" t="s">
        <v>935</v>
      </c>
      <c r="L66" s="213" t="s">
        <v>945</v>
      </c>
      <c r="M66" s="213" t="s">
        <v>886</v>
      </c>
      <c r="N66" s="213" t="s">
        <v>886</v>
      </c>
      <c r="O66" s="213" t="s">
        <v>886</v>
      </c>
      <c r="P66" s="213" t="s">
        <v>886</v>
      </c>
      <c r="Q66" s="220" t="s">
        <v>902</v>
      </c>
      <c r="R66" s="220" t="s">
        <v>902</v>
      </c>
      <c r="S66" s="220" t="s">
        <v>902</v>
      </c>
      <c r="T66" s="220" t="s">
        <v>902</v>
      </c>
      <c r="U66" s="220" t="s">
        <v>902</v>
      </c>
      <c r="V66" s="220" t="s">
        <v>902</v>
      </c>
      <c r="W66" s="220" t="s">
        <v>902</v>
      </c>
      <c r="X66" s="221" t="s">
        <v>902</v>
      </c>
      <c r="Y66" s="221" t="s">
        <v>902</v>
      </c>
      <c r="Z66" s="221" t="s">
        <v>902</v>
      </c>
      <c r="AA66" s="221" t="s">
        <v>902</v>
      </c>
      <c r="AB66" s="221" t="s">
        <v>902</v>
      </c>
      <c r="AC66" s="221" t="s">
        <v>902</v>
      </c>
      <c r="AD66" s="221" t="s">
        <v>902</v>
      </c>
    </row>
    <row r="67" spans="1:30" x14ac:dyDescent="0.25">
      <c r="A67" s="217" t="s">
        <v>439</v>
      </c>
      <c r="B67" s="218">
        <v>-76.408953909999994</v>
      </c>
      <c r="C67" s="218">
        <v>-76.472356139699997</v>
      </c>
      <c r="D67" s="218"/>
      <c r="E67" s="218"/>
      <c r="F67" s="218">
        <v>-76.432380719500003</v>
      </c>
      <c r="G67" s="218"/>
      <c r="H67" s="218"/>
      <c r="I67" s="218">
        <v>-76.435119310499999</v>
      </c>
      <c r="J67" s="218"/>
      <c r="K67" s="218"/>
      <c r="L67" s="218"/>
      <c r="M67" s="217">
        <v>2.1163000000000001E-2</v>
      </c>
      <c r="N67" s="217">
        <v>2.4941000000000001E-2</v>
      </c>
      <c r="O67" s="217">
        <v>2.8410000000000002E-3</v>
      </c>
      <c r="P67" s="224">
        <f t="shared" ref="P67:P72" si="15">(N67-O67)*627.509469</f>
        <v>13.8679592649</v>
      </c>
      <c r="Q67" s="227">
        <f t="shared" ref="Q67:Q72" si="16">(B67+N67)*627.509469</f>
        <v>-47931.691381243239</v>
      </c>
      <c r="R67" s="227">
        <f t="shared" ref="R67:R72" si="17">(C67+N67)*627.509469</f>
        <v>-47971.476880735703</v>
      </c>
      <c r="S67" s="227">
        <f t="shared" ref="S67:S72" si="18">(D67+N67)*627.509469</f>
        <v>15.650713666329001</v>
      </c>
      <c r="T67" s="227">
        <f t="shared" ref="T67:T72" si="19">(F67+N67)*627.509469</f>
        <v>-47946.391926032957</v>
      </c>
      <c r="U67" s="227">
        <f t="shared" ref="U67:U72" si="20">(G67+N67)*627.509469</f>
        <v>15.650713666329001</v>
      </c>
      <c r="V67" s="227">
        <f t="shared" ref="V67:V72" si="21">(I67+N67)*627.509469</f>
        <v>-47948.110417817174</v>
      </c>
      <c r="W67" s="227">
        <f t="shared" ref="W67:W72" si="22">(J67+N67)*627.509469</f>
        <v>15.650713666329001</v>
      </c>
      <c r="X67" s="226">
        <f t="shared" ref="X67:X72" si="23">(B67+O67)*627.509469</f>
        <v>-47945.559340508138</v>
      </c>
      <c r="Y67" s="226">
        <f t="shared" ref="Y67:Y72" si="24">(C67+O67)*627.509469</f>
        <v>-47985.344840000602</v>
      </c>
      <c r="Z67" s="226">
        <f t="shared" ref="Z67:Z72" si="25">(D67+O67)*627.509469</f>
        <v>1.782754401429</v>
      </c>
      <c r="AA67" s="226">
        <f t="shared" ref="AA67:AA72" si="26">(F67+O67)*627.509469</f>
        <v>-47960.259885297848</v>
      </c>
      <c r="AB67" s="226">
        <f t="shared" ref="AB67:AB72" si="27">(G67+O67)*627.509469</f>
        <v>1.782754401429</v>
      </c>
      <c r="AC67" s="226">
        <f t="shared" ref="AC67:AC72" si="28">(I67+O67)*627.509469</f>
        <v>-47961.978377082065</v>
      </c>
      <c r="AD67" s="226">
        <f t="shared" ref="AD67:AD72" si="29">(J67+O67)*627.509469</f>
        <v>1.782754401429</v>
      </c>
    </row>
    <row r="68" spans="1:30" x14ac:dyDescent="0.25">
      <c r="A68" s="217" t="s">
        <v>19</v>
      </c>
      <c r="B68" s="218">
        <v>-115.74026734</v>
      </c>
      <c r="C68" s="218">
        <v>-461.45207041200001</v>
      </c>
      <c r="D68" s="218"/>
      <c r="E68" s="218"/>
      <c r="F68" s="218">
        <v>-461.12392720700001</v>
      </c>
      <c r="G68" s="218"/>
      <c r="H68" s="218"/>
      <c r="I68" s="218">
        <v>-461.25469667900001</v>
      </c>
      <c r="J68" s="218"/>
      <c r="K68" s="218"/>
      <c r="L68" s="218"/>
      <c r="M68" s="217">
        <v>0.15684000000000001</v>
      </c>
      <c r="N68" s="217">
        <v>0.167791</v>
      </c>
      <c r="O68" s="217">
        <v>0.12089999999999999</v>
      </c>
      <c r="P68" s="224">
        <f t="shared" si="15"/>
        <v>29.424546510879001</v>
      </c>
      <c r="Q68" s="227">
        <f t="shared" si="16"/>
        <v>-72522.823259128461</v>
      </c>
      <c r="R68" s="227">
        <f t="shared" si="17"/>
        <v>-289460.25323187176</v>
      </c>
      <c r="S68" s="227">
        <f t="shared" si="18"/>
        <v>105.290441312979</v>
      </c>
      <c r="T68" s="227">
        <f t="shared" si="19"/>
        <v>-289254.34026354621</v>
      </c>
      <c r="U68" s="227">
        <f t="shared" si="20"/>
        <v>105.290441312979</v>
      </c>
      <c r="V68" s="227">
        <f t="shared" si="21"/>
        <v>-289336.39934548235</v>
      </c>
      <c r="W68" s="227">
        <f t="shared" si="22"/>
        <v>105.290441312979</v>
      </c>
      <c r="X68" s="226">
        <f t="shared" si="23"/>
        <v>-72552.24780563933</v>
      </c>
      <c r="Y68" s="226">
        <f t="shared" si="24"/>
        <v>-289489.67777838261</v>
      </c>
      <c r="Z68" s="226">
        <f t="shared" si="25"/>
        <v>75.865894802099987</v>
      </c>
      <c r="AA68" s="226">
        <f t="shared" si="26"/>
        <v>-289283.76481005712</v>
      </c>
      <c r="AB68" s="226">
        <f t="shared" si="27"/>
        <v>75.865894802099987</v>
      </c>
      <c r="AC68" s="226">
        <f t="shared" si="28"/>
        <v>-289365.82389199326</v>
      </c>
      <c r="AD68" s="226">
        <f t="shared" si="29"/>
        <v>75.865894802099987</v>
      </c>
    </row>
    <row r="69" spans="1:30" x14ac:dyDescent="0.25">
      <c r="A69" s="217" t="s">
        <v>1015</v>
      </c>
      <c r="B69" s="218">
        <v>-545.18101979999994</v>
      </c>
      <c r="C69" s="218">
        <v>-545.37174959200001</v>
      </c>
      <c r="D69" s="218"/>
      <c r="E69" s="218"/>
      <c r="F69" s="218">
        <v>-545.19584162000001</v>
      </c>
      <c r="G69" s="218"/>
      <c r="H69" s="218"/>
      <c r="I69" s="218">
        <v>-545.21759496300001</v>
      </c>
      <c r="J69" s="218"/>
      <c r="K69" s="218"/>
      <c r="L69" s="218"/>
      <c r="M69" s="217">
        <v>4.4889999999999999E-2</v>
      </c>
      <c r="N69" s="217">
        <v>5.2801000000000001E-2</v>
      </c>
      <c r="O69" s="217">
        <v>1.4599000000000001E-2</v>
      </c>
      <c r="P69" s="224">
        <f t="shared" si="15"/>
        <v>23.972116734737998</v>
      </c>
      <c r="Q69" s="227">
        <f t="shared" si="16"/>
        <v>-342073.11911610374</v>
      </c>
      <c r="R69" s="227">
        <f t="shared" si="17"/>
        <v>-342192.80386660417</v>
      </c>
      <c r="S69" s="227">
        <f t="shared" si="18"/>
        <v>33.133127472668995</v>
      </c>
      <c r="T69" s="227">
        <f t="shared" si="19"/>
        <v>-342082.41994850157</v>
      </c>
      <c r="U69" s="227">
        <f t="shared" si="20"/>
        <v>33.133127472668995</v>
      </c>
      <c r="V69" s="227">
        <f t="shared" si="21"/>
        <v>-342096.0703772165</v>
      </c>
      <c r="W69" s="227">
        <f t="shared" si="22"/>
        <v>33.133127472668995</v>
      </c>
      <c r="X69" s="226">
        <f t="shared" si="23"/>
        <v>-342097.09123283852</v>
      </c>
      <c r="Y69" s="226">
        <f t="shared" si="24"/>
        <v>-342216.77598333894</v>
      </c>
      <c r="Z69" s="226">
        <f t="shared" si="25"/>
        <v>9.1610107379310008</v>
      </c>
      <c r="AA69" s="226">
        <f t="shared" si="26"/>
        <v>-342106.39206523634</v>
      </c>
      <c r="AB69" s="226">
        <f t="shared" si="27"/>
        <v>9.1610107379310008</v>
      </c>
      <c r="AC69" s="226">
        <f t="shared" si="28"/>
        <v>-342120.04249395127</v>
      </c>
      <c r="AD69" s="226">
        <f t="shared" si="29"/>
        <v>9.1610107379310008</v>
      </c>
    </row>
    <row r="70" spans="1:30" x14ac:dyDescent="0.25">
      <c r="A70" s="217" t="s">
        <v>1016</v>
      </c>
      <c r="B70" s="218">
        <v>-621.62270550000005</v>
      </c>
      <c r="C70" s="218">
        <v>-621.85262525099995</v>
      </c>
      <c r="D70" s="218"/>
      <c r="E70" s="218"/>
      <c r="F70" s="218">
        <v>-621.63915903199995</v>
      </c>
      <c r="G70" s="218"/>
      <c r="H70" s="218"/>
      <c r="I70" s="218">
        <v>-621.66507169199997</v>
      </c>
      <c r="J70" s="218"/>
      <c r="K70" s="218"/>
      <c r="L70" s="218"/>
      <c r="M70" s="217">
        <v>7.1233000000000005E-2</v>
      </c>
      <c r="N70" s="217">
        <v>8.1183000000000005E-2</v>
      </c>
      <c r="O70" s="217">
        <v>3.8233999999999997E-2</v>
      </c>
      <c r="P70" s="224">
        <f t="shared" si="15"/>
        <v>26.950904184081004</v>
      </c>
      <c r="Q70" s="227">
        <f t="shared" si="16"/>
        <v>-390023.19074542657</v>
      </c>
      <c r="R70" s="227">
        <f t="shared" si="17"/>
        <v>-390167.46756628912</v>
      </c>
      <c r="S70" s="227">
        <f t="shared" si="18"/>
        <v>50.943101221827</v>
      </c>
      <c r="T70" s="227">
        <f t="shared" si="19"/>
        <v>-390033.51549255499</v>
      </c>
      <c r="U70" s="227">
        <f t="shared" si="20"/>
        <v>50.943101221827</v>
      </c>
      <c r="V70" s="227">
        <f t="shared" si="21"/>
        <v>-390049.77593207196</v>
      </c>
      <c r="W70" s="227">
        <f t="shared" si="22"/>
        <v>50.943101221827</v>
      </c>
      <c r="X70" s="226">
        <f t="shared" si="23"/>
        <v>-390050.14164961065</v>
      </c>
      <c r="Y70" s="226">
        <f t="shared" si="24"/>
        <v>-390194.4184704732</v>
      </c>
      <c r="Z70" s="226">
        <f t="shared" si="25"/>
        <v>23.992197037745996</v>
      </c>
      <c r="AA70" s="226">
        <f t="shared" si="26"/>
        <v>-390060.46639673907</v>
      </c>
      <c r="AB70" s="226">
        <f t="shared" si="27"/>
        <v>23.992197037745996</v>
      </c>
      <c r="AC70" s="226">
        <f t="shared" si="28"/>
        <v>-390076.7268362561</v>
      </c>
      <c r="AD70" s="226">
        <f t="shared" si="29"/>
        <v>23.992197037745996</v>
      </c>
    </row>
    <row r="71" spans="1:30" x14ac:dyDescent="0.25">
      <c r="A71" s="217" t="s">
        <v>1023</v>
      </c>
      <c r="B71" s="218">
        <v>-660.95047718000001</v>
      </c>
      <c r="C71" s="218">
        <v>-1006.83137966</v>
      </c>
      <c r="D71" s="218"/>
      <c r="E71" s="218"/>
      <c r="F71" s="218">
        <v>-1006.33254694</v>
      </c>
      <c r="G71" s="218"/>
      <c r="H71" s="218"/>
      <c r="I71" s="218">
        <v>-1006.48653859</v>
      </c>
      <c r="J71" s="218"/>
      <c r="K71" s="218"/>
      <c r="L71" s="218"/>
      <c r="M71" s="217">
        <v>0.204625</v>
      </c>
      <c r="N71" s="217">
        <v>0.22323699999999999</v>
      </c>
      <c r="O71" s="217">
        <v>0.15733900000000001</v>
      </c>
      <c r="P71" s="224">
        <f t="shared" si="15"/>
        <v>41.351618988161988</v>
      </c>
      <c r="Q71" s="227">
        <f t="shared" si="16"/>
        <v>-414612.59963918722</v>
      </c>
      <c r="R71" s="227">
        <f t="shared" si="17"/>
        <v>-631656.1410916528</v>
      </c>
      <c r="S71" s="227">
        <f t="shared" si="18"/>
        <v>140.08333133115298</v>
      </c>
      <c r="T71" s="227">
        <f t="shared" si="19"/>
        <v>-631343.1188364058</v>
      </c>
      <c r="U71" s="227">
        <f t="shared" si="20"/>
        <v>140.08333133115298</v>
      </c>
      <c r="V71" s="227">
        <f t="shared" si="21"/>
        <v>-631439.75005492766</v>
      </c>
      <c r="W71" s="227">
        <f t="shared" si="22"/>
        <v>140.08333133115298</v>
      </c>
      <c r="X71" s="226">
        <f t="shared" si="23"/>
        <v>-414653.95125817542</v>
      </c>
      <c r="Y71" s="226">
        <f t="shared" si="24"/>
        <v>-631697.492710641</v>
      </c>
      <c r="Z71" s="226">
        <f t="shared" si="25"/>
        <v>98.731712342991003</v>
      </c>
      <c r="AA71" s="226">
        <f t="shared" si="26"/>
        <v>-631384.47045539401</v>
      </c>
      <c r="AB71" s="226">
        <f t="shared" si="27"/>
        <v>98.731712342991003</v>
      </c>
      <c r="AC71" s="226">
        <f t="shared" si="28"/>
        <v>-631481.10167391587</v>
      </c>
      <c r="AD71" s="226">
        <f t="shared" si="29"/>
        <v>98.731712342991003</v>
      </c>
    </row>
    <row r="72" spans="1:30" x14ac:dyDescent="0.25">
      <c r="A72" s="217" t="s">
        <v>1024</v>
      </c>
      <c r="B72" s="218">
        <v>-660.94731324999998</v>
      </c>
      <c r="C72" s="218">
        <v>-1006.83277403</v>
      </c>
      <c r="D72" s="218"/>
      <c r="E72" s="218"/>
      <c r="F72" s="218">
        <v>-1006.33196445</v>
      </c>
      <c r="G72" s="218"/>
      <c r="H72" s="218"/>
      <c r="I72" s="218">
        <v>-1006.48513432</v>
      </c>
      <c r="J72" s="218"/>
      <c r="K72" s="218"/>
      <c r="L72" s="218"/>
      <c r="M72" s="217">
        <v>0.20380400000000001</v>
      </c>
      <c r="N72" s="217">
        <v>0.222943</v>
      </c>
      <c r="O72" s="217">
        <v>0.15572900000000001</v>
      </c>
      <c r="P72" s="224">
        <f t="shared" si="15"/>
        <v>42.177421449365994</v>
      </c>
      <c r="Q72" s="227">
        <f t="shared" si="16"/>
        <v>-414610.79873093689</v>
      </c>
      <c r="R72" s="227">
        <f t="shared" si="17"/>
        <v>-631657.20055981504</v>
      </c>
      <c r="S72" s="227">
        <f t="shared" si="18"/>
        <v>139.89884354726701</v>
      </c>
      <c r="T72" s="227">
        <f t="shared" si="19"/>
        <v>-631342.93780619907</v>
      </c>
      <c r="U72" s="227">
        <f t="shared" si="20"/>
        <v>139.89884354726701</v>
      </c>
      <c r="V72" s="227">
        <f t="shared" si="21"/>
        <v>-631439.05334998958</v>
      </c>
      <c r="W72" s="227">
        <f t="shared" si="22"/>
        <v>139.89884354726701</v>
      </c>
      <c r="X72" s="226">
        <f t="shared" si="23"/>
        <v>-414652.97615238628</v>
      </c>
      <c r="Y72" s="226">
        <f t="shared" si="24"/>
        <v>-631699.37798126438</v>
      </c>
      <c r="Z72" s="226">
        <f t="shared" si="25"/>
        <v>97.721422097900998</v>
      </c>
      <c r="AA72" s="226">
        <f t="shared" si="26"/>
        <v>-631385.11522764852</v>
      </c>
      <c r="AB72" s="226">
        <f t="shared" si="27"/>
        <v>97.721422097900998</v>
      </c>
      <c r="AC72" s="226">
        <f t="shared" si="28"/>
        <v>-631481.23077143903</v>
      </c>
      <c r="AD72" s="226">
        <f t="shared" si="29"/>
        <v>97.721422097900998</v>
      </c>
    </row>
    <row r="73" spans="1:30" x14ac:dyDescent="0.25">
      <c r="A73" s="217" t="s">
        <v>1018</v>
      </c>
      <c r="B73" s="218">
        <v>-660.91689409000003</v>
      </c>
      <c r="C73" s="218">
        <v>-1006.81398754</v>
      </c>
      <c r="D73" s="218"/>
      <c r="E73" s="218"/>
      <c r="F73" s="218">
        <v>-1006.3103513</v>
      </c>
      <c r="G73" s="218"/>
      <c r="H73" s="218"/>
      <c r="I73" s="218">
        <v>-1006.45249528</v>
      </c>
      <c r="J73" s="218"/>
      <c r="K73" s="218"/>
      <c r="L73" s="218"/>
      <c r="M73" s="217">
        <v>0.200681</v>
      </c>
      <c r="N73" s="217">
        <v>0.21912100000000001</v>
      </c>
      <c r="O73" s="217">
        <v>0.15351600000000001</v>
      </c>
      <c r="P73" s="224">
        <f t="shared" ref="P73:P79" si="30">(N73-O73)*627.509469</f>
        <v>41.167758713744995</v>
      </c>
      <c r="Q73" s="227">
        <f t="shared" ref="Q73:Q79" si="31">(B73+N73)*627.509469</f>
        <v>-414594.1087611884</v>
      </c>
      <c r="R73" s="227">
        <f t="shared" ref="R73:R79" si="32">(C73+N73)*627.509469</f>
        <v>-631647.81020064128</v>
      </c>
      <c r="S73" s="227">
        <f t="shared" ref="S73:S79" si="33">(D73+N73)*627.509469</f>
        <v>137.500502356749</v>
      </c>
      <c r="T73" s="227">
        <f t="shared" ref="T73:T79" si="34">(F73+N73)*627.509469</f>
        <v>-631331.77369110973</v>
      </c>
      <c r="U73" s="227">
        <f t="shared" ref="U73:U79" si="35">(G73+N73)*627.509469</f>
        <v>137.500502356749</v>
      </c>
      <c r="V73" s="227">
        <f t="shared" ref="V73:V79" si="36">(I73+N73)*627.509469</f>
        <v>-631420.97038452106</v>
      </c>
      <c r="W73" s="227">
        <f t="shared" ref="W73:W79" si="37">(J73+N73)*627.509469</f>
        <v>137.500502356749</v>
      </c>
      <c r="X73" s="226">
        <f t="shared" ref="X73:X79" si="38">(B73+O73)*627.509469</f>
        <v>-414635.27651990217</v>
      </c>
      <c r="Y73" s="226">
        <f t="shared" ref="Y73:Y79" si="39">(C73+O73)*627.509469</f>
        <v>-631688.97795935499</v>
      </c>
      <c r="Z73" s="226">
        <f t="shared" ref="Z73:Z79" si="40">(D73+O73)*627.509469</f>
        <v>96.332743643004008</v>
      </c>
      <c r="AA73" s="226">
        <f t="shared" ref="AA73:AA79" si="41">(F73+O73)*627.509469</f>
        <v>-631372.94144982344</v>
      </c>
      <c r="AB73" s="226">
        <f t="shared" ref="AB73:AB79" si="42">(G73+O73)*627.509469</f>
        <v>96.332743643004008</v>
      </c>
      <c r="AC73" s="226">
        <f t="shared" ref="AC73:AC79" si="43">(I73+O73)*627.509469</f>
        <v>-631462.13814323477</v>
      </c>
      <c r="AD73" s="226">
        <f t="shared" ref="AD73:AD79" si="44">(J73+O73)*627.509469</f>
        <v>96.332743643004008</v>
      </c>
    </row>
    <row r="74" spans="1:30" x14ac:dyDescent="0.25">
      <c r="A74" s="217" t="s">
        <v>1019</v>
      </c>
      <c r="B74" s="218">
        <v>-661.06876636000004</v>
      </c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7">
        <v>0.20136000000000001</v>
      </c>
      <c r="N74" s="217">
        <v>0.22164500000000001</v>
      </c>
      <c r="O74" s="217">
        <v>0.15119299999999999</v>
      </c>
      <c r="P74" s="224">
        <f t="shared" si="30"/>
        <v>44.209297109988007</v>
      </c>
      <c r="Q74" s="227">
        <f t="shared" si="31"/>
        <v>-414687.82621479221</v>
      </c>
      <c r="R74" s="227">
        <f t="shared" si="32"/>
        <v>139.084336256505</v>
      </c>
      <c r="S74" s="227">
        <f t="shared" si="33"/>
        <v>139.084336256505</v>
      </c>
      <c r="T74" s="227">
        <f t="shared" si="34"/>
        <v>139.084336256505</v>
      </c>
      <c r="U74" s="227">
        <f t="shared" si="35"/>
        <v>139.084336256505</v>
      </c>
      <c r="V74" s="227">
        <f t="shared" si="36"/>
        <v>139.084336256505</v>
      </c>
      <c r="W74" s="227">
        <f t="shared" si="37"/>
        <v>139.084336256505</v>
      </c>
      <c r="X74" s="226">
        <f t="shared" si="38"/>
        <v>-414732.03551190213</v>
      </c>
      <c r="Y74" s="226">
        <f t="shared" si="39"/>
        <v>94.875039146516997</v>
      </c>
      <c r="Z74" s="226">
        <f t="shared" si="40"/>
        <v>94.875039146516997</v>
      </c>
      <c r="AA74" s="226">
        <f t="shared" si="41"/>
        <v>94.875039146516997</v>
      </c>
      <c r="AB74" s="226">
        <f t="shared" si="42"/>
        <v>94.875039146516997</v>
      </c>
      <c r="AC74" s="226">
        <f t="shared" si="43"/>
        <v>94.875039146516997</v>
      </c>
      <c r="AD74" s="226">
        <f t="shared" si="44"/>
        <v>94.875039146516997</v>
      </c>
    </row>
    <row r="75" spans="1:30" x14ac:dyDescent="0.25">
      <c r="A75" s="217" t="s">
        <v>1017</v>
      </c>
      <c r="B75" s="218">
        <v>-776.69604631000004</v>
      </c>
      <c r="C75" s="218">
        <v>-1468.2882149899999</v>
      </c>
      <c r="D75" s="218"/>
      <c r="E75" s="218"/>
      <c r="F75" s="218">
        <v>-1467.4744040400001</v>
      </c>
      <c r="G75" s="218"/>
      <c r="H75" s="218"/>
      <c r="I75" s="218">
        <v>-1467.7587618099999</v>
      </c>
      <c r="J75" s="218"/>
      <c r="K75" s="218"/>
      <c r="L75" s="218"/>
      <c r="M75" s="217">
        <v>0.361572</v>
      </c>
      <c r="N75" s="217">
        <v>0.392455</v>
      </c>
      <c r="O75" s="217">
        <v>0.29585400000000001</v>
      </c>
      <c r="P75" s="224">
        <f t="shared" si="30"/>
        <v>60.618042214868993</v>
      </c>
      <c r="Q75" s="227">
        <f t="shared" si="31"/>
        <v>-487137.85436573107</v>
      </c>
      <c r="R75" s="227">
        <f t="shared" si="32"/>
        <v>-921118.48889867624</v>
      </c>
      <c r="S75" s="227">
        <f t="shared" si="33"/>
        <v>246.26922865639497</v>
      </c>
      <c r="T75" s="227">
        <f t="shared" si="34"/>
        <v>-920607.81482157554</v>
      </c>
      <c r="U75" s="227">
        <f t="shared" si="35"/>
        <v>246.26922865639497</v>
      </c>
      <c r="V75" s="227">
        <f t="shared" si="36"/>
        <v>-920786.25201483408</v>
      </c>
      <c r="W75" s="227">
        <f t="shared" si="37"/>
        <v>246.26922865639497</v>
      </c>
      <c r="X75" s="226">
        <f t="shared" si="38"/>
        <v>-487198.47240794601</v>
      </c>
      <c r="Y75" s="226">
        <f t="shared" si="39"/>
        <v>-921179.10694089113</v>
      </c>
      <c r="Z75" s="226">
        <f t="shared" si="40"/>
        <v>185.65118644152599</v>
      </c>
      <c r="AA75" s="226">
        <f t="shared" si="41"/>
        <v>-920668.43286379031</v>
      </c>
      <c r="AB75" s="226">
        <f t="shared" si="42"/>
        <v>185.65118644152599</v>
      </c>
      <c r="AC75" s="226">
        <f t="shared" si="43"/>
        <v>-920846.87005704897</v>
      </c>
      <c r="AD75" s="226">
        <f t="shared" si="44"/>
        <v>185.65118644152599</v>
      </c>
    </row>
    <row r="76" spans="1:30" x14ac:dyDescent="0.25">
      <c r="A76" s="217" t="s">
        <v>1021</v>
      </c>
      <c r="B76" s="218">
        <v>-776.68554143999995</v>
      </c>
      <c r="C76" s="218">
        <v>-1468.2713686100001</v>
      </c>
      <c r="D76" s="218"/>
      <c r="E76" s="218"/>
      <c r="F76" s="218">
        <v>-1467.4499751000001</v>
      </c>
      <c r="G76" s="218"/>
      <c r="H76" s="218"/>
      <c r="I76" s="218">
        <v>-1467.7202869499999</v>
      </c>
      <c r="J76" s="218"/>
      <c r="K76" s="218"/>
      <c r="L76" s="218"/>
      <c r="M76" s="217">
        <v>0.35971700000000001</v>
      </c>
      <c r="N76" s="217">
        <v>0.38897300000000001</v>
      </c>
      <c r="O76" s="217">
        <v>0.297344</v>
      </c>
      <c r="P76" s="224">
        <f t="shared" si="30"/>
        <v>57.498065135001006</v>
      </c>
      <c r="Q76" s="227">
        <f t="shared" si="31"/>
        <v>-487133.44744830654</v>
      </c>
      <c r="R76" s="227">
        <f t="shared" si="32"/>
        <v>-921110.10262367898</v>
      </c>
      <c r="S76" s="227">
        <f>(D76+N76)*627.509469</f>
        <v>244.08424068533699</v>
      </c>
      <c r="T76" s="227">
        <f t="shared" si="34"/>
        <v>-920594.67041837878</v>
      </c>
      <c r="U76" s="227">
        <f t="shared" si="35"/>
        <v>244.08424068533699</v>
      </c>
      <c r="V76" s="227">
        <f t="shared" si="36"/>
        <v>-920764.29366383667</v>
      </c>
      <c r="W76" s="227">
        <f t="shared" si="37"/>
        <v>244.08424068533699</v>
      </c>
      <c r="X76" s="226">
        <f t="shared" si="38"/>
        <v>-487190.94551344152</v>
      </c>
      <c r="Y76" s="226">
        <f t="shared" si="39"/>
        <v>-921167.60068881395</v>
      </c>
      <c r="Z76" s="226">
        <f t="shared" si="40"/>
        <v>186.58617555033598</v>
      </c>
      <c r="AA76" s="226">
        <f t="shared" si="41"/>
        <v>-920652.16848351387</v>
      </c>
      <c r="AB76" s="226">
        <f t="shared" si="42"/>
        <v>186.58617555033598</v>
      </c>
      <c r="AC76" s="226">
        <f t="shared" si="43"/>
        <v>-920821.79172897164</v>
      </c>
      <c r="AD76" s="226">
        <f t="shared" si="44"/>
        <v>186.58617555033598</v>
      </c>
    </row>
    <row r="77" spans="1:30" x14ac:dyDescent="0.25">
      <c r="A77" s="217" t="s">
        <v>1022</v>
      </c>
      <c r="B77" s="218">
        <v>-776.66241513</v>
      </c>
      <c r="C77" s="218">
        <v>-1468.2657857500001</v>
      </c>
      <c r="D77" s="218"/>
      <c r="E77" s="218"/>
      <c r="F77" s="218">
        <v>-1467.4445095999999</v>
      </c>
      <c r="G77" s="218"/>
      <c r="H77" s="218"/>
      <c r="I77" s="218">
        <v>-1467.7176275700001</v>
      </c>
      <c r="J77" s="218"/>
      <c r="K77" s="218"/>
      <c r="L77" s="218"/>
      <c r="M77" s="217">
        <v>0.35814699999999999</v>
      </c>
      <c r="N77" s="217">
        <v>0.38866200000000001</v>
      </c>
      <c r="O77" s="217">
        <v>0.29008699999999998</v>
      </c>
      <c r="P77" s="224">
        <f t="shared" si="30"/>
        <v>61.856745906675009</v>
      </c>
      <c r="Q77" s="227">
        <f t="shared" si="31"/>
        <v>-487119.13062524342</v>
      </c>
      <c r="R77" s="227">
        <f t="shared" si="32"/>
        <v>-921106.79448160972</v>
      </c>
      <c r="S77" s="227">
        <f t="shared" si="33"/>
        <v>243.88908524047798</v>
      </c>
      <c r="T77" s="227">
        <f t="shared" si="34"/>
        <v>-920591.4359208208</v>
      </c>
      <c r="U77" s="227">
        <f t="shared" si="35"/>
        <v>243.88908524047798</v>
      </c>
      <c r="V77" s="227">
        <f t="shared" si="36"/>
        <v>-920762.82003314991</v>
      </c>
      <c r="W77" s="227">
        <f t="shared" si="37"/>
        <v>243.88908524047798</v>
      </c>
      <c r="X77" s="226">
        <f t="shared" si="38"/>
        <v>-487180.98737115005</v>
      </c>
      <c r="Y77" s="226">
        <f t="shared" si="39"/>
        <v>-921168.65122751635</v>
      </c>
      <c r="Z77" s="226">
        <f t="shared" si="40"/>
        <v>182.03233933380298</v>
      </c>
      <c r="AA77" s="226">
        <f t="shared" si="41"/>
        <v>-920653.29266672744</v>
      </c>
      <c r="AB77" s="226">
        <f t="shared" si="42"/>
        <v>182.03233933380298</v>
      </c>
      <c r="AC77" s="226">
        <f t="shared" si="43"/>
        <v>-920824.67677905667</v>
      </c>
      <c r="AD77" s="226">
        <f t="shared" si="44"/>
        <v>182.03233933380298</v>
      </c>
    </row>
    <row r="78" spans="1:30" x14ac:dyDescent="0.25">
      <c r="A78" s="217" t="s">
        <v>1020</v>
      </c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7"/>
      <c r="N78" s="217"/>
      <c r="O78" s="217"/>
      <c r="P78" s="224">
        <f t="shared" si="30"/>
        <v>0</v>
      </c>
      <c r="Q78" s="227">
        <f t="shared" si="31"/>
        <v>0</v>
      </c>
      <c r="R78" s="227">
        <f t="shared" si="32"/>
        <v>0</v>
      </c>
      <c r="S78" s="227">
        <f t="shared" si="33"/>
        <v>0</v>
      </c>
      <c r="T78" s="227">
        <f t="shared" si="34"/>
        <v>0</v>
      </c>
      <c r="U78" s="227">
        <f t="shared" si="35"/>
        <v>0</v>
      </c>
      <c r="V78" s="227">
        <f t="shared" si="36"/>
        <v>0</v>
      </c>
      <c r="W78" s="227">
        <f t="shared" si="37"/>
        <v>0</v>
      </c>
      <c r="X78" s="226">
        <f t="shared" si="38"/>
        <v>0</v>
      </c>
      <c r="Y78" s="226">
        <f t="shared" si="39"/>
        <v>0</v>
      </c>
      <c r="Z78" s="226">
        <f t="shared" si="40"/>
        <v>0</v>
      </c>
      <c r="AA78" s="226">
        <f t="shared" si="41"/>
        <v>0</v>
      </c>
      <c r="AB78" s="226">
        <f t="shared" si="42"/>
        <v>0</v>
      </c>
      <c r="AC78" s="226">
        <f t="shared" si="43"/>
        <v>0</v>
      </c>
      <c r="AD78" s="226">
        <f t="shared" si="44"/>
        <v>0</v>
      </c>
    </row>
    <row r="79" spans="1:30" x14ac:dyDescent="0.25">
      <c r="A79" s="217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7"/>
      <c r="N79" s="217"/>
      <c r="O79" s="217"/>
      <c r="P79" s="224">
        <f t="shared" si="30"/>
        <v>0</v>
      </c>
      <c r="Q79" s="227">
        <f t="shared" si="31"/>
        <v>0</v>
      </c>
      <c r="R79" s="227">
        <f t="shared" si="32"/>
        <v>0</v>
      </c>
      <c r="S79" s="227">
        <f t="shared" si="33"/>
        <v>0</v>
      </c>
      <c r="T79" s="227">
        <f t="shared" si="34"/>
        <v>0</v>
      </c>
      <c r="U79" s="227">
        <f t="shared" si="35"/>
        <v>0</v>
      </c>
      <c r="V79" s="227">
        <f t="shared" si="36"/>
        <v>0</v>
      </c>
      <c r="W79" s="227">
        <f t="shared" si="37"/>
        <v>0</v>
      </c>
      <c r="X79" s="226">
        <f t="shared" si="38"/>
        <v>0</v>
      </c>
      <c r="Y79" s="226">
        <f t="shared" si="39"/>
        <v>0</v>
      </c>
      <c r="Z79" s="226">
        <f t="shared" si="40"/>
        <v>0</v>
      </c>
      <c r="AA79" s="226">
        <f t="shared" si="41"/>
        <v>0</v>
      </c>
      <c r="AB79" s="226">
        <f t="shared" si="42"/>
        <v>0</v>
      </c>
      <c r="AC79" s="226">
        <f t="shared" si="43"/>
        <v>0</v>
      </c>
      <c r="AD79" s="226">
        <f t="shared" si="44"/>
        <v>0</v>
      </c>
    </row>
    <row r="86" spans="7:21" x14ac:dyDescent="0.25">
      <c r="S86" t="s">
        <v>1137</v>
      </c>
      <c r="T86">
        <f>-721.090771641934-(-569.502803550317-151.554151583        )</f>
        <v>-3.3816508616951069E-2</v>
      </c>
      <c r="U86">
        <f>T86*627.509469</f>
        <v>-21.22017936565689</v>
      </c>
    </row>
    <row r="87" spans="7:21" x14ac:dyDescent="0.25">
      <c r="S87" t="s">
        <v>1138</v>
      </c>
      <c r="T87">
        <f>-645.962476820747-(-569.502803550317-76.43510691     )</f>
        <v>-2.4566360430071654E-2</v>
      </c>
      <c r="U87" s="213">
        <f>T87*627.509469</f>
        <v>-15.415623788736875</v>
      </c>
    </row>
    <row r="89" spans="7:21" x14ac:dyDescent="0.25">
      <c r="I89" t="s">
        <v>1025</v>
      </c>
    </row>
    <row r="90" spans="7:21" x14ac:dyDescent="0.25">
      <c r="I90" s="213"/>
      <c r="J90" s="213" t="s">
        <v>959</v>
      </c>
      <c r="K90" s="213" t="s">
        <v>959</v>
      </c>
      <c r="L90" s="213" t="s">
        <v>959</v>
      </c>
      <c r="M90" s="213" t="s">
        <v>982</v>
      </c>
      <c r="N90" s="213" t="s">
        <v>982</v>
      </c>
      <c r="O90" s="213" t="s">
        <v>982</v>
      </c>
    </row>
    <row r="91" spans="7:21" x14ac:dyDescent="0.25">
      <c r="I91" s="213"/>
      <c r="J91" s="213" t="s">
        <v>979</v>
      </c>
      <c r="K91" s="213" t="s">
        <v>980</v>
      </c>
      <c r="L91" s="213" t="s">
        <v>981</v>
      </c>
      <c r="M91" s="213" t="s">
        <v>979</v>
      </c>
      <c r="N91" s="213" t="s">
        <v>980</v>
      </c>
      <c r="O91" s="213" t="s">
        <v>981</v>
      </c>
    </row>
    <row r="92" spans="7:21" x14ac:dyDescent="0.25">
      <c r="G92" t="s">
        <v>1028</v>
      </c>
      <c r="I92" s="213" t="s">
        <v>978</v>
      </c>
      <c r="J92" s="215">
        <f>(R69+R68)-R72</f>
        <v>4.1434613390592858</v>
      </c>
      <c r="K92" s="215">
        <f>(T69+T68)-T72</f>
        <v>6.1775941513478756</v>
      </c>
      <c r="L92" s="215">
        <f>(V69+V68)-V72</f>
        <v>6.5836272906744853</v>
      </c>
      <c r="M92" s="213"/>
      <c r="N92" s="215">
        <f>(AA69+AA68)-AA72</f>
        <v>-5.0416476449463516</v>
      </c>
      <c r="O92" s="213"/>
    </row>
    <row r="93" spans="7:21" x14ac:dyDescent="0.25">
      <c r="G93" t="s">
        <v>1029</v>
      </c>
      <c r="I93" s="213" t="s">
        <v>1030</v>
      </c>
      <c r="J93" s="215">
        <f>(R70+R68)-(R72+R67)</f>
        <v>0.95664238987956196</v>
      </c>
      <c r="K93" s="215">
        <f>(T70+T68)-(T72+T67)</f>
        <v>1.473976130830124</v>
      </c>
      <c r="L93" s="215">
        <f>(V70+V68)-(V72+V67)</f>
        <v>0.98849025240633637</v>
      </c>
      <c r="M93" s="213"/>
      <c r="N93" s="215">
        <f>(AA70+AA68)-(AA72+AA67)</f>
        <v>1.143906150246039</v>
      </c>
      <c r="O93" s="213"/>
    </row>
    <row r="94" spans="7:21" x14ac:dyDescent="0.25">
      <c r="I94" s="213" t="s">
        <v>992</v>
      </c>
      <c r="J94" s="215">
        <f>R73-R72</f>
        <v>9.3903591737616807</v>
      </c>
      <c r="K94" s="215">
        <f>T73-T72</f>
        <v>11.164115089341067</v>
      </c>
      <c r="L94" s="215">
        <f>V73-V72</f>
        <v>18.082965468522161</v>
      </c>
      <c r="M94" s="213"/>
      <c r="N94" s="215">
        <f>AA73-AA72</f>
        <v>12.173777825082652</v>
      </c>
      <c r="O94" s="213"/>
    </row>
    <row r="95" spans="7:21" x14ac:dyDescent="0.25">
      <c r="G95" s="213" t="s">
        <v>1028</v>
      </c>
      <c r="H95" t="s">
        <v>96</v>
      </c>
      <c r="I95" s="213"/>
      <c r="J95" s="215">
        <f>J94-J92</f>
        <v>5.2468978347023949</v>
      </c>
      <c r="K95" s="215">
        <f>K94-K92</f>
        <v>4.9865209379931912</v>
      </c>
      <c r="L95" s="215">
        <f>L94-L92</f>
        <v>11.499338177847676</v>
      </c>
      <c r="N95" s="215">
        <f>N94-N92</f>
        <v>17.215425470029004</v>
      </c>
    </row>
    <row r="96" spans="7:21" x14ac:dyDescent="0.25">
      <c r="G96" s="213" t="s">
        <v>1029</v>
      </c>
      <c r="H96" t="s">
        <v>96</v>
      </c>
      <c r="I96" s="213"/>
      <c r="J96" s="215">
        <f>J94-J93</f>
        <v>8.4337167838821188</v>
      </c>
      <c r="K96" s="215">
        <f>K94-K93</f>
        <v>9.6901389585109428</v>
      </c>
      <c r="L96" s="215">
        <f>L94-L93</f>
        <v>17.094475216115825</v>
      </c>
      <c r="M96" s="213"/>
      <c r="N96" s="215">
        <f>N94-N93</f>
        <v>11.029871674836613</v>
      </c>
      <c r="O96" s="213"/>
    </row>
    <row r="97" spans="9:25" x14ac:dyDescent="0.25">
      <c r="I97" s="213"/>
      <c r="J97" s="213"/>
      <c r="K97" s="213"/>
      <c r="L97" s="213"/>
      <c r="M97" s="213"/>
      <c r="N97" s="213"/>
      <c r="O97" s="213"/>
    </row>
    <row r="98" spans="9:25" x14ac:dyDescent="0.25">
      <c r="I98" s="213"/>
      <c r="J98" s="213"/>
      <c r="K98" s="213"/>
      <c r="L98" s="213"/>
      <c r="M98" s="213"/>
      <c r="N98" s="213"/>
      <c r="O98" s="213"/>
    </row>
    <row r="99" spans="9:25" x14ac:dyDescent="0.25">
      <c r="I99" s="213"/>
      <c r="J99" s="215"/>
      <c r="K99" s="215"/>
      <c r="L99" s="215"/>
      <c r="M99" s="213"/>
      <c r="N99" s="213"/>
      <c r="O99" s="213"/>
      <c r="Y99">
        <f>-1308.43691932929--1308.46543181734</f>
        <v>2.8512488049955209E-2</v>
      </c>
    </row>
    <row r="100" spans="9:25" x14ac:dyDescent="0.25">
      <c r="I100" s="213"/>
      <c r="J100" s="215"/>
      <c r="K100" s="215"/>
      <c r="L100" s="215"/>
      <c r="M100" s="213"/>
      <c r="N100" s="213"/>
      <c r="O100" s="213"/>
      <c r="Y100">
        <f>Y99*627.509469</f>
        <v>17.891856236096238</v>
      </c>
    </row>
    <row r="101" spans="9:25" x14ac:dyDescent="0.25">
      <c r="I101" s="213"/>
      <c r="J101" s="215"/>
      <c r="K101" s="215"/>
      <c r="L101" s="215"/>
      <c r="M101" s="213"/>
      <c r="N101" s="213"/>
      <c r="O101" s="213"/>
    </row>
    <row r="104" spans="9:25" x14ac:dyDescent="0.25">
      <c r="I104" s="213" t="s">
        <v>1026</v>
      </c>
      <c r="J104" s="213"/>
      <c r="K104" s="213"/>
      <c r="L104" s="213"/>
      <c r="M104" s="213"/>
      <c r="N104" s="213"/>
      <c r="O104" s="213"/>
    </row>
    <row r="105" spans="9:25" x14ac:dyDescent="0.25">
      <c r="I105" s="213"/>
      <c r="J105" s="213" t="s">
        <v>959</v>
      </c>
      <c r="K105" s="213" t="s">
        <v>959</v>
      </c>
      <c r="L105" s="213" t="s">
        <v>959</v>
      </c>
      <c r="M105" s="213" t="s">
        <v>982</v>
      </c>
      <c r="N105" s="213" t="s">
        <v>982</v>
      </c>
      <c r="O105" s="213" t="s">
        <v>982</v>
      </c>
      <c r="V105" t="s">
        <v>1056</v>
      </c>
    </row>
    <row r="106" spans="9:25" x14ac:dyDescent="0.25">
      <c r="I106" s="213"/>
      <c r="J106" s="213" t="s">
        <v>979</v>
      </c>
      <c r="K106" s="213" t="s">
        <v>980</v>
      </c>
      <c r="L106" s="213" t="s">
        <v>981</v>
      </c>
      <c r="M106" s="213" t="s">
        <v>979</v>
      </c>
      <c r="N106" s="213" t="s">
        <v>980</v>
      </c>
      <c r="O106" s="213" t="s">
        <v>981</v>
      </c>
      <c r="T106" t="s">
        <v>162</v>
      </c>
      <c r="U106" s="213" t="s">
        <v>1055</v>
      </c>
      <c r="V106" s="213" t="s">
        <v>162</v>
      </c>
      <c r="W106" s="213" t="s">
        <v>1055</v>
      </c>
    </row>
    <row r="107" spans="9:25" x14ac:dyDescent="0.25">
      <c r="I107" s="213" t="s">
        <v>978</v>
      </c>
      <c r="J107" s="215">
        <f>(R69+R68)-R72</f>
        <v>4.1434613390592858</v>
      </c>
      <c r="K107" s="215">
        <f>(T69+T68)-T72</f>
        <v>6.1775941513478756</v>
      </c>
      <c r="L107" s="215">
        <f>(V69+V68)-V72</f>
        <v>6.5836272906744853</v>
      </c>
      <c r="N107" s="215">
        <f>(AA69+AA68)-AA72</f>
        <v>-5.0416476449463516</v>
      </c>
      <c r="O107" s="213"/>
      <c r="T107">
        <f>(  -1229.47932012022)-(  -1229.542594601)</f>
        <v>6.3274480779909936E-2</v>
      </c>
      <c r="U107">
        <f xml:space="preserve"> -1304.6240361937-  -1304.6689256393</f>
        <v>4.4889445599892497E-2</v>
      </c>
      <c r="V107">
        <f xml:space="preserve">  -1418.93798516139--1418.95728818753</f>
        <v>1.9303026139823487E-2</v>
      </c>
      <c r="W107">
        <f>-1419.15186657998- -1419.19764273425</f>
        <v>4.5776154270015468E-2</v>
      </c>
    </row>
    <row r="108" spans="9:25" x14ac:dyDescent="0.25">
      <c r="I108" t="s">
        <v>1027</v>
      </c>
      <c r="J108" s="215">
        <f>(R72+R68)-R75</f>
        <v>1.0351069894386455</v>
      </c>
      <c r="K108" s="215">
        <f>(T72+T68)-T75</f>
        <v>10.536751830251887</v>
      </c>
      <c r="L108" s="215">
        <f>(V72+V68)-V75</f>
        <v>10.799319362151437</v>
      </c>
      <c r="N108" s="215">
        <f>(AA72+AA68)-AA75-2.19</f>
        <v>-2.6371739153377711</v>
      </c>
      <c r="O108" s="215">
        <f>(AC72+AC68)-AC75-2.19</f>
        <v>-2.3746063833218067</v>
      </c>
      <c r="S108" t="s">
        <v>1054</v>
      </c>
      <c r="T108">
        <f>T107*627.509469</f>
        <v>39.70533583545199</v>
      </c>
      <c r="U108">
        <f>U107*627.509469</f>
        <v>28.168552172092927</v>
      </c>
      <c r="W108">
        <f>W107*627.509469</f>
        <v>28.724970258839488</v>
      </c>
    </row>
    <row r="109" spans="9:25" x14ac:dyDescent="0.25">
      <c r="I109" s="213" t="s">
        <v>992</v>
      </c>
      <c r="J109" s="215">
        <f>R77-R75</f>
        <v>11.694417066522874</v>
      </c>
      <c r="K109" s="215">
        <f>T76-T75</f>
        <v>13.144403196754865</v>
      </c>
      <c r="L109" s="215">
        <f>V76-V75</f>
        <v>21.958350997418165</v>
      </c>
      <c r="M109" s="213"/>
      <c r="N109" s="215">
        <f>AA76-AA75</f>
        <v>16.264380276435986</v>
      </c>
      <c r="O109" s="213"/>
    </row>
    <row r="110" spans="9:25" x14ac:dyDescent="0.25">
      <c r="N110" s="21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  <vt:lpstr>Sheet5</vt:lpstr>
      <vt:lpstr>Sheet11</vt:lpstr>
      <vt:lpstr>Sheet7!S</vt:lpstr>
      <vt:lpstr>Sheet7!S_5</vt:lpstr>
      <vt:lpstr>Sheet7!S_6</vt:lpstr>
      <vt:lpstr>Sheet7!T</vt:lpstr>
      <vt:lpstr>Sheet7!T_4</vt:lpstr>
      <vt:lpstr>Sheet7!T_5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2015-01-24T20:22:08Z</dcterms:modified>
</cp:coreProperties>
</file>