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queryTables/queryTable1.xml" ContentType="application/vnd.openxmlformats-officedocument.spreadsheetml.query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drawings/drawing8.xml" ContentType="application/vnd.openxmlformats-officedocument.drawingml.chartshapes+xml"/>
  <Override PartName="/xl/worksheets/sheet7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drawings/drawing15.xml" ContentType="application/vnd.openxmlformats-officedocument.drawingml.chartshapes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drawings/drawing13.xml" ContentType="application/vnd.openxmlformats-officedocument.drawingml.chartshapes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docProps/core.xml" ContentType="application/vnd.openxmlformats-package.core-properties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queryTables/queryTable2.xml" ContentType="application/vnd.openxmlformats-officedocument.spreadsheetml.queryTab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drawings/drawing14.xml" ContentType="application/vnd.openxmlformats-officedocument.drawingml.chartshape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drawings/drawing12.xml" ContentType="application/vnd.openxmlformats-officedocument.drawingml.chartsha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950" yWindow="2745" windowWidth="5820" windowHeight="3090" activeTab="8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  <sheet name="Sheet7" sheetId="7" r:id="rId6"/>
    <sheet name="Sheet8" sheetId="9" r:id="rId7"/>
    <sheet name="Sheet9" sheetId="10" r:id="rId8"/>
    <sheet name="Sheet10" sheetId="11" r:id="rId9"/>
  </sheets>
  <externalReferences>
    <externalReference r:id="rId10"/>
  </externalReferences>
  <definedNames>
    <definedName name="data" localSheetId="5">Sheet7!#REF!</definedName>
    <definedName name="S" localSheetId="5">Sheet7!$G$103:$I$147</definedName>
    <definedName name="S_1" localSheetId="5">Sheet7!#REF!</definedName>
    <definedName name="S_2" localSheetId="5">Sheet7!#REF!</definedName>
    <definedName name="S_3" localSheetId="5">Sheet7!#REF!</definedName>
    <definedName name="S_4" localSheetId="5">Sheet7!#REF!</definedName>
    <definedName name="S_5" localSheetId="5">Sheet7!$G$8:$I$52</definedName>
    <definedName name="S_6" localSheetId="5">Sheet7!$G$55:$I$99</definedName>
    <definedName name="T" localSheetId="5">Sheet7!$M$103:$O$137</definedName>
    <definedName name="T_1" localSheetId="5">Sheet7!#REF!</definedName>
    <definedName name="T_2" localSheetId="5">Sheet7!#REF!</definedName>
    <definedName name="T_3" localSheetId="5">Sheet7!#REF!</definedName>
    <definedName name="T_4" localSheetId="5">Sheet7!$M$8:$O$42</definedName>
    <definedName name="T_5" localSheetId="5">Sheet7!$M$55:$O$89</definedName>
  </definedNames>
  <calcPr calcId="125725"/>
</workbook>
</file>

<file path=xl/calcChain.xml><?xml version="1.0" encoding="utf-8"?>
<calcChain xmlns="http://schemas.openxmlformats.org/spreadsheetml/2006/main">
  <c r="AQ275" i="11"/>
  <c r="AQ255"/>
  <c r="AP275"/>
  <c r="AP255"/>
  <c r="AO275"/>
  <c r="AO255"/>
  <c r="AN275"/>
  <c r="AN255"/>
  <c r="AM275"/>
  <c r="AM255"/>
  <c r="AL275"/>
  <c r="AL255"/>
  <c r="AK275"/>
  <c r="AK255"/>
  <c r="AJ275"/>
  <c r="AJ255"/>
  <c r="AI275"/>
  <c r="AI255"/>
  <c r="AH275"/>
  <c r="AH255"/>
  <c r="AQ276"/>
  <c r="AQ277"/>
  <c r="AQ278"/>
  <c r="AQ279"/>
  <c r="AQ280"/>
  <c r="AQ281"/>
  <c r="AQ282"/>
  <c r="AQ283"/>
  <c r="AP283"/>
  <c r="AP282"/>
  <c r="AL282"/>
  <c r="AP281"/>
  <c r="AP280"/>
  <c r="AL280"/>
  <c r="AP279"/>
  <c r="AP278"/>
  <c r="AL278"/>
  <c r="AP277"/>
  <c r="AP276"/>
  <c r="AL276"/>
  <c r="AL230"/>
  <c r="AK230"/>
  <c r="BJ27" i="2"/>
  <c r="BJ11"/>
  <c r="AR255" i="11"/>
  <c r="AS255"/>
  <c r="AQ256"/>
  <c r="AR256"/>
  <c r="AS256"/>
  <c r="AQ257"/>
  <c r="AR257"/>
  <c r="AS257"/>
  <c r="AQ258"/>
  <c r="AR258"/>
  <c r="AS258"/>
  <c r="AQ259"/>
  <c r="AR259"/>
  <c r="AS259"/>
  <c r="AQ260"/>
  <c r="AR260"/>
  <c r="AS260"/>
  <c r="AQ261"/>
  <c r="AR261"/>
  <c r="AS261"/>
  <c r="AQ262"/>
  <c r="AR262"/>
  <c r="AS262"/>
  <c r="AQ263"/>
  <c r="AR263"/>
  <c r="AS263"/>
  <c r="AQ264"/>
  <c r="AR264"/>
  <c r="AS264"/>
  <c r="AQ265"/>
  <c r="AR265"/>
  <c r="AS265"/>
  <c r="AQ266"/>
  <c r="AR266"/>
  <c r="AS266"/>
  <c r="AQ267"/>
  <c r="AR267"/>
  <c r="AS267"/>
  <c r="AQ268"/>
  <c r="AR268"/>
  <c r="AS268"/>
  <c r="AP268"/>
  <c r="AP267"/>
  <c r="AL267"/>
  <c r="AP266"/>
  <c r="AP265"/>
  <c r="AL265"/>
  <c r="AP264"/>
  <c r="AP263"/>
  <c r="AL263"/>
  <c r="AP262"/>
  <c r="AP261"/>
  <c r="AL261"/>
  <c r="AP260"/>
  <c r="AP259"/>
  <c r="AL259"/>
  <c r="AP258"/>
  <c r="AP257"/>
  <c r="AL257"/>
  <c r="AP256"/>
  <c r="AN276"/>
  <c r="AO276"/>
  <c r="AN277"/>
  <c r="AO277"/>
  <c r="AN278"/>
  <c r="AO278"/>
  <c r="AN279"/>
  <c r="AO279"/>
  <c r="AN280"/>
  <c r="AO280"/>
  <c r="AN281"/>
  <c r="AO281"/>
  <c r="AN282"/>
  <c r="AO282"/>
  <c r="AN283"/>
  <c r="AO283"/>
  <c r="AN256"/>
  <c r="AO256"/>
  <c r="AN257"/>
  <c r="AO257"/>
  <c r="AN258"/>
  <c r="AO258"/>
  <c r="AN259"/>
  <c r="AO259"/>
  <c r="AN260"/>
  <c r="AO260"/>
  <c r="AN261"/>
  <c r="AO261"/>
  <c r="AN262"/>
  <c r="AO262"/>
  <c r="AN263"/>
  <c r="AO263"/>
  <c r="AN264"/>
  <c r="AO264"/>
  <c r="AN265"/>
  <c r="AO265"/>
  <c r="AN266"/>
  <c r="AO266"/>
  <c r="AN267"/>
  <c r="AO267"/>
  <c r="AN268"/>
  <c r="AO268"/>
  <c r="AM256"/>
  <c r="AM257"/>
  <c r="AM258"/>
  <c r="AM259"/>
  <c r="AM260"/>
  <c r="AM261"/>
  <c r="AM262"/>
  <c r="AM263"/>
  <c r="AM264"/>
  <c r="AM265"/>
  <c r="AM266"/>
  <c r="AM267"/>
  <c r="AM268"/>
  <c r="AL268"/>
  <c r="AH267"/>
  <c r="AL266"/>
  <c r="AH265"/>
  <c r="AL264"/>
  <c r="AH263"/>
  <c r="AL262"/>
  <c r="AH261"/>
  <c r="AL260"/>
  <c r="AH259"/>
  <c r="AL258"/>
  <c r="AH257"/>
  <c r="AL256"/>
  <c r="AM276"/>
  <c r="AM277"/>
  <c r="AM278"/>
  <c r="AM279"/>
  <c r="AM280"/>
  <c r="AM281"/>
  <c r="AM282"/>
  <c r="AM283"/>
  <c r="AL283"/>
  <c r="AH282"/>
  <c r="AL281"/>
  <c r="AH280"/>
  <c r="AL279"/>
  <c r="AH278"/>
  <c r="AL277"/>
  <c r="AH276"/>
  <c r="AH277"/>
  <c r="AL226"/>
  <c r="AL227"/>
  <c r="AL228"/>
  <c r="AL229"/>
  <c r="AL231"/>
  <c r="AF226"/>
  <c r="AF227"/>
  <c r="AF228"/>
  <c r="AF229"/>
  <c r="AF230"/>
  <c r="AF231"/>
  <c r="AH226"/>
  <c r="AH227"/>
  <c r="AH228"/>
  <c r="AH229"/>
  <c r="AH230"/>
  <c r="AH231"/>
  <c r="AH279"/>
  <c r="AH281"/>
  <c r="AH283"/>
  <c r="AI276"/>
  <c r="AI277"/>
  <c r="AI278"/>
  <c r="AI279"/>
  <c r="AI280"/>
  <c r="AI281"/>
  <c r="AI282"/>
  <c r="AI283"/>
  <c r="AK276"/>
  <c r="AK277"/>
  <c r="AK278"/>
  <c r="AK279"/>
  <c r="AK280"/>
  <c r="AK281"/>
  <c r="AK282"/>
  <c r="AK283"/>
  <c r="AJ283"/>
  <c r="AJ282"/>
  <c r="AJ281"/>
  <c r="AJ280"/>
  <c r="AJ279"/>
  <c r="AJ278"/>
  <c r="AJ277"/>
  <c r="AJ276"/>
  <c r="AK256"/>
  <c r="AJ256"/>
  <c r="AI256"/>
  <c r="AH256"/>
  <c r="V230"/>
  <c r="AH258"/>
  <c r="AH260"/>
  <c r="AH262"/>
  <c r="AH264"/>
  <c r="AH266"/>
  <c r="AH268"/>
  <c r="AI257"/>
  <c r="AI258"/>
  <c r="AI259"/>
  <c r="AI260"/>
  <c r="AI261"/>
  <c r="AI262"/>
  <c r="AI263"/>
  <c r="AI264"/>
  <c r="AI265"/>
  <c r="AI266"/>
  <c r="AI267"/>
  <c r="AI268"/>
  <c r="AK257"/>
  <c r="AK258"/>
  <c r="AK259"/>
  <c r="AK260"/>
  <c r="AK261"/>
  <c r="AK262"/>
  <c r="AK263"/>
  <c r="AK264"/>
  <c r="AK265"/>
  <c r="AK266"/>
  <c r="AK267"/>
  <c r="AK268"/>
  <c r="AJ268"/>
  <c r="AJ267"/>
  <c r="AJ266"/>
  <c r="AJ265"/>
  <c r="AJ264"/>
  <c r="AJ263"/>
  <c r="AJ262"/>
  <c r="AJ261"/>
  <c r="AJ260"/>
  <c r="AJ259"/>
  <c r="AJ258"/>
  <c r="AJ257"/>
  <c r="V226"/>
  <c r="L299"/>
  <c r="X231"/>
  <c r="X230"/>
  <c r="J227"/>
  <c r="Q292"/>
  <c r="P292"/>
  <c r="O292"/>
  <c r="N292"/>
  <c r="M292"/>
  <c r="L292"/>
  <c r="K292"/>
  <c r="J292"/>
  <c r="I292"/>
  <c r="Q291"/>
  <c r="P291"/>
  <c r="O291"/>
  <c r="N291"/>
  <c r="M291"/>
  <c r="L291"/>
  <c r="K291"/>
  <c r="J291"/>
  <c r="I291"/>
  <c r="Q290"/>
  <c r="P290"/>
  <c r="O290"/>
  <c r="N290"/>
  <c r="M290"/>
  <c r="L290"/>
  <c r="K290"/>
  <c r="J290"/>
  <c r="I290"/>
  <c r="Q289"/>
  <c r="P289"/>
  <c r="O289"/>
  <c r="N289"/>
  <c r="M289"/>
  <c r="L289"/>
  <c r="K289"/>
  <c r="J289"/>
  <c r="I289"/>
  <c r="Q288"/>
  <c r="P288"/>
  <c r="O288"/>
  <c r="N288"/>
  <c r="M288"/>
  <c r="L288"/>
  <c r="K288"/>
  <c r="J288"/>
  <c r="I288"/>
  <c r="Q287"/>
  <c r="P287"/>
  <c r="O287"/>
  <c r="N287"/>
  <c r="M287"/>
  <c r="L287"/>
  <c r="K287"/>
  <c r="J287"/>
  <c r="I287"/>
  <c r="Q286"/>
  <c r="P286"/>
  <c r="O286"/>
  <c r="N286"/>
  <c r="M286"/>
  <c r="L286"/>
  <c r="K286"/>
  <c r="J286"/>
  <c r="I286"/>
  <c r="Q285"/>
  <c r="P285"/>
  <c r="O285"/>
  <c r="N285"/>
  <c r="M285"/>
  <c r="L285"/>
  <c r="K285"/>
  <c r="J285"/>
  <c r="I285"/>
  <c r="Q284"/>
  <c r="P284"/>
  <c r="O284"/>
  <c r="N284"/>
  <c r="M284"/>
  <c r="L284"/>
  <c r="K284"/>
  <c r="J284"/>
  <c r="I284"/>
  <c r="Q283"/>
  <c r="P283"/>
  <c r="O283"/>
  <c r="N283"/>
  <c r="M283"/>
  <c r="L283"/>
  <c r="K283"/>
  <c r="J283"/>
  <c r="I283"/>
  <c r="Q282"/>
  <c r="P282"/>
  <c r="O282"/>
  <c r="N282"/>
  <c r="M282"/>
  <c r="L282"/>
  <c r="K282"/>
  <c r="J282"/>
  <c r="I282"/>
  <c r="Q281"/>
  <c r="P281"/>
  <c r="O281"/>
  <c r="N281"/>
  <c r="M281"/>
  <c r="L281"/>
  <c r="K281"/>
  <c r="J281"/>
  <c r="I281"/>
  <c r="Q280"/>
  <c r="P280"/>
  <c r="O280"/>
  <c r="N280"/>
  <c r="M280"/>
  <c r="L280"/>
  <c r="K280"/>
  <c r="J280"/>
  <c r="I280"/>
  <c r="Q279"/>
  <c r="P279"/>
  <c r="O279"/>
  <c r="N279"/>
  <c r="M279"/>
  <c r="L279"/>
  <c r="K279"/>
  <c r="J279"/>
  <c r="I279"/>
  <c r="Q278"/>
  <c r="P278"/>
  <c r="O278"/>
  <c r="N278"/>
  <c r="M278"/>
  <c r="L278"/>
  <c r="K278"/>
  <c r="J278"/>
  <c r="I278"/>
  <c r="Q277"/>
  <c r="P277"/>
  <c r="O277"/>
  <c r="N277"/>
  <c r="M277"/>
  <c r="L277"/>
  <c r="K277"/>
  <c r="J277"/>
  <c r="I277"/>
  <c r="Q276"/>
  <c r="P276"/>
  <c r="O276"/>
  <c r="N276"/>
  <c r="M276"/>
  <c r="L276"/>
  <c r="K276"/>
  <c r="J276"/>
  <c r="I276"/>
  <c r="Q275"/>
  <c r="P275"/>
  <c r="O275"/>
  <c r="N275"/>
  <c r="M275"/>
  <c r="L275"/>
  <c r="K275"/>
  <c r="J275"/>
  <c r="I275"/>
  <c r="Q274"/>
  <c r="P274"/>
  <c r="O274"/>
  <c r="N274"/>
  <c r="M274"/>
  <c r="L274"/>
  <c r="K274"/>
  <c r="J274"/>
  <c r="I274"/>
  <c r="Q273"/>
  <c r="P273"/>
  <c r="O273"/>
  <c r="N273"/>
  <c r="M273"/>
  <c r="L273"/>
  <c r="K273"/>
  <c r="J273"/>
  <c r="I273"/>
  <c r="AK231"/>
  <c r="AJ230"/>
  <c r="AJ231"/>
  <c r="Y230"/>
  <c r="AG231"/>
  <c r="AG230"/>
  <c r="AE230"/>
  <c r="AE231"/>
  <c r="AM229"/>
  <c r="AM228"/>
  <c r="AK228"/>
  <c r="AM227"/>
  <c r="AM226"/>
  <c r="AK226"/>
  <c r="AK229"/>
  <c r="AJ228"/>
  <c r="AK227"/>
  <c r="AJ226"/>
  <c r="AJ229"/>
  <c r="Y228"/>
  <c r="W228"/>
  <c r="AJ227"/>
  <c r="Y226"/>
  <c r="AI229"/>
  <c r="AI228"/>
  <c r="AG228"/>
  <c r="AI227"/>
  <c r="AI226"/>
  <c r="AG226"/>
  <c r="AG229"/>
  <c r="AE228"/>
  <c r="AG227"/>
  <c r="AE226"/>
  <c r="AE229"/>
  <c r="V228"/>
  <c r="AE227"/>
  <c r="Q269"/>
  <c r="P269"/>
  <c r="O269"/>
  <c r="N269"/>
  <c r="M269"/>
  <c r="L269"/>
  <c r="K269"/>
  <c r="J269"/>
  <c r="I269"/>
  <c r="Q268"/>
  <c r="P268"/>
  <c r="O268"/>
  <c r="N268"/>
  <c r="M268"/>
  <c r="L268"/>
  <c r="K268"/>
  <c r="J268"/>
  <c r="I268"/>
  <c r="Q267"/>
  <c r="P267"/>
  <c r="O267"/>
  <c r="N267"/>
  <c r="M267"/>
  <c r="L267"/>
  <c r="K267"/>
  <c r="J267"/>
  <c r="I267"/>
  <c r="Q266"/>
  <c r="P266"/>
  <c r="O266"/>
  <c r="N266"/>
  <c r="M266"/>
  <c r="L266"/>
  <c r="K266"/>
  <c r="J266"/>
  <c r="I266"/>
  <c r="Q265"/>
  <c r="P265"/>
  <c r="O265"/>
  <c r="N265"/>
  <c r="M265"/>
  <c r="L265"/>
  <c r="K265"/>
  <c r="J265"/>
  <c r="I265"/>
  <c r="Q264"/>
  <c r="P264"/>
  <c r="O264"/>
  <c r="N264"/>
  <c r="M264"/>
  <c r="L264"/>
  <c r="K264"/>
  <c r="J264"/>
  <c r="I264"/>
  <c r="Q263"/>
  <c r="P263"/>
  <c r="O263"/>
  <c r="N263"/>
  <c r="M263"/>
  <c r="L263"/>
  <c r="K263"/>
  <c r="J263"/>
  <c r="I263"/>
  <c r="Q262"/>
  <c r="P262"/>
  <c r="O262"/>
  <c r="N262"/>
  <c r="M262"/>
  <c r="L262"/>
  <c r="K262"/>
  <c r="J262"/>
  <c r="I262"/>
  <c r="Q261"/>
  <c r="P261"/>
  <c r="O261"/>
  <c r="N261"/>
  <c r="M261"/>
  <c r="L261"/>
  <c r="K261"/>
  <c r="J261"/>
  <c r="I261"/>
  <c r="Q260"/>
  <c r="P260"/>
  <c r="O260"/>
  <c r="N260"/>
  <c r="M260"/>
  <c r="L260"/>
  <c r="K260"/>
  <c r="J260"/>
  <c r="I260"/>
  <c r="Q259"/>
  <c r="P259"/>
  <c r="O259"/>
  <c r="N259"/>
  <c r="M259"/>
  <c r="L259"/>
  <c r="K259"/>
  <c r="J259"/>
  <c r="I259"/>
  <c r="Q258"/>
  <c r="P258"/>
  <c r="O258"/>
  <c r="N258"/>
  <c r="M258"/>
  <c r="L258"/>
  <c r="K258"/>
  <c r="J258"/>
  <c r="I258"/>
  <c r="Q257"/>
  <c r="P257"/>
  <c r="O257"/>
  <c r="N257"/>
  <c r="M257"/>
  <c r="L257"/>
  <c r="K257"/>
  <c r="J257"/>
  <c r="I257"/>
  <c r="Q256"/>
  <c r="P256"/>
  <c r="O256"/>
  <c r="N256"/>
  <c r="M256"/>
  <c r="L256"/>
  <c r="K256"/>
  <c r="J256"/>
  <c r="I256"/>
  <c r="Q255"/>
  <c r="P255"/>
  <c r="O255"/>
  <c r="N255"/>
  <c r="M255"/>
  <c r="L255"/>
  <c r="K255"/>
  <c r="J255"/>
  <c r="I255"/>
  <c r="Q254"/>
  <c r="P254"/>
  <c r="O254"/>
  <c r="N254"/>
  <c r="M254"/>
  <c r="L254"/>
  <c r="K254"/>
  <c r="J254"/>
  <c r="I254"/>
  <c r="Q253"/>
  <c r="P253"/>
  <c r="O253"/>
  <c r="N253"/>
  <c r="M253"/>
  <c r="L253"/>
  <c r="K253"/>
  <c r="J253"/>
  <c r="I253"/>
  <c r="Q252"/>
  <c r="P252"/>
  <c r="O252"/>
  <c r="N252"/>
  <c r="M252"/>
  <c r="L252"/>
  <c r="K252"/>
  <c r="J252"/>
  <c r="I252"/>
  <c r="Q251"/>
  <c r="P251"/>
  <c r="O251"/>
  <c r="N251"/>
  <c r="M251"/>
  <c r="L251"/>
  <c r="K251"/>
  <c r="J251"/>
  <c r="I251"/>
  <c r="Q250"/>
  <c r="P250"/>
  <c r="O250"/>
  <c r="N250"/>
  <c r="M250"/>
  <c r="L250"/>
  <c r="K250"/>
  <c r="J250"/>
  <c r="I250"/>
  <c r="Q246"/>
  <c r="P246"/>
  <c r="O246"/>
  <c r="N246"/>
  <c r="M246"/>
  <c r="L246"/>
  <c r="K246"/>
  <c r="J246"/>
  <c r="I246"/>
  <c r="Q245"/>
  <c r="P245"/>
  <c r="O245"/>
  <c r="N245"/>
  <c r="M245"/>
  <c r="L245"/>
  <c r="K245"/>
  <c r="J245"/>
  <c r="I245"/>
  <c r="Q244"/>
  <c r="P244"/>
  <c r="O244"/>
  <c r="N244"/>
  <c r="M244"/>
  <c r="L244"/>
  <c r="K244"/>
  <c r="J244"/>
  <c r="I244"/>
  <c r="Q243"/>
  <c r="P243"/>
  <c r="O243"/>
  <c r="N243"/>
  <c r="M243"/>
  <c r="L243"/>
  <c r="K243"/>
  <c r="J243"/>
  <c r="I243"/>
  <c r="Q242"/>
  <c r="P242"/>
  <c r="O242"/>
  <c r="N242"/>
  <c r="M242"/>
  <c r="L242"/>
  <c r="K242"/>
  <c r="J242"/>
  <c r="I242"/>
  <c r="Q241"/>
  <c r="P241"/>
  <c r="O241"/>
  <c r="N241"/>
  <c r="M241"/>
  <c r="L241"/>
  <c r="K241"/>
  <c r="J241"/>
  <c r="I241"/>
  <c r="Q240"/>
  <c r="P240"/>
  <c r="O240"/>
  <c r="N240"/>
  <c r="M240"/>
  <c r="L240"/>
  <c r="K240"/>
  <c r="J240"/>
  <c r="I240"/>
  <c r="Q239"/>
  <c r="P239"/>
  <c r="O239"/>
  <c r="N239"/>
  <c r="M239"/>
  <c r="L239"/>
  <c r="K239"/>
  <c r="J239"/>
  <c r="I239"/>
  <c r="Q238"/>
  <c r="P238"/>
  <c r="O238"/>
  <c r="N238"/>
  <c r="M238"/>
  <c r="L238"/>
  <c r="K238"/>
  <c r="J238"/>
  <c r="I238"/>
  <c r="Q237"/>
  <c r="P237"/>
  <c r="O237"/>
  <c r="N237"/>
  <c r="M237"/>
  <c r="L237"/>
  <c r="K237"/>
  <c r="J237"/>
  <c r="I237"/>
  <c r="Q236"/>
  <c r="P236"/>
  <c r="O236"/>
  <c r="N236"/>
  <c r="M236"/>
  <c r="L236"/>
  <c r="K236"/>
  <c r="J236"/>
  <c r="I236"/>
  <c r="Q235"/>
  <c r="P235"/>
  <c r="O235"/>
  <c r="N235"/>
  <c r="M235"/>
  <c r="L235"/>
  <c r="K235"/>
  <c r="J235"/>
  <c r="I235"/>
  <c r="Q234"/>
  <c r="P234"/>
  <c r="O234"/>
  <c r="N234"/>
  <c r="M234"/>
  <c r="L234"/>
  <c r="K234"/>
  <c r="J234"/>
  <c r="I234"/>
  <c r="Q233"/>
  <c r="P233"/>
  <c r="O233"/>
  <c r="N233"/>
  <c r="M233"/>
  <c r="L233"/>
  <c r="K233"/>
  <c r="J233"/>
  <c r="I233"/>
  <c r="Q232"/>
  <c r="P232"/>
  <c r="O232"/>
  <c r="N232"/>
  <c r="M232"/>
  <c r="L232"/>
  <c r="K232"/>
  <c r="J232"/>
  <c r="I232"/>
  <c r="Q231"/>
  <c r="P231"/>
  <c r="O231"/>
  <c r="N231"/>
  <c r="M231"/>
  <c r="L231"/>
  <c r="K231"/>
  <c r="J231"/>
  <c r="I231"/>
  <c r="Q230"/>
  <c r="P230"/>
  <c r="O230"/>
  <c r="N230"/>
  <c r="M230"/>
  <c r="L230"/>
  <c r="K230"/>
  <c r="J230"/>
  <c r="I230"/>
  <c r="Q229"/>
  <c r="P229"/>
  <c r="O229"/>
  <c r="N229"/>
  <c r="M229"/>
  <c r="L229"/>
  <c r="K229"/>
  <c r="J229"/>
  <c r="I229"/>
  <c r="Q228"/>
  <c r="P228"/>
  <c r="O228"/>
  <c r="N228"/>
  <c r="M228"/>
  <c r="L228"/>
  <c r="K228"/>
  <c r="J228"/>
  <c r="I228"/>
  <c r="Q227"/>
  <c r="P227"/>
  <c r="O227"/>
  <c r="N227"/>
  <c r="M227"/>
  <c r="L227"/>
  <c r="K227"/>
  <c r="I227"/>
  <c r="Q223"/>
  <c r="P223"/>
  <c r="O223"/>
  <c r="N223"/>
  <c r="M223"/>
  <c r="L223"/>
  <c r="K223"/>
  <c r="J223"/>
  <c r="I223"/>
  <c r="Q222"/>
  <c r="P222"/>
  <c r="O222"/>
  <c r="N222"/>
  <c r="M222"/>
  <c r="L222"/>
  <c r="K222"/>
  <c r="J222"/>
  <c r="I222"/>
  <c r="Q221"/>
  <c r="P221"/>
  <c r="O221"/>
  <c r="N221"/>
  <c r="M221"/>
  <c r="L221"/>
  <c r="K221"/>
  <c r="J221"/>
  <c r="I221"/>
  <c r="Q220"/>
  <c r="P220"/>
  <c r="O220"/>
  <c r="N220"/>
  <c r="M220"/>
  <c r="L220"/>
  <c r="K220"/>
  <c r="J220"/>
  <c r="I220"/>
  <c r="Q219"/>
  <c r="P219"/>
  <c r="O219"/>
  <c r="N219"/>
  <c r="M219"/>
  <c r="L219"/>
  <c r="K219"/>
  <c r="J219"/>
  <c r="I219"/>
  <c r="Q218"/>
  <c r="P218"/>
  <c r="O218"/>
  <c r="N218"/>
  <c r="M218"/>
  <c r="L218"/>
  <c r="K218"/>
  <c r="J218"/>
  <c r="I218"/>
  <c r="Q217"/>
  <c r="P217"/>
  <c r="O217"/>
  <c r="N217"/>
  <c r="M217"/>
  <c r="L217"/>
  <c r="K217"/>
  <c r="J217"/>
  <c r="I217"/>
  <c r="Q216"/>
  <c r="P216"/>
  <c r="O216"/>
  <c r="N216"/>
  <c r="M216"/>
  <c r="L216"/>
  <c r="K216"/>
  <c r="J216"/>
  <c r="I216"/>
  <c r="Q215"/>
  <c r="P215"/>
  <c r="O215"/>
  <c r="N215"/>
  <c r="M215"/>
  <c r="L215"/>
  <c r="K215"/>
  <c r="J215"/>
  <c r="I215"/>
  <c r="Q214"/>
  <c r="P214"/>
  <c r="O214"/>
  <c r="N214"/>
  <c r="M214"/>
  <c r="L214"/>
  <c r="K214"/>
  <c r="J214"/>
  <c r="I214"/>
  <c r="Q213"/>
  <c r="P213"/>
  <c r="O213"/>
  <c r="N213"/>
  <c r="M213"/>
  <c r="L213"/>
  <c r="K213"/>
  <c r="J213"/>
  <c r="I213"/>
  <c r="Q212"/>
  <c r="P212"/>
  <c r="O212"/>
  <c r="N212"/>
  <c r="M212"/>
  <c r="L212"/>
  <c r="K212"/>
  <c r="J212"/>
  <c r="I212"/>
  <c r="Q211"/>
  <c r="P211"/>
  <c r="O211"/>
  <c r="N211"/>
  <c r="M211"/>
  <c r="L211"/>
  <c r="K211"/>
  <c r="J211"/>
  <c r="I211"/>
  <c r="Q210"/>
  <c r="P210"/>
  <c r="O210"/>
  <c r="N210"/>
  <c r="M210"/>
  <c r="L210"/>
  <c r="K210"/>
  <c r="J210"/>
  <c r="I210"/>
  <c r="Q209"/>
  <c r="P209"/>
  <c r="O209"/>
  <c r="N209"/>
  <c r="M209"/>
  <c r="L209"/>
  <c r="K209"/>
  <c r="J209"/>
  <c r="I209"/>
  <c r="Q208"/>
  <c r="P208"/>
  <c r="O208"/>
  <c r="N208"/>
  <c r="M208"/>
  <c r="L208"/>
  <c r="K208"/>
  <c r="J208"/>
  <c r="I208"/>
  <c r="Q207"/>
  <c r="P207"/>
  <c r="O207"/>
  <c r="N207"/>
  <c r="M207"/>
  <c r="L207"/>
  <c r="K207"/>
  <c r="J207"/>
  <c r="I207"/>
  <c r="Q206"/>
  <c r="P206"/>
  <c r="O206"/>
  <c r="N206"/>
  <c r="M206"/>
  <c r="L206"/>
  <c r="K206"/>
  <c r="J206"/>
  <c r="I206"/>
  <c r="Q205"/>
  <c r="P205"/>
  <c r="O205"/>
  <c r="N205"/>
  <c r="M205"/>
  <c r="L205"/>
  <c r="K205"/>
  <c r="J205"/>
  <c r="I205"/>
  <c r="Q204"/>
  <c r="P204"/>
  <c r="O204"/>
  <c r="N204"/>
  <c r="M204"/>
  <c r="L204"/>
  <c r="K204"/>
  <c r="J204"/>
  <c r="I204"/>
  <c r="W226"/>
  <c r="W227"/>
  <c r="W229"/>
  <c r="W230"/>
  <c r="W231"/>
  <c r="V231"/>
  <c r="O156"/>
  <c r="V229"/>
  <c r="V227"/>
  <c r="J181"/>
  <c r="K181"/>
  <c r="J182"/>
  <c r="K182"/>
  <c r="J183"/>
  <c r="K183"/>
  <c r="J184"/>
  <c r="K184"/>
  <c r="J185"/>
  <c r="K185"/>
  <c r="J186"/>
  <c r="K186"/>
  <c r="J187"/>
  <c r="K187"/>
  <c r="J188"/>
  <c r="K188"/>
  <c r="J189"/>
  <c r="K189"/>
  <c r="J190"/>
  <c r="K190"/>
  <c r="J191"/>
  <c r="K191"/>
  <c r="J192"/>
  <c r="K192"/>
  <c r="J193"/>
  <c r="K193"/>
  <c r="J194"/>
  <c r="K194"/>
  <c r="J195"/>
  <c r="K195"/>
  <c r="J196"/>
  <c r="K196"/>
  <c r="J197"/>
  <c r="K197"/>
  <c r="J198"/>
  <c r="K198"/>
  <c r="J199"/>
  <c r="K199"/>
  <c r="K180"/>
  <c r="J180"/>
  <c r="M180"/>
  <c r="L180"/>
  <c r="L181"/>
  <c r="M181"/>
  <c r="L182"/>
  <c r="M182"/>
  <c r="L183"/>
  <c r="M183"/>
  <c r="L184"/>
  <c r="M184"/>
  <c r="L185"/>
  <c r="M185"/>
  <c r="L186"/>
  <c r="M186"/>
  <c r="L187"/>
  <c r="M187"/>
  <c r="L188"/>
  <c r="M188"/>
  <c r="L189"/>
  <c r="M189"/>
  <c r="L190"/>
  <c r="M190"/>
  <c r="L191"/>
  <c r="M191"/>
  <c r="L192"/>
  <c r="M192"/>
  <c r="L193"/>
  <c r="M193"/>
  <c r="L194"/>
  <c r="M194"/>
  <c r="L195"/>
  <c r="M195"/>
  <c r="L196"/>
  <c r="M196"/>
  <c r="L197"/>
  <c r="M197"/>
  <c r="L198"/>
  <c r="M198"/>
  <c r="L199"/>
  <c r="M199"/>
  <c r="AJ192"/>
  <c r="AJ193"/>
  <c r="AJ194"/>
  <c r="AJ195"/>
  <c r="AJ196"/>
  <c r="AJ197"/>
  <c r="AJ198"/>
  <c r="AJ199"/>
  <c r="AJ200"/>
  <c r="AJ201"/>
  <c r="AJ202"/>
  <c r="AJ203"/>
  <c r="AJ204"/>
  <c r="AJ205"/>
  <c r="AJ206"/>
  <c r="AJ207"/>
  <c r="AJ208"/>
  <c r="AJ209"/>
  <c r="AJ210"/>
  <c r="AJ211"/>
  <c r="AJ212"/>
  <c r="AI192"/>
  <c r="AQ193"/>
  <c r="AQ194"/>
  <c r="AQ195"/>
  <c r="AQ196"/>
  <c r="AQ197"/>
  <c r="AQ198"/>
  <c r="AQ199"/>
  <c r="AQ200"/>
  <c r="AQ201"/>
  <c r="AQ202"/>
  <c r="AQ203"/>
  <c r="AQ204"/>
  <c r="AQ205"/>
  <c r="AQ206"/>
  <c r="AQ207"/>
  <c r="AQ208"/>
  <c r="AQ209"/>
  <c r="AQ210"/>
  <c r="AQ211"/>
  <c r="AQ212"/>
  <c r="I184"/>
  <c r="N184"/>
  <c r="O184"/>
  <c r="P184"/>
  <c r="Q184"/>
  <c r="AW27" i="4"/>
  <c r="AW25"/>
  <c r="O163" i="11"/>
  <c r="P163"/>
  <c r="O164"/>
  <c r="P164"/>
  <c r="W68"/>
  <c r="W69" s="1"/>
  <c r="W70" s="1"/>
  <c r="K3" i="9"/>
  <c r="F35"/>
  <c r="O172" i="11"/>
  <c r="P172"/>
  <c r="O173"/>
  <c r="P173"/>
  <c r="O174"/>
  <c r="P174"/>
  <c r="O169"/>
  <c r="P169"/>
  <c r="O170"/>
  <c r="P170"/>
  <c r="O171"/>
  <c r="P171"/>
  <c r="P167"/>
  <c r="O147"/>
  <c r="P147"/>
  <c r="O148"/>
  <c r="P148"/>
  <c r="O149"/>
  <c r="P149"/>
  <c r="O150"/>
  <c r="P150"/>
  <c r="O151"/>
  <c r="P151"/>
  <c r="O152"/>
  <c r="P152"/>
  <c r="O153"/>
  <c r="P153"/>
  <c r="O154"/>
  <c r="P154"/>
  <c r="O155"/>
  <c r="P155"/>
  <c r="P156"/>
  <c r="O157"/>
  <c r="P157"/>
  <c r="O158"/>
  <c r="P158"/>
  <c r="O159"/>
  <c r="P159"/>
  <c r="O160"/>
  <c r="P160"/>
  <c r="O161"/>
  <c r="P161"/>
  <c r="O162"/>
  <c r="P162"/>
  <c r="O165"/>
  <c r="P165"/>
  <c r="O166"/>
  <c r="P166"/>
  <c r="O167"/>
  <c r="O168"/>
  <c r="P168"/>
  <c r="O146"/>
  <c r="P146"/>
  <c r="V139"/>
  <c r="V138"/>
  <c r="U139"/>
  <c r="U138"/>
  <c r="AA73"/>
  <c r="AC30"/>
  <c r="AB39" s="1"/>
  <c r="AH30"/>
  <c r="Z26"/>
  <c r="Q10"/>
  <c r="AM5"/>
  <c r="AM9"/>
  <c r="AL9"/>
  <c r="AH9"/>
  <c r="AM8"/>
  <c r="AL8"/>
  <c r="AH8"/>
  <c r="AM7"/>
  <c r="AL7"/>
  <c r="AH7"/>
  <c r="AM6"/>
  <c r="AL6"/>
  <c r="AH6"/>
  <c r="AL5"/>
  <c r="AH5"/>
  <c r="AE6"/>
  <c r="AE7"/>
  <c r="AE8"/>
  <c r="AE9"/>
  <c r="AE5"/>
  <c r="N42" i="10"/>
  <c r="N33"/>
  <c r="P47"/>
  <c r="J43"/>
  <c r="J44"/>
  <c r="J45"/>
  <c r="J46"/>
  <c r="J42"/>
  <c r="H42"/>
  <c r="J91"/>
  <c r="AD6" i="11"/>
  <c r="AD7"/>
  <c r="AD8"/>
  <c r="AD9"/>
  <c r="AD5"/>
  <c r="AN24"/>
  <c r="AN25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26"/>
  <c r="Z6"/>
  <c r="Z7"/>
  <c r="Z8"/>
  <c r="Z9"/>
  <c r="Z5"/>
  <c r="O69" i="10"/>
  <c r="N16" i="9"/>
  <c r="AA3" i="6"/>
  <c r="Y3"/>
  <c r="T3" i="11"/>
  <c r="N160" s="1"/>
  <c r="L3" i="10"/>
  <c r="M3"/>
  <c r="T13" i="11"/>
  <c r="T26" s="1"/>
  <c r="T28"/>
  <c r="T18"/>
  <c r="Q14" i="10"/>
  <c r="Q6"/>
  <c r="Q13"/>
  <c r="Q10"/>
  <c r="Q9"/>
  <c r="AD37" i="1"/>
  <c r="AA49"/>
  <c r="O92" i="10"/>
  <c r="O146"/>
  <c r="O147" s="1"/>
  <c r="K132"/>
  <c r="S107" i="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2"/>
  <c r="S133"/>
  <c r="S134"/>
  <c r="S135"/>
  <c r="S136"/>
  <c r="S137"/>
  <c r="P128" i="10"/>
  <c r="K118"/>
  <c r="K119"/>
  <c r="K120"/>
  <c r="K121"/>
  <c r="K122"/>
  <c r="K123"/>
  <c r="K124"/>
  <c r="K125"/>
  <c r="K126"/>
  <c r="K127"/>
  <c r="K128"/>
  <c r="K129"/>
  <c r="K130"/>
  <c r="K131"/>
  <c r="K133"/>
  <c r="K134"/>
  <c r="K135"/>
  <c r="K136"/>
  <c r="K137"/>
  <c r="K138"/>
  <c r="K139"/>
  <c r="K117"/>
  <c r="Q5"/>
  <c r="R19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91"/>
  <c r="M4"/>
  <c r="N4"/>
  <c r="M5"/>
  <c r="N5"/>
  <c r="M6"/>
  <c r="N6"/>
  <c r="M7"/>
  <c r="N7"/>
  <c r="M8"/>
  <c r="N8"/>
  <c r="M9"/>
  <c r="N9"/>
  <c r="M10"/>
  <c r="N10"/>
  <c r="M11"/>
  <c r="N11"/>
  <c r="M12"/>
  <c r="N12"/>
  <c r="M13"/>
  <c r="N13"/>
  <c r="M14"/>
  <c r="N14"/>
  <c r="M15"/>
  <c r="N15"/>
  <c r="M16"/>
  <c r="N16"/>
  <c r="M17"/>
  <c r="N17"/>
  <c r="M18"/>
  <c r="N18"/>
  <c r="M19"/>
  <c r="N19"/>
  <c r="M20"/>
  <c r="N20"/>
  <c r="M21"/>
  <c r="N21"/>
  <c r="M22"/>
  <c r="N22"/>
  <c r="M23"/>
  <c r="N23"/>
  <c r="M24"/>
  <c r="N24"/>
  <c r="M25"/>
  <c r="N25"/>
  <c r="K107" i="7"/>
  <c r="P108"/>
  <c r="Q108" s="1"/>
  <c r="P109"/>
  <c r="Q109" s="1"/>
  <c r="P110"/>
  <c r="Q110" s="1"/>
  <c r="P111"/>
  <c r="Q111" s="1"/>
  <c r="P112"/>
  <c r="Q112" s="1"/>
  <c r="P113"/>
  <c r="Q113" s="1"/>
  <c r="P114"/>
  <c r="Q114" s="1"/>
  <c r="P115"/>
  <c r="Q115" s="1"/>
  <c r="P116"/>
  <c r="Q116" s="1"/>
  <c r="P117"/>
  <c r="Q117" s="1"/>
  <c r="P118"/>
  <c r="Q118" s="1"/>
  <c r="P119"/>
  <c r="Q119" s="1"/>
  <c r="P120"/>
  <c r="Q120" s="1"/>
  <c r="P121"/>
  <c r="Q121" s="1"/>
  <c r="P122"/>
  <c r="Q122" s="1"/>
  <c r="P123"/>
  <c r="Q123" s="1"/>
  <c r="P124"/>
  <c r="Q124" s="1"/>
  <c r="P125"/>
  <c r="Q125" s="1"/>
  <c r="P126"/>
  <c r="Q126" s="1"/>
  <c r="P127"/>
  <c r="Q127" s="1"/>
  <c r="P128"/>
  <c r="Q128" s="1"/>
  <c r="P129"/>
  <c r="Q129" s="1"/>
  <c r="P130"/>
  <c r="Q130" s="1"/>
  <c r="P131"/>
  <c r="Q131" s="1"/>
  <c r="P132"/>
  <c r="Q132" s="1"/>
  <c r="P133"/>
  <c r="Q133" s="1"/>
  <c r="P134"/>
  <c r="Q134" s="1"/>
  <c r="P135"/>
  <c r="Q135" s="1"/>
  <c r="P136"/>
  <c r="Q136" s="1"/>
  <c r="P137"/>
  <c r="Q137" s="1"/>
  <c r="P107"/>
  <c r="Q107" s="1"/>
  <c r="J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59"/>
  <c r="L60" i="10"/>
  <c r="P51"/>
  <c r="O72"/>
  <c r="K65"/>
  <c r="O71"/>
  <c r="AC49" i="7"/>
  <c r="K66" i="10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L65"/>
  <c r="P48"/>
  <c r="P49"/>
  <c r="X121"/>
  <c r="X122"/>
  <c r="X123"/>
  <c r="X120"/>
  <c r="Y120" s="1"/>
  <c r="Z120" s="1"/>
  <c r="AB124"/>
  <c r="X124"/>
  <c r="Y124" s="1"/>
  <c r="Z124" s="1"/>
  <c r="W124"/>
  <c r="V124"/>
  <c r="T124"/>
  <c r="S124"/>
  <c r="R124"/>
  <c r="AB123"/>
  <c r="Y123"/>
  <c r="Z123" s="1"/>
  <c r="W123"/>
  <c r="V123"/>
  <c r="T123"/>
  <c r="S123"/>
  <c r="R123"/>
  <c r="AB122"/>
  <c r="Y122"/>
  <c r="Z122" s="1"/>
  <c r="W122"/>
  <c r="V122"/>
  <c r="T122"/>
  <c r="S122"/>
  <c r="R122"/>
  <c r="AB121"/>
  <c r="Y121"/>
  <c r="Z121" s="1"/>
  <c r="W121"/>
  <c r="V121"/>
  <c r="T121"/>
  <c r="S121"/>
  <c r="R121"/>
  <c r="AB120"/>
  <c r="W120"/>
  <c r="V120"/>
  <c r="T120"/>
  <c r="S120"/>
  <c r="R120"/>
  <c r="M139"/>
  <c r="L139"/>
  <c r="J139"/>
  <c r="M138"/>
  <c r="L138"/>
  <c r="J138"/>
  <c r="M137"/>
  <c r="L137"/>
  <c r="J137"/>
  <c r="M136"/>
  <c r="L136"/>
  <c r="J136"/>
  <c r="M135"/>
  <c r="L135"/>
  <c r="J135"/>
  <c r="M134"/>
  <c r="L134"/>
  <c r="J134"/>
  <c r="M133"/>
  <c r="L133"/>
  <c r="J133"/>
  <c r="M132"/>
  <c r="L132"/>
  <c r="J132"/>
  <c r="M131"/>
  <c r="L131"/>
  <c r="J131"/>
  <c r="M130"/>
  <c r="L130"/>
  <c r="J130"/>
  <c r="M129"/>
  <c r="L129"/>
  <c r="J129"/>
  <c r="M128"/>
  <c r="L128"/>
  <c r="J128"/>
  <c r="M127"/>
  <c r="L127"/>
  <c r="J127"/>
  <c r="M126"/>
  <c r="L126"/>
  <c r="J126"/>
  <c r="M125"/>
  <c r="L125"/>
  <c r="J125"/>
  <c r="M124"/>
  <c r="L124"/>
  <c r="J124"/>
  <c r="M123"/>
  <c r="L123"/>
  <c r="J123"/>
  <c r="M122"/>
  <c r="L122"/>
  <c r="J122"/>
  <c r="M121"/>
  <c r="L121"/>
  <c r="J121"/>
  <c r="M120"/>
  <c r="L120"/>
  <c r="J120"/>
  <c r="M119"/>
  <c r="L119"/>
  <c r="J119"/>
  <c r="M118"/>
  <c r="L118"/>
  <c r="J118"/>
  <c r="M117"/>
  <c r="L117"/>
  <c r="J117"/>
  <c r="O25" i="9"/>
  <c r="H51" i="10"/>
  <c r="H52"/>
  <c r="H53"/>
  <c r="H54"/>
  <c r="H50"/>
  <c r="T36" i="9"/>
  <c r="L54" i="10"/>
  <c r="G54"/>
  <c r="F54"/>
  <c r="C54"/>
  <c r="B54"/>
  <c r="L53"/>
  <c r="G53"/>
  <c r="F53"/>
  <c r="C53"/>
  <c r="B53"/>
  <c r="L52"/>
  <c r="G52"/>
  <c r="F52"/>
  <c r="C52"/>
  <c r="B52"/>
  <c r="L51"/>
  <c r="G51"/>
  <c r="F51"/>
  <c r="C51"/>
  <c r="B51"/>
  <c r="L50"/>
  <c r="G50"/>
  <c r="F50"/>
  <c r="C50"/>
  <c r="B50"/>
  <c r="K3"/>
  <c r="M113"/>
  <c r="L113"/>
  <c r="J113"/>
  <c r="M112"/>
  <c r="L112"/>
  <c r="J112"/>
  <c r="M111"/>
  <c r="L111"/>
  <c r="J111"/>
  <c r="M110"/>
  <c r="L110"/>
  <c r="J110"/>
  <c r="M109"/>
  <c r="L109"/>
  <c r="J109"/>
  <c r="M108"/>
  <c r="L108"/>
  <c r="J108"/>
  <c r="M107"/>
  <c r="L107"/>
  <c r="J107"/>
  <c r="M106"/>
  <c r="L106"/>
  <c r="J106"/>
  <c r="M105"/>
  <c r="L105"/>
  <c r="J105"/>
  <c r="M104"/>
  <c r="L104"/>
  <c r="J104"/>
  <c r="M103"/>
  <c r="L103"/>
  <c r="J103"/>
  <c r="M102"/>
  <c r="L102"/>
  <c r="J102"/>
  <c r="M101"/>
  <c r="L101"/>
  <c r="J101"/>
  <c r="M100"/>
  <c r="L100"/>
  <c r="J100"/>
  <c r="M99"/>
  <c r="L99"/>
  <c r="J99"/>
  <c r="M98"/>
  <c r="L98"/>
  <c r="J98"/>
  <c r="M97"/>
  <c r="L97"/>
  <c r="J97"/>
  <c r="M96"/>
  <c r="L96"/>
  <c r="J96"/>
  <c r="M95"/>
  <c r="L95"/>
  <c r="J95"/>
  <c r="M94"/>
  <c r="L94"/>
  <c r="J94"/>
  <c r="M93"/>
  <c r="L93"/>
  <c r="J93"/>
  <c r="M92"/>
  <c r="L92"/>
  <c r="J92"/>
  <c r="M91"/>
  <c r="L91"/>
  <c r="J87"/>
  <c r="L87"/>
  <c r="M87"/>
  <c r="J86"/>
  <c r="L86"/>
  <c r="M86"/>
  <c r="M85"/>
  <c r="L85"/>
  <c r="J85"/>
  <c r="M84"/>
  <c r="L84"/>
  <c r="J84"/>
  <c r="M83"/>
  <c r="L83"/>
  <c r="J83"/>
  <c r="M82"/>
  <c r="L82"/>
  <c r="J82"/>
  <c r="M81"/>
  <c r="L81"/>
  <c r="J81"/>
  <c r="M80"/>
  <c r="L80"/>
  <c r="J80"/>
  <c r="M79"/>
  <c r="H46" s="1"/>
  <c r="L79"/>
  <c r="J79"/>
  <c r="M78"/>
  <c r="L78"/>
  <c r="J78"/>
  <c r="M77"/>
  <c r="L77"/>
  <c r="J77"/>
  <c r="M76"/>
  <c r="L76"/>
  <c r="J76"/>
  <c r="M75"/>
  <c r="L75"/>
  <c r="J75"/>
  <c r="M74"/>
  <c r="L74"/>
  <c r="J74"/>
  <c r="M73"/>
  <c r="L73"/>
  <c r="J73"/>
  <c r="M72"/>
  <c r="L72"/>
  <c r="J72"/>
  <c r="M71"/>
  <c r="L71"/>
  <c r="J71"/>
  <c r="M70"/>
  <c r="L70"/>
  <c r="J70"/>
  <c r="M69"/>
  <c r="L69"/>
  <c r="J69"/>
  <c r="M68"/>
  <c r="L68"/>
  <c r="J68"/>
  <c r="M67"/>
  <c r="L67"/>
  <c r="J67"/>
  <c r="M66"/>
  <c r="L66"/>
  <c r="J66"/>
  <c r="M65"/>
  <c r="J65"/>
  <c r="G58"/>
  <c r="G59" s="1"/>
  <c r="T37" i="9"/>
  <c r="T38"/>
  <c r="T39"/>
  <c r="T40"/>
  <c r="H58" i="10"/>
  <c r="H59" s="1"/>
  <c r="N3"/>
  <c r="U36" i="9"/>
  <c r="V36" s="1"/>
  <c r="L46" i="10"/>
  <c r="G46"/>
  <c r="F46"/>
  <c r="C46"/>
  <c r="B46"/>
  <c r="L45"/>
  <c r="G45"/>
  <c r="F45"/>
  <c r="C45"/>
  <c r="B45"/>
  <c r="L44"/>
  <c r="G44"/>
  <c r="F44"/>
  <c r="C44"/>
  <c r="B44"/>
  <c r="L43"/>
  <c r="G43"/>
  <c r="F43"/>
  <c r="C43"/>
  <c r="B43"/>
  <c r="L42"/>
  <c r="G42"/>
  <c r="F42"/>
  <c r="C42"/>
  <c r="B42"/>
  <c r="F33"/>
  <c r="F34"/>
  <c r="F35"/>
  <c r="F36"/>
  <c r="F37"/>
  <c r="G33"/>
  <c r="G34"/>
  <c r="AC48" i="7"/>
  <c r="AB49"/>
  <c r="T27" i="9"/>
  <c r="T28"/>
  <c r="L37" i="10"/>
  <c r="G37"/>
  <c r="C37"/>
  <c r="B37"/>
  <c r="L36"/>
  <c r="G36"/>
  <c r="C36"/>
  <c r="B36"/>
  <c r="L35"/>
  <c r="G35"/>
  <c r="C35"/>
  <c r="B35"/>
  <c r="L34"/>
  <c r="C34"/>
  <c r="B34"/>
  <c r="L33"/>
  <c r="C33"/>
  <c r="B33"/>
  <c r="P37" i="9"/>
  <c r="P38"/>
  <c r="P39"/>
  <c r="P40"/>
  <c r="P36"/>
  <c r="O36"/>
  <c r="K4" i="10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Z28"/>
  <c r="Z26"/>
  <c r="Z25"/>
  <c r="Z19"/>
  <c r="Z18"/>
  <c r="Z15"/>
  <c r="Z11"/>
  <c r="AD15" i="9"/>
  <c r="S36"/>
  <c r="S37"/>
  <c r="S38"/>
  <c r="S39"/>
  <c r="S40"/>
  <c r="L12"/>
  <c r="K12"/>
  <c r="J12"/>
  <c r="L11"/>
  <c r="K11"/>
  <c r="J11"/>
  <c r="L10"/>
  <c r="K10"/>
  <c r="J10"/>
  <c r="L9"/>
  <c r="K9"/>
  <c r="J9"/>
  <c r="L8"/>
  <c r="K8"/>
  <c r="J8"/>
  <c r="J3"/>
  <c r="U20"/>
  <c r="T30"/>
  <c r="T29"/>
  <c r="AA49" i="7"/>
  <c r="AB48"/>
  <c r="AA48"/>
  <c r="W49"/>
  <c r="W33"/>
  <c r="R49"/>
  <c r="R19" i="9"/>
  <c r="R22"/>
  <c r="K4"/>
  <c r="L4"/>
  <c r="K5"/>
  <c r="L5"/>
  <c r="K6"/>
  <c r="L6"/>
  <c r="K7"/>
  <c r="L7"/>
  <c r="K13"/>
  <c r="L13"/>
  <c r="K14"/>
  <c r="L14"/>
  <c r="K15"/>
  <c r="L15"/>
  <c r="K16"/>
  <c r="L16"/>
  <c r="K17"/>
  <c r="L17"/>
  <c r="K18"/>
  <c r="L18"/>
  <c r="K19"/>
  <c r="L19"/>
  <c r="K20"/>
  <c r="L20"/>
  <c r="K21"/>
  <c r="L21"/>
  <c r="K22"/>
  <c r="L22"/>
  <c r="K23"/>
  <c r="L23"/>
  <c r="K24"/>
  <c r="L24"/>
  <c r="K25"/>
  <c r="L25"/>
  <c r="L3"/>
  <c r="O37"/>
  <c r="O38"/>
  <c r="O39"/>
  <c r="O40"/>
  <c r="W37"/>
  <c r="W38"/>
  <c r="W39"/>
  <c r="W40"/>
  <c r="W36"/>
  <c r="R133" i="4"/>
  <c r="J19" i="9"/>
  <c r="J18"/>
  <c r="J4"/>
  <c r="J5"/>
  <c r="J6"/>
  <c r="J7"/>
  <c r="J13"/>
  <c r="J14"/>
  <c r="J15"/>
  <c r="J16"/>
  <c r="J17"/>
  <c r="J20"/>
  <c r="J21"/>
  <c r="J22"/>
  <c r="J23"/>
  <c r="J24"/>
  <c r="J25"/>
  <c r="Z28"/>
  <c r="Z26"/>
  <c r="Z25"/>
  <c r="Z19"/>
  <c r="Z18"/>
  <c r="Z15"/>
  <c r="BB14" s="1"/>
  <c r="Z11"/>
  <c r="Y54" i="7"/>
  <c r="Y53"/>
  <c r="Z49"/>
  <c r="AD53"/>
  <c r="AC53"/>
  <c r="AC54"/>
  <c r="AI10"/>
  <c r="S48"/>
  <c r="S49" s="1"/>
  <c r="X48"/>
  <c r="X49"/>
  <c r="Z48"/>
  <c r="R48"/>
  <c r="Y48"/>
  <c r="Y49" s="1"/>
  <c r="W48"/>
  <c r="U48"/>
  <c r="U49" s="1"/>
  <c r="W32"/>
  <c r="P59"/>
  <c r="T32"/>
  <c r="T33" s="1"/>
  <c r="P12"/>
  <c r="G130" i="4"/>
  <c r="P60" i="7"/>
  <c r="P61"/>
  <c r="P62"/>
  <c r="P63"/>
  <c r="P64"/>
  <c r="P65"/>
  <c r="P66"/>
  <c r="P67"/>
  <c r="Q67" s="1"/>
  <c r="P68"/>
  <c r="P69"/>
  <c r="P70"/>
  <c r="P71"/>
  <c r="Q71" s="1"/>
  <c r="P72"/>
  <c r="P73"/>
  <c r="P74"/>
  <c r="P75"/>
  <c r="P76"/>
  <c r="P77"/>
  <c r="P78"/>
  <c r="P79"/>
  <c r="P80"/>
  <c r="P81"/>
  <c r="P82"/>
  <c r="P83"/>
  <c r="Q83" s="1"/>
  <c r="P84"/>
  <c r="P85"/>
  <c r="P86"/>
  <c r="P87"/>
  <c r="Q87" s="1"/>
  <c r="P88"/>
  <c r="P89"/>
  <c r="J60"/>
  <c r="J61"/>
  <c r="J62"/>
  <c r="K62" s="1"/>
  <c r="J63"/>
  <c r="J64"/>
  <c r="J65"/>
  <c r="J66"/>
  <c r="K66" s="1"/>
  <c r="J67"/>
  <c r="J68"/>
  <c r="J69"/>
  <c r="J70"/>
  <c r="K70" s="1"/>
  <c r="J71"/>
  <c r="J72"/>
  <c r="J73"/>
  <c r="J74"/>
  <c r="K74" s="1"/>
  <c r="J75"/>
  <c r="J76"/>
  <c r="J77"/>
  <c r="J78"/>
  <c r="K78" s="1"/>
  <c r="J79"/>
  <c r="J80"/>
  <c r="J81"/>
  <c r="J82"/>
  <c r="K82" s="1"/>
  <c r="J83"/>
  <c r="J84"/>
  <c r="J85"/>
  <c r="J86"/>
  <c r="K86" s="1"/>
  <c r="J87"/>
  <c r="J88"/>
  <c r="J89"/>
  <c r="J90"/>
  <c r="K90" s="1"/>
  <c r="J91"/>
  <c r="J92"/>
  <c r="J93"/>
  <c r="J94"/>
  <c r="Q59" s="1"/>
  <c r="T59" s="1"/>
  <c r="J95"/>
  <c r="J96"/>
  <c r="J97"/>
  <c r="J98"/>
  <c r="K98" s="1"/>
  <c r="J99"/>
  <c r="K59"/>
  <c r="J12"/>
  <c r="P4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J52"/>
  <c r="J13"/>
  <c r="K13" s="1"/>
  <c r="J14"/>
  <c r="J15"/>
  <c r="J16"/>
  <c r="J17"/>
  <c r="K17" s="1"/>
  <c r="J18"/>
  <c r="J19"/>
  <c r="J20"/>
  <c r="J21"/>
  <c r="K21" s="1"/>
  <c r="J22"/>
  <c r="J23"/>
  <c r="J24"/>
  <c r="J25"/>
  <c r="K25" s="1"/>
  <c r="J26"/>
  <c r="J27"/>
  <c r="J28"/>
  <c r="J29"/>
  <c r="K29" s="1"/>
  <c r="J30"/>
  <c r="J31"/>
  <c r="J32"/>
  <c r="J33"/>
  <c r="K33" s="1"/>
  <c r="J34"/>
  <c r="J35"/>
  <c r="J36"/>
  <c r="J37"/>
  <c r="K37" s="1"/>
  <c r="J38"/>
  <c r="J39"/>
  <c r="J40"/>
  <c r="J41"/>
  <c r="K41" s="1"/>
  <c r="J42"/>
  <c r="J43"/>
  <c r="J44"/>
  <c r="J45"/>
  <c r="J46"/>
  <c r="K46" s="1"/>
  <c r="J47"/>
  <c r="J48"/>
  <c r="K45" s="1"/>
  <c r="J49"/>
  <c r="J50"/>
  <c r="K50" s="1"/>
  <c r="J51"/>
  <c r="Z4" i="6"/>
  <c r="J132" i="4"/>
  <c r="AK112"/>
  <c r="AN114" s="1"/>
  <c r="F155"/>
  <c r="AE83"/>
  <c r="AF84"/>
  <c r="Z84"/>
  <c r="AA84"/>
  <c r="AB84"/>
  <c r="AC84"/>
  <c r="AD84"/>
  <c r="AE84"/>
  <c r="AG84"/>
  <c r="AH84"/>
  <c r="AI84"/>
  <c r="AJ84"/>
  <c r="AK84"/>
  <c r="AL84"/>
  <c r="Z85"/>
  <c r="AA85"/>
  <c r="AB85"/>
  <c r="AC85"/>
  <c r="AD85"/>
  <c r="AE85"/>
  <c r="AF85"/>
  <c r="AG85"/>
  <c r="AH85"/>
  <c r="AI85"/>
  <c r="AJ85"/>
  <c r="AK85"/>
  <c r="AL85"/>
  <c r="Z86"/>
  <c r="AA86"/>
  <c r="AB86"/>
  <c r="AC86"/>
  <c r="AD86"/>
  <c r="AE86"/>
  <c r="AF86"/>
  <c r="AG86"/>
  <c r="AH86"/>
  <c r="AI86"/>
  <c r="AJ86"/>
  <c r="AK86"/>
  <c r="AL86"/>
  <c r="Z87"/>
  <c r="AA87"/>
  <c r="AB87"/>
  <c r="AC87"/>
  <c r="AD87"/>
  <c r="AE87"/>
  <c r="AF87"/>
  <c r="AG87"/>
  <c r="AH87"/>
  <c r="AI87"/>
  <c r="AJ87"/>
  <c r="AK87"/>
  <c r="AL87"/>
  <c r="Z88"/>
  <c r="AA88"/>
  <c r="AB88"/>
  <c r="AC88"/>
  <c r="AD88"/>
  <c r="AE88"/>
  <c r="AF88"/>
  <c r="AG88"/>
  <c r="AH88"/>
  <c r="AI88"/>
  <c r="AJ88"/>
  <c r="AK88"/>
  <c r="AL88"/>
  <c r="Z89"/>
  <c r="AA89"/>
  <c r="AB89"/>
  <c r="AC89"/>
  <c r="AD89"/>
  <c r="AE89"/>
  <c r="AF89"/>
  <c r="AG89"/>
  <c r="AH89"/>
  <c r="AI89"/>
  <c r="AJ89"/>
  <c r="AK89"/>
  <c r="AL89"/>
  <c r="Z90"/>
  <c r="AA90"/>
  <c r="AB90"/>
  <c r="AC90"/>
  <c r="AD90"/>
  <c r="AE90"/>
  <c r="AF90"/>
  <c r="AG90"/>
  <c r="AH90"/>
  <c r="AI90"/>
  <c r="AJ90"/>
  <c r="AK90"/>
  <c r="AL90"/>
  <c r="Z91"/>
  <c r="AA91"/>
  <c r="AB91"/>
  <c r="AC91"/>
  <c r="AD91"/>
  <c r="AE91"/>
  <c r="AF91"/>
  <c r="AG91"/>
  <c r="AH91"/>
  <c r="AI91"/>
  <c r="AJ91"/>
  <c r="AK91"/>
  <c r="AL91"/>
  <c r="Z92"/>
  <c r="AA92"/>
  <c r="AB92"/>
  <c r="AC92"/>
  <c r="AD92"/>
  <c r="AE92"/>
  <c r="AF92"/>
  <c r="AG92"/>
  <c r="AH92"/>
  <c r="AI92"/>
  <c r="AJ92"/>
  <c r="AK92"/>
  <c r="AL92"/>
  <c r="Z93"/>
  <c r="AA93"/>
  <c r="AB93"/>
  <c r="AC93"/>
  <c r="AD93"/>
  <c r="AE93"/>
  <c r="AF93"/>
  <c r="AG93"/>
  <c r="AH93"/>
  <c r="AI93"/>
  <c r="AJ93"/>
  <c r="AK93"/>
  <c r="AL93"/>
  <c r="Z94"/>
  <c r="AA94"/>
  <c r="AB94"/>
  <c r="AC94"/>
  <c r="AD94"/>
  <c r="AE94"/>
  <c r="AF94"/>
  <c r="AG94"/>
  <c r="AH94"/>
  <c r="AI94"/>
  <c r="AJ94"/>
  <c r="AK94"/>
  <c r="AL94"/>
  <c r="Z95"/>
  <c r="AA95"/>
  <c r="AB95"/>
  <c r="AC95"/>
  <c r="AD95"/>
  <c r="AE95"/>
  <c r="AF95"/>
  <c r="AG95"/>
  <c r="AH95"/>
  <c r="AI95"/>
  <c r="AJ95"/>
  <c r="AK95"/>
  <c r="AL95"/>
  <c r="Z96"/>
  <c r="AA96"/>
  <c r="AB96"/>
  <c r="AC96"/>
  <c r="AD96"/>
  <c r="AE96"/>
  <c r="AF96"/>
  <c r="AG96"/>
  <c r="AH96"/>
  <c r="AI96"/>
  <c r="AJ96"/>
  <c r="AK96"/>
  <c r="AL96"/>
  <c r="Z97"/>
  <c r="AA97"/>
  <c r="AB97"/>
  <c r="AC97"/>
  <c r="AD97"/>
  <c r="AE97"/>
  <c r="AF97"/>
  <c r="AG97"/>
  <c r="AH97"/>
  <c r="AI97"/>
  <c r="AJ97"/>
  <c r="AK97"/>
  <c r="AL97"/>
  <c r="Z98"/>
  <c r="AA98"/>
  <c r="AB98"/>
  <c r="AC98"/>
  <c r="AD98"/>
  <c r="AE98"/>
  <c r="AF98"/>
  <c r="AG98"/>
  <c r="AH98"/>
  <c r="AI98"/>
  <c r="AJ98"/>
  <c r="AK98"/>
  <c r="AL98"/>
  <c r="Z99"/>
  <c r="AA99"/>
  <c r="AB99"/>
  <c r="AC99"/>
  <c r="AD99"/>
  <c r="AE99"/>
  <c r="AF99"/>
  <c r="AG99"/>
  <c r="AH99"/>
  <c r="AI99"/>
  <c r="AJ99"/>
  <c r="AK99"/>
  <c r="AL99"/>
  <c r="Z100"/>
  <c r="AA100"/>
  <c r="AB100"/>
  <c r="AC100"/>
  <c r="AD100"/>
  <c r="AE100"/>
  <c r="AF100"/>
  <c r="AG100"/>
  <c r="AH100"/>
  <c r="AI100"/>
  <c r="AJ100"/>
  <c r="AK100"/>
  <c r="AL100"/>
  <c r="Z101"/>
  <c r="AA101"/>
  <c r="AB101"/>
  <c r="AC101"/>
  <c r="AD101"/>
  <c r="AE101"/>
  <c r="AF101"/>
  <c r="AG101"/>
  <c r="AH101"/>
  <c r="AI101"/>
  <c r="AJ101"/>
  <c r="AK101"/>
  <c r="AL101"/>
  <c r="Z102"/>
  <c r="AA102"/>
  <c r="AB102"/>
  <c r="AC102"/>
  <c r="AD102"/>
  <c r="AE102"/>
  <c r="AF102"/>
  <c r="AG102"/>
  <c r="AH102"/>
  <c r="AI102"/>
  <c r="AJ102"/>
  <c r="AK102"/>
  <c r="AL102"/>
  <c r="Z103"/>
  <c r="AA103"/>
  <c r="AB103"/>
  <c r="AC103"/>
  <c r="AD103"/>
  <c r="AE103"/>
  <c r="AF103"/>
  <c r="AG103"/>
  <c r="AH103"/>
  <c r="AI103"/>
  <c r="AJ103"/>
  <c r="AK103"/>
  <c r="AL103"/>
  <c r="Z104"/>
  <c r="AA104"/>
  <c r="AB104"/>
  <c r="AC104"/>
  <c r="AD104"/>
  <c r="AE104"/>
  <c r="AF104"/>
  <c r="AG104"/>
  <c r="AH104"/>
  <c r="AI104"/>
  <c r="AJ104"/>
  <c r="AK104"/>
  <c r="AL104"/>
  <c r="Z105"/>
  <c r="AA105"/>
  <c r="AB105"/>
  <c r="AC105"/>
  <c r="AD105"/>
  <c r="AE105"/>
  <c r="AF105"/>
  <c r="AG105"/>
  <c r="AH105"/>
  <c r="AI105"/>
  <c r="AJ105"/>
  <c r="AK105"/>
  <c r="AL105"/>
  <c r="Z106"/>
  <c r="AA106"/>
  <c r="AB106"/>
  <c r="AC106"/>
  <c r="AD106"/>
  <c r="AE106"/>
  <c r="AF106"/>
  <c r="AG106"/>
  <c r="AH106"/>
  <c r="AI106"/>
  <c r="AJ106"/>
  <c r="AK106"/>
  <c r="AL106"/>
  <c r="Z107"/>
  <c r="AA107"/>
  <c r="AB107"/>
  <c r="AC107"/>
  <c r="AD107"/>
  <c r="AE107"/>
  <c r="AF107"/>
  <c r="AG107"/>
  <c r="AH107"/>
  <c r="AI107"/>
  <c r="AJ107"/>
  <c r="AK107"/>
  <c r="AL107"/>
  <c r="Z108"/>
  <c r="AA108"/>
  <c r="AB108"/>
  <c r="AC108"/>
  <c r="AD108"/>
  <c r="AE108"/>
  <c r="AF108"/>
  <c r="AG108"/>
  <c r="AH108"/>
  <c r="AI108"/>
  <c r="AJ108"/>
  <c r="AK108"/>
  <c r="AL108"/>
  <c r="Z109"/>
  <c r="AA109"/>
  <c r="AB109"/>
  <c r="AC109"/>
  <c r="AD109"/>
  <c r="AE109"/>
  <c r="AF109"/>
  <c r="AG109"/>
  <c r="AH109"/>
  <c r="AI109"/>
  <c r="AJ109"/>
  <c r="AK109"/>
  <c r="AL109"/>
  <c r="Z110"/>
  <c r="AA110"/>
  <c r="AB110"/>
  <c r="AC110"/>
  <c r="AD110"/>
  <c r="AE110"/>
  <c r="AF110"/>
  <c r="AG110"/>
  <c r="AH110"/>
  <c r="AI110"/>
  <c r="AJ110"/>
  <c r="AK110"/>
  <c r="AL110"/>
  <c r="Z111"/>
  <c r="AA111"/>
  <c r="AB111"/>
  <c r="AC111"/>
  <c r="AD111"/>
  <c r="AE111"/>
  <c r="AF111"/>
  <c r="AG111"/>
  <c r="AH111"/>
  <c r="AI111"/>
  <c r="AJ111"/>
  <c r="AK111"/>
  <c r="AL111"/>
  <c r="Z112"/>
  <c r="AA112"/>
  <c r="AB112"/>
  <c r="AC112"/>
  <c r="AD112"/>
  <c r="AE112"/>
  <c r="AF112"/>
  <c r="AG112"/>
  <c r="AH112"/>
  <c r="AI112"/>
  <c r="AJ112"/>
  <c r="AL112"/>
  <c r="Z113"/>
  <c r="AA113"/>
  <c r="AB113"/>
  <c r="AC113"/>
  <c r="AD113"/>
  <c r="AE113"/>
  <c r="AF113"/>
  <c r="AG113"/>
  <c r="AH113"/>
  <c r="AI113"/>
  <c r="AJ113"/>
  <c r="AK113"/>
  <c r="AL113"/>
  <c r="Z114"/>
  <c r="AA114"/>
  <c r="AB114"/>
  <c r="AC114"/>
  <c r="AD114"/>
  <c r="AE114"/>
  <c r="AF114"/>
  <c r="AG114"/>
  <c r="AH114"/>
  <c r="AI114"/>
  <c r="AJ114"/>
  <c r="AK114"/>
  <c r="AL114"/>
  <c r="Z115"/>
  <c r="AA115"/>
  <c r="AB115"/>
  <c r="AC115"/>
  <c r="AD115"/>
  <c r="AE115"/>
  <c r="AF115"/>
  <c r="AG115"/>
  <c r="AH115"/>
  <c r="AI115"/>
  <c r="AJ115"/>
  <c r="AK115"/>
  <c r="AL115"/>
  <c r="Z116"/>
  <c r="AA116"/>
  <c r="AB116"/>
  <c r="AC116"/>
  <c r="AD116"/>
  <c r="AE116"/>
  <c r="AF116"/>
  <c r="AG116"/>
  <c r="AH116"/>
  <c r="AI116"/>
  <c r="AJ116"/>
  <c r="AK116"/>
  <c r="AL116"/>
  <c r="Z117"/>
  <c r="AA117"/>
  <c r="AB117"/>
  <c r="AC117"/>
  <c r="AD117"/>
  <c r="AE117"/>
  <c r="AF117"/>
  <c r="AG117"/>
  <c r="AH117"/>
  <c r="AI117"/>
  <c r="AJ117"/>
  <c r="AK117"/>
  <c r="AL117"/>
  <c r="Z118"/>
  <c r="AA118"/>
  <c r="AB118"/>
  <c r="AC118"/>
  <c r="AD118"/>
  <c r="AE118"/>
  <c r="AF118"/>
  <c r="AG118"/>
  <c r="AH118"/>
  <c r="AI118"/>
  <c r="AJ118"/>
  <c r="AK118"/>
  <c r="AL118"/>
  <c r="Z119"/>
  <c r="AA119"/>
  <c r="AB119"/>
  <c r="AC119"/>
  <c r="AD119"/>
  <c r="AE119"/>
  <c r="AF119"/>
  <c r="AG119"/>
  <c r="AH119"/>
  <c r="AI119"/>
  <c r="AJ119"/>
  <c r="AK119"/>
  <c r="AL119"/>
  <c r="Z120"/>
  <c r="AA120"/>
  <c r="AB120"/>
  <c r="AC120"/>
  <c r="AD120"/>
  <c r="AE120"/>
  <c r="AF120"/>
  <c r="AG120"/>
  <c r="AH120"/>
  <c r="AI120"/>
  <c r="AJ120"/>
  <c r="AK120"/>
  <c r="AL120"/>
  <c r="Z121"/>
  <c r="AA121"/>
  <c r="AB121"/>
  <c r="AC121"/>
  <c r="AD121"/>
  <c r="AE121"/>
  <c r="AF121"/>
  <c r="AG121"/>
  <c r="AH121"/>
  <c r="AI121"/>
  <c r="AJ121"/>
  <c r="AK121"/>
  <c r="AL121"/>
  <c r="Z122"/>
  <c r="AA122"/>
  <c r="AB122"/>
  <c r="AC122"/>
  <c r="AD122"/>
  <c r="AE122"/>
  <c r="AF122"/>
  <c r="AG122"/>
  <c r="AH122"/>
  <c r="AI122"/>
  <c r="AJ122"/>
  <c r="AK122"/>
  <c r="AL122"/>
  <c r="Z123"/>
  <c r="AA123"/>
  <c r="AB123"/>
  <c r="AC123"/>
  <c r="AD123"/>
  <c r="AE123"/>
  <c r="AF123"/>
  <c r="AG123"/>
  <c r="AH123"/>
  <c r="AI123"/>
  <c r="AJ123"/>
  <c r="AK123"/>
  <c r="AL123"/>
  <c r="Z124"/>
  <c r="AA124"/>
  <c r="AB124"/>
  <c r="AC124"/>
  <c r="AD124"/>
  <c r="AE124"/>
  <c r="AF124"/>
  <c r="AG124"/>
  <c r="AH124"/>
  <c r="AI124"/>
  <c r="AJ124"/>
  <c r="AK124"/>
  <c r="AL124"/>
  <c r="Z125"/>
  <c r="AA125"/>
  <c r="AB125"/>
  <c r="AC125"/>
  <c r="AD125"/>
  <c r="AE125"/>
  <c r="AF125"/>
  <c r="AG125"/>
  <c r="AH125"/>
  <c r="AI125"/>
  <c r="AJ125"/>
  <c r="AK125"/>
  <c r="AL125"/>
  <c r="Z126"/>
  <c r="AA126"/>
  <c r="AB126"/>
  <c r="AC126"/>
  <c r="AD126"/>
  <c r="AE126"/>
  <c r="AF126"/>
  <c r="AG126"/>
  <c r="AH126"/>
  <c r="AI126"/>
  <c r="AJ126"/>
  <c r="AK126"/>
  <c r="AL126"/>
  <c r="Z127"/>
  <c r="AA127"/>
  <c r="AB127"/>
  <c r="AC127"/>
  <c r="AD127"/>
  <c r="AE127"/>
  <c r="AF127"/>
  <c r="AG127"/>
  <c r="AH127"/>
  <c r="AI127"/>
  <c r="AJ127"/>
  <c r="AK127"/>
  <c r="AL127"/>
  <c r="Z128"/>
  <c r="AA128"/>
  <c r="AB128"/>
  <c r="AC128"/>
  <c r="AD128"/>
  <c r="AE128"/>
  <c r="AF128"/>
  <c r="AG128"/>
  <c r="AH128"/>
  <c r="AI128"/>
  <c r="AJ128"/>
  <c r="AK128"/>
  <c r="AL128"/>
  <c r="AL83"/>
  <c r="N28"/>
  <c r="AA83"/>
  <c r="AB83"/>
  <c r="AC83"/>
  <c r="AD83"/>
  <c r="O142"/>
  <c r="Y150"/>
  <c r="N59"/>
  <c r="L28"/>
  <c r="K62"/>
  <c r="AG148"/>
  <c r="O143"/>
  <c r="O144"/>
  <c r="O145"/>
  <c r="O146"/>
  <c r="O147"/>
  <c r="AH130"/>
  <c r="O133"/>
  <c r="S148"/>
  <c r="S147"/>
  <c r="S146"/>
  <c r="S145"/>
  <c r="S144"/>
  <c r="S143"/>
  <c r="S142"/>
  <c r="W3"/>
  <c r="Z3"/>
  <c r="AA3"/>
  <c r="Y3"/>
  <c r="Z83"/>
  <c r="S134"/>
  <c r="S135"/>
  <c r="S136"/>
  <c r="S137"/>
  <c r="S138"/>
  <c r="S139"/>
  <c r="S133"/>
  <c r="P138"/>
  <c r="O134"/>
  <c r="O135"/>
  <c r="O136"/>
  <c r="O137"/>
  <c r="O138"/>
  <c r="O139"/>
  <c r="P148"/>
  <c r="P136"/>
  <c r="P144"/>
  <c r="Q144" s="1"/>
  <c r="R144" s="1"/>
  <c r="T144" s="1"/>
  <c r="P143"/>
  <c r="P142"/>
  <c r="AK83"/>
  <c r="AJ83"/>
  <c r="AI83"/>
  <c r="AH83"/>
  <c r="AG83"/>
  <c r="AF83"/>
  <c r="AF133"/>
  <c r="W4"/>
  <c r="X4"/>
  <c r="Y4"/>
  <c r="Z4"/>
  <c r="AA4"/>
  <c r="AB4"/>
  <c r="AC4"/>
  <c r="AD4"/>
  <c r="AE4"/>
  <c r="AF4"/>
  <c r="AG4"/>
  <c r="W5"/>
  <c r="X5"/>
  <c r="Y5"/>
  <c r="Z5"/>
  <c r="AA5"/>
  <c r="AB5"/>
  <c r="AC5"/>
  <c r="AD5"/>
  <c r="AE5"/>
  <c r="AF5"/>
  <c r="AG5"/>
  <c r="W6"/>
  <c r="X6"/>
  <c r="Y6"/>
  <c r="Z6"/>
  <c r="AA6"/>
  <c r="AB6"/>
  <c r="AC6"/>
  <c r="AD6"/>
  <c r="AE6"/>
  <c r="AF6"/>
  <c r="AG6"/>
  <c r="W7"/>
  <c r="X7"/>
  <c r="Y7"/>
  <c r="Z7"/>
  <c r="AA7"/>
  <c r="AB7"/>
  <c r="AC7"/>
  <c r="AD7"/>
  <c r="AE7"/>
  <c r="AF7"/>
  <c r="AG7"/>
  <c r="W8"/>
  <c r="X8"/>
  <c r="Y8"/>
  <c r="Z8"/>
  <c r="AA8"/>
  <c r="AB8"/>
  <c r="AC8"/>
  <c r="AD8"/>
  <c r="AE8"/>
  <c r="AF8"/>
  <c r="AG8"/>
  <c r="W9"/>
  <c r="X9"/>
  <c r="Y9"/>
  <c r="Z9"/>
  <c r="AA9"/>
  <c r="AB9"/>
  <c r="AC9"/>
  <c r="AD9"/>
  <c r="AE9"/>
  <c r="AF9"/>
  <c r="AG9"/>
  <c r="W10"/>
  <c r="X10"/>
  <c r="Y10"/>
  <c r="Z10"/>
  <c r="AA10"/>
  <c r="AB10"/>
  <c r="AC10"/>
  <c r="AD10"/>
  <c r="AE10"/>
  <c r="AF10"/>
  <c r="AG10"/>
  <c r="W11"/>
  <c r="X11"/>
  <c r="Y11"/>
  <c r="Z11"/>
  <c r="AA11"/>
  <c r="AB11"/>
  <c r="AC11"/>
  <c r="AD11"/>
  <c r="AE11"/>
  <c r="AF11"/>
  <c r="AG11"/>
  <c r="W12"/>
  <c r="X12"/>
  <c r="Y12"/>
  <c r="Z12"/>
  <c r="AA12"/>
  <c r="AB12"/>
  <c r="AC12"/>
  <c r="AD12"/>
  <c r="AE12"/>
  <c r="AF12"/>
  <c r="AG12"/>
  <c r="W13"/>
  <c r="X13"/>
  <c r="Y13"/>
  <c r="Z13"/>
  <c r="AA13"/>
  <c r="AB13"/>
  <c r="AC13"/>
  <c r="AD13"/>
  <c r="AE13"/>
  <c r="AF13"/>
  <c r="AG13"/>
  <c r="W14"/>
  <c r="X14"/>
  <c r="Y14"/>
  <c r="Z14"/>
  <c r="AA14"/>
  <c r="AB14"/>
  <c r="AC14"/>
  <c r="AD14"/>
  <c r="AE14"/>
  <c r="AF14"/>
  <c r="AG14"/>
  <c r="W15"/>
  <c r="X15"/>
  <c r="Y15"/>
  <c r="Z15"/>
  <c r="AA15"/>
  <c r="AB15"/>
  <c r="AC15"/>
  <c r="AD15"/>
  <c r="AE15"/>
  <c r="AF15"/>
  <c r="AG15"/>
  <c r="W16"/>
  <c r="X16"/>
  <c r="Y16"/>
  <c r="Z16"/>
  <c r="AA16"/>
  <c r="AB16"/>
  <c r="AC16"/>
  <c r="AD16"/>
  <c r="AE16"/>
  <c r="AF16"/>
  <c r="AG16"/>
  <c r="W17"/>
  <c r="X17"/>
  <c r="Y17"/>
  <c r="Z17"/>
  <c r="AA17"/>
  <c r="AB17"/>
  <c r="AC17"/>
  <c r="AD17"/>
  <c r="AE17"/>
  <c r="AF17"/>
  <c r="AG17"/>
  <c r="W18"/>
  <c r="X18"/>
  <c r="Y18"/>
  <c r="Z18"/>
  <c r="AA18"/>
  <c r="AB18"/>
  <c r="AC18"/>
  <c r="AD18"/>
  <c r="AE18"/>
  <c r="AF18"/>
  <c r="AG18"/>
  <c r="W19"/>
  <c r="X19"/>
  <c r="Y19"/>
  <c r="Z19"/>
  <c r="AA19"/>
  <c r="AB19"/>
  <c r="AC19"/>
  <c r="AD19"/>
  <c r="AE19"/>
  <c r="AF19"/>
  <c r="AG19"/>
  <c r="W20"/>
  <c r="X20"/>
  <c r="Y20"/>
  <c r="Z20"/>
  <c r="AA20"/>
  <c r="AB20"/>
  <c r="AC20"/>
  <c r="AD20"/>
  <c r="AE20"/>
  <c r="AF20"/>
  <c r="AG20"/>
  <c r="W21"/>
  <c r="X21"/>
  <c r="Y21"/>
  <c r="Z21"/>
  <c r="AA21"/>
  <c r="AB21"/>
  <c r="AC21"/>
  <c r="AD21"/>
  <c r="AE21"/>
  <c r="AF21"/>
  <c r="AG21"/>
  <c r="W22"/>
  <c r="X22"/>
  <c r="Y22"/>
  <c r="Z22"/>
  <c r="AA22"/>
  <c r="AB22"/>
  <c r="AC22"/>
  <c r="AD22"/>
  <c r="AE22"/>
  <c r="AF22"/>
  <c r="AG22"/>
  <c r="W23"/>
  <c r="X23"/>
  <c r="Y23"/>
  <c r="Z23"/>
  <c r="AA23"/>
  <c r="AB23"/>
  <c r="AC23"/>
  <c r="AD23"/>
  <c r="AE23"/>
  <c r="AF23"/>
  <c r="AG23"/>
  <c r="W24"/>
  <c r="X24"/>
  <c r="Y24"/>
  <c r="Z24"/>
  <c r="AA24"/>
  <c r="AB24"/>
  <c r="AC24"/>
  <c r="AD24"/>
  <c r="AE24"/>
  <c r="AF24"/>
  <c r="AG24"/>
  <c r="W25"/>
  <c r="X25"/>
  <c r="Y25"/>
  <c r="Z25"/>
  <c r="AA25"/>
  <c r="AB25"/>
  <c r="AC25"/>
  <c r="AD25"/>
  <c r="AE25"/>
  <c r="AF25"/>
  <c r="AG25"/>
  <c r="W26"/>
  <c r="X26"/>
  <c r="Y26"/>
  <c r="Z26"/>
  <c r="AA26"/>
  <c r="AB26"/>
  <c r="AC26"/>
  <c r="AD26"/>
  <c r="AE26"/>
  <c r="AF26"/>
  <c r="AG26"/>
  <c r="W27"/>
  <c r="X27"/>
  <c r="Y27"/>
  <c r="Z27"/>
  <c r="AA27"/>
  <c r="AB27"/>
  <c r="AC27"/>
  <c r="AD27"/>
  <c r="AE27"/>
  <c r="AF27"/>
  <c r="AG27"/>
  <c r="R28"/>
  <c r="AH79"/>
  <c r="W60"/>
  <c r="AE32"/>
  <c r="K65" i="6"/>
  <c r="K64"/>
  <c r="AG60"/>
  <c r="AF60"/>
  <c r="AE60"/>
  <c r="AD60"/>
  <c r="AC60"/>
  <c r="AB60"/>
  <c r="AA60"/>
  <c r="Z60"/>
  <c r="Y60"/>
  <c r="X60"/>
  <c r="W60"/>
  <c r="AG59"/>
  <c r="AF59"/>
  <c r="AE59"/>
  <c r="AD59"/>
  <c r="AC59"/>
  <c r="AB59"/>
  <c r="AA59"/>
  <c r="Z59"/>
  <c r="Y59"/>
  <c r="X59"/>
  <c r="W59"/>
  <c r="AG58"/>
  <c r="AF58"/>
  <c r="AE58"/>
  <c r="AD58"/>
  <c r="AC58"/>
  <c r="AB58"/>
  <c r="AA58"/>
  <c r="Z58"/>
  <c r="Y58"/>
  <c r="X58"/>
  <c r="W58"/>
  <c r="AG57"/>
  <c r="AF57"/>
  <c r="AE57"/>
  <c r="AD57"/>
  <c r="AC57"/>
  <c r="AB57"/>
  <c r="AA57"/>
  <c r="Z57"/>
  <c r="Y57"/>
  <c r="X57"/>
  <c r="W57"/>
  <c r="AG56"/>
  <c r="AF56"/>
  <c r="AE56"/>
  <c r="AD56"/>
  <c r="AC56"/>
  <c r="AB56"/>
  <c r="AA56"/>
  <c r="Z56"/>
  <c r="Y56"/>
  <c r="X56"/>
  <c r="W56"/>
  <c r="AG55"/>
  <c r="AF55"/>
  <c r="AE55"/>
  <c r="AD55"/>
  <c r="AC55"/>
  <c r="AB55"/>
  <c r="AA55"/>
  <c r="Z55"/>
  <c r="Y55"/>
  <c r="X55"/>
  <c r="W55"/>
  <c r="AG54"/>
  <c r="AF54"/>
  <c r="AE54"/>
  <c r="AD54"/>
  <c r="AC54"/>
  <c r="AB54"/>
  <c r="AA54"/>
  <c r="Z54"/>
  <c r="Y54"/>
  <c r="X54"/>
  <c r="W54"/>
  <c r="AG53"/>
  <c r="AF53"/>
  <c r="AE53"/>
  <c r="AD53"/>
  <c r="AC53"/>
  <c r="AB53"/>
  <c r="AA53"/>
  <c r="Z53"/>
  <c r="Y53"/>
  <c r="X53"/>
  <c r="W53"/>
  <c r="AG52"/>
  <c r="AF52"/>
  <c r="AE52"/>
  <c r="AD52"/>
  <c r="AC52"/>
  <c r="AB52"/>
  <c r="AA52"/>
  <c r="Z52"/>
  <c r="Y52"/>
  <c r="X52"/>
  <c r="W52"/>
  <c r="AG51"/>
  <c r="AF51"/>
  <c r="AE51"/>
  <c r="AD51"/>
  <c r="AC51"/>
  <c r="AB51"/>
  <c r="AA51"/>
  <c r="Z51"/>
  <c r="Y51"/>
  <c r="X51"/>
  <c r="W51"/>
  <c r="AG50"/>
  <c r="AF50"/>
  <c r="AE50"/>
  <c r="AD50"/>
  <c r="AC50"/>
  <c r="AB50"/>
  <c r="AA50"/>
  <c r="Z50"/>
  <c r="Y50"/>
  <c r="X50"/>
  <c r="W50"/>
  <c r="AG49"/>
  <c r="AF49"/>
  <c r="AE49"/>
  <c r="AD49"/>
  <c r="AC49"/>
  <c r="AB49"/>
  <c r="AA49"/>
  <c r="Z49"/>
  <c r="Y49"/>
  <c r="X49"/>
  <c r="W49"/>
  <c r="AG48"/>
  <c r="AF48"/>
  <c r="AE48"/>
  <c r="AD48"/>
  <c r="AC48"/>
  <c r="AB48"/>
  <c r="AA48"/>
  <c r="Z48"/>
  <c r="Y48"/>
  <c r="X48"/>
  <c r="W48"/>
  <c r="AG47"/>
  <c r="AF47"/>
  <c r="AE47"/>
  <c r="AD47"/>
  <c r="AC47"/>
  <c r="AB47"/>
  <c r="AA47"/>
  <c r="Z47"/>
  <c r="Y47"/>
  <c r="X47"/>
  <c r="W47"/>
  <c r="AG46"/>
  <c r="AF46"/>
  <c r="AE46"/>
  <c r="AD46"/>
  <c r="AC46"/>
  <c r="AB46"/>
  <c r="AA46"/>
  <c r="Z46"/>
  <c r="Y46"/>
  <c r="X46"/>
  <c r="W46"/>
  <c r="AG45"/>
  <c r="AF45"/>
  <c r="AE45"/>
  <c r="AD45"/>
  <c r="AC45"/>
  <c r="AB45"/>
  <c r="AA45"/>
  <c r="Z45"/>
  <c r="Y45"/>
  <c r="X45"/>
  <c r="W45"/>
  <c r="AG44"/>
  <c r="AF44"/>
  <c r="AE44"/>
  <c r="AD44"/>
  <c r="AC44"/>
  <c r="AB44"/>
  <c r="AA44"/>
  <c r="Z44"/>
  <c r="Y44"/>
  <c r="X44"/>
  <c r="W44"/>
  <c r="AG43"/>
  <c r="AF43"/>
  <c r="AE43"/>
  <c r="AD43"/>
  <c r="AC43"/>
  <c r="AB43"/>
  <c r="AA43"/>
  <c r="Z43"/>
  <c r="Y43"/>
  <c r="X43"/>
  <c r="W43"/>
  <c r="AG42"/>
  <c r="AF42"/>
  <c r="AE42"/>
  <c r="AD42"/>
  <c r="AC42"/>
  <c r="AB42"/>
  <c r="AA42"/>
  <c r="Z42"/>
  <c r="Y42"/>
  <c r="X42"/>
  <c r="W42"/>
  <c r="AG41"/>
  <c r="AF41"/>
  <c r="AE41"/>
  <c r="AD41"/>
  <c r="AC41"/>
  <c r="AB41"/>
  <c r="AA41"/>
  <c r="Z41"/>
  <c r="Y41"/>
  <c r="X41"/>
  <c r="W41"/>
  <c r="AG40"/>
  <c r="AF40"/>
  <c r="AE40"/>
  <c r="AD40"/>
  <c r="AC40"/>
  <c r="AB40"/>
  <c r="AA40"/>
  <c r="Z40"/>
  <c r="Y40"/>
  <c r="X40"/>
  <c r="W40"/>
  <c r="AG39"/>
  <c r="AF39"/>
  <c r="AE39"/>
  <c r="AD39"/>
  <c r="AC39"/>
  <c r="AB39"/>
  <c r="AA39"/>
  <c r="Z39"/>
  <c r="Y39"/>
  <c r="X39"/>
  <c r="W39"/>
  <c r="AG38"/>
  <c r="AF38"/>
  <c r="AE38"/>
  <c r="AD38"/>
  <c r="AC38"/>
  <c r="AB38"/>
  <c r="AA38"/>
  <c r="Z38"/>
  <c r="Y38"/>
  <c r="X38"/>
  <c r="W38"/>
  <c r="AG37"/>
  <c r="AF37"/>
  <c r="AE37"/>
  <c r="AD37"/>
  <c r="AC37"/>
  <c r="AB37"/>
  <c r="AA37"/>
  <c r="Z37"/>
  <c r="Y37"/>
  <c r="X37"/>
  <c r="W37"/>
  <c r="AG36"/>
  <c r="AF36"/>
  <c r="AE36"/>
  <c r="AD36"/>
  <c r="AC36"/>
  <c r="AB36"/>
  <c r="AA36"/>
  <c r="Z36"/>
  <c r="Y36"/>
  <c r="X36"/>
  <c r="W36"/>
  <c r="AW28"/>
  <c r="AW27"/>
  <c r="AW26"/>
  <c r="AW25"/>
  <c r="AW19"/>
  <c r="AW18"/>
  <c r="AW20" s="1"/>
  <c r="AW15"/>
  <c r="AW21" s="1"/>
  <c r="AW11"/>
  <c r="AG27"/>
  <c r="AF27"/>
  <c r="AE27"/>
  <c r="AD27"/>
  <c r="AC27"/>
  <c r="AB27"/>
  <c r="AA27"/>
  <c r="Z27"/>
  <c r="Y27"/>
  <c r="X27"/>
  <c r="W27"/>
  <c r="AG26"/>
  <c r="AF26"/>
  <c r="AE26"/>
  <c r="AD26"/>
  <c r="AC26"/>
  <c r="AB26"/>
  <c r="AA26"/>
  <c r="Z26"/>
  <c r="Y26"/>
  <c r="X26"/>
  <c r="W26"/>
  <c r="AG25"/>
  <c r="AF25"/>
  <c r="AE25"/>
  <c r="AD25"/>
  <c r="AC25"/>
  <c r="AB25"/>
  <c r="AA25"/>
  <c r="Z25"/>
  <c r="Y25"/>
  <c r="X25"/>
  <c r="W25"/>
  <c r="AG24"/>
  <c r="AF24"/>
  <c r="AE24"/>
  <c r="AD24"/>
  <c r="AC24"/>
  <c r="AB24"/>
  <c r="AA24"/>
  <c r="Z24"/>
  <c r="Y24"/>
  <c r="X24"/>
  <c r="W24"/>
  <c r="AG23"/>
  <c r="AF23"/>
  <c r="AE23"/>
  <c r="AD23"/>
  <c r="AC23"/>
  <c r="AB23"/>
  <c r="AA23"/>
  <c r="Z23"/>
  <c r="Y23"/>
  <c r="X23"/>
  <c r="W23"/>
  <c r="AG22"/>
  <c r="AF22"/>
  <c r="AE22"/>
  <c r="AD22"/>
  <c r="AC22"/>
  <c r="AB22"/>
  <c r="AA22"/>
  <c r="Z22"/>
  <c r="Y22"/>
  <c r="X22"/>
  <c r="W22"/>
  <c r="AG21"/>
  <c r="AF21"/>
  <c r="AE21"/>
  <c r="AD21"/>
  <c r="AC21"/>
  <c r="AB21"/>
  <c r="AA21"/>
  <c r="Z21"/>
  <c r="Y21"/>
  <c r="X21"/>
  <c r="W21"/>
  <c r="AG20"/>
  <c r="AF20"/>
  <c r="AE20"/>
  <c r="AD20"/>
  <c r="AC20"/>
  <c r="AB20"/>
  <c r="AA20"/>
  <c r="Z20"/>
  <c r="Y20"/>
  <c r="X20"/>
  <c r="W20"/>
  <c r="AG19"/>
  <c r="AF19"/>
  <c r="AE19"/>
  <c r="AD19"/>
  <c r="AC19"/>
  <c r="AB19"/>
  <c r="AA19"/>
  <c r="Z19"/>
  <c r="Y19"/>
  <c r="X19"/>
  <c r="W19"/>
  <c r="AG18"/>
  <c r="AF18"/>
  <c r="AE18"/>
  <c r="AD18"/>
  <c r="AC18"/>
  <c r="AB18"/>
  <c r="AA18"/>
  <c r="Z18"/>
  <c r="Y18"/>
  <c r="X18"/>
  <c r="W18"/>
  <c r="AG17"/>
  <c r="AF17"/>
  <c r="AE17"/>
  <c r="AD17"/>
  <c r="AC17"/>
  <c r="AB17"/>
  <c r="AA17"/>
  <c r="O31" s="1"/>
  <c r="Z17"/>
  <c r="Y17"/>
  <c r="X17"/>
  <c r="W17"/>
  <c r="AG16"/>
  <c r="AF16"/>
  <c r="AE16"/>
  <c r="AD16"/>
  <c r="AC16"/>
  <c r="AB16"/>
  <c r="AA16"/>
  <c r="Z16"/>
  <c r="Y16"/>
  <c r="X16"/>
  <c r="W16"/>
  <c r="AG15"/>
  <c r="AF15"/>
  <c r="AE15"/>
  <c r="AD15"/>
  <c r="AC15"/>
  <c r="AB15"/>
  <c r="AA15"/>
  <c r="Z15"/>
  <c r="Y15"/>
  <c r="X15"/>
  <c r="W15"/>
  <c r="AG14"/>
  <c r="AF14"/>
  <c r="AE14"/>
  <c r="AD14"/>
  <c r="AC14"/>
  <c r="AB14"/>
  <c r="AA14"/>
  <c r="Z14"/>
  <c r="Y14"/>
  <c r="X14"/>
  <c r="W14"/>
  <c r="AG13"/>
  <c r="AF13"/>
  <c r="AE13"/>
  <c r="AD13"/>
  <c r="AC13"/>
  <c r="AB13"/>
  <c r="AA13"/>
  <c r="Z13"/>
  <c r="Y13"/>
  <c r="X13"/>
  <c r="W13"/>
  <c r="AG12"/>
  <c r="AF12"/>
  <c r="AE12"/>
  <c r="AD12"/>
  <c r="AC12"/>
  <c r="AB12"/>
  <c r="AA12"/>
  <c r="Z12"/>
  <c r="Y12"/>
  <c r="X12"/>
  <c r="W12"/>
  <c r="AG11"/>
  <c r="AF11"/>
  <c r="AE11"/>
  <c r="AD11"/>
  <c r="AC11"/>
  <c r="AB11"/>
  <c r="AA11"/>
  <c r="Z11"/>
  <c r="Y11"/>
  <c r="X11"/>
  <c r="W11"/>
  <c r="AG10"/>
  <c r="AF10"/>
  <c r="AE10"/>
  <c r="AD10"/>
  <c r="AC10"/>
  <c r="AB10"/>
  <c r="AA10"/>
  <c r="Z10"/>
  <c r="Y10"/>
  <c r="X10"/>
  <c r="W10"/>
  <c r="AG9"/>
  <c r="AF9"/>
  <c r="AE9"/>
  <c r="AD9"/>
  <c r="AC9"/>
  <c r="AB9"/>
  <c r="AA9"/>
  <c r="Z9"/>
  <c r="Y9"/>
  <c r="X9"/>
  <c r="W9"/>
  <c r="AG8"/>
  <c r="AF8"/>
  <c r="AE8"/>
  <c r="AD8"/>
  <c r="AC8"/>
  <c r="AB8"/>
  <c r="AA8"/>
  <c r="Z8"/>
  <c r="Y8"/>
  <c r="X8"/>
  <c r="W8"/>
  <c r="AG7"/>
  <c r="AF7"/>
  <c r="AE7"/>
  <c r="AD7"/>
  <c r="AC7"/>
  <c r="AB7"/>
  <c r="AA7"/>
  <c r="Z7"/>
  <c r="Y7"/>
  <c r="X7"/>
  <c r="W7"/>
  <c r="AG6"/>
  <c r="AF6"/>
  <c r="AE6"/>
  <c r="AD6"/>
  <c r="AC6"/>
  <c r="AB6"/>
  <c r="AA6"/>
  <c r="Z6"/>
  <c r="Y6"/>
  <c r="X6"/>
  <c r="W6"/>
  <c r="AG5"/>
  <c r="AF5"/>
  <c r="AE5"/>
  <c r="AD5"/>
  <c r="AC5"/>
  <c r="AB5"/>
  <c r="AA5"/>
  <c r="Z5"/>
  <c r="Y5"/>
  <c r="X5"/>
  <c r="W5"/>
  <c r="AG4"/>
  <c r="AF4"/>
  <c r="AE4"/>
  <c r="AD4"/>
  <c r="AC4"/>
  <c r="AB4"/>
  <c r="AA4"/>
  <c r="Y4"/>
  <c r="X4"/>
  <c r="W4"/>
  <c r="AG3"/>
  <c r="AF3"/>
  <c r="AE3"/>
  <c r="AD3"/>
  <c r="AC3"/>
  <c r="AB3"/>
  <c r="Z3"/>
  <c r="X3"/>
  <c r="W3"/>
  <c r="Z32" i="4"/>
  <c r="AH43"/>
  <c r="AA33"/>
  <c r="AB33"/>
  <c r="AC33"/>
  <c r="AD33"/>
  <c r="AE33"/>
  <c r="AF33"/>
  <c r="AG33"/>
  <c r="AH33"/>
  <c r="AI33"/>
  <c r="AJ33"/>
  <c r="AK33"/>
  <c r="AL33"/>
  <c r="AA34"/>
  <c r="AB34"/>
  <c r="AC34"/>
  <c r="AD34"/>
  <c r="AE34"/>
  <c r="AF34"/>
  <c r="AG34"/>
  <c r="AH34"/>
  <c r="AI34"/>
  <c r="AJ34"/>
  <c r="AK34"/>
  <c r="AL34"/>
  <c r="AA35"/>
  <c r="AB35"/>
  <c r="AC35"/>
  <c r="AD35"/>
  <c r="AE35"/>
  <c r="AF35"/>
  <c r="AG35"/>
  <c r="AH35"/>
  <c r="AI35"/>
  <c r="AJ35"/>
  <c r="AK35"/>
  <c r="AL35"/>
  <c r="AA36"/>
  <c r="AB36"/>
  <c r="AC36"/>
  <c r="AD36"/>
  <c r="AE36"/>
  <c r="AF36"/>
  <c r="AG36"/>
  <c r="AH36"/>
  <c r="AI36"/>
  <c r="AJ36"/>
  <c r="AK36"/>
  <c r="AL36"/>
  <c r="AA37"/>
  <c r="AB37"/>
  <c r="AC37"/>
  <c r="AD37"/>
  <c r="AE37"/>
  <c r="AF37"/>
  <c r="AG37"/>
  <c r="AH37"/>
  <c r="AI37"/>
  <c r="AJ37"/>
  <c r="AK37"/>
  <c r="AL37"/>
  <c r="AA38"/>
  <c r="AB38"/>
  <c r="AC38"/>
  <c r="AD38"/>
  <c r="AE38"/>
  <c r="AF38"/>
  <c r="AG38"/>
  <c r="AH38"/>
  <c r="AI38"/>
  <c r="AJ38"/>
  <c r="AK38"/>
  <c r="AL38"/>
  <c r="AA39"/>
  <c r="AB39"/>
  <c r="AC39"/>
  <c r="AD39"/>
  <c r="AE39"/>
  <c r="AF39"/>
  <c r="AG39"/>
  <c r="AH39"/>
  <c r="AI39"/>
  <c r="AJ39"/>
  <c r="AK39"/>
  <c r="AL39"/>
  <c r="AA40"/>
  <c r="AB40"/>
  <c r="AC40"/>
  <c r="AD40"/>
  <c r="AE40"/>
  <c r="AF40"/>
  <c r="AG40"/>
  <c r="AH40"/>
  <c r="AI40"/>
  <c r="AJ40"/>
  <c r="AK40"/>
  <c r="AL40"/>
  <c r="AA41"/>
  <c r="AB41"/>
  <c r="AC41"/>
  <c r="AD41"/>
  <c r="AE41"/>
  <c r="AF41"/>
  <c r="AG41"/>
  <c r="AH41"/>
  <c r="AI41"/>
  <c r="AJ41"/>
  <c r="AK41"/>
  <c r="AL41"/>
  <c r="AA42"/>
  <c r="AB42"/>
  <c r="AC42"/>
  <c r="AD42"/>
  <c r="AE42"/>
  <c r="AF42"/>
  <c r="AG42"/>
  <c r="AH42"/>
  <c r="AI42"/>
  <c r="AJ42"/>
  <c r="AK42"/>
  <c r="AL42"/>
  <c r="AH80" s="1"/>
  <c r="AA43"/>
  <c r="AB43"/>
  <c r="AC43"/>
  <c r="AD43"/>
  <c r="AE43"/>
  <c r="AF43"/>
  <c r="AG43"/>
  <c r="AI43"/>
  <c r="AJ43"/>
  <c r="AK43"/>
  <c r="AL43"/>
  <c r="AA44"/>
  <c r="AB44"/>
  <c r="AC44"/>
  <c r="AD44"/>
  <c r="AE44"/>
  <c r="AF44"/>
  <c r="AG44"/>
  <c r="AH44"/>
  <c r="AI44"/>
  <c r="AJ44"/>
  <c r="AK44"/>
  <c r="AL44"/>
  <c r="AA45"/>
  <c r="AB45"/>
  <c r="AC45"/>
  <c r="AD45"/>
  <c r="AE45"/>
  <c r="AF45"/>
  <c r="AG45"/>
  <c r="AH45"/>
  <c r="AI45"/>
  <c r="AJ45"/>
  <c r="AK45"/>
  <c r="AL45"/>
  <c r="AA46"/>
  <c r="AB46"/>
  <c r="AC46"/>
  <c r="AD46"/>
  <c r="AE46"/>
  <c r="AF46"/>
  <c r="AG46"/>
  <c r="AH46"/>
  <c r="AI46"/>
  <c r="AJ46"/>
  <c r="AK46"/>
  <c r="AL46"/>
  <c r="AA47"/>
  <c r="AB47"/>
  <c r="AC47"/>
  <c r="AD47"/>
  <c r="AE47"/>
  <c r="AF47"/>
  <c r="AG47"/>
  <c r="AH47"/>
  <c r="AI47"/>
  <c r="AJ47"/>
  <c r="AK47"/>
  <c r="AI78" s="1"/>
  <c r="AL47"/>
  <c r="AA48"/>
  <c r="AB48"/>
  <c r="AC48"/>
  <c r="AD48"/>
  <c r="AE48"/>
  <c r="AF48"/>
  <c r="AG48"/>
  <c r="AH48"/>
  <c r="AI48"/>
  <c r="AJ48"/>
  <c r="AK48"/>
  <c r="AL48"/>
  <c r="AA49"/>
  <c r="AB49"/>
  <c r="AC49"/>
  <c r="AD49"/>
  <c r="AE49"/>
  <c r="AF49"/>
  <c r="AG49"/>
  <c r="AH49"/>
  <c r="AI49"/>
  <c r="AJ49"/>
  <c r="AK49"/>
  <c r="AL49"/>
  <c r="AA50"/>
  <c r="AB50"/>
  <c r="AC50"/>
  <c r="AD50"/>
  <c r="AE50"/>
  <c r="AF50"/>
  <c r="AG50"/>
  <c r="AH50"/>
  <c r="AI50"/>
  <c r="AJ50"/>
  <c r="AK50"/>
  <c r="AL50"/>
  <c r="AA51"/>
  <c r="AB51"/>
  <c r="AC51"/>
  <c r="AD51"/>
  <c r="AE51"/>
  <c r="AF51"/>
  <c r="AG51"/>
  <c r="AH51"/>
  <c r="AI51"/>
  <c r="AJ51"/>
  <c r="AK51"/>
  <c r="AL51"/>
  <c r="AA52"/>
  <c r="AB52"/>
  <c r="AC52"/>
  <c r="AD52"/>
  <c r="AE52"/>
  <c r="AF52"/>
  <c r="AG52"/>
  <c r="AH52"/>
  <c r="AI52"/>
  <c r="AJ52"/>
  <c r="AK52"/>
  <c r="AL52"/>
  <c r="AA53"/>
  <c r="AB53"/>
  <c r="AC53"/>
  <c r="AD53"/>
  <c r="AE53"/>
  <c r="AF53"/>
  <c r="AG53"/>
  <c r="AH53"/>
  <c r="AI53"/>
  <c r="AJ53"/>
  <c r="AK53"/>
  <c r="AL53"/>
  <c r="AA54"/>
  <c r="AB54"/>
  <c r="AC54"/>
  <c r="AD54"/>
  <c r="AE54"/>
  <c r="AF54"/>
  <c r="AG54"/>
  <c r="AH54"/>
  <c r="AI54"/>
  <c r="AJ54"/>
  <c r="AK54"/>
  <c r="AL54"/>
  <c r="AA55"/>
  <c r="AB55"/>
  <c r="AC55"/>
  <c r="AD55"/>
  <c r="AE55"/>
  <c r="AF55"/>
  <c r="AG55"/>
  <c r="AH55"/>
  <c r="AI55"/>
  <c r="AJ55"/>
  <c r="AK55"/>
  <c r="AL55"/>
  <c r="AA56"/>
  <c r="AB56"/>
  <c r="AC56"/>
  <c r="AD56"/>
  <c r="AE56"/>
  <c r="AF56"/>
  <c r="AG56"/>
  <c r="AH56"/>
  <c r="AI56"/>
  <c r="AJ56"/>
  <c r="AK56"/>
  <c r="AL56"/>
  <c r="AC32"/>
  <c r="AD32"/>
  <c r="AB32"/>
  <c r="AF32"/>
  <c r="Z56"/>
  <c r="Z55"/>
  <c r="Z54"/>
  <c r="Z53"/>
  <c r="Z52"/>
  <c r="Z51"/>
  <c r="Z50"/>
  <c r="Z49"/>
  <c r="Z48"/>
  <c r="Z47"/>
  <c r="Z46"/>
  <c r="Z45"/>
  <c r="Z44"/>
  <c r="Z43"/>
  <c r="Z42"/>
  <c r="Z41"/>
  <c r="Z40"/>
  <c r="Z39"/>
  <c r="Z38"/>
  <c r="Z37"/>
  <c r="Z36"/>
  <c r="Z35"/>
  <c r="Z34"/>
  <c r="Z33"/>
  <c r="AL32"/>
  <c r="AK32"/>
  <c r="AJ32"/>
  <c r="AI32"/>
  <c r="AH32"/>
  <c r="AG32"/>
  <c r="AA32"/>
  <c r="AC3"/>
  <c r="AB3"/>
  <c r="AG3"/>
  <c r="AF3"/>
  <c r="AE3"/>
  <c r="AD3"/>
  <c r="AM123"/>
  <c r="AM125"/>
  <c r="AM127"/>
  <c r="X3"/>
  <c r="T42" i="1"/>
  <c r="AW28" i="4"/>
  <c r="AW26"/>
  <c r="AW19"/>
  <c r="AW18"/>
  <c r="AW15"/>
  <c r="AW11"/>
  <c r="T164" i="11" l="1"/>
  <c r="L164"/>
  <c r="Q163"/>
  <c r="M163"/>
  <c r="N180"/>
  <c r="I181"/>
  <c r="O181"/>
  <c r="P182"/>
  <c r="Q183"/>
  <c r="N185"/>
  <c r="I186"/>
  <c r="O186"/>
  <c r="P187"/>
  <c r="Q188"/>
  <c r="N189"/>
  <c r="I190"/>
  <c r="O190"/>
  <c r="P191"/>
  <c r="Q192"/>
  <c r="Q199"/>
  <c r="P198"/>
  <c r="O197"/>
  <c r="I197"/>
  <c r="N196"/>
  <c r="Q195"/>
  <c r="P194"/>
  <c r="O193"/>
  <c r="I193"/>
  <c r="Q164"/>
  <c r="M164"/>
  <c r="R163"/>
  <c r="N163"/>
  <c r="Q180"/>
  <c r="N181"/>
  <c r="I182"/>
  <c r="O182"/>
  <c r="P183"/>
  <c r="Q185"/>
  <c r="N186"/>
  <c r="I187"/>
  <c r="O187"/>
  <c r="P188"/>
  <c r="Q189"/>
  <c r="N190"/>
  <c r="I191"/>
  <c r="O191"/>
  <c r="P192"/>
  <c r="N199"/>
  <c r="Q198"/>
  <c r="P197"/>
  <c r="O196"/>
  <c r="I196"/>
  <c r="N195"/>
  <c r="Q194"/>
  <c r="P193"/>
  <c r="R164"/>
  <c r="N164"/>
  <c r="S163"/>
  <c r="P180"/>
  <c r="Q181"/>
  <c r="N182"/>
  <c r="I183"/>
  <c r="O183"/>
  <c r="P185"/>
  <c r="Q186"/>
  <c r="N187"/>
  <c r="I188"/>
  <c r="O188"/>
  <c r="P189"/>
  <c r="Q190"/>
  <c r="N191"/>
  <c r="I192"/>
  <c r="O192"/>
  <c r="O199"/>
  <c r="I199"/>
  <c r="N198"/>
  <c r="Q197"/>
  <c r="P196"/>
  <c r="O195"/>
  <c r="I195"/>
  <c r="N194"/>
  <c r="Q193"/>
  <c r="S164"/>
  <c r="T163"/>
  <c r="L163"/>
  <c r="I180"/>
  <c r="O180"/>
  <c r="P181"/>
  <c r="Q182"/>
  <c r="N183"/>
  <c r="I185"/>
  <c r="O185"/>
  <c r="P186"/>
  <c r="Q187"/>
  <c r="N188"/>
  <c r="I189"/>
  <c r="O189"/>
  <c r="P190"/>
  <c r="Q191"/>
  <c r="N192"/>
  <c r="P199"/>
  <c r="O198"/>
  <c r="I198"/>
  <c r="N197"/>
  <c r="Q196"/>
  <c r="P195"/>
  <c r="O194"/>
  <c r="I194"/>
  <c r="N193"/>
  <c r="R167"/>
  <c r="L167"/>
  <c r="Q166"/>
  <c r="T168"/>
  <c r="N168"/>
  <c r="M146"/>
  <c r="T171"/>
  <c r="L171"/>
  <c r="Q170"/>
  <c r="M170"/>
  <c r="R169"/>
  <c r="N169"/>
  <c r="S174"/>
  <c r="T173"/>
  <c r="L173"/>
  <c r="Q172"/>
  <c r="M172"/>
  <c r="S167"/>
  <c r="M167"/>
  <c r="R166"/>
  <c r="L166"/>
  <c r="Q168"/>
  <c r="N146"/>
  <c r="Q171"/>
  <c r="M171"/>
  <c r="R170"/>
  <c r="N170"/>
  <c r="S169"/>
  <c r="T174"/>
  <c r="L174"/>
  <c r="Q173"/>
  <c r="M173"/>
  <c r="R172"/>
  <c r="N172"/>
  <c r="T167"/>
  <c r="N167"/>
  <c r="S166"/>
  <c r="M166"/>
  <c r="R168"/>
  <c r="L168"/>
  <c r="R171"/>
  <c r="N171"/>
  <c r="S170"/>
  <c r="T169"/>
  <c r="L169"/>
  <c r="Q174"/>
  <c r="M174"/>
  <c r="R173"/>
  <c r="N173"/>
  <c r="S172"/>
  <c r="Q167"/>
  <c r="T166"/>
  <c r="N166"/>
  <c r="S168"/>
  <c r="M168"/>
  <c r="S171"/>
  <c r="T170"/>
  <c r="L170"/>
  <c r="Q169"/>
  <c r="M169"/>
  <c r="R174"/>
  <c r="N174"/>
  <c r="S173"/>
  <c r="T172"/>
  <c r="L172"/>
  <c r="O140"/>
  <c r="K140"/>
  <c r="N139"/>
  <c r="J139"/>
  <c r="M142"/>
  <c r="I142"/>
  <c r="L141"/>
  <c r="L109"/>
  <c r="O113"/>
  <c r="K113"/>
  <c r="N121"/>
  <c r="J121"/>
  <c r="M124"/>
  <c r="I124"/>
  <c r="L134"/>
  <c r="O137"/>
  <c r="K137"/>
  <c r="N110"/>
  <c r="J110"/>
  <c r="M122"/>
  <c r="I122"/>
  <c r="L135"/>
  <c r="L107"/>
  <c r="O119"/>
  <c r="K119"/>
  <c r="N132"/>
  <c r="J132"/>
  <c r="T146"/>
  <c r="Q147"/>
  <c r="L150"/>
  <c r="R150"/>
  <c r="M154"/>
  <c r="S154"/>
  <c r="N165"/>
  <c r="T165"/>
  <c r="S157"/>
  <c r="M157"/>
  <c r="R159"/>
  <c r="L159"/>
  <c r="Q158"/>
  <c r="T155"/>
  <c r="N155"/>
  <c r="S149"/>
  <c r="M149"/>
  <c r="R148"/>
  <c r="L148"/>
  <c r="Q156"/>
  <c r="R153"/>
  <c r="L153"/>
  <c r="Q151"/>
  <c r="T152"/>
  <c r="N152"/>
  <c r="S162"/>
  <c r="M162"/>
  <c r="R161"/>
  <c r="L161"/>
  <c r="Q160"/>
  <c r="L140"/>
  <c r="O139"/>
  <c r="K139"/>
  <c r="N142"/>
  <c r="J142"/>
  <c r="M141"/>
  <c r="I141"/>
  <c r="M109"/>
  <c r="I109"/>
  <c r="L113"/>
  <c r="O121"/>
  <c r="K121"/>
  <c r="N124"/>
  <c r="J124"/>
  <c r="M134"/>
  <c r="I134"/>
  <c r="L137"/>
  <c r="O110"/>
  <c r="K110"/>
  <c r="N122"/>
  <c r="J122"/>
  <c r="M135"/>
  <c r="I135"/>
  <c r="M107"/>
  <c r="I107"/>
  <c r="L119"/>
  <c r="O132"/>
  <c r="K132"/>
  <c r="S146"/>
  <c r="N147"/>
  <c r="T147"/>
  <c r="Q150"/>
  <c r="L154"/>
  <c r="R154"/>
  <c r="M165"/>
  <c r="S165"/>
  <c r="T157"/>
  <c r="N157"/>
  <c r="S159"/>
  <c r="M159"/>
  <c r="R158"/>
  <c r="L158"/>
  <c r="Q155"/>
  <c r="T149"/>
  <c r="N149"/>
  <c r="S148"/>
  <c r="M148"/>
  <c r="R156"/>
  <c r="L156"/>
  <c r="S153"/>
  <c r="M153"/>
  <c r="R151"/>
  <c r="L151"/>
  <c r="Q152"/>
  <c r="T162"/>
  <c r="N162"/>
  <c r="S161"/>
  <c r="M161"/>
  <c r="R160"/>
  <c r="L160"/>
  <c r="M140"/>
  <c r="I140"/>
  <c r="L139"/>
  <c r="O142"/>
  <c r="K142"/>
  <c r="N141"/>
  <c r="J141"/>
  <c r="N109"/>
  <c r="J109"/>
  <c r="M113"/>
  <c r="I113"/>
  <c r="L121"/>
  <c r="O124"/>
  <c r="K124"/>
  <c r="N134"/>
  <c r="J134"/>
  <c r="M137"/>
  <c r="I137"/>
  <c r="L110"/>
  <c r="O122"/>
  <c r="K122"/>
  <c r="N135"/>
  <c r="J135"/>
  <c r="N107"/>
  <c r="J107"/>
  <c r="M119"/>
  <c r="I119"/>
  <c r="L132"/>
  <c r="L146"/>
  <c r="R146"/>
  <c r="M147"/>
  <c r="S147"/>
  <c r="N150"/>
  <c r="T150"/>
  <c r="Q154"/>
  <c r="L165"/>
  <c r="R165"/>
  <c r="Q157"/>
  <c r="T159"/>
  <c r="N159"/>
  <c r="S158"/>
  <c r="M158"/>
  <c r="R155"/>
  <c r="L155"/>
  <c r="Q149"/>
  <c r="T148"/>
  <c r="N148"/>
  <c r="S156"/>
  <c r="M156"/>
  <c r="T153"/>
  <c r="N153"/>
  <c r="S151"/>
  <c r="M151"/>
  <c r="Y155" s="1"/>
  <c r="R152"/>
  <c r="L152"/>
  <c r="Q162"/>
  <c r="T161"/>
  <c r="N161"/>
  <c r="S160"/>
  <c r="M160"/>
  <c r="N140"/>
  <c r="J140"/>
  <c r="M139"/>
  <c r="I139"/>
  <c r="L142"/>
  <c r="O141"/>
  <c r="K141"/>
  <c r="O109"/>
  <c r="K109"/>
  <c r="N113"/>
  <c r="J113"/>
  <c r="M121"/>
  <c r="I121"/>
  <c r="L124"/>
  <c r="O134"/>
  <c r="K134"/>
  <c r="N137"/>
  <c r="J137"/>
  <c r="M110"/>
  <c r="I110"/>
  <c r="L122"/>
  <c r="O135"/>
  <c r="K135"/>
  <c r="O107"/>
  <c r="K107"/>
  <c r="N119"/>
  <c r="J119"/>
  <c r="M132"/>
  <c r="I132"/>
  <c r="Q146"/>
  <c r="L147"/>
  <c r="R147"/>
  <c r="M150"/>
  <c r="S150"/>
  <c r="N154"/>
  <c r="T154"/>
  <c r="Q165"/>
  <c r="R157"/>
  <c r="L157"/>
  <c r="Q159"/>
  <c r="T158"/>
  <c r="N158"/>
  <c r="S155"/>
  <c r="M155"/>
  <c r="R149"/>
  <c r="L149"/>
  <c r="Q148"/>
  <c r="T156"/>
  <c r="N156"/>
  <c r="Q153"/>
  <c r="T151"/>
  <c r="N151"/>
  <c r="Z155" s="1"/>
  <c r="S152"/>
  <c r="M152"/>
  <c r="AR164" s="1"/>
  <c r="R162"/>
  <c r="L162"/>
  <c r="Q161"/>
  <c r="T160"/>
  <c r="AR165"/>
  <c r="Z154"/>
  <c r="Y154"/>
  <c r="X134"/>
  <c r="AD155"/>
  <c r="AE155"/>
  <c r="Z153"/>
  <c r="Z156"/>
  <c r="AD154"/>
  <c r="Z157"/>
  <c r="AE154"/>
  <c r="Y156"/>
  <c r="Z152"/>
  <c r="W147"/>
  <c r="L106"/>
  <c r="L5"/>
  <c r="O29"/>
  <c r="K29"/>
  <c r="N19"/>
  <c r="J19"/>
  <c r="M18"/>
  <c r="I18"/>
  <c r="L17"/>
  <c r="O30"/>
  <c r="K30"/>
  <c r="N4"/>
  <c r="J4"/>
  <c r="N31"/>
  <c r="J31"/>
  <c r="N33"/>
  <c r="J33"/>
  <c r="N11"/>
  <c r="J11"/>
  <c r="M10"/>
  <c r="I10"/>
  <c r="N112"/>
  <c r="J112"/>
  <c r="L138"/>
  <c r="M5"/>
  <c r="I5"/>
  <c r="L29"/>
  <c r="O19"/>
  <c r="K19"/>
  <c r="N18"/>
  <c r="J18"/>
  <c r="M17"/>
  <c r="I17"/>
  <c r="L30"/>
  <c r="O4"/>
  <c r="K4"/>
  <c r="O31"/>
  <c r="K31"/>
  <c r="O33"/>
  <c r="K33"/>
  <c r="O11"/>
  <c r="K11"/>
  <c r="N10"/>
  <c r="J10"/>
  <c r="O112"/>
  <c r="K112"/>
  <c r="M138"/>
  <c r="I138"/>
  <c r="N111"/>
  <c r="N5"/>
  <c r="J5"/>
  <c r="M29"/>
  <c r="I29"/>
  <c r="L19"/>
  <c r="O18"/>
  <c r="K18"/>
  <c r="N17"/>
  <c r="J17"/>
  <c r="M30"/>
  <c r="I30"/>
  <c r="L4"/>
  <c r="L31"/>
  <c r="L33"/>
  <c r="L11"/>
  <c r="O10"/>
  <c r="K10"/>
  <c r="L112"/>
  <c r="N138"/>
  <c r="J138"/>
  <c r="M108"/>
  <c r="Z27"/>
  <c r="O5"/>
  <c r="K5"/>
  <c r="N29"/>
  <c r="J29"/>
  <c r="M19"/>
  <c r="I19"/>
  <c r="L18"/>
  <c r="O17"/>
  <c r="K17"/>
  <c r="N30"/>
  <c r="J30"/>
  <c r="M4"/>
  <c r="I4"/>
  <c r="M31"/>
  <c r="I31"/>
  <c r="M33"/>
  <c r="I33"/>
  <c r="M11"/>
  <c r="I11"/>
  <c r="L10"/>
  <c r="M112"/>
  <c r="I112"/>
  <c r="O138"/>
  <c r="K138"/>
  <c r="I108"/>
  <c r="J111"/>
  <c r="K118"/>
  <c r="V118" s="1"/>
  <c r="L120"/>
  <c r="M123"/>
  <c r="N131"/>
  <c r="O133"/>
  <c r="I21"/>
  <c r="J3"/>
  <c r="O69" s="1"/>
  <c r="I27"/>
  <c r="I13"/>
  <c r="I16"/>
  <c r="L32"/>
  <c r="N28"/>
  <c r="J28"/>
  <c r="L27"/>
  <c r="N26"/>
  <c r="J26"/>
  <c r="L22"/>
  <c r="N21"/>
  <c r="J21"/>
  <c r="L20"/>
  <c r="N16"/>
  <c r="J16"/>
  <c r="L13"/>
  <c r="N7"/>
  <c r="J7"/>
  <c r="L12"/>
  <c r="O14"/>
  <c r="K14"/>
  <c r="N23"/>
  <c r="J23"/>
  <c r="M24"/>
  <c r="I24"/>
  <c r="L25"/>
  <c r="L6"/>
  <c r="L15"/>
  <c r="N9"/>
  <c r="J9"/>
  <c r="M8"/>
  <c r="I8"/>
  <c r="M106"/>
  <c r="N108"/>
  <c r="O111"/>
  <c r="I120"/>
  <c r="J123"/>
  <c r="K131"/>
  <c r="V129" s="1"/>
  <c r="L133"/>
  <c r="M136"/>
  <c r="AB5"/>
  <c r="AC5" s="1"/>
  <c r="I28"/>
  <c r="K3"/>
  <c r="F57" s="1"/>
  <c r="O106"/>
  <c r="M32"/>
  <c r="O28"/>
  <c r="K28"/>
  <c r="M27"/>
  <c r="O26"/>
  <c r="K26"/>
  <c r="M22"/>
  <c r="O21"/>
  <c r="K21"/>
  <c r="M20"/>
  <c r="O16"/>
  <c r="K16"/>
  <c r="M13"/>
  <c r="O7"/>
  <c r="K7"/>
  <c r="M12"/>
  <c r="I12"/>
  <c r="L14"/>
  <c r="O23"/>
  <c r="K23"/>
  <c r="N24"/>
  <c r="J24"/>
  <c r="M25"/>
  <c r="I25"/>
  <c r="M6"/>
  <c r="I6"/>
  <c r="M15"/>
  <c r="I15"/>
  <c r="O9"/>
  <c r="K9"/>
  <c r="N8"/>
  <c r="J8"/>
  <c r="O118"/>
  <c r="I123"/>
  <c r="J131"/>
  <c r="U131" s="1"/>
  <c r="K133"/>
  <c r="L136"/>
  <c r="Q5"/>
  <c r="AJ5"/>
  <c r="AK5" s="1"/>
  <c r="AJ7"/>
  <c r="AK7" s="1"/>
  <c r="AJ8"/>
  <c r="AK8" s="1"/>
  <c r="AJ9"/>
  <c r="AK9" s="1"/>
  <c r="I32"/>
  <c r="N32"/>
  <c r="J32"/>
  <c r="L28"/>
  <c r="N27"/>
  <c r="J27"/>
  <c r="L26"/>
  <c r="N22"/>
  <c r="J22"/>
  <c r="L21"/>
  <c r="N20"/>
  <c r="J20"/>
  <c r="L16"/>
  <c r="N13"/>
  <c r="J13"/>
  <c r="L7"/>
  <c r="N12"/>
  <c r="J12"/>
  <c r="U97" s="1"/>
  <c r="M14"/>
  <c r="I14"/>
  <c r="L23"/>
  <c r="O24"/>
  <c r="K24"/>
  <c r="N25"/>
  <c r="J25"/>
  <c r="N6"/>
  <c r="J6"/>
  <c r="N15"/>
  <c r="J15"/>
  <c r="L9"/>
  <c r="O8"/>
  <c r="K8"/>
  <c r="J108"/>
  <c r="K111"/>
  <c r="L118"/>
  <c r="M120"/>
  <c r="N123"/>
  <c r="O131"/>
  <c r="I136"/>
  <c r="J106"/>
  <c r="U108" s="1"/>
  <c r="Q6"/>
  <c r="AJ6"/>
  <c r="AK6" s="1"/>
  <c r="Q11"/>
  <c r="O32"/>
  <c r="K32"/>
  <c r="Q9" s="1"/>
  <c r="M28"/>
  <c r="O27"/>
  <c r="K27"/>
  <c r="Q8" s="1"/>
  <c r="M26"/>
  <c r="O22"/>
  <c r="K22"/>
  <c r="M21"/>
  <c r="O20"/>
  <c r="K20"/>
  <c r="M16"/>
  <c r="O13"/>
  <c r="K13"/>
  <c r="M7"/>
  <c r="O12"/>
  <c r="K12"/>
  <c r="N14"/>
  <c r="J14"/>
  <c r="M23"/>
  <c r="I23"/>
  <c r="L24"/>
  <c r="O25"/>
  <c r="K25"/>
  <c r="O6"/>
  <c r="K6"/>
  <c r="X92" s="1"/>
  <c r="O15"/>
  <c r="K15"/>
  <c r="X97" s="1"/>
  <c r="M9"/>
  <c r="I9"/>
  <c r="L8"/>
  <c r="W94"/>
  <c r="V99"/>
  <c r="U95"/>
  <c r="W95"/>
  <c r="V97"/>
  <c r="W99"/>
  <c r="W98"/>
  <c r="U99"/>
  <c r="Q7"/>
  <c r="AB37"/>
  <c r="AB38"/>
  <c r="AA37"/>
  <c r="AA38"/>
  <c r="AA39"/>
  <c r="AB8"/>
  <c r="AC8" s="1"/>
  <c r="AB9"/>
  <c r="AC9" s="1"/>
  <c r="AB6"/>
  <c r="AC6" s="1"/>
  <c r="K106"/>
  <c r="V111" s="1"/>
  <c r="L108"/>
  <c r="I111"/>
  <c r="M111"/>
  <c r="J118"/>
  <c r="N118"/>
  <c r="K120"/>
  <c r="O120"/>
  <c r="L123"/>
  <c r="I131"/>
  <c r="M131"/>
  <c r="J133"/>
  <c r="N133"/>
  <c r="K136"/>
  <c r="O136"/>
  <c r="I7"/>
  <c r="AB7"/>
  <c r="AC7" s="1"/>
  <c r="I106"/>
  <c r="N106"/>
  <c r="K108"/>
  <c r="O108"/>
  <c r="L111"/>
  <c r="I118"/>
  <c r="M118"/>
  <c r="J120"/>
  <c r="N120"/>
  <c r="K123"/>
  <c r="O123"/>
  <c r="L131"/>
  <c r="I133"/>
  <c r="M133"/>
  <c r="J136"/>
  <c r="N136"/>
  <c r="I26"/>
  <c r="L3"/>
  <c r="T25"/>
  <c r="O3"/>
  <c r="T15"/>
  <c r="M3"/>
  <c r="I3"/>
  <c r="I20"/>
  <c r="I22"/>
  <c r="N3"/>
  <c r="T19"/>
  <c r="T22" s="1"/>
  <c r="AA123" i="10"/>
  <c r="AC123"/>
  <c r="AD123"/>
  <c r="AA120"/>
  <c r="AC120"/>
  <c r="AD120"/>
  <c r="AA124"/>
  <c r="AC124"/>
  <c r="AD124"/>
  <c r="AA121"/>
  <c r="AC121"/>
  <c r="AD121"/>
  <c r="AA122"/>
  <c r="AC122"/>
  <c r="AD122"/>
  <c r="N55"/>
  <c r="D42"/>
  <c r="D44"/>
  <c r="D46"/>
  <c r="H43"/>
  <c r="D50"/>
  <c r="I50" s="1"/>
  <c r="J50" s="1"/>
  <c r="M50" s="1"/>
  <c r="D53"/>
  <c r="D43"/>
  <c r="D45"/>
  <c r="D51"/>
  <c r="I51" s="1"/>
  <c r="J51" s="1"/>
  <c r="N51" s="1"/>
  <c r="D54"/>
  <c r="I54" s="1"/>
  <c r="J54" s="1"/>
  <c r="D52"/>
  <c r="I52" s="1"/>
  <c r="J52" s="1"/>
  <c r="N52" s="1"/>
  <c r="I53"/>
  <c r="J53" s="1"/>
  <c r="N53" s="1"/>
  <c r="M51"/>
  <c r="K54"/>
  <c r="M54"/>
  <c r="N54"/>
  <c r="I43"/>
  <c r="K43" s="1"/>
  <c r="H44"/>
  <c r="I44" s="1"/>
  <c r="H45"/>
  <c r="I42"/>
  <c r="I45"/>
  <c r="I46"/>
  <c r="Z22"/>
  <c r="Z23" s="1"/>
  <c r="H37"/>
  <c r="H36"/>
  <c r="H35"/>
  <c r="H34"/>
  <c r="D34"/>
  <c r="D37"/>
  <c r="H33"/>
  <c r="D36"/>
  <c r="D33"/>
  <c r="G60" s="1"/>
  <c r="D35"/>
  <c r="I35" s="1"/>
  <c r="J35" s="1"/>
  <c r="K35" s="1"/>
  <c r="Z20"/>
  <c r="Z21" s="1"/>
  <c r="Z29"/>
  <c r="Z27"/>
  <c r="Q37" i="9"/>
  <c r="Q36"/>
  <c r="X36" s="1"/>
  <c r="Q38"/>
  <c r="U38" s="1"/>
  <c r="V38" s="1"/>
  <c r="X38" s="1"/>
  <c r="Q39"/>
  <c r="Q40"/>
  <c r="U37"/>
  <c r="V37" s="1"/>
  <c r="X37" s="1"/>
  <c r="U39"/>
  <c r="V39" s="1"/>
  <c r="X39" s="1"/>
  <c r="U40"/>
  <c r="V40" s="1"/>
  <c r="X40" s="1"/>
  <c r="Z20"/>
  <c r="Z21" s="1"/>
  <c r="Z22"/>
  <c r="Z23" s="1"/>
  <c r="Z29"/>
  <c r="Z27"/>
  <c r="K42" i="7"/>
  <c r="K38"/>
  <c r="K34"/>
  <c r="K30"/>
  <c r="K26"/>
  <c r="K22"/>
  <c r="K18"/>
  <c r="K14"/>
  <c r="Q40"/>
  <c r="Q36"/>
  <c r="Q32"/>
  <c r="Q28"/>
  <c r="Q24"/>
  <c r="Q20"/>
  <c r="Q16"/>
  <c r="K94"/>
  <c r="Q60"/>
  <c r="K51"/>
  <c r="K47"/>
  <c r="K43"/>
  <c r="K39"/>
  <c r="K35"/>
  <c r="K31"/>
  <c r="K27"/>
  <c r="K23"/>
  <c r="K19"/>
  <c r="K15"/>
  <c r="Q41"/>
  <c r="Q37"/>
  <c r="Q33"/>
  <c r="Q29"/>
  <c r="Q25"/>
  <c r="Q21"/>
  <c r="Q17"/>
  <c r="Q13"/>
  <c r="Q61"/>
  <c r="K44"/>
  <c r="K40"/>
  <c r="K36"/>
  <c r="K32"/>
  <c r="K28"/>
  <c r="K24"/>
  <c r="K20"/>
  <c r="K16"/>
  <c r="K52"/>
  <c r="Q38"/>
  <c r="Q34"/>
  <c r="Q30"/>
  <c r="Q26"/>
  <c r="Q22"/>
  <c r="Q18"/>
  <c r="Q14"/>
  <c r="Q86"/>
  <c r="T86" s="1"/>
  <c r="Q82"/>
  <c r="T82" s="1"/>
  <c r="Q78"/>
  <c r="T78" s="1"/>
  <c r="Q74"/>
  <c r="T74" s="1"/>
  <c r="Q70"/>
  <c r="T70" s="1"/>
  <c r="Q66"/>
  <c r="T66" s="1"/>
  <c r="Q62"/>
  <c r="T62" s="1"/>
  <c r="K49"/>
  <c r="Q39"/>
  <c r="Q35"/>
  <c r="Q31"/>
  <c r="Q27"/>
  <c r="Q23"/>
  <c r="Q19"/>
  <c r="Q15"/>
  <c r="K12"/>
  <c r="K97"/>
  <c r="K93"/>
  <c r="K89"/>
  <c r="K85"/>
  <c r="K81"/>
  <c r="K77"/>
  <c r="K73"/>
  <c r="K69"/>
  <c r="K65"/>
  <c r="K61"/>
  <c r="Q12"/>
  <c r="Q79"/>
  <c r="T79" s="1"/>
  <c r="Q75"/>
  <c r="T75" s="1"/>
  <c r="Q63"/>
  <c r="Q65"/>
  <c r="T22"/>
  <c r="K99"/>
  <c r="K95"/>
  <c r="K91"/>
  <c r="K87"/>
  <c r="T87" s="1"/>
  <c r="K83"/>
  <c r="T83" s="1"/>
  <c r="K79"/>
  <c r="K75"/>
  <c r="K71"/>
  <c r="T71" s="1"/>
  <c r="K67"/>
  <c r="T67" s="1"/>
  <c r="K63"/>
  <c r="Q88"/>
  <c r="Q84"/>
  <c r="T84" s="1"/>
  <c r="Q80"/>
  <c r="T80" s="1"/>
  <c r="Q76"/>
  <c r="Q72"/>
  <c r="Q68"/>
  <c r="T68" s="1"/>
  <c r="Q64"/>
  <c r="T64" s="1"/>
  <c r="K48"/>
  <c r="Q42"/>
  <c r="K96"/>
  <c r="K92"/>
  <c r="K88"/>
  <c r="K84"/>
  <c r="K80"/>
  <c r="K76"/>
  <c r="K72"/>
  <c r="K68"/>
  <c r="K64"/>
  <c r="K60"/>
  <c r="Q89"/>
  <c r="T89" s="1"/>
  <c r="Q85"/>
  <c r="Q81"/>
  <c r="Q77"/>
  <c r="T77" s="1"/>
  <c r="Q73"/>
  <c r="T73" s="1"/>
  <c r="Q69"/>
  <c r="L24"/>
  <c r="P137" i="4"/>
  <c r="Q143"/>
  <c r="R143" s="1"/>
  <c r="T143" s="1"/>
  <c r="Q142"/>
  <c r="R142" s="1"/>
  <c r="T142" s="1"/>
  <c r="P147"/>
  <c r="Q147" s="1"/>
  <c r="R147" s="1"/>
  <c r="T147" s="1"/>
  <c r="O148"/>
  <c r="Q148" s="1"/>
  <c r="R148" s="1"/>
  <c r="T148" s="1"/>
  <c r="P134"/>
  <c r="Q134" s="1"/>
  <c r="R134" s="1"/>
  <c r="T134" s="1"/>
  <c r="P133"/>
  <c r="Q133" s="1"/>
  <c r="T133" s="1"/>
  <c r="P135"/>
  <c r="Q135" s="1"/>
  <c r="R135" s="1"/>
  <c r="T135" s="1"/>
  <c r="P146"/>
  <c r="Q146" s="1"/>
  <c r="R146" s="1"/>
  <c r="T146" s="1"/>
  <c r="Q136"/>
  <c r="R136" s="1"/>
  <c r="T136" s="1"/>
  <c r="Q137"/>
  <c r="R137" s="1"/>
  <c r="T137" s="1"/>
  <c r="P145"/>
  <c r="Q145" s="1"/>
  <c r="R145" s="1"/>
  <c r="T145" s="1"/>
  <c r="P139"/>
  <c r="Q139" s="1"/>
  <c r="R139" s="1"/>
  <c r="T139" s="1"/>
  <c r="Q138"/>
  <c r="R138" s="1"/>
  <c r="T138" s="1"/>
  <c r="AN123"/>
  <c r="AN127"/>
  <c r="AN125"/>
  <c r="AH78"/>
  <c r="AW22" i="6"/>
  <c r="AW23" s="1"/>
  <c r="AW29"/>
  <c r="AW20" i="4"/>
  <c r="AW21" s="1"/>
  <c r="AW22"/>
  <c r="AW23" s="1"/>
  <c r="AW29"/>
  <c r="AI196" i="11" l="1"/>
  <c r="AI200"/>
  <c r="AI204"/>
  <c r="AI208"/>
  <c r="AI212"/>
  <c r="AI195"/>
  <c r="AI199"/>
  <c r="AI203"/>
  <c r="AI207"/>
  <c r="AI211"/>
  <c r="AI194"/>
  <c r="AI198"/>
  <c r="AI202"/>
  <c r="AI206"/>
  <c r="AI210"/>
  <c r="AI193"/>
  <c r="AI197"/>
  <c r="AI201"/>
  <c r="AI205"/>
  <c r="AI209"/>
  <c r="AM161"/>
  <c r="AM162"/>
  <c r="Y231"/>
  <c r="AN161"/>
  <c r="Z230"/>
  <c r="AN162"/>
  <c r="Z231"/>
  <c r="Z226"/>
  <c r="Z227"/>
  <c r="Y229"/>
  <c r="Z229"/>
  <c r="Z228"/>
  <c r="AQ161" s="1"/>
  <c r="Y227"/>
  <c r="AM164"/>
  <c r="AM163"/>
  <c r="AN164"/>
  <c r="AN163"/>
  <c r="Y152"/>
  <c r="Q18"/>
  <c r="W134"/>
  <c r="Y157"/>
  <c r="AR161"/>
  <c r="V113"/>
  <c r="V112"/>
  <c r="U112"/>
  <c r="U113"/>
  <c r="Q14"/>
  <c r="V121"/>
  <c r="O62"/>
  <c r="Q62"/>
  <c r="Q63"/>
  <c r="V123"/>
  <c r="V122"/>
  <c r="Q19"/>
  <c r="V130"/>
  <c r="Q65"/>
  <c r="E48"/>
  <c r="U144" s="1"/>
  <c r="Q64"/>
  <c r="U123"/>
  <c r="U122"/>
  <c r="V134"/>
  <c r="V133"/>
  <c r="AR166"/>
  <c r="AR163"/>
  <c r="U109"/>
  <c r="U132"/>
  <c r="Y153"/>
  <c r="W112"/>
  <c r="W110"/>
  <c r="Y16"/>
  <c r="I56"/>
  <c r="J57"/>
  <c r="K58"/>
  <c r="W109"/>
  <c r="Y15"/>
  <c r="K55"/>
  <c r="I57"/>
  <c r="J58"/>
  <c r="W108"/>
  <c r="W106"/>
  <c r="J55"/>
  <c r="K56"/>
  <c r="I58"/>
  <c r="W113"/>
  <c r="W107"/>
  <c r="W111"/>
  <c r="I55"/>
  <c r="J56"/>
  <c r="K57"/>
  <c r="Q13"/>
  <c r="R62"/>
  <c r="R63"/>
  <c r="P62"/>
  <c r="R65"/>
  <c r="R64"/>
  <c r="U134"/>
  <c r="U133"/>
  <c r="U110"/>
  <c r="U111"/>
  <c r="AR162"/>
  <c r="U121"/>
  <c r="AQ166"/>
  <c r="AQ162"/>
  <c r="AQ163"/>
  <c r="AQ164"/>
  <c r="V108"/>
  <c r="V109"/>
  <c r="V110"/>
  <c r="Q24"/>
  <c r="U130"/>
  <c r="U129"/>
  <c r="U118"/>
  <c r="U119"/>
  <c r="U120"/>
  <c r="V131"/>
  <c r="V132"/>
  <c r="V120"/>
  <c r="V119"/>
  <c r="E69"/>
  <c r="W97"/>
  <c r="E57"/>
  <c r="O70"/>
  <c r="E68"/>
  <c r="P81"/>
  <c r="P80"/>
  <c r="P67"/>
  <c r="P66"/>
  <c r="O67"/>
  <c r="O66"/>
  <c r="O80"/>
  <c r="O81"/>
  <c r="E70"/>
  <c r="E71"/>
  <c r="P69"/>
  <c r="O71"/>
  <c r="O68"/>
  <c r="I54"/>
  <c r="J43"/>
  <c r="K47"/>
  <c r="K51"/>
  <c r="J45"/>
  <c r="J49"/>
  <c r="I43"/>
  <c r="K53"/>
  <c r="K46"/>
  <c r="K50"/>
  <c r="J44"/>
  <c r="J48"/>
  <c r="J52"/>
  <c r="J53"/>
  <c r="K54"/>
  <c r="K45"/>
  <c r="K49"/>
  <c r="K43"/>
  <c r="J47"/>
  <c r="J51"/>
  <c r="I53"/>
  <c r="J54"/>
  <c r="K44"/>
  <c r="K48"/>
  <c r="K52"/>
  <c r="J46"/>
  <c r="J50"/>
  <c r="F72"/>
  <c r="F73"/>
  <c r="E59"/>
  <c r="E72"/>
  <c r="E73"/>
  <c r="F70"/>
  <c r="F71"/>
  <c r="W93"/>
  <c r="P68"/>
  <c r="P73"/>
  <c r="F74"/>
  <c r="F76"/>
  <c r="P72"/>
  <c r="F75"/>
  <c r="F77"/>
  <c r="E61"/>
  <c r="E74"/>
  <c r="E76"/>
  <c r="O72"/>
  <c r="E75"/>
  <c r="E50"/>
  <c r="E77"/>
  <c r="O73"/>
  <c r="F68"/>
  <c r="F69"/>
  <c r="X93"/>
  <c r="O43"/>
  <c r="N44"/>
  <c r="P71"/>
  <c r="P70"/>
  <c r="W92"/>
  <c r="F46"/>
  <c r="V142" s="1"/>
  <c r="F47"/>
  <c r="V143" s="1"/>
  <c r="E47"/>
  <c r="U143" s="1"/>
  <c r="E46"/>
  <c r="U142" s="1"/>
  <c r="F44"/>
  <c r="V140" s="1"/>
  <c r="F45"/>
  <c r="V141" s="1"/>
  <c r="P63"/>
  <c r="P65"/>
  <c r="P64"/>
  <c r="O63"/>
  <c r="O65"/>
  <c r="O64"/>
  <c r="E60"/>
  <c r="E58"/>
  <c r="U96"/>
  <c r="F49"/>
  <c r="Z145" s="1"/>
  <c r="V98"/>
  <c r="F48"/>
  <c r="V144" s="1"/>
  <c r="E62"/>
  <c r="U98"/>
  <c r="E49"/>
  <c r="Y145" s="1"/>
  <c r="E51"/>
  <c r="F59"/>
  <c r="F60"/>
  <c r="F50"/>
  <c r="F51"/>
  <c r="W101"/>
  <c r="V95"/>
  <c r="F58"/>
  <c r="F62"/>
  <c r="F61"/>
  <c r="V96"/>
  <c r="X95"/>
  <c r="V94"/>
  <c r="X94"/>
  <c r="U94"/>
  <c r="E45"/>
  <c r="U141" s="1"/>
  <c r="E44"/>
  <c r="U140" s="1"/>
  <c r="I50"/>
  <c r="I48"/>
  <c r="AS17"/>
  <c r="AC14"/>
  <c r="I49"/>
  <c r="I47"/>
  <c r="AS18"/>
  <c r="I46"/>
  <c r="I52"/>
  <c r="I51"/>
  <c r="I44"/>
  <c r="I45"/>
  <c r="AC13"/>
  <c r="W96"/>
  <c r="T29"/>
  <c r="X96"/>
  <c r="T23"/>
  <c r="T42"/>
  <c r="T27"/>
  <c r="K52" i="10"/>
  <c r="M52"/>
  <c r="T20" i="11"/>
  <c r="T21" s="1"/>
  <c r="I36" i="10"/>
  <c r="J36" s="1"/>
  <c r="K36" s="1"/>
  <c r="K42"/>
  <c r="M42"/>
  <c r="N50"/>
  <c r="K50"/>
  <c r="M43"/>
  <c r="K53"/>
  <c r="K51"/>
  <c r="M53"/>
  <c r="K45"/>
  <c r="M46"/>
  <c r="M44"/>
  <c r="N43"/>
  <c r="M35"/>
  <c r="N35"/>
  <c r="M36"/>
  <c r="N36"/>
  <c r="I34"/>
  <c r="J34" s="1"/>
  <c r="K34" s="1"/>
  <c r="I37"/>
  <c r="J37" s="1"/>
  <c r="K37" s="1"/>
  <c r="I33"/>
  <c r="T81" i="7"/>
  <c r="T60"/>
  <c r="T76"/>
  <c r="T63"/>
  <c r="T69"/>
  <c r="T85"/>
  <c r="T72"/>
  <c r="T88"/>
  <c r="T65"/>
  <c r="T61"/>
  <c r="AA89" i="1"/>
  <c r="AA90"/>
  <c r="AA91"/>
  <c r="AA92"/>
  <c r="Z89"/>
  <c r="Z90"/>
  <c r="Z91"/>
  <c r="Z92"/>
  <c r="Y89"/>
  <c r="Y90"/>
  <c r="Y91"/>
  <c r="Y92"/>
  <c r="X90"/>
  <c r="X91"/>
  <c r="X92"/>
  <c r="X89"/>
  <c r="W90"/>
  <c r="W91"/>
  <c r="W92"/>
  <c r="W89"/>
  <c r="H90"/>
  <c r="H91"/>
  <c r="H92"/>
  <c r="H89"/>
  <c r="G90"/>
  <c r="G91"/>
  <c r="G92"/>
  <c r="G89"/>
  <c r="AA85"/>
  <c r="AA86"/>
  <c r="AA87"/>
  <c r="AA88"/>
  <c r="Z85"/>
  <c r="Z86"/>
  <c r="Z87"/>
  <c r="Z88"/>
  <c r="Y86"/>
  <c r="Y87"/>
  <c r="Y88"/>
  <c r="Y85"/>
  <c r="X86"/>
  <c r="X87"/>
  <c r="X88"/>
  <c r="X85"/>
  <c r="V86"/>
  <c r="V87"/>
  <c r="V88"/>
  <c r="V85"/>
  <c r="X84"/>
  <c r="H86"/>
  <c r="H87"/>
  <c r="H88"/>
  <c r="H85"/>
  <c r="G86"/>
  <c r="G87"/>
  <c r="G88"/>
  <c r="G85"/>
  <c r="G72"/>
  <c r="G73"/>
  <c r="G74"/>
  <c r="G75"/>
  <c r="G76"/>
  <c r="G77"/>
  <c r="G78"/>
  <c r="G79"/>
  <c r="G80"/>
  <c r="G81"/>
  <c r="G82"/>
  <c r="G83"/>
  <c r="G84"/>
  <c r="G7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O155"/>
  <c r="AO156"/>
  <c r="AO157"/>
  <c r="AO158"/>
  <c r="AO159"/>
  <c r="AO160"/>
  <c r="AO161"/>
  <c r="AO61"/>
  <c r="Y81"/>
  <c r="Y77"/>
  <c r="H57"/>
  <c r="AM27"/>
  <c r="AM28"/>
  <c r="AM26"/>
  <c r="AM23"/>
  <c r="AM24"/>
  <c r="AM25"/>
  <c r="AM22"/>
  <c r="T84"/>
  <c r="H84"/>
  <c r="S82"/>
  <c r="H82"/>
  <c r="H83"/>
  <c r="H81"/>
  <c r="R79"/>
  <c r="X79" s="1"/>
  <c r="H78"/>
  <c r="H79"/>
  <c r="H80"/>
  <c r="H77"/>
  <c r="Q74"/>
  <c r="P76"/>
  <c r="X76" s="1"/>
  <c r="H76"/>
  <c r="AA66" s="1"/>
  <c r="H75"/>
  <c r="M72"/>
  <c r="J74"/>
  <c r="I74"/>
  <c r="X74" s="1"/>
  <c r="I142"/>
  <c r="N142" s="1"/>
  <c r="W142" s="1"/>
  <c r="X142" s="1"/>
  <c r="T142"/>
  <c r="V142"/>
  <c r="U77" s="1"/>
  <c r="AM11"/>
  <c r="M38"/>
  <c r="AA62"/>
  <c r="N40"/>
  <c r="C35"/>
  <c r="L47"/>
  <c r="L46"/>
  <c r="V104"/>
  <c r="I71" s="1"/>
  <c r="X71" s="1"/>
  <c r="Y71" s="1"/>
  <c r="V105"/>
  <c r="I72" s="1"/>
  <c r="V106"/>
  <c r="I73" s="1"/>
  <c r="V107"/>
  <c r="V108"/>
  <c r="J71" s="1"/>
  <c r="V109"/>
  <c r="J72" s="1"/>
  <c r="V110"/>
  <c r="J73" s="1"/>
  <c r="V111"/>
  <c r="V112"/>
  <c r="K71" s="1"/>
  <c r="V113"/>
  <c r="V114"/>
  <c r="K73" s="1"/>
  <c r="V115"/>
  <c r="V116"/>
  <c r="L72" s="1"/>
  <c r="V117"/>
  <c r="V118"/>
  <c r="N72" s="1"/>
  <c r="V119"/>
  <c r="O72" s="1"/>
  <c r="V120"/>
  <c r="P75" s="1"/>
  <c r="X75" s="1"/>
  <c r="V121"/>
  <c r="P71" s="1"/>
  <c r="V122"/>
  <c r="V123"/>
  <c r="P72" s="1"/>
  <c r="V124"/>
  <c r="Q71" s="1"/>
  <c r="V125"/>
  <c r="Q72" s="1"/>
  <c r="V126"/>
  <c r="Q73" s="1"/>
  <c r="V127"/>
  <c r="V128"/>
  <c r="R77" s="1"/>
  <c r="V129"/>
  <c r="R78" s="1"/>
  <c r="X78" s="1"/>
  <c r="V130"/>
  <c r="V131"/>
  <c r="R80" s="1"/>
  <c r="X80" s="1"/>
  <c r="V132"/>
  <c r="S81" s="1"/>
  <c r="V133"/>
  <c r="V134"/>
  <c r="S83" s="1"/>
  <c r="V135"/>
  <c r="S77" s="1"/>
  <c r="V136"/>
  <c r="T82" s="1"/>
  <c r="V137"/>
  <c r="T77" s="1"/>
  <c r="V138"/>
  <c r="V139"/>
  <c r="U81" s="1"/>
  <c r="V140"/>
  <c r="U82" s="1"/>
  <c r="V141"/>
  <c r="U83" s="1"/>
  <c r="V143"/>
  <c r="V144"/>
  <c r="V145"/>
  <c r="V146"/>
  <c r="V147"/>
  <c r="V148"/>
  <c r="V149"/>
  <c r="V150"/>
  <c r="V151"/>
  <c r="V152"/>
  <c r="V153"/>
  <c r="V154"/>
  <c r="V155"/>
  <c r="W164"/>
  <c r="U170"/>
  <c r="R168"/>
  <c r="T104"/>
  <c r="AA64"/>
  <c r="AA65"/>
  <c r="AA67"/>
  <c r="AA68"/>
  <c r="AA63"/>
  <c r="BC37" i="3"/>
  <c r="AY11"/>
  <c r="AT19"/>
  <c r="AY21"/>
  <c r="AY22"/>
  <c r="R22"/>
  <c r="K16"/>
  <c r="BJ26" i="2"/>
  <c r="BJ25"/>
  <c r="AS18"/>
  <c r="D61"/>
  <c r="Q44"/>
  <c r="R44"/>
  <c r="S44"/>
  <c r="T44"/>
  <c r="U44"/>
  <c r="V44"/>
  <c r="W44"/>
  <c r="X44"/>
  <c r="Y44"/>
  <c r="AB44"/>
  <c r="Q45"/>
  <c r="R45"/>
  <c r="S45"/>
  <c r="T45"/>
  <c r="U45"/>
  <c r="V45"/>
  <c r="W45"/>
  <c r="X45"/>
  <c r="Y45"/>
  <c r="AB45"/>
  <c r="AH219" i="1"/>
  <c r="H15" i="3"/>
  <c r="AT4"/>
  <c r="M5"/>
  <c r="C15"/>
  <c r="K6"/>
  <c r="J4"/>
  <c r="K4"/>
  <c r="L4"/>
  <c r="M4"/>
  <c r="N4" s="1"/>
  <c r="AT5" s="1"/>
  <c r="J5"/>
  <c r="K5"/>
  <c r="L5"/>
  <c r="N5"/>
  <c r="J6"/>
  <c r="L6"/>
  <c r="M6"/>
  <c r="N6" s="1"/>
  <c r="K3"/>
  <c r="V192" i="1"/>
  <c r="AT270"/>
  <c r="L3" i="3"/>
  <c r="N3"/>
  <c r="AV183" i="1"/>
  <c r="AT178"/>
  <c r="AS190"/>
  <c r="AR179"/>
  <c r="AR180"/>
  <c r="AR181"/>
  <c r="AR182"/>
  <c r="AR183"/>
  <c r="AR184"/>
  <c r="AR185"/>
  <c r="AR186"/>
  <c r="AR187"/>
  <c r="AR188"/>
  <c r="AR189"/>
  <c r="AR190"/>
  <c r="AR191"/>
  <c r="AR192"/>
  <c r="AR193"/>
  <c r="AR194"/>
  <c r="AR195"/>
  <c r="AR196"/>
  <c r="AR197"/>
  <c r="AR198"/>
  <c r="AR199"/>
  <c r="AR200"/>
  <c r="AR201"/>
  <c r="AR202"/>
  <c r="AR203"/>
  <c r="AR204"/>
  <c r="AR205"/>
  <c r="AR206"/>
  <c r="AR207"/>
  <c r="AR208"/>
  <c r="AR209"/>
  <c r="AR210"/>
  <c r="AR211"/>
  <c r="AR212"/>
  <c r="AR213"/>
  <c r="AR214"/>
  <c r="AR215"/>
  <c r="AR216"/>
  <c r="AR217"/>
  <c r="AR218"/>
  <c r="AR219"/>
  <c r="AR220"/>
  <c r="AR221"/>
  <c r="AR222"/>
  <c r="AR223"/>
  <c r="AR224"/>
  <c r="AR225"/>
  <c r="AR226"/>
  <c r="AR227"/>
  <c r="AR228"/>
  <c r="AR229"/>
  <c r="AR230"/>
  <c r="AR231"/>
  <c r="AR232"/>
  <c r="AR233"/>
  <c r="AR234"/>
  <c r="AR235"/>
  <c r="AR236"/>
  <c r="AR237"/>
  <c r="AR238"/>
  <c r="AR239"/>
  <c r="AR240"/>
  <c r="AR241"/>
  <c r="AR242"/>
  <c r="AR243"/>
  <c r="AR244"/>
  <c r="AR245"/>
  <c r="AR246"/>
  <c r="AR247"/>
  <c r="AR248"/>
  <c r="AR249"/>
  <c r="AR250"/>
  <c r="AR251"/>
  <c r="AR252"/>
  <c r="AR253"/>
  <c r="AR254"/>
  <c r="AR255"/>
  <c r="AR256"/>
  <c r="AR257"/>
  <c r="AR178"/>
  <c r="AQ179"/>
  <c r="AQ180"/>
  <c r="AQ181"/>
  <c r="AQ182"/>
  <c r="AQ183"/>
  <c r="AQ184"/>
  <c r="AQ185"/>
  <c r="AQ186"/>
  <c r="AQ187"/>
  <c r="AQ188"/>
  <c r="AQ189"/>
  <c r="AQ190"/>
  <c r="AQ191"/>
  <c r="AQ192"/>
  <c r="AQ193"/>
  <c r="AQ194"/>
  <c r="AQ195"/>
  <c r="AQ196"/>
  <c r="AQ197"/>
  <c r="AQ198"/>
  <c r="AQ199"/>
  <c r="AQ200"/>
  <c r="AQ201"/>
  <c r="AQ202"/>
  <c r="AQ203"/>
  <c r="AQ204"/>
  <c r="AQ205"/>
  <c r="AQ206"/>
  <c r="AQ207"/>
  <c r="AQ208"/>
  <c r="AQ209"/>
  <c r="AQ210"/>
  <c r="AQ211"/>
  <c r="AQ212"/>
  <c r="AQ213"/>
  <c r="AQ214"/>
  <c r="AQ215"/>
  <c r="AQ216"/>
  <c r="AQ217"/>
  <c r="AQ218"/>
  <c r="AQ219"/>
  <c r="AQ220"/>
  <c r="AQ221"/>
  <c r="AQ222"/>
  <c r="AQ223"/>
  <c r="AQ224"/>
  <c r="AQ225"/>
  <c r="AQ226"/>
  <c r="AQ227"/>
  <c r="AQ228"/>
  <c r="AQ229"/>
  <c r="AQ230"/>
  <c r="AQ231"/>
  <c r="AQ232"/>
  <c r="AQ233"/>
  <c r="AQ234"/>
  <c r="AQ235"/>
  <c r="AQ236"/>
  <c r="AQ237"/>
  <c r="AQ238"/>
  <c r="AQ239"/>
  <c r="AQ240"/>
  <c r="AQ241"/>
  <c r="AQ242"/>
  <c r="AQ243"/>
  <c r="AQ244"/>
  <c r="AQ245"/>
  <c r="AQ246"/>
  <c r="AQ247"/>
  <c r="AQ248"/>
  <c r="AQ249"/>
  <c r="AQ250"/>
  <c r="AQ251"/>
  <c r="AQ252"/>
  <c r="AQ253"/>
  <c r="AQ254"/>
  <c r="AQ255"/>
  <c r="AQ256"/>
  <c r="AQ257"/>
  <c r="AQ178"/>
  <c r="AV4" i="3"/>
  <c r="J3"/>
  <c r="M3"/>
  <c r="BJ29"/>
  <c r="BJ26"/>
  <c r="BJ25"/>
  <c r="BJ27" s="1"/>
  <c r="BJ19"/>
  <c r="BJ18"/>
  <c r="BJ11"/>
  <c r="AQ165" i="11" l="1"/>
  <c r="AA33"/>
  <c r="AB33"/>
  <c r="AB34"/>
  <c r="AA34"/>
  <c r="AA40"/>
  <c r="AB40"/>
  <c r="AA31"/>
  <c r="AB31"/>
  <c r="AB35"/>
  <c r="AA35"/>
  <c r="AA36"/>
  <c r="AB36"/>
  <c r="AA32"/>
  <c r="AB32"/>
  <c r="K46" i="10"/>
  <c r="K44"/>
  <c r="M45"/>
  <c r="N45"/>
  <c r="N44"/>
  <c r="J33"/>
  <c r="N46"/>
  <c r="M34"/>
  <c r="N34"/>
  <c r="M37"/>
  <c r="N37"/>
  <c r="Y74" i="1"/>
  <c r="X72"/>
  <c r="Y72" s="1"/>
  <c r="X83"/>
  <c r="Y83" s="1"/>
  <c r="X73"/>
  <c r="Y73" s="1"/>
  <c r="Y76" s="1"/>
  <c r="X81"/>
  <c r="X77"/>
  <c r="X82"/>
  <c r="Y82" s="1"/>
  <c r="AW4" i="3"/>
  <c r="AW6" s="1"/>
  <c r="BJ20"/>
  <c r="BJ21" s="1"/>
  <c r="BJ22"/>
  <c r="BJ23" s="1"/>
  <c r="K33" i="10" l="1"/>
  <c r="M33"/>
  <c r="Y78" i="1"/>
  <c r="Y79"/>
  <c r="Y80"/>
  <c r="Y84"/>
  <c r="AA77"/>
  <c r="Z77"/>
  <c r="AA74"/>
  <c r="Z74"/>
  <c r="Z82"/>
  <c r="AA82"/>
  <c r="AA73"/>
  <c r="Z73"/>
  <c r="AA81"/>
  <c r="Z81"/>
  <c r="AA71"/>
  <c r="Z71"/>
  <c r="Z83"/>
  <c r="AA83"/>
  <c r="Z72"/>
  <c r="AA72"/>
  <c r="Y75"/>
  <c r="D60" i="2"/>
  <c r="Q42"/>
  <c r="R42"/>
  <c r="S42"/>
  <c r="T42"/>
  <c r="U42"/>
  <c r="V42"/>
  <c r="W42"/>
  <c r="X42"/>
  <c r="Y42"/>
  <c r="AB42"/>
  <c r="Q43"/>
  <c r="R43"/>
  <c r="S43"/>
  <c r="T43"/>
  <c r="U43"/>
  <c r="V43"/>
  <c r="W43"/>
  <c r="X43"/>
  <c r="Y43"/>
  <c r="AB43"/>
  <c r="Q9"/>
  <c r="R9"/>
  <c r="S9"/>
  <c r="T9"/>
  <c r="U9"/>
  <c r="V9"/>
  <c r="W9"/>
  <c r="X9"/>
  <c r="Y9"/>
  <c r="Z9"/>
  <c r="AA9"/>
  <c r="AB9"/>
  <c r="V11"/>
  <c r="BB4"/>
  <c r="Q41"/>
  <c r="R41"/>
  <c r="S41"/>
  <c r="T41"/>
  <c r="U41"/>
  <c r="V41"/>
  <c r="W41"/>
  <c r="X41"/>
  <c r="BA5" s="1"/>
  <c r="Y41"/>
  <c r="AB41"/>
  <c r="Q39"/>
  <c r="R39"/>
  <c r="S39"/>
  <c r="T39"/>
  <c r="U39"/>
  <c r="V39"/>
  <c r="W39"/>
  <c r="X39"/>
  <c r="BA12" s="1"/>
  <c r="Y39"/>
  <c r="AB39"/>
  <c r="Q40"/>
  <c r="R40"/>
  <c r="S40"/>
  <c r="T40"/>
  <c r="U40"/>
  <c r="V40"/>
  <c r="W40"/>
  <c r="X40"/>
  <c r="BA4" s="1"/>
  <c r="Y40"/>
  <c r="AB40"/>
  <c r="AB74" i="1" l="1"/>
  <c r="AB78"/>
  <c r="AB82"/>
  <c r="AB73"/>
  <c r="AB77"/>
  <c r="AB81"/>
  <c r="AB71"/>
  <c r="AB72"/>
  <c r="AB76"/>
  <c r="AB80"/>
  <c r="AB84"/>
  <c r="AB75"/>
  <c r="AB79"/>
  <c r="AB83"/>
  <c r="Z78"/>
  <c r="AA78"/>
  <c r="Z79"/>
  <c r="AA79"/>
  <c r="Z75"/>
  <c r="AA75"/>
  <c r="AA80"/>
  <c r="Z80"/>
  <c r="AA84"/>
  <c r="Z84"/>
  <c r="AA76"/>
  <c r="Z76"/>
  <c r="AX27" i="2"/>
  <c r="Q10" l="1"/>
  <c r="R10"/>
  <c r="S10"/>
  <c r="T10"/>
  <c r="U10"/>
  <c r="V10"/>
  <c r="W10"/>
  <c r="X10"/>
  <c r="Y10"/>
  <c r="Z10"/>
  <c r="AA10"/>
  <c r="AB10"/>
  <c r="Q11"/>
  <c r="R11"/>
  <c r="S11"/>
  <c r="T11"/>
  <c r="U11"/>
  <c r="W11"/>
  <c r="X11"/>
  <c r="Y11"/>
  <c r="Z11"/>
  <c r="AA11"/>
  <c r="AB11"/>
  <c r="Q37"/>
  <c r="R37"/>
  <c r="S37"/>
  <c r="T37"/>
  <c r="U37"/>
  <c r="V37"/>
  <c r="W37"/>
  <c r="X37"/>
  <c r="Y37"/>
  <c r="AB37"/>
  <c r="Q38"/>
  <c r="R38"/>
  <c r="S38"/>
  <c r="T38"/>
  <c r="U38"/>
  <c r="V38"/>
  <c r="W38"/>
  <c r="X38"/>
  <c r="Y38"/>
  <c r="AB38"/>
  <c r="Q19"/>
  <c r="R19"/>
  <c r="S19"/>
  <c r="T19"/>
  <c r="U19"/>
  <c r="V19"/>
  <c r="W19"/>
  <c r="X19"/>
  <c r="Y19"/>
  <c r="Z19"/>
  <c r="AA19"/>
  <c r="AB19"/>
  <c r="Q16"/>
  <c r="R16"/>
  <c r="S16"/>
  <c r="T16"/>
  <c r="U16"/>
  <c r="V16"/>
  <c r="W16"/>
  <c r="X16"/>
  <c r="Y16"/>
  <c r="Z16"/>
  <c r="AA16"/>
  <c r="AB16"/>
  <c r="H472" i="1"/>
  <c r="H471"/>
  <c r="H470"/>
  <c r="H469"/>
  <c r="H468"/>
  <c r="H467"/>
  <c r="H466"/>
  <c r="H465"/>
  <c r="H464"/>
  <c r="H463"/>
  <c r="Q34" i="2"/>
  <c r="R34"/>
  <c r="S34"/>
  <c r="T34"/>
  <c r="U34"/>
  <c r="V34"/>
  <c r="W34"/>
  <c r="X34"/>
  <c r="Y34"/>
  <c r="AB34"/>
  <c r="AB36"/>
  <c r="Y36"/>
  <c r="X36"/>
  <c r="W36"/>
  <c r="V36"/>
  <c r="U36"/>
  <c r="T36"/>
  <c r="S36"/>
  <c r="R36"/>
  <c r="Q36"/>
  <c r="AB35"/>
  <c r="Y35"/>
  <c r="X35"/>
  <c r="W35"/>
  <c r="V35"/>
  <c r="U35"/>
  <c r="T35"/>
  <c r="S35"/>
  <c r="R35"/>
  <c r="Q35"/>
  <c r="H462" i="1"/>
  <c r="H461"/>
  <c r="V472"/>
  <c r="W472" s="1"/>
  <c r="T472"/>
  <c r="R472"/>
  <c r="Q472"/>
  <c r="O472"/>
  <c r="V471"/>
  <c r="W471" s="1"/>
  <c r="T471"/>
  <c r="R471"/>
  <c r="Q471"/>
  <c r="O471"/>
  <c r="V470"/>
  <c r="W470" s="1"/>
  <c r="T470"/>
  <c r="R470"/>
  <c r="Q470"/>
  <c r="O470"/>
  <c r="V469"/>
  <c r="W469" s="1"/>
  <c r="T469"/>
  <c r="R469"/>
  <c r="Q469"/>
  <c r="O469"/>
  <c r="V468"/>
  <c r="W468" s="1"/>
  <c r="T468"/>
  <c r="R468"/>
  <c r="Q468"/>
  <c r="O468"/>
  <c r="V467"/>
  <c r="W467" s="1"/>
  <c r="T467"/>
  <c r="R467"/>
  <c r="Q467"/>
  <c r="O467"/>
  <c r="V466"/>
  <c r="W466" s="1"/>
  <c r="T466"/>
  <c r="R466"/>
  <c r="Q466"/>
  <c r="O466"/>
  <c r="V465"/>
  <c r="W465" s="1"/>
  <c r="T465"/>
  <c r="R465"/>
  <c r="Q465"/>
  <c r="O465"/>
  <c r="V464"/>
  <c r="W464" s="1"/>
  <c r="T464"/>
  <c r="R464"/>
  <c r="Q464"/>
  <c r="O464"/>
  <c r="V463"/>
  <c r="W463" s="1"/>
  <c r="T463"/>
  <c r="R463"/>
  <c r="Q463"/>
  <c r="O463"/>
  <c r="V462"/>
  <c r="W462" s="1"/>
  <c r="T462"/>
  <c r="R462"/>
  <c r="Q462"/>
  <c r="O462"/>
  <c r="V461"/>
  <c r="W461" s="1"/>
  <c r="T461"/>
  <c r="R461"/>
  <c r="Q461"/>
  <c r="O461"/>
  <c r="Q33" i="2"/>
  <c r="R33"/>
  <c r="S33"/>
  <c r="T33"/>
  <c r="U33"/>
  <c r="V33"/>
  <c r="W33"/>
  <c r="X33"/>
  <c r="Y33"/>
  <c r="AB33"/>
  <c r="I415" i="1"/>
  <c r="J415"/>
  <c r="K415"/>
  <c r="N415"/>
  <c r="T415"/>
  <c r="V415"/>
  <c r="N452"/>
  <c r="N453"/>
  <c r="N454"/>
  <c r="N451"/>
  <c r="I472" s="1"/>
  <c r="J472" s="1"/>
  <c r="V454"/>
  <c r="T454"/>
  <c r="K454"/>
  <c r="J454"/>
  <c r="I454"/>
  <c r="V453"/>
  <c r="T453"/>
  <c r="K453"/>
  <c r="J453"/>
  <c r="I453"/>
  <c r="V452"/>
  <c r="T452"/>
  <c r="K452"/>
  <c r="J452"/>
  <c r="I452"/>
  <c r="V451"/>
  <c r="T451"/>
  <c r="K451"/>
  <c r="J451"/>
  <c r="I451"/>
  <c r="N448"/>
  <c r="N449"/>
  <c r="N450"/>
  <c r="N447"/>
  <c r="I471" s="1"/>
  <c r="J471" s="1"/>
  <c r="V450"/>
  <c r="T450"/>
  <c r="K450"/>
  <c r="J450"/>
  <c r="I450"/>
  <c r="V449"/>
  <c r="T449"/>
  <c r="K449"/>
  <c r="J449"/>
  <c r="I449"/>
  <c r="V448"/>
  <c r="T448"/>
  <c r="K448"/>
  <c r="J448"/>
  <c r="I448"/>
  <c r="V447"/>
  <c r="T447"/>
  <c r="K447"/>
  <c r="J447"/>
  <c r="I447"/>
  <c r="N444"/>
  <c r="N445"/>
  <c r="N446"/>
  <c r="N443"/>
  <c r="I470" s="1"/>
  <c r="J470" s="1"/>
  <c r="N442"/>
  <c r="V446"/>
  <c r="T446"/>
  <c r="K446"/>
  <c r="J446"/>
  <c r="I446"/>
  <c r="V445"/>
  <c r="T445"/>
  <c r="K445"/>
  <c r="J445"/>
  <c r="I445"/>
  <c r="V444"/>
  <c r="T444"/>
  <c r="K444"/>
  <c r="J444"/>
  <c r="I444"/>
  <c r="V443"/>
  <c r="T443"/>
  <c r="K443"/>
  <c r="J443"/>
  <c r="I443"/>
  <c r="N424"/>
  <c r="N425"/>
  <c r="N426"/>
  <c r="N428"/>
  <c r="N429"/>
  <c r="N430"/>
  <c r="N432"/>
  <c r="N433"/>
  <c r="N434"/>
  <c r="N436"/>
  <c r="N437"/>
  <c r="N438"/>
  <c r="N435"/>
  <c r="I468" s="1"/>
  <c r="J468" s="1"/>
  <c r="N440"/>
  <c r="N441"/>
  <c r="N439"/>
  <c r="I469" s="1"/>
  <c r="J469" s="1"/>
  <c r="V442"/>
  <c r="T442"/>
  <c r="K442"/>
  <c r="J442"/>
  <c r="I442"/>
  <c r="V441"/>
  <c r="T441"/>
  <c r="K441"/>
  <c r="J441"/>
  <c r="I441"/>
  <c r="V440"/>
  <c r="T440"/>
  <c r="K440"/>
  <c r="J440"/>
  <c r="I440"/>
  <c r="V439"/>
  <c r="T439"/>
  <c r="K439"/>
  <c r="J439"/>
  <c r="I439"/>
  <c r="N427"/>
  <c r="I466" s="1"/>
  <c r="J466" s="1"/>
  <c r="I435"/>
  <c r="J435"/>
  <c r="K435"/>
  <c r="T435"/>
  <c r="V435"/>
  <c r="I436"/>
  <c r="J436"/>
  <c r="K436"/>
  <c r="T436"/>
  <c r="V436"/>
  <c r="I437"/>
  <c r="J437"/>
  <c r="K437"/>
  <c r="T437"/>
  <c r="V437"/>
  <c r="I438"/>
  <c r="J438"/>
  <c r="K438"/>
  <c r="T438"/>
  <c r="V438"/>
  <c r="V431"/>
  <c r="N431"/>
  <c r="I467" s="1"/>
  <c r="J467" s="1"/>
  <c r="I433"/>
  <c r="J433"/>
  <c r="K433"/>
  <c r="T433"/>
  <c r="V433"/>
  <c r="I434"/>
  <c r="J434"/>
  <c r="K434"/>
  <c r="T434"/>
  <c r="V434"/>
  <c r="I431"/>
  <c r="J431"/>
  <c r="K431"/>
  <c r="T431"/>
  <c r="I432"/>
  <c r="J432"/>
  <c r="K432"/>
  <c r="T432"/>
  <c r="V432"/>
  <c r="I429"/>
  <c r="J429"/>
  <c r="K429"/>
  <c r="T429"/>
  <c r="V429"/>
  <c r="I430"/>
  <c r="J430"/>
  <c r="K430"/>
  <c r="T430"/>
  <c r="V430"/>
  <c r="I427"/>
  <c r="J427"/>
  <c r="K427"/>
  <c r="T427"/>
  <c r="V427"/>
  <c r="I428"/>
  <c r="J428"/>
  <c r="K428"/>
  <c r="T428"/>
  <c r="V428"/>
  <c r="V423"/>
  <c r="N423"/>
  <c r="I465" s="1"/>
  <c r="J465" s="1"/>
  <c r="I425"/>
  <c r="J425"/>
  <c r="K425"/>
  <c r="T425"/>
  <c r="V425"/>
  <c r="I426"/>
  <c r="J426"/>
  <c r="K426"/>
  <c r="T426"/>
  <c r="V426"/>
  <c r="I423"/>
  <c r="J423"/>
  <c r="K423"/>
  <c r="T423"/>
  <c r="I424"/>
  <c r="J424"/>
  <c r="K424"/>
  <c r="T424"/>
  <c r="V424"/>
  <c r="N420"/>
  <c r="I464" s="1"/>
  <c r="J464" s="1"/>
  <c r="I422"/>
  <c r="J422"/>
  <c r="K422"/>
  <c r="T422"/>
  <c r="V422"/>
  <c r="I420"/>
  <c r="J420"/>
  <c r="K420"/>
  <c r="T420"/>
  <c r="V420"/>
  <c r="I421"/>
  <c r="J421"/>
  <c r="K421"/>
  <c r="T421"/>
  <c r="V421"/>
  <c r="I417"/>
  <c r="J417"/>
  <c r="K417"/>
  <c r="N417"/>
  <c r="T417"/>
  <c r="V417"/>
  <c r="I418"/>
  <c r="J418"/>
  <c r="K418"/>
  <c r="N418"/>
  <c r="T418"/>
  <c r="V418"/>
  <c r="I419"/>
  <c r="J419"/>
  <c r="K419"/>
  <c r="N419"/>
  <c r="T419"/>
  <c r="V419"/>
  <c r="N416"/>
  <c r="I463" s="1"/>
  <c r="J463" s="1"/>
  <c r="V416"/>
  <c r="T416"/>
  <c r="K416"/>
  <c r="J416"/>
  <c r="I416"/>
  <c r="I413"/>
  <c r="J413"/>
  <c r="K413"/>
  <c r="N413"/>
  <c r="T413"/>
  <c r="V413"/>
  <c r="V414"/>
  <c r="V412"/>
  <c r="N412"/>
  <c r="I462" s="1"/>
  <c r="J462" s="1"/>
  <c r="N414"/>
  <c r="I412"/>
  <c r="J412"/>
  <c r="K412"/>
  <c r="T412"/>
  <c r="I414"/>
  <c r="J414"/>
  <c r="K414"/>
  <c r="T414"/>
  <c r="V410"/>
  <c r="V411"/>
  <c r="V409"/>
  <c r="N410"/>
  <c r="N411"/>
  <c r="N409"/>
  <c r="I461" s="1"/>
  <c r="J461" s="1"/>
  <c r="K410"/>
  <c r="K411"/>
  <c r="K409"/>
  <c r="J410"/>
  <c r="J411"/>
  <c r="J409"/>
  <c r="I410"/>
  <c r="T410"/>
  <c r="T411"/>
  <c r="I411"/>
  <c r="T409"/>
  <c r="I409"/>
  <c r="C423"/>
  <c r="C422"/>
  <c r="C424"/>
  <c r="C405"/>
  <c r="C425"/>
  <c r="AN303"/>
  <c r="AN304"/>
  <c r="AN305"/>
  <c r="AN306"/>
  <c r="AN307"/>
  <c r="AN308"/>
  <c r="AN309"/>
  <c r="AN310"/>
  <c r="AN311"/>
  <c r="AN312"/>
  <c r="AN313"/>
  <c r="AN314"/>
  <c r="AN315"/>
  <c r="AN302"/>
  <c r="AK303"/>
  <c r="AK304"/>
  <c r="AK305"/>
  <c r="AK306"/>
  <c r="AK307"/>
  <c r="AK308"/>
  <c r="AK309"/>
  <c r="AK310"/>
  <c r="AK311"/>
  <c r="AK312"/>
  <c r="AK313"/>
  <c r="AK314"/>
  <c r="AK315"/>
  <c r="AK302"/>
  <c r="AI303"/>
  <c r="AI304"/>
  <c r="AI305"/>
  <c r="AI306"/>
  <c r="AI307"/>
  <c r="AI308"/>
  <c r="AI309"/>
  <c r="AI310"/>
  <c r="AI311"/>
  <c r="AI312"/>
  <c r="AI313"/>
  <c r="AI314"/>
  <c r="AI315"/>
  <c r="AI302"/>
  <c r="Q17" i="2"/>
  <c r="R17"/>
  <c r="S17"/>
  <c r="T17"/>
  <c r="U17"/>
  <c r="V17"/>
  <c r="W17"/>
  <c r="X17"/>
  <c r="Y17"/>
  <c r="Z17"/>
  <c r="AA17"/>
  <c r="AB17"/>
  <c r="Q18"/>
  <c r="R18"/>
  <c r="S18"/>
  <c r="T18"/>
  <c r="U18"/>
  <c r="V18"/>
  <c r="W18"/>
  <c r="X18"/>
  <c r="Y18"/>
  <c r="Z18"/>
  <c r="AA18"/>
  <c r="AB18"/>
  <c r="AP302" i="1"/>
  <c r="AP303"/>
  <c r="AP304"/>
  <c r="AP305"/>
  <c r="AP306"/>
  <c r="AP307"/>
  <c r="AP308"/>
  <c r="AP309"/>
  <c r="AP310"/>
  <c r="AP311"/>
  <c r="AP312"/>
  <c r="AP313"/>
  <c r="AP314"/>
  <c r="AP315"/>
  <c r="AO316"/>
  <c r="AL303"/>
  <c r="AL304"/>
  <c r="AL305"/>
  <c r="AL306"/>
  <c r="AL307"/>
  <c r="AL308"/>
  <c r="AL309"/>
  <c r="AL310"/>
  <c r="AL311"/>
  <c r="AL312"/>
  <c r="AL313"/>
  <c r="AL314"/>
  <c r="AL315"/>
  <c r="AB253"/>
  <c r="Y15" i="2"/>
  <c r="Y20"/>
  <c r="Y21"/>
  <c r="Y22"/>
  <c r="Y23"/>
  <c r="Y24"/>
  <c r="Y25"/>
  <c r="Y26"/>
  <c r="Y27"/>
  <c r="Y28"/>
  <c r="Y29"/>
  <c r="Y30"/>
  <c r="Y31"/>
  <c r="Y32"/>
  <c r="Q31"/>
  <c r="R31"/>
  <c r="S31"/>
  <c r="T31"/>
  <c r="U31"/>
  <c r="V31"/>
  <c r="W31"/>
  <c r="X31"/>
  <c r="AB31"/>
  <c r="Q32"/>
  <c r="R32"/>
  <c r="S32"/>
  <c r="T32"/>
  <c r="U32"/>
  <c r="V32"/>
  <c r="W32"/>
  <c r="X32"/>
  <c r="AB32"/>
  <c r="Q15"/>
  <c r="R15"/>
  <c r="S15"/>
  <c r="T15"/>
  <c r="U15"/>
  <c r="V15"/>
  <c r="W15"/>
  <c r="X15"/>
  <c r="Z15"/>
  <c r="AA15"/>
  <c r="AB15"/>
  <c r="Q13"/>
  <c r="R13"/>
  <c r="S13"/>
  <c r="T13"/>
  <c r="U13"/>
  <c r="V13"/>
  <c r="W13"/>
  <c r="X13"/>
  <c r="Y13"/>
  <c r="Z13"/>
  <c r="AA13"/>
  <c r="AB13"/>
  <c r="Q14"/>
  <c r="R14"/>
  <c r="S14"/>
  <c r="T14"/>
  <c r="U14"/>
  <c r="V14"/>
  <c r="W14"/>
  <c r="X14"/>
  <c r="Y14"/>
  <c r="Z14"/>
  <c r="AA14"/>
  <c r="AB14"/>
  <c r="Q12"/>
  <c r="R12"/>
  <c r="S12"/>
  <c r="T12"/>
  <c r="U12"/>
  <c r="V12"/>
  <c r="W12"/>
  <c r="X12"/>
  <c r="Y12"/>
  <c r="Z12"/>
  <c r="AA12"/>
  <c r="AB12"/>
  <c r="D62" l="1"/>
  <c r="C429" i="1"/>
  <c r="BC4" i="2" l="1"/>
  <c r="Q55"/>
  <c r="R55"/>
  <c r="S55"/>
  <c r="T55"/>
  <c r="U55"/>
  <c r="V55"/>
  <c r="W55"/>
  <c r="X55"/>
  <c r="Y55"/>
  <c r="Z55"/>
  <c r="AA55"/>
  <c r="AB55"/>
  <c r="Q56"/>
  <c r="R56"/>
  <c r="S56"/>
  <c r="T56"/>
  <c r="U56"/>
  <c r="V56"/>
  <c r="W56"/>
  <c r="X56"/>
  <c r="Y56"/>
  <c r="Z56"/>
  <c r="AA56"/>
  <c r="AB56"/>
  <c r="Q57"/>
  <c r="R57"/>
  <c r="S57"/>
  <c r="T57"/>
  <c r="U57"/>
  <c r="V57"/>
  <c r="W57"/>
  <c r="X57"/>
  <c r="Y57"/>
  <c r="Z57"/>
  <c r="AA57"/>
  <c r="AP28" s="1"/>
  <c r="AB57"/>
  <c r="Y52"/>
  <c r="Q28"/>
  <c r="R28"/>
  <c r="S28"/>
  <c r="T28"/>
  <c r="U28"/>
  <c r="V28"/>
  <c r="W28"/>
  <c r="X28"/>
  <c r="AB28"/>
  <c r="Q29"/>
  <c r="R29"/>
  <c r="S29"/>
  <c r="T29"/>
  <c r="U29"/>
  <c r="V29"/>
  <c r="W29"/>
  <c r="X29"/>
  <c r="AB29"/>
  <c r="Q30"/>
  <c r="R30"/>
  <c r="S30"/>
  <c r="T30"/>
  <c r="U30"/>
  <c r="V30"/>
  <c r="W30"/>
  <c r="X30"/>
  <c r="AB30"/>
  <c r="Q54"/>
  <c r="R54"/>
  <c r="S54"/>
  <c r="T54"/>
  <c r="U54"/>
  <c r="V54"/>
  <c r="W54"/>
  <c r="X54"/>
  <c r="AO21" s="1"/>
  <c r="Y54"/>
  <c r="Z54"/>
  <c r="AA54"/>
  <c r="AB54"/>
  <c r="Q52"/>
  <c r="R52"/>
  <c r="S52"/>
  <c r="T52"/>
  <c r="U52"/>
  <c r="V52"/>
  <c r="W52"/>
  <c r="X52"/>
  <c r="Z52"/>
  <c r="AA52"/>
  <c r="AB52"/>
  <c r="Q53"/>
  <c r="R53"/>
  <c r="S53"/>
  <c r="T53"/>
  <c r="U53"/>
  <c r="V53"/>
  <c r="W53"/>
  <c r="X53"/>
  <c r="Y53"/>
  <c r="Z53"/>
  <c r="AA53"/>
  <c r="AB53"/>
  <c r="Q7"/>
  <c r="R7"/>
  <c r="S7"/>
  <c r="T7"/>
  <c r="U7"/>
  <c r="V7"/>
  <c r="W7"/>
  <c r="X7"/>
  <c r="Y7"/>
  <c r="Z7"/>
  <c r="AA7"/>
  <c r="AB7"/>
  <c r="AL29"/>
  <c r="X3"/>
  <c r="AB3"/>
  <c r="Y49"/>
  <c r="Z49"/>
  <c r="AA49"/>
  <c r="Y50"/>
  <c r="Z50"/>
  <c r="AA50"/>
  <c r="Y51"/>
  <c r="Z51"/>
  <c r="AA51"/>
  <c r="Y5"/>
  <c r="Z5"/>
  <c r="AA5"/>
  <c r="AA4"/>
  <c r="AA8"/>
  <c r="AA46"/>
  <c r="AA47"/>
  <c r="AA48"/>
  <c r="Z4"/>
  <c r="Z8"/>
  <c r="Z46"/>
  <c r="Z47"/>
  <c r="Z48"/>
  <c r="AI23" s="1"/>
  <c r="Y4"/>
  <c r="Y8"/>
  <c r="Y46"/>
  <c r="Y47"/>
  <c r="Y48"/>
  <c r="V3"/>
  <c r="U3"/>
  <c r="T3"/>
  <c r="R3"/>
  <c r="S3"/>
  <c r="V193" i="1"/>
  <c r="C408"/>
  <c r="AQ303"/>
  <c r="AQ304"/>
  <c r="AQ305"/>
  <c r="AQ306"/>
  <c r="AQ307"/>
  <c r="AQ308"/>
  <c r="AQ309"/>
  <c r="AQ310"/>
  <c r="AQ311"/>
  <c r="AQ312"/>
  <c r="AQ313"/>
  <c r="AQ314"/>
  <c r="AQ315"/>
  <c r="AQ316"/>
  <c r="AQ302"/>
  <c r="C37"/>
  <c r="C38"/>
  <c r="AB302"/>
  <c r="AC302" s="1"/>
  <c r="C406"/>
  <c r="C407"/>
  <c r="BD268"/>
  <c r="BD269"/>
  <c r="BE269"/>
  <c r="BD270"/>
  <c r="BE270"/>
  <c r="BD271"/>
  <c r="BE271"/>
  <c r="BD272"/>
  <c r="BE272"/>
  <c r="BD273"/>
  <c r="BE273"/>
  <c r="BD274"/>
  <c r="BE274"/>
  <c r="BD275"/>
  <c r="BE275"/>
  <c r="BD276"/>
  <c r="BE276"/>
  <c r="BD277"/>
  <c r="BE277"/>
  <c r="BD278"/>
  <c r="BE278"/>
  <c r="BD279"/>
  <c r="BE279"/>
  <c r="BD280"/>
  <c r="BE280"/>
  <c r="BD281"/>
  <c r="BE281"/>
  <c r="BD282"/>
  <c r="BE282"/>
  <c r="BD283"/>
  <c r="BE283"/>
  <c r="BD284"/>
  <c r="BE284"/>
  <c r="BD285"/>
  <c r="BE285"/>
  <c r="BD286"/>
  <c r="BE286"/>
  <c r="BD287"/>
  <c r="BE287"/>
  <c r="BD288"/>
  <c r="BE288"/>
  <c r="BD289"/>
  <c r="BE289"/>
  <c r="BD290"/>
  <c r="BE290"/>
  <c r="BD291"/>
  <c r="BE291"/>
  <c r="BD292"/>
  <c r="BE292"/>
  <c r="BD293"/>
  <c r="BE293"/>
  <c r="BD294"/>
  <c r="BE294"/>
  <c r="BD295"/>
  <c r="BE295"/>
  <c r="BD296"/>
  <c r="BE296"/>
  <c r="BD297"/>
  <c r="BE297"/>
  <c r="BD298"/>
  <c r="BE298"/>
  <c r="BD299"/>
  <c r="BE299"/>
  <c r="BD300"/>
  <c r="BE300"/>
  <c r="BD301"/>
  <c r="BE301"/>
  <c r="BD302"/>
  <c r="BE302"/>
  <c r="BD303"/>
  <c r="BE303"/>
  <c r="BD304"/>
  <c r="BE304"/>
  <c r="BD305"/>
  <c r="BE305"/>
  <c r="BD306"/>
  <c r="BE306"/>
  <c r="BD307"/>
  <c r="BE307"/>
  <c r="BD308"/>
  <c r="BE308"/>
  <c r="BD309"/>
  <c r="BE309"/>
  <c r="BD310"/>
  <c r="BE310"/>
  <c r="BD311"/>
  <c r="BE311"/>
  <c r="BD312"/>
  <c r="BE312"/>
  <c r="BD313"/>
  <c r="BE313"/>
  <c r="BD314"/>
  <c r="BE314"/>
  <c r="BD315"/>
  <c r="BE315"/>
  <c r="BD316"/>
  <c r="BE316"/>
  <c r="BD317"/>
  <c r="BE317"/>
  <c r="BD318"/>
  <c r="BE318"/>
  <c r="BD319"/>
  <c r="BE319"/>
  <c r="BD320"/>
  <c r="BE320"/>
  <c r="BD321"/>
  <c r="BE321"/>
  <c r="BD322"/>
  <c r="BE322"/>
  <c r="BD323"/>
  <c r="BE323"/>
  <c r="BD324"/>
  <c r="BE324"/>
  <c r="BD325"/>
  <c r="BE325"/>
  <c r="BD326"/>
  <c r="BE326"/>
  <c r="BD327"/>
  <c r="BE327"/>
  <c r="BD328"/>
  <c r="BE328"/>
  <c r="BE268"/>
  <c r="BC268"/>
  <c r="BB269"/>
  <c r="BC269"/>
  <c r="BB270"/>
  <c r="BC270"/>
  <c r="BB271"/>
  <c r="BC271"/>
  <c r="BB272"/>
  <c r="BC272"/>
  <c r="BB273"/>
  <c r="BC273"/>
  <c r="BB274"/>
  <c r="BC274"/>
  <c r="BB275"/>
  <c r="BC275"/>
  <c r="BB276"/>
  <c r="BC276"/>
  <c r="BB277"/>
  <c r="BC277"/>
  <c r="BB278"/>
  <c r="BC278"/>
  <c r="BB279"/>
  <c r="BC279"/>
  <c r="BB280"/>
  <c r="BC280"/>
  <c r="BB281"/>
  <c r="BC281"/>
  <c r="BB282"/>
  <c r="BC282"/>
  <c r="BB283"/>
  <c r="BC283"/>
  <c r="BB284"/>
  <c r="BC284"/>
  <c r="BB285"/>
  <c r="BC285"/>
  <c r="BB286"/>
  <c r="BC286"/>
  <c r="BB287"/>
  <c r="BC287"/>
  <c r="BB288"/>
  <c r="BC288"/>
  <c r="BB289"/>
  <c r="BC289"/>
  <c r="BB290"/>
  <c r="BC290"/>
  <c r="BB291"/>
  <c r="BC291"/>
  <c r="BB292"/>
  <c r="BC292"/>
  <c r="BB293"/>
  <c r="BC293"/>
  <c r="BB294"/>
  <c r="BC294"/>
  <c r="BB295"/>
  <c r="BC295"/>
  <c r="BB296"/>
  <c r="BC296"/>
  <c r="BB297"/>
  <c r="BC297"/>
  <c r="BB298"/>
  <c r="BC298"/>
  <c r="BB299"/>
  <c r="BC299"/>
  <c r="BB300"/>
  <c r="BC300"/>
  <c r="BB301"/>
  <c r="BC301"/>
  <c r="BB302"/>
  <c r="BC302"/>
  <c r="BB303"/>
  <c r="BC303"/>
  <c r="BB304"/>
  <c r="BC304"/>
  <c r="BB305"/>
  <c r="BC305"/>
  <c r="BB306"/>
  <c r="BC306"/>
  <c r="BB307"/>
  <c r="BC307"/>
  <c r="BB308"/>
  <c r="BC308"/>
  <c r="BB309"/>
  <c r="BC309"/>
  <c r="BB310"/>
  <c r="BC310"/>
  <c r="BB311"/>
  <c r="BC311"/>
  <c r="BB312"/>
  <c r="BC312"/>
  <c r="BB313"/>
  <c r="BC313"/>
  <c r="BB314"/>
  <c r="BC314"/>
  <c r="BB315"/>
  <c r="BC315"/>
  <c r="BB316"/>
  <c r="BC316"/>
  <c r="BB317"/>
  <c r="BC317"/>
  <c r="BB318"/>
  <c r="BC318"/>
  <c r="BB319"/>
  <c r="BC319"/>
  <c r="BB320"/>
  <c r="BC320"/>
  <c r="BB321"/>
  <c r="BC321"/>
  <c r="BB322"/>
  <c r="BC322"/>
  <c r="BB323"/>
  <c r="BC323"/>
  <c r="BB324"/>
  <c r="BC324"/>
  <c r="BB325"/>
  <c r="BC325"/>
  <c r="BB326"/>
  <c r="BC326"/>
  <c r="BB327"/>
  <c r="BC327"/>
  <c r="BB328"/>
  <c r="BC328"/>
  <c r="BB268"/>
  <c r="BA268"/>
  <c r="BA269"/>
  <c r="BA270"/>
  <c r="BA271"/>
  <c r="BA272"/>
  <c r="BA273"/>
  <c r="BA274"/>
  <c r="BA275"/>
  <c r="BA276"/>
  <c r="BA277"/>
  <c r="BA278"/>
  <c r="BA279"/>
  <c r="BA280"/>
  <c r="BA281"/>
  <c r="BA282"/>
  <c r="BA283"/>
  <c r="BA284"/>
  <c r="BA285"/>
  <c r="BA286"/>
  <c r="BA287"/>
  <c r="BA288"/>
  <c r="BA289"/>
  <c r="BA290"/>
  <c r="BA291"/>
  <c r="BA292"/>
  <c r="BA293"/>
  <c r="BA294"/>
  <c r="BA295"/>
  <c r="BA296"/>
  <c r="BA297"/>
  <c r="BA298"/>
  <c r="BA299"/>
  <c r="BA300"/>
  <c r="BA301"/>
  <c r="BA302"/>
  <c r="BA303"/>
  <c r="BA304"/>
  <c r="BA305"/>
  <c r="BA306"/>
  <c r="BA307"/>
  <c r="BA308"/>
  <c r="BA309"/>
  <c r="BA310"/>
  <c r="BA311"/>
  <c r="BA312"/>
  <c r="BA313"/>
  <c r="BA314"/>
  <c r="BA315"/>
  <c r="BA316"/>
  <c r="BA317"/>
  <c r="BA318"/>
  <c r="BA319"/>
  <c r="BA320"/>
  <c r="BA321"/>
  <c r="BA322"/>
  <c r="BA323"/>
  <c r="BA324"/>
  <c r="BA325"/>
  <c r="BA326"/>
  <c r="BA327"/>
  <c r="BA328"/>
  <c r="AZ268"/>
  <c r="AZ269"/>
  <c r="AZ270"/>
  <c r="AZ271"/>
  <c r="AZ272"/>
  <c r="AZ273"/>
  <c r="AZ274"/>
  <c r="AZ275"/>
  <c r="AZ276"/>
  <c r="AZ277"/>
  <c r="AZ278"/>
  <c r="AZ279"/>
  <c r="AZ280"/>
  <c r="AZ281"/>
  <c r="AZ282"/>
  <c r="AZ283"/>
  <c r="AZ284"/>
  <c r="AZ285"/>
  <c r="AZ286"/>
  <c r="AZ287"/>
  <c r="AZ288"/>
  <c r="AZ289"/>
  <c r="AZ290"/>
  <c r="AZ291"/>
  <c r="AZ292"/>
  <c r="AZ293"/>
  <c r="AZ294"/>
  <c r="AZ295"/>
  <c r="AZ296"/>
  <c r="AZ297"/>
  <c r="AZ298"/>
  <c r="AZ299"/>
  <c r="AZ300"/>
  <c r="AZ301"/>
  <c r="AZ302"/>
  <c r="AZ303"/>
  <c r="AZ304"/>
  <c r="AZ305"/>
  <c r="AZ306"/>
  <c r="AZ307"/>
  <c r="AZ308"/>
  <c r="AZ309"/>
  <c r="AZ310"/>
  <c r="AZ311"/>
  <c r="AZ312"/>
  <c r="AZ313"/>
  <c r="AZ314"/>
  <c r="AZ315"/>
  <c r="AZ316"/>
  <c r="AZ317"/>
  <c r="AZ318"/>
  <c r="AZ319"/>
  <c r="AZ320"/>
  <c r="AZ321"/>
  <c r="AZ322"/>
  <c r="AZ323"/>
  <c r="AZ324"/>
  <c r="AZ325"/>
  <c r="AZ326"/>
  <c r="AZ327"/>
  <c r="AZ328"/>
  <c r="AY268"/>
  <c r="AY269"/>
  <c r="AY270"/>
  <c r="AY271"/>
  <c r="AY272"/>
  <c r="AY273"/>
  <c r="AY274"/>
  <c r="AY275"/>
  <c r="AY276"/>
  <c r="AY277"/>
  <c r="AY278"/>
  <c r="AY279"/>
  <c r="AY280"/>
  <c r="AY281"/>
  <c r="AY282"/>
  <c r="AY283"/>
  <c r="AY284"/>
  <c r="AY285"/>
  <c r="AY286"/>
  <c r="AY287"/>
  <c r="AY288"/>
  <c r="AY289"/>
  <c r="AY290"/>
  <c r="AY291"/>
  <c r="AY292"/>
  <c r="AY293"/>
  <c r="AY294"/>
  <c r="AY295"/>
  <c r="AY296"/>
  <c r="AY297"/>
  <c r="AY298"/>
  <c r="AY299"/>
  <c r="AY300"/>
  <c r="AY301"/>
  <c r="AY302"/>
  <c r="AY303"/>
  <c r="AY304"/>
  <c r="AY305"/>
  <c r="AY306"/>
  <c r="AY307"/>
  <c r="AY308"/>
  <c r="AY309"/>
  <c r="AY310"/>
  <c r="AY311"/>
  <c r="AY312"/>
  <c r="AY313"/>
  <c r="AY314"/>
  <c r="AY315"/>
  <c r="AY316"/>
  <c r="AY317"/>
  <c r="AY318"/>
  <c r="AY319"/>
  <c r="AY320"/>
  <c r="AY321"/>
  <c r="AY322"/>
  <c r="AY323"/>
  <c r="AY324"/>
  <c r="AY325"/>
  <c r="AY326"/>
  <c r="AY327"/>
  <c r="AY328"/>
  <c r="AX269"/>
  <c r="AX270"/>
  <c r="AX271"/>
  <c r="AX272"/>
  <c r="AX273"/>
  <c r="AX274"/>
  <c r="AX275"/>
  <c r="AX276"/>
  <c r="AX277"/>
  <c r="AX278"/>
  <c r="AX279"/>
  <c r="AX280"/>
  <c r="AX281"/>
  <c r="AX282"/>
  <c r="AX283"/>
  <c r="AX284"/>
  <c r="AX285"/>
  <c r="AX286"/>
  <c r="AX287"/>
  <c r="AX288"/>
  <c r="AX289"/>
  <c r="AX290"/>
  <c r="AX291"/>
  <c r="AX292"/>
  <c r="AX293"/>
  <c r="AX294"/>
  <c r="AX295"/>
  <c r="AX296"/>
  <c r="AX297"/>
  <c r="AX298"/>
  <c r="AX299"/>
  <c r="AX300"/>
  <c r="AX301"/>
  <c r="AX302"/>
  <c r="AX303"/>
  <c r="AX304"/>
  <c r="AX305"/>
  <c r="AX306"/>
  <c r="AX307"/>
  <c r="AX308"/>
  <c r="AX309"/>
  <c r="AX310"/>
  <c r="AX311"/>
  <c r="AX312"/>
  <c r="AX313"/>
  <c r="AX314"/>
  <c r="AX315"/>
  <c r="AX316"/>
  <c r="AX317"/>
  <c r="AX318"/>
  <c r="AX319"/>
  <c r="AX320"/>
  <c r="AX321"/>
  <c r="AX322"/>
  <c r="AX323"/>
  <c r="AX324"/>
  <c r="AX325"/>
  <c r="AX326"/>
  <c r="AX327"/>
  <c r="AX328"/>
  <c r="AX268"/>
  <c r="AW268"/>
  <c r="AW269"/>
  <c r="AW270"/>
  <c r="AW271"/>
  <c r="AW272"/>
  <c r="AW273"/>
  <c r="AW274"/>
  <c r="AW275"/>
  <c r="AW276"/>
  <c r="AW277"/>
  <c r="AW278"/>
  <c r="AW279"/>
  <c r="AW280"/>
  <c r="AW281"/>
  <c r="AW282"/>
  <c r="AW283"/>
  <c r="AW284"/>
  <c r="AW285"/>
  <c r="AW286"/>
  <c r="AW287"/>
  <c r="AW288"/>
  <c r="AW289"/>
  <c r="AW290"/>
  <c r="AW291"/>
  <c r="AW292"/>
  <c r="AW293"/>
  <c r="AW294"/>
  <c r="AW295"/>
  <c r="AW296"/>
  <c r="AW297"/>
  <c r="AW298"/>
  <c r="AW299"/>
  <c r="AW300"/>
  <c r="AW301"/>
  <c r="AW302"/>
  <c r="AW303"/>
  <c r="AW304"/>
  <c r="AW305"/>
  <c r="AW306"/>
  <c r="AW307"/>
  <c r="AW308"/>
  <c r="AW309"/>
  <c r="AW310"/>
  <c r="AW311"/>
  <c r="AW312"/>
  <c r="AW313"/>
  <c r="AW314"/>
  <c r="AW315"/>
  <c r="AW316"/>
  <c r="AW317"/>
  <c r="AW318"/>
  <c r="AW319"/>
  <c r="AW320"/>
  <c r="AW321"/>
  <c r="AW322"/>
  <c r="AW323"/>
  <c r="AW324"/>
  <c r="AW325"/>
  <c r="AW326"/>
  <c r="AW327"/>
  <c r="AW328"/>
  <c r="AV268"/>
  <c r="AV269"/>
  <c r="AV270"/>
  <c r="AV271"/>
  <c r="AV272"/>
  <c r="AV273"/>
  <c r="AV274"/>
  <c r="AV275"/>
  <c r="AV276"/>
  <c r="AV277"/>
  <c r="AV278"/>
  <c r="AV279"/>
  <c r="AV280"/>
  <c r="AV281"/>
  <c r="AV282"/>
  <c r="AV283"/>
  <c r="AV284"/>
  <c r="AV285"/>
  <c r="AV286"/>
  <c r="AV287"/>
  <c r="AV288"/>
  <c r="AV289"/>
  <c r="AV290"/>
  <c r="AV291"/>
  <c r="AV292"/>
  <c r="AV293"/>
  <c r="AV294"/>
  <c r="AV295"/>
  <c r="AV296"/>
  <c r="AV297"/>
  <c r="AV298"/>
  <c r="AV299"/>
  <c r="AV300"/>
  <c r="AV301"/>
  <c r="AV302"/>
  <c r="AV303"/>
  <c r="AV304"/>
  <c r="AV305"/>
  <c r="AV306"/>
  <c r="AV307"/>
  <c r="AV308"/>
  <c r="AV309"/>
  <c r="AV310"/>
  <c r="AV311"/>
  <c r="AV312"/>
  <c r="AV313"/>
  <c r="AV314"/>
  <c r="AV315"/>
  <c r="AV316"/>
  <c r="AV317"/>
  <c r="AV318"/>
  <c r="AV319"/>
  <c r="AV320"/>
  <c r="AV321"/>
  <c r="AV322"/>
  <c r="AV323"/>
  <c r="AV324"/>
  <c r="AV325"/>
  <c r="AV326"/>
  <c r="AV327"/>
  <c r="AV328"/>
  <c r="AU268"/>
  <c r="AU269"/>
  <c r="AU270"/>
  <c r="AU271"/>
  <c r="AU272"/>
  <c r="AU273"/>
  <c r="AU274"/>
  <c r="AU275"/>
  <c r="AU276"/>
  <c r="AU277"/>
  <c r="AU278"/>
  <c r="AU279"/>
  <c r="AU280"/>
  <c r="AU281"/>
  <c r="AU282"/>
  <c r="AU283"/>
  <c r="AU284"/>
  <c r="AU285"/>
  <c r="AU286"/>
  <c r="AU287"/>
  <c r="AU288"/>
  <c r="AU289"/>
  <c r="AU290"/>
  <c r="AU291"/>
  <c r="AU292"/>
  <c r="AU293"/>
  <c r="AU294"/>
  <c r="AU295"/>
  <c r="AU296"/>
  <c r="AU297"/>
  <c r="AU298"/>
  <c r="AU299"/>
  <c r="AU300"/>
  <c r="AU301"/>
  <c r="AU302"/>
  <c r="AU303"/>
  <c r="AU304"/>
  <c r="AU305"/>
  <c r="AU306"/>
  <c r="AU307"/>
  <c r="AU308"/>
  <c r="AU309"/>
  <c r="AU310"/>
  <c r="AU311"/>
  <c r="AU312"/>
  <c r="AU313"/>
  <c r="AU314"/>
  <c r="AU315"/>
  <c r="AU316"/>
  <c r="AU317"/>
  <c r="AU318"/>
  <c r="AU319"/>
  <c r="AU320"/>
  <c r="AU321"/>
  <c r="AU322"/>
  <c r="AU323"/>
  <c r="AU324"/>
  <c r="AU325"/>
  <c r="AU326"/>
  <c r="AU327"/>
  <c r="AU328"/>
  <c r="AT269"/>
  <c r="AT271"/>
  <c r="AT272"/>
  <c r="AT273"/>
  <c r="AT274"/>
  <c r="AT275"/>
  <c r="AT276"/>
  <c r="AT277"/>
  <c r="AT278"/>
  <c r="AT279"/>
  <c r="AT280"/>
  <c r="AT281"/>
  <c r="AT282"/>
  <c r="AT283"/>
  <c r="AT284"/>
  <c r="AT285"/>
  <c r="AT286"/>
  <c r="AT287"/>
  <c r="AT288"/>
  <c r="AT289"/>
  <c r="AT290"/>
  <c r="AT291"/>
  <c r="AT292"/>
  <c r="AT293"/>
  <c r="AT294"/>
  <c r="AT295"/>
  <c r="AT296"/>
  <c r="AT297"/>
  <c r="AT298"/>
  <c r="AT299"/>
  <c r="AT300"/>
  <c r="AT301"/>
  <c r="AT302"/>
  <c r="AT303"/>
  <c r="AT304"/>
  <c r="AT305"/>
  <c r="AT306"/>
  <c r="AT307"/>
  <c r="AT308"/>
  <c r="AT309"/>
  <c r="AT310"/>
  <c r="AT311"/>
  <c r="AT312"/>
  <c r="AT313"/>
  <c r="AT314"/>
  <c r="AT315"/>
  <c r="AT316"/>
  <c r="AT317"/>
  <c r="AT318"/>
  <c r="AT319"/>
  <c r="AT320"/>
  <c r="AT321"/>
  <c r="AT322"/>
  <c r="AT323"/>
  <c r="AT324"/>
  <c r="AT325"/>
  <c r="AT326"/>
  <c r="AT327"/>
  <c r="AT328"/>
  <c r="AT268"/>
  <c r="AS268"/>
  <c r="AS269"/>
  <c r="AS270"/>
  <c r="AS271"/>
  <c r="AS272"/>
  <c r="AS273"/>
  <c r="AS274"/>
  <c r="AS275"/>
  <c r="AS276"/>
  <c r="AS277"/>
  <c r="AS278"/>
  <c r="AS279"/>
  <c r="AS280"/>
  <c r="AS281"/>
  <c r="AS282"/>
  <c r="AS283"/>
  <c r="AS284"/>
  <c r="AS285"/>
  <c r="AS286"/>
  <c r="AS287"/>
  <c r="AS288"/>
  <c r="AS289"/>
  <c r="AS290"/>
  <c r="AS291"/>
  <c r="AS292"/>
  <c r="AS293"/>
  <c r="AS294"/>
  <c r="AS295"/>
  <c r="AS296"/>
  <c r="AS297"/>
  <c r="AS298"/>
  <c r="AS299"/>
  <c r="AS300"/>
  <c r="AS301"/>
  <c r="AS302"/>
  <c r="AS303"/>
  <c r="AS304"/>
  <c r="AS305"/>
  <c r="AS306"/>
  <c r="AS307"/>
  <c r="AS308"/>
  <c r="AS309"/>
  <c r="AS310"/>
  <c r="AS311"/>
  <c r="AS312"/>
  <c r="AS313"/>
  <c r="AS314"/>
  <c r="AS315"/>
  <c r="AS316"/>
  <c r="AS317"/>
  <c r="AS318"/>
  <c r="AS319"/>
  <c r="AS320"/>
  <c r="AS321"/>
  <c r="AS322"/>
  <c r="AS323"/>
  <c r="AS324"/>
  <c r="AS325"/>
  <c r="AS326"/>
  <c r="AS327"/>
  <c r="AS328"/>
  <c r="AL302"/>
  <c r="V246"/>
  <c r="AC285" s="1"/>
  <c r="V218"/>
  <c r="AC257" s="1"/>
  <c r="AA302"/>
  <c r="AA316"/>
  <c r="AA315"/>
  <c r="AA314"/>
  <c r="AA313"/>
  <c r="AA312"/>
  <c r="AA311"/>
  <c r="AA310"/>
  <c r="AA309"/>
  <c r="AA308"/>
  <c r="AA307"/>
  <c r="AA306"/>
  <c r="AA305"/>
  <c r="AA304"/>
  <c r="AA303"/>
  <c r="AB304"/>
  <c r="AC304" s="1"/>
  <c r="AB316"/>
  <c r="AC316" s="1"/>
  <c r="AB315"/>
  <c r="AC315" s="1"/>
  <c r="AB314"/>
  <c r="AC314" s="1"/>
  <c r="AB313"/>
  <c r="AC313" s="1"/>
  <c r="AB312"/>
  <c r="AC312" s="1"/>
  <c r="AB311"/>
  <c r="AC311" s="1"/>
  <c r="AB310"/>
  <c r="AC310" s="1"/>
  <c r="AB309"/>
  <c r="AC309" s="1"/>
  <c r="AB308"/>
  <c r="AC308" s="1"/>
  <c r="AB307"/>
  <c r="AC307" s="1"/>
  <c r="AB306"/>
  <c r="AC306" s="1"/>
  <c r="AB305"/>
  <c r="AC305" s="1"/>
  <c r="AB303"/>
  <c r="AC303" s="1"/>
  <c r="AB290"/>
  <c r="AB291"/>
  <c r="AB292"/>
  <c r="AB289"/>
  <c r="AB286"/>
  <c r="AB287"/>
  <c r="AB288"/>
  <c r="AB285"/>
  <c r="AB245"/>
  <c r="V281"/>
  <c r="AC245" s="1"/>
  <c r="V282"/>
  <c r="AC246" s="1"/>
  <c r="V283"/>
  <c r="AC247" s="1"/>
  <c r="V284"/>
  <c r="AC248" s="1"/>
  <c r="V297"/>
  <c r="V298"/>
  <c r="V299"/>
  <c r="V219"/>
  <c r="AC258" s="1"/>
  <c r="V220"/>
  <c r="AC259" s="1"/>
  <c r="V221"/>
  <c r="AC260" s="1"/>
  <c r="V222"/>
  <c r="AC265" s="1"/>
  <c r="V223"/>
  <c r="AC266" s="1"/>
  <c r="V224"/>
  <c r="AC267" s="1"/>
  <c r="V225"/>
  <c r="AC268" s="1"/>
  <c r="V226"/>
  <c r="AC269" s="1"/>
  <c r="V227"/>
  <c r="AC270" s="1"/>
  <c r="V228"/>
  <c r="AC271" s="1"/>
  <c r="V229"/>
  <c r="AC272" s="1"/>
  <c r="V230"/>
  <c r="AC273" s="1"/>
  <c r="V231"/>
  <c r="AC274" s="1"/>
  <c r="V232"/>
  <c r="AC275" s="1"/>
  <c r="V233"/>
  <c r="AC276" s="1"/>
  <c r="V234"/>
  <c r="AD277" s="1"/>
  <c r="V235"/>
  <c r="V236"/>
  <c r="AD279" s="1"/>
  <c r="V237"/>
  <c r="AD280" s="1"/>
  <c r="V238"/>
  <c r="AE277" s="1"/>
  <c r="V239"/>
  <c r="AE278" s="1"/>
  <c r="V240"/>
  <c r="AE279" s="1"/>
  <c r="V241"/>
  <c r="AE280" s="1"/>
  <c r="V242"/>
  <c r="AC281" s="1"/>
  <c r="V243"/>
  <c r="AC282" s="1"/>
  <c r="V244"/>
  <c r="AC283" s="1"/>
  <c r="V245"/>
  <c r="AC284" s="1"/>
  <c r="V247"/>
  <c r="AC286" s="1"/>
  <c r="V248"/>
  <c r="AC287" s="1"/>
  <c r="V249"/>
  <c r="AC288" s="1"/>
  <c r="V250"/>
  <c r="AC289" s="1"/>
  <c r="V251"/>
  <c r="AC290" s="1"/>
  <c r="V252"/>
  <c r="AC291" s="1"/>
  <c r="V253"/>
  <c r="AC292" s="1"/>
  <c r="V194"/>
  <c r="V195"/>
  <c r="V196"/>
  <c r="V197"/>
  <c r="V198"/>
  <c r="V199"/>
  <c r="V200"/>
  <c r="V201"/>
  <c r="V202"/>
  <c r="V203"/>
  <c r="V204"/>
  <c r="V205"/>
  <c r="V206"/>
  <c r="V207"/>
  <c r="V208"/>
  <c r="V209"/>
  <c r="V210"/>
  <c r="V211"/>
  <c r="V212"/>
  <c r="V213"/>
  <c r="V214"/>
  <c r="V215"/>
  <c r="BE13" i="2"/>
  <c r="BA14" i="1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3"/>
  <c r="AY13"/>
  <c r="V3"/>
  <c r="AN11" s="1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3"/>
  <c r="AY14"/>
  <c r="AY15"/>
  <c r="AY16"/>
  <c r="AY17"/>
  <c r="AY18"/>
  <c r="AY19"/>
  <c r="AY20"/>
  <c r="AY21"/>
  <c r="AY22"/>
  <c r="AY23"/>
  <c r="AY24"/>
  <c r="AY25"/>
  <c r="AY26"/>
  <c r="AY27"/>
  <c r="AY28"/>
  <c r="AY29"/>
  <c r="AY30"/>
  <c r="AY31"/>
  <c r="AY32"/>
  <c r="AY33"/>
  <c r="AY34"/>
  <c r="AY35"/>
  <c r="AY36"/>
  <c r="AY37"/>
  <c r="AY38"/>
  <c r="AY39"/>
  <c r="AY40"/>
  <c r="AY41"/>
  <c r="AY42"/>
  <c r="AY43"/>
  <c r="AY44"/>
  <c r="AY45"/>
  <c r="AY46"/>
  <c r="AY47"/>
  <c r="AY48"/>
  <c r="AY49"/>
  <c r="AY50"/>
  <c r="AY51"/>
  <c r="AY52"/>
  <c r="AY53"/>
  <c r="AY54"/>
  <c r="AY55"/>
  <c r="AY56"/>
  <c r="AY57"/>
  <c r="AY58"/>
  <c r="AY59"/>
  <c r="AY60"/>
  <c r="AY61"/>
  <c r="AY62"/>
  <c r="AY63"/>
  <c r="AY64"/>
  <c r="AY65"/>
  <c r="AY66"/>
  <c r="AY67"/>
  <c r="AY68"/>
  <c r="AY69"/>
  <c r="AY70"/>
  <c r="AY71"/>
  <c r="AY72"/>
  <c r="AY73"/>
  <c r="AY74"/>
  <c r="AY75"/>
  <c r="AY76"/>
  <c r="AY77"/>
  <c r="AY78"/>
  <c r="AY79"/>
  <c r="AY80"/>
  <c r="AY81"/>
  <c r="AY82"/>
  <c r="AY83"/>
  <c r="AY84"/>
  <c r="AY85"/>
  <c r="AY86"/>
  <c r="AY87"/>
  <c r="AY88"/>
  <c r="AY89"/>
  <c r="AY90"/>
  <c r="AY91"/>
  <c r="AY92"/>
  <c r="AY93"/>
  <c r="AY94"/>
  <c r="AY95"/>
  <c r="AY96"/>
  <c r="AY97"/>
  <c r="AY98"/>
  <c r="AY99"/>
  <c r="AY100"/>
  <c r="AY101"/>
  <c r="AY102"/>
  <c r="AY103"/>
  <c r="AY104"/>
  <c r="AY105"/>
  <c r="AY106"/>
  <c r="AY107"/>
  <c r="AY108"/>
  <c r="AY109"/>
  <c r="AY110"/>
  <c r="AY111"/>
  <c r="AY112"/>
  <c r="AY113"/>
  <c r="BJ29" i="2"/>
  <c r="V48"/>
  <c r="Q51"/>
  <c r="R51"/>
  <c r="S51"/>
  <c r="T51"/>
  <c r="U51"/>
  <c r="V51"/>
  <c r="W51"/>
  <c r="X51"/>
  <c r="AB51"/>
  <c r="Q48"/>
  <c r="R48"/>
  <c r="S48"/>
  <c r="T48"/>
  <c r="U48"/>
  <c r="W48"/>
  <c r="X48"/>
  <c r="BB19" s="1"/>
  <c r="AB48"/>
  <c r="Q27"/>
  <c r="R27"/>
  <c r="S27"/>
  <c r="T27"/>
  <c r="U27"/>
  <c r="V27"/>
  <c r="W27"/>
  <c r="AI19" s="1"/>
  <c r="X27"/>
  <c r="BB18" s="1"/>
  <c r="AB27"/>
  <c r="Q5"/>
  <c r="R5"/>
  <c r="S5"/>
  <c r="T5"/>
  <c r="U5"/>
  <c r="V5"/>
  <c r="W5"/>
  <c r="X5"/>
  <c r="AB5"/>
  <c r="Q49"/>
  <c r="R49"/>
  <c r="S49"/>
  <c r="T49"/>
  <c r="U49"/>
  <c r="V49"/>
  <c r="W49"/>
  <c r="X49"/>
  <c r="AB49"/>
  <c r="Q50"/>
  <c r="R50"/>
  <c r="S50"/>
  <c r="T50"/>
  <c r="U50"/>
  <c r="V50"/>
  <c r="W50"/>
  <c r="X50"/>
  <c r="AB50"/>
  <c r="Q4"/>
  <c r="R4"/>
  <c r="S4"/>
  <c r="T4"/>
  <c r="U4"/>
  <c r="V4"/>
  <c r="W4"/>
  <c r="X4"/>
  <c r="AB4"/>
  <c r="BJ18"/>
  <c r="N93"/>
  <c r="O93"/>
  <c r="P93"/>
  <c r="Q93"/>
  <c r="R93"/>
  <c r="S93"/>
  <c r="AI4" s="1"/>
  <c r="T93"/>
  <c r="AI6" s="1"/>
  <c r="U93"/>
  <c r="AI7" s="1"/>
  <c r="V93"/>
  <c r="AI8" s="1"/>
  <c r="N94"/>
  <c r="O94"/>
  <c r="P94"/>
  <c r="Q94"/>
  <c r="R94"/>
  <c r="S94"/>
  <c r="T94"/>
  <c r="U94"/>
  <c r="V94"/>
  <c r="N95"/>
  <c r="O95"/>
  <c r="P95"/>
  <c r="Q95"/>
  <c r="R95"/>
  <c r="S95"/>
  <c r="T95"/>
  <c r="U95"/>
  <c r="V95"/>
  <c r="N96"/>
  <c r="O96"/>
  <c r="P96"/>
  <c r="Q96"/>
  <c r="R96"/>
  <c r="S96"/>
  <c r="T96"/>
  <c r="U96"/>
  <c r="V96"/>
  <c r="N97"/>
  <c r="O97"/>
  <c r="P97"/>
  <c r="Q97"/>
  <c r="R97"/>
  <c r="S97"/>
  <c r="T97"/>
  <c r="U97"/>
  <c r="V97"/>
  <c r="X6"/>
  <c r="X8"/>
  <c r="X20"/>
  <c r="X21"/>
  <c r="X22"/>
  <c r="X23"/>
  <c r="X24"/>
  <c r="X25"/>
  <c r="X26"/>
  <c r="AK242" i="1"/>
  <c r="AI226"/>
  <c r="AH226"/>
  <c r="AG223"/>
  <c r="AG227"/>
  <c r="AH227"/>
  <c r="AB282"/>
  <c r="AB283"/>
  <c r="AB284"/>
  <c r="AB281"/>
  <c r="AB278"/>
  <c r="AB279"/>
  <c r="AB280"/>
  <c r="AB277"/>
  <c r="AB274"/>
  <c r="AB275"/>
  <c r="AB276"/>
  <c r="AB273"/>
  <c r="AB270"/>
  <c r="AB271"/>
  <c r="AB272"/>
  <c r="AB269"/>
  <c r="AB266"/>
  <c r="AB267"/>
  <c r="AB268"/>
  <c r="AB265"/>
  <c r="AB262"/>
  <c r="AB263"/>
  <c r="AB264"/>
  <c r="AB261"/>
  <c r="AB258"/>
  <c r="AB259"/>
  <c r="AB260"/>
  <c r="AB257"/>
  <c r="AB254"/>
  <c r="AB255"/>
  <c r="AB256"/>
  <c r="AB250"/>
  <c r="AB251"/>
  <c r="AB252"/>
  <c r="AB249"/>
  <c r="AB246"/>
  <c r="AB247"/>
  <c r="AB248"/>
  <c r="AB242"/>
  <c r="AB243"/>
  <c r="AB244"/>
  <c r="AB241"/>
  <c r="AB239"/>
  <c r="AB240"/>
  <c r="AB238"/>
  <c r="AB236"/>
  <c r="AB237"/>
  <c r="AB235"/>
  <c r="AH223"/>
  <c r="AH221"/>
  <c r="M147" i="2"/>
  <c r="S90"/>
  <c r="E102"/>
  <c r="F102"/>
  <c r="G102"/>
  <c r="E103"/>
  <c r="F103"/>
  <c r="G103"/>
  <c r="E104"/>
  <c r="F104"/>
  <c r="G104"/>
  <c r="E105"/>
  <c r="F105"/>
  <c r="G105"/>
  <c r="E106"/>
  <c r="F106"/>
  <c r="G106"/>
  <c r="E107"/>
  <c r="F107"/>
  <c r="G107"/>
  <c r="E108"/>
  <c r="F108"/>
  <c r="G108"/>
  <c r="E109"/>
  <c r="F109"/>
  <c r="G109"/>
  <c r="E110"/>
  <c r="F110"/>
  <c r="G110"/>
  <c r="E111"/>
  <c r="F111"/>
  <c r="G111"/>
  <c r="E112"/>
  <c r="F112"/>
  <c r="G112"/>
  <c r="G101"/>
  <c r="F101"/>
  <c r="E101"/>
  <c r="Q81"/>
  <c r="U82"/>
  <c r="U83"/>
  <c r="U84"/>
  <c r="U85"/>
  <c r="U86"/>
  <c r="U87"/>
  <c r="U88"/>
  <c r="U89"/>
  <c r="U90"/>
  <c r="U91"/>
  <c r="AI5" s="1"/>
  <c r="U92"/>
  <c r="U81"/>
  <c r="BN11"/>
  <c r="V4" i="1"/>
  <c r="AN12" s="1"/>
  <c r="V5"/>
  <c r="AN13" s="1"/>
  <c r="V6"/>
  <c r="AN14" s="1"/>
  <c r="V7"/>
  <c r="AN15" s="1"/>
  <c r="V8"/>
  <c r="AO11" s="1"/>
  <c r="V9"/>
  <c r="AO12" s="1"/>
  <c r="V10"/>
  <c r="AO13" s="1"/>
  <c r="V11"/>
  <c r="AO14" s="1"/>
  <c r="V12"/>
  <c r="AO15" s="1"/>
  <c r="V13"/>
  <c r="AP11" s="1"/>
  <c r="V14"/>
  <c r="AP12" s="1"/>
  <c r="V15"/>
  <c r="AP13" s="1"/>
  <c r="V16"/>
  <c r="AP14" s="1"/>
  <c r="V17"/>
  <c r="AP15" s="1"/>
  <c r="V18"/>
  <c r="AN22" s="1"/>
  <c r="V19"/>
  <c r="AN23" s="1"/>
  <c r="V20"/>
  <c r="AN24" s="1"/>
  <c r="V21"/>
  <c r="AN25" s="1"/>
  <c r="V22"/>
  <c r="AO22" s="1"/>
  <c r="V23"/>
  <c r="AO23" s="1"/>
  <c r="V24"/>
  <c r="AO24" s="1"/>
  <c r="V25"/>
  <c r="AO25" s="1"/>
  <c r="V26"/>
  <c r="AP26" s="1"/>
  <c r="AQ26" s="1"/>
  <c r="V27"/>
  <c r="V28"/>
  <c r="AP27" s="1"/>
  <c r="AQ27" s="1"/>
  <c r="V29"/>
  <c r="AP28" s="1"/>
  <c r="AQ28" s="1"/>
  <c r="V30"/>
  <c r="V31"/>
  <c r="V32"/>
  <c r="V33"/>
  <c r="O136" i="2"/>
  <c r="V92"/>
  <c r="T92"/>
  <c r="S92"/>
  <c r="R92"/>
  <c r="Q92"/>
  <c r="P92"/>
  <c r="O92"/>
  <c r="N92"/>
  <c r="V91"/>
  <c r="T91"/>
  <c r="S91"/>
  <c r="R91"/>
  <c r="Q91"/>
  <c r="P91"/>
  <c r="O91"/>
  <c r="N91"/>
  <c r="V90"/>
  <c r="T90"/>
  <c r="R90"/>
  <c r="Q90"/>
  <c r="P90"/>
  <c r="O90"/>
  <c r="N90"/>
  <c r="V89"/>
  <c r="T89"/>
  <c r="S89"/>
  <c r="R89"/>
  <c r="Q89"/>
  <c r="P89"/>
  <c r="O89"/>
  <c r="N89"/>
  <c r="V88"/>
  <c r="T88"/>
  <c r="S88"/>
  <c r="R88"/>
  <c r="Q88"/>
  <c r="P88"/>
  <c r="O88"/>
  <c r="N88"/>
  <c r="V87"/>
  <c r="T87"/>
  <c r="S87"/>
  <c r="R87"/>
  <c r="Q87"/>
  <c r="P87"/>
  <c r="O87"/>
  <c r="N87"/>
  <c r="V86"/>
  <c r="T86"/>
  <c r="S86"/>
  <c r="R86"/>
  <c r="Q86"/>
  <c r="P86"/>
  <c r="O86"/>
  <c r="N86"/>
  <c r="V85"/>
  <c r="T85"/>
  <c r="S85"/>
  <c r="R85"/>
  <c r="Q85"/>
  <c r="P85"/>
  <c r="O85"/>
  <c r="N85"/>
  <c r="V84"/>
  <c r="T84"/>
  <c r="S84"/>
  <c r="R84"/>
  <c r="Q84"/>
  <c r="P84"/>
  <c r="O84"/>
  <c r="N84"/>
  <c r="V83"/>
  <c r="T83"/>
  <c r="S83"/>
  <c r="R83"/>
  <c r="Q83"/>
  <c r="P83"/>
  <c r="O83"/>
  <c r="N83"/>
  <c r="V82"/>
  <c r="T82"/>
  <c r="S82"/>
  <c r="R82"/>
  <c r="Q82"/>
  <c r="P82"/>
  <c r="O82"/>
  <c r="N82"/>
  <c r="V81"/>
  <c r="T81"/>
  <c r="S81"/>
  <c r="R81"/>
  <c r="P81"/>
  <c r="O81"/>
  <c r="N81"/>
  <c r="V77"/>
  <c r="U77"/>
  <c r="T77"/>
  <c r="S77"/>
  <c r="R77"/>
  <c r="Q77"/>
  <c r="P77"/>
  <c r="O77"/>
  <c r="N77"/>
  <c r="V76"/>
  <c r="U76"/>
  <c r="T76"/>
  <c r="S76"/>
  <c r="AI10" s="1"/>
  <c r="R76"/>
  <c r="Q76"/>
  <c r="P76"/>
  <c r="O76"/>
  <c r="N76"/>
  <c r="V75"/>
  <c r="U75"/>
  <c r="T75"/>
  <c r="S75"/>
  <c r="R75"/>
  <c r="Q75"/>
  <c r="P75"/>
  <c r="O75"/>
  <c r="N75"/>
  <c r="V74"/>
  <c r="U74"/>
  <c r="T74"/>
  <c r="S74"/>
  <c r="R74"/>
  <c r="Q74"/>
  <c r="P74"/>
  <c r="O74"/>
  <c r="N74"/>
  <c r="V73"/>
  <c r="U73"/>
  <c r="T73"/>
  <c r="S73"/>
  <c r="R73"/>
  <c r="Q73"/>
  <c r="P73"/>
  <c r="O73"/>
  <c r="N73"/>
  <c r="V72"/>
  <c r="U72"/>
  <c r="T72"/>
  <c r="S72"/>
  <c r="R72"/>
  <c r="Q72"/>
  <c r="P72"/>
  <c r="O72"/>
  <c r="N72"/>
  <c r="V71"/>
  <c r="U71"/>
  <c r="T71"/>
  <c r="S71"/>
  <c r="R71"/>
  <c r="Q71"/>
  <c r="P71"/>
  <c r="O71"/>
  <c r="N71"/>
  <c r="V70"/>
  <c r="U70"/>
  <c r="T70"/>
  <c r="S70"/>
  <c r="R70"/>
  <c r="Q70"/>
  <c r="P70"/>
  <c r="O70"/>
  <c r="N70"/>
  <c r="V69"/>
  <c r="U69"/>
  <c r="T69"/>
  <c r="S69"/>
  <c r="R69"/>
  <c r="Q69"/>
  <c r="P69"/>
  <c r="O69"/>
  <c r="N69"/>
  <c r="V68"/>
  <c r="U68"/>
  <c r="T68"/>
  <c r="S68"/>
  <c r="R68"/>
  <c r="Q68"/>
  <c r="P68"/>
  <c r="O68"/>
  <c r="N68"/>
  <c r="V67"/>
  <c r="U67"/>
  <c r="T67"/>
  <c r="S67"/>
  <c r="R67"/>
  <c r="Q67"/>
  <c r="P67"/>
  <c r="O67"/>
  <c r="N67"/>
  <c r="V66"/>
  <c r="U66"/>
  <c r="T66"/>
  <c r="S66"/>
  <c r="R66"/>
  <c r="Q66"/>
  <c r="P66"/>
  <c r="O66"/>
  <c r="N66"/>
  <c r="Q8"/>
  <c r="R8"/>
  <c r="S8"/>
  <c r="T8"/>
  <c r="U8"/>
  <c r="V8"/>
  <c r="W8"/>
  <c r="AB8"/>
  <c r="Q3"/>
  <c r="W3"/>
  <c r="Q6"/>
  <c r="R6"/>
  <c r="S6"/>
  <c r="T6"/>
  <c r="U6"/>
  <c r="V6"/>
  <c r="W6"/>
  <c r="AB6"/>
  <c r="Q20"/>
  <c r="R20"/>
  <c r="S20"/>
  <c r="T20"/>
  <c r="U20"/>
  <c r="V20"/>
  <c r="W20"/>
  <c r="AB20"/>
  <c r="Q21"/>
  <c r="R21"/>
  <c r="S21"/>
  <c r="T21"/>
  <c r="U21"/>
  <c r="V21"/>
  <c r="W21"/>
  <c r="AB21"/>
  <c r="Q22"/>
  <c r="R22"/>
  <c r="S22"/>
  <c r="T22"/>
  <c r="U22"/>
  <c r="V22"/>
  <c r="W22"/>
  <c r="AB22"/>
  <c r="Q23"/>
  <c r="R23"/>
  <c r="S23"/>
  <c r="T23"/>
  <c r="U23"/>
  <c r="V23"/>
  <c r="W23"/>
  <c r="AB23"/>
  <c r="Q24"/>
  <c r="R24"/>
  <c r="S24"/>
  <c r="T24"/>
  <c r="U24"/>
  <c r="V24"/>
  <c r="W24"/>
  <c r="AB24"/>
  <c r="Q25"/>
  <c r="R25"/>
  <c r="S25"/>
  <c r="T25"/>
  <c r="U25"/>
  <c r="V25"/>
  <c r="W25"/>
  <c r="AB25"/>
  <c r="Q26"/>
  <c r="R26"/>
  <c r="S26"/>
  <c r="T26"/>
  <c r="U26"/>
  <c r="V26"/>
  <c r="W26"/>
  <c r="AB26"/>
  <c r="Q46"/>
  <c r="R46"/>
  <c r="S46"/>
  <c r="T46"/>
  <c r="U46"/>
  <c r="V46"/>
  <c r="W46"/>
  <c r="X46"/>
  <c r="AB46"/>
  <c r="Q47"/>
  <c r="R47"/>
  <c r="S47"/>
  <c r="T47"/>
  <c r="U47"/>
  <c r="V47"/>
  <c r="W47"/>
  <c r="X47"/>
  <c r="AB47"/>
  <c r="BJ19"/>
  <c r="BJ20" s="1"/>
  <c r="AB142"/>
  <c r="AQ25" i="1" l="1"/>
  <c r="AR25" s="1"/>
  <c r="AQ24"/>
  <c r="AR24" s="1"/>
  <c r="AQ23"/>
  <c r="AR23" s="1"/>
  <c r="AQ22"/>
  <c r="AR22" s="1"/>
  <c r="AQ11"/>
  <c r="AR11" s="1"/>
  <c r="AI15" i="2"/>
  <c r="AR18"/>
  <c r="AN26"/>
  <c r="AN18"/>
  <c r="AN25"/>
  <c r="AT18"/>
  <c r="C40" i="1"/>
  <c r="C412"/>
  <c r="AN24" i="2"/>
  <c r="AO18"/>
  <c r="AN27"/>
  <c r="AO27"/>
  <c r="AO26"/>
  <c r="AP26" s="1"/>
  <c r="AN22"/>
  <c r="AN21"/>
  <c r="AP21" s="1"/>
  <c r="AO25"/>
  <c r="AO23"/>
  <c r="AN23"/>
  <c r="AO22"/>
  <c r="AO24"/>
  <c r="K135"/>
  <c r="AH18"/>
  <c r="AI18"/>
  <c r="AH21"/>
  <c r="AI3"/>
  <c r="AH27"/>
  <c r="AH9"/>
  <c r="O123"/>
  <c r="AH24"/>
  <c r="AH28"/>
  <c r="AH22"/>
  <c r="AH26"/>
  <c r="AI17"/>
  <c r="AH25"/>
  <c r="AI22"/>
  <c r="AI24"/>
  <c r="AI25"/>
  <c r="AI26"/>
  <c r="AI27"/>
  <c r="AI28"/>
  <c r="AH11"/>
  <c r="AH23"/>
  <c r="AJ23" s="1"/>
  <c r="AL23" s="1"/>
  <c r="AI21"/>
  <c r="AI11"/>
  <c r="AH3"/>
  <c r="AJ3" s="1"/>
  <c r="AL3" s="1"/>
  <c r="AH5"/>
  <c r="AJ5" s="1"/>
  <c r="AL5" s="1"/>
  <c r="AH7"/>
  <c r="AH4"/>
  <c r="AI9"/>
  <c r="AJ9" s="1"/>
  <c r="AL9" s="1"/>
  <c r="AH16"/>
  <c r="AH13"/>
  <c r="AI16"/>
  <c r="AH17"/>
  <c r="AJ17" s="1"/>
  <c r="AL17" s="1"/>
  <c r="AH10"/>
  <c r="AH15"/>
  <c r="AI13"/>
  <c r="I154"/>
  <c r="H154"/>
  <c r="L130"/>
  <c r="AH14"/>
  <c r="K124"/>
  <c r="AH20"/>
  <c r="AH12"/>
  <c r="AH6"/>
  <c r="AJ6" s="1"/>
  <c r="AL6" s="1"/>
  <c r="AH19"/>
  <c r="AJ19" s="1"/>
  <c r="AL19" s="1"/>
  <c r="AI12"/>
  <c r="AI20"/>
  <c r="K136"/>
  <c r="BA19"/>
  <c r="BC19" s="1"/>
  <c r="BA20"/>
  <c r="AH8"/>
  <c r="AJ8" s="1"/>
  <c r="AL8" s="1"/>
  <c r="AI14"/>
  <c r="BB20"/>
  <c r="AJ7"/>
  <c r="AL7" s="1"/>
  <c r="AK226" i="1"/>
  <c r="AC278"/>
  <c r="AC279"/>
  <c r="AC277"/>
  <c r="AC280"/>
  <c r="AD278"/>
  <c r="BJ21" i="2"/>
  <c r="BD4"/>
  <c r="L129"/>
  <c r="I130"/>
  <c r="L135"/>
  <c r="BA18"/>
  <c r="BC18" s="1"/>
  <c r="L123"/>
  <c r="H129"/>
  <c r="O129"/>
  <c r="K130"/>
  <c r="M130" s="1"/>
  <c r="N129"/>
  <c r="I124"/>
  <c r="H130"/>
  <c r="K129"/>
  <c r="I129"/>
  <c r="O130"/>
  <c r="N135"/>
  <c r="N136"/>
  <c r="P136" s="1"/>
  <c r="O135"/>
  <c r="L136"/>
  <c r="I141"/>
  <c r="J141" s="1"/>
  <c r="H135"/>
  <c r="I135"/>
  <c r="H136"/>
  <c r="I136"/>
  <c r="BA7"/>
  <c r="L124"/>
  <c r="O124"/>
  <c r="I123"/>
  <c r="K123"/>
  <c r="H124"/>
  <c r="N130"/>
  <c r="N124"/>
  <c r="H123"/>
  <c r="BJ22"/>
  <c r="BJ23" s="1"/>
  <c r="N123"/>
  <c r="P123" s="1"/>
  <c r="Z117"/>
  <c r="M135" l="1"/>
  <c r="AR26" i="1"/>
  <c r="AT25"/>
  <c r="AS25"/>
  <c r="AT24"/>
  <c r="AS24"/>
  <c r="AT23"/>
  <c r="AS23"/>
  <c r="AT22"/>
  <c r="AS22"/>
  <c r="AT11"/>
  <c r="AS11"/>
  <c r="AJ15" i="2"/>
  <c r="AL15" s="1"/>
  <c r="AQ23"/>
  <c r="AP25"/>
  <c r="AJ18"/>
  <c r="M123"/>
  <c r="AJ16"/>
  <c r="AL16" s="1"/>
  <c r="AP27"/>
  <c r="AP22"/>
  <c r="AJ21"/>
  <c r="AL21" s="1"/>
  <c r="AP23"/>
  <c r="AQ21"/>
  <c r="AQ27"/>
  <c r="AQ26"/>
  <c r="AQ25"/>
  <c r="AQ28"/>
  <c r="J154"/>
  <c r="AQ22"/>
  <c r="AP18"/>
  <c r="AQ24"/>
  <c r="AK24"/>
  <c r="AK28"/>
  <c r="AK23"/>
  <c r="AK27"/>
  <c r="AK22"/>
  <c r="AK26"/>
  <c r="AK21"/>
  <c r="AK25"/>
  <c r="AP24"/>
  <c r="AJ11"/>
  <c r="AL11" s="1"/>
  <c r="AJ24"/>
  <c r="AL24" s="1"/>
  <c r="AJ13"/>
  <c r="AL13" s="1"/>
  <c r="BC20"/>
  <c r="AJ27"/>
  <c r="AL27" s="1"/>
  <c r="AJ28"/>
  <c r="AL28" s="1"/>
  <c r="AJ26"/>
  <c r="AL26" s="1"/>
  <c r="AJ22"/>
  <c r="AL22" s="1"/>
  <c r="AL18"/>
  <c r="AJ20"/>
  <c r="AL20" s="1"/>
  <c r="AJ14"/>
  <c r="AL14" s="1"/>
  <c r="AJ4"/>
  <c r="AL4" s="1"/>
  <c r="AJ25"/>
  <c r="AL25" s="1"/>
  <c r="M136"/>
  <c r="J130"/>
  <c r="AJ12"/>
  <c r="AL12" s="1"/>
  <c r="P124"/>
  <c r="M124"/>
  <c r="AJ10"/>
  <c r="AL10" s="1"/>
  <c r="J123"/>
  <c r="P135"/>
  <c r="P129"/>
  <c r="J136"/>
  <c r="P130"/>
  <c r="J129"/>
  <c r="M129"/>
  <c r="J124"/>
  <c r="J135"/>
  <c r="BA14"/>
  <c r="BD6"/>
  <c r="AA117"/>
  <c r="AT26" i="1" l="1"/>
  <c r="AR27"/>
  <c r="AS26"/>
  <c r="Q396"/>
  <c r="T403"/>
  <c r="Q403"/>
  <c r="N403"/>
  <c r="J403"/>
  <c r="T402"/>
  <c r="Q402"/>
  <c r="N402"/>
  <c r="J402"/>
  <c r="T401"/>
  <c r="Q401"/>
  <c r="N401"/>
  <c r="J401"/>
  <c r="T400"/>
  <c r="Q400"/>
  <c r="N400"/>
  <c r="Q399"/>
  <c r="Q398"/>
  <c r="Q397"/>
  <c r="J399"/>
  <c r="J398"/>
  <c r="J397"/>
  <c r="J395"/>
  <c r="J394"/>
  <c r="J393"/>
  <c r="J392"/>
  <c r="T399"/>
  <c r="N399"/>
  <c r="T398"/>
  <c r="N398"/>
  <c r="T397"/>
  <c r="N397"/>
  <c r="T396"/>
  <c r="N396"/>
  <c r="N392"/>
  <c r="T395"/>
  <c r="W395" s="1"/>
  <c r="N395"/>
  <c r="T394"/>
  <c r="W394" s="1"/>
  <c r="N394"/>
  <c r="T393"/>
  <c r="W393" s="1"/>
  <c r="N393"/>
  <c r="T392"/>
  <c r="X392" s="1"/>
  <c r="N323"/>
  <c r="V323" s="1"/>
  <c r="AN284"/>
  <c r="AN285" s="1"/>
  <c r="I311"/>
  <c r="N311" s="1"/>
  <c r="V311" s="1"/>
  <c r="T311"/>
  <c r="I312"/>
  <c r="N312" s="1"/>
  <c r="V312" s="1"/>
  <c r="T312"/>
  <c r="I313"/>
  <c r="N313" s="1"/>
  <c r="V313" s="1"/>
  <c r="T313"/>
  <c r="I314"/>
  <c r="N314" s="1"/>
  <c r="V314" s="1"/>
  <c r="T314"/>
  <c r="I315"/>
  <c r="N315" s="1"/>
  <c r="T315"/>
  <c r="I316"/>
  <c r="N316" s="1"/>
  <c r="V316" s="1"/>
  <c r="T316"/>
  <c r="I317"/>
  <c r="N317" s="1"/>
  <c r="T317"/>
  <c r="I318"/>
  <c r="N318" s="1"/>
  <c r="V318" s="1"/>
  <c r="T318"/>
  <c r="N378"/>
  <c r="V378" s="1"/>
  <c r="T378"/>
  <c r="W378" s="1"/>
  <c r="N379"/>
  <c r="V379" s="1"/>
  <c r="T379"/>
  <c r="W379" s="1"/>
  <c r="N380"/>
  <c r="V380" s="1"/>
  <c r="T380"/>
  <c r="W380" s="1"/>
  <c r="N381"/>
  <c r="V381" s="1"/>
  <c r="T381"/>
  <c r="W381" s="1"/>
  <c r="N361"/>
  <c r="V361" s="1"/>
  <c r="T361"/>
  <c r="W361" s="1"/>
  <c r="N362"/>
  <c r="V362" s="1"/>
  <c r="T362"/>
  <c r="W362" s="1"/>
  <c r="N363"/>
  <c r="V363" s="1"/>
  <c r="T363"/>
  <c r="W363" s="1"/>
  <c r="N364"/>
  <c r="V364" s="1"/>
  <c r="T364"/>
  <c r="W364" s="1"/>
  <c r="N365"/>
  <c r="V365" s="1"/>
  <c r="T365"/>
  <c r="W365" s="1"/>
  <c r="N366"/>
  <c r="V366" s="1"/>
  <c r="T366"/>
  <c r="W366" s="1"/>
  <c r="N367"/>
  <c r="V367" s="1"/>
  <c r="T367"/>
  <c r="W367" s="1"/>
  <c r="N368"/>
  <c r="V368" s="1"/>
  <c r="T368"/>
  <c r="W368" s="1"/>
  <c r="N369"/>
  <c r="V369" s="1"/>
  <c r="T369"/>
  <c r="W369" s="1"/>
  <c r="N370"/>
  <c r="V370" s="1"/>
  <c r="T370"/>
  <c r="W370" s="1"/>
  <c r="N371"/>
  <c r="V371" s="1"/>
  <c r="T371"/>
  <c r="W371" s="1"/>
  <c r="N372"/>
  <c r="V372" s="1"/>
  <c r="T372"/>
  <c r="W372" s="1"/>
  <c r="N373"/>
  <c r="V373" s="1"/>
  <c r="T373"/>
  <c r="W373" s="1"/>
  <c r="N374"/>
  <c r="V374" s="1"/>
  <c r="T374"/>
  <c r="W374" s="1"/>
  <c r="N375"/>
  <c r="V375" s="1"/>
  <c r="T375"/>
  <c r="W375" s="1"/>
  <c r="N376"/>
  <c r="V376" s="1"/>
  <c r="T376"/>
  <c r="W376" s="1"/>
  <c r="N377"/>
  <c r="V377" s="1"/>
  <c r="T377"/>
  <c r="W377" s="1"/>
  <c r="N347"/>
  <c r="V347" s="1"/>
  <c r="T347"/>
  <c r="W347" s="1"/>
  <c r="N348"/>
  <c r="V348" s="1"/>
  <c r="T348"/>
  <c r="W348" s="1"/>
  <c r="N349"/>
  <c r="V349" s="1"/>
  <c r="T349"/>
  <c r="W349" s="1"/>
  <c r="N350"/>
  <c r="V350" s="1"/>
  <c r="T350"/>
  <c r="W350" s="1"/>
  <c r="N351"/>
  <c r="V351" s="1"/>
  <c r="T351"/>
  <c r="W351" s="1"/>
  <c r="N352"/>
  <c r="V352" s="1"/>
  <c r="T352"/>
  <c r="W352" s="1"/>
  <c r="N353"/>
  <c r="V353" s="1"/>
  <c r="T353"/>
  <c r="W353" s="1"/>
  <c r="N354"/>
  <c r="V354" s="1"/>
  <c r="T354"/>
  <c r="W354" s="1"/>
  <c r="N355"/>
  <c r="V355" s="1"/>
  <c r="T355"/>
  <c r="W355" s="1"/>
  <c r="N356"/>
  <c r="V356" s="1"/>
  <c r="T356"/>
  <c r="W356" s="1"/>
  <c r="N357"/>
  <c r="V357" s="1"/>
  <c r="T357"/>
  <c r="W357" s="1"/>
  <c r="N358"/>
  <c r="V358" s="1"/>
  <c r="T358"/>
  <c r="W358" s="1"/>
  <c r="N359"/>
  <c r="V359" s="1"/>
  <c r="T359"/>
  <c r="W359" s="1"/>
  <c r="N360"/>
  <c r="V360" s="1"/>
  <c r="T360"/>
  <c r="W360" s="1"/>
  <c r="N343"/>
  <c r="V343" s="1"/>
  <c r="T343"/>
  <c r="W343" s="1"/>
  <c r="N344"/>
  <c r="V344" s="1"/>
  <c r="T344"/>
  <c r="W344" s="1"/>
  <c r="N345"/>
  <c r="V345" s="1"/>
  <c r="T345"/>
  <c r="W345" s="1"/>
  <c r="N346"/>
  <c r="V346" s="1"/>
  <c r="T346"/>
  <c r="W346" s="1"/>
  <c r="N151"/>
  <c r="N152"/>
  <c r="N153"/>
  <c r="N154"/>
  <c r="N155"/>
  <c r="T151"/>
  <c r="T152"/>
  <c r="W152" s="1"/>
  <c r="X152" s="1"/>
  <c r="T153"/>
  <c r="T154"/>
  <c r="W154" s="1"/>
  <c r="X154" s="1"/>
  <c r="T155"/>
  <c r="AK271"/>
  <c r="AK272"/>
  <c r="AK273"/>
  <c r="AK274"/>
  <c r="AK275"/>
  <c r="AK276"/>
  <c r="AK277"/>
  <c r="AK243"/>
  <c r="AK244"/>
  <c r="AK245"/>
  <c r="AK246"/>
  <c r="AK247"/>
  <c r="AK248"/>
  <c r="AK249"/>
  <c r="AK250"/>
  <c r="AK251"/>
  <c r="AK252"/>
  <c r="AK253"/>
  <c r="AK254"/>
  <c r="AK255"/>
  <c r="AK256"/>
  <c r="AK257"/>
  <c r="AK258"/>
  <c r="AK259"/>
  <c r="AK260"/>
  <c r="AK261"/>
  <c r="AK262"/>
  <c r="AK263"/>
  <c r="AK264"/>
  <c r="AK265"/>
  <c r="AK266"/>
  <c r="AK267"/>
  <c r="AK268"/>
  <c r="AK269"/>
  <c r="AK270"/>
  <c r="T342"/>
  <c r="W342" s="1"/>
  <c r="I342"/>
  <c r="N342" s="1"/>
  <c r="V342" s="1"/>
  <c r="T341"/>
  <c r="I341"/>
  <c r="N341" s="1"/>
  <c r="V341" s="1"/>
  <c r="T340"/>
  <c r="W340" s="1"/>
  <c r="I340"/>
  <c r="N340" s="1"/>
  <c r="V340" s="1"/>
  <c r="T339"/>
  <c r="I339"/>
  <c r="N339" s="1"/>
  <c r="V339" s="1"/>
  <c r="T338"/>
  <c r="W338" s="1"/>
  <c r="I338"/>
  <c r="N338" s="1"/>
  <c r="V338" s="1"/>
  <c r="T337"/>
  <c r="I337"/>
  <c r="N337" s="1"/>
  <c r="V337" s="1"/>
  <c r="T336"/>
  <c r="W336" s="1"/>
  <c r="I336"/>
  <c r="N336" s="1"/>
  <c r="V336" s="1"/>
  <c r="T335"/>
  <c r="I335"/>
  <c r="N335" s="1"/>
  <c r="V335" s="1"/>
  <c r="T334"/>
  <c r="W334" s="1"/>
  <c r="I334"/>
  <c r="N334" s="1"/>
  <c r="V334" s="1"/>
  <c r="T333"/>
  <c r="I333"/>
  <c r="N333" s="1"/>
  <c r="V333" s="1"/>
  <c r="T332"/>
  <c r="W332" s="1"/>
  <c r="I332"/>
  <c r="N332" s="1"/>
  <c r="V332" s="1"/>
  <c r="T331"/>
  <c r="W331" s="1"/>
  <c r="I331"/>
  <c r="N331" s="1"/>
  <c r="V331" s="1"/>
  <c r="T330"/>
  <c r="W330" s="1"/>
  <c r="N330"/>
  <c r="V330" s="1"/>
  <c r="T329"/>
  <c r="W329" s="1"/>
  <c r="N329"/>
  <c r="V329" s="1"/>
  <c r="T328"/>
  <c r="W328" s="1"/>
  <c r="N328"/>
  <c r="V328" s="1"/>
  <c r="T327"/>
  <c r="W327" s="1"/>
  <c r="N327"/>
  <c r="V327" s="1"/>
  <c r="T326"/>
  <c r="W326" s="1"/>
  <c r="N326"/>
  <c r="V326" s="1"/>
  <c r="T325"/>
  <c r="W325" s="1"/>
  <c r="N325"/>
  <c r="V325" s="1"/>
  <c r="T324"/>
  <c r="W324" s="1"/>
  <c r="N324"/>
  <c r="V324" s="1"/>
  <c r="T323"/>
  <c r="W323" s="1"/>
  <c r="X323" s="1"/>
  <c r="AH220"/>
  <c r="AH222"/>
  <c r="AJ223"/>
  <c r="AH224"/>
  <c r="AH225"/>
  <c r="AH228"/>
  <c r="AI219"/>
  <c r="AI220"/>
  <c r="AI221"/>
  <c r="AI222"/>
  <c r="AI223"/>
  <c r="AI224"/>
  <c r="AI225"/>
  <c r="AI227"/>
  <c r="AI228"/>
  <c r="AK201"/>
  <c r="AL201"/>
  <c r="AK202"/>
  <c r="AL202"/>
  <c r="AK203"/>
  <c r="AL203"/>
  <c r="AK204"/>
  <c r="AL204"/>
  <c r="AK205"/>
  <c r="AL205"/>
  <c r="AK206"/>
  <c r="AL206"/>
  <c r="AK207"/>
  <c r="AL207"/>
  <c r="AK208"/>
  <c r="AL208"/>
  <c r="AK209"/>
  <c r="AL209"/>
  <c r="AK210"/>
  <c r="AL210"/>
  <c r="AK211"/>
  <c r="AL211"/>
  <c r="AK212"/>
  <c r="AL212"/>
  <c r="AK213"/>
  <c r="AL213"/>
  <c r="AK214"/>
  <c r="AL214"/>
  <c r="AK215"/>
  <c r="AL215"/>
  <c r="AK216"/>
  <c r="AL216"/>
  <c r="AL243"/>
  <c r="AL244"/>
  <c r="AL245"/>
  <c r="AL246"/>
  <c r="AL247"/>
  <c r="AL248"/>
  <c r="AL249"/>
  <c r="AL250"/>
  <c r="AL251"/>
  <c r="AL252"/>
  <c r="AL253"/>
  <c r="AL254"/>
  <c r="AL255"/>
  <c r="AL256"/>
  <c r="AL257"/>
  <c r="AL258"/>
  <c r="AL259"/>
  <c r="AL260"/>
  <c r="AL261"/>
  <c r="AL262"/>
  <c r="AL263"/>
  <c r="AL264"/>
  <c r="AL265"/>
  <c r="AL266"/>
  <c r="AL267"/>
  <c r="AL268"/>
  <c r="AL269"/>
  <c r="AL270"/>
  <c r="AL271"/>
  <c r="AL272"/>
  <c r="AL273"/>
  <c r="AL274"/>
  <c r="AL275"/>
  <c r="AL276"/>
  <c r="AL277"/>
  <c r="AL242"/>
  <c r="I257"/>
  <c r="N257" s="1"/>
  <c r="I258"/>
  <c r="N258" s="1"/>
  <c r="I259"/>
  <c r="N259" s="1"/>
  <c r="I260"/>
  <c r="N260" s="1"/>
  <c r="I261"/>
  <c r="N261" s="1"/>
  <c r="I262"/>
  <c r="N262" s="1"/>
  <c r="I263"/>
  <c r="N263" s="1"/>
  <c r="I264"/>
  <c r="N264" s="1"/>
  <c r="I265"/>
  <c r="N265" s="1"/>
  <c r="I266"/>
  <c r="N266" s="1"/>
  <c r="I267"/>
  <c r="N267" s="1"/>
  <c r="I268"/>
  <c r="N268" s="1"/>
  <c r="I269"/>
  <c r="N269" s="1"/>
  <c r="I270"/>
  <c r="N270" s="1"/>
  <c r="I271"/>
  <c r="N271" s="1"/>
  <c r="I272"/>
  <c r="N272" s="1"/>
  <c r="I273"/>
  <c r="N273" s="1"/>
  <c r="I274"/>
  <c r="N274" s="1"/>
  <c r="I275"/>
  <c r="N275" s="1"/>
  <c r="I276"/>
  <c r="N276" s="1"/>
  <c r="I277"/>
  <c r="N277" s="1"/>
  <c r="I278"/>
  <c r="N278" s="1"/>
  <c r="I279"/>
  <c r="N279" s="1"/>
  <c r="I280"/>
  <c r="N280" s="1"/>
  <c r="I281"/>
  <c r="N281" s="1"/>
  <c r="I282"/>
  <c r="N282" s="1"/>
  <c r="I283"/>
  <c r="N283" s="1"/>
  <c r="I284"/>
  <c r="N284" s="1"/>
  <c r="I285"/>
  <c r="N285" s="1"/>
  <c r="I286"/>
  <c r="N286" s="1"/>
  <c r="I287"/>
  <c r="N287" s="1"/>
  <c r="I288"/>
  <c r="N288" s="1"/>
  <c r="I289"/>
  <c r="N289" s="1"/>
  <c r="I290"/>
  <c r="N290" s="1"/>
  <c r="I291"/>
  <c r="N291" s="1"/>
  <c r="I292"/>
  <c r="N292" s="1"/>
  <c r="I293"/>
  <c r="N293" s="1"/>
  <c r="I294"/>
  <c r="N294" s="1"/>
  <c r="I295"/>
  <c r="N295" s="1"/>
  <c r="I296"/>
  <c r="N296" s="1"/>
  <c r="I297"/>
  <c r="N297" s="1"/>
  <c r="I298"/>
  <c r="N298" s="1"/>
  <c r="I299"/>
  <c r="N299" s="1"/>
  <c r="I256"/>
  <c r="N256" s="1"/>
  <c r="Q294"/>
  <c r="V294" s="1"/>
  <c r="AC262" s="1"/>
  <c r="Q295"/>
  <c r="V295" s="1"/>
  <c r="AC263" s="1"/>
  <c r="Q296"/>
  <c r="V296" s="1"/>
  <c r="AC264" s="1"/>
  <c r="Q293"/>
  <c r="V293" s="1"/>
  <c r="AC261" s="1"/>
  <c r="Q290"/>
  <c r="V290" s="1"/>
  <c r="AC254" s="1"/>
  <c r="Q291"/>
  <c r="V291" s="1"/>
  <c r="AC255" s="1"/>
  <c r="Q292"/>
  <c r="V292" s="1"/>
  <c r="AC256" s="1"/>
  <c r="Q289"/>
  <c r="V289" s="1"/>
  <c r="AC253" s="1"/>
  <c r="Q286"/>
  <c r="V286" s="1"/>
  <c r="AC250" s="1"/>
  <c r="Q287"/>
  <c r="V287" s="1"/>
  <c r="AC251" s="1"/>
  <c r="Q288"/>
  <c r="V288" s="1"/>
  <c r="AC252" s="1"/>
  <c r="Q285"/>
  <c r="V285" s="1"/>
  <c r="AC249" s="1"/>
  <c r="Q272"/>
  <c r="V272" s="1"/>
  <c r="AC236" s="1"/>
  <c r="Q273"/>
  <c r="V273" s="1"/>
  <c r="AC237" s="1"/>
  <c r="Q274"/>
  <c r="V274" s="1"/>
  <c r="AC238" s="1"/>
  <c r="Q275"/>
  <c r="V275" s="1"/>
  <c r="AC239" s="1"/>
  <c r="Q276"/>
  <c r="V276" s="1"/>
  <c r="AC240" s="1"/>
  <c r="Q277"/>
  <c r="V277" s="1"/>
  <c r="AC241" s="1"/>
  <c r="Q278"/>
  <c r="V278" s="1"/>
  <c r="AC242" s="1"/>
  <c r="Q279"/>
  <c r="V279" s="1"/>
  <c r="AC243" s="1"/>
  <c r="Q280"/>
  <c r="V280" s="1"/>
  <c r="AC244" s="1"/>
  <c r="Q271"/>
  <c r="V271" s="1"/>
  <c r="AC235" s="1"/>
  <c r="Q268"/>
  <c r="V268" s="1"/>
  <c r="Q269"/>
  <c r="V269" s="1"/>
  <c r="Q270"/>
  <c r="V270" s="1"/>
  <c r="Q267"/>
  <c r="V267" s="1"/>
  <c r="Q260"/>
  <c r="V260" s="1"/>
  <c r="Q261"/>
  <c r="V261" s="1"/>
  <c r="Q262"/>
  <c r="V262" s="1"/>
  <c r="Q263"/>
  <c r="V263" s="1"/>
  <c r="Q264"/>
  <c r="V264" s="1"/>
  <c r="Q265"/>
  <c r="V265" s="1"/>
  <c r="Q266"/>
  <c r="V266" s="1"/>
  <c r="Q259"/>
  <c r="V259" s="1"/>
  <c r="Q257"/>
  <c r="V257" s="1"/>
  <c r="Q258"/>
  <c r="V258" s="1"/>
  <c r="Q256"/>
  <c r="V256" s="1"/>
  <c r="I219"/>
  <c r="N219" s="1"/>
  <c r="I220"/>
  <c r="N220" s="1"/>
  <c r="I221"/>
  <c r="N221" s="1"/>
  <c r="I222"/>
  <c r="N222" s="1"/>
  <c r="I223"/>
  <c r="N223" s="1"/>
  <c r="I224"/>
  <c r="N224" s="1"/>
  <c r="I225"/>
  <c r="N225" s="1"/>
  <c r="I226"/>
  <c r="N226" s="1"/>
  <c r="I227"/>
  <c r="N227" s="1"/>
  <c r="I228"/>
  <c r="N228" s="1"/>
  <c r="I229"/>
  <c r="N229" s="1"/>
  <c r="I230"/>
  <c r="I231"/>
  <c r="I232"/>
  <c r="N232" s="1"/>
  <c r="I233"/>
  <c r="I234"/>
  <c r="I235"/>
  <c r="I236"/>
  <c r="N236" s="1"/>
  <c r="I237"/>
  <c r="I238"/>
  <c r="I239"/>
  <c r="I240"/>
  <c r="N240" s="1"/>
  <c r="I241"/>
  <c r="I242"/>
  <c r="I243"/>
  <c r="I244"/>
  <c r="N244" s="1"/>
  <c r="I245"/>
  <c r="I246"/>
  <c r="I247"/>
  <c r="I248"/>
  <c r="N248" s="1"/>
  <c r="I249"/>
  <c r="I250"/>
  <c r="I251"/>
  <c r="I252"/>
  <c r="N252" s="1"/>
  <c r="I253"/>
  <c r="I218"/>
  <c r="N218" s="1"/>
  <c r="T218"/>
  <c r="W218" s="1"/>
  <c r="X218" s="1"/>
  <c r="AQ171"/>
  <c r="AQ172"/>
  <c r="AQ173"/>
  <c r="AQ174"/>
  <c r="AQ169"/>
  <c r="AQ170"/>
  <c r="AS179"/>
  <c r="AT179"/>
  <c r="AU179"/>
  <c r="AV179"/>
  <c r="AS180"/>
  <c r="AT180"/>
  <c r="AU180"/>
  <c r="AV180"/>
  <c r="AS181"/>
  <c r="AT181"/>
  <c r="AU181"/>
  <c r="AV181"/>
  <c r="AS182"/>
  <c r="AT182"/>
  <c r="AU182"/>
  <c r="AV182"/>
  <c r="AS183"/>
  <c r="AT183"/>
  <c r="AU183"/>
  <c r="AS184"/>
  <c r="AT184"/>
  <c r="AU184"/>
  <c r="AV184"/>
  <c r="AS185"/>
  <c r="AT185"/>
  <c r="AU185"/>
  <c r="AV185"/>
  <c r="AS186"/>
  <c r="AT186"/>
  <c r="AU186"/>
  <c r="AV186"/>
  <c r="AS187"/>
  <c r="AT187"/>
  <c r="AU187"/>
  <c r="AV187"/>
  <c r="AS188"/>
  <c r="AT188"/>
  <c r="AU188"/>
  <c r="AV188"/>
  <c r="AS189"/>
  <c r="AT189"/>
  <c r="AU189"/>
  <c r="AV189"/>
  <c r="AT190"/>
  <c r="AU190"/>
  <c r="AV190"/>
  <c r="AS191"/>
  <c r="AT191"/>
  <c r="AU191"/>
  <c r="AV191"/>
  <c r="AS192"/>
  <c r="AT192"/>
  <c r="AU192"/>
  <c r="AV192"/>
  <c r="AS193"/>
  <c r="AT193"/>
  <c r="AU193"/>
  <c r="AV193"/>
  <c r="AS194"/>
  <c r="AT194"/>
  <c r="AU194"/>
  <c r="AV194"/>
  <c r="AS195"/>
  <c r="AT195"/>
  <c r="AU195"/>
  <c r="AV195"/>
  <c r="AS196"/>
  <c r="AT196"/>
  <c r="AU196"/>
  <c r="AV196"/>
  <c r="AS197"/>
  <c r="AT197"/>
  <c r="AU197"/>
  <c r="AV197"/>
  <c r="AS198"/>
  <c r="AT198"/>
  <c r="AU198"/>
  <c r="AV198"/>
  <c r="AS199"/>
  <c r="AT199"/>
  <c r="AU199"/>
  <c r="AV199"/>
  <c r="AS200"/>
  <c r="AT200"/>
  <c r="AU200"/>
  <c r="AV200"/>
  <c r="AS201"/>
  <c r="AT201"/>
  <c r="AU201"/>
  <c r="AV201"/>
  <c r="AS202"/>
  <c r="AT202"/>
  <c r="AU202"/>
  <c r="AV202"/>
  <c r="AS203"/>
  <c r="AT203"/>
  <c r="AU203"/>
  <c r="AV203"/>
  <c r="AS204"/>
  <c r="AT204"/>
  <c r="AU204"/>
  <c r="AV204"/>
  <c r="AS205"/>
  <c r="AT205"/>
  <c r="AU205"/>
  <c r="AV205"/>
  <c r="AS206"/>
  <c r="AT206"/>
  <c r="AU206"/>
  <c r="AV206"/>
  <c r="AS207"/>
  <c r="AT207"/>
  <c r="AU207"/>
  <c r="AV207"/>
  <c r="AS208"/>
  <c r="AT208"/>
  <c r="AU208"/>
  <c r="AV208"/>
  <c r="AS209"/>
  <c r="AT209"/>
  <c r="AU209"/>
  <c r="AV209"/>
  <c r="AS210"/>
  <c r="AT210"/>
  <c r="AU210"/>
  <c r="AV210"/>
  <c r="AS211"/>
  <c r="AT211"/>
  <c r="AU211"/>
  <c r="AV211"/>
  <c r="AS212"/>
  <c r="AT212"/>
  <c r="AU212"/>
  <c r="AV212"/>
  <c r="AS213"/>
  <c r="AT213"/>
  <c r="AU213"/>
  <c r="AV213"/>
  <c r="AS214"/>
  <c r="AT214"/>
  <c r="AU214"/>
  <c r="AV214"/>
  <c r="AS215"/>
  <c r="AT215"/>
  <c r="AU215"/>
  <c r="AV215"/>
  <c r="AS216"/>
  <c r="AT216"/>
  <c r="AU216"/>
  <c r="AV216"/>
  <c r="AS217"/>
  <c r="AT217"/>
  <c r="AU217"/>
  <c r="AV217"/>
  <c r="AS218"/>
  <c r="AT218"/>
  <c r="AU218"/>
  <c r="AV218"/>
  <c r="AS219"/>
  <c r="AT219"/>
  <c r="AU219"/>
  <c r="AV219"/>
  <c r="AS220"/>
  <c r="AT220"/>
  <c r="AU220"/>
  <c r="AV220"/>
  <c r="AS221"/>
  <c r="AT221"/>
  <c r="AU221"/>
  <c r="AV221"/>
  <c r="AS222"/>
  <c r="AT222"/>
  <c r="AU222"/>
  <c r="AV222"/>
  <c r="AS223"/>
  <c r="AT223"/>
  <c r="AU223"/>
  <c r="AV223"/>
  <c r="AS224"/>
  <c r="AT224"/>
  <c r="AU224"/>
  <c r="AV224"/>
  <c r="AS225"/>
  <c r="AT225"/>
  <c r="AU225"/>
  <c r="AV225"/>
  <c r="AS226"/>
  <c r="AT226"/>
  <c r="AU226"/>
  <c r="AV226"/>
  <c r="AS227"/>
  <c r="AT227"/>
  <c r="AU227"/>
  <c r="AV227"/>
  <c r="AS228"/>
  <c r="AT228"/>
  <c r="AU228"/>
  <c r="AV228"/>
  <c r="AS229"/>
  <c r="AT229"/>
  <c r="AU229"/>
  <c r="AV229"/>
  <c r="AS230"/>
  <c r="AT230"/>
  <c r="AU230"/>
  <c r="AV230"/>
  <c r="AS231"/>
  <c r="AT231"/>
  <c r="AU231"/>
  <c r="AV231"/>
  <c r="AS232"/>
  <c r="AT232"/>
  <c r="AU232"/>
  <c r="AV232"/>
  <c r="AS233"/>
  <c r="AT233"/>
  <c r="AU233"/>
  <c r="AV233"/>
  <c r="AS234"/>
  <c r="AT234"/>
  <c r="AU234"/>
  <c r="AV234"/>
  <c r="AS235"/>
  <c r="AT235"/>
  <c r="AU235"/>
  <c r="AV235"/>
  <c r="AS236"/>
  <c r="AT236"/>
  <c r="AU236"/>
  <c r="AV236"/>
  <c r="AS237"/>
  <c r="AT237"/>
  <c r="AU237"/>
  <c r="AV237"/>
  <c r="AS238"/>
  <c r="AT238"/>
  <c r="AU238"/>
  <c r="AV238"/>
  <c r="AS239"/>
  <c r="AT239"/>
  <c r="AU239"/>
  <c r="AV239"/>
  <c r="AS240"/>
  <c r="AT240"/>
  <c r="AU240"/>
  <c r="AV240"/>
  <c r="AS241"/>
  <c r="AT241"/>
  <c r="AU241"/>
  <c r="AV241"/>
  <c r="AS242"/>
  <c r="AT242"/>
  <c r="AU242"/>
  <c r="AV242"/>
  <c r="AS243"/>
  <c r="AT243"/>
  <c r="AU243"/>
  <c r="AV243"/>
  <c r="AS244"/>
  <c r="AT244"/>
  <c r="AU244"/>
  <c r="AV244"/>
  <c r="AS245"/>
  <c r="AT245"/>
  <c r="AU245"/>
  <c r="AV245"/>
  <c r="AS246"/>
  <c r="AT246"/>
  <c r="AU246"/>
  <c r="AV246"/>
  <c r="AS247"/>
  <c r="AT247"/>
  <c r="AU247"/>
  <c r="AV247"/>
  <c r="AS248"/>
  <c r="AT248"/>
  <c r="AU248"/>
  <c r="AV248"/>
  <c r="AS249"/>
  <c r="AT249"/>
  <c r="AU249"/>
  <c r="AV249"/>
  <c r="AS250"/>
  <c r="AT250"/>
  <c r="AU250"/>
  <c r="AV250"/>
  <c r="AS251"/>
  <c r="AT251"/>
  <c r="AU251"/>
  <c r="AV251"/>
  <c r="AS252"/>
  <c r="AT252"/>
  <c r="AU252"/>
  <c r="AV252"/>
  <c r="AS253"/>
  <c r="AT253"/>
  <c r="AU253"/>
  <c r="AV253"/>
  <c r="AS254"/>
  <c r="AT254"/>
  <c r="AU254"/>
  <c r="AV254"/>
  <c r="AS255"/>
  <c r="AT255"/>
  <c r="AU255"/>
  <c r="AV255"/>
  <c r="AS256"/>
  <c r="AT256"/>
  <c r="AU256"/>
  <c r="AV256"/>
  <c r="AS257"/>
  <c r="AT257"/>
  <c r="AU257"/>
  <c r="AV257"/>
  <c r="AR258"/>
  <c r="AS258"/>
  <c r="AT258"/>
  <c r="AU258"/>
  <c r="AV258"/>
  <c r="AV178"/>
  <c r="AU178"/>
  <c r="AS178"/>
  <c r="AQ258"/>
  <c r="I213"/>
  <c r="N213" s="1"/>
  <c r="I214"/>
  <c r="N214" s="1"/>
  <c r="I215"/>
  <c r="N215" s="1"/>
  <c r="I212"/>
  <c r="N212" s="1"/>
  <c r="I209"/>
  <c r="N209" s="1"/>
  <c r="I210"/>
  <c r="N210" s="1"/>
  <c r="I211"/>
  <c r="N211" s="1"/>
  <c r="I208"/>
  <c r="N208" s="1"/>
  <c r="I205"/>
  <c r="N205" s="1"/>
  <c r="I206"/>
  <c r="N206" s="1"/>
  <c r="I207"/>
  <c r="N207" s="1"/>
  <c r="I204"/>
  <c r="N204" s="1"/>
  <c r="I201"/>
  <c r="N201" s="1"/>
  <c r="I202"/>
  <c r="N202" s="1"/>
  <c r="I203"/>
  <c r="N203" s="1"/>
  <c r="I200"/>
  <c r="N200" s="1"/>
  <c r="I197"/>
  <c r="N197" s="1"/>
  <c r="I198"/>
  <c r="N198" s="1"/>
  <c r="I199"/>
  <c r="N199" s="1"/>
  <c r="I196"/>
  <c r="N196" s="1"/>
  <c r="I193"/>
  <c r="N193" s="1"/>
  <c r="I194"/>
  <c r="N194" s="1"/>
  <c r="I195"/>
  <c r="N195" s="1"/>
  <c r="I192"/>
  <c r="N192" s="1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153"/>
  <c r="AI154"/>
  <c r="AI155"/>
  <c r="AI156"/>
  <c r="AI157"/>
  <c r="AI158"/>
  <c r="AI159"/>
  <c r="AI160"/>
  <c r="AI161"/>
  <c r="AI162"/>
  <c r="AI163"/>
  <c r="AI164"/>
  <c r="AI165"/>
  <c r="AI75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6"/>
  <c r="AH97"/>
  <c r="AH98"/>
  <c r="AH99"/>
  <c r="AH100"/>
  <c r="AH101"/>
  <c r="AH102"/>
  <c r="AH103"/>
  <c r="AH104"/>
  <c r="AH105"/>
  <c r="AH106"/>
  <c r="AH107"/>
  <c r="AH108"/>
  <c r="AH109"/>
  <c r="AH110"/>
  <c r="AH111"/>
  <c r="AH112"/>
  <c r="AH113"/>
  <c r="AH114"/>
  <c r="AH115"/>
  <c r="AH116"/>
  <c r="AH117"/>
  <c r="AH118"/>
  <c r="AH119"/>
  <c r="AH120"/>
  <c r="AH121"/>
  <c r="AH122"/>
  <c r="AH123"/>
  <c r="AH124"/>
  <c r="AH125"/>
  <c r="AH126"/>
  <c r="AH127"/>
  <c r="AH128"/>
  <c r="AH129"/>
  <c r="AH130"/>
  <c r="AH131"/>
  <c r="AH132"/>
  <c r="AH133"/>
  <c r="AH134"/>
  <c r="AH135"/>
  <c r="AH136"/>
  <c r="AH137"/>
  <c r="AH138"/>
  <c r="AH139"/>
  <c r="AH140"/>
  <c r="AH141"/>
  <c r="AH142"/>
  <c r="AH143"/>
  <c r="AH144"/>
  <c r="AH145"/>
  <c r="AH146"/>
  <c r="AH147"/>
  <c r="AH148"/>
  <c r="AH149"/>
  <c r="AH150"/>
  <c r="AH151"/>
  <c r="AH152"/>
  <c r="AH153"/>
  <c r="AH154"/>
  <c r="AH155"/>
  <c r="AH156"/>
  <c r="AH157"/>
  <c r="AH158"/>
  <c r="AH159"/>
  <c r="AH160"/>
  <c r="AH161"/>
  <c r="AH162"/>
  <c r="AH163"/>
  <c r="AH164"/>
  <c r="AH165"/>
  <c r="AH75"/>
  <c r="AP10"/>
  <c r="AO10"/>
  <c r="AN10"/>
  <c r="AM12"/>
  <c r="AM13"/>
  <c r="AM14"/>
  <c r="AM15"/>
  <c r="T3"/>
  <c r="Y3" s="1"/>
  <c r="I4"/>
  <c r="N4" s="1"/>
  <c r="I5"/>
  <c r="N5" s="1"/>
  <c r="I6"/>
  <c r="N6" s="1"/>
  <c r="I7"/>
  <c r="N7" s="1"/>
  <c r="I8"/>
  <c r="N8" s="1"/>
  <c r="I9"/>
  <c r="N9" s="1"/>
  <c r="I10"/>
  <c r="N10" s="1"/>
  <c r="I11"/>
  <c r="N11" s="1"/>
  <c r="I12"/>
  <c r="N12" s="1"/>
  <c r="I13"/>
  <c r="N13" s="1"/>
  <c r="I14"/>
  <c r="N14" s="1"/>
  <c r="I15"/>
  <c r="N15" s="1"/>
  <c r="I16"/>
  <c r="N16" s="1"/>
  <c r="I17"/>
  <c r="N17" s="1"/>
  <c r="I18"/>
  <c r="N18" s="1"/>
  <c r="I19"/>
  <c r="N19" s="1"/>
  <c r="I20"/>
  <c r="N20" s="1"/>
  <c r="I21"/>
  <c r="N21" s="1"/>
  <c r="I22"/>
  <c r="N22" s="1"/>
  <c r="I23"/>
  <c r="N23" s="1"/>
  <c r="I24"/>
  <c r="N24" s="1"/>
  <c r="I25"/>
  <c r="N25" s="1"/>
  <c r="I26"/>
  <c r="N26" s="1"/>
  <c r="I27"/>
  <c r="N27" s="1"/>
  <c r="I28"/>
  <c r="N28" s="1"/>
  <c r="I29"/>
  <c r="N29" s="1"/>
  <c r="I30"/>
  <c r="N30" s="1"/>
  <c r="I31"/>
  <c r="N31" s="1"/>
  <c r="I32"/>
  <c r="N32" s="1"/>
  <c r="I33"/>
  <c r="N33" s="1"/>
  <c r="I3"/>
  <c r="N3" s="1"/>
  <c r="I143"/>
  <c r="N143" s="1"/>
  <c r="I148"/>
  <c r="N148" s="1"/>
  <c r="I149"/>
  <c r="N149" s="1"/>
  <c r="I150"/>
  <c r="N150" s="1"/>
  <c r="I147"/>
  <c r="N147" s="1"/>
  <c r="I144"/>
  <c r="N144" s="1"/>
  <c r="I145"/>
  <c r="N145" s="1"/>
  <c r="I146"/>
  <c r="N146" s="1"/>
  <c r="I105"/>
  <c r="N105" s="1"/>
  <c r="I106"/>
  <c r="N106" s="1"/>
  <c r="I107"/>
  <c r="N107" s="1"/>
  <c r="I108"/>
  <c r="N108" s="1"/>
  <c r="I109"/>
  <c r="N109" s="1"/>
  <c r="I110"/>
  <c r="N110" s="1"/>
  <c r="I111"/>
  <c r="N111" s="1"/>
  <c r="I112"/>
  <c r="N112" s="1"/>
  <c r="I113"/>
  <c r="N113" s="1"/>
  <c r="I114"/>
  <c r="N114" s="1"/>
  <c r="I115"/>
  <c r="N115" s="1"/>
  <c r="I116"/>
  <c r="N116" s="1"/>
  <c r="I117"/>
  <c r="N117" s="1"/>
  <c r="I118"/>
  <c r="N118" s="1"/>
  <c r="I119"/>
  <c r="N119" s="1"/>
  <c r="I120"/>
  <c r="N120" s="1"/>
  <c r="I121"/>
  <c r="N121" s="1"/>
  <c r="I122"/>
  <c r="N122" s="1"/>
  <c r="I123"/>
  <c r="N123" s="1"/>
  <c r="I124"/>
  <c r="N124" s="1"/>
  <c r="I125"/>
  <c r="N125" s="1"/>
  <c r="I126"/>
  <c r="N126" s="1"/>
  <c r="I127"/>
  <c r="N127" s="1"/>
  <c r="I128"/>
  <c r="N128" s="1"/>
  <c r="I129"/>
  <c r="N129" s="1"/>
  <c r="I130"/>
  <c r="N130" s="1"/>
  <c r="I131"/>
  <c r="N131" s="1"/>
  <c r="I132"/>
  <c r="N132" s="1"/>
  <c r="I133"/>
  <c r="N133" s="1"/>
  <c r="I134"/>
  <c r="N134" s="1"/>
  <c r="I135"/>
  <c r="N135" s="1"/>
  <c r="I136"/>
  <c r="N136" s="1"/>
  <c r="I137"/>
  <c r="N137" s="1"/>
  <c r="I138"/>
  <c r="N138" s="1"/>
  <c r="I139"/>
  <c r="N139" s="1"/>
  <c r="I140"/>
  <c r="N140" s="1"/>
  <c r="I141"/>
  <c r="N141" s="1"/>
  <c r="I104"/>
  <c r="N104" s="1"/>
  <c r="W104" s="1"/>
  <c r="X104" s="1"/>
  <c r="T105"/>
  <c r="T106"/>
  <c r="T107"/>
  <c r="T108"/>
  <c r="T109"/>
  <c r="T110"/>
  <c r="T111"/>
  <c r="T112"/>
  <c r="T113"/>
  <c r="T114"/>
  <c r="T115"/>
  <c r="T116"/>
  <c r="T117"/>
  <c r="T118"/>
  <c r="T119"/>
  <c r="T120"/>
  <c r="T121"/>
  <c r="T122"/>
  <c r="T123"/>
  <c r="T124"/>
  <c r="T125"/>
  <c r="T126"/>
  <c r="T127"/>
  <c r="T128"/>
  <c r="T129"/>
  <c r="T130"/>
  <c r="T131"/>
  <c r="T132"/>
  <c r="T133"/>
  <c r="T134"/>
  <c r="T135"/>
  <c r="T136"/>
  <c r="T137"/>
  <c r="T138"/>
  <c r="T139"/>
  <c r="T140"/>
  <c r="T141"/>
  <c r="T143"/>
  <c r="W143" s="1"/>
  <c r="X143" s="1"/>
  <c r="T144"/>
  <c r="T145"/>
  <c r="W145" s="1"/>
  <c r="X145" s="1"/>
  <c r="T146"/>
  <c r="W146" s="1"/>
  <c r="X146" s="1"/>
  <c r="T147"/>
  <c r="W147" s="1"/>
  <c r="X147" s="1"/>
  <c r="T148"/>
  <c r="T149"/>
  <c r="W149" s="1"/>
  <c r="X149" s="1"/>
  <c r="T150"/>
  <c r="W150" s="1"/>
  <c r="X150" s="1"/>
  <c r="T32"/>
  <c r="T192"/>
  <c r="T193"/>
  <c r="T194"/>
  <c r="T195"/>
  <c r="T196"/>
  <c r="T197"/>
  <c r="T198"/>
  <c r="T199"/>
  <c r="T200"/>
  <c r="T201"/>
  <c r="T202"/>
  <c r="T203"/>
  <c r="T204"/>
  <c r="T205"/>
  <c r="T206"/>
  <c r="T207"/>
  <c r="T208"/>
  <c r="T209"/>
  <c r="T210"/>
  <c r="T211"/>
  <c r="T212"/>
  <c r="T213"/>
  <c r="T214"/>
  <c r="T215"/>
  <c r="T219"/>
  <c r="T220"/>
  <c r="T221"/>
  <c r="T222"/>
  <c r="T223"/>
  <c r="T224"/>
  <c r="T225"/>
  <c r="T226"/>
  <c r="T227"/>
  <c r="T228"/>
  <c r="T229"/>
  <c r="T230"/>
  <c r="W230" s="1"/>
  <c r="T231"/>
  <c r="W231" s="1"/>
  <c r="T232"/>
  <c r="T233"/>
  <c r="W233" s="1"/>
  <c r="T234"/>
  <c r="W234" s="1"/>
  <c r="T235"/>
  <c r="W235" s="1"/>
  <c r="T236"/>
  <c r="T237"/>
  <c r="W237" s="1"/>
  <c r="T238"/>
  <c r="W238" s="1"/>
  <c r="T239"/>
  <c r="W239" s="1"/>
  <c r="T240"/>
  <c r="T241"/>
  <c r="W241" s="1"/>
  <c r="T242"/>
  <c r="W242" s="1"/>
  <c r="T243"/>
  <c r="W243" s="1"/>
  <c r="T244"/>
  <c r="T245"/>
  <c r="W245" s="1"/>
  <c r="T246"/>
  <c r="W246" s="1"/>
  <c r="T247"/>
  <c r="W247" s="1"/>
  <c r="T248"/>
  <c r="T249"/>
  <c r="W249" s="1"/>
  <c r="T250"/>
  <c r="W250" s="1"/>
  <c r="T251"/>
  <c r="W251" s="1"/>
  <c r="T252"/>
  <c r="T253"/>
  <c r="W253" s="1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AV170"/>
  <c r="AV171"/>
  <c r="AV172"/>
  <c r="AV173"/>
  <c r="AV174"/>
  <c r="AV169"/>
  <c r="AT174"/>
  <c r="AT170"/>
  <c r="AT171"/>
  <c r="AT172"/>
  <c r="AT173"/>
  <c r="AT169"/>
  <c r="T8"/>
  <c r="T13"/>
  <c r="T4"/>
  <c r="T9"/>
  <c r="T14"/>
  <c r="T5"/>
  <c r="T10"/>
  <c r="T15"/>
  <c r="T6"/>
  <c r="T11"/>
  <c r="T16"/>
  <c r="T7"/>
  <c r="T12"/>
  <c r="T17"/>
  <c r="T18"/>
  <c r="T22"/>
  <c r="T19"/>
  <c r="Y19" s="1"/>
  <c r="T23"/>
  <c r="Y23" s="1"/>
  <c r="T20"/>
  <c r="T24"/>
  <c r="T21"/>
  <c r="Y21" s="1"/>
  <c r="T25"/>
  <c r="T26"/>
  <c r="T27"/>
  <c r="T28"/>
  <c r="T29"/>
  <c r="T30"/>
  <c r="T31"/>
  <c r="T33"/>
  <c r="Y33" s="1"/>
  <c r="AR28" l="1"/>
  <c r="AT27"/>
  <c r="AS27"/>
  <c r="AW170"/>
  <c r="AX170"/>
  <c r="AX172"/>
  <c r="AW172"/>
  <c r="AX173"/>
  <c r="AW173"/>
  <c r="W333"/>
  <c r="X333" s="1"/>
  <c r="X335"/>
  <c r="W335"/>
  <c r="W337"/>
  <c r="X337" s="1"/>
  <c r="X339"/>
  <c r="W339"/>
  <c r="W341"/>
  <c r="X341" s="1"/>
  <c r="W148"/>
  <c r="X148" s="1"/>
  <c r="W144"/>
  <c r="X144" s="1"/>
  <c r="W153"/>
  <c r="X153" s="1"/>
  <c r="AW174"/>
  <c r="AX174"/>
  <c r="AW169"/>
  <c r="AX169"/>
  <c r="AU169"/>
  <c r="AX171"/>
  <c r="AW171"/>
  <c r="W155"/>
  <c r="X155" s="1"/>
  <c r="W151"/>
  <c r="X151" s="1"/>
  <c r="X378"/>
  <c r="X325"/>
  <c r="X327"/>
  <c r="X329"/>
  <c r="X331"/>
  <c r="W402"/>
  <c r="W206"/>
  <c r="X206" s="1"/>
  <c r="W198"/>
  <c r="X198" s="1"/>
  <c r="W210"/>
  <c r="W256"/>
  <c r="W212"/>
  <c r="X212" s="1"/>
  <c r="W208"/>
  <c r="X208" s="1"/>
  <c r="W200"/>
  <c r="W196"/>
  <c r="X196" s="1"/>
  <c r="W213"/>
  <c r="X213" s="1"/>
  <c r="W209"/>
  <c r="X209" s="1"/>
  <c r="W205"/>
  <c r="X205" s="1"/>
  <c r="W201"/>
  <c r="W197"/>
  <c r="X197" s="1"/>
  <c r="W193"/>
  <c r="W141"/>
  <c r="W137"/>
  <c r="X137" s="1"/>
  <c r="W133"/>
  <c r="W129"/>
  <c r="X129" s="1"/>
  <c r="W125"/>
  <c r="X125" s="1"/>
  <c r="W121"/>
  <c r="X121" s="1"/>
  <c r="W117"/>
  <c r="X117" s="1"/>
  <c r="W113"/>
  <c r="X113" s="1"/>
  <c r="W109"/>
  <c r="X109" s="1"/>
  <c r="W105"/>
  <c r="X105" s="1"/>
  <c r="W204"/>
  <c r="W192"/>
  <c r="X192" s="1"/>
  <c r="X336"/>
  <c r="X338"/>
  <c r="X340"/>
  <c r="X342"/>
  <c r="W244"/>
  <c r="X244" s="1"/>
  <c r="W236"/>
  <c r="X236" s="1"/>
  <c r="W224"/>
  <c r="X224" s="1"/>
  <c r="W227"/>
  <c r="X227" s="1"/>
  <c r="W223"/>
  <c r="X223" s="1"/>
  <c r="W219"/>
  <c r="X219" s="1"/>
  <c r="X324"/>
  <c r="X326"/>
  <c r="X328"/>
  <c r="X330"/>
  <c r="X332"/>
  <c r="X334"/>
  <c r="AU170"/>
  <c r="AU173"/>
  <c r="AK224"/>
  <c r="X346"/>
  <c r="X344"/>
  <c r="X360"/>
  <c r="X358"/>
  <c r="X356"/>
  <c r="X354"/>
  <c r="X352"/>
  <c r="X350"/>
  <c r="X348"/>
  <c r="X377"/>
  <c r="X375"/>
  <c r="X373"/>
  <c r="X371"/>
  <c r="X369"/>
  <c r="X367"/>
  <c r="X365"/>
  <c r="X363"/>
  <c r="X361"/>
  <c r="X380"/>
  <c r="W252"/>
  <c r="X252" s="1"/>
  <c r="W240"/>
  <c r="X240" s="1"/>
  <c r="W228"/>
  <c r="X228" s="1"/>
  <c r="W229"/>
  <c r="X229" s="1"/>
  <c r="W225"/>
  <c r="X225" s="1"/>
  <c r="AY174"/>
  <c r="W248"/>
  <c r="X248" s="1"/>
  <c r="W232"/>
  <c r="X232" s="1"/>
  <c r="W220"/>
  <c r="X220" s="1"/>
  <c r="W221"/>
  <c r="X221" s="1"/>
  <c r="W226"/>
  <c r="X226" s="1"/>
  <c r="W222"/>
  <c r="X222" s="1"/>
  <c r="AY171"/>
  <c r="W215"/>
  <c r="W211"/>
  <c r="X211" s="1"/>
  <c r="W207"/>
  <c r="X207" s="1"/>
  <c r="W203"/>
  <c r="X203" s="1"/>
  <c r="W199"/>
  <c r="X199" s="1"/>
  <c r="W195"/>
  <c r="X195" s="1"/>
  <c r="W139"/>
  <c r="X139" s="1"/>
  <c r="W135"/>
  <c r="X135" s="1"/>
  <c r="W131"/>
  <c r="X131" s="1"/>
  <c r="W127"/>
  <c r="X127" s="1"/>
  <c r="W123"/>
  <c r="X123" s="1"/>
  <c r="W119"/>
  <c r="X119" s="1"/>
  <c r="W115"/>
  <c r="X115" s="1"/>
  <c r="W111"/>
  <c r="W107"/>
  <c r="X345"/>
  <c r="X343"/>
  <c r="X359"/>
  <c r="X357"/>
  <c r="X355"/>
  <c r="X353"/>
  <c r="X351"/>
  <c r="X349"/>
  <c r="X347"/>
  <c r="X376"/>
  <c r="X374"/>
  <c r="X372"/>
  <c r="X370"/>
  <c r="X368"/>
  <c r="X366"/>
  <c r="X364"/>
  <c r="X362"/>
  <c r="X381"/>
  <c r="X379"/>
  <c r="AD309"/>
  <c r="AD311"/>
  <c r="AD310"/>
  <c r="AD308"/>
  <c r="AD307"/>
  <c r="AD306"/>
  <c r="AD304"/>
  <c r="AD302"/>
  <c r="AD305"/>
  <c r="AD303"/>
  <c r="X256"/>
  <c r="W269"/>
  <c r="X269" s="1"/>
  <c r="W296"/>
  <c r="X296" s="1"/>
  <c r="W284"/>
  <c r="X284" s="1"/>
  <c r="W276"/>
  <c r="X276" s="1"/>
  <c r="W268"/>
  <c r="X268" s="1"/>
  <c r="W260"/>
  <c r="X260" s="1"/>
  <c r="W293"/>
  <c r="X293" s="1"/>
  <c r="W285"/>
  <c r="X285" s="1"/>
  <c r="W277"/>
  <c r="X277" s="1"/>
  <c r="W265"/>
  <c r="X265" s="1"/>
  <c r="W257"/>
  <c r="X257" s="1"/>
  <c r="W298"/>
  <c r="X298" s="1"/>
  <c r="W294"/>
  <c r="X294" s="1"/>
  <c r="W290"/>
  <c r="X290" s="1"/>
  <c r="W286"/>
  <c r="X286" s="1"/>
  <c r="W282"/>
  <c r="X282" s="1"/>
  <c r="W278"/>
  <c r="X278" s="1"/>
  <c r="W274"/>
  <c r="X274" s="1"/>
  <c r="W270"/>
  <c r="X270" s="1"/>
  <c r="W266"/>
  <c r="X266" s="1"/>
  <c r="W262"/>
  <c r="X262" s="1"/>
  <c r="W258"/>
  <c r="X258" s="1"/>
  <c r="W292"/>
  <c r="X292" s="1"/>
  <c r="W288"/>
  <c r="X288" s="1"/>
  <c r="W280"/>
  <c r="X280" s="1"/>
  <c r="W272"/>
  <c r="X272" s="1"/>
  <c r="W264"/>
  <c r="X264" s="1"/>
  <c r="W297"/>
  <c r="X297" s="1"/>
  <c r="W289"/>
  <c r="X289" s="1"/>
  <c r="W281"/>
  <c r="X281" s="1"/>
  <c r="W273"/>
  <c r="X273" s="1"/>
  <c r="W261"/>
  <c r="X261" s="1"/>
  <c r="W299"/>
  <c r="X299" s="1"/>
  <c r="W295"/>
  <c r="X295" s="1"/>
  <c r="W291"/>
  <c r="X291" s="1"/>
  <c r="W287"/>
  <c r="X287" s="1"/>
  <c r="W283"/>
  <c r="X283" s="1"/>
  <c r="W279"/>
  <c r="X279" s="1"/>
  <c r="W275"/>
  <c r="X275" s="1"/>
  <c r="W271"/>
  <c r="X271" s="1"/>
  <c r="W267"/>
  <c r="X267" s="1"/>
  <c r="W263"/>
  <c r="X263" s="1"/>
  <c r="W259"/>
  <c r="X259" s="1"/>
  <c r="X28"/>
  <c r="Y28"/>
  <c r="X12"/>
  <c r="Y12"/>
  <c r="X8"/>
  <c r="Y8"/>
  <c r="X29"/>
  <c r="Y29"/>
  <c r="X13"/>
  <c r="Y13"/>
  <c r="X30"/>
  <c r="Y30"/>
  <c r="X26"/>
  <c r="Y26"/>
  <c r="X20"/>
  <c r="Y20"/>
  <c r="X18"/>
  <c r="Y18"/>
  <c r="X16"/>
  <c r="Y16"/>
  <c r="X10"/>
  <c r="Y10"/>
  <c r="X4"/>
  <c r="Y4"/>
  <c r="X32"/>
  <c r="Y32"/>
  <c r="X3"/>
  <c r="X6"/>
  <c r="Y6"/>
  <c r="X25"/>
  <c r="Y25"/>
  <c r="X17"/>
  <c r="Y17"/>
  <c r="X11"/>
  <c r="Y11"/>
  <c r="X5"/>
  <c r="Y5"/>
  <c r="X31"/>
  <c r="Y31"/>
  <c r="X27"/>
  <c r="Y27"/>
  <c r="X24"/>
  <c r="Y24"/>
  <c r="X22"/>
  <c r="Y22"/>
  <c r="X7"/>
  <c r="Y7"/>
  <c r="X15"/>
  <c r="Y15"/>
  <c r="X9"/>
  <c r="Y9"/>
  <c r="W401"/>
  <c r="X402"/>
  <c r="X14"/>
  <c r="Y14"/>
  <c r="V403"/>
  <c r="V400"/>
  <c r="X400"/>
  <c r="W403"/>
  <c r="V402"/>
  <c r="X403"/>
  <c r="V401"/>
  <c r="W400"/>
  <c r="X401"/>
  <c r="W397"/>
  <c r="X396"/>
  <c r="X33"/>
  <c r="X21"/>
  <c r="X19"/>
  <c r="W138"/>
  <c r="X138" s="1"/>
  <c r="W134"/>
  <c r="X134" s="1"/>
  <c r="W130"/>
  <c r="W126"/>
  <c r="X126" s="1"/>
  <c r="W122"/>
  <c r="X122" s="1"/>
  <c r="W118"/>
  <c r="X118" s="1"/>
  <c r="W114"/>
  <c r="X114" s="1"/>
  <c r="W110"/>
  <c r="X110" s="1"/>
  <c r="W106"/>
  <c r="X106" s="1"/>
  <c r="W140"/>
  <c r="X140" s="1"/>
  <c r="W136"/>
  <c r="X136" s="1"/>
  <c r="W132"/>
  <c r="X132" s="1"/>
  <c r="W128"/>
  <c r="X128" s="1"/>
  <c r="W124"/>
  <c r="X124" s="1"/>
  <c r="W120"/>
  <c r="X120" s="1"/>
  <c r="W116"/>
  <c r="W112"/>
  <c r="X112" s="1"/>
  <c r="W108"/>
  <c r="X108" s="1"/>
  <c r="V399"/>
  <c r="V398"/>
  <c r="W396"/>
  <c r="X399"/>
  <c r="V396"/>
  <c r="W399"/>
  <c r="V397"/>
  <c r="X398"/>
  <c r="X397"/>
  <c r="W398"/>
  <c r="V393"/>
  <c r="X393"/>
  <c r="X394"/>
  <c r="V395"/>
  <c r="V394"/>
  <c r="X395"/>
  <c r="W392"/>
  <c r="V392"/>
  <c r="X23"/>
  <c r="W3"/>
  <c r="W214"/>
  <c r="X214" s="1"/>
  <c r="W202"/>
  <c r="X202" s="1"/>
  <c r="W194"/>
  <c r="X194" s="1"/>
  <c r="N251"/>
  <c r="X251" s="1"/>
  <c r="N246"/>
  <c r="N247"/>
  <c r="N243"/>
  <c r="X243" s="1"/>
  <c r="N235"/>
  <c r="N231"/>
  <c r="X204"/>
  <c r="X200"/>
  <c r="N253"/>
  <c r="N245"/>
  <c r="N241"/>
  <c r="N237"/>
  <c r="X237" s="1"/>
  <c r="N230"/>
  <c r="N242"/>
  <c r="N250"/>
  <c r="N238"/>
  <c r="X215"/>
  <c r="W318"/>
  <c r="X318" s="1"/>
  <c r="W316"/>
  <c r="X316" s="1"/>
  <c r="V315"/>
  <c r="W315"/>
  <c r="X315" s="1"/>
  <c r="V317"/>
  <c r="W317"/>
  <c r="X317" s="1"/>
  <c r="W312"/>
  <c r="X312" s="1"/>
  <c r="W311"/>
  <c r="X311" s="1"/>
  <c r="W314"/>
  <c r="X314" s="1"/>
  <c r="W313"/>
  <c r="X313" s="1"/>
  <c r="AK220"/>
  <c r="AK227"/>
  <c r="AK228"/>
  <c r="AK221"/>
  <c r="AK219"/>
  <c r="AK223"/>
  <c r="AK281" s="1"/>
  <c r="AK222"/>
  <c r="AK225"/>
  <c r="N249"/>
  <c r="X249" s="1"/>
  <c r="N233"/>
  <c r="X233" s="1"/>
  <c r="N239"/>
  <c r="N234"/>
  <c r="X210"/>
  <c r="X201"/>
  <c r="X193"/>
  <c r="X111"/>
  <c r="X107"/>
  <c r="W8"/>
  <c r="W32"/>
  <c r="W22"/>
  <c r="W28"/>
  <c r="W12"/>
  <c r="W20"/>
  <c r="W16"/>
  <c r="W4"/>
  <c r="W24"/>
  <c r="W9"/>
  <c r="X141"/>
  <c r="X133"/>
  <c r="W33"/>
  <c r="W29"/>
  <c r="W25"/>
  <c r="W21"/>
  <c r="W17"/>
  <c r="W13"/>
  <c r="W5"/>
  <c r="X130"/>
  <c r="W30"/>
  <c r="W26"/>
  <c r="W18"/>
  <c r="W14"/>
  <c r="W10"/>
  <c r="W6"/>
  <c r="W31"/>
  <c r="W27"/>
  <c r="W23"/>
  <c r="W19"/>
  <c r="W15"/>
  <c r="W11"/>
  <c r="W7"/>
  <c r="X116"/>
  <c r="AU174"/>
  <c r="AY172"/>
  <c r="AY173"/>
  <c r="AU171"/>
  <c r="AY170"/>
  <c r="AU172"/>
  <c r="AY169"/>
  <c r="AS28" l="1"/>
  <c r="AT28"/>
  <c r="AD316"/>
  <c r="AD314"/>
  <c r="X230"/>
  <c r="AD312"/>
  <c r="AD313"/>
  <c r="AD315"/>
  <c r="X241"/>
  <c r="X238"/>
  <c r="X239"/>
  <c r="X234"/>
  <c r="X250"/>
  <c r="X235"/>
  <c r="X246"/>
  <c r="X253"/>
  <c r="X231"/>
  <c r="X247"/>
  <c r="X242"/>
  <c r="X245"/>
  <c r="AL223"/>
  <c r="AC62"/>
  <c r="AE62" s="1"/>
  <c r="AQ13"/>
  <c r="AR13" s="1"/>
  <c r="AQ15"/>
  <c r="AR15" s="1"/>
  <c r="AT15" s="1"/>
  <c r="AQ14"/>
  <c r="AR14" s="1"/>
  <c r="AC64"/>
  <c r="AC67"/>
  <c r="AC66"/>
  <c r="AC65"/>
  <c r="AQ12"/>
  <c r="AR12" s="1"/>
  <c r="AS14" l="1"/>
  <c r="AT14"/>
  <c r="AS13"/>
  <c r="AT13"/>
  <c r="AS12"/>
  <c r="AT12"/>
  <c r="AD66"/>
  <c r="AE66"/>
  <c r="AE64"/>
  <c r="AD64"/>
  <c r="AE65"/>
  <c r="AD65"/>
  <c r="AE67"/>
  <c r="AD67"/>
  <c r="AB62"/>
  <c r="AC63"/>
  <c r="AB63"/>
  <c r="AD62"/>
  <c r="AR16"/>
  <c r="AS16" s="1"/>
  <c r="AS15"/>
  <c r="AB66"/>
  <c r="AC68"/>
  <c r="AB68"/>
  <c r="AB65"/>
  <c r="AB64"/>
  <c r="AB67"/>
  <c r="AE68" l="1"/>
  <c r="AD68"/>
  <c r="AD63"/>
  <c r="AE63"/>
</calcChain>
</file>

<file path=xl/connections.xml><?xml version="1.0" encoding="utf-8"?>
<connections xmlns="http://schemas.openxmlformats.org/spreadsheetml/2006/main">
  <connection id="1" name="data" type="6" refreshedVersion="3" background="1">
    <textPr codePage="850" sourceFile="C:\Users\mads\Desktop\data.txt" delimited="0">
      <textFields count="3">
        <textField/>
        <textField position="1"/>
        <textField position="23"/>
      </textFields>
    </textPr>
  </connection>
  <connection id="2" name="S" type="6" refreshedVersion="3" background="1" saveData="1">
    <textPr codePage="850" sourceFile="C:\Users\mads\Desktop\Chemzyme project\computationel\cat\Bols\new project\B3LYP\HO2\B3LYP\H2O2_2H2O_DECOMPOSITION\Reaction with M\UM05_6311+GDP\scan\S.txt" delimited="0">
      <textFields count="3">
        <textField/>
        <textField position="1"/>
        <textField position="23"/>
      </textFields>
    </textPr>
  </connection>
  <connection id="3" name="S1" type="6" refreshedVersion="3" background="1">
    <textPr codePage="850" sourceFile="C:\Users\mads\Desktop\Chemzyme project\computationel\cat\Bols\new project\B3LYP\HO2\B3LYP\H2O2_2H2O_DECOMPOSITION\Reaction with M\UM05_6311+GDP\scan\S.txt" delimited="0">
      <textFields count="3">
        <textField/>
        <textField position="1"/>
        <textField position="23"/>
      </textFields>
    </textPr>
  </connection>
  <connection id="4" name="S2" type="6" refreshedVersion="3" background="1" saveData="1">
    <textPr codePage="850" sourceFile="C:\Users\mads\Desktop\Chemzyme project\computationel\cat\Bols\new project\B3LYP\HO2\B3LYP\H2O2_2H2O_DECOMPOSITION\Reaction with M\M05_631+GDP\scan\S.txt" delimited="0">
      <textFields count="3">
        <textField/>
        <textField position="1"/>
        <textField position="23"/>
      </textFields>
    </textPr>
  </connection>
  <connection id="5" name="S3" type="6" refreshedVersion="3" background="1" saveData="1">
    <textPr codePage="850" sourceFile="C:\Users\mads\Desktop\Chemzyme project\computationel\cat\Bols\new project\B3LYP\HO2\B3LYP\H2O2_2H2O_DECOMPOSITION\Reaction with M\M05_631+GDP\scan\S.txt" delimited="0">
      <textFields count="3">
        <textField/>
        <textField position="1"/>
        <textField position="23"/>
      </textFields>
    </textPr>
  </connection>
  <connection id="6" name="S4" type="6" refreshedVersion="3" background="1">
    <textPr codePage="850" sourceFile="C:\Users\mads\Desktop\Chemzyme project\computationel\cat\Bols\new project\B3LYP\HO2\B3LYP\H2O2_2H2O_DECOMPOSITION\Reaction with M\M05_631+GDP\scan\S.txt" delimited="0">
      <textFields count="3">
        <textField/>
        <textField position="1"/>
        <textField position="23"/>
      </textFields>
    </textPr>
  </connection>
  <connection id="7" name="S5" type="6" refreshedVersion="3" background="1" saveData="1">
    <textPr codePage="850" sourceFile="C:\Users\mads\Desktop\Chemzyme project\computationel\cat\Bols\new project\B3LYP\HO2\B3LYP\H2O2_2H2O_DECOMPOSITION\Reaction with M\M05_MG3S\scan\S.txt" delimited="0">
      <textFields count="3">
        <textField/>
        <textField position="1"/>
        <textField position="23"/>
      </textFields>
    </textPr>
  </connection>
  <connection id="8" name="S6" type="6" refreshedVersion="3" background="1" saveData="1">
    <textPr codePage="850" sourceFile="C:\Users\mads\Desktop\Chemzyme project\computationel\cat\Bols\new project\B3LYP\HO2\B3LYP\H2O2_2H2O_DECOMPOSITION\Reaction with M\B3LYP_MG3S\scan\S.txt" delimited="0">
      <textFields count="3">
        <textField/>
        <textField position="1"/>
        <textField position="23"/>
      </textFields>
    </textPr>
  </connection>
  <connection id="9" name="S7" type="6" refreshedVersion="3" background="1" saveData="1">
    <textPr codePage="850" sourceFile="C:\Users\mads\Desktop\Chemzyme project\computationel\cat\Bols\new project\B3LYP\HO2\B3LYP\H2O2_2H2O_DECOMPOSITION\Reaction with M\B3LYP CBSB7\scan\S.txt" delimited="0">
      <textFields count="3">
        <textField/>
        <textField position="1"/>
        <textField position="23"/>
      </textFields>
    </textPr>
  </connection>
  <connection id="10" name="T" type="6" refreshedVersion="3" background="1" saveData="1">
    <textPr codePage="850" sourceFile="C:\Users\mads\Desktop\Chemzyme project\computationel\cat\Bols\new project\B3LYP\HO2\B3LYP\H2O2_2H2O_DECOMPOSITION\Reaction with M\UM05_6311+GDP\scan\T.txt" delimited="0">
      <textFields count="3">
        <textField/>
        <textField position="1"/>
        <textField position="23"/>
      </textFields>
    </textPr>
  </connection>
  <connection id="11" name="T1" type="6" refreshedVersion="3" background="1" saveData="1">
    <textPr codePage="850" sourceFile="C:\Users\mads\Desktop\Chemzyme project\computationel\cat\Bols\new project\B3LYP\HO2\B3LYP\H2O2_2H2O_DECOMPOSITION\Reaction with M\UM05_6311+GDP\scan\T.txt" delimited="0">
      <textFields count="3">
        <textField/>
        <textField position="1"/>
        <textField position="23"/>
      </textFields>
    </textPr>
  </connection>
  <connection id="12" name="T2" type="6" refreshedVersion="3" background="1" saveData="1">
    <textPr codePage="850" sourceFile="C:\Users\mads\Desktop\Chemzyme project\computationel\cat\Bols\new project\B3LYP\HO2\B3LYP\H2O2_2H2O_DECOMPOSITION\Reaction with M\UM05_6311+GDP\scan\T.txt" delimited="0">
      <textFields count="3">
        <textField/>
        <textField position="1"/>
        <textField position="23"/>
      </textFields>
    </textPr>
  </connection>
  <connection id="13" name="T3" type="6" refreshedVersion="3" background="1" saveData="1">
    <textPr codePage="850" sourceFile="C:\Users\mads\Desktop\Chemzyme project\computationel\cat\Bols\new project\B3LYP\HO2\B3LYP\H2O2_2H2O_DECOMPOSITION\Reaction with M\M05_631+GDP\scan\T.txt" delimited="0">
      <textFields count="3">
        <textField/>
        <textField position="1"/>
        <textField position="23"/>
      </textFields>
    </textPr>
  </connection>
  <connection id="14" name="T4" type="6" refreshedVersion="3" background="1" saveData="1">
    <textPr codePage="850" sourceFile="C:\Users\mads\Desktop\Chemzyme project\computationel\cat\Bols\new project\B3LYP\HO2\B3LYP\H2O2_2H2O_DECOMPOSITION\Reaction with M\M05_MG3S\scan\T.txt" delimited="0">
      <textFields count="3">
        <textField/>
        <textField position="1"/>
        <textField position="23"/>
      </textFields>
    </textPr>
  </connection>
  <connection id="15" name="T5" type="6" refreshedVersion="3" background="1" saveData="1">
    <textPr codePage="850" sourceFile="C:\Users\mads\Desktop\Chemzyme project\computationel\cat\Bols\new project\B3LYP\HO2\B3LYP\H2O2_2H2O_DECOMPOSITION\Reaction with M\B3LYP_MG3S\scan\T.txt" delimited="0">
      <textFields count="3">
        <textField/>
        <textField position="1"/>
        <textField position="23"/>
      </textFields>
    </textPr>
  </connection>
  <connection id="16" name="T6" type="6" refreshedVersion="3" background="1" saveData="1">
    <textPr codePage="850" sourceFile="C:\Users\mads\Desktop\Chemzyme project\computationel\cat\Bols\new project\B3LYP\HO2\B3LYP\H2O2_2H2O_DECOMPOSITION\Reaction with M\B3LYP CBSB7\scan\T.txt" delimited="0">
      <textFields count="3">
        <textField/>
        <textField position="1"/>
        <textField position="23"/>
      </textFields>
    </textPr>
  </connection>
</connections>
</file>

<file path=xl/sharedStrings.xml><?xml version="1.0" encoding="utf-8"?>
<sst xmlns="http://schemas.openxmlformats.org/spreadsheetml/2006/main" count="3137" uniqueCount="880">
  <si>
    <t>[BnOH] mM</t>
  </si>
  <si>
    <t>[H2O2] mM</t>
  </si>
  <si>
    <t>pH</t>
  </si>
  <si>
    <t>BnOH_uncat_001</t>
  </si>
  <si>
    <t>data file</t>
  </si>
  <si>
    <t>BnOH_uncat_002</t>
  </si>
  <si>
    <t>BnOH_uncat_003</t>
  </si>
  <si>
    <t>data69</t>
  </si>
  <si>
    <t>data70</t>
  </si>
  <si>
    <t>data67</t>
  </si>
  <si>
    <t>data65</t>
  </si>
  <si>
    <t>r [Abs/s]</t>
  </si>
  <si>
    <t xml:space="preserve">e [Abs/mM] </t>
  </si>
  <si>
    <t>r [mM/s]</t>
  </si>
  <si>
    <t>mean</t>
  </si>
  <si>
    <t>s</t>
  </si>
  <si>
    <t>a</t>
  </si>
  <si>
    <t>b</t>
  </si>
  <si>
    <t>a/b [Abs/s]</t>
  </si>
  <si>
    <t>MeOBnOH</t>
  </si>
  <si>
    <t>data23</t>
  </si>
  <si>
    <t>[MeOBnOH] mM</t>
  </si>
  <si>
    <t>data24</t>
  </si>
  <si>
    <t>data25</t>
  </si>
  <si>
    <t>data26</t>
  </si>
  <si>
    <t>data27</t>
  </si>
  <si>
    <t>data28</t>
  </si>
  <si>
    <t>data29</t>
  </si>
  <si>
    <t>data30</t>
  </si>
  <si>
    <t>data39</t>
  </si>
  <si>
    <t>data38</t>
  </si>
  <si>
    <t>data40</t>
  </si>
  <si>
    <t xml:space="preserve">data file </t>
  </si>
  <si>
    <t>data32</t>
  </si>
  <si>
    <t>[Enz] mM</t>
  </si>
  <si>
    <t>temp. C</t>
  </si>
  <si>
    <t>data19</t>
  </si>
  <si>
    <t>data18</t>
  </si>
  <si>
    <t>data17</t>
  </si>
  <si>
    <t>data16</t>
  </si>
  <si>
    <t>data15</t>
  </si>
  <si>
    <t>data14</t>
  </si>
  <si>
    <t>Vmax</t>
  </si>
  <si>
    <t>Km</t>
  </si>
  <si>
    <t>Vmax/Km</t>
  </si>
  <si>
    <t>[Enz] M</t>
  </si>
  <si>
    <t>T</t>
  </si>
  <si>
    <t>1/T</t>
  </si>
  <si>
    <t>ln(Vmax)</t>
  </si>
  <si>
    <t>data34</t>
  </si>
  <si>
    <t>data41</t>
  </si>
  <si>
    <t>data42</t>
  </si>
  <si>
    <t>data46</t>
  </si>
  <si>
    <t>data47</t>
  </si>
  <si>
    <t>data48</t>
  </si>
  <si>
    <t>data49</t>
  </si>
  <si>
    <t>data43</t>
  </si>
  <si>
    <t>data45</t>
  </si>
  <si>
    <t>data44</t>
  </si>
  <si>
    <t>data2</t>
  </si>
  <si>
    <t>data4</t>
  </si>
  <si>
    <t>data7</t>
  </si>
  <si>
    <t>data8</t>
  </si>
  <si>
    <t>data9</t>
  </si>
  <si>
    <t>data11</t>
  </si>
  <si>
    <t>data10</t>
  </si>
  <si>
    <t>data22</t>
  </si>
  <si>
    <t>data20</t>
  </si>
  <si>
    <t>data21</t>
  </si>
  <si>
    <t>data12</t>
  </si>
  <si>
    <t>sub</t>
  </si>
  <si>
    <t>r/([Enz]) [1/s*M]</t>
  </si>
  <si>
    <t>ln(Km/T)</t>
  </si>
  <si>
    <t>BnOH</t>
  </si>
  <si>
    <t>4-Methoxybenzyl alcohol</t>
  </si>
  <si>
    <t>MM fit</t>
  </si>
  <si>
    <t>bad</t>
  </si>
  <si>
    <t>data31</t>
  </si>
  <si>
    <t xml:space="preserve"> </t>
  </si>
  <si>
    <t>pKa</t>
  </si>
  <si>
    <t>I M</t>
  </si>
  <si>
    <t>Buf</t>
  </si>
  <si>
    <t>Phos</t>
  </si>
  <si>
    <t>[Buf] M</t>
  </si>
  <si>
    <t>Boric</t>
  </si>
  <si>
    <t>Boric acid  pKa</t>
  </si>
  <si>
    <t>NaH2PO4 pKa</t>
  </si>
  <si>
    <t>Lin. Fit</t>
  </si>
  <si>
    <t>Nonlin. Fit</t>
  </si>
  <si>
    <t>[Na]2 M</t>
  </si>
  <si>
    <t>[Na]0 M</t>
  </si>
  <si>
    <t>Vmax (1/s)</t>
  </si>
  <si>
    <t>Km M</t>
  </si>
  <si>
    <t>T [C]</t>
  </si>
  <si>
    <t>Temp K</t>
  </si>
  <si>
    <t>activity of z=-1</t>
  </si>
  <si>
    <t>r/([H2O2]*a) [1/s]</t>
  </si>
  <si>
    <t>sum</t>
  </si>
  <si>
    <t>sub ph 7</t>
  </si>
  <si>
    <t>95 conf</t>
  </si>
  <si>
    <t>r/a [mM/s]</t>
  </si>
  <si>
    <t>95% conf.</t>
  </si>
  <si>
    <t>Lin. fit</t>
  </si>
  <si>
    <t>r/([Enz]*[H2O2]*a) [1/s*M]</t>
  </si>
  <si>
    <t>r/([Enz]*a) [1/s]</t>
  </si>
  <si>
    <t>288.15 K</t>
  </si>
  <si>
    <t>293.15 K</t>
  </si>
  <si>
    <t>298.15 K</t>
  </si>
  <si>
    <t>303.15 K</t>
  </si>
  <si>
    <t>308.15 K</t>
  </si>
  <si>
    <t>313.15 K</t>
  </si>
  <si>
    <t>r/(a*[Enz]) [1/s]</t>
  </si>
  <si>
    <t>Log(Vmax)</t>
  </si>
  <si>
    <t>Mean</t>
  </si>
  <si>
    <t>pH vs Vmax</t>
  </si>
  <si>
    <t>kcat</t>
  </si>
  <si>
    <t>pH vs Vmax/Km</t>
  </si>
  <si>
    <t>(0.00705, 0.008429)</t>
  </si>
  <si>
    <t xml:space="preserve"> (9.181, 9.334)</t>
  </si>
  <si>
    <t>(0.001352, 0.001779)</t>
  </si>
  <si>
    <t xml:space="preserve"> (8.585, 8.77)</t>
  </si>
  <si>
    <t>Fit</t>
  </si>
  <si>
    <t>s/2 (Vmax)</t>
  </si>
  <si>
    <t>s/2 (Vmax/Km)</t>
  </si>
  <si>
    <t>data127</t>
  </si>
  <si>
    <t>data129</t>
  </si>
  <si>
    <t>pyrophosphate</t>
  </si>
  <si>
    <t>data59</t>
  </si>
  <si>
    <t>data60</t>
  </si>
  <si>
    <t>data66</t>
  </si>
  <si>
    <t>data61</t>
  </si>
  <si>
    <t>data62</t>
  </si>
  <si>
    <t>data55</t>
  </si>
  <si>
    <t>pKa2</t>
  </si>
  <si>
    <t>pKa1</t>
  </si>
  <si>
    <t>data68</t>
  </si>
  <si>
    <t>data52</t>
  </si>
  <si>
    <t>(0.06856, 0.2427)</t>
  </si>
  <si>
    <t>(8.694e-005, 0.0001081)</t>
  </si>
  <si>
    <t>data71</t>
  </si>
  <si>
    <t>data73</t>
  </si>
  <si>
    <t>data74</t>
  </si>
  <si>
    <t>data82</t>
  </si>
  <si>
    <t>data83</t>
  </si>
  <si>
    <t>data51</t>
  </si>
  <si>
    <t>data50</t>
  </si>
  <si>
    <t>r/([Na]*[Enz]) [1/s*M]</t>
  </si>
  <si>
    <t>Hartree (J/particle)</t>
  </si>
  <si>
    <t>Na (1/mol)</t>
  </si>
  <si>
    <t>joul/cal</t>
  </si>
  <si>
    <t>Skodje-Thruhlar approx. for exoergic reactions</t>
  </si>
  <si>
    <t>v [1/cm]</t>
  </si>
  <si>
    <t>∆(V#+zpve) [kJ/mol]</t>
  </si>
  <si>
    <t>T [K]</t>
  </si>
  <si>
    <t>h [J*s]</t>
  </si>
  <si>
    <t>kb [J/K]</t>
  </si>
  <si>
    <t>Pi</t>
  </si>
  <si>
    <t>R [J/mol*K]</t>
  </si>
  <si>
    <t>Na [1/mol]</t>
  </si>
  <si>
    <t>k(T) a&gt;b</t>
  </si>
  <si>
    <t>k(T) a&lt;b</t>
  </si>
  <si>
    <t>k(T)</t>
  </si>
  <si>
    <t>M05/B2</t>
  </si>
  <si>
    <t>M05/B3</t>
  </si>
  <si>
    <t>M05/B1 BONDI</t>
  </si>
  <si>
    <t>h(bar) [J*s]</t>
  </si>
  <si>
    <t>c [cm/s]</t>
  </si>
  <si>
    <t>a=(2*pi/h*v*c) [1/J]</t>
  </si>
  <si>
    <t>b=(1/(kb*T)) [1/J]</t>
  </si>
  <si>
    <t>RTln(k(T)) a&gt;b [kCal/mol]</t>
  </si>
  <si>
    <t>RTln(k(T)) a&lt;b  [kCal/mol]</t>
  </si>
  <si>
    <t>Wigner approx. Condition: h*v&lt;&lt;kb*T</t>
  </si>
  <si>
    <t>(kb*T)/(h*v*c)</t>
  </si>
  <si>
    <r>
      <t xml:space="preserve"> (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)</t>
    </r>
  </si>
  <si>
    <r>
      <t>RTln(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) kCal/mol</t>
    </r>
  </si>
  <si>
    <t>H2O2</t>
  </si>
  <si>
    <t>HO2Na</t>
  </si>
  <si>
    <t>TS1(NA)_BnOH_RC</t>
  </si>
  <si>
    <t>TS1(NA)_BnOH_TS</t>
  </si>
  <si>
    <t>TS1(NA)_MeOBnOH_RC</t>
  </si>
  <si>
    <t>TS1(NA)_MeOBnOH_TS</t>
  </si>
  <si>
    <t>TS-RC</t>
  </si>
  <si>
    <t>M05</t>
  </si>
  <si>
    <t>B3+UAKS</t>
  </si>
  <si>
    <t>B3+Bondi</t>
  </si>
  <si>
    <t>B3+Pauling</t>
  </si>
  <si>
    <t>RC-(A+B) [M]</t>
  </si>
  <si>
    <t>M052X/B1</t>
  </si>
  <si>
    <t>M052X/B2</t>
  </si>
  <si>
    <t>M052X/B1 UAKS</t>
  </si>
  <si>
    <t>M052X/B1 BONDI</t>
  </si>
  <si>
    <t>M052X/B1 PAULING</t>
  </si>
  <si>
    <r>
      <rPr>
        <b/>
        <sz val="11"/>
        <color theme="1"/>
        <rFont val="Calibri"/>
        <family val="2"/>
        <scheme val="minor"/>
      </rPr>
      <t xml:space="preserve">M052X/B1 </t>
    </r>
    <r>
      <rPr>
        <i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(1/cm)</t>
    </r>
  </si>
  <si>
    <r>
      <rPr>
        <b/>
        <sz val="11"/>
        <color theme="1"/>
        <rFont val="Calibri"/>
        <family val="2"/>
        <scheme val="minor"/>
      </rPr>
      <t>M052X/B1</t>
    </r>
    <r>
      <rPr>
        <sz val="11"/>
        <color theme="1"/>
        <rFont val="Calibri"/>
        <family val="2"/>
        <scheme val="minor"/>
      </rPr>
      <t xml:space="preserve"> ZPVE(corr) </t>
    </r>
  </si>
  <si>
    <r>
      <rPr>
        <b/>
        <sz val="11"/>
        <color theme="1"/>
        <rFont val="Calibri"/>
        <family val="2"/>
        <scheme val="minor"/>
      </rPr>
      <t xml:space="preserve">M052X/B1 </t>
    </r>
    <r>
      <rPr>
        <sz val="11"/>
        <color theme="1"/>
        <rFont val="Calibri"/>
        <family val="2"/>
        <scheme val="minor"/>
      </rPr>
      <t xml:space="preserve">H(corr) </t>
    </r>
  </si>
  <si>
    <r>
      <rPr>
        <b/>
        <sz val="11"/>
        <color theme="1"/>
        <rFont val="Calibri"/>
        <family val="2"/>
        <scheme val="minor"/>
      </rPr>
      <t>M052X/B1</t>
    </r>
    <r>
      <rPr>
        <sz val="11"/>
        <color theme="1"/>
        <rFont val="Calibri"/>
        <family val="2"/>
        <scheme val="minor"/>
      </rPr>
      <t xml:space="preserve"> G(corr) </t>
    </r>
  </si>
  <si>
    <r>
      <rPr>
        <b/>
        <sz val="11"/>
        <color theme="1"/>
        <rFont val="Calibri"/>
        <family val="2"/>
        <scheme val="minor"/>
      </rPr>
      <t>M052X/B1</t>
    </r>
    <r>
      <rPr>
        <sz val="11"/>
        <color theme="1"/>
        <rFont val="Calibri"/>
        <family val="2"/>
        <scheme val="minor"/>
      </rPr>
      <t xml:space="preserve"> -TS(corr) </t>
    </r>
  </si>
  <si>
    <r>
      <rPr>
        <b/>
        <sz val="11"/>
        <color theme="1"/>
        <rFont val="Calibri"/>
        <family val="2"/>
        <scheme val="minor"/>
      </rPr>
      <t xml:space="preserve">M052X/B1 </t>
    </r>
    <r>
      <rPr>
        <sz val="11"/>
        <color theme="1"/>
        <rFont val="Calibri"/>
        <family val="2"/>
        <scheme val="minor"/>
      </rPr>
      <t xml:space="preserve">Ee+ZPVE (kCal/mol) </t>
    </r>
  </si>
  <si>
    <r>
      <rPr>
        <b/>
        <sz val="11"/>
        <color theme="1"/>
        <rFont val="Calibri"/>
        <family val="2"/>
        <scheme val="minor"/>
      </rPr>
      <t>M052X/B2</t>
    </r>
    <r>
      <rPr>
        <sz val="11"/>
        <color theme="1"/>
        <rFont val="Calibri"/>
        <family val="2"/>
        <scheme val="minor"/>
      </rPr>
      <t>Ee+ZPVE (kCal/mol)</t>
    </r>
  </si>
  <si>
    <r>
      <rPr>
        <b/>
        <sz val="11"/>
        <color theme="1"/>
        <rFont val="Calibri"/>
        <family val="2"/>
        <scheme val="minor"/>
      </rPr>
      <t xml:space="preserve">M052X/B3 </t>
    </r>
    <r>
      <rPr>
        <sz val="11"/>
        <color theme="1"/>
        <rFont val="Calibri"/>
        <family val="2"/>
        <scheme val="minor"/>
      </rPr>
      <t xml:space="preserve">Ee+ZPVE (kCal/mol)   </t>
    </r>
  </si>
  <si>
    <r>
      <rPr>
        <b/>
        <sz val="11"/>
        <color theme="1"/>
        <rFont val="Calibri"/>
        <family val="2"/>
        <scheme val="minor"/>
      </rPr>
      <t xml:space="preserve">M052X/B3 </t>
    </r>
    <r>
      <rPr>
        <sz val="11"/>
        <color theme="1"/>
        <rFont val="Calibri"/>
        <family val="2"/>
        <scheme val="minor"/>
      </rPr>
      <t xml:space="preserve">H (kCal/mol)   </t>
    </r>
  </si>
  <si>
    <r>
      <rPr>
        <b/>
        <sz val="11"/>
        <color theme="1"/>
        <rFont val="Calibri"/>
        <family val="2"/>
        <scheme val="minor"/>
      </rPr>
      <t xml:space="preserve">M052X/B3 </t>
    </r>
    <r>
      <rPr>
        <sz val="11"/>
        <color theme="1"/>
        <rFont val="Calibri"/>
        <family val="2"/>
        <scheme val="minor"/>
      </rPr>
      <t xml:space="preserve">G (kCal/mol) </t>
    </r>
  </si>
  <si>
    <r>
      <rPr>
        <b/>
        <sz val="11"/>
        <color theme="1"/>
        <rFont val="Calibri"/>
        <family val="2"/>
        <scheme val="minor"/>
      </rPr>
      <t xml:space="preserve">M052X/B3 </t>
    </r>
    <r>
      <rPr>
        <sz val="11"/>
        <color theme="1"/>
        <rFont val="Calibri"/>
        <family val="2"/>
        <scheme val="minor"/>
      </rPr>
      <t>G+UAKS (kCal/mol)</t>
    </r>
  </si>
  <si>
    <r>
      <t xml:space="preserve">M052X/B3 </t>
    </r>
    <r>
      <rPr>
        <sz val="11"/>
        <color theme="1"/>
        <rFont val="Calibri"/>
        <family val="2"/>
        <scheme val="minor"/>
      </rPr>
      <t>G+Bondi (kCal/mol)</t>
    </r>
  </si>
  <si>
    <r>
      <t>M052X/B3</t>
    </r>
    <r>
      <rPr>
        <sz val="11"/>
        <color theme="1"/>
        <rFont val="Calibri"/>
        <family val="2"/>
        <scheme val="minor"/>
      </rPr>
      <t xml:space="preserve"> G+Pauling (kCal/mol)</t>
    </r>
  </si>
  <si>
    <t>M052X</t>
  </si>
  <si>
    <t>B3LYP/B1</t>
  </si>
  <si>
    <t>B3LYP/B2</t>
  </si>
  <si>
    <t>B3LYP/B3</t>
  </si>
  <si>
    <t>B3LYP/B1 UAKS</t>
  </si>
  <si>
    <t>B3LYP/B1 BONDI</t>
  </si>
  <si>
    <t>B3LYP/B1 PAULING</t>
  </si>
  <si>
    <r>
      <rPr>
        <b/>
        <sz val="11"/>
        <color theme="1"/>
        <rFont val="Calibri"/>
        <family val="2"/>
        <scheme val="minor"/>
      </rPr>
      <t xml:space="preserve">B3LYP/B1 </t>
    </r>
    <r>
      <rPr>
        <i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(1/cm)</t>
    </r>
  </si>
  <si>
    <r>
      <rPr>
        <b/>
        <sz val="11"/>
        <color theme="1"/>
        <rFont val="Calibri"/>
        <family val="2"/>
        <scheme val="minor"/>
      </rPr>
      <t>B3LYP/B1</t>
    </r>
    <r>
      <rPr>
        <sz val="11"/>
        <color theme="1"/>
        <rFont val="Calibri"/>
        <family val="2"/>
        <scheme val="minor"/>
      </rPr>
      <t xml:space="preserve"> ZPVE(corr) </t>
    </r>
  </si>
  <si>
    <r>
      <rPr>
        <b/>
        <sz val="11"/>
        <color theme="1"/>
        <rFont val="Calibri"/>
        <family val="2"/>
        <scheme val="minor"/>
      </rPr>
      <t xml:space="preserve">B3LYP/B1 </t>
    </r>
    <r>
      <rPr>
        <sz val="11"/>
        <color theme="1"/>
        <rFont val="Calibri"/>
        <family val="2"/>
        <scheme val="minor"/>
      </rPr>
      <t xml:space="preserve">H(corr) </t>
    </r>
  </si>
  <si>
    <r>
      <rPr>
        <b/>
        <sz val="11"/>
        <color theme="1"/>
        <rFont val="Calibri"/>
        <family val="2"/>
        <scheme val="minor"/>
      </rPr>
      <t>B3LYP/B1</t>
    </r>
    <r>
      <rPr>
        <sz val="11"/>
        <color theme="1"/>
        <rFont val="Calibri"/>
        <family val="2"/>
        <scheme val="minor"/>
      </rPr>
      <t xml:space="preserve"> G(corr) </t>
    </r>
  </si>
  <si>
    <r>
      <rPr>
        <b/>
        <sz val="11"/>
        <color theme="1"/>
        <rFont val="Calibri"/>
        <family val="2"/>
        <scheme val="minor"/>
      </rPr>
      <t>B3LYP/B1</t>
    </r>
    <r>
      <rPr>
        <sz val="11"/>
        <color theme="1"/>
        <rFont val="Calibri"/>
        <family val="2"/>
        <scheme val="minor"/>
      </rPr>
      <t xml:space="preserve"> -TS(corr) </t>
    </r>
  </si>
  <si>
    <r>
      <rPr>
        <b/>
        <sz val="11"/>
        <color theme="1"/>
        <rFont val="Calibri"/>
        <family val="2"/>
        <scheme val="minor"/>
      </rPr>
      <t xml:space="preserve">B3LYP/B1 </t>
    </r>
    <r>
      <rPr>
        <sz val="11"/>
        <color theme="1"/>
        <rFont val="Calibri"/>
        <family val="2"/>
        <scheme val="minor"/>
      </rPr>
      <t xml:space="preserve">Ee+ZPVE (kCal/mol) </t>
    </r>
  </si>
  <si>
    <r>
      <rPr>
        <b/>
        <sz val="11"/>
        <color theme="1"/>
        <rFont val="Calibri"/>
        <family val="2"/>
        <scheme val="minor"/>
      </rPr>
      <t>B3LYP/B2</t>
    </r>
    <r>
      <rPr>
        <sz val="11"/>
        <color theme="1"/>
        <rFont val="Calibri"/>
        <family val="2"/>
        <scheme val="minor"/>
      </rPr>
      <t>Ee+ZPVE (kCal/mol)</t>
    </r>
  </si>
  <si>
    <r>
      <rPr>
        <b/>
        <sz val="11"/>
        <color theme="1"/>
        <rFont val="Calibri"/>
        <family val="2"/>
        <scheme val="minor"/>
      </rPr>
      <t xml:space="preserve">B3LYP/B3 </t>
    </r>
    <r>
      <rPr>
        <sz val="11"/>
        <color theme="1"/>
        <rFont val="Calibri"/>
        <family val="2"/>
        <scheme val="minor"/>
      </rPr>
      <t xml:space="preserve">Ee+ZPVE (kCal/mol)   </t>
    </r>
  </si>
  <si>
    <r>
      <rPr>
        <b/>
        <sz val="11"/>
        <color theme="1"/>
        <rFont val="Calibri"/>
        <family val="2"/>
        <scheme val="minor"/>
      </rPr>
      <t xml:space="preserve">B3LYP/B3 </t>
    </r>
    <r>
      <rPr>
        <sz val="11"/>
        <color theme="1"/>
        <rFont val="Calibri"/>
        <family val="2"/>
        <scheme val="minor"/>
      </rPr>
      <t xml:space="preserve">H (kCal/mol)   </t>
    </r>
  </si>
  <si>
    <r>
      <rPr>
        <b/>
        <sz val="11"/>
        <color theme="1"/>
        <rFont val="Calibri"/>
        <family val="2"/>
        <scheme val="minor"/>
      </rPr>
      <t xml:space="preserve">B3LYP/B3 </t>
    </r>
    <r>
      <rPr>
        <sz val="11"/>
        <color theme="1"/>
        <rFont val="Calibri"/>
        <family val="2"/>
        <scheme val="minor"/>
      </rPr>
      <t xml:space="preserve">G (kCal/mol) </t>
    </r>
  </si>
  <si>
    <r>
      <rPr>
        <b/>
        <sz val="11"/>
        <color theme="1"/>
        <rFont val="Calibri"/>
        <family val="2"/>
        <scheme val="minor"/>
      </rPr>
      <t xml:space="preserve">B3LYP/B3 </t>
    </r>
    <r>
      <rPr>
        <sz val="11"/>
        <color theme="1"/>
        <rFont val="Calibri"/>
        <family val="2"/>
        <scheme val="minor"/>
      </rPr>
      <t>G+UAKS (kCal/mol)</t>
    </r>
  </si>
  <si>
    <r>
      <t xml:space="preserve">B3LYP/B3 </t>
    </r>
    <r>
      <rPr>
        <sz val="11"/>
        <color theme="1"/>
        <rFont val="Calibri"/>
        <family val="2"/>
        <scheme val="minor"/>
      </rPr>
      <t>G+Bondi (kCal/mol)</t>
    </r>
  </si>
  <si>
    <r>
      <t>B3LYP/B3</t>
    </r>
    <r>
      <rPr>
        <sz val="11"/>
        <color theme="1"/>
        <rFont val="Calibri"/>
        <family val="2"/>
        <scheme val="minor"/>
      </rPr>
      <t xml:space="preserve"> G+Pauling (kCal/mol)</t>
    </r>
  </si>
  <si>
    <t>B3LYP</t>
  </si>
  <si>
    <t>CBS-BB3</t>
  </si>
  <si>
    <t>CBS-BB3 H  (kCal/mol)</t>
  </si>
  <si>
    <t>CBS-BB3 G  (kCal/mol)</t>
  </si>
  <si>
    <t>CBS-BB3 ZPVE  (kCal/mol)</t>
  </si>
  <si>
    <t>TS1(NA)_MeOH_RC</t>
  </si>
  <si>
    <t>TS1(NA)_MeOH_TS</t>
  </si>
  <si>
    <t>MeOH</t>
  </si>
  <si>
    <t xml:space="preserve">CBS-BB3 ZPVE </t>
  </si>
  <si>
    <t xml:space="preserve">CBS-BB3 H  </t>
  </si>
  <si>
    <t xml:space="preserve">CBS-BB3 G  </t>
  </si>
  <si>
    <t>B3 G</t>
  </si>
  <si>
    <t>CBS-QB3</t>
  </si>
  <si>
    <t>delta abs</t>
  </si>
  <si>
    <t>sub=7.3</t>
  </si>
  <si>
    <t>122.4 H2O2</t>
  </si>
  <si>
    <t>0.028 Enz</t>
  </si>
  <si>
    <t>ph=8 Phos</t>
  </si>
  <si>
    <t>dara8</t>
  </si>
  <si>
    <t>data43+48</t>
  </si>
  <si>
    <t>BS_U_TS1</t>
  </si>
  <si>
    <t>M05/B3 S^2</t>
  </si>
  <si>
    <t>M052X/B3 S^2</t>
  </si>
  <si>
    <t>B3LYP/B3 S^2</t>
  </si>
  <si>
    <t>BS_U_TS1 (T single point)</t>
  </si>
  <si>
    <t>structure</t>
  </si>
  <si>
    <t>S**2</t>
  </si>
  <si>
    <t>x</t>
  </si>
  <si>
    <t>BS-UDFT corrected</t>
  </si>
  <si>
    <t>BS-UDFT singlet</t>
  </si>
  <si>
    <t>UDFT triplet</t>
  </si>
  <si>
    <t>DIF kCal/mol</t>
  </si>
  <si>
    <t>exat singlet</t>
  </si>
  <si>
    <t>splitting [kCal/mol]</t>
  </si>
  <si>
    <t>kCal/mol</t>
  </si>
  <si>
    <t>RTln(k(T))  [kCal/mol]</t>
  </si>
  <si>
    <t>good</t>
  </si>
  <si>
    <t>TS1_RC</t>
  </si>
  <si>
    <t>BS_U_TS1 (T SP)</t>
  </si>
  <si>
    <t xml:space="preserve">high </t>
  </si>
  <si>
    <t>medium</t>
  </si>
  <si>
    <t>low</t>
  </si>
  <si>
    <t>RC-(BnOH+H2O2)</t>
  </si>
  <si>
    <t>w</t>
  </si>
  <si>
    <t>kc</t>
  </si>
  <si>
    <t>ku</t>
  </si>
  <si>
    <t>fit 1</t>
  </si>
  <si>
    <t>fit 2</t>
  </si>
  <si>
    <t>fit 3</t>
  </si>
  <si>
    <t>exp</t>
  </si>
  <si>
    <t>B3//B2</t>
  </si>
  <si>
    <t>r/([Enz]) [1/s]</t>
  </si>
  <si>
    <t>rate (lin fit)</t>
  </si>
  <si>
    <t>ph</t>
  </si>
  <si>
    <t>Ad. R^2</t>
  </si>
  <si>
    <t>&lt;a&gt;</t>
  </si>
  <si>
    <t>&lt;I&gt;</t>
  </si>
  <si>
    <t>vmax conf 95</t>
  </si>
  <si>
    <t>min</t>
  </si>
  <si>
    <t>max</t>
  </si>
  <si>
    <t>AP-U/RM05</t>
  </si>
  <si>
    <t>pH  9.70</t>
  </si>
  <si>
    <t>kc/(1+10^(pKa1-x+(-0.51*305*sqrt(y)/(305+a*sqrt(y))))</t>
  </si>
  <si>
    <t>+10^(x-pKa2+(-0.51*4*305*sqrt(y)/(305+2*a*sqrt(y)))))</t>
  </si>
  <si>
    <t>pka1</t>
  </si>
  <si>
    <t>pka2</t>
  </si>
  <si>
    <t>[P-]</t>
  </si>
  <si>
    <t>[p2-]</t>
  </si>
  <si>
    <t>[P3-]</t>
  </si>
  <si>
    <t>I for phosphat + H2O2</t>
  </si>
  <si>
    <t>pKa H2O2</t>
  </si>
  <si>
    <t>F(P) [M]</t>
  </si>
  <si>
    <t>F(H2O2) [M]</t>
  </si>
  <si>
    <t>[HO2-]</t>
  </si>
  <si>
    <t>I [M]</t>
  </si>
  <si>
    <t>z1</t>
  </si>
  <si>
    <t>z2</t>
  </si>
  <si>
    <t>z3</t>
  </si>
  <si>
    <t>I for Borat + H2O2</t>
  </si>
  <si>
    <t>[B-]</t>
  </si>
  <si>
    <t>F(B) [M]</t>
  </si>
  <si>
    <t>weight</t>
  </si>
  <si>
    <t>sqrt(&lt;I&gt;)</t>
  </si>
  <si>
    <t>BS-U/RM05</t>
  </si>
  <si>
    <t>M052X/B4</t>
  </si>
  <si>
    <t>B1=631G(d) B2=631+G(d) B3=631+G(d,p) B4=6311+G(2d,p) B5=6311+G(2df,2p)</t>
  </si>
  <si>
    <t>M05/B5</t>
  </si>
  <si>
    <t>M05/B4</t>
  </si>
  <si>
    <t>M05/B5 S^2</t>
  </si>
  <si>
    <t>M05/B2 UAKS</t>
  </si>
  <si>
    <t>M05/B2 BONDI</t>
  </si>
  <si>
    <t>M05/B2 PAULING</t>
  </si>
  <si>
    <t>M05/B4 S^2</t>
  </si>
  <si>
    <t>B5//B2</t>
  </si>
  <si>
    <t>B5//B2 + UAKS/B2</t>
  </si>
  <si>
    <t>B5//B2 + Bondi/B2</t>
  </si>
  <si>
    <t>B5//B2 + Paulin/gB2</t>
  </si>
  <si>
    <t>ONIOM/B1 BS_U_TS1</t>
  </si>
  <si>
    <t>ONIOM/B1 TS1_RC</t>
  </si>
  <si>
    <t>ONIOM/B2 BS_U_TS1</t>
  </si>
  <si>
    <t>ONIOM/B2 BS_U_TS1 (T SP)</t>
  </si>
  <si>
    <t>ONIOM/B2 TS1_RC</t>
  </si>
  <si>
    <t>AP-U/RM052X</t>
  </si>
  <si>
    <t>BS-U/RM052X</t>
  </si>
  <si>
    <t>AP-U/RB3LYP</t>
  </si>
  <si>
    <t>BS-U/RB3LYP</t>
  </si>
  <si>
    <t>B3//B2 + Bondi/B2</t>
  </si>
  <si>
    <t>B3//B2 + UAKS/B2</t>
  </si>
  <si>
    <t>B3//B2 + Pauling/B2</t>
  </si>
  <si>
    <t>B5//B2 + Pauling/B2</t>
  </si>
  <si>
    <t>B5//ONIOM/B2 + Bond1/B1</t>
  </si>
  <si>
    <t>B4//ONIOM/B1 + Bondi/B1</t>
  </si>
  <si>
    <t>B3//ONIOM/B1 + Bondi/B1</t>
  </si>
  <si>
    <t>ONIOM/B1. BS_U_TS1 (T SP)</t>
  </si>
  <si>
    <t>B5//ONIOM/B1 + Bond/iB2</t>
  </si>
  <si>
    <t>B5//ONIOM/B1 + Bond1/B1</t>
  </si>
  <si>
    <t>B5//ONIOM/B2 + Bondi/B2</t>
  </si>
  <si>
    <r>
      <rPr>
        <b/>
        <sz val="11"/>
        <color theme="1"/>
        <rFont val="Calibri"/>
        <family val="2"/>
        <scheme val="minor"/>
      </rPr>
      <t xml:space="preserve">M05 </t>
    </r>
    <r>
      <rPr>
        <i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(1/cm)</t>
    </r>
  </si>
  <si>
    <r>
      <rPr>
        <b/>
        <sz val="11"/>
        <color theme="1"/>
        <rFont val="Calibri"/>
        <family val="2"/>
        <scheme val="minor"/>
      </rPr>
      <t>M05</t>
    </r>
    <r>
      <rPr>
        <sz val="11"/>
        <color theme="1"/>
        <rFont val="Calibri"/>
        <family val="2"/>
        <scheme val="minor"/>
      </rPr>
      <t xml:space="preserve"> ZPVE(corr) </t>
    </r>
  </si>
  <si>
    <r>
      <rPr>
        <b/>
        <sz val="11"/>
        <color theme="1"/>
        <rFont val="Calibri"/>
        <family val="2"/>
        <scheme val="minor"/>
      </rPr>
      <t xml:space="preserve">M05 </t>
    </r>
    <r>
      <rPr>
        <sz val="11"/>
        <color theme="1"/>
        <rFont val="Calibri"/>
        <family val="2"/>
        <scheme val="minor"/>
      </rPr>
      <t xml:space="preserve">H(corr) </t>
    </r>
  </si>
  <si>
    <r>
      <rPr>
        <b/>
        <sz val="11"/>
        <color theme="1"/>
        <rFont val="Calibri"/>
        <family val="2"/>
        <scheme val="minor"/>
      </rPr>
      <t>M05</t>
    </r>
    <r>
      <rPr>
        <sz val="11"/>
        <color theme="1"/>
        <rFont val="Calibri"/>
        <family val="2"/>
        <scheme val="minor"/>
      </rPr>
      <t xml:space="preserve"> G(corr) </t>
    </r>
  </si>
  <si>
    <t>B4//ONIOM/B2 + Bondi/B1</t>
  </si>
  <si>
    <t>B3//ONIOM/B2 + Bondi/B1</t>
  </si>
  <si>
    <t>ONIOM/B2 BnOH</t>
  </si>
  <si>
    <t>ONIOM/B1 BnOH</t>
  </si>
  <si>
    <r>
      <rPr>
        <b/>
        <sz val="11"/>
        <color theme="1"/>
        <rFont val="Calibri"/>
        <family val="2"/>
        <scheme val="minor"/>
      </rPr>
      <t>M05</t>
    </r>
    <r>
      <rPr>
        <sz val="11"/>
        <color theme="1"/>
        <rFont val="Calibri"/>
        <family val="2"/>
        <scheme val="minor"/>
      </rPr>
      <t xml:space="preserve"> -TS(corr) </t>
    </r>
  </si>
  <si>
    <r>
      <rPr>
        <b/>
        <sz val="11"/>
        <color theme="1"/>
        <rFont val="Calibri"/>
        <family val="2"/>
        <scheme val="minor"/>
      </rPr>
      <t xml:space="preserve">M05/B3 </t>
    </r>
    <r>
      <rPr>
        <sz val="11"/>
        <color theme="1"/>
        <rFont val="Calibri"/>
        <family val="2"/>
        <scheme val="minor"/>
      </rPr>
      <t>Ee+ZPVE (kCal/mol)</t>
    </r>
  </si>
  <si>
    <r>
      <rPr>
        <b/>
        <sz val="11"/>
        <color theme="1"/>
        <rFont val="Calibri"/>
        <family val="2"/>
        <scheme val="minor"/>
      </rPr>
      <t xml:space="preserve">M05/B2 </t>
    </r>
    <r>
      <rPr>
        <sz val="11"/>
        <color theme="1"/>
        <rFont val="Calibri"/>
        <family val="2"/>
        <scheme val="minor"/>
      </rPr>
      <t xml:space="preserve">Ee+ZPVE (kCal/mol) </t>
    </r>
  </si>
  <si>
    <r>
      <rPr>
        <b/>
        <sz val="11"/>
        <color theme="1"/>
        <rFont val="Calibri"/>
        <family val="2"/>
        <scheme val="minor"/>
      </rPr>
      <t xml:space="preserve">M05/B5 </t>
    </r>
    <r>
      <rPr>
        <sz val="11"/>
        <color theme="1"/>
        <rFont val="Calibri"/>
        <family val="2"/>
        <scheme val="minor"/>
      </rPr>
      <t xml:space="preserve">Ee+ZPVE (kCal/mol)   </t>
    </r>
  </si>
  <si>
    <r>
      <rPr>
        <b/>
        <sz val="11"/>
        <color theme="1"/>
        <rFont val="Calibri"/>
        <family val="2"/>
        <scheme val="minor"/>
      </rPr>
      <t xml:space="preserve">M05/B5 </t>
    </r>
    <r>
      <rPr>
        <sz val="11"/>
        <color theme="1"/>
        <rFont val="Calibri"/>
        <family val="2"/>
        <scheme val="minor"/>
      </rPr>
      <t xml:space="preserve">H (kCal/mol)   </t>
    </r>
  </si>
  <si>
    <r>
      <rPr>
        <b/>
        <sz val="11"/>
        <color theme="1"/>
        <rFont val="Calibri"/>
        <family val="2"/>
        <scheme val="minor"/>
      </rPr>
      <t xml:space="preserve">M05/B5 </t>
    </r>
    <r>
      <rPr>
        <sz val="11"/>
        <color theme="1"/>
        <rFont val="Calibri"/>
        <family val="2"/>
        <scheme val="minor"/>
      </rPr>
      <t xml:space="preserve">G (kCal/mol) </t>
    </r>
  </si>
  <si>
    <r>
      <rPr>
        <b/>
        <sz val="11"/>
        <color theme="1"/>
        <rFont val="Calibri"/>
        <family val="2"/>
        <scheme val="minor"/>
      </rPr>
      <t xml:space="preserve">M05/B5 </t>
    </r>
    <r>
      <rPr>
        <sz val="11"/>
        <color theme="1"/>
        <rFont val="Calibri"/>
        <family val="2"/>
        <scheme val="minor"/>
      </rPr>
      <t>G+UAKS/B2 (kCal/mol)</t>
    </r>
  </si>
  <si>
    <r>
      <t xml:space="preserve">M05/B5 </t>
    </r>
    <r>
      <rPr>
        <sz val="11"/>
        <color theme="1"/>
        <rFont val="Calibri"/>
        <family val="2"/>
        <scheme val="minor"/>
      </rPr>
      <t>G+Bondi/B2 (kCal/mol)</t>
    </r>
  </si>
  <si>
    <r>
      <t>M05/B5</t>
    </r>
    <r>
      <rPr>
        <sz val="11"/>
        <color theme="1"/>
        <rFont val="Calibri"/>
        <family val="2"/>
        <scheme val="minor"/>
      </rPr>
      <t xml:space="preserve"> G+Pauling/B2 (kCal/mol)</t>
    </r>
  </si>
  <si>
    <r>
      <t xml:space="preserve">M05/B5 </t>
    </r>
    <r>
      <rPr>
        <sz val="11"/>
        <color theme="1"/>
        <rFont val="Calibri"/>
        <family val="2"/>
        <scheme val="minor"/>
      </rPr>
      <t>G+Bondi/B1 (kCal/mol)</t>
    </r>
  </si>
  <si>
    <r>
      <t xml:space="preserve">M05/B4 </t>
    </r>
    <r>
      <rPr>
        <sz val="11"/>
        <color theme="1"/>
        <rFont val="Calibri"/>
        <family val="2"/>
        <scheme val="minor"/>
      </rPr>
      <t>G+Bondi/B1 (kCal/mol)</t>
    </r>
  </si>
  <si>
    <r>
      <t xml:space="preserve">M05/B3 </t>
    </r>
    <r>
      <rPr>
        <sz val="11"/>
        <color theme="1"/>
        <rFont val="Calibri"/>
        <family val="2"/>
        <scheme val="minor"/>
      </rPr>
      <t>G+Bondi/B1 (kCal/mol)</t>
    </r>
  </si>
  <si>
    <t>HO2(-)</t>
  </si>
  <si>
    <t>ONIOM/B2 TS1(-)</t>
  </si>
  <si>
    <t>ONIOM/B2 TS1(-)_T</t>
  </si>
  <si>
    <t>ONIOM/B2 TS1(-)_RC</t>
  </si>
  <si>
    <t>DGb_TS1</t>
  </si>
  <si>
    <t>DGa_TS1</t>
  </si>
  <si>
    <t>(DGb+Dga)_TS1</t>
  </si>
  <si>
    <t>DGb_TS1(-)</t>
  </si>
  <si>
    <t>DGa_TS1(-)</t>
  </si>
  <si>
    <t>(DGb+Dga)_TS1(-)</t>
  </si>
  <si>
    <t>BS_U_TS1(-)</t>
  </si>
  <si>
    <t>BS_U_TS1(-)_(T)</t>
  </si>
  <si>
    <t>TS1(-1)_RC</t>
  </si>
  <si>
    <t>AD(DGa)</t>
  </si>
  <si>
    <t>AD(exp)</t>
  </si>
  <si>
    <t>DGb_TS1(Na)</t>
  </si>
  <si>
    <t>DGa_TS1(NA)</t>
  </si>
  <si>
    <t>(DGb+Dga)_TS1(Na)</t>
  </si>
  <si>
    <t>ONIOM/B1 TS1(-)</t>
  </si>
  <si>
    <t>ONIOM/B1 TS1(-)_T</t>
  </si>
  <si>
    <t>ONIOM/B1 TS1(-)_RC</t>
  </si>
  <si>
    <t>H2O2*2H2O</t>
  </si>
  <si>
    <t>H2O2*2H2O_TS</t>
  </si>
  <si>
    <t>Wateroxide*2H2O_A</t>
  </si>
  <si>
    <t>OOH2_TS_RC</t>
  </si>
  <si>
    <t>OOH2_TS</t>
  </si>
  <si>
    <t>Km CI95%</t>
  </si>
  <si>
    <t>kcat-min</t>
  </si>
  <si>
    <t>H2O2*4H2O</t>
  </si>
  <si>
    <t>Wateroxide*4H2O_TS</t>
  </si>
  <si>
    <t>Wateroxide*4H2O</t>
  </si>
  <si>
    <t>kcatx10^6</t>
  </si>
  <si>
    <t>kact</t>
  </si>
  <si>
    <t>min*10¨6</t>
  </si>
  <si>
    <t>wefrkwfas</t>
  </si>
  <si>
    <t>csdas</t>
  </si>
  <si>
    <t>maxE6</t>
  </si>
  <si>
    <t>I for pyrophosphat + H2O2</t>
  </si>
  <si>
    <t>[2P4-]</t>
  </si>
  <si>
    <t>[2p3-]</t>
  </si>
  <si>
    <t>[2P2-]</t>
  </si>
  <si>
    <t>F(2P) [M]</t>
  </si>
  <si>
    <t>P1 + P2</t>
  </si>
  <si>
    <t>[P1] M</t>
  </si>
  <si>
    <t>[P2] M</t>
  </si>
  <si>
    <t>data137</t>
  </si>
  <si>
    <t>data148</t>
  </si>
  <si>
    <t>data138</t>
  </si>
  <si>
    <t>data139</t>
  </si>
  <si>
    <t>data140</t>
  </si>
  <si>
    <t>data147</t>
  </si>
  <si>
    <t>Time from 0 to 3000 s</t>
  </si>
  <si>
    <t>data141</t>
  </si>
  <si>
    <t>data142</t>
  </si>
  <si>
    <t>data143</t>
  </si>
  <si>
    <t>data146</t>
  </si>
  <si>
    <t>data145</t>
  </si>
  <si>
    <t>data144</t>
  </si>
  <si>
    <t>OOH2_TS_H2O</t>
  </si>
  <si>
    <t>OOH2_TS_H2O_RC</t>
  </si>
  <si>
    <t>BS_U_OOH2_TS</t>
  </si>
  <si>
    <t>U_OOH2_TS_T</t>
  </si>
  <si>
    <t>H2O2*5H2O</t>
  </si>
  <si>
    <t>Wateroxide*5H2O</t>
  </si>
  <si>
    <t>OOH2_NA_TS</t>
  </si>
  <si>
    <t>OOH2_NA_TS_RC</t>
  </si>
  <si>
    <t>NA(+)H2O2</t>
  </si>
  <si>
    <t>NA(+)OOH2</t>
  </si>
  <si>
    <t>H2O2_NA_TS_RC</t>
  </si>
  <si>
    <t>H2O2_NA_TS</t>
  </si>
  <si>
    <t>H2O2_NA_TS_T</t>
  </si>
  <si>
    <t>OOH2</t>
  </si>
  <si>
    <t>TS_O2_T</t>
  </si>
  <si>
    <t>TS_O2_RC_T</t>
  </si>
  <si>
    <t>M05/B1</t>
  </si>
  <si>
    <t xml:space="preserve">B1=631G(d) B2=6311+G(2d,p) </t>
  </si>
  <si>
    <t>M05/B2 S^2</t>
  </si>
  <si>
    <r>
      <rPr>
        <b/>
        <sz val="11"/>
        <color theme="1"/>
        <rFont val="Calibri"/>
        <family val="2"/>
        <scheme val="minor"/>
      </rPr>
      <t xml:space="preserve">M05/B2 </t>
    </r>
    <r>
      <rPr>
        <sz val="11"/>
        <color theme="1"/>
        <rFont val="Calibri"/>
        <family val="2"/>
        <scheme val="minor"/>
      </rPr>
      <t xml:space="preserve">G (kCal/mol) </t>
    </r>
  </si>
  <si>
    <r>
      <t xml:space="preserve">M05/B2 </t>
    </r>
    <r>
      <rPr>
        <sz val="11"/>
        <color theme="1"/>
        <rFont val="Calibri"/>
        <family val="2"/>
        <scheme val="minor"/>
      </rPr>
      <t>G+Bondi/B1 (kCal/mol)</t>
    </r>
  </si>
  <si>
    <t>E2_TS1_S</t>
  </si>
  <si>
    <t>E2_TS1_T</t>
  </si>
  <si>
    <r>
      <rPr>
        <b/>
        <sz val="11"/>
        <color theme="1"/>
        <rFont val="Calibri"/>
        <family val="2"/>
        <scheme val="minor"/>
      </rPr>
      <t xml:space="preserve">M05/B2 </t>
    </r>
    <r>
      <rPr>
        <sz val="11"/>
        <color theme="1"/>
        <rFont val="Calibri"/>
        <family val="2"/>
        <scheme val="minor"/>
      </rPr>
      <t xml:space="preserve">H+Bondi (kCal/mol)   </t>
    </r>
  </si>
  <si>
    <t>E2_TS1_RC_B</t>
  </si>
  <si>
    <t>E2_TS1_RC_A</t>
  </si>
  <si>
    <t>NA2O2_TS_RC</t>
  </si>
  <si>
    <t>NA2O2_TS</t>
  </si>
  <si>
    <r>
      <t>R*ln(kcat*h/Km*T*k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)</t>
    </r>
  </si>
  <si>
    <t>R*ln(kcat*h/T*kB)</t>
  </si>
  <si>
    <t>s/2</t>
  </si>
  <si>
    <t>pH = 7.0</t>
  </si>
  <si>
    <t>pH = 8.0</t>
  </si>
  <si>
    <t>range: 0-&gt;620 s</t>
  </si>
  <si>
    <t>0.05 M</t>
  </si>
  <si>
    <t>85 mM</t>
  </si>
  <si>
    <t>50 mM</t>
  </si>
  <si>
    <t>200 s</t>
  </si>
  <si>
    <t>fit range</t>
  </si>
  <si>
    <t>400 s</t>
  </si>
  <si>
    <t>1/s</t>
  </si>
  <si>
    <t>fit range [s]</t>
  </si>
  <si>
    <t>1000 smooth</t>
  </si>
  <si>
    <t>200 smooth</t>
  </si>
  <si>
    <t>sub ph 8</t>
  </si>
  <si>
    <t>Benzyl alcohol phosphoric</t>
  </si>
  <si>
    <t>SS_smooth</t>
  </si>
  <si>
    <t>bad curv</t>
  </si>
  <si>
    <t>5*s/2</t>
  </si>
  <si>
    <t>s/2 large</t>
  </si>
  <si>
    <t xml:space="preserve">  a = </t>
  </si>
  <si>
    <t xml:space="preserve">  b =     </t>
  </si>
  <si>
    <t xml:space="preserve"> f(x) = </t>
  </si>
  <si>
    <t xml:space="preserve"> (a*K*sqrt(1+4*x/K)-a*K)/(b+x)</t>
  </si>
  <si>
    <t>K=</t>
  </si>
  <si>
    <r>
      <rPr>
        <b/>
        <sz val="11"/>
        <color theme="1"/>
        <rFont val="Calibri"/>
        <family val="2"/>
        <scheme val="minor"/>
      </rPr>
      <t>B1</t>
    </r>
    <r>
      <rPr>
        <sz val="11"/>
        <color theme="1"/>
        <rFont val="Calibri"/>
        <family val="2"/>
        <scheme val="minor"/>
      </rPr>
      <t xml:space="preserve"> E(elec) (He/particle)</t>
    </r>
  </si>
  <si>
    <t>&lt;S^2&gt; B3(LS)</t>
  </si>
  <si>
    <r>
      <rPr>
        <b/>
        <sz val="11"/>
        <color theme="1"/>
        <rFont val="Calibri"/>
        <family val="2"/>
        <scheme val="minor"/>
      </rPr>
      <t xml:space="preserve">B1 </t>
    </r>
    <r>
      <rPr>
        <sz val="11"/>
        <color theme="1"/>
        <rFont val="Calibri"/>
        <family val="2"/>
        <scheme val="minor"/>
      </rPr>
      <t xml:space="preserve">reaction coordinate </t>
    </r>
    <r>
      <rPr>
        <i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(1/cm)</t>
    </r>
  </si>
  <si>
    <t>Rotational symmetry number</t>
  </si>
  <si>
    <r>
      <rPr>
        <b/>
        <sz val="11"/>
        <color theme="1"/>
        <rFont val="Calibri"/>
        <family val="2"/>
        <scheme val="minor"/>
      </rPr>
      <t xml:space="preserve">B1 </t>
    </r>
    <r>
      <rPr>
        <sz val="11"/>
        <color theme="1"/>
        <rFont val="Calibri"/>
        <family val="2"/>
        <scheme val="minor"/>
      </rPr>
      <t>ZPVE(corr) (H/particle)</t>
    </r>
  </si>
  <si>
    <r>
      <rPr>
        <b/>
        <sz val="11"/>
        <color theme="1"/>
        <rFont val="Calibri"/>
        <family val="2"/>
        <scheme val="minor"/>
      </rPr>
      <t>B1</t>
    </r>
    <r>
      <rPr>
        <sz val="11"/>
        <color theme="1"/>
        <rFont val="Calibri"/>
        <family val="2"/>
        <scheme val="minor"/>
      </rPr>
      <t xml:space="preserve"> H(corr) (H/particle)</t>
    </r>
  </si>
  <si>
    <r>
      <rPr>
        <b/>
        <sz val="11"/>
        <color theme="1"/>
        <rFont val="Calibri"/>
        <family val="2"/>
        <scheme val="minor"/>
      </rPr>
      <t xml:space="preserve">B1 </t>
    </r>
    <r>
      <rPr>
        <sz val="11"/>
        <color theme="1"/>
        <rFont val="Calibri"/>
        <family val="2"/>
        <scheme val="minor"/>
      </rPr>
      <t xml:space="preserve"> G(corr) (He/particle)</t>
    </r>
  </si>
  <si>
    <t>H2O</t>
  </si>
  <si>
    <t>RTln(k(T))  [kJ/mol]</t>
  </si>
  <si>
    <r>
      <rPr>
        <b/>
        <sz val="11"/>
        <color theme="1"/>
        <rFont val="Calibri"/>
        <family val="2"/>
      </rPr>
      <t>∆Gsolv AQ(LS)</t>
    </r>
    <r>
      <rPr>
        <sz val="11"/>
        <color theme="1"/>
        <rFont val="Calibri"/>
        <family val="2"/>
        <scheme val="minor"/>
      </rPr>
      <t xml:space="preserve"> (kCal/mol) </t>
    </r>
  </si>
  <si>
    <r>
      <rPr>
        <b/>
        <sz val="11"/>
        <color theme="1"/>
        <rFont val="Calibri"/>
        <family val="2"/>
      </rPr>
      <t>∆Gsolv AQ(HS)</t>
    </r>
    <r>
      <rPr>
        <sz val="11"/>
        <color theme="1"/>
        <rFont val="Calibri"/>
        <family val="2"/>
        <scheme val="minor"/>
      </rPr>
      <t xml:space="preserve"> (kCal/mol) </t>
    </r>
  </si>
  <si>
    <t>∆Gsolv AQ(LS) &lt;S^2&gt;</t>
  </si>
  <si>
    <t>DFT=R(U)B3LYP, scrf=B1/CPCM(bondi)//B3LYP/B1, B1=6-31G(d). B2=6-31+(d). B3=631+G(d,p). B4=6311+G(2d,p). B5=6311+G(2df,2p). B6=6311++G(3df,3p) T=298.15</t>
  </si>
  <si>
    <r>
      <rPr>
        <b/>
        <sz val="11"/>
        <color theme="1"/>
        <rFont val="Calibri"/>
        <family val="2"/>
        <scheme val="minor"/>
      </rPr>
      <t>B3(LS)</t>
    </r>
    <r>
      <rPr>
        <sz val="11"/>
        <color theme="1"/>
        <rFont val="Calibri"/>
        <family val="2"/>
        <scheme val="minor"/>
      </rPr>
      <t xml:space="preserve"> E(elec) (He/particle)</t>
    </r>
  </si>
  <si>
    <r>
      <rPr>
        <b/>
        <sz val="11"/>
        <color theme="1"/>
        <rFont val="Calibri"/>
        <family val="2"/>
        <scheme val="minor"/>
      </rPr>
      <t>B3(HS)</t>
    </r>
    <r>
      <rPr>
        <sz val="11"/>
        <color theme="1"/>
        <rFont val="Calibri"/>
        <family val="2"/>
        <scheme val="minor"/>
      </rPr>
      <t xml:space="preserve"> E(elec) (He/particle)</t>
    </r>
  </si>
  <si>
    <r>
      <rPr>
        <b/>
        <sz val="11"/>
        <color theme="1"/>
        <rFont val="Calibri"/>
        <family val="2"/>
        <scheme val="minor"/>
      </rPr>
      <t>B4(LS)</t>
    </r>
    <r>
      <rPr>
        <sz val="11"/>
        <color theme="1"/>
        <rFont val="Calibri"/>
        <family val="2"/>
        <scheme val="minor"/>
      </rPr>
      <t xml:space="preserve">  E(elec) (He/particle)</t>
    </r>
  </si>
  <si>
    <r>
      <rPr>
        <b/>
        <sz val="11"/>
        <color theme="1"/>
        <rFont val="Calibri"/>
        <family val="2"/>
        <scheme val="minor"/>
      </rPr>
      <t>B4(HS)</t>
    </r>
    <r>
      <rPr>
        <sz val="11"/>
        <color theme="1"/>
        <rFont val="Calibri"/>
        <family val="2"/>
        <scheme val="minor"/>
      </rPr>
      <t xml:space="preserve">  E(elec) (He/particle)</t>
    </r>
  </si>
  <si>
    <t>&lt;S^2&gt; B4(LS)</t>
  </si>
  <si>
    <r>
      <rPr>
        <b/>
        <sz val="11"/>
        <color theme="1"/>
        <rFont val="Calibri"/>
        <family val="2"/>
        <scheme val="minor"/>
      </rPr>
      <t>B5(LS)</t>
    </r>
    <r>
      <rPr>
        <sz val="11"/>
        <color theme="1"/>
        <rFont val="Calibri"/>
        <family val="2"/>
        <scheme val="minor"/>
      </rPr>
      <t xml:space="preserve">  E(elec) (He/particle)</t>
    </r>
  </si>
  <si>
    <r>
      <rPr>
        <b/>
        <sz val="11"/>
        <color theme="1"/>
        <rFont val="Calibri"/>
        <family val="2"/>
        <scheme val="minor"/>
      </rPr>
      <t>B5(HS)</t>
    </r>
    <r>
      <rPr>
        <sz val="11"/>
        <color theme="1"/>
        <rFont val="Calibri"/>
        <family val="2"/>
        <scheme val="minor"/>
      </rPr>
      <t xml:space="preserve">  E(elec) (He/particle)</t>
    </r>
  </si>
  <si>
    <t>&lt;S^2&gt; B5(LS)</t>
  </si>
  <si>
    <r>
      <rPr>
        <b/>
        <sz val="11"/>
        <color theme="1"/>
        <rFont val="Calibri"/>
        <family val="2"/>
        <scheme val="minor"/>
      </rPr>
      <t>B6(LS)</t>
    </r>
    <r>
      <rPr>
        <sz val="11"/>
        <color theme="1"/>
        <rFont val="Calibri"/>
        <family val="2"/>
        <scheme val="minor"/>
      </rPr>
      <t xml:space="preserve">  E(elec) (He/particle)</t>
    </r>
  </si>
  <si>
    <r>
      <rPr>
        <b/>
        <sz val="11"/>
        <color theme="1"/>
        <rFont val="Calibri"/>
        <family val="2"/>
        <scheme val="minor"/>
      </rPr>
      <t>B6(HS)</t>
    </r>
    <r>
      <rPr>
        <sz val="11"/>
        <color theme="1"/>
        <rFont val="Calibri"/>
        <family val="2"/>
        <scheme val="minor"/>
      </rPr>
      <t xml:space="preserve">  E(elec) (He/particle)</t>
    </r>
  </si>
  <si>
    <t>&lt;S^2&gt; B6(LS)</t>
  </si>
  <si>
    <t>AP-H(B3/B1) (kCal/mol)</t>
  </si>
  <si>
    <t>BS-H(B3/B1) (kCal/mol)</t>
  </si>
  <si>
    <t>BS-H(B4/B1) (kCal/mol)</t>
  </si>
  <si>
    <t>AP-H(B4/B1) (kCal/mol)</t>
  </si>
  <si>
    <t>BS-H(B5/B1) (kCal/mol)</t>
  </si>
  <si>
    <t>AP-H(B5/B1) (kCal/mol)</t>
  </si>
  <si>
    <t>BS-H(B6/B1) (kCal/mol)</t>
  </si>
  <si>
    <t>AP-H(B6/B1) (kCal/mol)</t>
  </si>
  <si>
    <t>solv BS-H(B1/B1) (kCal/mol)</t>
  </si>
  <si>
    <t>solv AP-H(B1/B1) (kCal/mol)</t>
  </si>
  <si>
    <t>H2O2_TS</t>
  </si>
  <si>
    <t>HO2(-)*H2O2_TS</t>
  </si>
  <si>
    <t>HO2(-)*H2O2_PC</t>
  </si>
  <si>
    <t>HO2(-)*H2O2_RC</t>
  </si>
  <si>
    <t>NaHO2_RC</t>
  </si>
  <si>
    <t>NaHO2_TS</t>
  </si>
  <si>
    <t>NaHO2_PC</t>
  </si>
  <si>
    <t>HO2(-)*2H2O_TS</t>
  </si>
  <si>
    <t>HO2(-)*2H2O_RC</t>
  </si>
  <si>
    <t>HO2(-)*2H2O_PC</t>
  </si>
  <si>
    <t>AP-solv</t>
  </si>
  <si>
    <t>H2O2*2H2O_RC</t>
  </si>
  <si>
    <t>H2O2*H2O2_TS</t>
  </si>
  <si>
    <t>H2O2*H2O2_RC</t>
  </si>
  <si>
    <t>H2O2*H2O2_PC</t>
  </si>
  <si>
    <t>Structure/B1</t>
  </si>
  <si>
    <t>Structure/B2</t>
  </si>
  <si>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 xml:space="preserve"> E(elec) (He/particle)</t>
    </r>
  </si>
  <si>
    <r>
      <rPr>
        <b/>
        <sz val="11"/>
        <color theme="1"/>
        <rFont val="Calibri"/>
        <family val="2"/>
        <scheme val="minor"/>
      </rPr>
      <t xml:space="preserve">B2 </t>
    </r>
    <r>
      <rPr>
        <sz val="11"/>
        <color theme="1"/>
        <rFont val="Calibri"/>
        <family val="2"/>
        <scheme val="minor"/>
      </rPr>
      <t>ZPVE(corr) (H/particle)</t>
    </r>
  </si>
  <si>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 xml:space="preserve"> H(corr) (H/particle)</t>
    </r>
  </si>
  <si>
    <r>
      <rPr>
        <b/>
        <sz val="11"/>
        <color theme="1"/>
        <rFont val="Calibri"/>
        <family val="2"/>
        <scheme val="minor"/>
      </rPr>
      <t xml:space="preserve">B2 </t>
    </r>
    <r>
      <rPr>
        <sz val="11"/>
        <color theme="1"/>
        <rFont val="Calibri"/>
        <family val="2"/>
        <scheme val="minor"/>
      </rPr>
      <t xml:space="preserve"> G(corr) (He/particle)</t>
    </r>
  </si>
  <si>
    <r>
      <rPr>
        <b/>
        <sz val="11"/>
        <color theme="1"/>
        <rFont val="Calibri"/>
        <family val="2"/>
        <scheme val="minor"/>
      </rPr>
      <t>B1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</rPr>
      <t>∆Gsolv AQ(LS)</t>
    </r>
    <r>
      <rPr>
        <sz val="11"/>
        <color theme="1"/>
        <rFont val="Calibri"/>
        <family val="2"/>
        <scheme val="minor"/>
      </rPr>
      <t xml:space="preserve"> (kCal/mol) </t>
    </r>
  </si>
  <si>
    <r>
      <rPr>
        <b/>
        <sz val="11"/>
        <color theme="1"/>
        <rFont val="Calibri"/>
        <family val="2"/>
      </rPr>
      <t>B1 ∆Gsolv AQ(HS)</t>
    </r>
    <r>
      <rPr>
        <sz val="11"/>
        <color theme="1"/>
        <rFont val="Calibri"/>
        <family val="2"/>
        <scheme val="minor"/>
      </rPr>
      <t xml:space="preserve"> (kCal/mol) </t>
    </r>
  </si>
  <si>
    <r>
      <rPr>
        <b/>
        <sz val="11"/>
        <color theme="1"/>
        <rFont val="Calibri"/>
        <family val="2"/>
        <scheme val="minor"/>
      </rPr>
      <t xml:space="preserve">B2 </t>
    </r>
    <r>
      <rPr>
        <sz val="11"/>
        <color theme="1"/>
        <rFont val="Calibri"/>
        <family val="2"/>
        <scheme val="minor"/>
      </rPr>
      <t xml:space="preserve">reaction coordinate </t>
    </r>
    <r>
      <rPr>
        <i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(1/cm)</t>
    </r>
  </si>
  <si>
    <t>B1 ∆Gsolv AQ(LS) &lt;S^2&gt;</t>
  </si>
  <si>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</rPr>
      <t>∆Gsolv AQ(LS)</t>
    </r>
    <r>
      <rPr>
        <sz val="11"/>
        <color theme="1"/>
        <rFont val="Calibri"/>
        <family val="2"/>
        <scheme val="minor"/>
      </rPr>
      <t xml:space="preserve"> (kCal/mol) </t>
    </r>
  </si>
  <si>
    <r>
      <rPr>
        <b/>
        <sz val="11"/>
        <color theme="1"/>
        <rFont val="Calibri"/>
        <family val="2"/>
      </rPr>
      <t>B2 ∆Gsolv AQ(HS)</t>
    </r>
    <r>
      <rPr>
        <sz val="11"/>
        <color theme="1"/>
        <rFont val="Calibri"/>
        <family val="2"/>
        <scheme val="minor"/>
      </rPr>
      <t xml:space="preserve"> (kCal/mol) </t>
    </r>
  </si>
  <si>
    <t>B2 ∆Gsolv AQ(LS) &lt;S^2&gt;</t>
  </si>
  <si>
    <t>solv BS-H(B2/B2) (kCal/mol)</t>
  </si>
  <si>
    <t>solv AP-H(B2/B2) (kCal/mol)</t>
  </si>
  <si>
    <t>O2(2-)*2H2O_TS</t>
  </si>
  <si>
    <t>O2(2-)*2H2O_RC</t>
  </si>
  <si>
    <t>HO2(-)_TS</t>
  </si>
  <si>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 xml:space="preserve"> TS(corr) (kCal/mol)</t>
    </r>
  </si>
  <si>
    <r>
      <rPr>
        <b/>
        <sz val="11"/>
        <color theme="1"/>
        <rFont val="Calibri"/>
        <family val="2"/>
        <scheme val="minor"/>
      </rPr>
      <t>B1</t>
    </r>
    <r>
      <rPr>
        <sz val="11"/>
        <color theme="1"/>
        <rFont val="Calibri"/>
        <family val="2"/>
        <scheme val="minor"/>
      </rPr>
      <t xml:space="preserve"> TS(corr) (kCal/mol)</t>
    </r>
  </si>
  <si>
    <t>b3lyp</t>
  </si>
  <si>
    <t>m05</t>
  </si>
  <si>
    <t>HO2(-)*H2O_RC</t>
  </si>
  <si>
    <t>HO2(-)*H2O_TS</t>
  </si>
  <si>
    <t>H2O2*H2O_RC</t>
  </si>
  <si>
    <t>H2O2*H2O_TS</t>
  </si>
  <si>
    <t>DFT=R(U)M05, scrf=B1/CPCM(bondi)//M05/B1, B1=6-31G(d). B2=6-31+(d). B3=631+G(d,p). B4=6311+G(2d,p). B5=6311+G(2df,2p). B6=6311++G(3df,3p) T=298.15</t>
  </si>
  <si>
    <t>m052x</t>
  </si>
  <si>
    <t>DFT=R(U)B3LYP, scrf=B1/CPCM(bondi)//B3LYP/B1, B1=6-31G(d). B2=6-31+(d). B3=631+G(d,p). B4=6311+G(2d,p). B5=6311+G(2df,2p). B6=6311++G(3df,3pd) T=298.15</t>
  </si>
  <si>
    <t xml:space="preserve">                                          </t>
  </si>
  <si>
    <t>Structure/B3</t>
  </si>
  <si>
    <r>
      <rPr>
        <b/>
        <sz val="11"/>
        <color theme="1"/>
        <rFont val="Calibri"/>
        <family val="2"/>
        <scheme val="minor"/>
      </rPr>
      <t xml:space="preserve">B3 </t>
    </r>
    <r>
      <rPr>
        <sz val="11"/>
        <color theme="1"/>
        <rFont val="Calibri"/>
        <family val="2"/>
        <scheme val="minor"/>
      </rPr>
      <t xml:space="preserve">reaction coordinate </t>
    </r>
    <r>
      <rPr>
        <i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(1/cm)</t>
    </r>
  </si>
  <si>
    <r>
      <rPr>
        <b/>
        <sz val="11"/>
        <color theme="1"/>
        <rFont val="Calibri"/>
        <family val="2"/>
        <scheme val="minor"/>
      </rPr>
      <t xml:space="preserve">B3 </t>
    </r>
    <r>
      <rPr>
        <sz val="11"/>
        <color theme="1"/>
        <rFont val="Calibri"/>
        <family val="2"/>
        <scheme val="minor"/>
      </rPr>
      <t>ZPVE(corr) (H/particle)</t>
    </r>
  </si>
  <si>
    <r>
      <rPr>
        <b/>
        <sz val="11"/>
        <color theme="1"/>
        <rFont val="Calibri"/>
        <family val="2"/>
        <scheme val="minor"/>
      </rPr>
      <t>B3</t>
    </r>
    <r>
      <rPr>
        <sz val="11"/>
        <color theme="1"/>
        <rFont val="Calibri"/>
        <family val="2"/>
        <scheme val="minor"/>
      </rPr>
      <t xml:space="preserve"> H(corr) (H/particle)</t>
    </r>
  </si>
  <si>
    <r>
      <rPr>
        <b/>
        <sz val="11"/>
        <color theme="1"/>
        <rFont val="Calibri"/>
        <family val="2"/>
        <scheme val="minor"/>
      </rPr>
      <t xml:space="preserve">B3 </t>
    </r>
    <r>
      <rPr>
        <sz val="11"/>
        <color theme="1"/>
        <rFont val="Calibri"/>
        <family val="2"/>
        <scheme val="minor"/>
      </rPr>
      <t xml:space="preserve"> G(corr) (He/particle)</t>
    </r>
  </si>
  <si>
    <r>
      <rPr>
        <b/>
        <sz val="11"/>
        <color theme="1"/>
        <rFont val="Calibri"/>
        <family val="2"/>
        <scheme val="minor"/>
      </rPr>
      <t>B3</t>
    </r>
    <r>
      <rPr>
        <sz val="11"/>
        <color theme="1"/>
        <rFont val="Calibri"/>
        <family val="2"/>
        <scheme val="minor"/>
      </rPr>
      <t xml:space="preserve"> TS(corr) (kCal/mol)</t>
    </r>
  </si>
  <si>
    <t>H2O2*H2O2_TS 300K 1M</t>
  </si>
  <si>
    <t>H2O2*H2O2_TS 350K 1M</t>
  </si>
  <si>
    <t>H2O2*H2O2_TS 400K 1M</t>
  </si>
  <si>
    <t>H2O2*H2O2_TS 450K 1M</t>
  </si>
  <si>
    <t>H2O2*H2O2_TS 500K 1M</t>
  </si>
  <si>
    <t>H2O2*H2O2_TS 550K 1M</t>
  </si>
  <si>
    <t>H2O2*H2O2_TS 600K 1M</t>
  </si>
  <si>
    <t>H2O2*H2O2_TS 298K 1 Atm</t>
  </si>
  <si>
    <t>rate M^-1 s^-1</t>
  </si>
  <si>
    <t>K</t>
  </si>
  <si>
    <t>DG kCal/mol</t>
  </si>
  <si>
    <t>ln(rate)</t>
  </si>
  <si>
    <t>1/K</t>
  </si>
  <si>
    <t>DH kCal/mol</t>
  </si>
  <si>
    <t>T*DS kCal/mol</t>
  </si>
  <si>
    <t>H2O2_TS 298K 1 Atm</t>
  </si>
  <si>
    <t>H2O2_TS 300K 1M</t>
  </si>
  <si>
    <t>H2O2_TS 350K 1M</t>
  </si>
  <si>
    <t>H2O2_TS 400K 1M</t>
  </si>
  <si>
    <t>H2O2_TS 450K 1M</t>
  </si>
  <si>
    <t>H2O2_TS 500K 1M</t>
  </si>
  <si>
    <t>H2O2_TS 550K 1M</t>
  </si>
  <si>
    <t>H2O2_TS 600K 1M</t>
  </si>
  <si>
    <t>H2O2 704.65 K 1 M</t>
  </si>
  <si>
    <t>H2O2 712.75 K 1 M</t>
  </si>
  <si>
    <t>H2O2 721.55 K 1 M</t>
  </si>
  <si>
    <t>H2O2 731.75 K 1 M</t>
  </si>
  <si>
    <t>H2O2 741.65 K 1 M</t>
  </si>
  <si>
    <t>H2O2*He_TS 704.65 K 1 M</t>
  </si>
  <si>
    <t>H2O2*He_TS 712.75 K 1 M</t>
  </si>
  <si>
    <t>H2O2*He_TS 721.55 K 1 M</t>
  </si>
  <si>
    <t>H2O2*He_TS 731.75 K 1 M</t>
  </si>
  <si>
    <t>H2O2*He_TS 741.65 K 1 M</t>
  </si>
  <si>
    <t>He 704.65 K 1 M</t>
  </si>
  <si>
    <t>He 712.75 K 1 M</t>
  </si>
  <si>
    <t>He 721.55 K 1 M</t>
  </si>
  <si>
    <t>He 731.75 K 1 M</t>
  </si>
  <si>
    <t>He 741.65 K 1 M</t>
  </si>
  <si>
    <t>M05_H2O2_TS 298K 1 Atm</t>
  </si>
  <si>
    <t>#</t>
  </si>
  <si>
    <t>Scan of Total Energy</t>
  </si>
  <si>
    <t>X-Axis:  Scan Coordin</t>
  </si>
  <si>
    <t>ate</t>
  </si>
  <si>
    <t>Y-Axis:  Total Energy</t>
  </si>
  <si>
    <t>(Hartree)</t>
  </si>
  <si>
    <t>X</t>
  </si>
  <si>
    <t>Y</t>
  </si>
  <si>
    <t>TS</t>
  </si>
  <si>
    <t>R0</t>
  </si>
  <si>
    <t>PC</t>
  </si>
  <si>
    <t>Singlet surface M05</t>
  </si>
  <si>
    <t>Triplet surface M05</t>
  </si>
  <si>
    <t>TS singlet</t>
  </si>
  <si>
    <t>TS triplet</t>
  </si>
  <si>
    <t>R0 triplet</t>
  </si>
  <si>
    <t>B3LYP/MG3S Triplet surface</t>
  </si>
  <si>
    <t>B3LYP/MG3S Singlet surface</t>
  </si>
  <si>
    <t>Avoided crossing</t>
  </si>
  <si>
    <t>631+GDP</t>
  </si>
  <si>
    <t>631+GD</t>
  </si>
  <si>
    <t xml:space="preserve">B3LYP </t>
  </si>
  <si>
    <t>cbsqb3</t>
  </si>
  <si>
    <t>MG3S</t>
  </si>
  <si>
    <t>B3LYP He</t>
  </si>
  <si>
    <t>geom2</t>
  </si>
  <si>
    <t>Structure/MG3S</t>
  </si>
  <si>
    <r>
      <rPr>
        <b/>
        <sz val="11"/>
        <color theme="1"/>
        <rFont val="Calibri"/>
        <family val="2"/>
        <scheme val="minor"/>
      </rPr>
      <t>MG3S(LS)</t>
    </r>
    <r>
      <rPr>
        <sz val="11"/>
        <color theme="1"/>
        <rFont val="Calibri"/>
        <family val="2"/>
        <scheme val="minor"/>
      </rPr>
      <t xml:space="preserve"> E(elec) (He/particle)</t>
    </r>
  </si>
  <si>
    <r>
      <rPr>
        <b/>
        <sz val="11"/>
        <color theme="1"/>
        <rFont val="Calibri"/>
        <family val="2"/>
        <scheme val="minor"/>
      </rPr>
      <t>MG3S(HS)</t>
    </r>
    <r>
      <rPr>
        <sz val="11"/>
        <color theme="1"/>
        <rFont val="Calibri"/>
        <family val="2"/>
        <scheme val="minor"/>
      </rPr>
      <t xml:space="preserve"> E(elec) (He/particle)</t>
    </r>
  </si>
  <si>
    <t>&lt;S^2&gt; MG3S(LS)</t>
  </si>
  <si>
    <r>
      <rPr>
        <b/>
        <sz val="11"/>
        <color theme="1"/>
        <rFont val="Calibri"/>
        <family val="2"/>
        <scheme val="minor"/>
      </rPr>
      <t xml:space="preserve">MG3S </t>
    </r>
    <r>
      <rPr>
        <sz val="11"/>
        <color theme="1"/>
        <rFont val="Calibri"/>
        <family val="2"/>
        <scheme val="minor"/>
      </rPr>
      <t xml:space="preserve">reaction coordinate </t>
    </r>
    <r>
      <rPr>
        <i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(1/cm)</t>
    </r>
  </si>
  <si>
    <r>
      <rPr>
        <b/>
        <sz val="11"/>
        <color theme="1"/>
        <rFont val="Calibri"/>
        <family val="2"/>
        <scheme val="minor"/>
      </rPr>
      <t xml:space="preserve">MG3S </t>
    </r>
    <r>
      <rPr>
        <sz val="11"/>
        <color theme="1"/>
        <rFont val="Calibri"/>
        <family val="2"/>
        <scheme val="minor"/>
      </rPr>
      <t>ZPVE(corr) (H/particle)</t>
    </r>
  </si>
  <si>
    <r>
      <rPr>
        <b/>
        <sz val="11"/>
        <color theme="1"/>
        <rFont val="Calibri"/>
        <family val="2"/>
        <scheme val="minor"/>
      </rPr>
      <t>MG3S</t>
    </r>
    <r>
      <rPr>
        <sz val="11"/>
        <color theme="1"/>
        <rFont val="Calibri"/>
        <family val="2"/>
        <scheme val="minor"/>
      </rPr>
      <t xml:space="preserve"> H(corr) (H/particle)</t>
    </r>
  </si>
  <si>
    <r>
      <rPr>
        <b/>
        <sz val="11"/>
        <color theme="1"/>
        <rFont val="Calibri"/>
        <family val="2"/>
        <scheme val="minor"/>
      </rPr>
      <t xml:space="preserve">MG3S </t>
    </r>
    <r>
      <rPr>
        <sz val="11"/>
        <color theme="1"/>
        <rFont val="Calibri"/>
        <family val="2"/>
        <scheme val="minor"/>
      </rPr>
      <t xml:space="preserve"> G(corr) (He/particle)</t>
    </r>
  </si>
  <si>
    <r>
      <rPr>
        <b/>
        <sz val="11"/>
        <color theme="1"/>
        <rFont val="Calibri"/>
        <family val="2"/>
        <scheme val="minor"/>
      </rPr>
      <t>MG3S</t>
    </r>
    <r>
      <rPr>
        <sz val="11"/>
        <color theme="1"/>
        <rFont val="Calibri"/>
        <family val="2"/>
        <scheme val="minor"/>
      </rPr>
      <t xml:space="preserve"> TS(corr) (kCal/mol)</t>
    </r>
  </si>
  <si>
    <t>TS(S)_HE</t>
  </si>
  <si>
    <t>(HO*HO)(T)_HE</t>
  </si>
  <si>
    <t>(HO*HO)(S)_HE</t>
  </si>
  <si>
    <t>BS-G(B6/B1) (kCal/mol)</t>
  </si>
  <si>
    <t>H2O2 T1</t>
  </si>
  <si>
    <t>H2O2 T2</t>
  </si>
  <si>
    <t>H2O2 T3</t>
  </si>
  <si>
    <t>H2O2 T4</t>
  </si>
  <si>
    <t>H2O2 T5</t>
  </si>
  <si>
    <t>DFT=R(U)B3LYP, scrf=B1/CPCM(bondi)//B3LYP/B1, B1=6-31G(d). B2=6-31+(d). B3=631+G(d,p). B4=6311+G(2d,p). B5=6311+G(2df,2p). B6=6311++G(3df,3p), 1 M standard state, T1=704.65K,T2=712.75K,T3=721.55K,T4=731.55K,T5=741.65K</t>
  </si>
  <si>
    <t>HE T1</t>
  </si>
  <si>
    <t>HE T2</t>
  </si>
  <si>
    <t>HE T3</t>
  </si>
  <si>
    <t>HE T4</t>
  </si>
  <si>
    <t>HE T5</t>
  </si>
  <si>
    <t>TS(T)_HE T1</t>
  </si>
  <si>
    <t>TS(T)_HE T2</t>
  </si>
  <si>
    <t>TS(T)_HE T3</t>
  </si>
  <si>
    <t>TS(T)_HE T4</t>
  </si>
  <si>
    <t>TS(T)_HE T5</t>
  </si>
  <si>
    <t>T K</t>
  </si>
  <si>
    <t>exp.</t>
  </si>
  <si>
    <t>1/Ms</t>
  </si>
  <si>
    <t>ln(xep)</t>
  </si>
  <si>
    <t>1/T 1/K</t>
  </si>
  <si>
    <t>DG</t>
  </si>
  <si>
    <t>DG/RT</t>
  </si>
  <si>
    <t>RT kCal/mol</t>
  </si>
  <si>
    <t>ln(calc)</t>
  </si>
  <si>
    <t>H2O2_TS(T) T3</t>
  </si>
  <si>
    <t>H2O2_TS(T) T4</t>
  </si>
  <si>
    <t>H2O2_TS(T) T5</t>
  </si>
  <si>
    <t>H2O2_TS(T) T1</t>
  </si>
  <si>
    <t>H2O2_TS(T) T2</t>
  </si>
  <si>
    <t xml:space="preserve">Ln(r/T) </t>
  </si>
  <si>
    <t>Structure/CBS-QB3</t>
  </si>
  <si>
    <r>
      <rPr>
        <b/>
        <sz val="11"/>
        <color theme="1"/>
        <rFont val="Calibri"/>
        <family val="2"/>
        <scheme val="minor"/>
      </rPr>
      <t>E+ZPE</t>
    </r>
    <r>
      <rPr>
        <sz val="11"/>
        <color theme="1"/>
        <rFont val="Calibri"/>
        <family val="2"/>
        <scheme val="minor"/>
      </rPr>
      <t xml:space="preserve"> (He/particle)</t>
    </r>
  </si>
  <si>
    <r>
      <rPr>
        <b/>
        <sz val="11"/>
        <color theme="1"/>
        <rFont val="Calibri"/>
        <family val="2"/>
        <scheme val="minor"/>
      </rPr>
      <t>E+H</t>
    </r>
    <r>
      <rPr>
        <sz val="11"/>
        <color theme="1"/>
        <rFont val="Calibri"/>
        <family val="2"/>
        <scheme val="minor"/>
      </rPr>
      <t xml:space="preserve"> (He/particle)</t>
    </r>
  </si>
  <si>
    <r>
      <rPr>
        <b/>
        <sz val="11"/>
        <color theme="1"/>
        <rFont val="Calibri"/>
        <family val="2"/>
        <scheme val="minor"/>
      </rPr>
      <t>E+G</t>
    </r>
    <r>
      <rPr>
        <sz val="11"/>
        <color theme="1"/>
        <rFont val="Calibri"/>
        <family val="2"/>
        <scheme val="minor"/>
      </rPr>
      <t xml:space="preserve"> (He/particle)</t>
    </r>
  </si>
  <si>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(He/particle)</t>
    </r>
  </si>
  <si>
    <t>E+H (kCal/mol)</t>
  </si>
  <si>
    <t>E+G (kCal/mol)</t>
  </si>
  <si>
    <t>1/(T*T) 1/K*K</t>
  </si>
  <si>
    <t>exp. k0</t>
  </si>
  <si>
    <t>k0*h/kb*T</t>
  </si>
  <si>
    <t>BCSB7</t>
  </si>
  <si>
    <t>Structure/6-31G(d)</t>
  </si>
  <si>
    <r>
      <rPr>
        <b/>
        <sz val="11"/>
        <color theme="1"/>
        <rFont val="Calibri"/>
        <family val="2"/>
        <scheme val="minor"/>
      </rPr>
      <t>6-31G(d)</t>
    </r>
    <r>
      <rPr>
        <sz val="11"/>
        <color theme="1"/>
        <rFont val="Calibri"/>
        <family val="2"/>
        <scheme val="minor"/>
      </rPr>
      <t xml:space="preserve"> H(corr) (H/particle)</t>
    </r>
  </si>
  <si>
    <r>
      <rPr>
        <b/>
        <sz val="11"/>
        <color theme="1"/>
        <rFont val="Calibri"/>
        <family val="2"/>
        <scheme val="minor"/>
      </rPr>
      <t xml:space="preserve">6-31G(d) </t>
    </r>
    <r>
      <rPr>
        <sz val="11"/>
        <color theme="1"/>
        <rFont val="Calibri"/>
        <family val="2"/>
        <scheme val="minor"/>
      </rPr>
      <t xml:space="preserve"> G(corr) (He/particle)</t>
    </r>
  </si>
  <si>
    <r>
      <rPr>
        <b/>
        <sz val="11"/>
        <color theme="1"/>
        <rFont val="Calibri"/>
        <family val="2"/>
        <scheme val="minor"/>
      </rPr>
      <t>6-31G(d)</t>
    </r>
    <r>
      <rPr>
        <sz val="11"/>
        <color theme="1"/>
        <rFont val="Calibri"/>
        <family val="2"/>
        <scheme val="minor"/>
      </rPr>
      <t xml:space="preserve"> TS(corr) (kCal/mol)</t>
    </r>
  </si>
  <si>
    <r>
      <rPr>
        <b/>
        <sz val="11"/>
        <color theme="1"/>
        <rFont val="Calibri"/>
        <family val="2"/>
        <scheme val="minor"/>
      </rPr>
      <t xml:space="preserve">6-31G(d) </t>
    </r>
    <r>
      <rPr>
        <sz val="11"/>
        <color theme="1"/>
        <rFont val="Calibri"/>
        <family val="2"/>
        <scheme val="minor"/>
      </rPr>
      <t>ZPVE(corr) (H/particle)</t>
    </r>
  </si>
  <si>
    <t>Structure/M05/MG3S</t>
  </si>
  <si>
    <t>E+ZPE(B6/B1) (kCal/mol)</t>
  </si>
  <si>
    <t>r0</t>
  </si>
  <si>
    <t>singlet CBSB7</t>
  </si>
  <si>
    <t>Triplet CBSB7</t>
  </si>
  <si>
    <t>ts</t>
  </si>
  <si>
    <t xml:space="preserve"> BS-E+ZPE (kCal/mol)</t>
  </si>
  <si>
    <t>BS-G (kCal/mol)</t>
  </si>
  <si>
    <t>AP-G (kCal/mol)</t>
  </si>
  <si>
    <t>BS-H (kCal/mol)</t>
  </si>
  <si>
    <t>AP-E+ZPE (kCal/mol)</t>
  </si>
  <si>
    <t>AP-H (kCal/mol)</t>
  </si>
  <si>
    <t>h [kCal*s]</t>
  </si>
  <si>
    <t>R [kCal/mol*K]</t>
  </si>
  <si>
    <t>Hartree (kCal/particle)</t>
  </si>
  <si>
    <t>He</t>
  </si>
  <si>
    <t>H2O2_HE_TS</t>
  </si>
  <si>
    <t>kb [kCal/K]</t>
  </si>
  <si>
    <t xml:space="preserve">a = </t>
  </si>
  <si>
    <t xml:space="preserve"> b =</t>
  </si>
  <si>
    <t>a*exp(b*x)</t>
  </si>
  <si>
    <t>SD</t>
  </si>
  <si>
    <t>Ln(k0*h/kb*T)</t>
  </si>
  <si>
    <t>ln(k0)</t>
  </si>
  <si>
    <t>B3LYP Pressure  1 mol/L scale=0.9853</t>
  </si>
  <si>
    <r>
      <rPr>
        <b/>
        <sz val="11"/>
        <color theme="1"/>
        <rFont val="Calibri"/>
        <family val="2"/>
        <scheme val="minor"/>
      </rPr>
      <t>B2(LS)</t>
    </r>
    <r>
      <rPr>
        <sz val="11"/>
        <color theme="1"/>
        <rFont val="Calibri"/>
        <family val="2"/>
        <scheme val="minor"/>
      </rPr>
      <t xml:space="preserve"> E(elec) (He/particle)</t>
    </r>
  </si>
  <si>
    <r>
      <rPr>
        <b/>
        <sz val="11"/>
        <color theme="1"/>
        <rFont val="Calibri"/>
        <family val="2"/>
        <scheme val="minor"/>
      </rPr>
      <t>B2(HS)</t>
    </r>
    <r>
      <rPr>
        <sz val="11"/>
        <color theme="1"/>
        <rFont val="Calibri"/>
        <family val="2"/>
        <scheme val="minor"/>
      </rPr>
      <t xml:space="preserve"> E(elec) (He/particle)</t>
    </r>
  </si>
  <si>
    <t>&lt;S^2&gt; B2(LS)</t>
  </si>
  <si>
    <t>H2O2_HE_PC</t>
  </si>
  <si>
    <t>H2O2_HE_RC</t>
  </si>
  <si>
    <t>HO</t>
  </si>
  <si>
    <t>Ln(k0/T)</t>
  </si>
  <si>
    <t xml:space="preserve">k0He exp. </t>
  </si>
  <si>
    <t xml:space="preserve">k0H2O2 exp. </t>
  </si>
  <si>
    <t>H2O2_H2O2_TS</t>
  </si>
  <si>
    <t>TS1</t>
  </si>
  <si>
    <t>Exp. Standard  error</t>
  </si>
  <si>
    <t>HO*He</t>
  </si>
  <si>
    <t>2*HO+He</t>
  </si>
  <si>
    <t>(HO*HO)_B</t>
  </si>
  <si>
    <t>(HO*HO)_A</t>
  </si>
  <si>
    <t>HO*HO+He A</t>
  </si>
  <si>
    <t>AP</t>
  </si>
  <si>
    <t>BS</t>
  </si>
  <si>
    <t>TS2</t>
  </si>
  <si>
    <t>(HO*HO)_A_T</t>
  </si>
  <si>
    <t>H2O2_HE_TS2_(T)</t>
  </si>
  <si>
    <t>H2O2_(T)</t>
  </si>
  <si>
    <t>H2O2_HE_TS1_(T)</t>
  </si>
  <si>
    <t>O(T)*H2O</t>
  </si>
  <si>
    <t>TE2</t>
  </si>
  <si>
    <t>triplet 1</t>
  </si>
  <si>
    <t>triplet 2</t>
  </si>
  <si>
    <t>H2O2+He</t>
  </si>
  <si>
    <t>(T)H2O2+He</t>
  </si>
  <si>
    <t>O2(T)</t>
  </si>
  <si>
    <t>O2(S)</t>
  </si>
  <si>
    <t>R1</t>
  </si>
  <si>
    <t>H2O2_TS1</t>
  </si>
  <si>
    <t>H2O2_TS2</t>
  </si>
  <si>
    <t>2*HO</t>
  </si>
  <si>
    <t>0.5*(3)O2+H2O</t>
  </si>
  <si>
    <t>(1)(HO*HO)</t>
  </si>
  <si>
    <t>R2</t>
  </si>
  <si>
    <t>(1)O**H2O)</t>
  </si>
  <si>
    <t>0.5*(1)O2+H2O</t>
  </si>
  <si>
    <t>(1)O*H2O</t>
  </si>
  <si>
    <t>H2O2_TS3</t>
  </si>
  <si>
    <t>R3</t>
  </si>
  <si>
    <t>TS3</t>
  </si>
  <si>
    <t>H2O2_TS4</t>
  </si>
  <si>
    <t>H2O2_TS5(T)</t>
  </si>
  <si>
    <t>(3)H2O2</t>
  </si>
  <si>
    <t>TS5</t>
  </si>
  <si>
    <t>R4</t>
  </si>
  <si>
    <t>(3)(HO*HO)</t>
  </si>
  <si>
    <t>H2O2_TS6(T)</t>
  </si>
  <si>
    <t>R5</t>
  </si>
  <si>
    <t>TS6</t>
  </si>
  <si>
    <t>(3)O**H2O)</t>
  </si>
  <si>
    <t>(3)O*H2O</t>
  </si>
  <si>
    <t>high</t>
  </si>
  <si>
    <t>O(S)</t>
  </si>
  <si>
    <t>O(T)</t>
  </si>
  <si>
    <t>(1)O+H2O</t>
  </si>
  <si>
    <t>(3)O+H2O</t>
  </si>
  <si>
    <t>B3LYP Pressure  1 mol/L scale=0.9806 B1=6-31G(d) B2=MG3S T=298.15K</t>
  </si>
  <si>
    <t>B3LYP Pressure  1 mol/L scale=0.9806 B1=6-31G(d) B2=6-311+G(2d,p) T=298.15K</t>
  </si>
  <si>
    <t>B3LYP Pressure  1 mol/L scale=0.9806 B1=6-31G(d) B2=6-31+G(d,p) T=298.15K</t>
  </si>
  <si>
    <t>Experimental standard error</t>
  </si>
  <si>
    <t>Experimental activation energy</t>
  </si>
  <si>
    <t>H2O2_2H2O_TS</t>
  </si>
  <si>
    <t>H2O2_2H2O_TS_RC</t>
  </si>
  <si>
    <t>HO2(-)_2H2O_TS</t>
  </si>
  <si>
    <t>HO2(-)_2H2O_TS_RC</t>
  </si>
  <si>
    <t>Ar</t>
  </si>
  <si>
    <t>H2O2_Ar_TS</t>
  </si>
  <si>
    <t>H2O2_AR_TS</t>
  </si>
  <si>
    <t>HO*HO_A</t>
  </si>
  <si>
    <t>AP-B3LYP/MG3S//B3LYP/MG3S singlet surface</t>
  </si>
  <si>
    <t>B3LYP/MG3S//B3LYP/MG3S triplet surface</t>
  </si>
  <si>
    <t>2HO</t>
  </si>
  <si>
    <t>AP-B3LYP/6311++G(3df,3pd)//B3LYP/6-31G(d)</t>
  </si>
  <si>
    <t>Triplet</t>
  </si>
  <si>
    <t>H2O2_TS1(S)</t>
  </si>
  <si>
    <t>H2O2_TS1(T)</t>
  </si>
  <si>
    <t>B3LYP/6311++G(3df,3pd)//B3LYP/6-31G(d) Triplet surface</t>
  </si>
  <si>
    <t>H2O2_TS1(T)_RC</t>
  </si>
  <si>
    <t>H2O2_TS1(T)_PC</t>
  </si>
  <si>
    <t>H2O2_TS1(S)_PC</t>
  </si>
  <si>
    <t>TS1(S)</t>
  </si>
  <si>
    <t>TS1(T)</t>
  </si>
  <si>
    <t>TS1(T)_PC</t>
  </si>
  <si>
    <t>O(T)+H2O</t>
  </si>
  <si>
    <t>H2O2_TS1(S)_PC_T</t>
  </si>
  <si>
    <t>HO*HO(S)</t>
  </si>
  <si>
    <t>HO*HO(T)</t>
  </si>
  <si>
    <t>HO*HO(S-&gt;T)</t>
  </si>
  <si>
    <t>TS2(T)</t>
  </si>
  <si>
    <t>H2O2_TS2(T)</t>
  </si>
  <si>
    <t>H2O2_TS2(T)_RC</t>
  </si>
  <si>
    <t>H2O2_TS2(T)_PC</t>
  </si>
  <si>
    <t>TS2(T)_PC</t>
  </si>
  <si>
    <t>H2O2_Ar_TS1(S)</t>
  </si>
  <si>
    <t>AP-B3LYP/6-31+G(d,p)//UB3LYP/6-31G(d) Singlet surface</t>
  </si>
  <si>
    <t>AP-B3LYP/6-311+G(2d,p)//UB3LYP/6-31G(d) Singlet surface</t>
  </si>
  <si>
    <t>AP-B3LYP/6-311+G(2df,2p)//UB3LYP/6-31G(d) Singlet surface</t>
  </si>
  <si>
    <t>AP-B3LYP/6-311+G(2df,2p)//UB3LYP/6-311+G(2df,2p) Singlet surface</t>
  </si>
  <si>
    <t>AP-B3LYP/6311++G(3df,3pd)//UB3LYP/6-31G(d) Singlet surface</t>
  </si>
  <si>
    <t>UB3LYP/6-311++G(3df,3pd)//UB3LYP/6-31G(d) Singlet surface</t>
  </si>
  <si>
    <t>AP-B3LYP/6-311++G(3df,3pd)//UB3LYP/6-31G(d) Singlet surface</t>
  </si>
  <si>
    <t>UB3LYP/6-311++G(3df,3pd)//UB3LYP/6-31G(d) Triplet surface</t>
  </si>
  <si>
    <r>
      <t xml:space="preserve">SCRF(LS) </t>
    </r>
    <r>
      <rPr>
        <sz val="11"/>
        <color theme="1"/>
        <rFont val="Calibri"/>
        <family val="2"/>
        <scheme val="minor"/>
      </rPr>
      <t>(kCal/mol)</t>
    </r>
  </si>
  <si>
    <r>
      <t xml:space="preserve">SCRF(HS) </t>
    </r>
    <r>
      <rPr>
        <sz val="11"/>
        <color theme="1"/>
        <rFont val="Calibri"/>
        <family val="2"/>
        <scheme val="minor"/>
      </rPr>
      <t>(kCal/mol)</t>
    </r>
  </si>
  <si>
    <t>SCRF&lt;S^2&gt; B2(LS)</t>
  </si>
  <si>
    <t>AP-SCRF (kCal/mol)</t>
  </si>
  <si>
    <t>B3LYP Pressure  1 mol/L scale=0.9806 B1=6-31G(d) B2=6-311++G(3df,3pd) T=298.15K SCRF/B1</t>
  </si>
  <si>
    <t>BS-SCRF (kCal/mol)</t>
  </si>
  <si>
    <t>H2O2_2H2O_A_RC</t>
  </si>
  <si>
    <t>H2O2_2H2O_A_TS</t>
  </si>
  <si>
    <t>H2O2_2H2O_A_PC</t>
  </si>
  <si>
    <t>H2O2_2H2O_B_RC</t>
  </si>
  <si>
    <t>H2O2_2H2O_B_TS</t>
  </si>
  <si>
    <t>H2O2_2H2O_B_PC</t>
  </si>
  <si>
    <t>H2O2_H2O_HO(-)_TS_RC</t>
  </si>
  <si>
    <t>H2O2_H2O_HO(-)_TS_PC</t>
  </si>
  <si>
    <t>H2O2_H2O_HO(-)_TS</t>
  </si>
  <si>
    <t>H2O2_TS3_PC</t>
  </si>
  <si>
    <t>TS3(T)</t>
  </si>
  <si>
    <t>TS3(T)_PC</t>
  </si>
  <si>
    <t>B3LYP Pressure  1 mol/L scale=0.9877 B2=6311++G(3df,3pd) T=298.15K</t>
  </si>
  <si>
    <t>HO*HO_A(S)</t>
  </si>
  <si>
    <t>HO*HO_A(T)</t>
  </si>
  <si>
    <t>UB3LYP/6-311++G(3df,3pd)</t>
  </si>
  <si>
    <t>H2O2_TS3(T)</t>
  </si>
  <si>
    <t>H2O2_TS3(T)_PC</t>
  </si>
  <si>
    <t>Exp. Activation energy: Hong et al. (2010)</t>
  </si>
  <si>
    <t>Exp. Activation energy: Kappel et al. (2002)</t>
  </si>
  <si>
    <t>Exp. Bond dissociation energy (T=0): Luo et al. (1992)</t>
  </si>
  <si>
    <t xml:space="preserve"> BS-E (kCal/mol)</t>
  </si>
  <si>
    <t>AP-E (kCal/mol)</t>
  </si>
  <si>
    <t>BS+ZPVE</t>
  </si>
  <si>
    <t>AP+ZPVE</t>
  </si>
  <si>
    <t>Sellevåg</t>
  </si>
  <si>
    <t>Ee at CASPT2/aug-cc-pVTZ: Sellevåg et al. (2009)</t>
  </si>
  <si>
    <t>Ee + ZPVE at CASPT2/aug-cc-pVTZ: Sellevåg et al. (2009)</t>
  </si>
  <si>
    <t>Ee + ZPVE at CCSD(T)/EB5Q//MP2/aug-cc-pVTZ: Sellevåg et al. (2009)</t>
  </si>
  <si>
    <t>Ee + ZPVE at CCSD(T)/aug-cc-pVTZ//MP2/aug-cc-pVTZ: Sellevåg et al. (2009)</t>
  </si>
  <si>
    <t>CAS+ZPVE</t>
  </si>
  <si>
    <t>aTZ+ZPVE</t>
  </si>
  <si>
    <t>EBQ+ZPVE</t>
  </si>
  <si>
    <t>CAS E</t>
  </si>
  <si>
    <t>M05 Pressure  1 mol/L scale=0.9877 B2=6311++G(3df,3pd) T=298.15K</t>
  </si>
  <si>
    <t>M052X Pressure  1 mol/L scale=0.9877 B2=6311++G(3df,3pd) T=298.15K</t>
  </si>
  <si>
    <t>MPW1K Pressure  1 mol/L scale=0.9877 B2=6311++G(3df,3pd) T=298.15K</t>
  </si>
  <si>
    <t>BS-M05</t>
  </si>
  <si>
    <t>BS-M=52X</t>
  </si>
  <si>
    <t>BS-MPW1K</t>
  </si>
  <si>
    <t>Ee</t>
  </si>
  <si>
    <t>Ee+ZPVE</t>
  </si>
  <si>
    <t>M052x Pressure  1 mol/L scale=0.9877 B2=6311++G3df,3pd T=298.15K</t>
  </si>
  <si>
    <t>Yingbin</t>
  </si>
  <si>
    <t>AP-M052X</t>
  </si>
  <si>
    <t>BS-M052X</t>
  </si>
  <si>
    <t>AP-M05</t>
  </si>
  <si>
    <t xml:space="preserve">Ee + ZPVE at (AP/U)B3LYP/6-311++G(3df,3pd)  </t>
  </si>
  <si>
    <t xml:space="preserve">Ee at (AP/U)B3LYP/6-311++G(3df,3pd)  </t>
  </si>
  <si>
    <t>Ee + ZPVE at (AP/U)B3LYP/6-311++G(3df,3pd)</t>
  </si>
  <si>
    <t>Ee at (AP/U)B3LYP/6-311++G(3df,3pd)</t>
  </si>
  <si>
    <t xml:space="preserve">Ee at(AP/U)M05/6-311++G(3df,3pd)  </t>
  </si>
  <si>
    <t xml:space="preserve">Ee at (AP/U)M052X/6-311++G(3df,3pd)  </t>
  </si>
  <si>
    <t xml:space="preserve">Ee at (AP/U)MPW1K/6-311++G(3df,3pd)  </t>
  </si>
  <si>
    <t xml:space="preserve">Ee + ZPVE at (AP/U)M05/6-311++G(3df,3pd)  </t>
  </si>
  <si>
    <t xml:space="preserve">Ee + ZPVE at (AP/U)M052X/6-311++G(3df,3pd)  </t>
  </si>
  <si>
    <t xml:space="preserve">Ee + ZPVE at (AP/U)MPW1K/6-311++G(3df,3pd)  </t>
  </si>
</sst>
</file>

<file path=xl/styles.xml><?xml version="1.0" encoding="utf-8"?>
<styleSheet xmlns="http://schemas.openxmlformats.org/spreadsheetml/2006/main">
  <numFmts count="10">
    <numFmt numFmtId="164" formatCode="0.000E+00"/>
    <numFmt numFmtId="165" formatCode="0.0"/>
    <numFmt numFmtId="166" formatCode="0.0E+00"/>
    <numFmt numFmtId="167" formatCode="0.000"/>
    <numFmt numFmtId="168" formatCode="0.0000"/>
    <numFmt numFmtId="169" formatCode="0.0000E+00"/>
    <numFmt numFmtId="170" formatCode="0.0000000000000"/>
    <numFmt numFmtId="171" formatCode="0.000000E+00"/>
    <numFmt numFmtId="172" formatCode="0.00000"/>
    <numFmt numFmtId="173" formatCode="&quot;$&quot;#,##0.0"/>
  </numFmts>
  <fonts count="20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/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3" applyNumberFormat="0" applyAlignment="0" applyProtection="0"/>
    <xf numFmtId="0" fontId="5" fillId="6" borderId="3" applyNumberFormat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</cellStyleXfs>
  <cellXfs count="217">
    <xf numFmtId="0" fontId="0" fillId="0" borderId="0" xfId="0"/>
    <xf numFmtId="2" fontId="0" fillId="0" borderId="0" xfId="0" applyNumberFormat="1"/>
    <xf numFmtId="11" fontId="0" fillId="0" borderId="0" xfId="0" applyNumberFormat="1"/>
    <xf numFmtId="0" fontId="0" fillId="0" borderId="1" xfId="0" applyBorder="1"/>
    <xf numFmtId="0" fontId="0" fillId="0" borderId="2" xfId="0" applyBorder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Border="1"/>
    <xf numFmtId="0" fontId="0" fillId="0" borderId="0" xfId="0" applyFill="1" applyBorder="1"/>
    <xf numFmtId="2" fontId="0" fillId="0" borderId="0" xfId="0" applyNumberFormat="1" applyBorder="1"/>
    <xf numFmtId="166" fontId="0" fillId="0" borderId="0" xfId="0" applyNumberFormat="1"/>
    <xf numFmtId="2" fontId="0" fillId="0" borderId="0" xfId="0" quotePrefix="1" applyNumberFormat="1"/>
    <xf numFmtId="167" fontId="0" fillId="0" borderId="0" xfId="0" applyNumberFormat="1"/>
    <xf numFmtId="0" fontId="4" fillId="5" borderId="3" xfId="4"/>
    <xf numFmtId="0" fontId="7" fillId="0" borderId="0" xfId="0" applyFont="1"/>
    <xf numFmtId="168" fontId="5" fillId="6" borderId="3" xfId="5" applyNumberFormat="1"/>
    <xf numFmtId="168" fontId="4" fillId="5" borderId="3" xfId="4" applyNumberFormat="1"/>
    <xf numFmtId="169" fontId="0" fillId="0" borderId="0" xfId="0" applyNumberFormat="1"/>
    <xf numFmtId="11" fontId="5" fillId="6" borderId="3" xfId="5" applyNumberFormat="1"/>
    <xf numFmtId="164" fontId="5" fillId="6" borderId="3" xfId="5" applyNumberFormat="1"/>
    <xf numFmtId="11" fontId="4" fillId="5" borderId="3" xfId="4" applyNumberFormat="1"/>
    <xf numFmtId="0" fontId="0" fillId="0" borderId="4" xfId="0" applyBorder="1"/>
    <xf numFmtId="0" fontId="0" fillId="0" borderId="6" xfId="0" applyBorder="1"/>
    <xf numFmtId="2" fontId="0" fillId="0" borderId="7" xfId="0" applyNumberFormat="1" applyBorder="1"/>
    <xf numFmtId="0" fontId="0" fillId="0" borderId="8" xfId="0" applyBorder="1"/>
    <xf numFmtId="0" fontId="0" fillId="0" borderId="5" xfId="0" applyBorder="1"/>
    <xf numFmtId="11" fontId="0" fillId="0" borderId="6" xfId="0" applyNumberFormat="1" applyBorder="1"/>
    <xf numFmtId="0" fontId="0" fillId="0" borderId="9" xfId="0" applyBorder="1"/>
    <xf numFmtId="11" fontId="0" fillId="0" borderId="9" xfId="0" applyNumberFormat="1" applyBorder="1"/>
    <xf numFmtId="0" fontId="0" fillId="0" borderId="7" xfId="0" applyBorder="1"/>
    <xf numFmtId="0" fontId="7" fillId="0" borderId="1" xfId="0" applyFont="1" applyBorder="1"/>
    <xf numFmtId="0" fontId="8" fillId="5" borderId="10" xfId="4" applyFont="1" applyBorder="1"/>
    <xf numFmtId="165" fontId="4" fillId="5" borderId="3" xfId="4" applyNumberFormat="1"/>
    <xf numFmtId="11" fontId="0" fillId="0" borderId="0" xfId="0" applyNumberFormat="1" applyBorder="1"/>
    <xf numFmtId="164" fontId="4" fillId="5" borderId="3" xfId="4" applyNumberFormat="1"/>
    <xf numFmtId="2" fontId="4" fillId="5" borderId="3" xfId="4" applyNumberFormat="1"/>
    <xf numFmtId="166" fontId="4" fillId="5" borderId="3" xfId="4" applyNumberFormat="1"/>
    <xf numFmtId="167" fontId="4" fillId="5" borderId="3" xfId="4" applyNumberFormat="1"/>
    <xf numFmtId="166" fontId="5" fillId="6" borderId="3" xfId="5" applyNumberFormat="1"/>
    <xf numFmtId="0" fontId="4" fillId="5" borderId="11" xfId="4" applyBorder="1"/>
    <xf numFmtId="11" fontId="4" fillId="5" borderId="11" xfId="4" applyNumberFormat="1" applyBorder="1"/>
    <xf numFmtId="2" fontId="4" fillId="5" borderId="11" xfId="4" applyNumberFormat="1" applyBorder="1"/>
    <xf numFmtId="166" fontId="4" fillId="5" borderId="11" xfId="4" applyNumberFormat="1" applyBorder="1"/>
    <xf numFmtId="166" fontId="5" fillId="6" borderId="11" xfId="5" applyNumberFormat="1" applyBorder="1"/>
    <xf numFmtId="11" fontId="5" fillId="6" borderId="11" xfId="5" applyNumberFormat="1" applyBorder="1"/>
    <xf numFmtId="0" fontId="4" fillId="5" borderId="3" xfId="4" applyBorder="1"/>
    <xf numFmtId="11" fontId="4" fillId="5" borderId="3" xfId="4" applyNumberFormat="1" applyBorder="1"/>
    <xf numFmtId="2" fontId="4" fillId="5" borderId="3" xfId="4" applyNumberFormat="1" applyBorder="1"/>
    <xf numFmtId="166" fontId="4" fillId="5" borderId="3" xfId="4" applyNumberFormat="1" applyBorder="1"/>
    <xf numFmtId="166" fontId="5" fillId="6" borderId="3" xfId="5" applyNumberFormat="1" applyBorder="1"/>
    <xf numFmtId="0" fontId="7" fillId="0" borderId="4" xfId="0" applyFont="1" applyBorder="1"/>
    <xf numFmtId="0" fontId="8" fillId="5" borderId="13" xfId="4" applyFont="1" applyBorder="1"/>
    <xf numFmtId="164" fontId="4" fillId="5" borderId="11" xfId="4" applyNumberFormat="1" applyBorder="1"/>
    <xf numFmtId="0" fontId="7" fillId="0" borderId="12" xfId="0" applyFont="1" applyBorder="1"/>
    <xf numFmtId="0" fontId="4" fillId="5" borderId="14" xfId="4" applyBorder="1"/>
    <xf numFmtId="11" fontId="4" fillId="5" borderId="14" xfId="4" applyNumberFormat="1" applyBorder="1"/>
    <xf numFmtId="2" fontId="4" fillId="5" borderId="14" xfId="4" applyNumberFormat="1" applyBorder="1"/>
    <xf numFmtId="166" fontId="4" fillId="5" borderId="14" xfId="4" applyNumberFormat="1" applyBorder="1"/>
    <xf numFmtId="166" fontId="5" fillId="6" borderId="14" xfId="5" applyNumberFormat="1" applyBorder="1"/>
    <xf numFmtId="11" fontId="5" fillId="6" borderId="14" xfId="5" applyNumberFormat="1" applyBorder="1"/>
    <xf numFmtId="167" fontId="4" fillId="5" borderId="11" xfId="4" applyNumberFormat="1" applyBorder="1"/>
    <xf numFmtId="165" fontId="4" fillId="5" borderId="11" xfId="4" applyNumberFormat="1" applyBorder="1"/>
    <xf numFmtId="165" fontId="4" fillId="5" borderId="14" xfId="4" applyNumberFormat="1" applyBorder="1"/>
    <xf numFmtId="164" fontId="4" fillId="5" borderId="14" xfId="4" applyNumberFormat="1" applyBorder="1"/>
    <xf numFmtId="167" fontId="4" fillId="5" borderId="14" xfId="4" applyNumberFormat="1" applyBorder="1"/>
    <xf numFmtId="0" fontId="7" fillId="0" borderId="15" xfId="0" applyFont="1" applyBorder="1"/>
    <xf numFmtId="0" fontId="4" fillId="5" borderId="14" xfId="4" applyFont="1" applyBorder="1"/>
    <xf numFmtId="11" fontId="4" fillId="5" borderId="14" xfId="4" applyNumberFormat="1" applyFont="1" applyBorder="1"/>
    <xf numFmtId="11" fontId="0" fillId="0" borderId="9" xfId="0" applyNumberFormat="1" applyFont="1" applyBorder="1"/>
    <xf numFmtId="11" fontId="6" fillId="6" borderId="14" xfId="5" applyNumberFormat="1" applyFont="1" applyBorder="1"/>
    <xf numFmtId="0" fontId="5" fillId="6" borderId="3" xfId="5" applyNumberFormat="1"/>
    <xf numFmtId="0" fontId="0" fillId="0" borderId="16" xfId="0" applyBorder="1"/>
    <xf numFmtId="0" fontId="0" fillId="0" borderId="17" xfId="0" applyBorder="1"/>
    <xf numFmtId="165" fontId="7" fillId="0" borderId="15" xfId="0" applyNumberFormat="1" applyFont="1" applyBorder="1"/>
    <xf numFmtId="165" fontId="0" fillId="0" borderId="0" xfId="0" applyNumberFormat="1" applyBorder="1"/>
    <xf numFmtId="165" fontId="0" fillId="0" borderId="16" xfId="0" applyNumberFormat="1" applyBorder="1"/>
    <xf numFmtId="11" fontId="0" fillId="0" borderId="17" xfId="0" applyNumberFormat="1" applyBorder="1"/>
    <xf numFmtId="165" fontId="0" fillId="0" borderId="6" xfId="0" applyNumberFormat="1" applyBorder="1"/>
    <xf numFmtId="2" fontId="0" fillId="0" borderId="9" xfId="0" applyNumberFormat="1" applyBorder="1"/>
    <xf numFmtId="164" fontId="5" fillId="6" borderId="11" xfId="5" applyNumberFormat="1" applyBorder="1"/>
    <xf numFmtId="164" fontId="5" fillId="6" borderId="14" xfId="5" applyNumberFormat="1" applyBorder="1"/>
    <xf numFmtId="2" fontId="0" fillId="0" borderId="17" xfId="0" applyNumberFormat="1" applyBorder="1"/>
    <xf numFmtId="11" fontId="5" fillId="6" borderId="18" xfId="5" applyNumberFormat="1" applyBorder="1"/>
    <xf numFmtId="11" fontId="5" fillId="6" borderId="19" xfId="5" applyNumberFormat="1" applyBorder="1"/>
    <xf numFmtId="11" fontId="5" fillId="6" borderId="20" xfId="5" applyNumberFormat="1" applyBorder="1"/>
    <xf numFmtId="165" fontId="5" fillId="6" borderId="3" xfId="5" applyNumberFormat="1"/>
    <xf numFmtId="1" fontId="5" fillId="6" borderId="3" xfId="5" applyNumberFormat="1"/>
    <xf numFmtId="166" fontId="8" fillId="5" borderId="22" xfId="4" applyNumberFormat="1" applyFont="1" applyBorder="1"/>
    <xf numFmtId="166" fontId="8" fillId="5" borderId="23" xfId="4" applyNumberFormat="1" applyFont="1" applyBorder="1"/>
    <xf numFmtId="166" fontId="8" fillId="5" borderId="24" xfId="4" applyNumberFormat="1" applyFont="1" applyBorder="1"/>
    <xf numFmtId="0" fontId="8" fillId="5" borderId="25" xfId="4" applyFont="1" applyBorder="1"/>
    <xf numFmtId="0" fontId="0" fillId="0" borderId="26" xfId="0" applyBorder="1"/>
    <xf numFmtId="0" fontId="0" fillId="0" borderId="28" xfId="0" applyBorder="1"/>
    <xf numFmtId="2" fontId="4" fillId="5" borderId="29" xfId="4" applyNumberFormat="1" applyBorder="1"/>
    <xf numFmtId="0" fontId="0" fillId="0" borderId="30" xfId="0" applyBorder="1"/>
    <xf numFmtId="0" fontId="10" fillId="0" borderId="28" xfId="0" applyFont="1" applyBorder="1"/>
    <xf numFmtId="0" fontId="0" fillId="0" borderId="28" xfId="0" applyFill="1" applyBorder="1"/>
    <xf numFmtId="11" fontId="5" fillId="6" borderId="27" xfId="5" applyNumberFormat="1" applyBorder="1"/>
    <xf numFmtId="11" fontId="5" fillId="6" borderId="31" xfId="5" applyNumberFormat="1" applyBorder="1"/>
    <xf numFmtId="169" fontId="5" fillId="6" borderId="26" xfId="5" applyNumberFormat="1" applyBorder="1"/>
    <xf numFmtId="0" fontId="8" fillId="5" borderId="1" xfId="4" applyFont="1" applyBorder="1"/>
    <xf numFmtId="0" fontId="4" fillId="5" borderId="2" xfId="4" applyBorder="1"/>
    <xf numFmtId="0" fontId="0" fillId="0" borderId="16" xfId="0" applyFill="1" applyBorder="1"/>
    <xf numFmtId="2" fontId="5" fillId="6" borderId="34" xfId="5" applyNumberFormat="1" applyBorder="1"/>
    <xf numFmtId="1" fontId="0" fillId="0" borderId="0" xfId="0" applyNumberFormat="1" applyBorder="1"/>
    <xf numFmtId="1" fontId="0" fillId="0" borderId="17" xfId="0" applyNumberFormat="1" applyBorder="1"/>
    <xf numFmtId="0" fontId="0" fillId="0" borderId="6" xfId="0" applyBorder="1" applyAlignment="1">
      <alignment wrapText="1"/>
    </xf>
    <xf numFmtId="0" fontId="0" fillId="0" borderId="0" xfId="0" applyBorder="1" applyAlignment="1">
      <alignment wrapText="1"/>
    </xf>
    <xf numFmtId="165" fontId="0" fillId="0" borderId="9" xfId="0" applyNumberFormat="1" applyBorder="1"/>
    <xf numFmtId="165" fontId="0" fillId="0" borderId="7" xfId="0" applyNumberFormat="1" applyBorder="1"/>
    <xf numFmtId="0" fontId="7" fillId="0" borderId="0" xfId="0" applyFont="1" applyBorder="1" applyAlignment="1">
      <alignment wrapText="1"/>
    </xf>
    <xf numFmtId="1" fontId="4" fillId="5" borderId="27" xfId="4" applyNumberFormat="1" applyBorder="1"/>
    <xf numFmtId="0" fontId="4" fillId="5" borderId="35" xfId="4" applyBorder="1"/>
    <xf numFmtId="169" fontId="2" fillId="3" borderId="0" xfId="2" applyNumberFormat="1" applyBorder="1"/>
    <xf numFmtId="169" fontId="2" fillId="3" borderId="36" xfId="2" applyNumberFormat="1" applyBorder="1"/>
    <xf numFmtId="169" fontId="2" fillId="3" borderId="29" xfId="2" applyNumberFormat="1" applyBorder="1"/>
    <xf numFmtId="169" fontId="2" fillId="3" borderId="17" xfId="2" applyNumberFormat="1" applyBorder="1"/>
    <xf numFmtId="169" fontId="2" fillId="3" borderId="31" xfId="2" applyNumberFormat="1" applyBorder="1"/>
    <xf numFmtId="165" fontId="5" fillId="6" borderId="32" xfId="5" applyNumberFormat="1" applyBorder="1"/>
    <xf numFmtId="165" fontId="5" fillId="6" borderId="33" xfId="5" applyNumberFormat="1" applyBorder="1"/>
    <xf numFmtId="165" fontId="5" fillId="6" borderId="34" xfId="5" applyNumberFormat="1" applyBorder="1"/>
    <xf numFmtId="0" fontId="0" fillId="0" borderId="4" xfId="0" applyBorder="1" applyAlignment="1">
      <alignment wrapText="1"/>
    </xf>
    <xf numFmtId="0" fontId="0" fillId="0" borderId="21" xfId="0" applyBorder="1"/>
    <xf numFmtId="0" fontId="12" fillId="3" borderId="21" xfId="2" applyFont="1" applyBorder="1"/>
    <xf numFmtId="0" fontId="13" fillId="2" borderId="21" xfId="1" applyFont="1" applyBorder="1"/>
    <xf numFmtId="0" fontId="14" fillId="4" borderId="21" xfId="3" applyFont="1" applyBorder="1"/>
    <xf numFmtId="165" fontId="2" fillId="3" borderId="21" xfId="2" applyNumberFormat="1" applyBorder="1"/>
    <xf numFmtId="165" fontId="1" fillId="2" borderId="21" xfId="1" applyNumberFormat="1" applyBorder="1"/>
    <xf numFmtId="165" fontId="3" fillId="4" borderId="21" xfId="3" applyNumberFormat="1" applyBorder="1"/>
    <xf numFmtId="166" fontId="0" fillId="0" borderId="9" xfId="0" applyNumberFormat="1" applyBorder="1"/>
    <xf numFmtId="166" fontId="0" fillId="0" borderId="0" xfId="0" applyNumberFormat="1" applyBorder="1"/>
    <xf numFmtId="165" fontId="0" fillId="0" borderId="16" xfId="0" applyNumberFormat="1" applyFill="1" applyBorder="1"/>
    <xf numFmtId="168" fontId="0" fillId="0" borderId="0" xfId="0" applyNumberFormat="1" applyBorder="1"/>
    <xf numFmtId="168" fontId="0" fillId="0" borderId="9" xfId="0" applyNumberFormat="1" applyBorder="1"/>
    <xf numFmtId="1" fontId="0" fillId="0" borderId="0" xfId="0" applyNumberFormat="1"/>
    <xf numFmtId="170" fontId="0" fillId="0" borderId="0" xfId="0" applyNumberFormat="1"/>
    <xf numFmtId="0" fontId="0" fillId="0" borderId="37" xfId="0" applyBorder="1"/>
    <xf numFmtId="165" fontId="0" fillId="0" borderId="37" xfId="0" applyNumberFormat="1" applyBorder="1"/>
    <xf numFmtId="0" fontId="0" fillId="0" borderId="6" xfId="0" applyFont="1" applyBorder="1"/>
    <xf numFmtId="0" fontId="0" fillId="0" borderId="16" xfId="0" applyFont="1" applyFill="1" applyBorder="1"/>
    <xf numFmtId="0" fontId="0" fillId="0" borderId="6" xfId="0" applyFont="1" applyFill="1" applyBorder="1"/>
    <xf numFmtId="0" fontId="0" fillId="0" borderId="6" xfId="0" applyFill="1" applyBorder="1"/>
    <xf numFmtId="2" fontId="7" fillId="0" borderId="15" xfId="0" applyNumberFormat="1" applyFont="1" applyBorder="1"/>
    <xf numFmtId="2" fontId="4" fillId="5" borderId="14" xfId="4" applyNumberFormat="1" applyFont="1" applyBorder="1"/>
    <xf numFmtId="2" fontId="0" fillId="0" borderId="0" xfId="0" applyNumberFormat="1" applyFill="1" applyBorder="1"/>
    <xf numFmtId="2" fontId="0" fillId="0" borderId="9" xfId="0" applyNumberFormat="1" applyFill="1" applyBorder="1"/>
    <xf numFmtId="0" fontId="4" fillId="5" borderId="38" xfId="4" applyBorder="1"/>
    <xf numFmtId="0" fontId="4" fillId="5" borderId="23" xfId="4" applyBorder="1"/>
    <xf numFmtId="0" fontId="5" fillId="6" borderId="38" xfId="5" applyBorder="1"/>
    <xf numFmtId="167" fontId="5" fillId="6" borderId="23" xfId="5" applyNumberFormat="1" applyBorder="1"/>
    <xf numFmtId="0" fontId="5" fillId="6" borderId="39" xfId="5" applyBorder="1"/>
    <xf numFmtId="167" fontId="5" fillId="6" borderId="24" xfId="5" applyNumberFormat="1" applyBorder="1"/>
    <xf numFmtId="168" fontId="0" fillId="0" borderId="0" xfId="0" applyNumberFormat="1"/>
    <xf numFmtId="167" fontId="0" fillId="0" borderId="0" xfId="0" applyNumberFormat="1" applyFont="1" applyBorder="1"/>
    <xf numFmtId="0" fontId="2" fillId="3" borderId="0" xfId="2"/>
    <xf numFmtId="165" fontId="2" fillId="3" borderId="0" xfId="2" applyNumberFormat="1"/>
    <xf numFmtId="0" fontId="1" fillId="2" borderId="0" xfId="1"/>
    <xf numFmtId="165" fontId="1" fillId="2" borderId="0" xfId="1" applyNumberFormat="1"/>
    <xf numFmtId="165" fontId="3" fillId="4" borderId="0" xfId="3" applyNumberFormat="1"/>
    <xf numFmtId="2" fontId="5" fillId="6" borderId="3" xfId="5" applyNumberFormat="1"/>
    <xf numFmtId="0" fontId="3" fillId="4" borderId="0" xfId="3" applyBorder="1"/>
    <xf numFmtId="165" fontId="3" fillId="4" borderId="0" xfId="3" applyNumberFormat="1" applyBorder="1"/>
    <xf numFmtId="0" fontId="1" fillId="2" borderId="0" xfId="1" applyBorder="1"/>
    <xf numFmtId="165" fontId="1" fillId="2" borderId="0" xfId="1" applyNumberFormat="1" applyBorder="1"/>
    <xf numFmtId="0" fontId="3" fillId="4" borderId="37" xfId="3" applyBorder="1"/>
    <xf numFmtId="165" fontId="3" fillId="4" borderId="37" xfId="3" applyNumberFormat="1" applyBorder="1"/>
    <xf numFmtId="0" fontId="1" fillId="2" borderId="37" xfId="1" applyBorder="1"/>
    <xf numFmtId="165" fontId="1" fillId="2" borderId="37" xfId="1" applyNumberFormat="1" applyBorder="1"/>
    <xf numFmtId="0" fontId="2" fillId="3" borderId="40" xfId="2" applyBorder="1"/>
    <xf numFmtId="165" fontId="2" fillId="3" borderId="40" xfId="2" applyNumberFormat="1" applyBorder="1"/>
    <xf numFmtId="0" fontId="2" fillId="3" borderId="41" xfId="2" applyBorder="1"/>
    <xf numFmtId="165" fontId="2" fillId="3" borderId="41" xfId="2" applyNumberFormat="1" applyBorder="1"/>
    <xf numFmtId="0" fontId="3" fillId="4" borderId="0" xfId="3"/>
    <xf numFmtId="0" fontId="1" fillId="2" borderId="41" xfId="1" applyBorder="1"/>
    <xf numFmtId="165" fontId="1" fillId="2" borderId="41" xfId="1" applyNumberFormat="1" applyBorder="1"/>
    <xf numFmtId="0" fontId="2" fillId="3" borderId="37" xfId="2" applyBorder="1"/>
    <xf numFmtId="165" fontId="2" fillId="3" borderId="37" xfId="2" applyNumberFormat="1" applyBorder="1"/>
    <xf numFmtId="0" fontId="7" fillId="0" borderId="0" xfId="0" applyFont="1" applyAlignment="1">
      <alignment wrapText="1"/>
    </xf>
    <xf numFmtId="0" fontId="4" fillId="5" borderId="3" xfId="4" applyAlignment="1"/>
    <xf numFmtId="0" fontId="4" fillId="5" borderId="11" xfId="4" applyBorder="1" applyAlignment="1"/>
    <xf numFmtId="0" fontId="4" fillId="5" borderId="14" xfId="4" applyBorder="1" applyAlignment="1"/>
    <xf numFmtId="165" fontId="4" fillId="5" borderId="3" xfId="4" applyNumberFormat="1" applyBorder="1"/>
    <xf numFmtId="11" fontId="4" fillId="5" borderId="23" xfId="4" applyNumberFormat="1" applyBorder="1"/>
    <xf numFmtId="0" fontId="4" fillId="5" borderId="42" xfId="4" applyBorder="1"/>
    <xf numFmtId="11" fontId="4" fillId="5" borderId="42" xfId="4" applyNumberFormat="1" applyBorder="1"/>
    <xf numFmtId="165" fontId="4" fillId="5" borderId="42" xfId="4" applyNumberFormat="1" applyBorder="1"/>
    <xf numFmtId="2" fontId="4" fillId="5" borderId="42" xfId="4" applyNumberFormat="1" applyBorder="1"/>
    <xf numFmtId="166" fontId="4" fillId="5" borderId="42" xfId="4" applyNumberFormat="1" applyBorder="1"/>
    <xf numFmtId="166" fontId="5" fillId="6" borderId="42" xfId="5" applyNumberFormat="1" applyBorder="1"/>
    <xf numFmtId="0" fontId="0" fillId="0" borderId="0" xfId="0" applyAlignment="1">
      <alignment wrapText="1"/>
    </xf>
    <xf numFmtId="168" fontId="8" fillId="5" borderId="3" xfId="4" applyNumberFormat="1" applyFont="1"/>
    <xf numFmtId="2" fontId="5" fillId="6" borderId="32" xfId="5" applyNumberFormat="1" applyBorder="1"/>
    <xf numFmtId="2" fontId="5" fillId="6" borderId="33" xfId="5" applyNumberFormat="1" applyBorder="1"/>
    <xf numFmtId="168" fontId="4" fillId="5" borderId="3" xfId="4" applyNumberFormat="1" applyFont="1"/>
    <xf numFmtId="0" fontId="18" fillId="0" borderId="0" xfId="0" applyFont="1" applyAlignment="1">
      <alignment wrapText="1"/>
    </xf>
    <xf numFmtId="165" fontId="5" fillId="6" borderId="43" xfId="5" applyNumberFormat="1" applyBorder="1"/>
    <xf numFmtId="165" fontId="17" fillId="7" borderId="3" xfId="6" applyNumberFormat="1" applyBorder="1"/>
    <xf numFmtId="165" fontId="17" fillId="8" borderId="3" xfId="7" applyNumberFormat="1" applyBorder="1"/>
    <xf numFmtId="165" fontId="17" fillId="9" borderId="3" xfId="8" applyNumberFormat="1" applyBorder="1"/>
    <xf numFmtId="165" fontId="17" fillId="10" borderId="3" xfId="9" applyNumberFormat="1" applyBorder="1"/>
    <xf numFmtId="165" fontId="17" fillId="11" borderId="3" xfId="10" applyNumberFormat="1" applyBorder="1"/>
    <xf numFmtId="0" fontId="16" fillId="7" borderId="0" xfId="6" applyFont="1" applyAlignment="1">
      <alignment wrapText="1"/>
    </xf>
    <xf numFmtId="0" fontId="16" fillId="8" borderId="0" xfId="7" applyFont="1" applyAlignment="1">
      <alignment wrapText="1"/>
    </xf>
    <xf numFmtId="0" fontId="16" fillId="9" borderId="0" xfId="8" applyFont="1" applyAlignment="1">
      <alignment wrapText="1"/>
    </xf>
    <xf numFmtId="0" fontId="16" fillId="10" borderId="0" xfId="9" applyFont="1" applyAlignment="1">
      <alignment wrapText="1"/>
    </xf>
    <xf numFmtId="0" fontId="16" fillId="11" borderId="0" xfId="10" applyFont="1" applyAlignment="1">
      <alignment wrapText="1"/>
    </xf>
    <xf numFmtId="171" fontId="0" fillId="0" borderId="0" xfId="0" applyNumberFormat="1"/>
    <xf numFmtId="172" fontId="0" fillId="0" borderId="0" xfId="0" applyNumberFormat="1"/>
    <xf numFmtId="165" fontId="19" fillId="0" borderId="0" xfId="0" applyNumberFormat="1" applyFont="1"/>
    <xf numFmtId="173" fontId="0" fillId="0" borderId="0" xfId="0" applyNumberFormat="1"/>
    <xf numFmtId="2" fontId="0" fillId="0" borderId="0" xfId="0" applyNumberFormat="1" applyFont="1"/>
    <xf numFmtId="0" fontId="17" fillId="10" borderId="0" xfId="9" applyAlignment="1">
      <alignment wrapText="1"/>
    </xf>
    <xf numFmtId="165" fontId="17" fillId="10" borderId="0" xfId="9" applyNumberFormat="1"/>
    <xf numFmtId="11" fontId="5" fillId="6" borderId="26" xfId="5" applyNumberFormat="1" applyBorder="1"/>
    <xf numFmtId="11" fontId="5" fillId="6" borderId="32" xfId="5" applyNumberFormat="1" applyBorder="1"/>
    <xf numFmtId="11" fontId="5" fillId="6" borderId="33" xfId="5" applyNumberFormat="1" applyBorder="1"/>
  </cellXfs>
  <cellStyles count="11">
    <cellStyle name="Accent1" xfId="6" builtinId="29"/>
    <cellStyle name="Accent2" xfId="7" builtinId="33"/>
    <cellStyle name="Accent3" xfId="8" builtinId="37"/>
    <cellStyle name="Accent4" xfId="9" builtinId="41"/>
    <cellStyle name="Accent5" xfId="10" builtinId="45"/>
    <cellStyle name="Bad" xfId="2" builtinId="27"/>
    <cellStyle name="Calculation" xfId="5" builtinId="22"/>
    <cellStyle name="Good" xfId="1" builtinId="26"/>
    <cellStyle name="Input" xfId="4" builtinId="20"/>
    <cellStyle name="Neutral" xfId="3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/>
      <c:scatterChart>
        <c:scatterStyle val="lineMarker"/>
        <c:ser>
          <c:idx val="1"/>
          <c:order val="0"/>
          <c:tx>
            <c:strRef>
              <c:f>Sheet1!$AP$170</c:f>
              <c:strCache>
                <c:ptCount val="1"/>
                <c:pt idx="0">
                  <c:v>293.15 K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Sheet1!$O$196:$O$199</c:f>
              <c:numCache>
                <c:formatCode>General</c:formatCode>
                <c:ptCount val="4"/>
                <c:pt idx="0">
                  <c:v>1.85</c:v>
                </c:pt>
                <c:pt idx="1">
                  <c:v>3.7</c:v>
                </c:pt>
                <c:pt idx="2">
                  <c:v>5.55</c:v>
                </c:pt>
                <c:pt idx="3">
                  <c:v>7.4</c:v>
                </c:pt>
              </c:numCache>
            </c:numRef>
          </c:xVal>
          <c:yVal>
            <c:numRef>
              <c:f>Sheet1!$V$196:$V$199</c:f>
              <c:numCache>
                <c:formatCode>0.00E+00</c:formatCode>
                <c:ptCount val="4"/>
                <c:pt idx="0">
                  <c:v>1.30272560551445E-6</c:v>
                </c:pt>
                <c:pt idx="1">
                  <c:v>1.8757692064464971E-6</c:v>
                </c:pt>
                <c:pt idx="2">
                  <c:v>2.5329694652403814E-6</c:v>
                </c:pt>
                <c:pt idx="3">
                  <c:v>2.7212274224226411E-6</c:v>
                </c:pt>
              </c:numCache>
            </c:numRef>
          </c:yVal>
        </c:ser>
        <c:ser>
          <c:idx val="5"/>
          <c:order val="1"/>
          <c:tx>
            <c:strRef>
              <c:f>Sheet1!$AP$171</c:f>
              <c:strCache>
                <c:ptCount val="1"/>
                <c:pt idx="0">
                  <c:v>298.15 K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Sheet1!$O$212:$O$215</c:f>
              <c:numCache>
                <c:formatCode>General</c:formatCode>
                <c:ptCount val="4"/>
                <c:pt idx="0">
                  <c:v>1.85</c:v>
                </c:pt>
                <c:pt idx="1">
                  <c:v>3.7</c:v>
                </c:pt>
                <c:pt idx="2">
                  <c:v>5.55</c:v>
                </c:pt>
                <c:pt idx="3">
                  <c:v>7.4</c:v>
                </c:pt>
              </c:numCache>
            </c:numRef>
          </c:xVal>
          <c:yVal>
            <c:numRef>
              <c:f>Sheet1!$V$212:$V$215</c:f>
              <c:numCache>
                <c:formatCode>0.00E+00</c:formatCode>
                <c:ptCount val="4"/>
                <c:pt idx="0">
                  <c:v>2.61761257777194E-6</c:v>
                </c:pt>
                <c:pt idx="1">
                  <c:v>4.033195666661802E-6</c:v>
                </c:pt>
                <c:pt idx="2">
                  <c:v>4.3391756539166891E-6</c:v>
                </c:pt>
                <c:pt idx="3">
                  <c:v>5.1320967655629004E-6</c:v>
                </c:pt>
              </c:numCache>
            </c:numRef>
          </c:yVal>
        </c:ser>
        <c:ser>
          <c:idx val="2"/>
          <c:order val="2"/>
          <c:tx>
            <c:strRef>
              <c:f>Sheet1!$AP$172</c:f>
              <c:strCache>
                <c:ptCount val="1"/>
                <c:pt idx="0">
                  <c:v>303.15 K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8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Sheet1!$O$200:$O$203</c:f>
              <c:numCache>
                <c:formatCode>General</c:formatCode>
                <c:ptCount val="4"/>
                <c:pt idx="0">
                  <c:v>1.85</c:v>
                </c:pt>
                <c:pt idx="1">
                  <c:v>3.7</c:v>
                </c:pt>
                <c:pt idx="2">
                  <c:v>5.55</c:v>
                </c:pt>
                <c:pt idx="3">
                  <c:v>7.4</c:v>
                </c:pt>
              </c:numCache>
            </c:numRef>
          </c:xVal>
          <c:yVal>
            <c:numRef>
              <c:f>Sheet1!$V$200:$V$203</c:f>
              <c:numCache>
                <c:formatCode>0.00E+00</c:formatCode>
                <c:ptCount val="4"/>
                <c:pt idx="0">
                  <c:v>5.2877622598738127E-6</c:v>
                </c:pt>
                <c:pt idx="1">
                  <c:v>7.0535927109632278E-6</c:v>
                </c:pt>
                <c:pt idx="2">
                  <c:v>8.1578448112312655E-6</c:v>
                </c:pt>
                <c:pt idx="3">
                  <c:v>9.1648059775549793E-6</c:v>
                </c:pt>
              </c:numCache>
            </c:numRef>
          </c:yVal>
        </c:ser>
        <c:ser>
          <c:idx val="4"/>
          <c:order val="3"/>
          <c:tx>
            <c:strRef>
              <c:f>Sheet1!$AP$173</c:f>
              <c:strCache>
                <c:ptCount val="1"/>
                <c:pt idx="0">
                  <c:v>308.15 K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8"/>
            <c:spPr>
              <a:noFill/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xVal>
            <c:numRef>
              <c:f>Sheet1!$O$208:$O$211</c:f>
              <c:numCache>
                <c:formatCode>General</c:formatCode>
                <c:ptCount val="4"/>
                <c:pt idx="0">
                  <c:v>1.85</c:v>
                </c:pt>
                <c:pt idx="1">
                  <c:v>3.7</c:v>
                </c:pt>
                <c:pt idx="2">
                  <c:v>5.55</c:v>
                </c:pt>
                <c:pt idx="3">
                  <c:v>7.4</c:v>
                </c:pt>
              </c:numCache>
            </c:numRef>
          </c:xVal>
          <c:yVal>
            <c:numRef>
              <c:f>Sheet1!$V$208:$V$211</c:f>
              <c:numCache>
                <c:formatCode>0.00E+00</c:formatCode>
                <c:ptCount val="4"/>
                <c:pt idx="0">
                  <c:v>1.0050153476448295E-5</c:v>
                </c:pt>
                <c:pt idx="1">
                  <c:v>1.0818751854608427E-5</c:v>
                </c:pt>
                <c:pt idx="2">
                  <c:v>1.3941790834221112E-5</c:v>
                </c:pt>
                <c:pt idx="3">
                  <c:v>1.8859847545106509E-5</c:v>
                </c:pt>
              </c:numCache>
            </c:numRef>
          </c:yVal>
        </c:ser>
        <c:ser>
          <c:idx val="3"/>
          <c:order val="4"/>
          <c:tx>
            <c:strRef>
              <c:f>Sheet1!$AP$174</c:f>
              <c:strCache>
                <c:ptCount val="1"/>
                <c:pt idx="0">
                  <c:v>313.15 K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8"/>
            <c:spPr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xVal>
            <c:numRef>
              <c:f>Sheet1!$O$204:$O$207</c:f>
              <c:numCache>
                <c:formatCode>General</c:formatCode>
                <c:ptCount val="4"/>
                <c:pt idx="0">
                  <c:v>1.85</c:v>
                </c:pt>
                <c:pt idx="1">
                  <c:v>3.7</c:v>
                </c:pt>
                <c:pt idx="2">
                  <c:v>5.55</c:v>
                </c:pt>
                <c:pt idx="3">
                  <c:v>7.4</c:v>
                </c:pt>
              </c:numCache>
            </c:numRef>
          </c:xVal>
          <c:yVal>
            <c:numRef>
              <c:f>Sheet1!$V$204:$V$207</c:f>
              <c:numCache>
                <c:formatCode>0.00E+00</c:formatCode>
                <c:ptCount val="4"/>
                <c:pt idx="0">
                  <c:v>1.628341406159594E-5</c:v>
                </c:pt>
                <c:pt idx="1">
                  <c:v>1.6525874372496185E-5</c:v>
                </c:pt>
                <c:pt idx="2">
                  <c:v>2.0267477806615858E-5</c:v>
                </c:pt>
                <c:pt idx="3">
                  <c:v>2.7216169898552402E-5</c:v>
                </c:pt>
              </c:numCache>
            </c:numRef>
          </c:yVal>
        </c:ser>
        <c:ser>
          <c:idx val="0"/>
          <c:order val="5"/>
          <c:tx>
            <c:strRef>
              <c:f>Sheet1!$I$192</c:f>
              <c:strCache>
                <c:ptCount val="1"/>
                <c:pt idx="0">
                  <c:v>288.15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ysClr val="windowText" lastClr="000000"/>
              </a:solidFill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xVal>
            <c:numRef>
              <c:f>Sheet1!$O$192:$O$195</c:f>
              <c:numCache>
                <c:formatCode>General</c:formatCode>
                <c:ptCount val="4"/>
                <c:pt idx="0">
                  <c:v>1.85</c:v>
                </c:pt>
                <c:pt idx="1">
                  <c:v>3.7</c:v>
                </c:pt>
                <c:pt idx="2">
                  <c:v>5.55</c:v>
                </c:pt>
                <c:pt idx="3">
                  <c:v>7.4</c:v>
                </c:pt>
              </c:numCache>
            </c:numRef>
          </c:xVal>
          <c:yVal>
            <c:numRef>
              <c:f>Sheet1!$V$192:$V$195</c:f>
              <c:numCache>
                <c:formatCode>0.00E+00</c:formatCode>
                <c:ptCount val="4"/>
                <c:pt idx="0">
                  <c:v>7.7201567175282273E-7</c:v>
                </c:pt>
                <c:pt idx="1">
                  <c:v>9.5771822805596432E-7</c:v>
                </c:pt>
                <c:pt idx="2">
                  <c:v>1.189708661894607E-6</c:v>
                </c:pt>
                <c:pt idx="3">
                  <c:v>1.5219894970601687E-6</c:v>
                </c:pt>
              </c:numCache>
            </c:numRef>
          </c:yVal>
        </c:ser>
        <c:ser>
          <c:idx val="6"/>
          <c:order val="6"/>
          <c:tx>
            <c:strRef>
              <c:f>Sheet1!$AQ$177</c:f>
              <c:strCache>
                <c:ptCount val="1"/>
                <c:pt idx="0">
                  <c:v>MM fit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Sheet1!$AP$178:$AP$257</c:f>
              <c:numCache>
                <c:formatCode>0.0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7.6999999999999904</c:v>
                </c:pt>
                <c:pt idx="78">
                  <c:v>7.7999999999999901</c:v>
                </c:pt>
                <c:pt idx="79">
                  <c:v>7.8999999999999897</c:v>
                </c:pt>
              </c:numCache>
            </c:numRef>
          </c:xVal>
          <c:yVal>
            <c:numRef>
              <c:f>Sheet1!$AQ$178:$AQ$257</c:f>
              <c:numCache>
                <c:formatCode>0.0E+00</c:formatCode>
                <c:ptCount val="80"/>
                <c:pt idx="0">
                  <c:v>0</c:v>
                </c:pt>
                <c:pt idx="1">
                  <c:v>5.0317634173055869E-8</c:v>
                </c:pt>
                <c:pt idx="2">
                  <c:v>9.8478027867095408E-8</c:v>
                </c:pt>
                <c:pt idx="3">
                  <c:v>1.4461699895068206E-7</c:v>
                </c:pt>
                <c:pt idx="4">
                  <c:v>1.8885919835560125E-7</c:v>
                </c:pt>
                <c:pt idx="5">
                  <c:v>2.313192346424975E-7</c:v>
                </c:pt>
                <c:pt idx="6">
                  <c:v>2.7210266535044425E-7</c:v>
                </c:pt>
                <c:pt idx="7">
                  <c:v>3.1130687318489838E-7</c:v>
                </c:pt>
                <c:pt idx="8">
                  <c:v>3.4902184235517573E-7</c:v>
                </c:pt>
                <c:pt idx="9">
                  <c:v>3.8533084808946878E-7</c:v>
                </c:pt>
                <c:pt idx="10">
                  <c:v>4.2031107044830743E-7</c:v>
                </c:pt>
                <c:pt idx="11">
                  <c:v>4.5403414195867034E-7</c:v>
                </c:pt>
                <c:pt idx="12">
                  <c:v>4.8656663724624891E-7</c:v>
                </c:pt>
                <c:pt idx="13">
                  <c:v>5.1797051170858639E-7</c:v>
                </c:pt>
                <c:pt idx="14">
                  <c:v>5.4830349531116791E-7</c:v>
                </c:pt>
                <c:pt idx="15">
                  <c:v>5.7761944677284166E-7</c:v>
                </c:pt>
                <c:pt idx="16">
                  <c:v>6.0596867271228374E-7</c:v>
                </c:pt>
                <c:pt idx="17">
                  <c:v>6.3339821573398224E-7</c:v>
                </c:pt>
                <c:pt idx="18">
                  <c:v>6.5995211492418205E-7</c:v>
                </c:pt>
                <c:pt idx="19">
                  <c:v>6.856716417910447E-7</c:v>
                </c:pt>
                <c:pt idx="20">
                  <c:v>7.1059551430781141E-7</c:v>
                </c:pt>
                <c:pt idx="21">
                  <c:v>7.3476009139375492E-7</c:v>
                </c:pt>
                <c:pt idx="22">
                  <c:v>7.5819954988747195E-7</c:v>
                </c:pt>
                <c:pt idx="23">
                  <c:v>7.8094604582409473E-7</c:v>
                </c:pt>
                <c:pt idx="24">
                  <c:v>8.0302986161689726E-7</c:v>
                </c:pt>
                <c:pt idx="25">
                  <c:v>8.2447954055994268E-7</c:v>
                </c:pt>
                <c:pt idx="26">
                  <c:v>8.4532200990799739E-7</c:v>
                </c:pt>
                <c:pt idx="27">
                  <c:v>8.6558269364968605E-7</c:v>
                </c:pt>
                <c:pt idx="28">
                  <c:v>8.8528561596696501E-7</c:v>
                </c:pt>
                <c:pt idx="29">
                  <c:v>9.0445349626612352E-7</c:v>
                </c:pt>
                <c:pt idx="30">
                  <c:v>9.2310783657066319E-7</c:v>
                </c:pt>
                <c:pt idx="31">
                  <c:v>9.4126900198281581E-7</c:v>
                </c:pt>
                <c:pt idx="32">
                  <c:v>9.589562948467059E-7</c:v>
                </c:pt>
                <c:pt idx="33">
                  <c:v>9.7618802318094014E-7</c:v>
                </c:pt>
                <c:pt idx="34">
                  <c:v>9.9298156389065493E-7</c:v>
                </c:pt>
                <c:pt idx="35">
                  <c:v>1.009353421217828E-6</c:v>
                </c:pt>
                <c:pt idx="36">
                  <c:v>1.0253192808431495E-6</c:v>
                </c:pt>
                <c:pt idx="37">
                  <c:v>1.0408940600122476E-6</c:v>
                </c:pt>
                <c:pt idx="38">
                  <c:v>1.0560919540229884E-6</c:v>
                </c:pt>
                <c:pt idx="39">
                  <c:v>1.0709264793783622E-6</c:v>
                </c:pt>
                <c:pt idx="40">
                  <c:v>1.0854105138806853E-6</c:v>
                </c:pt>
                <c:pt idx="41">
                  <c:v>1.0995563339171045E-6</c:v>
                </c:pt>
                <c:pt idx="42">
                  <c:v>1.113375649163301E-6</c:v>
                </c:pt>
                <c:pt idx="43">
                  <c:v>1.1268796349115802E-6</c:v>
                </c:pt>
                <c:pt idx="44">
                  <c:v>1.1400789622109419E-6</c:v>
                </c:pt>
                <c:pt idx="45">
                  <c:v>1.1529838259899612E-6</c:v>
                </c:pt>
                <c:pt idx="46">
                  <c:v>1.1656039713182572E-6</c:v>
                </c:pt>
                <c:pt idx="47">
                  <c:v>1.1779487179487182E-6</c:v>
                </c:pt>
                <c:pt idx="48">
                  <c:v>1.1900269832703723E-6</c:v>
                </c:pt>
                <c:pt idx="49">
                  <c:v>1.2018473037907104E-6</c:v>
                </c:pt>
                <c:pt idx="50">
                  <c:v>1.2134178552562071E-6</c:v>
                </c:pt>
                <c:pt idx="51">
                  <c:v>1.2247464715107162E-6</c:v>
                </c:pt>
                <c:pt idx="52">
                  <c:v>1.2358406621831353E-6</c:v>
                </c:pt>
                <c:pt idx="53">
                  <c:v>1.2467076292882744E-6</c:v>
                </c:pt>
                <c:pt idx="54">
                  <c:v>1.2573542828180437E-6</c:v>
                </c:pt>
                <c:pt idx="55">
                  <c:v>1.2677872553938786E-6</c:v>
                </c:pt>
                <c:pt idx="56">
                  <c:v>1.2780129160457031E-6</c:v>
                </c:pt>
                <c:pt idx="57">
                  <c:v>1.2880373831775703E-6</c:v>
                </c:pt>
                <c:pt idx="58">
                  <c:v>1.2978665367754505E-6</c:v>
                </c:pt>
                <c:pt idx="59">
                  <c:v>1.3075060299083456E-6</c:v>
                </c:pt>
                <c:pt idx="60">
                  <c:v>1.3169612995699953E-6</c:v>
                </c:pt>
                <c:pt idx="61">
                  <c:v>1.3262375769048748E-6</c:v>
                </c:pt>
                <c:pt idx="62">
                  <c:v>1.3353398968588845E-6</c:v>
                </c:pt>
                <c:pt idx="63">
                  <c:v>1.3442731072921505E-6</c:v>
                </c:pt>
                <c:pt idx="64">
                  <c:v>1.3530418775885873E-6</c:v>
                </c:pt>
                <c:pt idx="65">
                  <c:v>1.3616507067943459E-6</c:v>
                </c:pt>
                <c:pt idx="66">
                  <c:v>1.3701039313149571E-6</c:v>
                </c:pt>
                <c:pt idx="67">
                  <c:v>1.378405732198836E-6</c:v>
                </c:pt>
                <c:pt idx="68">
                  <c:v>1.3865601420328452E-6</c:v>
                </c:pt>
                <c:pt idx="69">
                  <c:v>1.3945710514738231E-6</c:v>
                </c:pt>
                <c:pt idx="70">
                  <c:v>1.4024422154382905E-6</c:v>
                </c:pt>
                <c:pt idx="71">
                  <c:v>1.4101772589710334E-6</c:v>
                </c:pt>
                <c:pt idx="72">
                  <c:v>1.4177796828118305E-6</c:v>
                </c:pt>
                <c:pt idx="73">
                  <c:v>1.4252528686782829E-6</c:v>
                </c:pt>
                <c:pt idx="74">
                  <c:v>1.4326000842815003E-6</c:v>
                </c:pt>
                <c:pt idx="75">
                  <c:v>1.4398244880902633E-6</c:v>
                </c:pt>
                <c:pt idx="76">
                  <c:v>1.4469291338582678E-6</c:v>
                </c:pt>
                <c:pt idx="77">
                  <c:v>1.4539169749280717E-6</c:v>
                </c:pt>
                <c:pt idx="78">
                  <c:v>1.4607908683245002E-6</c:v>
                </c:pt>
                <c:pt idx="79">
                  <c:v>1.4675535786494133E-6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Sheet1!$AR$177</c:f>
              <c:strCache>
                <c:ptCount val="1"/>
                <c:pt idx="0">
                  <c:v>MM fit</c:v>
                </c:pt>
              </c:strCache>
            </c:strRef>
          </c:tx>
          <c:spPr>
            <a:ln w="19050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Sheet1!$AP$178:$AP$257</c:f>
              <c:numCache>
                <c:formatCode>0.0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7.6999999999999904</c:v>
                </c:pt>
                <c:pt idx="78">
                  <c:v>7.7999999999999901</c:v>
                </c:pt>
                <c:pt idx="79">
                  <c:v>7.8999999999999897</c:v>
                </c:pt>
              </c:numCache>
            </c:numRef>
          </c:xVal>
          <c:yVal>
            <c:numRef>
              <c:f>Sheet1!$AR$178:$AR$257</c:f>
              <c:numCache>
                <c:formatCode>0.0E+00</c:formatCode>
                <c:ptCount val="80"/>
                <c:pt idx="0">
                  <c:v>0</c:v>
                </c:pt>
                <c:pt idx="1">
                  <c:v>9.2492370295015273E-8</c:v>
                </c:pt>
                <c:pt idx="2">
                  <c:v>1.81296111665005E-7</c:v>
                </c:pt>
                <c:pt idx="3">
                  <c:v>2.666275659824047E-7</c:v>
                </c:pt>
                <c:pt idx="4">
                  <c:v>3.4868648130393096E-7</c:v>
                </c:pt>
                <c:pt idx="5">
                  <c:v>4.2765757290686734E-7</c:v>
                </c:pt>
                <c:pt idx="6">
                  <c:v>5.037119113573407E-7</c:v>
                </c:pt>
                <c:pt idx="7">
                  <c:v>5.7700815956482316E-7</c:v>
                </c:pt>
                <c:pt idx="8">
                  <c:v>6.4769367764915408E-7</c:v>
                </c:pt>
                <c:pt idx="9">
                  <c:v>7.1590551181102354E-7</c:v>
                </c:pt>
                <c:pt idx="10">
                  <c:v>7.8177128116938952E-7</c:v>
                </c:pt>
                <c:pt idx="11">
                  <c:v>8.4540997464074385E-7</c:v>
                </c:pt>
                <c:pt idx="12">
                  <c:v>9.0693266832917699E-7</c:v>
                </c:pt>
                <c:pt idx="13">
                  <c:v>9.66443172526574E-7</c:v>
                </c:pt>
                <c:pt idx="14">
                  <c:v>1.0240386162510057E-6</c:v>
                </c:pt>
                <c:pt idx="15">
                  <c:v>1.0798099762470308E-6</c:v>
                </c:pt>
                <c:pt idx="16">
                  <c:v>1.133842556508184E-6</c:v>
                </c:pt>
                <c:pt idx="17">
                  <c:v>1.186216423637759E-6</c:v>
                </c:pt>
                <c:pt idx="18">
                  <c:v>1.2370068027210885E-6</c:v>
                </c:pt>
                <c:pt idx="19">
                  <c:v>1.2862844378257632E-6</c:v>
                </c:pt>
                <c:pt idx="20">
                  <c:v>1.3341159207630227E-6</c:v>
                </c:pt>
                <c:pt idx="21">
                  <c:v>1.3805639913232103E-6</c:v>
                </c:pt>
                <c:pt idx="22">
                  <c:v>1.4256878118317892E-6</c:v>
                </c:pt>
                <c:pt idx="23">
                  <c:v>1.4695432185523539E-6</c:v>
                </c:pt>
                <c:pt idx="24">
                  <c:v>1.5121829521829522E-6</c:v>
                </c:pt>
                <c:pt idx="25">
                  <c:v>1.5536568694463431E-6</c:v>
                </c:pt>
                <c:pt idx="26">
                  <c:v>1.5940121375590019E-6</c:v>
                </c:pt>
                <c:pt idx="27">
                  <c:v>1.6332934131736528E-6</c:v>
                </c:pt>
                <c:pt idx="28">
                  <c:v>1.6715430072225868E-6</c:v>
                </c:pt>
                <c:pt idx="29">
                  <c:v>1.708801036941024E-6</c:v>
                </c:pt>
                <c:pt idx="30">
                  <c:v>1.7451055662188099E-6</c:v>
                </c:pt>
                <c:pt idx="31">
                  <c:v>1.7804927353126974E-6</c:v>
                </c:pt>
                <c:pt idx="32">
                  <c:v>1.8149968808484093E-6</c:v>
                </c:pt>
                <c:pt idx="33">
                  <c:v>1.8486506469500922E-6</c:v>
                </c:pt>
                <c:pt idx="34">
                  <c:v>1.8814850882531953E-6</c:v>
                </c:pt>
                <c:pt idx="35">
                  <c:v>1.9135297654840648E-6</c:v>
                </c:pt>
                <c:pt idx="36">
                  <c:v>1.944812834224599E-6</c:v>
                </c:pt>
                <c:pt idx="37">
                  <c:v>1.9753611274221963E-6</c:v>
                </c:pt>
                <c:pt idx="38">
                  <c:v>2.0052002321532209E-6</c:v>
                </c:pt>
                <c:pt idx="39">
                  <c:v>2.0343545611015493E-6</c:v>
                </c:pt>
                <c:pt idx="40">
                  <c:v>2.0628474191718661E-6</c:v>
                </c:pt>
                <c:pt idx="41">
                  <c:v>2.0907010656197419E-6</c:v>
                </c:pt>
                <c:pt idx="42">
                  <c:v>2.117936772046589E-6</c:v>
                </c:pt>
                <c:pt idx="43">
                  <c:v>2.1445748765770705E-6</c:v>
                </c:pt>
                <c:pt idx="44">
                  <c:v>2.1706348345089533E-6</c:v>
                </c:pt>
                <c:pt idx="45">
                  <c:v>2.1961352657004831E-6</c:v>
                </c:pt>
                <c:pt idx="46">
                  <c:v>2.2210939989378652E-6</c:v>
                </c:pt>
                <c:pt idx="47">
                  <c:v>2.2455281135049923E-6</c:v>
                </c:pt>
                <c:pt idx="48">
                  <c:v>2.2694539781591263E-6</c:v>
                </c:pt>
                <c:pt idx="49">
                  <c:v>2.2928872876994343E-6</c:v>
                </c:pt>
                <c:pt idx="50">
                  <c:v>2.3158430973000507E-6</c:v>
                </c:pt>
                <c:pt idx="51">
                  <c:v>2.3383358547655068E-6</c:v>
                </c:pt>
                <c:pt idx="52">
                  <c:v>2.3603794308537194E-6</c:v>
                </c:pt>
                <c:pt idx="53">
                  <c:v>2.3819871478002965E-6</c:v>
                </c:pt>
                <c:pt idx="54">
                  <c:v>2.4031718061674014E-6</c:v>
                </c:pt>
                <c:pt idx="55">
                  <c:v>2.423945710130877E-6</c:v>
                </c:pt>
                <c:pt idx="56">
                  <c:v>2.4443206913106098E-6</c:v>
                </c:pt>
                <c:pt idx="57">
                  <c:v>2.4643081312410844E-6</c:v>
                </c:pt>
                <c:pt idx="58">
                  <c:v>2.483918982571832E-6</c:v>
                </c:pt>
                <c:pt idx="59">
                  <c:v>2.5031637890807284E-6</c:v>
                </c:pt>
                <c:pt idx="60">
                  <c:v>2.5220527045769763E-6</c:v>
                </c:pt>
                <c:pt idx="61">
                  <c:v>2.5405955107650023E-6</c:v>
                </c:pt>
                <c:pt idx="62">
                  <c:v>2.5588016341352701E-6</c:v>
                </c:pt>
                <c:pt idx="63">
                  <c:v>2.5766801619433196E-6</c:v>
                </c:pt>
                <c:pt idx="64">
                  <c:v>2.5942398573339281E-6</c:v>
                </c:pt>
                <c:pt idx="65">
                  <c:v>2.6114891736632788E-6</c:v>
                </c:pt>
                <c:pt idx="66">
                  <c:v>2.6284362680683314E-6</c:v>
                </c:pt>
                <c:pt idx="67">
                  <c:v>2.6450890143291359E-6</c:v>
                </c:pt>
                <c:pt idx="68">
                  <c:v>2.661455015066724E-6</c:v>
                </c:pt>
                <c:pt idx="69">
                  <c:v>2.6775416133162612E-6</c:v>
                </c:pt>
                <c:pt idx="70">
                  <c:v>2.6933559035124839E-6</c:v>
                </c:pt>
                <c:pt idx="71">
                  <c:v>2.7089047419219477E-6</c:v>
                </c:pt>
                <c:pt idx="72">
                  <c:v>2.7241947565543074E-6</c:v>
                </c:pt>
                <c:pt idx="73">
                  <c:v>2.7392323565827489E-6</c:v>
                </c:pt>
                <c:pt idx="74">
                  <c:v>2.7540237413016787E-6</c:v>
                </c:pt>
                <c:pt idx="75">
                  <c:v>2.7685749086479905E-6</c:v>
                </c:pt>
                <c:pt idx="76">
                  <c:v>2.7828916633105117E-6</c:v>
                </c:pt>
                <c:pt idx="77">
                  <c:v>2.7969796244506582E-6</c:v>
                </c:pt>
                <c:pt idx="78">
                  <c:v>2.8108442330558844E-6</c:v>
                </c:pt>
                <c:pt idx="79">
                  <c:v>2.8244907589461252E-6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Sheet1!$AS$177</c:f>
              <c:strCache>
                <c:ptCount val="1"/>
                <c:pt idx="0">
                  <c:v>MM fit</c:v>
                </c:pt>
              </c:strCache>
            </c:strRef>
          </c:tx>
          <c:spPr>
            <a:ln w="19050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Sheet1!$AP$178:$AP$257</c:f>
              <c:numCache>
                <c:formatCode>0.0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7.6999999999999904</c:v>
                </c:pt>
                <c:pt idx="78">
                  <c:v>7.7999999999999901</c:v>
                </c:pt>
                <c:pt idx="79">
                  <c:v>7.8999999999999897</c:v>
                </c:pt>
              </c:numCache>
            </c:numRef>
          </c:xVal>
          <c:yVal>
            <c:numRef>
              <c:f>Sheet1!$AS$178:$AS$257</c:f>
              <c:numCache>
                <c:formatCode>0.0E+00</c:formatCode>
                <c:ptCount val="80"/>
                <c:pt idx="0">
                  <c:v>0</c:v>
                </c:pt>
                <c:pt idx="1">
                  <c:v>2.2137546468401486E-7</c:v>
                </c:pt>
                <c:pt idx="2">
                  <c:v>4.2944711538461536E-7</c:v>
                </c:pt>
                <c:pt idx="3">
                  <c:v>6.253792298716452E-7</c:v>
                </c:pt>
                <c:pt idx="4">
                  <c:v>8.1020408163265311E-7</c:v>
                </c:pt>
                <c:pt idx="5">
                  <c:v>9.8484013230429973E-7</c:v>
                </c:pt>
                <c:pt idx="6">
                  <c:v>1.1501072961373388E-6</c:v>
                </c:pt>
                <c:pt idx="7">
                  <c:v>1.3067398119122255E-6</c:v>
                </c:pt>
                <c:pt idx="8">
                  <c:v>1.455397148676171E-6</c:v>
                </c:pt>
                <c:pt idx="9">
                  <c:v>1.5966732869910624E-6</c:v>
                </c:pt>
                <c:pt idx="10">
                  <c:v>1.7311046511627907E-6</c:v>
                </c:pt>
                <c:pt idx="11">
                  <c:v>1.8591769157994326E-6</c:v>
                </c:pt>
                <c:pt idx="12">
                  <c:v>1.9813308687615522E-6</c:v>
                </c:pt>
                <c:pt idx="13">
                  <c:v>2.0979674796747968E-6</c:v>
                </c:pt>
                <c:pt idx="14">
                  <c:v>2.2094522968197876E-6</c:v>
                </c:pt>
                <c:pt idx="15">
                  <c:v>2.3161192739844425E-6</c:v>
                </c:pt>
                <c:pt idx="16">
                  <c:v>2.4182741116751272E-6</c:v>
                </c:pt>
                <c:pt idx="17">
                  <c:v>2.5161971830985914E-6</c:v>
                </c:pt>
                <c:pt idx="18">
                  <c:v>2.610146103896104E-6</c:v>
                </c:pt>
                <c:pt idx="19">
                  <c:v>2.7003579952267302E-6</c:v>
                </c:pt>
                <c:pt idx="20">
                  <c:v>2.7870514820592821E-6</c:v>
                </c:pt>
                <c:pt idx="21">
                  <c:v>2.8704284621270086E-6</c:v>
                </c:pt>
                <c:pt idx="22">
                  <c:v>2.9506756756756756E-6</c:v>
                </c:pt>
                <c:pt idx="23">
                  <c:v>3.0279661016949154E-6</c:v>
                </c:pt>
                <c:pt idx="24">
                  <c:v>3.1024602026049198E-6</c:v>
                </c:pt>
                <c:pt idx="25">
                  <c:v>3.1743070362473344E-6</c:v>
                </c:pt>
                <c:pt idx="26">
                  <c:v>3.2436452513966483E-6</c:v>
                </c:pt>
                <c:pt idx="27">
                  <c:v>3.3106039807824299E-6</c:v>
                </c:pt>
                <c:pt idx="28">
                  <c:v>3.3753036437246959E-6</c:v>
                </c:pt>
                <c:pt idx="29">
                  <c:v>3.4378566688785664E-6</c:v>
                </c:pt>
                <c:pt idx="30">
                  <c:v>3.4983681462140991E-6</c:v>
                </c:pt>
                <c:pt idx="31">
                  <c:v>3.556936416184971E-6</c:v>
                </c:pt>
                <c:pt idx="32">
                  <c:v>3.6136536030341339E-6</c:v>
                </c:pt>
                <c:pt idx="33">
                  <c:v>3.6686060983198504E-6</c:v>
                </c:pt>
                <c:pt idx="34">
                  <c:v>3.7218749999999998E-6</c:v>
                </c:pt>
                <c:pt idx="35">
                  <c:v>3.7735365117682554E-6</c:v>
                </c:pt>
                <c:pt idx="36">
                  <c:v>3.8236623067776455E-6</c:v>
                </c:pt>
                <c:pt idx="37">
                  <c:v>3.8723198594024604E-6</c:v>
                </c:pt>
                <c:pt idx="38">
                  <c:v>3.9195727482678983E-6</c:v>
                </c:pt>
                <c:pt idx="39">
                  <c:v>3.96548093340922E-6</c:v>
                </c:pt>
                <c:pt idx="40">
                  <c:v>4.0101010101010095E-6</c:v>
                </c:pt>
                <c:pt idx="41">
                  <c:v>4.0534864416159374E-6</c:v>
                </c:pt>
                <c:pt idx="42">
                  <c:v>4.0956877729257635E-6</c:v>
                </c:pt>
                <c:pt idx="43">
                  <c:v>4.136752827140549E-6</c:v>
                </c:pt>
                <c:pt idx="44">
                  <c:v>4.1767268862911799E-6</c:v>
                </c:pt>
                <c:pt idx="45">
                  <c:v>4.2156528578919762E-6</c:v>
                </c:pt>
                <c:pt idx="46">
                  <c:v>4.2535714285714283E-6</c:v>
                </c:pt>
                <c:pt idx="47">
                  <c:v>4.2905212059274397E-6</c:v>
                </c:pt>
                <c:pt idx="48">
                  <c:v>4.3265388496468212E-6</c:v>
                </c:pt>
                <c:pt idx="49">
                  <c:v>4.361659192825112E-6</c:v>
                </c:pt>
                <c:pt idx="50">
                  <c:v>4.3959153543307081E-6</c:v>
                </c:pt>
                <c:pt idx="51">
                  <c:v>4.429338842975207E-6</c:v>
                </c:pt>
                <c:pt idx="52">
                  <c:v>4.461959654178675E-6</c:v>
                </c:pt>
                <c:pt idx="53">
                  <c:v>4.4938063597532028E-6</c:v>
                </c:pt>
                <c:pt idx="54">
                  <c:v>4.524906191369606E-6</c:v>
                </c:pt>
                <c:pt idx="55">
                  <c:v>4.5552851182197498E-6</c:v>
                </c:pt>
                <c:pt idx="56">
                  <c:v>4.5849679193400544E-6</c:v>
                </c:pt>
                <c:pt idx="57">
                  <c:v>4.6139782510194845E-6</c:v>
                </c:pt>
                <c:pt idx="58">
                  <c:v>4.642338709677419E-6</c:v>
                </c:pt>
                <c:pt idx="59">
                  <c:v>4.6700708905626938E-6</c:v>
                </c:pt>
                <c:pt idx="60">
                  <c:v>4.6971954425942155E-6</c:v>
                </c:pt>
                <c:pt idx="61">
                  <c:v>4.72373211963589E-6</c:v>
                </c:pt>
                <c:pt idx="62">
                  <c:v>4.7496998284734137E-6</c:v>
                </c:pt>
                <c:pt idx="63">
                  <c:v>4.7751166737378013E-6</c:v>
                </c:pt>
                <c:pt idx="64">
                  <c:v>4.7999999999999998E-6</c:v>
                </c:pt>
                <c:pt idx="65">
                  <c:v>4.8243664312422106E-6</c:v>
                </c:pt>
                <c:pt idx="66">
                  <c:v>4.8482319078947364E-6</c:v>
                </c:pt>
                <c:pt idx="67">
                  <c:v>4.8716117216117218E-6</c:v>
                </c:pt>
                <c:pt idx="68">
                  <c:v>4.8945205479452053E-6</c:v>
                </c:pt>
                <c:pt idx="69">
                  <c:v>4.91697247706422E-6</c:v>
                </c:pt>
                <c:pt idx="70">
                  <c:v>4.9389810426540281E-6</c:v>
                </c:pt>
                <c:pt idx="71">
                  <c:v>4.9605592491200621E-6</c:v>
                </c:pt>
                <c:pt idx="72">
                  <c:v>4.9817195972114642E-6</c:v>
                </c:pt>
                <c:pt idx="73">
                  <c:v>5.00247410817031E-6</c:v>
                </c:pt>
                <c:pt idx="74">
                  <c:v>5.0228343465045592E-6</c:v>
                </c:pt>
                <c:pt idx="75">
                  <c:v>5.0428114414753478E-6</c:v>
                </c:pt>
                <c:pt idx="76">
                  <c:v>5.0624161073825507E-6</c:v>
                </c:pt>
                <c:pt idx="77">
                  <c:v>5.0816586627262632E-6</c:v>
                </c:pt>
                <c:pt idx="78">
                  <c:v>5.1005490483162497E-6</c:v>
                </c:pt>
                <c:pt idx="79">
                  <c:v>5.11909684439608E-6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Sheet1!$AT$177</c:f>
              <c:strCache>
                <c:ptCount val="1"/>
                <c:pt idx="0">
                  <c:v>MM fit</c:v>
                </c:pt>
              </c:strCache>
            </c:strRef>
          </c:tx>
          <c:spPr>
            <a:ln w="19050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Sheet1!$AP$178:$AP$257</c:f>
              <c:numCache>
                <c:formatCode>0.0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7.6999999999999904</c:v>
                </c:pt>
                <c:pt idx="78">
                  <c:v>7.7999999999999901</c:v>
                </c:pt>
                <c:pt idx="79">
                  <c:v>7.8999999999999897</c:v>
                </c:pt>
              </c:numCache>
            </c:numRef>
          </c:xVal>
          <c:yVal>
            <c:numRef>
              <c:f>Sheet1!$AT$178:$AT$258</c:f>
              <c:numCache>
                <c:formatCode>0.0E+00</c:formatCode>
                <c:ptCount val="81"/>
                <c:pt idx="0">
                  <c:v>0</c:v>
                </c:pt>
                <c:pt idx="1">
                  <c:v>4.7012578616352204E-7</c:v>
                </c:pt>
                <c:pt idx="2">
                  <c:v>9.0468986384266264E-7</c:v>
                </c:pt>
                <c:pt idx="3">
                  <c:v>1.3075801749271138E-6</c:v>
                </c:pt>
                <c:pt idx="4">
                  <c:v>1.6821378340365683E-6</c:v>
                </c:pt>
                <c:pt idx="5">
                  <c:v>2.0312500000000002E-6</c:v>
                </c:pt>
                <c:pt idx="6">
                  <c:v>2.3574244415243101E-6</c:v>
                </c:pt>
                <c:pt idx="7">
                  <c:v>2.662849872773537E-6</c:v>
                </c:pt>
                <c:pt idx="8">
                  <c:v>2.9494451294697909E-6</c:v>
                </c:pt>
                <c:pt idx="9">
                  <c:v>3.2188995215311007E-6</c:v>
                </c:pt>
                <c:pt idx="10">
                  <c:v>3.472706155632985E-6</c:v>
                </c:pt>
                <c:pt idx="11">
                  <c:v>3.7121896162528222E-6</c:v>
                </c:pt>
                <c:pt idx="12">
                  <c:v>3.9385290889132821E-6</c:v>
                </c:pt>
                <c:pt idx="13">
                  <c:v>4.1527777777777783E-6</c:v>
                </c:pt>
                <c:pt idx="14">
                  <c:v>4.3558792924037467E-6</c:v>
                </c:pt>
                <c:pt idx="15">
                  <c:v>4.5486815415821505E-6</c:v>
                </c:pt>
                <c:pt idx="16">
                  <c:v>4.7319485657764584E-6</c:v>
                </c:pt>
                <c:pt idx="17">
                  <c:v>4.9063706563706561E-6</c:v>
                </c:pt>
                <c:pt idx="18">
                  <c:v>5.0725730442978324E-6</c:v>
                </c:pt>
                <c:pt idx="19">
                  <c:v>5.2311233885819535E-6</c:v>
                </c:pt>
                <c:pt idx="20">
                  <c:v>5.3825382538253831E-6</c:v>
                </c:pt>
                <c:pt idx="21">
                  <c:v>5.5272887323943656E-6</c:v>
                </c:pt>
                <c:pt idx="22">
                  <c:v>5.6658053402239457E-6</c:v>
                </c:pt>
                <c:pt idx="23">
                  <c:v>5.7984822934232713E-6</c:v>
                </c:pt>
                <c:pt idx="24">
                  <c:v>5.9256812551610254E-6</c:v>
                </c:pt>
                <c:pt idx="25">
                  <c:v>6.0477346278317153E-6</c:v>
                </c:pt>
                <c:pt idx="26">
                  <c:v>6.1649484536082471E-6</c:v>
                </c:pt>
                <c:pt idx="27">
                  <c:v>6.2776049766718505E-6</c:v>
                </c:pt>
                <c:pt idx="28">
                  <c:v>6.3859649122807026E-6</c:v>
                </c:pt>
                <c:pt idx="29">
                  <c:v>6.4902694610778453E-6</c:v>
                </c:pt>
                <c:pt idx="30">
                  <c:v>6.5907421013960324E-6</c:v>
                </c:pt>
                <c:pt idx="31">
                  <c:v>6.6875901875901874E-6</c:v>
                </c:pt>
                <c:pt idx="32">
                  <c:v>6.7810063784549965E-6</c:v>
                </c:pt>
                <c:pt idx="33">
                  <c:v>6.8711699164345407E-6</c:v>
                </c:pt>
                <c:pt idx="34">
                  <c:v>6.9582477754962367E-6</c:v>
                </c:pt>
                <c:pt idx="35">
                  <c:v>7.0423956931359361E-6</c:v>
                </c:pt>
                <c:pt idx="36">
                  <c:v>7.1237590999338185E-6</c:v>
                </c:pt>
                <c:pt idx="37">
                  <c:v>7.2024739583333336E-6</c:v>
                </c:pt>
                <c:pt idx="38">
                  <c:v>7.2786675208199882E-6</c:v>
                </c:pt>
                <c:pt idx="39">
                  <c:v>7.3524590163934433E-6</c:v>
                </c:pt>
                <c:pt idx="40">
                  <c:v>7.4239602731222851E-6</c:v>
                </c:pt>
                <c:pt idx="41">
                  <c:v>7.4932762836185818E-6</c:v>
                </c:pt>
                <c:pt idx="42">
                  <c:v>7.560505719446117E-6</c:v>
                </c:pt>
                <c:pt idx="43">
                  <c:v>7.6257413997627528E-6</c:v>
                </c:pt>
                <c:pt idx="44">
                  <c:v>7.6890707188778502E-6</c:v>
                </c:pt>
                <c:pt idx="45">
                  <c:v>7.7505760368663595E-6</c:v>
                </c:pt>
                <c:pt idx="46">
                  <c:v>7.8103350369108459E-6</c:v>
                </c:pt>
                <c:pt idx="47">
                  <c:v>7.8684210526315796E-6</c:v>
                </c:pt>
                <c:pt idx="48">
                  <c:v>7.9249033683048053E-6</c:v>
                </c:pt>
                <c:pt idx="49">
                  <c:v>7.9798474945533776E-6</c:v>
                </c:pt>
                <c:pt idx="50">
                  <c:v>8.0333154218162286E-6</c:v>
                </c:pt>
                <c:pt idx="51">
                  <c:v>8.085365853658537E-6</c:v>
                </c:pt>
                <c:pt idx="52">
                  <c:v>8.1360544217687083E-6</c:v>
                </c:pt>
                <c:pt idx="53">
                  <c:v>8.1854338842975213E-6</c:v>
                </c:pt>
                <c:pt idx="54">
                  <c:v>8.2335543090260077E-6</c:v>
                </c:pt>
                <c:pt idx="55">
                  <c:v>8.2804632426988937E-6</c:v>
                </c:pt>
                <c:pt idx="56">
                  <c:v>8.326205867727499E-6</c:v>
                </c:pt>
                <c:pt idx="57">
                  <c:v>8.370825147347742E-6</c:v>
                </c:pt>
                <c:pt idx="58">
                  <c:v>8.4143619602134899E-6</c:v>
                </c:pt>
                <c:pt idx="59">
                  <c:v>8.4568552253116014E-6</c:v>
                </c:pt>
                <c:pt idx="60">
                  <c:v>8.4983420180009489E-6</c:v>
                </c:pt>
                <c:pt idx="61">
                  <c:v>8.5388576779026205E-6</c:v>
                </c:pt>
                <c:pt idx="62">
                  <c:v>8.5784359093012494E-6</c:v>
                </c:pt>
                <c:pt idx="63">
                  <c:v>8.6171088746569069E-6</c:v>
                </c:pt>
                <c:pt idx="64">
                  <c:v>8.6549072817729535E-6</c:v>
                </c:pt>
                <c:pt idx="65">
                  <c:v>8.6918604651162805E-6</c:v>
                </c:pt>
                <c:pt idx="66">
                  <c:v>8.727996461742592E-6</c:v>
                </c:pt>
                <c:pt idx="67">
                  <c:v>8.7633420822397209E-6</c:v>
                </c:pt>
                <c:pt idx="68">
                  <c:v>8.7979229770662057E-6</c:v>
                </c:pt>
                <c:pt idx="69">
                  <c:v>8.8317636986301367E-6</c:v>
                </c:pt>
                <c:pt idx="70">
                  <c:v>8.8648877594239736E-6</c:v>
                </c:pt>
                <c:pt idx="71">
                  <c:v>8.8973176865046101E-6</c:v>
                </c:pt>
                <c:pt idx="72">
                  <c:v>8.9290750725839902E-6</c:v>
                </c:pt>
                <c:pt idx="73">
                  <c:v>8.960180623973727E-6</c:v>
                </c:pt>
                <c:pt idx="74">
                  <c:v>8.9906542056074759E-6</c:v>
                </c:pt>
                <c:pt idx="75">
                  <c:v>9.0205148833467433E-6</c:v>
                </c:pt>
                <c:pt idx="76">
                  <c:v>9.0497809637594589E-6</c:v>
                </c:pt>
                <c:pt idx="77">
                  <c:v>9.0784700315457389E-6</c:v>
                </c:pt>
                <c:pt idx="78">
                  <c:v>9.1065989847715715E-6</c:v>
                </c:pt>
                <c:pt idx="79">
                  <c:v>9.1341840680587747E-6</c:v>
                </c:pt>
                <c:pt idx="80">
                  <c:v>9.1612409038682472E-6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Sheet1!$AU$177</c:f>
              <c:strCache>
                <c:ptCount val="1"/>
                <c:pt idx="0">
                  <c:v>MM fit</c:v>
                </c:pt>
              </c:strCache>
            </c:strRef>
          </c:tx>
          <c:spPr>
            <a:ln w="19050">
              <a:solidFill>
                <a:sysClr val="windowText" lastClr="000000">
                  <a:shade val="95000"/>
                  <a:satMod val="105000"/>
                </a:sysClr>
              </a:solidFill>
            </a:ln>
          </c:spPr>
          <c:marker>
            <c:symbol val="none"/>
          </c:marker>
          <c:xVal>
            <c:numRef>
              <c:f>Sheet1!$AP$178:$AP$257</c:f>
              <c:numCache>
                <c:formatCode>0.0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7.6999999999999904</c:v>
                </c:pt>
                <c:pt idx="78">
                  <c:v>7.7999999999999901</c:v>
                </c:pt>
                <c:pt idx="79">
                  <c:v>7.8999999999999897</c:v>
                </c:pt>
              </c:numCache>
            </c:numRef>
          </c:xVal>
          <c:yVal>
            <c:numRef>
              <c:f>Sheet1!$AU$178:$AU$258</c:f>
              <c:numCache>
                <c:formatCode>0.0E+00</c:formatCode>
                <c:ptCount val="81"/>
                <c:pt idx="0">
                  <c:v>0</c:v>
                </c:pt>
                <c:pt idx="1">
                  <c:v>6.0895456550507288E-7</c:v>
                </c:pt>
                <c:pt idx="2">
                  <c:v>1.1916271040138111E-6</c:v>
                </c:pt>
                <c:pt idx="3">
                  <c:v>1.749683143219265E-6</c:v>
                </c:pt>
                <c:pt idx="4">
                  <c:v>2.2846503930492345E-6</c:v>
                </c:pt>
                <c:pt idx="5">
                  <c:v>2.7979327117957033E-6</c:v>
                </c:pt>
                <c:pt idx="6">
                  <c:v>3.2908224076281291E-6</c:v>
                </c:pt>
                <c:pt idx="7">
                  <c:v>3.7645111024542265E-6</c:v>
                </c:pt>
                <c:pt idx="8">
                  <c:v>4.2200993504012234E-6</c:v>
                </c:pt>
                <c:pt idx="9">
                  <c:v>4.6586051743532061E-6</c:v>
                </c:pt>
                <c:pt idx="10">
                  <c:v>5.0809716599190281E-6</c:v>
                </c:pt>
                <c:pt idx="11">
                  <c:v>5.4880737260571017E-6</c:v>
                </c:pt>
                <c:pt idx="12">
                  <c:v>5.8807241746538867E-6</c:v>
                </c:pt>
                <c:pt idx="13">
                  <c:v>6.2596791070805724E-6</c:v>
                </c:pt>
                <c:pt idx="14">
                  <c:v>6.6256427836818653E-6</c:v>
                </c:pt>
                <c:pt idx="15">
                  <c:v>6.9792719919110212E-6</c:v>
                </c:pt>
                <c:pt idx="16">
                  <c:v>7.3211799801126945E-6</c:v>
                </c:pt>
                <c:pt idx="17">
                  <c:v>7.6519400065210303E-6</c:v>
                </c:pt>
                <c:pt idx="18">
                  <c:v>7.9720885466795009E-6</c:v>
                </c:pt>
                <c:pt idx="19">
                  <c:v>8.2821281970318912E-6</c:v>
                </c:pt>
                <c:pt idx="20">
                  <c:v>8.582530307740131E-6</c:v>
                </c:pt>
                <c:pt idx="21">
                  <c:v>8.8737373737373729E-6</c:v>
                </c:pt>
                <c:pt idx="22">
                  <c:v>9.1561652095266809E-6</c:v>
                </c:pt>
                <c:pt idx="23">
                  <c:v>9.430204930204931E-6</c:v>
                </c:pt>
                <c:pt idx="24">
                  <c:v>9.6962247585601419E-6</c:v>
                </c:pt>
                <c:pt idx="25">
                  <c:v>9.9545716758004057E-6</c:v>
                </c:pt>
                <c:pt idx="26">
                  <c:v>1.0205572931475689E-5</c:v>
                </c:pt>
                <c:pt idx="27">
                  <c:v>1.0449537426408747E-5</c:v>
                </c:pt>
                <c:pt idx="28">
                  <c:v>1.0686756980923417E-5</c:v>
                </c:pt>
                <c:pt idx="29">
                  <c:v>1.0917507499318246E-5</c:v>
                </c:pt>
                <c:pt idx="30">
                  <c:v>1.1142050040355126E-5</c:v>
                </c:pt>
                <c:pt idx="31">
                  <c:v>1.1360631802495354E-5</c:v>
                </c:pt>
                <c:pt idx="32">
                  <c:v>1.1573487031700289E-5</c:v>
                </c:pt>
                <c:pt idx="33">
                  <c:v>1.1780837858805276E-5</c:v>
                </c:pt>
                <c:pt idx="34">
                  <c:v>1.1982895072759766E-5</c:v>
                </c:pt>
                <c:pt idx="35">
                  <c:v>1.2179858835391984E-5</c:v>
                </c:pt>
                <c:pt idx="36">
                  <c:v>1.2371919342793129E-5</c:v>
                </c:pt>
                <c:pt idx="37">
                  <c:v>1.2559257437914925E-5</c:v>
                </c:pt>
                <c:pt idx="38">
                  <c:v>1.2742045178528054E-5</c:v>
                </c:pt>
                <c:pt idx="39">
                  <c:v>1.2920446364290859E-5</c:v>
                </c:pt>
                <c:pt idx="40">
                  <c:v>1.309461702632203E-5</c:v>
                </c:pt>
                <c:pt idx="41">
                  <c:v>1.3264705882352943E-5</c:v>
                </c:pt>
                <c:pt idx="42">
                  <c:v>1.3430854760250174E-5</c:v>
                </c:pt>
                <c:pt idx="43">
                  <c:v>1.3593198992443325E-5</c:v>
                </c:pt>
                <c:pt idx="44">
                  <c:v>1.3751867783563507E-5</c:v>
                </c:pt>
                <c:pt idx="45">
                  <c:v>1.3906984553391538E-5</c:v>
                </c:pt>
                <c:pt idx="46">
                  <c:v>1.4058667257029005E-5</c:v>
                </c:pt>
                <c:pt idx="47">
                  <c:v>1.4207028684037662E-5</c:v>
                </c:pt>
                <c:pt idx="48">
                  <c:v>1.4352176738141652E-5</c:v>
                </c:pt>
                <c:pt idx="49">
                  <c:v>1.4494214698950078E-5</c:v>
                </c:pt>
                <c:pt idx="50">
                  <c:v>1.4633241467034133E-5</c:v>
                </c:pt>
                <c:pt idx="51">
                  <c:v>1.4769351793580869E-5</c:v>
                </c:pt>
                <c:pt idx="52">
                  <c:v>1.4902636495744241E-5</c:v>
                </c:pt>
                <c:pt idx="53">
                  <c:v>1.5033182658722007E-5</c:v>
                </c:pt>
                <c:pt idx="54">
                  <c:v>1.5161073825503358E-5</c:v>
                </c:pt>
                <c:pt idx="55">
                  <c:v>1.5286390175156028E-5</c:v>
                </c:pt>
                <c:pt idx="56">
                  <c:v>1.5409208690452463E-5</c:v>
                </c:pt>
                <c:pt idx="57">
                  <c:v>1.5529603315571346E-5</c:v>
                </c:pt>
                <c:pt idx="58">
                  <c:v>1.564764510455345E-5</c:v>
                </c:pt>
                <c:pt idx="59">
                  <c:v>1.5763402361137994E-5</c:v>
                </c:pt>
                <c:pt idx="60">
                  <c:v>1.5876940770557791E-5</c:v>
                </c:pt>
                <c:pt idx="61">
                  <c:v>1.5988323523827608E-5</c:v>
                </c:pt>
                <c:pt idx="62">
                  <c:v>1.6097611435019747E-5</c:v>
                </c:pt>
                <c:pt idx="63">
                  <c:v>1.620486305198435E-5</c:v>
                </c:pt>
                <c:pt idx="64">
                  <c:v>1.6310134760937792E-5</c:v>
                </c:pt>
                <c:pt idx="65">
                  <c:v>1.641348088531187E-5</c:v>
                </c:pt>
                <c:pt idx="66">
                  <c:v>1.6514953779227843E-5</c:v>
                </c:pt>
                <c:pt idx="67">
                  <c:v>1.6614603915933179E-5</c:v>
                </c:pt>
                <c:pt idx="68">
                  <c:v>1.6712479971515043E-5</c:v>
                </c:pt>
                <c:pt idx="69">
                  <c:v>1.6808628904182111E-5</c:v>
                </c:pt>
                <c:pt idx="70">
                  <c:v>1.6903096029386039E-5</c:v>
                </c:pt>
                <c:pt idx="71">
                  <c:v>1.6995925091035201E-5</c:v>
                </c:pt>
                <c:pt idx="72">
                  <c:v>1.7087158329035586E-5</c:v>
                </c:pt>
                <c:pt idx="73">
                  <c:v>1.7176836543378219E-5</c:v>
                </c:pt>
                <c:pt idx="74">
                  <c:v>1.7264999154977185E-5</c:v>
                </c:pt>
                <c:pt idx="75">
                  <c:v>1.7351684263448969E-5</c:v>
                </c:pt>
                <c:pt idx="76">
                  <c:v>1.7436928702010972E-5</c:v>
                </c:pt>
                <c:pt idx="77">
                  <c:v>1.7520768089665399E-5</c:v>
                </c:pt>
                <c:pt idx="78">
                  <c:v>1.7603236880823927E-5</c:v>
                </c:pt>
                <c:pt idx="79">
                  <c:v>1.7684368412518234E-5</c:v>
                </c:pt>
                <c:pt idx="80">
                  <c:v>1.7764194949332469E-5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Sheet1!$AV$177</c:f>
              <c:strCache>
                <c:ptCount val="1"/>
                <c:pt idx="0">
                  <c:v>MM fit</c:v>
                </c:pt>
              </c:strCache>
            </c:strRef>
          </c:tx>
          <c:spPr>
            <a:ln w="19050">
              <a:solidFill>
                <a:sysClr val="windowText" lastClr="000000">
                  <a:shade val="95000"/>
                  <a:satMod val="105000"/>
                </a:sysClr>
              </a:solidFill>
            </a:ln>
          </c:spPr>
          <c:marker>
            <c:symbol val="none"/>
          </c:marker>
          <c:xVal>
            <c:numRef>
              <c:f>Sheet1!$AP$178:$AP$257</c:f>
              <c:numCache>
                <c:formatCode>0.0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7.6999999999999904</c:v>
                </c:pt>
                <c:pt idx="78">
                  <c:v>7.7999999999999901</c:v>
                </c:pt>
                <c:pt idx="79">
                  <c:v>7.8999999999999897</c:v>
                </c:pt>
              </c:numCache>
            </c:numRef>
          </c:xVal>
          <c:yVal>
            <c:numRef>
              <c:f>Sheet1!$AV$178:$AV$258</c:f>
              <c:numCache>
                <c:formatCode>0.0E+00</c:formatCode>
                <c:ptCount val="81"/>
                <c:pt idx="0">
                  <c:v>0</c:v>
                </c:pt>
                <c:pt idx="1">
                  <c:v>1.2330827067669172E-6</c:v>
                </c:pt>
                <c:pt idx="2">
                  <c:v>2.3768115942028985E-6</c:v>
                </c:pt>
                <c:pt idx="3">
                  <c:v>3.4405594405594402E-6</c:v>
                </c:pt>
                <c:pt idx="4">
                  <c:v>4.4324324324324324E-6</c:v>
                </c:pt>
                <c:pt idx="5">
                  <c:v>5.3594771241830063E-6</c:v>
                </c:pt>
                <c:pt idx="6">
                  <c:v>6.2278481012658216E-6</c:v>
                </c:pt>
                <c:pt idx="7">
                  <c:v>7.0429447852760735E-6</c:v>
                </c:pt>
                <c:pt idx="8">
                  <c:v>7.8095238095238092E-6</c:v>
                </c:pt>
                <c:pt idx="9">
                  <c:v>8.5317919075144511E-6</c:v>
                </c:pt>
                <c:pt idx="10">
                  <c:v>9.2134831460674141E-6</c:v>
                </c:pt>
                <c:pt idx="11">
                  <c:v>9.8579234972677599E-6</c:v>
                </c:pt>
                <c:pt idx="12">
                  <c:v>1.0468085106382979E-5</c:v>
                </c:pt>
                <c:pt idx="13">
                  <c:v>1.104663212435233E-5</c:v>
                </c:pt>
                <c:pt idx="14">
                  <c:v>1.1595959595959595E-5</c:v>
                </c:pt>
                <c:pt idx="15">
                  <c:v>1.2118226600985219E-5</c:v>
                </c:pt>
                <c:pt idx="16">
                  <c:v>1.2615384615384614E-5</c:v>
                </c:pt>
                <c:pt idx="17">
                  <c:v>1.3089201877934272E-5</c:v>
                </c:pt>
                <c:pt idx="18">
                  <c:v>1.3541284403669722E-5</c:v>
                </c:pt>
                <c:pt idx="19">
                  <c:v>1.3973094170403585E-5</c:v>
                </c:pt>
                <c:pt idx="20">
                  <c:v>1.4385964912280699E-5</c:v>
                </c:pt>
                <c:pt idx="21">
                  <c:v>1.4781115879828327E-5</c:v>
                </c:pt>
                <c:pt idx="22">
                  <c:v>1.515966386554622E-5</c:v>
                </c:pt>
                <c:pt idx="23">
                  <c:v>1.5522633744855966E-5</c:v>
                </c:pt>
                <c:pt idx="24">
                  <c:v>1.5870967741935482E-5</c:v>
                </c:pt>
                <c:pt idx="25">
                  <c:v>1.620553359683794E-5</c:v>
                </c:pt>
                <c:pt idx="26">
                  <c:v>1.6527131782945734E-5</c:v>
                </c:pt>
                <c:pt idx="27">
                  <c:v>1.6836501901140687E-5</c:v>
                </c:pt>
                <c:pt idx="28">
                  <c:v>1.7134328358208956E-5</c:v>
                </c:pt>
                <c:pt idx="29">
                  <c:v>1.7421245421245417E-5</c:v>
                </c:pt>
                <c:pt idx="30">
                  <c:v>1.7697841726618704E-5</c:v>
                </c:pt>
                <c:pt idx="31">
                  <c:v>1.7964664310954065E-5</c:v>
                </c:pt>
                <c:pt idx="32">
                  <c:v>1.8222222222222221E-5</c:v>
                </c:pt>
                <c:pt idx="33">
                  <c:v>1.8470989761092147E-5</c:v>
                </c:pt>
                <c:pt idx="34">
                  <c:v>1.8711409395973154E-5</c:v>
                </c:pt>
                <c:pt idx="35">
                  <c:v>1.8943894389438943E-5</c:v>
                </c:pt>
                <c:pt idx="36">
                  <c:v>1.9168831168831166E-5</c:v>
                </c:pt>
                <c:pt idx="37">
                  <c:v>1.9386581469648564E-5</c:v>
                </c:pt>
                <c:pt idx="38">
                  <c:v>1.9597484276729556E-5</c:v>
                </c:pt>
                <c:pt idx="39">
                  <c:v>1.9801857585139315E-5</c:v>
                </c:pt>
                <c:pt idx="40">
                  <c:v>1.9999999999999998E-5</c:v>
                </c:pt>
                <c:pt idx="41">
                  <c:v>2.0192192192192187E-5</c:v>
                </c:pt>
                <c:pt idx="42">
                  <c:v>2.0378698224852072E-5</c:v>
                </c:pt>
                <c:pt idx="43">
                  <c:v>2.0559766763848396E-5</c:v>
                </c:pt>
                <c:pt idx="44">
                  <c:v>2.0735632183908044E-5</c:v>
                </c:pt>
                <c:pt idx="45">
                  <c:v>2.0906515580736541E-5</c:v>
                </c:pt>
                <c:pt idx="46">
                  <c:v>2.1072625698324018E-5</c:v>
                </c:pt>
                <c:pt idx="47">
                  <c:v>2.1234159779614327E-5</c:v>
                </c:pt>
                <c:pt idx="48">
                  <c:v>2.1391304347826088E-5</c:v>
                </c:pt>
                <c:pt idx="49">
                  <c:v>2.1544235924932974E-5</c:v>
                </c:pt>
                <c:pt idx="50">
                  <c:v>2.1693121693121689E-5</c:v>
                </c:pt>
                <c:pt idx="51">
                  <c:v>2.1838120104438639E-5</c:v>
                </c:pt>
                <c:pt idx="52">
                  <c:v>2.1979381443298968E-5</c:v>
                </c:pt>
                <c:pt idx="53">
                  <c:v>2.2117048346055978E-5</c:v>
                </c:pt>
                <c:pt idx="54">
                  <c:v>2.2251256281407033E-5</c:v>
                </c:pt>
                <c:pt idx="55">
                  <c:v>2.2382133995037217E-5</c:v>
                </c:pt>
                <c:pt idx="56">
                  <c:v>2.2509803921568625E-5</c:v>
                </c:pt>
                <c:pt idx="57">
                  <c:v>2.2634382566585955E-5</c:v>
                </c:pt>
                <c:pt idx="58">
                  <c:v>2.2755980861244018E-5</c:v>
                </c:pt>
                <c:pt idx="59">
                  <c:v>2.2874704491725767E-5</c:v>
                </c:pt>
                <c:pt idx="60">
                  <c:v>2.2990654205607474E-5</c:v>
                </c:pt>
                <c:pt idx="61">
                  <c:v>2.3103926096997685E-5</c:v>
                </c:pt>
                <c:pt idx="62">
                  <c:v>2.3214611872146119E-5</c:v>
                </c:pt>
                <c:pt idx="63">
                  <c:v>2.3322799097065463E-5</c:v>
                </c:pt>
                <c:pt idx="64">
                  <c:v>2.3428571428571426E-5</c:v>
                </c:pt>
                <c:pt idx="65">
                  <c:v>2.3532008830022072E-5</c:v>
                </c:pt>
                <c:pt idx="66">
                  <c:v>2.3633187772925761E-5</c:v>
                </c:pt>
                <c:pt idx="67">
                  <c:v>2.3732181425485962E-5</c:v>
                </c:pt>
                <c:pt idx="68">
                  <c:v>2.3829059829059829E-5</c:v>
                </c:pt>
                <c:pt idx="69">
                  <c:v>2.3923890063424945E-5</c:v>
                </c:pt>
                <c:pt idx="70">
                  <c:v>2.4016736401673637E-5</c:v>
                </c:pt>
                <c:pt idx="71">
                  <c:v>2.410766045548654E-5</c:v>
                </c:pt>
                <c:pt idx="72">
                  <c:v>2.419672131147541E-5</c:v>
                </c:pt>
                <c:pt idx="73">
                  <c:v>2.4283975659229207E-5</c:v>
                </c:pt>
                <c:pt idx="74">
                  <c:v>2.4369477911646584E-5</c:v>
                </c:pt>
                <c:pt idx="75">
                  <c:v>2.4453280318091447E-5</c:v>
                </c:pt>
                <c:pt idx="76">
                  <c:v>2.4535433070866137E-5</c:v>
                </c:pt>
                <c:pt idx="77">
                  <c:v>2.4615984405458079E-5</c:v>
                </c:pt>
                <c:pt idx="78">
                  <c:v>2.4694980694980682E-5</c:v>
                </c:pt>
                <c:pt idx="79">
                  <c:v>2.4772466539196926E-5</c:v>
                </c:pt>
                <c:pt idx="80">
                  <c:v>2.484848484848484E-5</c:v>
                </c:pt>
              </c:numCache>
            </c:numRef>
          </c:yVal>
          <c:smooth val="1"/>
        </c:ser>
        <c:axId val="78576256"/>
        <c:axId val="77931648"/>
      </c:scatterChart>
      <c:valAx>
        <c:axId val="78576256"/>
        <c:scaling>
          <c:orientation val="minMax"/>
          <c:max val="8"/>
        </c:scaling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a-DK" sz="1400" b="0"/>
                  <a:t>4-Methoxybenzyl alcohol [mM]</a:t>
                </a:r>
              </a:p>
            </c:rich>
          </c:tx>
        </c:title>
        <c:numFmt formatCode="General" sourceLinked="1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77931648"/>
        <c:crosses val="autoZero"/>
        <c:crossBetween val="midCat"/>
      </c:valAx>
      <c:valAx>
        <c:axId val="77931648"/>
        <c:scaling>
          <c:orientation val="minMax"/>
          <c:max val="3.0000000000000102E-5"/>
          <c:min val="0"/>
        </c:scaling>
        <c:axPos val="l"/>
        <c:title>
          <c:tx>
            <c:rich>
              <a:bodyPr rot="-5400000" vert="horz"/>
              <a:lstStyle/>
              <a:p>
                <a:pPr algn="ctr">
                  <a:defRPr sz="1400" b="0"/>
                </a:pPr>
                <a:r>
                  <a:rPr lang="da-DK" sz="1400" b="0" i="0" baseline="0"/>
                  <a:t>Initial  </a:t>
                </a:r>
                <a:r>
                  <a:rPr lang="da-DK" sz="1400" b="0" i="0" baseline="0">
                    <a:latin typeface="Symbol" pitchFamily="18" charset="2"/>
                  </a:rPr>
                  <a:t>D</a:t>
                </a:r>
                <a:r>
                  <a:rPr lang="da-DK" sz="1400" b="0" i="0" baseline="0"/>
                  <a:t>A</a:t>
                </a:r>
                <a:r>
                  <a:rPr lang="da-DK" sz="1400" b="0" i="0" baseline="-25000"/>
                  <a:t>300nm</a:t>
                </a:r>
                <a:r>
                  <a:rPr lang="da-DK" sz="1400" b="0" i="0" baseline="0"/>
                  <a:t>/</a:t>
                </a:r>
                <a:r>
                  <a:rPr lang="da-DK" sz="1400" b="0" i="0" baseline="0">
                    <a:latin typeface="Symbol" pitchFamily="18" charset="2"/>
                  </a:rPr>
                  <a:t>e</a:t>
                </a:r>
                <a:r>
                  <a:rPr lang="da-DK" sz="1400" b="0" i="0" baseline="0"/>
                  <a:t>[E]</a:t>
                </a:r>
                <a:r>
                  <a:rPr lang="da-DK" sz="1400" b="0" i="0" baseline="-25000"/>
                  <a:t>t</a:t>
                </a:r>
                <a:r>
                  <a:rPr lang="da-DK" sz="1400" b="0" i="0" baseline="0"/>
                  <a:t> [1/s]</a:t>
                </a:r>
              </a:p>
            </c:rich>
          </c:tx>
        </c:title>
        <c:numFmt formatCode="0.0E+0" sourceLinked="0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78576256"/>
        <c:crosses val="autoZero"/>
        <c:crossBetween val="midCat"/>
        <c:majorUnit val="1.0000000000000043E-5"/>
      </c:valAx>
      <c:spPr>
        <a:noFill/>
        <a:ln w="25400">
          <a:noFill/>
        </a:ln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21628052870317305"/>
          <c:y val="2.9396113080365452E-2"/>
          <c:w val="0.47491557619819086"/>
          <c:h val="0.24050678449538146"/>
        </c:manualLayout>
      </c:layout>
      <c:overlay val="1"/>
      <c:txPr>
        <a:bodyPr/>
        <a:lstStyle/>
        <a:p>
          <a:pPr>
            <a:defRPr sz="1400"/>
          </a:pPr>
          <a:endParaRPr lang="da-DK"/>
        </a:p>
      </c:txPr>
    </c:legend>
    <c:plotVisOnly val="1"/>
  </c:chart>
  <c:spPr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>
        <c:manualLayout>
          <c:layoutTarget val="inner"/>
          <c:xMode val="edge"/>
          <c:yMode val="edge"/>
          <c:x val="0.17449833333333425"/>
          <c:y val="8.8000319418069413E-3"/>
          <c:w val="0.67357759259259553"/>
          <c:h val="0.80559000000000003"/>
        </c:manualLayout>
      </c:layout>
      <c:scatterChart>
        <c:scatterStyle val="lineMarker"/>
        <c:ser>
          <c:idx val="0"/>
          <c:order val="0"/>
          <c:tx>
            <c:strRef>
              <c:f>Sheet1!$AA$235</c:f>
              <c:strCache>
                <c:ptCount val="1"/>
                <c:pt idx="0">
                  <c:v>6.70</c:v>
                </c:pt>
              </c:strCache>
            </c:strRef>
          </c:tx>
          <c:spPr>
            <a:ln>
              <a:noFill/>
            </a:ln>
          </c:spPr>
          <c:xVal>
            <c:numRef>
              <c:f>Sheet1!$AB$235:$AB$237</c:f>
              <c:numCache>
                <c:formatCode>0.00</c:formatCode>
                <c:ptCount val="3"/>
                <c:pt idx="0">
                  <c:v>1.5198668310000001</c:v>
                </c:pt>
                <c:pt idx="1">
                  <c:v>3.0397336610000001</c:v>
                </c:pt>
                <c:pt idx="2">
                  <c:v>6.0794673230000003</c:v>
                </c:pt>
              </c:numCache>
            </c:numRef>
          </c:xVal>
          <c:yVal>
            <c:numRef>
              <c:f>Sheet1!$AC$235:$AC$237</c:f>
              <c:numCache>
                <c:formatCode>0.00E+00</c:formatCode>
                <c:ptCount val="3"/>
                <c:pt idx="0">
                  <c:v>1.2725008254212941E-6</c:v>
                </c:pt>
                <c:pt idx="1">
                  <c:v>2.2761101073755888E-6</c:v>
                </c:pt>
                <c:pt idx="2">
                  <c:v>3.6251124705156626E-6</c:v>
                </c:pt>
              </c:numCache>
            </c:numRef>
          </c:yVal>
        </c:ser>
        <c:ser>
          <c:idx val="1"/>
          <c:order val="1"/>
          <c:tx>
            <c:strRef>
              <c:f>Sheet1!$AA$238</c:f>
              <c:strCache>
                <c:ptCount val="1"/>
                <c:pt idx="0">
                  <c:v>6.70</c:v>
                </c:pt>
              </c:strCache>
            </c:strRef>
          </c:tx>
          <c:spPr>
            <a:ln>
              <a:noFill/>
            </a:ln>
          </c:spPr>
          <c:xVal>
            <c:numRef>
              <c:f>Sheet1!$AB$238:$AB$240</c:f>
              <c:numCache>
                <c:formatCode>0.00</c:formatCode>
                <c:ptCount val="3"/>
                <c:pt idx="0">
                  <c:v>1.6139538250000001</c:v>
                </c:pt>
                <c:pt idx="1">
                  <c:v>3.2279076500000001</c:v>
                </c:pt>
                <c:pt idx="2">
                  <c:v>6.4558153000000003</c:v>
                </c:pt>
              </c:numCache>
            </c:numRef>
          </c:xVal>
          <c:yVal>
            <c:numRef>
              <c:f>Sheet1!$AC$238:$AC$240</c:f>
              <c:numCache>
                <c:formatCode>0.00E+00</c:formatCode>
                <c:ptCount val="3"/>
                <c:pt idx="0">
                  <c:v>1.3081005508943898E-6</c:v>
                </c:pt>
                <c:pt idx="1">
                  <c:v>1.6565233959502204E-6</c:v>
                </c:pt>
                <c:pt idx="2">
                  <c:v>2.8919096139633931E-6</c:v>
                </c:pt>
              </c:numCache>
            </c:numRef>
          </c:yVal>
        </c:ser>
        <c:ser>
          <c:idx val="2"/>
          <c:order val="2"/>
          <c:tx>
            <c:strRef>
              <c:f>Sheet1!$AA$241</c:f>
              <c:strCache>
                <c:ptCount val="1"/>
                <c:pt idx="0">
                  <c:v>6.70</c:v>
                </c:pt>
              </c:strCache>
            </c:strRef>
          </c:tx>
          <c:spPr>
            <a:ln>
              <a:noFill/>
            </a:ln>
          </c:spPr>
          <c:xVal>
            <c:numRef>
              <c:f>Sheet1!$AB$241:$AB$244</c:f>
              <c:numCache>
                <c:formatCode>0.00</c:formatCode>
                <c:ptCount val="4"/>
                <c:pt idx="0">
                  <c:v>1.5053919090000001</c:v>
                </c:pt>
                <c:pt idx="1">
                  <c:v>3.0107838170000001</c:v>
                </c:pt>
                <c:pt idx="2">
                  <c:v>4.5161757260000002</c:v>
                </c:pt>
                <c:pt idx="3">
                  <c:v>6.0215676340000002</c:v>
                </c:pt>
              </c:numCache>
            </c:numRef>
          </c:xVal>
          <c:yVal>
            <c:numRef>
              <c:f>Sheet1!$AC$241:$AC$244</c:f>
              <c:numCache>
                <c:formatCode>0.00E+00</c:formatCode>
                <c:ptCount val="4"/>
                <c:pt idx="0">
                  <c:v>1.5307881953431162E-6</c:v>
                </c:pt>
                <c:pt idx="1">
                  <c:v>1.3944488211908349E-6</c:v>
                </c:pt>
                <c:pt idx="2">
                  <c:v>2.1049284487177239E-6</c:v>
                </c:pt>
                <c:pt idx="3">
                  <c:v>2.4707724360263462E-6</c:v>
                </c:pt>
              </c:numCache>
            </c:numRef>
          </c:yVal>
        </c:ser>
        <c:ser>
          <c:idx val="3"/>
          <c:order val="3"/>
          <c:tx>
            <c:strRef>
              <c:f>Sheet1!$AA$245</c:f>
              <c:strCache>
                <c:ptCount val="1"/>
                <c:pt idx="0">
                  <c:v>7.00</c:v>
                </c:pt>
              </c:strCache>
            </c:strRef>
          </c:tx>
          <c:spPr>
            <a:ln>
              <a:noFill/>
            </a:ln>
          </c:spPr>
          <c:xVal>
            <c:numRef>
              <c:f>Sheet1!$AB$245:$AB$248</c:f>
              <c:numCache>
                <c:formatCode>0.00</c:formatCode>
                <c:ptCount val="4"/>
                <c:pt idx="0">
                  <c:v>1.85</c:v>
                </c:pt>
                <c:pt idx="1">
                  <c:v>3.7</c:v>
                </c:pt>
                <c:pt idx="2">
                  <c:v>5.55</c:v>
                </c:pt>
                <c:pt idx="3">
                  <c:v>7.4</c:v>
                </c:pt>
              </c:numCache>
            </c:numRef>
          </c:xVal>
          <c:yVal>
            <c:numRef>
              <c:f>Sheet1!$AC$245:$AC$248</c:f>
              <c:numCache>
                <c:formatCode>0.00E+00</c:formatCode>
                <c:ptCount val="4"/>
                <c:pt idx="0">
                  <c:v>2.61761257777194E-6</c:v>
                </c:pt>
                <c:pt idx="1">
                  <c:v>4.033195666661802E-6</c:v>
                </c:pt>
                <c:pt idx="2">
                  <c:v>4.3391756539166891E-6</c:v>
                </c:pt>
                <c:pt idx="3">
                  <c:v>5.1320967655629004E-6</c:v>
                </c:pt>
              </c:numCache>
            </c:numRef>
          </c:yVal>
        </c:ser>
        <c:ser>
          <c:idx val="4"/>
          <c:order val="4"/>
          <c:tx>
            <c:strRef>
              <c:f>Sheet1!$AA$249</c:f>
              <c:strCache>
                <c:ptCount val="1"/>
                <c:pt idx="0">
                  <c:v>7.50</c:v>
                </c:pt>
              </c:strCache>
            </c:strRef>
          </c:tx>
          <c:spPr>
            <a:ln>
              <a:noFill/>
            </a:ln>
          </c:spPr>
          <c:marker>
            <c:symbol val="star"/>
            <c:size val="7"/>
          </c:marker>
          <c:xVal>
            <c:numRef>
              <c:f>Sheet1!$AB$249:$AB$252</c:f>
              <c:numCache>
                <c:formatCode>0.00</c:formatCode>
                <c:ptCount val="4"/>
                <c:pt idx="0">
                  <c:v>1.85</c:v>
                </c:pt>
                <c:pt idx="1">
                  <c:v>3.7</c:v>
                </c:pt>
                <c:pt idx="2">
                  <c:v>5.55</c:v>
                </c:pt>
                <c:pt idx="3">
                  <c:v>7.4</c:v>
                </c:pt>
              </c:numCache>
            </c:numRef>
          </c:xVal>
          <c:yVal>
            <c:numRef>
              <c:f>Sheet1!$AC$249:$AC$252</c:f>
              <c:numCache>
                <c:formatCode>0.00E+00</c:formatCode>
                <c:ptCount val="4"/>
                <c:pt idx="0">
                  <c:v>8.574535882967715E-6</c:v>
                </c:pt>
                <c:pt idx="1">
                  <c:v>1.1686529601110438E-5</c:v>
                </c:pt>
                <c:pt idx="2">
                  <c:v>1.2729378559849756E-5</c:v>
                </c:pt>
                <c:pt idx="3">
                  <c:v>1.5604110345580887E-5</c:v>
                </c:pt>
              </c:numCache>
            </c:numRef>
          </c:yVal>
        </c:ser>
        <c:ser>
          <c:idx val="5"/>
          <c:order val="5"/>
          <c:tx>
            <c:strRef>
              <c:f>Sheet1!$AA$253</c:f>
              <c:strCache>
                <c:ptCount val="1"/>
                <c:pt idx="0">
                  <c:v>8.00</c:v>
                </c:pt>
              </c:strCache>
            </c:strRef>
          </c:tx>
          <c:spPr>
            <a:ln>
              <a:noFill/>
            </a:ln>
          </c:spPr>
          <c:xVal>
            <c:numRef>
              <c:f>Sheet1!$AB$253:$AB$256</c:f>
              <c:numCache>
                <c:formatCode>0.00</c:formatCode>
                <c:ptCount val="4"/>
                <c:pt idx="0">
                  <c:v>1.5850039810000001</c:v>
                </c:pt>
                <c:pt idx="1">
                  <c:v>3.170007961</c:v>
                </c:pt>
                <c:pt idx="2">
                  <c:v>4.7550119420000003</c:v>
                </c:pt>
                <c:pt idx="3">
                  <c:v>6.3400159220000001</c:v>
                </c:pt>
              </c:numCache>
            </c:numRef>
          </c:xVal>
          <c:yVal>
            <c:numRef>
              <c:f>Sheet1!$AC$253:$AC$256</c:f>
              <c:numCache>
                <c:formatCode>0.00E+00</c:formatCode>
                <c:ptCount val="4"/>
                <c:pt idx="0">
                  <c:v>3.0388531616608527E-5</c:v>
                </c:pt>
                <c:pt idx="1">
                  <c:v>4.0318582700699692E-5</c:v>
                </c:pt>
                <c:pt idx="2">
                  <c:v>4.6256919885999064E-5</c:v>
                </c:pt>
                <c:pt idx="3">
                  <c:v>4.7786950640374667E-5</c:v>
                </c:pt>
              </c:numCache>
            </c:numRef>
          </c:yVal>
        </c:ser>
        <c:ser>
          <c:idx val="6"/>
          <c:order val="6"/>
          <c:tx>
            <c:strRef>
              <c:f>Sheet1!$AA$257</c:f>
              <c:strCache>
                <c:ptCount val="1"/>
                <c:pt idx="0">
                  <c:v>8.50</c:v>
                </c:pt>
              </c:strCache>
            </c:strRef>
          </c:tx>
          <c:spPr>
            <a:ln>
              <a:noFill/>
            </a:ln>
          </c:spPr>
          <c:xVal>
            <c:numRef>
              <c:f>Sheet1!$AB$257:$AB$260</c:f>
              <c:numCache>
                <c:formatCode>0.00</c:formatCode>
                <c:ptCount val="4"/>
                <c:pt idx="0">
                  <c:v>1.528551784</c:v>
                </c:pt>
                <c:pt idx="1">
                  <c:v>3.057103568</c:v>
                </c:pt>
                <c:pt idx="2">
                  <c:v>4.5856553519999999</c:v>
                </c:pt>
                <c:pt idx="3">
                  <c:v>6.1142071360000001</c:v>
                </c:pt>
              </c:numCache>
            </c:numRef>
          </c:xVal>
          <c:yVal>
            <c:numRef>
              <c:f>Sheet1!$AC$257:$AC$260</c:f>
              <c:numCache>
                <c:formatCode>0.00E+00</c:formatCode>
                <c:ptCount val="4"/>
                <c:pt idx="0">
                  <c:v>2.0538116155646034E-5</c:v>
                </c:pt>
                <c:pt idx="1">
                  <c:v>3.0972568821174395E-5</c:v>
                </c:pt>
                <c:pt idx="2">
                  <c:v>3.6362486561689744E-5</c:v>
                </c:pt>
                <c:pt idx="3">
                  <c:v>4.1499447873949858E-5</c:v>
                </c:pt>
              </c:numCache>
            </c:numRef>
          </c:yVal>
        </c:ser>
        <c:ser>
          <c:idx val="7"/>
          <c:order val="7"/>
          <c:tx>
            <c:strRef>
              <c:f>Sheet1!$AA$261</c:f>
              <c:strCache>
                <c:ptCount val="1"/>
                <c:pt idx="0">
                  <c:v>8.50</c:v>
                </c:pt>
              </c:strCache>
            </c:strRef>
          </c:tx>
          <c:spPr>
            <a:ln>
              <a:noFill/>
            </a:ln>
          </c:spPr>
          <c:xVal>
            <c:numRef>
              <c:f>Sheet1!$AB$261:$AB$264</c:f>
              <c:numCache>
                <c:formatCode>0.00</c:formatCode>
                <c:ptCount val="4"/>
                <c:pt idx="0">
                  <c:v>1.85</c:v>
                </c:pt>
                <c:pt idx="1">
                  <c:v>3.7</c:v>
                </c:pt>
                <c:pt idx="2">
                  <c:v>5.55</c:v>
                </c:pt>
                <c:pt idx="3">
                  <c:v>7.4</c:v>
                </c:pt>
              </c:numCache>
            </c:numRef>
          </c:xVal>
          <c:yVal>
            <c:numRef>
              <c:f>Sheet1!$AC$261:$AC$264</c:f>
              <c:numCache>
                <c:formatCode>0.00E+00</c:formatCode>
                <c:ptCount val="4"/>
                <c:pt idx="0">
                  <c:v>8.2269195633879425E-5</c:v>
                </c:pt>
                <c:pt idx="1">
                  <c:v>9.5401367706893055E-5</c:v>
                </c:pt>
                <c:pt idx="2">
                  <c:v>1.0207780813056804E-4</c:v>
                </c:pt>
                <c:pt idx="3">
                  <c:v>1.0318135200224984E-4</c:v>
                </c:pt>
              </c:numCache>
            </c:numRef>
          </c:yVal>
        </c:ser>
        <c:ser>
          <c:idx val="8"/>
          <c:order val="8"/>
          <c:tx>
            <c:strRef>
              <c:f>Sheet1!$AA$265</c:f>
              <c:strCache>
                <c:ptCount val="1"/>
                <c:pt idx="0">
                  <c:v>9.00</c:v>
                </c:pt>
              </c:strCache>
            </c:strRef>
          </c:tx>
          <c:spPr>
            <a:ln>
              <a:noFill/>
            </a:ln>
          </c:spPr>
          <c:xVal>
            <c:numRef>
              <c:f>Sheet1!$AB$265:$AB$268</c:f>
              <c:numCache>
                <c:formatCode>0.00</c:formatCode>
                <c:ptCount val="4"/>
                <c:pt idx="0">
                  <c:v>1.528551784</c:v>
                </c:pt>
                <c:pt idx="1">
                  <c:v>3.057103568</c:v>
                </c:pt>
                <c:pt idx="2">
                  <c:v>4.5856553519999999</c:v>
                </c:pt>
                <c:pt idx="3">
                  <c:v>6.1142071360000001</c:v>
                </c:pt>
              </c:numCache>
            </c:numRef>
          </c:xVal>
          <c:yVal>
            <c:numRef>
              <c:f>Sheet1!$AC$265:$AC$268</c:f>
              <c:numCache>
                <c:formatCode>0.00E+00</c:formatCode>
                <c:ptCount val="4"/>
                <c:pt idx="0">
                  <c:v>3.6255466534350998E-5</c:v>
                </c:pt>
                <c:pt idx="1">
                  <c:v>5.5018023145513176E-5</c:v>
                </c:pt>
                <c:pt idx="2">
                  <c:v>6.8152299227996433E-5</c:v>
                </c:pt>
                <c:pt idx="3">
                  <c:v>8.245406651781153E-5</c:v>
                </c:pt>
              </c:numCache>
            </c:numRef>
          </c:yVal>
        </c:ser>
        <c:ser>
          <c:idx val="9"/>
          <c:order val="9"/>
          <c:tx>
            <c:strRef>
              <c:f>Sheet1!$AA$269</c:f>
              <c:strCache>
                <c:ptCount val="1"/>
                <c:pt idx="0">
                  <c:v>9.20</c:v>
                </c:pt>
              </c:strCache>
            </c:strRef>
          </c:tx>
          <c:spPr>
            <a:ln>
              <a:noFill/>
            </a:ln>
          </c:spPr>
          <c:xVal>
            <c:numRef>
              <c:f>Sheet1!$AB$269:$AB$272</c:f>
              <c:numCache>
                <c:formatCode>0.00</c:formatCode>
                <c:ptCount val="4"/>
                <c:pt idx="0">
                  <c:v>1.528551784</c:v>
                </c:pt>
                <c:pt idx="1">
                  <c:v>3.057103568</c:v>
                </c:pt>
                <c:pt idx="2">
                  <c:v>4.5856553519999999</c:v>
                </c:pt>
                <c:pt idx="3">
                  <c:v>6.1142071360000001</c:v>
                </c:pt>
              </c:numCache>
            </c:numRef>
          </c:xVal>
          <c:yVal>
            <c:numRef>
              <c:f>Sheet1!$AC$269:$AC$272</c:f>
              <c:numCache>
                <c:formatCode>0.00E+00</c:formatCode>
                <c:ptCount val="4"/>
                <c:pt idx="0">
                  <c:v>3.506851714023028E-5</c:v>
                </c:pt>
                <c:pt idx="1">
                  <c:v>5.2877622598738131E-5</c:v>
                </c:pt>
                <c:pt idx="2">
                  <c:v>7.0389990708715795E-5</c:v>
                </c:pt>
                <c:pt idx="3">
                  <c:v>8.5324149069168981E-5</c:v>
                </c:pt>
              </c:numCache>
            </c:numRef>
          </c:yVal>
        </c:ser>
        <c:ser>
          <c:idx val="10"/>
          <c:order val="10"/>
          <c:tx>
            <c:strRef>
              <c:f>Sheet1!$AA$273</c:f>
              <c:strCache>
                <c:ptCount val="1"/>
                <c:pt idx="0">
                  <c:v>9.40</c:v>
                </c:pt>
              </c:strCache>
            </c:strRef>
          </c:tx>
          <c:spPr>
            <a:ln>
              <a:noFill/>
            </a:ln>
          </c:spPr>
          <c:xVal>
            <c:numRef>
              <c:f>Sheet1!$AB$273:$AB$276</c:f>
              <c:numCache>
                <c:formatCode>0.00</c:formatCode>
                <c:ptCount val="4"/>
                <c:pt idx="0">
                  <c:v>1.528551784</c:v>
                </c:pt>
                <c:pt idx="1">
                  <c:v>3.057103568</c:v>
                </c:pt>
                <c:pt idx="2">
                  <c:v>4.5856553519999999</c:v>
                </c:pt>
                <c:pt idx="3">
                  <c:v>6.1142071360000001</c:v>
                </c:pt>
              </c:numCache>
            </c:numRef>
          </c:xVal>
          <c:yVal>
            <c:numRef>
              <c:f>Sheet1!$AC$273:$AC$276</c:f>
              <c:numCache>
                <c:formatCode>0.00E+00</c:formatCode>
                <c:ptCount val="4"/>
                <c:pt idx="0">
                  <c:v>3.1692521732362365E-5</c:v>
                </c:pt>
                <c:pt idx="1">
                  <c:v>5.0542640184074444E-5</c:v>
                </c:pt>
                <c:pt idx="2">
                  <c:v>6.7373971756441869E-5</c:v>
                </c:pt>
                <c:pt idx="3">
                  <c:v>8.0702829706813753E-5</c:v>
                </c:pt>
              </c:numCache>
            </c:numRef>
          </c:yVal>
        </c:ser>
        <c:ser>
          <c:idx val="11"/>
          <c:order val="11"/>
          <c:tx>
            <c:strRef>
              <c:f>Sheet1!$AA$277</c:f>
              <c:strCache>
                <c:ptCount val="1"/>
                <c:pt idx="0">
                  <c:v>9.50</c:v>
                </c:pt>
              </c:strCache>
            </c:strRef>
          </c:tx>
          <c:spPr>
            <a:ln>
              <a:noFill/>
            </a:ln>
          </c:spPr>
          <c:xVal>
            <c:numRef>
              <c:f>Sheet1!$AB$277:$AB$280</c:f>
              <c:numCache>
                <c:formatCode>0.00</c:formatCode>
                <c:ptCount val="4"/>
                <c:pt idx="0">
                  <c:v>1.528551784</c:v>
                </c:pt>
                <c:pt idx="1">
                  <c:v>3.057103568</c:v>
                </c:pt>
                <c:pt idx="2">
                  <c:v>4.5856553519999999</c:v>
                </c:pt>
                <c:pt idx="3">
                  <c:v>6.1142071360000001</c:v>
                </c:pt>
              </c:numCache>
            </c:numRef>
          </c:xVal>
          <c:yVal>
            <c:numRef>
              <c:f>Sheet1!$AC$277:$AC$280</c:f>
              <c:numCache>
                <c:formatCode>0.00E+00</c:formatCode>
                <c:ptCount val="4"/>
                <c:pt idx="0">
                  <c:v>4.040735714042486E-5</c:v>
                </c:pt>
                <c:pt idx="1">
                  <c:v>4.7920649514275008E-5</c:v>
                </c:pt>
                <c:pt idx="2">
                  <c:v>6.151219298629657E-5</c:v>
                </c:pt>
                <c:pt idx="3">
                  <c:v>7.8294879091691822E-5</c:v>
                </c:pt>
              </c:numCache>
            </c:numRef>
          </c:yVal>
        </c:ser>
        <c:ser>
          <c:idx val="12"/>
          <c:order val="12"/>
          <c:tx>
            <c:strRef>
              <c:f>Sheet1!$AA$281</c:f>
              <c:strCache>
                <c:ptCount val="1"/>
                <c:pt idx="0">
                  <c:v>pH  9.70</c:v>
                </c:pt>
              </c:strCache>
            </c:strRef>
          </c:tx>
          <c:spPr>
            <a:ln>
              <a:noFill/>
            </a:ln>
          </c:spPr>
          <c:xVal>
            <c:numRef>
              <c:f>Sheet1!$AB$281:$AB$284</c:f>
              <c:numCache>
                <c:formatCode>0.00</c:formatCode>
                <c:ptCount val="4"/>
                <c:pt idx="0">
                  <c:v>1.528551784</c:v>
                </c:pt>
                <c:pt idx="1">
                  <c:v>3.057103568</c:v>
                </c:pt>
                <c:pt idx="2">
                  <c:v>4.5856553519999999</c:v>
                </c:pt>
                <c:pt idx="3">
                  <c:v>6.1142071360000001</c:v>
                </c:pt>
              </c:numCache>
            </c:numRef>
          </c:xVal>
          <c:yVal>
            <c:numRef>
              <c:f>Sheet1!$AC$281:$AC$284</c:f>
              <c:numCache>
                <c:formatCode>0.00E+00</c:formatCode>
                <c:ptCount val="4"/>
                <c:pt idx="0">
                  <c:v>2.5553463800475748E-5</c:v>
                </c:pt>
                <c:pt idx="1">
                  <c:v>3.9208246379561116E-5</c:v>
                </c:pt>
                <c:pt idx="2">
                  <c:v>5.7742169295954151E-5</c:v>
                </c:pt>
                <c:pt idx="3">
                  <c:v>6.5282216676638982E-5</c:v>
                </c:pt>
              </c:numCache>
            </c:numRef>
          </c:yVal>
        </c:ser>
        <c:ser>
          <c:idx val="13"/>
          <c:order val="13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Sheet1!$AR$268:$AR$328</c:f>
              <c:numCache>
                <c:formatCode>General</c:formatCode>
                <c:ptCount val="6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</c:numCache>
            </c:numRef>
          </c:xVal>
          <c:yVal>
            <c:numRef>
              <c:f>Sheet1!$AS$268:$AS$328</c:f>
              <c:numCache>
                <c:formatCode>General</c:formatCode>
                <c:ptCount val="61"/>
                <c:pt idx="0">
                  <c:v>0</c:v>
                </c:pt>
                <c:pt idx="1">
                  <c:v>1.9288620006258476E-7</c:v>
                </c:pt>
                <c:pt idx="2">
                  <c:v>3.7788903647695922E-7</c:v>
                </c:pt>
                <c:pt idx="3">
                  <c:v>5.5548212676479418E-7</c:v>
                </c:pt>
                <c:pt idx="4">
                  <c:v>7.2610189457151262E-7</c:v>
                </c:pt>
                <c:pt idx="5">
                  <c:v>8.9015115047655715E-7</c:v>
                </c:pt>
                <c:pt idx="6">
                  <c:v>1.0480022669311418E-6</c:v>
                </c:pt>
                <c:pt idx="7">
                  <c:v>1.1999999999999997E-6</c:v>
                </c:pt>
                <c:pt idx="8">
                  <c:v>1.346464002912533E-6</c:v>
                </c:pt>
                <c:pt idx="9">
                  <c:v>1.4876910699919546E-6</c:v>
                </c:pt>
                <c:pt idx="10">
                  <c:v>1.6239571441117061E-6</c:v>
                </c:pt>
                <c:pt idx="11">
                  <c:v>1.7555191162509711E-6</c:v>
                </c:pt>
                <c:pt idx="12">
                  <c:v>1.8826164418427076E-6</c:v>
                </c:pt>
                <c:pt idx="13">
                  <c:v>2.0054725953115873E-6</c:v>
                </c:pt>
                <c:pt idx="14">
                  <c:v>2.1242963813900053E-6</c:v>
                </c:pt>
                <c:pt idx="15">
                  <c:v>2.2392831193993699E-6</c:v>
                </c:pt>
                <c:pt idx="16">
                  <c:v>2.3506157146262017E-6</c:v>
                </c:pt>
                <c:pt idx="17">
                  <c:v>2.4584656291546098E-6</c:v>
                </c:pt>
                <c:pt idx="18">
                  <c:v>2.5629937629937627E-6</c:v>
                </c:pt>
                <c:pt idx="19">
                  <c:v>2.6643512550238865E-6</c:v>
                </c:pt>
                <c:pt idx="20">
                  <c:v>2.7626802121461115E-6</c:v>
                </c:pt>
                <c:pt idx="21">
                  <c:v>2.8581143740340029E-6</c:v>
                </c:pt>
                <c:pt idx="22">
                  <c:v>2.9507797200261114E-6</c:v>
                </c:pt>
                <c:pt idx="23">
                  <c:v>3.0407950239508106E-6</c:v>
                </c:pt>
                <c:pt idx="24">
                  <c:v>3.1282723620215685E-6</c:v>
                </c:pt>
                <c:pt idx="25">
                  <c:v>3.2133175783693608E-6</c:v>
                </c:pt>
                <c:pt idx="26">
                  <c:v>3.2960307122780558E-6</c:v>
                </c:pt>
                <c:pt idx="27">
                  <c:v>3.3765063907486305E-6</c:v>
                </c:pt>
                <c:pt idx="28">
                  <c:v>3.4548341896310131E-6</c:v>
                </c:pt>
                <c:pt idx="29">
                  <c:v>3.5310989662211093E-6</c:v>
                </c:pt>
                <c:pt idx="30">
                  <c:v>3.6053811659192819E-6</c:v>
                </c:pt>
                <c:pt idx="31">
                  <c:v>3.6777571052800409E-6</c:v>
                </c:pt>
                <c:pt idx="32">
                  <c:v>3.7482992335465889E-6</c:v>
                </c:pt>
                <c:pt idx="33">
                  <c:v>3.8170763745543249E-6</c:v>
                </c:pt>
                <c:pt idx="34">
                  <c:v>3.884153950701179E-6</c:v>
                </c:pt>
                <c:pt idx="35">
                  <c:v>3.9495941905168728E-6</c:v>
                </c:pt>
                <c:pt idx="36">
                  <c:v>4.0134563212154098E-6</c:v>
                </c:pt>
                <c:pt idx="37">
                  <c:v>4.0757967474831715E-6</c:v>
                </c:pt>
                <c:pt idx="38">
                  <c:v>4.1366692176370155E-6</c:v>
                </c:pt>
                <c:pt idx="39">
                  <c:v>4.196124978181183E-6</c:v>
                </c:pt>
                <c:pt idx="40">
                  <c:v>4.2542129176971293E-6</c:v>
                </c:pt>
                <c:pt idx="41">
                  <c:v>4.3109797009154482E-6</c:v>
                </c:pt>
                <c:pt idx="42">
                  <c:v>4.3664698937426213E-6</c:v>
                </c:pt>
                <c:pt idx="43">
                  <c:v>4.4207260799466272E-6</c:v>
                </c:pt>
                <c:pt idx="44">
                  <c:v>4.4737889701435093E-6</c:v>
                </c:pt>
                <c:pt idx="45">
                  <c:v>4.5256975036710717E-6</c:v>
                </c:pt>
                <c:pt idx="46">
                  <c:v>4.5764889438855106E-6</c:v>
                </c:pt>
                <c:pt idx="47">
                  <c:v>4.6261989673710547E-6</c:v>
                </c:pt>
                <c:pt idx="48">
                  <c:v>4.6748617475114539E-6</c:v>
                </c:pt>
                <c:pt idx="49">
                  <c:v>4.7225100328347316E-6</c:v>
                </c:pt>
                <c:pt idx="50">
                  <c:v>4.7691752205085877E-6</c:v>
                </c:pt>
                <c:pt idx="51">
                  <c:v>4.8148874253331286E-6</c:v>
                </c:pt>
                <c:pt idx="52">
                  <c:v>4.8596755445494521E-6</c:v>
                </c:pt>
                <c:pt idx="53">
                  <c:v>4.9035673187571909E-6</c:v>
                </c:pt>
                <c:pt idx="54">
                  <c:v>4.9465893892108779E-6</c:v>
                </c:pt>
                <c:pt idx="55">
                  <c:v>4.9887673517437579E-6</c:v>
                </c:pt>
                <c:pt idx="56">
                  <c:v>5.0301258075484518E-6</c:v>
                </c:pt>
                <c:pt idx="57">
                  <c:v>5.0706884110261225E-6</c:v>
                </c:pt>
                <c:pt idx="58">
                  <c:v>5.1104779148996987E-6</c:v>
                </c:pt>
                <c:pt idx="59">
                  <c:v>5.1495162127719828E-6</c:v>
                </c:pt>
                <c:pt idx="60">
                  <c:v>5.1878243792958332E-6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Sheet1!$AT$267</c:f>
              <c:strCache>
                <c:ptCount val="1"/>
                <c:pt idx="0">
                  <c:v>6.7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Sheet1!$AR$268:$AR$328</c:f>
              <c:numCache>
                <c:formatCode>General</c:formatCode>
                <c:ptCount val="6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</c:numCache>
            </c:numRef>
          </c:xVal>
          <c:yVal>
            <c:numRef>
              <c:f>Sheet1!$AT$268:$AT$328</c:f>
              <c:numCache>
                <c:formatCode>General</c:formatCode>
                <c:ptCount val="61"/>
                <c:pt idx="0">
                  <c:v>0</c:v>
                </c:pt>
                <c:pt idx="1">
                  <c:v>1.6610800744878957E-7</c:v>
                </c:pt>
                <c:pt idx="2">
                  <c:v>3.2296337557443253E-7</c:v>
                </c:pt>
                <c:pt idx="3">
                  <c:v>4.7131824955968032E-7</c:v>
                </c:pt>
                <c:pt idx="4">
                  <c:v>6.1184540298113718E-7</c:v>
                </c:pt>
                <c:pt idx="5">
                  <c:v>7.4514843850404837E-7</c:v>
                </c:pt>
                <c:pt idx="6">
                  <c:v>8.7177045483022181E-7</c:v>
                </c:pt>
                <c:pt idx="7">
                  <c:v>9.9220144236645879E-7</c:v>
                </c:pt>
                <c:pt idx="8">
                  <c:v>1.1068846199737503E-6</c:v>
                </c:pt>
                <c:pt idx="9">
                  <c:v>1.2162218855611235E-6</c:v>
                </c:pt>
                <c:pt idx="10">
                  <c:v>1.3205785218084502E-6</c:v>
                </c:pt>
                <c:pt idx="11">
                  <c:v>1.4202872731321681E-6</c:v>
                </c:pt>
                <c:pt idx="12">
                  <c:v>1.5156518897723562E-6</c:v>
                </c:pt>
                <c:pt idx="13">
                  <c:v>1.6069502185268097E-6</c:v>
                </c:pt>
                <c:pt idx="14">
                  <c:v>1.6944369063772048E-6</c:v>
                </c:pt>
                <c:pt idx="15">
                  <c:v>1.7783457724159086E-6</c:v>
                </c:pt>
                <c:pt idx="16">
                  <c:v>1.8588918945997397E-6</c:v>
                </c:pt>
                <c:pt idx="17">
                  <c:v>1.9362734505451331E-6</c:v>
                </c:pt>
                <c:pt idx="18">
                  <c:v>2.0106733455351125E-6</c:v>
                </c:pt>
                <c:pt idx="19">
                  <c:v>2.0822606558926377E-6</c:v>
                </c:pt>
                <c:pt idx="20">
                  <c:v>2.1511919116965036E-6</c:v>
                </c:pt>
                <c:pt idx="21">
                  <c:v>2.2176122393224665E-6</c:v>
                </c:pt>
                <c:pt idx="22">
                  <c:v>2.2816563813612381E-6</c:v>
                </c:pt>
                <c:pt idx="23">
                  <c:v>2.3434496089974519E-6</c:v>
                </c:pt>
                <c:pt idx="24">
                  <c:v>2.4031085398497541E-6</c:v>
                </c:pt>
                <c:pt idx="25">
                  <c:v>2.4607418725065789E-6</c:v>
                </c:pt>
                <c:pt idx="26">
                  <c:v>2.5164510474918622E-6</c:v>
                </c:pt>
                <c:pt idx="27">
                  <c:v>2.5703308431163285E-6</c:v>
                </c:pt>
                <c:pt idx="28">
                  <c:v>2.622469913577255E-6</c:v>
                </c:pt>
                <c:pt idx="29">
                  <c:v>2.6729512757332485E-6</c:v>
                </c:pt>
                <c:pt idx="30">
                  <c:v>2.7218527501760427E-6</c:v>
                </c:pt>
                <c:pt idx="31">
                  <c:v>2.7692473615283879E-6</c:v>
                </c:pt>
                <c:pt idx="32">
                  <c:v>2.8152037022987632E-6</c:v>
                </c:pt>
                <c:pt idx="33">
                  <c:v>2.8597862641058214E-6</c:v>
                </c:pt>
                <c:pt idx="34">
                  <c:v>2.9030557396362567E-6</c:v>
                </c:pt>
                <c:pt idx="35">
                  <c:v>2.9450692983092668E-6</c:v>
                </c:pt>
                <c:pt idx="36">
                  <c:v>2.9858808382805236E-6</c:v>
                </c:pt>
                <c:pt idx="37">
                  <c:v>3.0255412171215005E-6</c:v>
                </c:pt>
                <c:pt idx="38">
                  <c:v>3.0640984632501217E-6</c:v>
                </c:pt>
                <c:pt idx="39">
                  <c:v>3.1015979699609083E-6</c:v>
                </c:pt>
                <c:pt idx="40">
                  <c:v>3.1380826737027267E-6</c:v>
                </c:pt>
                <c:pt idx="41">
                  <c:v>3.1735932180762302E-6</c:v>
                </c:pt>
                <c:pt idx="42">
                  <c:v>3.2081681048679271E-6</c:v>
                </c:pt>
                <c:pt idx="43">
                  <c:v>3.2418438333008256E-6</c:v>
                </c:pt>
                <c:pt idx="44">
                  <c:v>3.2746550285604267E-6</c:v>
                </c:pt>
                <c:pt idx="45">
                  <c:v>3.3066345605474944E-6</c:v>
                </c:pt>
                <c:pt idx="46">
                  <c:v>3.3378136537137853E-6</c:v>
                </c:pt>
                <c:pt idx="47">
                  <c:v>3.3682219887522406E-6</c:v>
                </c:pt>
                <c:pt idx="48">
                  <c:v>3.3978877968377998E-6</c:v>
                </c:pt>
                <c:pt idx="49">
                  <c:v>3.4268379470478265E-6</c:v>
                </c:pt>
                <c:pt idx="50">
                  <c:v>3.455098027531137E-6</c:v>
                </c:pt>
                <c:pt idx="51">
                  <c:v>3.4826924209410521E-6</c:v>
                </c:pt>
                <c:pt idx="52">
                  <c:v>3.5096443745998489E-6</c:v>
                </c:pt>
                <c:pt idx="53">
                  <c:v>3.5359760658189974E-6</c:v>
                </c:pt>
                <c:pt idx="54">
                  <c:v>3.5617086627609354E-6</c:v>
                </c:pt>
                <c:pt idx="55">
                  <c:v>3.5868623811934087E-6</c:v>
                </c:pt>
                <c:pt idx="56">
                  <c:v>3.6114565374562037E-6</c:v>
                </c:pt>
                <c:pt idx="57">
                  <c:v>3.6355095979319066E-6</c:v>
                </c:pt>
                <c:pt idx="58">
                  <c:v>3.659039225286981E-6</c:v>
                </c:pt>
                <c:pt idx="59">
                  <c:v>3.682062321726495E-6</c:v>
                </c:pt>
                <c:pt idx="60">
                  <c:v>3.7045950694851181E-6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Sheet1!$AU$267</c:f>
              <c:strCache>
                <c:ptCount val="1"/>
                <c:pt idx="0">
                  <c:v>6.7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Sheet1!$AR$268:$AR$328</c:f>
              <c:numCache>
                <c:formatCode>General</c:formatCode>
                <c:ptCount val="6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</c:numCache>
            </c:numRef>
          </c:xVal>
          <c:yVal>
            <c:numRef>
              <c:f>Sheet1!$AU$268:$AU$328</c:f>
              <c:numCache>
                <c:formatCode>General</c:formatCode>
                <c:ptCount val="61"/>
                <c:pt idx="0">
                  <c:v>0</c:v>
                </c:pt>
                <c:pt idx="1">
                  <c:v>2.4939805825242714E-7</c:v>
                </c:pt>
                <c:pt idx="2">
                  <c:v>4.6284684684684685E-7</c:v>
                </c:pt>
                <c:pt idx="3">
                  <c:v>6.4759663865546208E-7</c:v>
                </c:pt>
                <c:pt idx="4">
                  <c:v>8.0907086614173233E-7</c:v>
                </c:pt>
                <c:pt idx="5">
                  <c:v>9.5140740740740737E-7</c:v>
                </c:pt>
                <c:pt idx="6">
                  <c:v>1.0778181818181818E-6</c:v>
                </c:pt>
                <c:pt idx="7">
                  <c:v>1.1908344370860926E-6</c:v>
                </c:pt>
                <c:pt idx="8">
                  <c:v>1.2924779874213836E-6</c:v>
                </c:pt>
                <c:pt idx="9">
                  <c:v>1.3843832335329342E-6</c:v>
                </c:pt>
                <c:pt idx="10">
                  <c:v>1.4678857142857142E-6</c:v>
                </c:pt>
                <c:pt idx="11">
                  <c:v>1.5440874316939889E-6</c:v>
                </c:pt>
                <c:pt idx="12">
                  <c:v>1.6139057591623035E-6</c:v>
                </c:pt>
                <c:pt idx="13">
                  <c:v>1.6781105527638192E-6</c:v>
                </c:pt>
                <c:pt idx="14">
                  <c:v>1.7373526570048308E-6</c:v>
                </c:pt>
                <c:pt idx="15">
                  <c:v>1.7921860465116278E-6</c:v>
                </c:pt>
                <c:pt idx="16">
                  <c:v>1.8430852017937217E-6</c:v>
                </c:pt>
                <c:pt idx="17">
                  <c:v>1.8904588744588742E-6</c:v>
                </c:pt>
                <c:pt idx="18">
                  <c:v>1.9346610878661088E-6</c:v>
                </c:pt>
                <c:pt idx="19">
                  <c:v>1.9759999999999998E-6</c:v>
                </c:pt>
                <c:pt idx="20">
                  <c:v>2.0147450980392158E-6</c:v>
                </c:pt>
                <c:pt idx="21">
                  <c:v>2.0511330798479087E-6</c:v>
                </c:pt>
                <c:pt idx="22">
                  <c:v>2.0853726937269371E-6</c:v>
                </c:pt>
                <c:pt idx="23">
                  <c:v>2.1176487455197131E-6</c:v>
                </c:pt>
                <c:pt idx="24">
                  <c:v>2.1481254355400698E-6</c:v>
                </c:pt>
                <c:pt idx="25">
                  <c:v>2.1769491525423724E-6</c:v>
                </c:pt>
                <c:pt idx="26">
                  <c:v>2.2042508250825082E-6</c:v>
                </c:pt>
                <c:pt idx="27">
                  <c:v>2.2301479099678453E-6</c:v>
                </c:pt>
                <c:pt idx="28">
                  <c:v>2.254746081504702E-6</c:v>
                </c:pt>
                <c:pt idx="29">
                  <c:v>2.2781406727828744E-6</c:v>
                </c:pt>
                <c:pt idx="30">
                  <c:v>2.3004179104477611E-6</c:v>
                </c:pt>
                <c:pt idx="31">
                  <c:v>2.3216559766763851E-6</c:v>
                </c:pt>
                <c:pt idx="32">
                  <c:v>2.3419259259259259E-6</c:v>
                </c:pt>
                <c:pt idx="33">
                  <c:v>2.361292479108635E-6</c:v>
                </c:pt>
                <c:pt idx="34">
                  <c:v>2.3798147138964577E-6</c:v>
                </c:pt>
                <c:pt idx="35">
                  <c:v>2.3975466666666666E-6</c:v>
                </c:pt>
                <c:pt idx="36">
                  <c:v>2.4145378590078331E-6</c:v>
                </c:pt>
                <c:pt idx="37">
                  <c:v>2.4308337595907926E-6</c:v>
                </c:pt>
                <c:pt idx="38">
                  <c:v>2.4464761904761905E-6</c:v>
                </c:pt>
                <c:pt idx="39">
                  <c:v>2.461503685503685E-6</c:v>
                </c:pt>
                <c:pt idx="40">
                  <c:v>2.4759518072289156E-6</c:v>
                </c:pt>
                <c:pt idx="41">
                  <c:v>2.4898534278959811E-6</c:v>
                </c:pt>
                <c:pt idx="42">
                  <c:v>2.5032389791183293E-6</c:v>
                </c:pt>
                <c:pt idx="43">
                  <c:v>2.516136674259681E-6</c:v>
                </c:pt>
                <c:pt idx="44">
                  <c:v>2.5285727069351228E-6</c:v>
                </c:pt>
                <c:pt idx="45">
                  <c:v>2.5405714285714283E-6</c:v>
                </c:pt>
                <c:pt idx="46">
                  <c:v>2.5521555075593953E-6</c:v>
                </c:pt>
                <c:pt idx="47">
                  <c:v>2.5633460721868363E-6</c:v>
                </c:pt>
                <c:pt idx="48">
                  <c:v>2.5741628392484342E-6</c:v>
                </c:pt>
                <c:pt idx="49">
                  <c:v>2.5846242299794664E-6</c:v>
                </c:pt>
                <c:pt idx="50">
                  <c:v>2.5947474747474743E-6</c:v>
                </c:pt>
                <c:pt idx="51">
                  <c:v>2.604548707753479E-6</c:v>
                </c:pt>
                <c:pt idx="52">
                  <c:v>2.6140430528375735E-6</c:v>
                </c:pt>
                <c:pt idx="53">
                  <c:v>2.6232447013487476E-6</c:v>
                </c:pt>
                <c:pt idx="54">
                  <c:v>2.6321669829222006E-6</c:v>
                </c:pt>
                <c:pt idx="55">
                  <c:v>2.6408224299065418E-6</c:v>
                </c:pt>
                <c:pt idx="56">
                  <c:v>2.6492228360957641E-6</c:v>
                </c:pt>
                <c:pt idx="57">
                  <c:v>2.6573793103448274E-6</c:v>
                </c:pt>
                <c:pt idx="58">
                  <c:v>2.6653023255813954E-6</c:v>
                </c:pt>
                <c:pt idx="59">
                  <c:v>2.6730017636684299E-6</c:v>
                </c:pt>
                <c:pt idx="60">
                  <c:v>2.680486956521739E-6</c:v>
                </c:pt>
              </c:numCache>
            </c:numRef>
          </c:yVal>
          <c:smooth val="1"/>
        </c:ser>
        <c:ser>
          <c:idx val="16"/>
          <c:order val="16"/>
          <c:tx>
            <c:strRef>
              <c:f>Sheet1!$AV$267</c:f>
              <c:strCache>
                <c:ptCount val="1"/>
                <c:pt idx="0">
                  <c:v>7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Sheet1!$AR$268:$AR$328</c:f>
              <c:numCache>
                <c:formatCode>General</c:formatCode>
                <c:ptCount val="6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</c:numCache>
            </c:numRef>
          </c:xVal>
          <c:yVal>
            <c:numRef>
              <c:f>Sheet1!$AV$268:$AV$328</c:f>
              <c:numCache>
                <c:formatCode>General</c:formatCode>
                <c:ptCount val="61"/>
                <c:pt idx="0">
                  <c:v>0</c:v>
                </c:pt>
                <c:pt idx="1">
                  <c:v>4.2944711538461536E-7</c:v>
                </c:pt>
                <c:pt idx="2">
                  <c:v>8.1020408163265311E-7</c:v>
                </c:pt>
                <c:pt idx="3">
                  <c:v>1.1501072961373388E-6</c:v>
                </c:pt>
                <c:pt idx="4">
                  <c:v>1.455397148676171E-6</c:v>
                </c:pt>
                <c:pt idx="5">
                  <c:v>1.7311046511627907E-6</c:v>
                </c:pt>
                <c:pt idx="6">
                  <c:v>1.9813308687615522E-6</c:v>
                </c:pt>
                <c:pt idx="7">
                  <c:v>2.2094522968197876E-6</c:v>
                </c:pt>
                <c:pt idx="8">
                  <c:v>2.4182741116751272E-6</c:v>
                </c:pt>
                <c:pt idx="9">
                  <c:v>2.610146103896104E-6</c:v>
                </c:pt>
                <c:pt idx="10">
                  <c:v>2.7870514820592821E-6</c:v>
                </c:pt>
                <c:pt idx="11">
                  <c:v>2.9506756756756756E-6</c:v>
                </c:pt>
                <c:pt idx="12">
                  <c:v>3.1024602026049198E-6</c:v>
                </c:pt>
                <c:pt idx="13">
                  <c:v>3.2436452513966483E-6</c:v>
                </c:pt>
                <c:pt idx="14">
                  <c:v>3.3753036437246959E-6</c:v>
                </c:pt>
                <c:pt idx="15">
                  <c:v>3.4983681462140991E-6</c:v>
                </c:pt>
                <c:pt idx="16">
                  <c:v>3.6136536030341339E-6</c:v>
                </c:pt>
                <c:pt idx="17">
                  <c:v>3.7218749999999998E-6</c:v>
                </c:pt>
                <c:pt idx="18">
                  <c:v>3.8236623067776455E-6</c:v>
                </c:pt>
                <c:pt idx="19">
                  <c:v>3.9195727482678983E-6</c:v>
                </c:pt>
                <c:pt idx="20">
                  <c:v>4.0101010101010095E-6</c:v>
                </c:pt>
                <c:pt idx="21">
                  <c:v>4.0956877729257635E-6</c:v>
                </c:pt>
                <c:pt idx="22">
                  <c:v>4.1767268862911799E-6</c:v>
                </c:pt>
                <c:pt idx="23">
                  <c:v>4.2535714285714283E-6</c:v>
                </c:pt>
                <c:pt idx="24">
                  <c:v>4.3265388496468212E-6</c:v>
                </c:pt>
                <c:pt idx="25">
                  <c:v>4.3959153543307081E-6</c:v>
                </c:pt>
                <c:pt idx="26">
                  <c:v>4.461959654178675E-6</c:v>
                </c:pt>
                <c:pt idx="27">
                  <c:v>4.524906191369606E-6</c:v>
                </c:pt>
                <c:pt idx="28">
                  <c:v>4.5849679193400544E-6</c:v>
                </c:pt>
                <c:pt idx="29">
                  <c:v>4.642338709677419E-6</c:v>
                </c:pt>
                <c:pt idx="30">
                  <c:v>4.6971954425942155E-6</c:v>
                </c:pt>
                <c:pt idx="31">
                  <c:v>4.7496998284734137E-6</c:v>
                </c:pt>
                <c:pt idx="32">
                  <c:v>4.7999999999999998E-6</c:v>
                </c:pt>
                <c:pt idx="33">
                  <c:v>4.8482319078947364E-6</c:v>
                </c:pt>
                <c:pt idx="34">
                  <c:v>4.8945205479452053E-6</c:v>
                </c:pt>
                <c:pt idx="35">
                  <c:v>4.9389810426540281E-6</c:v>
                </c:pt>
                <c:pt idx="36">
                  <c:v>4.9817195972114642E-6</c:v>
                </c:pt>
                <c:pt idx="37">
                  <c:v>5.0228343465045592E-6</c:v>
                </c:pt>
                <c:pt idx="38">
                  <c:v>5.0624161073825507E-6</c:v>
                </c:pt>
                <c:pt idx="39">
                  <c:v>5.1005490483162514E-6</c:v>
                </c:pt>
                <c:pt idx="40">
                  <c:v>5.1373112868439968E-6</c:v>
                </c:pt>
                <c:pt idx="41">
                  <c:v>5.1727754237288136E-6</c:v>
                </c:pt>
                <c:pt idx="42">
                  <c:v>5.2070090215128377E-6</c:v>
                </c:pt>
                <c:pt idx="43">
                  <c:v>5.2400750341064126E-6</c:v>
                </c:pt>
                <c:pt idx="44">
                  <c:v>5.2720321931589541E-6</c:v>
                </c:pt>
                <c:pt idx="45">
                  <c:v>5.302935356200527E-6</c:v>
                </c:pt>
                <c:pt idx="46">
                  <c:v>5.3328358208955221E-6</c:v>
                </c:pt>
                <c:pt idx="47">
                  <c:v>5.3617816091954018E-6</c:v>
                </c:pt>
                <c:pt idx="48">
                  <c:v>5.3898177247014449E-6</c:v>
                </c:pt>
                <c:pt idx="49">
                  <c:v>5.4169863861386139E-6</c:v>
                </c:pt>
                <c:pt idx="50">
                  <c:v>5.4433272394881166E-6</c:v>
                </c:pt>
                <c:pt idx="51">
                  <c:v>5.4688775510204082E-6</c:v>
                </c:pt>
                <c:pt idx="52">
                  <c:v>5.4936723832052038E-6</c:v>
                </c:pt>
                <c:pt idx="53">
                  <c:v>5.5177447552447548E-6</c:v>
                </c:pt>
                <c:pt idx="54">
                  <c:v>5.5411257897759911E-6</c:v>
                </c:pt>
                <c:pt idx="55">
                  <c:v>5.5638448471121181E-6</c:v>
                </c:pt>
                <c:pt idx="56">
                  <c:v>5.5859296482412055E-6</c:v>
                </c:pt>
                <c:pt idx="57">
                  <c:v>5.6074063876651981E-6</c:v>
                </c:pt>
                <c:pt idx="58">
                  <c:v>5.6282998370450843E-6</c:v>
                </c:pt>
                <c:pt idx="59">
                  <c:v>5.6486334405144689E-6</c:v>
                </c:pt>
                <c:pt idx="60">
                  <c:v>5.668429402432575E-6</c:v>
                </c:pt>
              </c:numCache>
            </c:numRef>
          </c:yVal>
          <c:smooth val="1"/>
        </c:ser>
        <c:ser>
          <c:idx val="17"/>
          <c:order val="17"/>
          <c:tx>
            <c:strRef>
              <c:f>Sheet1!$AW$267</c:f>
              <c:strCache>
                <c:ptCount val="1"/>
                <c:pt idx="0">
                  <c:v>7.5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Sheet1!$AR$268:$AR$328</c:f>
              <c:numCache>
                <c:formatCode>General</c:formatCode>
                <c:ptCount val="6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</c:numCache>
            </c:numRef>
          </c:xVal>
          <c:yVal>
            <c:numRef>
              <c:f>Sheet1!$AW$268:$AW$328</c:f>
              <c:numCache>
                <c:formatCode>General</c:formatCode>
                <c:ptCount val="61"/>
                <c:pt idx="0">
                  <c:v>0</c:v>
                </c:pt>
                <c:pt idx="1">
                  <c:v>1.4012430939226518E-6</c:v>
                </c:pt>
                <c:pt idx="2">
                  <c:v>2.6214470284237726E-6</c:v>
                </c:pt>
                <c:pt idx="3">
                  <c:v>3.6935679611650484E-6</c:v>
                </c:pt>
                <c:pt idx="4">
                  <c:v>4.6430205949656745E-6</c:v>
                </c:pt>
                <c:pt idx="5">
                  <c:v>5.4897186147186144E-6</c:v>
                </c:pt>
                <c:pt idx="6">
                  <c:v>6.2494866529774128E-6</c:v>
                </c:pt>
                <c:pt idx="7">
                  <c:v>6.9350585937499993E-6</c:v>
                </c:pt>
                <c:pt idx="8">
                  <c:v>7.5567970204841708E-6</c:v>
                </c:pt>
                <c:pt idx="9">
                  <c:v>8.1232206405693949E-6</c:v>
                </c:pt>
                <c:pt idx="10">
                  <c:v>8.6413969335604772E-6</c:v>
                </c:pt>
                <c:pt idx="11">
                  <c:v>9.1172385620915029E-6</c:v>
                </c:pt>
                <c:pt idx="12">
                  <c:v>9.5557299843014126E-6</c:v>
                </c:pt>
                <c:pt idx="13">
                  <c:v>9.9611027190332321E-6</c:v>
                </c:pt>
                <c:pt idx="14">
                  <c:v>1.0336972343522561E-5</c:v>
                </c:pt>
                <c:pt idx="15">
                  <c:v>1.0686446629213484E-5</c:v>
                </c:pt>
                <c:pt idx="16">
                  <c:v>1.1012211668928084E-5</c:v>
                </c:pt>
                <c:pt idx="17">
                  <c:v>1.1316601049868767E-5</c:v>
                </c:pt>
                <c:pt idx="18">
                  <c:v>1.1601651842439644E-5</c:v>
                </c:pt>
                <c:pt idx="19">
                  <c:v>1.1869150246305417E-5</c:v>
                </c:pt>
                <c:pt idx="20">
                  <c:v>1.2120669056152929E-5</c:v>
                </c:pt>
                <c:pt idx="21">
                  <c:v>1.2357598607888631E-5</c:v>
                </c:pt>
                <c:pt idx="22">
                  <c:v>1.2581172491544533E-5</c:v>
                </c:pt>
                <c:pt idx="23">
                  <c:v>1.279248903508772E-5</c:v>
                </c:pt>
                <c:pt idx="24">
                  <c:v>1.2992529348986127E-5</c:v>
                </c:pt>
                <c:pt idx="25">
                  <c:v>1.3182172557172558E-5</c:v>
                </c:pt>
                <c:pt idx="26">
                  <c:v>1.3362208713272542E-5</c:v>
                </c:pt>
                <c:pt idx="27">
                  <c:v>1.3533349802371543E-5</c:v>
                </c:pt>
                <c:pt idx="28">
                  <c:v>1.3696239151398265E-5</c:v>
                </c:pt>
                <c:pt idx="29">
                  <c:v>1.3851459510357816E-5</c:v>
                </c:pt>
                <c:pt idx="30">
                  <c:v>1.3999540018399266E-5</c:v>
                </c:pt>
                <c:pt idx="31">
                  <c:v>1.4140962230215828E-5</c:v>
                </c:pt>
                <c:pt idx="32">
                  <c:v>1.4276165347405452E-5</c:v>
                </c:pt>
                <c:pt idx="33">
                  <c:v>1.4405550774526679E-5</c:v>
                </c:pt>
                <c:pt idx="34">
                  <c:v>1.4529486099410279E-5</c:v>
                </c:pt>
                <c:pt idx="35">
                  <c:v>1.4648308580858085E-5</c:v>
                </c:pt>
                <c:pt idx="36">
                  <c:v>1.4762328213419562E-5</c:v>
                </c:pt>
                <c:pt idx="37">
                  <c:v>1.4871830427892235E-5</c:v>
                </c:pt>
                <c:pt idx="38">
                  <c:v>1.4977078477078477E-5</c:v>
                </c:pt>
                <c:pt idx="39">
                  <c:v>1.5078315548780487E-5</c:v>
                </c:pt>
                <c:pt idx="40">
                  <c:v>1.5175766641735229E-5</c:v>
                </c:pt>
                <c:pt idx="41">
                  <c:v>1.5269640234948606E-5</c:v>
                </c:pt>
                <c:pt idx="42">
                  <c:v>1.5360129776496036E-5</c:v>
                </c:pt>
                <c:pt idx="43">
                  <c:v>1.5447415014164307E-5</c:v>
                </c:pt>
                <c:pt idx="44">
                  <c:v>1.5531663187195546E-5</c:v>
                </c:pt>
                <c:pt idx="45">
                  <c:v>1.5613030095759236E-5</c:v>
                </c:pt>
                <c:pt idx="46">
                  <c:v>1.569166106254203E-5</c:v>
                </c:pt>
                <c:pt idx="47">
                  <c:v>1.5767691798941798E-5</c:v>
                </c:pt>
                <c:pt idx="48">
                  <c:v>1.5841249186727394E-5</c:v>
                </c:pt>
                <c:pt idx="49">
                  <c:v>1.5912451984635082E-5</c:v>
                </c:pt>
                <c:pt idx="50">
                  <c:v>1.5981411468178955E-5</c:v>
                </c:pt>
                <c:pt idx="51">
                  <c:v>1.6048232009925557E-5</c:v>
                </c:pt>
                <c:pt idx="52">
                  <c:v>1.6113011606597434E-5</c:v>
                </c:pt>
                <c:pt idx="53">
                  <c:v>1.617584235860409E-5</c:v>
                </c:pt>
                <c:pt idx="54">
                  <c:v>1.6236810906935389E-5</c:v>
                </c:pt>
                <c:pt idx="55">
                  <c:v>1.6295998831775701E-5</c:v>
                </c:pt>
                <c:pt idx="56">
                  <c:v>1.6353483016695452E-5</c:v>
                </c:pt>
                <c:pt idx="57">
                  <c:v>1.6409335981838822E-5</c:v>
                </c:pt>
                <c:pt idx="58">
                  <c:v>1.6463626189143816E-5</c:v>
                </c:pt>
                <c:pt idx="59">
                  <c:v>1.6516418322295805E-5</c:v>
                </c:pt>
                <c:pt idx="60">
                  <c:v>1.6567773543821451E-5</c:v>
                </c:pt>
              </c:numCache>
            </c:numRef>
          </c:yVal>
          <c:smooth val="1"/>
        </c:ser>
        <c:ser>
          <c:idx val="18"/>
          <c:order val="18"/>
          <c:tx>
            <c:strRef>
              <c:f>Sheet1!$AX$267</c:f>
              <c:strCache>
                <c:ptCount val="1"/>
                <c:pt idx="0">
                  <c:v>8.01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Sheet1!$AR$268:$AR$328</c:f>
              <c:numCache>
                <c:formatCode>General</c:formatCode>
                <c:ptCount val="6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</c:numCache>
            </c:numRef>
          </c:xVal>
          <c:yVal>
            <c:numRef>
              <c:f>Sheet1!$AX$268:$AX$328</c:f>
              <c:numCache>
                <c:formatCode>General</c:formatCode>
                <c:ptCount val="61"/>
                <c:pt idx="0">
                  <c:v>0</c:v>
                </c:pt>
                <c:pt idx="1">
                  <c:v>6.8929593589009738E-6</c:v>
                </c:pt>
                <c:pt idx="2">
                  <c:v>1.2369799691833591E-5</c:v>
                </c:pt>
                <c:pt idx="3">
                  <c:v>1.6826269212855148E-5</c:v>
                </c:pt>
                <c:pt idx="4">
                  <c:v>2.052322113336174E-5</c:v>
                </c:pt>
                <c:pt idx="5">
                  <c:v>2.3639575971731452E-5</c:v>
                </c:pt>
                <c:pt idx="6">
                  <c:v>2.6302147797597379E-5</c:v>
                </c:pt>
                <c:pt idx="7">
                  <c:v>2.860332541567696E-5</c:v>
                </c:pt>
                <c:pt idx="8">
                  <c:v>3.0612011439466159E-5</c:v>
                </c:pt>
                <c:pt idx="9">
                  <c:v>3.2380639378547955E-5</c:v>
                </c:pt>
                <c:pt idx="10">
                  <c:v>3.3949816746546381E-5</c:v>
                </c:pt>
                <c:pt idx="11">
                  <c:v>3.5351481184947967E-5</c:v>
                </c:pt>
                <c:pt idx="12">
                  <c:v>3.6611097035723334E-5</c:v>
                </c:pt>
                <c:pt idx="13">
                  <c:v>3.7749216300940437E-5</c:v>
                </c:pt>
                <c:pt idx="14">
                  <c:v>3.878260869565218E-5</c:v>
                </c:pt>
                <c:pt idx="15">
                  <c:v>3.972509346822081E-5</c:v>
                </c:pt>
                <c:pt idx="16">
                  <c:v>4.0588160943753955E-5</c:v>
                </c:pt>
                <c:pt idx="17">
                  <c:v>4.1381443298969068E-5</c:v>
                </c:pt>
                <c:pt idx="18">
                  <c:v>4.2113075578006603E-5</c:v>
                </c:pt>
                <c:pt idx="19">
                  <c:v>4.2789975687301297E-5</c:v>
                </c:pt>
                <c:pt idx="20">
                  <c:v>4.3418063818280152E-5</c:v>
                </c:pt>
                <c:pt idx="21">
                  <c:v>4.400243605359318E-5</c:v>
                </c:pt>
                <c:pt idx="22">
                  <c:v>4.4547502942660174E-5</c:v>
                </c:pt>
                <c:pt idx="23">
                  <c:v>4.5057101024890187E-5</c:v>
                </c:pt>
                <c:pt idx="24">
                  <c:v>4.5534583267685521E-5</c:v>
                </c:pt>
                <c:pt idx="25">
                  <c:v>4.5982892928058657E-5</c:v>
                </c:pt>
                <c:pt idx="26">
                  <c:v>4.6404624277456652E-5</c:v>
                </c:pt>
                <c:pt idx="27">
                  <c:v>4.6802072837195914E-5</c:v>
                </c:pt>
                <c:pt idx="28">
                  <c:v>4.7177277179236051E-5</c:v>
                </c:pt>
                <c:pt idx="29">
                  <c:v>4.7532053899550836E-5</c:v>
                </c:pt>
                <c:pt idx="30">
                  <c:v>4.7868027030608197E-5</c:v>
                </c:pt>
                <c:pt idx="31">
                  <c:v>4.818665289789596E-5</c:v>
                </c:pt>
                <c:pt idx="32">
                  <c:v>4.8489241223103059E-5</c:v>
                </c:pt>
                <c:pt idx="33">
                  <c:v>4.8776973118939489E-5</c:v>
                </c:pt>
                <c:pt idx="34">
                  <c:v>4.9050916496945013E-5</c:v>
                </c:pt>
                <c:pt idx="35">
                  <c:v>4.9312039312039313E-5</c:v>
                </c:pt>
                <c:pt idx="36">
                  <c:v>4.9561220990053732E-5</c:v>
                </c:pt>
                <c:pt idx="37">
                  <c:v>4.9799262322566218E-5</c:v>
                </c:pt>
                <c:pt idx="38">
                  <c:v>5.0026894063627418E-5</c:v>
                </c:pt>
                <c:pt idx="39">
                  <c:v>5.0244784422809459E-5</c:v>
                </c:pt>
                <c:pt idx="40">
                  <c:v>5.0453545616424003E-5</c:v>
                </c:pt>
                <c:pt idx="41">
                  <c:v>5.0653739612188359E-5</c:v>
                </c:pt>
                <c:pt idx="42">
                  <c:v>5.084588318085855E-5</c:v>
                </c:pt>
                <c:pt idx="43">
                  <c:v>5.1030452350448404E-5</c:v>
                </c:pt>
                <c:pt idx="44">
                  <c:v>5.1207886343867787E-5</c:v>
                </c:pt>
                <c:pt idx="45">
                  <c:v>5.13785910685503E-5</c:v>
                </c:pt>
                <c:pt idx="46">
                  <c:v>5.1542942216432489E-5</c:v>
                </c:pt>
                <c:pt idx="47">
                  <c:v>5.1701288024116193E-5</c:v>
                </c:pt>
                <c:pt idx="48">
                  <c:v>5.1853951735893064E-5</c:v>
                </c:pt>
                <c:pt idx="49">
                  <c:v>5.2001233806292414E-5</c:v>
                </c:pt>
                <c:pt idx="50">
                  <c:v>5.214341387373344E-5</c:v>
                </c:pt>
                <c:pt idx="51">
                  <c:v>5.2280752532561501E-5</c:v>
                </c:pt>
                <c:pt idx="52">
                  <c:v>5.2413492927094664E-5</c:v>
                </c:pt>
                <c:pt idx="53">
                  <c:v>5.2541862188194616E-5</c:v>
                </c:pt>
                <c:pt idx="54">
                  <c:v>5.2666072730217865E-5</c:v>
                </c:pt>
                <c:pt idx="55">
                  <c:v>5.278632342392604E-5</c:v>
                </c:pt>
                <c:pt idx="56">
                  <c:v>5.2902800658978586E-5</c:v>
                </c:pt>
                <c:pt idx="57">
                  <c:v>5.3015679307947783E-5</c:v>
                </c:pt>
                <c:pt idx="58">
                  <c:v>5.3125123602342741E-5</c:v>
                </c:pt>
                <c:pt idx="59">
                  <c:v>5.3231287929871879E-5</c:v>
                </c:pt>
                <c:pt idx="60">
                  <c:v>5.3334317561083638E-5</c:v>
                </c:pt>
              </c:numCache>
            </c:numRef>
          </c:yVal>
          <c:smooth val="1"/>
        </c:ser>
        <c:ser>
          <c:idx val="19"/>
          <c:order val="19"/>
          <c:tx>
            <c:strRef>
              <c:f>Sheet1!$AY$267</c:f>
              <c:strCache>
                <c:ptCount val="1"/>
                <c:pt idx="0">
                  <c:v>8.5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Sheet1!$AR$268:$AR$328</c:f>
              <c:numCache>
                <c:formatCode>General</c:formatCode>
                <c:ptCount val="6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</c:numCache>
            </c:numRef>
          </c:xVal>
          <c:yVal>
            <c:numRef>
              <c:f>Sheet1!$AY$268:$AY$328</c:f>
              <c:numCache>
                <c:formatCode>General</c:formatCode>
                <c:ptCount val="61"/>
                <c:pt idx="0">
                  <c:v>0</c:v>
                </c:pt>
                <c:pt idx="1">
                  <c:v>1.3789508705777976E-5</c:v>
                </c:pt>
                <c:pt idx="2">
                  <c:v>2.2572388127439408E-5</c:v>
                </c:pt>
                <c:pt idx="3">
                  <c:v>2.8656372436045171E-5</c:v>
                </c:pt>
                <c:pt idx="4">
                  <c:v>3.3119797562762205E-5</c:v>
                </c:pt>
                <c:pt idx="5">
                  <c:v>3.6534054181113006E-5</c:v>
                </c:pt>
                <c:pt idx="6">
                  <c:v>3.9230162486196558E-5</c:v>
                </c:pt>
                <c:pt idx="7">
                  <c:v>4.1413141742399005E-5</c:v>
                </c:pt>
                <c:pt idx="8">
                  <c:v>4.3216752834861183E-5</c:v>
                </c:pt>
                <c:pt idx="9">
                  <c:v>4.4731982252068591E-5</c:v>
                </c:pt>
                <c:pt idx="10">
                  <c:v>4.6022874486434465E-5</c:v>
                </c:pt>
                <c:pt idx="11">
                  <c:v>4.7135816934900236E-5</c:v>
                </c:pt>
                <c:pt idx="12">
                  <c:v>4.8105232614372759E-5</c:v>
                </c:pt>
                <c:pt idx="13">
                  <c:v>4.895720386467577E-5</c:v>
                </c:pt>
                <c:pt idx="14">
                  <c:v>4.9711854242225207E-5</c:v>
                </c:pt>
                <c:pt idx="15">
                  <c:v>5.0384958262419967E-5</c:v>
                </c:pt>
                <c:pt idx="16">
                  <c:v>5.0989056052489943E-5</c:v>
                </c:pt>
                <c:pt idx="17">
                  <c:v>5.1534241899700112E-5</c:v>
                </c:pt>
                <c:pt idx="18">
                  <c:v>5.2028732826556935E-5</c:v>
                </c:pt>
                <c:pt idx="19">
                  <c:v>5.2479285603216556E-5</c:v>
                </c:pt>
                <c:pt idx="20">
                  <c:v>5.2891507327136992E-5</c:v>
                </c:pt>
                <c:pt idx="21">
                  <c:v>5.3270089968786344E-5</c:v>
                </c:pt>
                <c:pt idx="22">
                  <c:v>5.3618989748515209E-5</c:v>
                </c:pt>
                <c:pt idx="23">
                  <c:v>5.3941565912820414E-5</c:v>
                </c:pt>
                <c:pt idx="24">
                  <c:v>5.4240689241507166E-5</c:v>
                </c:pt>
                <c:pt idx="25">
                  <c:v>5.4518827718049004E-5</c:v>
                </c:pt>
                <c:pt idx="26">
                  <c:v>5.4778114780486984E-5</c:v>
                </c:pt>
                <c:pt idx="27">
                  <c:v>5.5020404149663204E-5</c:v>
                </c:pt>
                <c:pt idx="28">
                  <c:v>5.5247314216798639E-5</c:v>
                </c:pt>
                <c:pt idx="29">
                  <c:v>5.5460264238583753E-5</c:v>
                </c:pt>
                <c:pt idx="30">
                  <c:v>5.5660504051210878E-5</c:v>
                </c:pt>
                <c:pt idx="31">
                  <c:v>5.5849138618021643E-5</c:v>
                </c:pt>
                <c:pt idx="32">
                  <c:v>5.602714842924933E-5</c:v>
                </c:pt>
                <c:pt idx="33">
                  <c:v>5.6195406549159782E-5</c:v>
                </c:pt>
                <c:pt idx="34">
                  <c:v>5.6354692936267776E-5</c:v>
                </c:pt>
                <c:pt idx="35">
                  <c:v>5.6505706532324029E-5</c:v>
                </c:pt>
                <c:pt idx="36">
                  <c:v>5.6649075515395423E-5</c:v>
                </c:pt>
                <c:pt idx="37">
                  <c:v>5.6785366034289094E-5</c:v>
                </c:pt>
                <c:pt idx="38">
                  <c:v>5.6915089680426889E-5</c:v>
                </c:pt>
                <c:pt idx="39">
                  <c:v>5.7038709905077802E-5</c:v>
                </c:pt>
                <c:pt idx="40">
                  <c:v>5.7156647551627838E-5</c:v>
                </c:pt>
                <c:pt idx="41">
                  <c:v>5.7269285642068365E-5</c:v>
                </c:pt>
                <c:pt idx="42">
                  <c:v>5.7376973532417015E-5</c:v>
                </c:pt>
                <c:pt idx="43">
                  <c:v>5.7480030532053277E-5</c:v>
                </c:pt>
                <c:pt idx="44">
                  <c:v>5.7578749065956618E-5</c:v>
                </c:pt>
                <c:pt idx="45">
                  <c:v>5.7673397445808457E-5</c:v>
                </c:pt>
                <c:pt idx="46">
                  <c:v>5.7764222305260705E-5</c:v>
                </c:pt>
                <c:pt idx="47">
                  <c:v>5.7851450745914042E-5</c:v>
                </c:pt>
                <c:pt idx="48">
                  <c:v>5.7935292233320706E-5</c:v>
                </c:pt>
                <c:pt idx="49">
                  <c:v>5.8015940276336209E-5</c:v>
                </c:pt>
                <c:pt idx="50">
                  <c:v>5.8093573918162527E-5</c:v>
                </c:pt>
                <c:pt idx="51">
                  <c:v>5.8168359063265356E-5</c:v>
                </c:pt>
                <c:pt idx="52">
                  <c:v>5.8240449660862749E-5</c:v>
                </c:pt>
                <c:pt idx="53">
                  <c:v>5.8309988762752494E-5</c:v>
                </c:pt>
                <c:pt idx="54">
                  <c:v>5.8377109470773877E-5</c:v>
                </c:pt>
                <c:pt idx="55">
                  <c:v>5.8441935787107849E-5</c:v>
                </c:pt>
                <c:pt idx="56">
                  <c:v>5.8504583378845029E-5</c:v>
                </c:pt>
                <c:pt idx="57">
                  <c:v>5.8565160266739379E-5</c:v>
                </c:pt>
                <c:pt idx="58">
                  <c:v>5.8623767446775642E-5</c:v>
                </c:pt>
                <c:pt idx="59">
                  <c:v>5.8680499452074514E-5</c:v>
                </c:pt>
                <c:pt idx="60">
                  <c:v>5.8735444861711412E-5</c:v>
                </c:pt>
              </c:numCache>
            </c:numRef>
          </c:yVal>
          <c:smooth val="1"/>
        </c:ser>
        <c:ser>
          <c:idx val="20"/>
          <c:order val="20"/>
          <c:tx>
            <c:strRef>
              <c:f>Sheet1!$AZ$267</c:f>
              <c:strCache>
                <c:ptCount val="1"/>
                <c:pt idx="0">
                  <c:v>8.46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Sheet1!$AR$268:$AR$328</c:f>
              <c:numCache>
                <c:formatCode>General</c:formatCode>
                <c:ptCount val="6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</c:numCache>
            </c:numRef>
          </c:xVal>
          <c:yVal>
            <c:numRef>
              <c:f>Sheet1!$AZ$268:$AZ$328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yVal>
          <c:smooth val="1"/>
        </c:ser>
        <c:ser>
          <c:idx val="21"/>
          <c:order val="21"/>
          <c:tx>
            <c:strRef>
              <c:f>Sheet1!$BA$267</c:f>
              <c:strCache>
                <c:ptCount val="1"/>
                <c:pt idx="0">
                  <c:v>8.98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Sheet1!$AR$268:$AR$328</c:f>
              <c:numCache>
                <c:formatCode>General</c:formatCode>
                <c:ptCount val="6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</c:numCache>
            </c:numRef>
          </c:xVal>
          <c:yVal>
            <c:numRef>
              <c:f>Sheet1!$BA$268:$BA$328</c:f>
              <c:numCache>
                <c:formatCode>General</c:formatCode>
                <c:ptCount val="61"/>
                <c:pt idx="0">
                  <c:v>0</c:v>
                </c:pt>
                <c:pt idx="1">
                  <c:v>5.684251508662643E-6</c:v>
                </c:pt>
                <c:pt idx="2">
                  <c:v>1.0942477047030166E-5</c:v>
                </c:pt>
                <c:pt idx="3">
                  <c:v>1.5820841610980675E-5</c:v>
                </c:pt>
                <c:pt idx="4">
                  <c:v>2.0359072686072862E-5</c:v>
                </c:pt>
                <c:pt idx="5">
                  <c:v>2.4591544551120093E-5</c:v>
                </c:pt>
                <c:pt idx="6">
                  <c:v>2.8548150562163921E-5</c:v>
                </c:pt>
                <c:pt idx="7">
                  <c:v>3.2255010257219501E-5</c:v>
                </c:pt>
                <c:pt idx="8">
                  <c:v>3.5735046657488144E-5</c:v>
                </c:pt>
                <c:pt idx="9">
                  <c:v>3.9008460739201426E-5</c:v>
                </c:pt>
                <c:pt idx="10">
                  <c:v>4.209312382874441E-5</c:v>
                </c:pt>
                <c:pt idx="11">
                  <c:v>4.5004904021297462E-5</c:v>
                </c:pt>
                <c:pt idx="12">
                  <c:v>4.7757939212212076E-5</c:v>
                </c:pt>
                <c:pt idx="13">
                  <c:v>5.0364866657821409E-5</c:v>
                </c:pt>
                <c:pt idx="14">
                  <c:v>5.2837016931627239E-5</c:v>
                </c:pt>
                <c:pt idx="15">
                  <c:v>5.5184578556129524E-5</c:v>
                </c:pt>
                <c:pt idx="16">
                  <c:v>5.7416738355659335E-5</c:v>
                </c:pt>
                <c:pt idx="17">
                  <c:v>5.9541801607292797E-5</c:v>
                </c:pt>
                <c:pt idx="18">
                  <c:v>6.1567295302799576E-5</c:v>
                </c:pt>
                <c:pt idx="19">
                  <c:v>6.3500057227881422E-5</c:v>
                </c:pt>
                <c:pt idx="20">
                  <c:v>6.5346313080452047E-5</c:v>
                </c:pt>
                <c:pt idx="21">
                  <c:v>6.7111743460654478E-5</c:v>
                </c:pt>
                <c:pt idx="22">
                  <c:v>6.8801542251258443E-5</c:v>
                </c:pt>
                <c:pt idx="23">
                  <c:v>7.0420467652301561E-5</c:v>
                </c:pt>
                <c:pt idx="24">
                  <c:v>7.1972886926157959E-5</c:v>
                </c:pt>
                <c:pt idx="25">
                  <c:v>7.3462815739156679E-5</c:v>
                </c:pt>
                <c:pt idx="26">
                  <c:v>7.4893952846009671E-5</c:v>
                </c:pt>
                <c:pt idx="27">
                  <c:v>7.6269710747799182E-5</c:v>
                </c:pt>
                <c:pt idx="28">
                  <c:v>7.7593242858498625E-5</c:v>
                </c:pt>
                <c:pt idx="29">
                  <c:v>7.8867467635279867E-5</c:v>
                </c:pt>
                <c:pt idx="30">
                  <c:v>8.0095090061259934E-5</c:v>
                </c:pt>
                <c:pt idx="31">
                  <c:v>8.127862081350453E-5</c:v>
                </c:pt>
                <c:pt idx="32">
                  <c:v>8.2420393402134613E-5</c:v>
                </c:pt>
                <c:pt idx="33">
                  <c:v>8.352257952674005E-5</c:v>
                </c:pt>
                <c:pt idx="34">
                  <c:v>8.4587202862741764E-5</c:v>
                </c:pt>
                <c:pt idx="35">
                  <c:v>8.5616151461841321E-5</c:v>
                </c:pt>
                <c:pt idx="36">
                  <c:v>8.6611188926423322E-5</c:v>
                </c:pt>
                <c:pt idx="37">
                  <c:v>8.7573964497041421E-5</c:v>
                </c:pt>
                <c:pt idx="38">
                  <c:v>8.8506022174363876E-5</c:v>
                </c:pt>
                <c:pt idx="39">
                  <c:v>8.9408808981706827E-5</c:v>
                </c:pt>
                <c:pt idx="40">
                  <c:v>9.0283682461157915E-5</c:v>
                </c:pt>
                <c:pt idx="41">
                  <c:v>9.1131917484966112E-5</c:v>
                </c:pt>
                <c:pt idx="42">
                  <c:v>9.1954712454075141E-5</c:v>
                </c:pt>
                <c:pt idx="43">
                  <c:v>9.2753194947181795E-5</c:v>
                </c:pt>
                <c:pt idx="44">
                  <c:v>9.3528426876319411E-5</c:v>
                </c:pt>
                <c:pt idx="45">
                  <c:v>9.4281409198536262E-5</c:v>
                </c:pt>
                <c:pt idx="46">
                  <c:v>9.5013086227629617E-5</c:v>
                </c:pt>
                <c:pt idx="47">
                  <c:v>9.5724349584989883E-5</c:v>
                </c:pt>
                <c:pt idx="48">
                  <c:v>9.6416041824310393E-5</c:v>
                </c:pt>
                <c:pt idx="49">
                  <c:v>9.7088959761145412E-5</c:v>
                </c:pt>
                <c:pt idx="50">
                  <c:v>9.7743857534980243E-5</c:v>
                </c:pt>
                <c:pt idx="51">
                  <c:v>9.8381449428552539E-5</c:v>
                </c:pt>
                <c:pt idx="52">
                  <c:v>9.9002412466584079E-5</c:v>
                </c:pt>
                <c:pt idx="53">
                  <c:v>9.9607388813799323E-5</c:v>
                </c:pt>
                <c:pt idx="54">
                  <c:v>1.0019698799008706E-4</c:v>
                </c:pt>
                <c:pt idx="55">
                  <c:v>1.0077178891886803E-4</c:v>
                </c:pt>
                <c:pt idx="56">
                  <c:v>1.0133234182313936E-4</c:v>
                </c:pt>
                <c:pt idx="57">
                  <c:v>1.0187916998224889E-4</c:v>
                </c:pt>
                <c:pt idx="58">
                  <c:v>1.0241277136119006E-4</c:v>
                </c:pt>
                <c:pt idx="59">
                  <c:v>1.0293362012308058E-4</c:v>
                </c:pt>
                <c:pt idx="60">
                  <c:v>1.0344216803448072E-4</c:v>
                </c:pt>
              </c:numCache>
            </c:numRef>
          </c:yVal>
          <c:smooth val="1"/>
        </c:ser>
        <c:ser>
          <c:idx val="22"/>
          <c:order val="22"/>
          <c:tx>
            <c:strRef>
              <c:f>Sheet1!$BB$267</c:f>
              <c:strCache>
                <c:ptCount val="1"/>
                <c:pt idx="0">
                  <c:v>9.23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Sheet1!$AR$268:$AR$328</c:f>
              <c:numCache>
                <c:formatCode>General</c:formatCode>
                <c:ptCount val="6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</c:numCache>
            </c:numRef>
          </c:xVal>
          <c:yVal>
            <c:numRef>
              <c:f>Sheet1!$BB$268:$BB$328</c:f>
              <c:numCache>
                <c:formatCode>General</c:formatCode>
                <c:ptCount val="61"/>
                <c:pt idx="0">
                  <c:v>0</c:v>
                </c:pt>
                <c:pt idx="1">
                  <c:v>5.0509915014164302E-6</c:v>
                </c:pt>
                <c:pt idx="2">
                  <c:v>9.8236914600550957E-6</c:v>
                </c:pt>
                <c:pt idx="3">
                  <c:v>1.434048257372654E-5</c:v>
                </c:pt>
                <c:pt idx="4">
                  <c:v>1.862140992167102E-5</c:v>
                </c:pt>
                <c:pt idx="5">
                  <c:v>2.2684478371501271E-5</c:v>
                </c:pt>
                <c:pt idx="6">
                  <c:v>2.6545905707196027E-5</c:v>
                </c:pt>
                <c:pt idx="7">
                  <c:v>3.0220338983050846E-5</c:v>
                </c:pt>
                <c:pt idx="8">
                  <c:v>3.3721040189125293E-5</c:v>
                </c:pt>
                <c:pt idx="9">
                  <c:v>3.7060046189376448E-5</c:v>
                </c:pt>
                <c:pt idx="10">
                  <c:v>4.0248306997742669E-5</c:v>
                </c:pt>
                <c:pt idx="11">
                  <c:v>4.3295805739514346E-5</c:v>
                </c:pt>
                <c:pt idx="12">
                  <c:v>4.6211663066954643E-5</c:v>
                </c:pt>
                <c:pt idx="13">
                  <c:v>4.9004228329809724E-5</c:v>
                </c:pt>
                <c:pt idx="14">
                  <c:v>5.1681159420289851E-5</c:v>
                </c:pt>
                <c:pt idx="15">
                  <c:v>5.4249492900608528E-5</c:v>
                </c:pt>
                <c:pt idx="16">
                  <c:v>5.671570576540755E-5</c:v>
                </c:pt>
                <c:pt idx="17">
                  <c:v>5.9085769980506825E-5</c:v>
                </c:pt>
                <c:pt idx="18">
                  <c:v>6.136520076481835E-5</c:v>
                </c:pt>
                <c:pt idx="19">
                  <c:v>6.3559099437148205E-5</c:v>
                </c:pt>
                <c:pt idx="20">
                  <c:v>6.5672191528545117E-5</c:v>
                </c:pt>
                <c:pt idx="21">
                  <c:v>6.770886075949368E-5</c:v>
                </c:pt>
                <c:pt idx="22">
                  <c:v>6.967317939609235E-5</c:v>
                </c:pt>
                <c:pt idx="23">
                  <c:v>7.1568935427574162E-5</c:v>
                </c:pt>
                <c:pt idx="24">
                  <c:v>7.3399656946826752E-5</c:v>
                </c:pt>
                <c:pt idx="25">
                  <c:v>7.516863406408094E-5</c:v>
                </c:pt>
                <c:pt idx="26">
                  <c:v>7.6878938640132665E-5</c:v>
                </c:pt>
                <c:pt idx="27">
                  <c:v>7.8533442088091356E-5</c:v>
                </c:pt>
                <c:pt idx="28">
                  <c:v>8.0134831460674144E-5</c:v>
                </c:pt>
                <c:pt idx="29">
                  <c:v>8.1685624012638235E-5</c:v>
                </c:pt>
                <c:pt idx="30">
                  <c:v>8.3188180404354599E-5</c:v>
                </c:pt>
                <c:pt idx="31">
                  <c:v>8.4644716692189887E-5</c:v>
                </c:pt>
                <c:pt idx="32">
                  <c:v>8.6057315233785818E-5</c:v>
                </c:pt>
                <c:pt idx="33">
                  <c:v>8.7427934621099536E-5</c:v>
                </c:pt>
                <c:pt idx="34">
                  <c:v>8.8758418740849185E-5</c:v>
                </c:pt>
                <c:pt idx="35">
                  <c:v>9.0050505050505059E-5</c:v>
                </c:pt>
                <c:pt idx="36">
                  <c:v>9.1305832147937411E-5</c:v>
                </c:pt>
                <c:pt idx="37">
                  <c:v>9.2525946704067312E-5</c:v>
                </c:pt>
                <c:pt idx="38">
                  <c:v>9.3712309820193616E-5</c:v>
                </c:pt>
                <c:pt idx="39">
                  <c:v>9.4866302864938596E-5</c:v>
                </c:pt>
                <c:pt idx="40">
                  <c:v>9.5989232839838493E-5</c:v>
                </c:pt>
                <c:pt idx="41">
                  <c:v>9.7082337317397081E-5</c:v>
                </c:pt>
                <c:pt idx="42">
                  <c:v>9.8146788990825681E-5</c:v>
                </c:pt>
                <c:pt idx="43">
                  <c:v>9.9183699870633888E-5</c:v>
                </c:pt>
                <c:pt idx="44">
                  <c:v>1.001941251596424E-4</c:v>
                </c:pt>
                <c:pt idx="45">
                  <c:v>1.0117906683480454E-4</c:v>
                </c:pt>
                <c:pt idx="46">
                  <c:v>1.0213947696139477E-4</c:v>
                </c:pt>
                <c:pt idx="47">
                  <c:v>1.0307626076260762E-4</c:v>
                </c:pt>
                <c:pt idx="48">
                  <c:v>1.0399027946537059E-4</c:v>
                </c:pt>
                <c:pt idx="49">
                  <c:v>1.0488235294117646E-4</c:v>
                </c:pt>
                <c:pt idx="50">
                  <c:v>1.057532621589561E-4</c:v>
                </c:pt>
                <c:pt idx="51">
                  <c:v>1.0660375146541619E-4</c:v>
                </c:pt>
                <c:pt idx="52">
                  <c:v>1.0743453070683661E-4</c:v>
                </c:pt>
                <c:pt idx="53">
                  <c:v>1.0824627720504008E-4</c:v>
                </c:pt>
                <c:pt idx="54">
                  <c:v>1.09039637599094E-4</c:v>
                </c:pt>
                <c:pt idx="55">
                  <c:v>1.0981522956326989E-4</c:v>
                </c:pt>
                <c:pt idx="56">
                  <c:v>1.1057364341085271E-4</c:v>
                </c:pt>
                <c:pt idx="57">
                  <c:v>1.1131544359255203E-4</c:v>
                </c:pt>
                <c:pt idx="58">
                  <c:v>1.1204117009750812E-4</c:v>
                </c:pt>
                <c:pt idx="59">
                  <c:v>1.1275133976420149E-4</c:v>
                </c:pt>
                <c:pt idx="60">
                  <c:v>1.1344644750795335E-4</c:v>
                </c:pt>
              </c:numCache>
            </c:numRef>
          </c:yVal>
          <c:smooth val="1"/>
        </c:ser>
        <c:ser>
          <c:idx val="23"/>
          <c:order val="23"/>
          <c:tx>
            <c:strRef>
              <c:f>Sheet1!$BC$267</c:f>
              <c:strCache>
                <c:ptCount val="1"/>
                <c:pt idx="0">
                  <c:v>9.4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Sheet1!$AR$268:$AR$328</c:f>
              <c:numCache>
                <c:formatCode>General</c:formatCode>
                <c:ptCount val="6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</c:numCache>
            </c:numRef>
          </c:xVal>
          <c:yVal>
            <c:numRef>
              <c:f>Sheet1!$BC$268:$BC$328</c:f>
              <c:numCache>
                <c:formatCode>General</c:formatCode>
                <c:ptCount val="61"/>
                <c:pt idx="0">
                  <c:v>0</c:v>
                </c:pt>
                <c:pt idx="1">
                  <c:v>4.6450939457202501E-6</c:v>
                </c:pt>
                <c:pt idx="2">
                  <c:v>9.0539165818921651E-6</c:v>
                </c:pt>
                <c:pt idx="3">
                  <c:v>1.3244047619047618E-5</c:v>
                </c:pt>
                <c:pt idx="4">
                  <c:v>1.7231364956437556E-5</c:v>
                </c:pt>
                <c:pt idx="5">
                  <c:v>2.103024574669187E-5</c:v>
                </c:pt>
                <c:pt idx="6">
                  <c:v>2.4653739612188364E-5</c:v>
                </c:pt>
                <c:pt idx="7">
                  <c:v>2.8113718411552344E-5</c:v>
                </c:pt>
                <c:pt idx="8">
                  <c:v>3.1421006178287729E-5</c:v>
                </c:pt>
                <c:pt idx="9">
                  <c:v>3.4585492227979271E-5</c:v>
                </c:pt>
                <c:pt idx="10">
                  <c:v>3.7616229923922228E-5</c:v>
                </c:pt>
                <c:pt idx="11">
                  <c:v>4.0521523178807941E-5</c:v>
                </c:pt>
                <c:pt idx="12">
                  <c:v>4.330900243309002E-5</c:v>
                </c:pt>
                <c:pt idx="13">
                  <c:v>4.5985691573926863E-5</c:v>
                </c:pt>
                <c:pt idx="14">
                  <c:v>4.8558067030397507E-5</c:v>
                </c:pt>
                <c:pt idx="15">
                  <c:v>5.1032110091743117E-5</c:v>
                </c:pt>
                <c:pt idx="16">
                  <c:v>5.3413353338334575E-5</c:v>
                </c:pt>
                <c:pt idx="17">
                  <c:v>5.5706921944035341E-5</c:v>
                </c:pt>
                <c:pt idx="18">
                  <c:v>5.7917570498915397E-5</c:v>
                </c:pt>
                <c:pt idx="19">
                  <c:v>6.0049715909090907E-5</c:v>
                </c:pt>
                <c:pt idx="20">
                  <c:v>6.2107466852756452E-5</c:v>
                </c:pt>
                <c:pt idx="21">
                  <c:v>6.4094650205761303E-5</c:v>
                </c:pt>
                <c:pt idx="22">
                  <c:v>6.6014834794335812E-5</c:v>
                </c:pt>
                <c:pt idx="23">
                  <c:v>6.7871352785145878E-5</c:v>
                </c:pt>
                <c:pt idx="24">
                  <c:v>6.9667318982387469E-5</c:v>
                </c:pt>
                <c:pt idx="25">
                  <c:v>7.1405648267008974E-5</c:v>
                </c:pt>
                <c:pt idx="26">
                  <c:v>7.3089071383449137E-5</c:v>
                </c:pt>
                <c:pt idx="27">
                  <c:v>7.4720149253731339E-5</c:v>
                </c:pt>
                <c:pt idx="28">
                  <c:v>7.6301285976729941E-5</c:v>
                </c:pt>
                <c:pt idx="29">
                  <c:v>7.7834740651387213E-5</c:v>
                </c:pt>
                <c:pt idx="30">
                  <c:v>7.9322638146167552E-5</c:v>
                </c:pt>
                <c:pt idx="31">
                  <c:v>8.0766978922716616E-5</c:v>
                </c:pt>
                <c:pt idx="32">
                  <c:v>8.2169648009232542E-5</c:v>
                </c:pt>
                <c:pt idx="33">
                  <c:v>8.353242320819112E-5</c:v>
                </c:pt>
                <c:pt idx="34">
                  <c:v>8.4856982613572623E-5</c:v>
                </c:pt>
                <c:pt idx="35">
                  <c:v>8.6144911504424775E-5</c:v>
                </c:pt>
                <c:pt idx="36">
                  <c:v>8.739770867430441E-5</c:v>
                </c:pt>
                <c:pt idx="37">
                  <c:v>8.8616792249730886E-5</c:v>
                </c:pt>
                <c:pt idx="38">
                  <c:v>8.9803505045140726E-5</c:v>
                </c:pt>
                <c:pt idx="39">
                  <c:v>9.0959119496855344E-5</c:v>
                </c:pt>
                <c:pt idx="40">
                  <c:v>9.2084842214174847E-5</c:v>
                </c:pt>
                <c:pt idx="41">
                  <c:v>9.3181818181818169E-5</c:v>
                </c:pt>
                <c:pt idx="42">
                  <c:v>9.4251134644478051E-5</c:v>
                </c:pt>
                <c:pt idx="43">
                  <c:v>9.5293824701195217E-5</c:v>
                </c:pt>
                <c:pt idx="44">
                  <c:v>9.6310870634530241E-5</c:v>
                </c:pt>
                <c:pt idx="45">
                  <c:v>9.7303206997084553E-5</c:v>
                </c:pt>
                <c:pt idx="46">
                  <c:v>9.8271723475756091E-5</c:v>
                </c:pt>
                <c:pt idx="47">
                  <c:v>9.9217267552182146E-5</c:v>
                </c:pt>
                <c:pt idx="48">
                  <c:v>1.0014064697609001E-4</c:v>
                </c:pt>
                <c:pt idx="49">
                  <c:v>1.0104263206672844E-4</c:v>
                </c:pt>
                <c:pt idx="50">
                  <c:v>1.0192395785616124E-4</c:v>
                </c:pt>
                <c:pt idx="51">
                  <c:v>1.0278532608695649E-4</c:v>
                </c:pt>
                <c:pt idx="52">
                  <c:v>1.0362740707568292E-4</c:v>
                </c:pt>
                <c:pt idx="53">
                  <c:v>1.0445084145261293E-4</c:v>
                </c:pt>
                <c:pt idx="54">
                  <c:v>1.0525624178712219E-4</c:v>
                </c:pt>
                <c:pt idx="55">
                  <c:v>1.0604419410745232E-4</c:v>
                </c:pt>
                <c:pt idx="56">
                  <c:v>1.0681525932276038E-4</c:v>
                </c:pt>
                <c:pt idx="57">
                  <c:v>1.0756997455470739E-4</c:v>
                </c:pt>
                <c:pt idx="58">
                  <c:v>1.083088543852287E-4</c:v>
                </c:pt>
                <c:pt idx="59">
                  <c:v>1.0903239202657807E-4</c:v>
                </c:pt>
                <c:pt idx="60">
                  <c:v>1.0974106041923551E-4</c:v>
                </c:pt>
              </c:numCache>
            </c:numRef>
          </c:yVal>
          <c:smooth val="1"/>
        </c:ser>
        <c:ser>
          <c:idx val="24"/>
          <c:order val="24"/>
          <c:tx>
            <c:strRef>
              <c:f>Sheet1!$BD$267</c:f>
              <c:strCache>
                <c:ptCount val="1"/>
                <c:pt idx="0">
                  <c:v>9.51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Sheet1!$AR$268:$AR$328</c:f>
              <c:numCache>
                <c:formatCode>General</c:formatCode>
                <c:ptCount val="6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</c:numCache>
            </c:numRef>
          </c:xVal>
          <c:yVal>
            <c:numRef>
              <c:f>Sheet1!$BD$268:$BD$328</c:f>
              <c:numCache>
                <c:formatCode>General</c:formatCode>
                <c:ptCount val="61"/>
                <c:pt idx="0">
                  <c:v>0</c:v>
                </c:pt>
                <c:pt idx="1">
                  <c:v>6.0197618444388152E-6</c:v>
                </c:pt>
                <c:pt idx="2">
                  <c:v>1.1458885941644563E-5</c:v>
                </c:pt>
                <c:pt idx="3">
                  <c:v>1.6397515527950311E-5</c:v>
                </c:pt>
                <c:pt idx="4">
                  <c:v>2.0901693424235765E-5</c:v>
                </c:pt>
                <c:pt idx="5">
                  <c:v>2.5026332420476092E-5</c:v>
                </c:pt>
                <c:pt idx="6">
                  <c:v>2.8817465130382048E-5</c:v>
                </c:pt>
                <c:pt idx="7">
                  <c:v>3.2313969302506309E-5</c:v>
                </c:pt>
                <c:pt idx="8">
                  <c:v>3.5548905928558074E-5</c:v>
                </c:pt>
                <c:pt idx="9">
                  <c:v>3.8550567874526776E-5</c:v>
                </c:pt>
                <c:pt idx="10">
                  <c:v>4.1343309552810163E-5</c:v>
                </c:pt>
                <c:pt idx="11">
                  <c:v>4.3948209181099722E-5</c:v>
                </c:pt>
                <c:pt idx="12">
                  <c:v>4.6383601756954609E-5</c:v>
                </c:pt>
                <c:pt idx="13">
                  <c:v>4.8665511265164654E-5</c:v>
                </c:pt>
                <c:pt idx="14">
                  <c:v>5.0808003665801128E-5</c:v>
                </c:pt>
                <c:pt idx="15">
                  <c:v>5.2823477100933751E-5</c:v>
                </c:pt>
                <c:pt idx="16">
                  <c:v>5.4722901972074282E-5</c:v>
                </c:pt>
                <c:pt idx="17">
                  <c:v>5.6516020707989365E-5</c:v>
                </c:pt>
                <c:pt idx="18">
                  <c:v>5.8211514904042467E-5</c:v>
                </c:pt>
                <c:pt idx="19">
                  <c:v>5.9817145885782431E-5</c:v>
                </c:pt>
                <c:pt idx="20">
                  <c:v>6.1339873499419135E-5</c:v>
                </c:pt>
                <c:pt idx="21">
                  <c:v>6.2785956964892409E-5</c:v>
                </c:pt>
                <c:pt idx="22">
                  <c:v>6.4161040873941328E-5</c:v>
                </c:pt>
                <c:pt idx="23">
                  <c:v>6.5470228824727458E-5</c:v>
                </c:pt>
                <c:pt idx="24">
                  <c:v>6.6718146718146713E-5</c:v>
                </c:pt>
                <c:pt idx="25">
                  <c:v>6.7908997370527043E-5</c:v>
                </c:pt>
                <c:pt idx="26">
                  <c:v>6.904660780149772E-5</c:v>
                </c:pt>
                <c:pt idx="27">
                  <c:v>7.01344703181371E-5</c:v>
                </c:pt>
                <c:pt idx="28">
                  <c:v>7.1175778324596134E-5</c:v>
                </c:pt>
                <c:pt idx="29">
                  <c:v>7.2173457630669323E-5</c:v>
                </c:pt>
                <c:pt idx="30">
                  <c:v>7.313019390581717E-5</c:v>
                </c:pt>
                <c:pt idx="31">
                  <c:v>7.404845682115212E-5</c:v>
                </c:pt>
                <c:pt idx="32">
                  <c:v>7.4930521336355585E-5</c:v>
                </c:pt>
                <c:pt idx="33">
                  <c:v>7.5778486517831249E-5</c:v>
                </c:pt>
                <c:pt idx="34">
                  <c:v>7.6594292215795959E-5</c:v>
                </c:pt>
                <c:pt idx="35">
                  <c:v>7.7379733879222114E-5</c:v>
                </c:pt>
                <c:pt idx="36">
                  <c:v>7.8136475746779942E-5</c:v>
                </c:pt>
                <c:pt idx="37">
                  <c:v>7.8866062617744689E-5</c:v>
                </c:pt>
                <c:pt idx="38">
                  <c:v>7.9569930378073502E-5</c:v>
                </c:pt>
                <c:pt idx="39">
                  <c:v>8.0249415432579881E-5</c:v>
                </c:pt>
                <c:pt idx="40">
                  <c:v>8.0905763173576227E-5</c:v>
                </c:pt>
                <c:pt idx="41">
                  <c:v>8.1540135598895118E-5</c:v>
                </c:pt>
                <c:pt idx="42">
                  <c:v>8.2153618177327738E-5</c:v>
                </c:pt>
                <c:pt idx="43">
                  <c:v>8.2747226046812994E-5</c:v>
                </c:pt>
                <c:pt idx="44">
                  <c:v>8.3321909619829448E-5</c:v>
                </c:pt>
                <c:pt idx="45">
                  <c:v>8.3878559661096721E-5</c:v>
                </c:pt>
                <c:pt idx="46">
                  <c:v>8.4418011894647421E-5</c:v>
                </c:pt>
                <c:pt idx="47">
                  <c:v>8.4941051190385642E-5</c:v>
                </c:pt>
                <c:pt idx="48">
                  <c:v>8.5448415374241404E-5</c:v>
                </c:pt>
                <c:pt idx="49">
                  <c:v>8.5940798700819384E-5</c:v>
                </c:pt>
                <c:pt idx="50">
                  <c:v>8.6418855022914095E-5</c:v>
                </c:pt>
                <c:pt idx="51">
                  <c:v>8.6883200688320063E-5</c:v>
                </c:pt>
                <c:pt idx="52">
                  <c:v>8.7334417190923884E-5</c:v>
                </c:pt>
                <c:pt idx="53">
                  <c:v>8.7773053600055765E-5</c:v>
                </c:pt>
                <c:pt idx="54">
                  <c:v>8.8199628789441115E-5</c:v>
                </c:pt>
                <c:pt idx="55">
                  <c:v>8.8614633484776574E-5</c:v>
                </c:pt>
                <c:pt idx="56">
                  <c:v>8.9018532146919121E-5</c:v>
                </c:pt>
                <c:pt idx="57">
                  <c:v>8.9411764705882345E-5</c:v>
                </c:pt>
                <c:pt idx="58">
                  <c:v>8.9794748159249371E-5</c:v>
                </c:pt>
                <c:pt idx="59">
                  <c:v>9.0167878047211686E-5</c:v>
                </c:pt>
                <c:pt idx="60">
                  <c:v>9.0531529815202891E-5</c:v>
                </c:pt>
              </c:numCache>
            </c:numRef>
          </c:yVal>
          <c:smooth val="1"/>
        </c:ser>
        <c:ser>
          <c:idx val="25"/>
          <c:order val="25"/>
          <c:tx>
            <c:strRef>
              <c:f>Sheet1!$BE$267</c:f>
              <c:strCache>
                <c:ptCount val="1"/>
                <c:pt idx="0">
                  <c:v>9.7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Sheet1!$AR$268:$AR$328</c:f>
              <c:numCache>
                <c:formatCode>General</c:formatCode>
                <c:ptCount val="6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</c:numCache>
            </c:numRef>
          </c:xVal>
          <c:yVal>
            <c:numRef>
              <c:f>Sheet1!$BE$268:$BE$328</c:f>
              <c:numCache>
                <c:formatCode>General</c:formatCode>
                <c:ptCount val="61"/>
                <c:pt idx="0">
                  <c:v>0</c:v>
                </c:pt>
                <c:pt idx="1">
                  <c:v>3.6581357126085941E-6</c:v>
                </c:pt>
                <c:pt idx="2">
                  <c:v>7.1484285386556552E-6</c:v>
                </c:pt>
                <c:pt idx="3">
                  <c:v>1.0482170890334156E-5</c:v>
                </c:pt>
                <c:pt idx="4">
                  <c:v>1.3669664400087738E-5</c:v>
                </c:pt>
                <c:pt idx="5">
                  <c:v>1.6720326250268299E-5</c:v>
                </c:pt>
                <c:pt idx="6">
                  <c:v>1.964278209707922E-5</c:v>
                </c:pt>
                <c:pt idx="7">
                  <c:v>2.2444947520065854E-5</c:v>
                </c:pt>
                <c:pt idx="8">
                  <c:v>2.513409961685824E-5</c:v>
                </c:pt>
                <c:pt idx="9">
                  <c:v>2.7716940106740464E-5</c:v>
                </c:pt>
                <c:pt idx="10">
                  <c:v>3.0199651095173483E-5</c:v>
                </c:pt>
                <c:pt idx="11">
                  <c:v>3.2587944476136146E-5</c:v>
                </c:pt>
                <c:pt idx="12">
                  <c:v>3.4887105803321514E-5</c:v>
                </c:pt>
                <c:pt idx="13">
                  <c:v>3.7102033339439457E-5</c:v>
                </c:pt>
                <c:pt idx="14">
                  <c:v>3.9237272890807699E-5</c:v>
                </c:pt>
                <c:pt idx="15">
                  <c:v>4.1297048948577485E-5</c:v>
                </c:pt>
                <c:pt idx="16">
                  <c:v>4.3285292585518317E-5</c:v>
                </c:pt>
                <c:pt idx="17">
                  <c:v>4.5205666495989067E-5</c:v>
                </c:pt>
                <c:pt idx="18">
                  <c:v>4.7061587514683675E-5</c:v>
                </c:pt>
                <c:pt idx="19">
                  <c:v>4.885624690542994E-5</c:v>
                </c:pt>
                <c:pt idx="20">
                  <c:v>5.0592628673485956E-5</c:v>
                </c:pt>
                <c:pt idx="21">
                  <c:v>5.2273526122383763E-5</c:v>
                </c:pt>
                <c:pt idx="22">
                  <c:v>5.3901556848561095E-5</c:v>
                </c:pt>
                <c:pt idx="23">
                  <c:v>5.5479176343087161E-5</c:v>
                </c:pt>
                <c:pt idx="24">
                  <c:v>5.7008690349138593E-5</c:v>
                </c:pt>
                <c:pt idx="25">
                  <c:v>5.8492266106021924E-5</c:v>
                </c:pt>
                <c:pt idx="26">
                  <c:v>5.9931942595058436E-5</c:v>
                </c:pt>
                <c:pt idx="27">
                  <c:v>6.1329639889196678E-5</c:v>
                </c:pt>
                <c:pt idx="28">
                  <c:v>6.268716769650812E-5</c:v>
                </c:pt>
                <c:pt idx="29">
                  <c:v>6.40062331775039E-5</c:v>
                </c:pt>
                <c:pt idx="30">
                  <c:v>6.5288448107277551E-5</c:v>
                </c:pt>
                <c:pt idx="31">
                  <c:v>6.6535335445653662E-5</c:v>
                </c:pt>
                <c:pt idx="32">
                  <c:v>6.7748335371653763E-5</c:v>
                </c:pt>
                <c:pt idx="33">
                  <c:v>6.8928810832551276E-5</c:v>
                </c:pt>
                <c:pt idx="34">
                  <c:v>7.0078052652467254E-5</c:v>
                </c:pt>
                <c:pt idx="35">
                  <c:v>7.1197284240762495E-5</c:v>
                </c:pt>
                <c:pt idx="36">
                  <c:v>7.2287665936332006E-5</c:v>
                </c:pt>
                <c:pt idx="37">
                  <c:v>7.3350299020231584E-5</c:v>
                </c:pt>
                <c:pt idx="38">
                  <c:v>7.4386229425807253E-5</c:v>
                </c:pt>
                <c:pt idx="39">
                  <c:v>7.5396451172602053E-5</c:v>
                </c:pt>
                <c:pt idx="40">
                  <c:v>7.6381909547738706E-5</c:v>
                </c:pt>
                <c:pt idx="41">
                  <c:v>7.734350405618112E-5</c:v>
                </c:pt>
                <c:pt idx="42">
                  <c:v>7.8282091159229572E-5</c:v>
                </c:pt>
                <c:pt idx="43">
                  <c:v>7.9198486818772898E-5</c:v>
                </c:pt>
                <c:pt idx="44">
                  <c:v>8.0093468863184938E-5</c:v>
                </c:pt>
                <c:pt idx="45">
                  <c:v>8.0967779189282838E-5</c:v>
                </c:pt>
                <c:pt idx="46">
                  <c:v>8.1822125813449018E-5</c:v>
                </c:pt>
                <c:pt idx="47">
                  <c:v>8.2657184783835644E-5</c:v>
                </c:pt>
                <c:pt idx="48">
                  <c:v>8.3473601964504968E-5</c:v>
                </c:pt>
                <c:pt idx="49">
                  <c:v>8.4271994701401914E-5</c:v>
                </c:pt>
                <c:pt idx="50">
                  <c:v>8.5052953379189869E-5</c:v>
                </c:pt>
                <c:pt idx="51">
                  <c:v>8.5817042877200551E-5</c:v>
                </c:pt>
                <c:pt idx="52">
                  <c:v>8.6564803932044016E-5</c:v>
                </c:pt>
                <c:pt idx="53">
                  <c:v>8.7296754413785808E-5</c:v>
                </c:pt>
                <c:pt idx="54">
                  <c:v>8.8013390522021119E-5</c:v>
                </c:pt>
                <c:pt idx="55">
                  <c:v>8.8715187907650899E-5</c:v>
                </c:pt>
                <c:pt idx="56">
                  <c:v>8.9402602725689097E-5</c:v>
                </c:pt>
                <c:pt idx="57">
                  <c:v>9.0076072623998377E-5</c:v>
                </c:pt>
                <c:pt idx="58">
                  <c:v>9.0736017672457065E-5</c:v>
                </c:pt>
                <c:pt idx="59">
                  <c:v>9.1382841236703439E-5</c:v>
                </c:pt>
                <c:pt idx="60">
                  <c:v>9.2016930800275623E-5</c:v>
                </c:pt>
              </c:numCache>
            </c:numRef>
          </c:yVal>
          <c:smooth val="1"/>
        </c:ser>
        <c:axId val="98085888"/>
        <c:axId val="98100352"/>
      </c:scatterChart>
      <c:valAx>
        <c:axId val="98085888"/>
        <c:scaling>
          <c:orientation val="minMax"/>
          <c:max val="12"/>
        </c:scaling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da-DK" sz="1400" b="0"/>
                  <a:t>4-Methoxybenzyl alcohol [mM]</a:t>
                </a:r>
              </a:p>
            </c:rich>
          </c:tx>
          <c:layout>
            <c:manualLayout>
              <c:xMode val="edge"/>
              <c:yMode val="edge"/>
              <c:x val="0.33940203703703836"/>
              <c:y val="0.9259166666666665"/>
            </c:manualLayout>
          </c:layout>
        </c:title>
        <c:numFmt formatCode="0" sourceLinked="0"/>
        <c:tickLblPos val="nextTo"/>
        <c:txPr>
          <a:bodyPr/>
          <a:lstStyle/>
          <a:p>
            <a:pPr>
              <a:defRPr sz="1200"/>
            </a:pPr>
            <a:endParaRPr lang="da-DK"/>
          </a:p>
        </c:txPr>
        <c:crossAx val="98100352"/>
        <c:crosses val="autoZero"/>
        <c:crossBetween val="midCat"/>
      </c:valAx>
      <c:valAx>
        <c:axId val="9810035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a-DK" sz="1400" b="0" i="0" baseline="0"/>
                  <a:t>Initial  </a:t>
                </a:r>
                <a:r>
                  <a:rPr lang="da-DK" sz="1400" b="0" i="0" baseline="0">
                    <a:latin typeface="Symbol" pitchFamily="18" charset="2"/>
                  </a:rPr>
                  <a:t>D</a:t>
                </a:r>
                <a:r>
                  <a:rPr lang="da-DK" sz="1400" b="0" i="0" baseline="0"/>
                  <a:t>A</a:t>
                </a:r>
                <a:r>
                  <a:rPr lang="da-DK" sz="1400" b="0" i="0" baseline="-25000"/>
                  <a:t>300nm</a:t>
                </a:r>
                <a:r>
                  <a:rPr lang="da-DK" sz="1400" b="0" i="0" baseline="0"/>
                  <a:t>/</a:t>
                </a:r>
                <a:r>
                  <a:rPr lang="da-DK" sz="1400" b="0" i="0" baseline="0">
                    <a:latin typeface="Symbol" pitchFamily="18" charset="2"/>
                  </a:rPr>
                  <a:t>e</a:t>
                </a:r>
                <a:r>
                  <a:rPr lang="da-DK" sz="1400" b="0" i="0" baseline="0"/>
                  <a:t>[E]</a:t>
                </a:r>
                <a:r>
                  <a:rPr lang="da-DK" sz="1400" b="0" i="0" baseline="-25000"/>
                  <a:t>0</a:t>
                </a:r>
                <a:r>
                  <a:rPr lang="da-DK" sz="1400" b="0" i="0" baseline="0"/>
                  <a:t> [1/s]</a:t>
                </a:r>
              </a:p>
            </c:rich>
          </c:tx>
        </c:title>
        <c:numFmt formatCode="0.0E+0" sourceLinked="0"/>
        <c:tickLblPos val="nextTo"/>
        <c:txPr>
          <a:bodyPr/>
          <a:lstStyle/>
          <a:p>
            <a:pPr>
              <a:defRPr sz="1200"/>
            </a:pPr>
            <a:endParaRPr lang="da-DK"/>
          </a:p>
        </c:txPr>
        <c:crossAx val="9808588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ayout>
        <c:manualLayout>
          <c:xMode val="edge"/>
          <c:yMode val="edge"/>
          <c:x val="0.79726814814814817"/>
          <c:y val="3.0613611111111202E-2"/>
          <c:w val="0.17450962962962963"/>
          <c:h val="0.70593916666666667"/>
        </c:manualLayout>
      </c:layout>
      <c:txPr>
        <a:bodyPr/>
        <a:lstStyle/>
        <a:p>
          <a:pPr>
            <a:defRPr sz="1400"/>
          </a:pPr>
          <a:endParaRPr lang="da-DK"/>
        </a:p>
      </c:txPr>
    </c:legend>
    <c:plotVisOnly val="1"/>
  </c:chart>
  <c:spPr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>
        <c:manualLayout>
          <c:layoutTarget val="inner"/>
          <c:xMode val="edge"/>
          <c:yMode val="edge"/>
          <c:x val="0.2662363888888889"/>
          <c:y val="3.0144722222222222E-2"/>
          <c:w val="0.687567499999999"/>
          <c:h val="0.80589611111111115"/>
        </c:manualLayout>
      </c:layout>
      <c:scatterChart>
        <c:scatterStyle val="lineMarker"/>
        <c:ser>
          <c:idx val="0"/>
          <c:order val="0"/>
          <c:tx>
            <c:strRef>
              <c:f>Sheet1!$AT$5</c:f>
              <c:strCache>
                <c:ptCount val="1"/>
                <c:pt idx="0">
                  <c:v>pH = 7.0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plus>
              <c:numRef>
                <c:f>Sheet1!$AT$11:$AT$15</c:f>
                <c:numCache>
                  <c:formatCode>General</c:formatCode>
                  <c:ptCount val="5"/>
                  <c:pt idx="0">
                    <c:v>1.3704694396873226E-7</c:v>
                  </c:pt>
                  <c:pt idx="1">
                    <c:v>2.2328226415157605E-7</c:v>
                  </c:pt>
                  <c:pt idx="2">
                    <c:v>2.5010317455905246E-7</c:v>
                  </c:pt>
                  <c:pt idx="3">
                    <c:v>1.5722426062678945E-7</c:v>
                  </c:pt>
                  <c:pt idx="4">
                    <c:v>2.5842289688985483E-7</c:v>
                  </c:pt>
                </c:numCache>
              </c:numRef>
            </c:plus>
            <c:minus>
              <c:numRef>
                <c:f>Sheet1!$AT$11:$AT$15</c:f>
                <c:numCache>
                  <c:formatCode>General</c:formatCode>
                  <c:ptCount val="5"/>
                  <c:pt idx="0">
                    <c:v>1.3704694396873226E-7</c:v>
                  </c:pt>
                  <c:pt idx="1">
                    <c:v>2.2328226415157605E-7</c:v>
                  </c:pt>
                  <c:pt idx="2">
                    <c:v>2.5010317455905246E-7</c:v>
                  </c:pt>
                  <c:pt idx="3">
                    <c:v>1.5722426062678945E-7</c:v>
                  </c:pt>
                  <c:pt idx="4">
                    <c:v>2.5842289688985483E-7</c:v>
                  </c:pt>
                </c:numCache>
              </c:numRef>
            </c:minus>
          </c:errBars>
          <c:xVal>
            <c:numRef>
              <c:f>Sheet1!$AM$11:$AM$15</c:f>
              <c:numCache>
                <c:formatCode>0.000</c:formatCode>
                <c:ptCount val="5"/>
                <c:pt idx="0">
                  <c:v>9.9000000000000005E-2</c:v>
                </c:pt>
                <c:pt idx="1">
                  <c:v>0.49</c:v>
                </c:pt>
                <c:pt idx="2">
                  <c:v>0.99</c:v>
                </c:pt>
                <c:pt idx="3">
                  <c:v>2.46</c:v>
                </c:pt>
                <c:pt idx="4">
                  <c:v>9.85</c:v>
                </c:pt>
              </c:numCache>
            </c:numRef>
          </c:xVal>
          <c:yVal>
            <c:numRef>
              <c:f>Sheet1!$AQ$11:$AQ$15</c:f>
              <c:numCache>
                <c:formatCode>0.00E+00</c:formatCode>
                <c:ptCount val="5"/>
                <c:pt idx="0">
                  <c:v>1.1197831978319784E-6</c:v>
                </c:pt>
                <c:pt idx="1">
                  <c:v>3.534688346883469E-6</c:v>
                </c:pt>
                <c:pt idx="2">
                  <c:v>5.2495934959349595E-6</c:v>
                </c:pt>
                <c:pt idx="3">
                  <c:v>6.1149051490514907E-6</c:v>
                </c:pt>
                <c:pt idx="4">
                  <c:v>8.1433604336043374E-6</c:v>
                </c:pt>
              </c:numCache>
            </c:numRef>
          </c:yVal>
        </c:ser>
        <c:ser>
          <c:idx val="1"/>
          <c:order val="1"/>
          <c:tx>
            <c:strRef>
              <c:f>Sheet1!$AY$12</c:f>
              <c:strCache>
                <c:ptCount val="1"/>
                <c:pt idx="0">
                  <c:v>fit 1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Sheet1!$AX$13:$AX$113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Sheet1!$AY$13:$AY$113</c:f>
              <c:numCache>
                <c:formatCode>0.00E+00</c:formatCode>
                <c:ptCount val="101"/>
                <c:pt idx="0">
                  <c:v>0</c:v>
                </c:pt>
                <c:pt idx="1">
                  <c:v>1.1290361338512099E-6</c:v>
                </c:pt>
                <c:pt idx="2">
                  <c:v>1.967452009357941E-6</c:v>
                </c:pt>
                <c:pt idx="3">
                  <c:v>2.6155306694271909E-6</c:v>
                </c:pt>
                <c:pt idx="4">
                  <c:v>3.1321757293171031E-6</c:v>
                </c:pt>
                <c:pt idx="5">
                  <c:v>3.554258406583131E-6</c:v>
                </c:pt>
                <c:pt idx="6">
                  <c:v>3.9060379066187783E-6</c:v>
                </c:pt>
                <c:pt idx="7">
                  <c:v>4.2041291287222302E-6</c:v>
                </c:pt>
                <c:pt idx="8">
                  <c:v>4.4602937812180514E-6</c:v>
                </c:pt>
                <c:pt idx="9">
                  <c:v>4.6830918007349942E-6</c:v>
                </c:pt>
                <c:pt idx="10">
                  <c:v>4.878901414553333E-6</c:v>
                </c:pt>
                <c:pt idx="11">
                  <c:v>5.0525725817659051E-6</c:v>
                </c:pt>
                <c:pt idx="12">
                  <c:v>5.2078588538487612E-6</c:v>
                </c:pt>
                <c:pt idx="13">
                  <c:v>5.347710625869262E-6</c:v>
                </c:pt>
                <c:pt idx="14">
                  <c:v>5.474479045394536E-6</c:v>
                </c:pt>
                <c:pt idx="15">
                  <c:v>5.5900608002319517E-6</c:v>
                </c:pt>
                <c:pt idx="16">
                  <c:v>5.6960028616207247E-6</c:v>
                </c:pt>
                <c:pt idx="17">
                  <c:v>5.7935795346787694E-6</c:v>
                </c:pt>
                <c:pt idx="18">
                  <c:v>5.8838499974677133E-6</c:v>
                </c:pt>
                <c:pt idx="19">
                  <c:v>5.9677018595610269E-6</c:v>
                </c:pt>
                <c:pt idx="20">
                  <c:v>6.045884548921927E-6</c:v>
                </c:pt>
                <c:pt idx="21">
                  <c:v>6.1190351944257134E-6</c:v>
                </c:pt>
                <c:pt idx="22">
                  <c:v>6.1876989008449491E-6</c:v>
                </c:pt>
                <c:pt idx="23">
                  <c:v>6.2523447842754586E-6</c:v>
                </c:pt>
                <c:pt idx="24">
                  <c:v>6.3133787674277628E-6</c:v>
                </c:pt>
                <c:pt idx="25">
                  <c:v>6.3711538737212485E-6</c:v>
                </c:pt>
                <c:pt idx="26">
                  <c:v>6.4259785726004927E-6</c:v>
                </c:pt>
                <c:pt idx="27">
                  <c:v>6.4781235933198754E-6</c:v>
                </c:pt>
                <c:pt idx="28">
                  <c:v>6.5278275253754374E-6</c:v>
                </c:pt>
                <c:pt idx="29">
                  <c:v>6.5753014503948812E-6</c:v>
                </c:pt>
                <c:pt idx="30">
                  <c:v>6.6207327954278029E-6</c:v>
                </c:pt>
                <c:pt idx="31">
                  <c:v>6.6642885561672207E-6</c:v>
                </c:pt>
                <c:pt idx="32">
                  <c:v>6.7061180071098846E-6</c:v>
                </c:pt>
                <c:pt idx="33">
                  <c:v>6.746354991471546E-6</c:v>
                </c:pt>
                <c:pt idx="34">
                  <c:v>6.7851198649669979E-6</c:v>
                </c:pt>
                <c:pt idx="35">
                  <c:v>6.822521152995528E-6</c:v>
                </c:pt>
                <c:pt idx="36">
                  <c:v>6.858656969348107E-6</c:v>
                </c:pt>
                <c:pt idx="37">
                  <c:v>6.893616235536609E-6</c:v>
                </c:pt>
                <c:pt idx="38">
                  <c:v>6.92747973268641E-6</c:v>
                </c:pt>
                <c:pt idx="39">
                  <c:v>6.9603210122164039E-6</c:v>
                </c:pt>
                <c:pt idx="40">
                  <c:v>6.9922071869392047E-6</c:v>
                </c:pt>
                <c:pt idx="41">
                  <c:v>7.0231996205079875E-6</c:v>
                </c:pt>
                <c:pt idx="42">
                  <c:v>7.0533545301295767E-6</c:v>
                </c:pt>
                <c:pt idx="43">
                  <c:v>7.0827235150121158E-6</c:v>
                </c:pt>
                <c:pt idx="44">
                  <c:v>7.111354021008573E-6</c:v>
                </c:pt>
                <c:pt idx="45">
                  <c:v>7.1392897502663036E-6</c:v>
                </c:pt>
                <c:pt idx="46">
                  <c:v>7.1665710233295938E-6</c:v>
                </c:pt>
                <c:pt idx="47">
                  <c:v>7.1932351000113865E-6</c:v>
                </c:pt>
                <c:pt idx="48">
                  <c:v>7.2193164644094304E-6</c:v>
                </c:pt>
                <c:pt idx="49">
                  <c:v>7.2448470786557945E-6</c:v>
                </c:pt>
                <c:pt idx="50">
                  <c:v>7.269856609329551E-6</c:v>
                </c:pt>
                <c:pt idx="51">
                  <c:v>7.2943726299079267E-6</c:v>
                </c:pt>
                <c:pt idx="52">
                  <c:v>7.318420802163136E-6</c:v>
                </c:pt>
                <c:pt idx="53">
                  <c:v>7.3420250390159133E-6</c:v>
                </c:pt>
                <c:pt idx="54">
                  <c:v>7.3652076510202027E-6</c:v>
                </c:pt>
                <c:pt idx="55">
                  <c:v>7.3879894783668893E-6</c:v>
                </c:pt>
                <c:pt idx="56">
                  <c:v>7.4103900100495999E-6</c:v>
                </c:pt>
                <c:pt idx="57">
                  <c:v>7.432427491625993E-6</c:v>
                </c:pt>
                <c:pt idx="58">
                  <c:v>7.454119022827896E-6</c:v>
                </c:pt>
                <c:pt idx="59">
                  <c:v>7.47548064611865E-6</c:v>
                </c:pt>
                <c:pt idx="60">
                  <c:v>7.4965274271622981E-6</c:v>
                </c:pt>
                <c:pt idx="61">
                  <c:v>7.5172735280534974E-6</c:v>
                </c:pt>
                <c:pt idx="62">
                  <c:v>7.5377322740567841E-6</c:v>
                </c:pt>
                <c:pt idx="63">
                  <c:v>7.5579162145165519E-6</c:v>
                </c:pt>
                <c:pt idx="64">
                  <c:v>7.5778371785232585E-6</c:v>
                </c:pt>
                <c:pt idx="65">
                  <c:v>7.5975063258550947E-6</c:v>
                </c:pt>
                <c:pt idx="66">
                  <c:v>7.6169341936563732E-6</c:v>
                </c:pt>
                <c:pt idx="67">
                  <c:v>7.6361307392632124E-6</c:v>
                </c:pt>
                <c:pt idx="68">
                  <c:v>7.6551053795424322E-6</c:v>
                </c:pt>
                <c:pt idx="69">
                  <c:v>7.6738670270704471E-6</c:v>
                </c:pt>
                <c:pt idx="70">
                  <c:v>7.6924241234443948E-6</c:v>
                </c:pt>
                <c:pt idx="71">
                  <c:v>7.7107846699872221E-6</c:v>
                </c:pt>
                <c:pt idx="72">
                  <c:v>7.7289562560815512E-6</c:v>
                </c:pt>
                <c:pt idx="73">
                  <c:v>7.7469460853432276E-6</c:v>
                </c:pt>
                <c:pt idx="74">
                  <c:v>7.7647609998243276E-6</c:v>
                </c:pt>
                <c:pt idx="75">
                  <c:v>7.7824075024165366E-6</c:v>
                </c:pt>
                <c:pt idx="76">
                  <c:v>7.7998917776091257E-6</c:v>
                </c:pt>
                <c:pt idx="77">
                  <c:v>7.8172197107408032E-6</c:v>
                </c:pt>
                <c:pt idx="78">
                  <c:v>7.8343969058713877E-6</c:v>
                </c:pt>
                <c:pt idx="79">
                  <c:v>7.8514287023874185E-6</c:v>
                </c:pt>
                <c:pt idx="80">
                  <c:v>7.8683201904450721E-6</c:v>
                </c:pt>
                <c:pt idx="81">
                  <c:v>7.8850762253443144E-6</c:v>
                </c:pt>
                <c:pt idx="82">
                  <c:v>7.9017014409195604E-6</c:v>
                </c:pt>
                <c:pt idx="83">
                  <c:v>7.9182002620244887E-6</c:v>
                </c:pt>
                <c:pt idx="84">
                  <c:v>7.9345769161816843E-6</c:v>
                </c:pt>
                <c:pt idx="85">
                  <c:v>7.950835444461597E-6</c:v>
                </c:pt>
                <c:pt idx="86">
                  <c:v>7.9669797116496157E-6</c:v>
                </c:pt>
                <c:pt idx="87">
                  <c:v>7.9830134157550652E-6</c:v>
                </c:pt>
                <c:pt idx="88">
                  <c:v>7.9989400969112215E-6</c:v>
                </c:pt>
                <c:pt idx="89">
                  <c:v>8.0147631457114479E-6</c:v>
                </c:pt>
                <c:pt idx="90">
                  <c:v>8.0304858110226352E-6</c:v>
                </c:pt>
                <c:pt idx="91">
                  <c:v>8.0461112073137948E-6</c:v>
                </c:pt>
                <c:pt idx="92">
                  <c:v>8.0616423215345868E-6</c:v>
                </c:pt>
                <c:pt idx="93">
                  <c:v>8.0770820195756582E-6</c:v>
                </c:pt>
                <c:pt idx="94">
                  <c:v>8.0924330523401607E-6</c:v>
                </c:pt>
                <c:pt idx="95">
                  <c:v>8.1076980614535124E-6</c:v>
                </c:pt>
                <c:pt idx="96">
                  <c:v>8.1228795846362609E-6</c:v>
                </c:pt>
                <c:pt idx="97">
                  <c:v>8.1379800607630428E-6</c:v>
                </c:pt>
                <c:pt idx="98">
                  <c:v>8.1530018346288112E-6</c:v>
                </c:pt>
                <c:pt idx="99">
                  <c:v>8.167947161441917E-6</c:v>
                </c:pt>
                <c:pt idx="100">
                  <c:v>8.182818211062123E-6</c:v>
                </c:pt>
              </c:numCache>
            </c:numRef>
          </c:yVal>
          <c:smooth val="1"/>
        </c:ser>
        <c:ser>
          <c:idx val="3"/>
          <c:order val="2"/>
          <c:tx>
            <c:strRef>
              <c:f>Sheet1!$BA$12</c:f>
              <c:strCache>
                <c:ptCount val="1"/>
                <c:pt idx="0">
                  <c:v>fit 3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Sheet1!$AX$13:$AX$113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Sheet1!$BA$13:$BA$113</c:f>
              <c:numCache>
                <c:formatCode>0.00E+00</c:formatCode>
                <c:ptCount val="101"/>
                <c:pt idx="0">
                  <c:v>0</c:v>
                </c:pt>
                <c:pt idx="1">
                  <c:v>2.1759954438819609E-6</c:v>
                </c:pt>
                <c:pt idx="2">
                  <c:v>3.8963154412572819E-6</c:v>
                </c:pt>
                <c:pt idx="3">
                  <c:v>5.2963225368848403E-6</c:v>
                </c:pt>
                <c:pt idx="4">
                  <c:v>6.4625955851878543E-6</c:v>
                </c:pt>
                <c:pt idx="5">
                  <c:v>7.4530899661129019E-6</c:v>
                </c:pt>
                <c:pt idx="6">
                  <c:v>8.3080634094205678E-6</c:v>
                </c:pt>
                <c:pt idx="7">
                  <c:v>9.0563522022838503E-6</c:v>
                </c:pt>
                <c:pt idx="8">
                  <c:v>9.7191533743956556E-6</c:v>
                </c:pt>
                <c:pt idx="9">
                  <c:v>1.0312397285545684E-5</c:v>
                </c:pt>
                <c:pt idx="10">
                  <c:v>1.0848287677641967E-5</c:v>
                </c:pt>
                <c:pt idx="11">
                  <c:v>1.1336331184043319E-5</c:v>
                </c:pt>
                <c:pt idx="12">
                  <c:v>1.1784043415885649E-5</c:v>
                </c:pt>
                <c:pt idx="13">
                  <c:v>1.2197444265883876E-5</c:v>
                </c:pt>
                <c:pt idx="14">
                  <c:v>1.2581412360775392E-5</c:v>
                </c:pt>
                <c:pt idx="15">
                  <c:v>1.2939943277976378E-5</c:v>
                </c:pt>
                <c:pt idx="16">
                  <c:v>1.3276340690073164E-5</c:v>
                </c:pt>
                <c:pt idx="17">
                  <c:v>1.3593359919498736E-5</c:v>
                </c:pt>
                <c:pt idx="18">
                  <c:v>1.3893317175983107E-5</c:v>
                </c:pt>
                <c:pt idx="19">
                  <c:v>1.4178173680983948E-5</c:v>
                </c:pt>
                <c:pt idx="20">
                  <c:v>1.4449601166094688E-5</c:v>
                </c:pt>
                <c:pt idx="21">
                  <c:v>1.4709033385529736E-5</c:v>
                </c:pt>
                <c:pt idx="22">
                  <c:v>1.4957707007113647E-5</c:v>
                </c:pt>
                <c:pt idx="23">
                  <c:v>1.5196694351971826E-5</c:v>
                </c:pt>
                <c:pt idx="24">
                  <c:v>1.5426929817679026E-5</c:v>
                </c:pt>
                <c:pt idx="25">
                  <c:v>1.5649231362347736E-5</c:v>
                </c:pt>
                <c:pt idx="26">
                  <c:v>1.5864318094202243E-5</c:v>
                </c:pt>
                <c:pt idx="27">
                  <c:v>1.6072824766122173E-5</c:v>
                </c:pt>
                <c:pt idx="28">
                  <c:v>1.6275313792415736E-5</c:v>
                </c:pt>
                <c:pt idx="29">
                  <c:v>1.6472285268289982E-5</c:v>
                </c:pt>
                <c:pt idx="30">
                  <c:v>1.6664185368877866E-5</c:v>
                </c:pt>
                <c:pt idx="31">
                  <c:v>1.6851413425549229E-5</c:v>
                </c:pt>
                <c:pt idx="32">
                  <c:v>1.7034327916314995E-5</c:v>
                </c:pt>
                <c:pt idx="33">
                  <c:v>1.7213251559889272E-5</c:v>
                </c:pt>
                <c:pt idx="34">
                  <c:v>1.7388475666074603E-5</c:v>
                </c:pt>
                <c:pt idx="35">
                  <c:v>1.7560263866125084E-5</c:v>
                </c:pt>
                <c:pt idx="36">
                  <c:v>1.7728855323789416E-5</c:v>
                </c:pt>
                <c:pt idx="37">
                  <c:v>1.7894467509467335E-5</c:v>
                </c:pt>
                <c:pt idx="38">
                  <c:v>1.8057298605290583E-5</c:v>
                </c:pt>
                <c:pt idx="39">
                  <c:v>1.8217529597171308E-5</c:v>
                </c:pt>
                <c:pt idx="40">
                  <c:v>1.8375326100341831E-5</c:v>
                </c:pt>
                <c:pt idx="41">
                  <c:v>1.8530839957171668E-5</c:v>
                </c:pt>
                <c:pt idx="42">
                  <c:v>1.8684210639727895E-5</c:v>
                </c:pt>
                <c:pt idx="43">
                  <c:v>1.8835566484360964E-5</c:v>
                </c:pt>
                <c:pt idx="44">
                  <c:v>1.8985025781326444E-5</c:v>
                </c:pt>
                <c:pt idx="45">
                  <c:v>1.9132697738920134E-5</c:v>
                </c:pt>
                <c:pt idx="46">
                  <c:v>1.9278683338669277E-5</c:v>
                </c:pt>
                <c:pt idx="47">
                  <c:v>1.9423076095676445E-5</c:v>
                </c:pt>
                <c:pt idx="48">
                  <c:v>1.9565962736165813E-5</c:v>
                </c:pt>
                <c:pt idx="49">
                  <c:v>1.9707423802563328E-5</c:v>
                </c:pt>
                <c:pt idx="50">
                  <c:v>1.9847534194994658E-5</c:v>
                </c:pt>
                <c:pt idx="51">
                  <c:v>1.9986363656861563E-5</c:v>
                </c:pt>
                <c:pt idx="52">
                  <c:v>2.0123977211120322E-5</c:v>
                </c:pt>
                <c:pt idx="53">
                  <c:v>2.0260435553004209E-5</c:v>
                </c:pt>
                <c:pt idx="54">
                  <c:v>2.0395795404180099E-5</c:v>
                </c:pt>
                <c:pt idx="55">
                  <c:v>2.0530109832686516E-5</c:v>
                </c:pt>
                <c:pt idx="56">
                  <c:v>2.0663428542449165E-5</c:v>
                </c:pt>
                <c:pt idx="57">
                  <c:v>2.0795798135696345E-5</c:v>
                </c:pt>
                <c:pt idx="58">
                  <c:v>2.0927262351188189E-5</c:v>
                </c:pt>
                <c:pt idx="59">
                  <c:v>2.1057862280821193E-5</c:v>
                </c:pt>
                <c:pt idx="60">
                  <c:v>2.118763656686389E-5</c:v>
                </c:pt>
                <c:pt idx="61">
                  <c:v>2.131662158181471E-5</c:v>
                </c:pt>
                <c:pt idx="62">
                  <c:v>2.1444851592642442E-5</c:v>
                </c:pt>
                <c:pt idx="63">
                  <c:v>2.1572358910968772E-5</c:v>
                </c:pt>
                <c:pt idx="64">
                  <c:v>2.1699174030577082E-5</c:v>
                </c:pt>
                <c:pt idx="65">
                  <c:v>2.1825325753477858E-5</c:v>
                </c:pt>
                <c:pt idx="66">
                  <c:v>2.1950841305626617E-5</c:v>
                </c:pt>
                <c:pt idx="67">
                  <c:v>2.2075746443271839E-5</c:v>
                </c:pt>
                <c:pt idx="68">
                  <c:v>2.220006555080627E-5</c:v>
                </c:pt>
                <c:pt idx="69">
                  <c:v>2.2323821730903167E-5</c:v>
                </c:pt>
                <c:pt idx="70">
                  <c:v>2.2447036887637971E-5</c:v>
                </c:pt>
                <c:pt idx="71">
                  <c:v>2.2569731803224112E-5</c:v>
                </c:pt>
                <c:pt idx="72">
                  <c:v>2.2691926208928052E-5</c:v>
                </c:pt>
                <c:pt idx="73">
                  <c:v>2.2813638850672294E-5</c:v>
                </c:pt>
                <c:pt idx="74">
                  <c:v>2.2934887549784831E-5</c:v>
                </c:pt>
                <c:pt idx="75">
                  <c:v>2.3055689259308884E-5</c:v>
                </c:pt>
                <c:pt idx="76">
                  <c:v>2.3176060116246887E-5</c:v>
                </c:pt>
                <c:pt idx="77">
                  <c:v>2.3296015490077173E-5</c:v>
                </c:pt>
                <c:pt idx="78">
                  <c:v>2.3415570027849919E-5</c:v>
                </c:pt>
                <c:pt idx="79">
                  <c:v>2.3534737696140494E-5</c:v>
                </c:pt>
                <c:pt idx="80">
                  <c:v>2.3653531820112747E-5</c:v>
                </c:pt>
                <c:pt idx="81">
                  <c:v>2.3771965119921908E-5</c:v>
                </c:pt>
                <c:pt idx="82">
                  <c:v>2.3890049744666045E-5</c:v>
                </c:pt>
                <c:pt idx="83">
                  <c:v>2.4007797304076628E-5</c:v>
                </c:pt>
                <c:pt idx="84">
                  <c:v>2.4125218898121824E-5</c:v>
                </c:pt>
                <c:pt idx="85">
                  <c:v>2.4242325144681269E-5</c:v>
                </c:pt>
                <c:pt idx="86">
                  <c:v>2.4359126205437226E-5</c:v>
                </c:pt>
                <c:pt idx="87">
                  <c:v>2.4475631810114879E-5</c:v>
                </c:pt>
                <c:pt idx="88">
                  <c:v>2.4591851279193264E-5</c:v>
                </c:pt>
                <c:pt idx="89">
                  <c:v>2.4707793545198186E-5</c:v>
                </c:pt>
                <c:pt idx="90">
                  <c:v>2.482346717267943E-5</c:v>
                </c:pt>
                <c:pt idx="91">
                  <c:v>2.4938880376966126E-5</c:v>
                </c:pt>
                <c:pt idx="92">
                  <c:v>2.5054041041786497E-5</c:v>
                </c:pt>
                <c:pt idx="93">
                  <c:v>2.516895673583153E-5</c:v>
                </c:pt>
                <c:pt idx="94">
                  <c:v>2.5283634728335594E-5</c:v>
                </c:pt>
                <c:pt idx="95">
                  <c:v>2.5398082003741467E-5</c:v>
                </c:pt>
                <c:pt idx="96">
                  <c:v>2.5512305275511889E-5</c:v>
                </c:pt>
                <c:pt idx="97">
                  <c:v>2.5626310999145045E-5</c:v>
                </c:pt>
                <c:pt idx="98">
                  <c:v>2.574010538444705E-5</c:v>
                </c:pt>
                <c:pt idx="99">
                  <c:v>2.5853694407110343E-5</c:v>
                </c:pt>
                <c:pt idx="100">
                  <c:v>2.5967083819643511E-5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Sheet1!$AX$13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Sheet1!$AX$13:$AX$15</c:f>
              <c:numCache>
                <c:formatCode>General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</c:ser>
        <c:ser>
          <c:idx val="2"/>
          <c:order val="4"/>
          <c:tx>
            <c:strRef>
              <c:f>Sheet1!$AX$5</c:f>
              <c:strCache>
                <c:ptCount val="1"/>
                <c:pt idx="0">
                  <c:v>pH = 8.0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ysClr val="windowText" lastClr="000000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plus>
              <c:numRef>
                <c:f>Sheet1!$AU$11:$AU$15</c:f>
                <c:numCache>
                  <c:formatCode>General</c:formatCode>
                  <c:ptCount val="5"/>
                  <c:pt idx="0">
                    <c:v>1.4300000000000001E-6</c:v>
                  </c:pt>
                  <c:pt idx="1">
                    <c:v>1.4300000000000001E-6</c:v>
                  </c:pt>
                  <c:pt idx="2">
                    <c:v>1.4300000000000001E-6</c:v>
                  </c:pt>
                  <c:pt idx="3">
                    <c:v>1.4300000000000001E-6</c:v>
                  </c:pt>
                  <c:pt idx="4">
                    <c:v>1.4300000000000001E-6</c:v>
                  </c:pt>
                </c:numCache>
              </c:numRef>
            </c:plus>
            <c:minus>
              <c:numRef>
                <c:f>Sheet1!$AU$11:$AU$15</c:f>
                <c:numCache>
                  <c:formatCode>General</c:formatCode>
                  <c:ptCount val="5"/>
                  <c:pt idx="0">
                    <c:v>1.4300000000000001E-6</c:v>
                  </c:pt>
                  <c:pt idx="1">
                    <c:v>1.4300000000000001E-6</c:v>
                  </c:pt>
                  <c:pt idx="2">
                    <c:v>1.4300000000000001E-6</c:v>
                  </c:pt>
                  <c:pt idx="3">
                    <c:v>1.4300000000000001E-6</c:v>
                  </c:pt>
                  <c:pt idx="4">
                    <c:v>1.4300000000000001E-6</c:v>
                  </c:pt>
                </c:numCache>
              </c:numRef>
            </c:minus>
          </c:errBars>
          <c:xVal>
            <c:numRef>
              <c:f>Sheet1!$O$26:$O$29</c:f>
              <c:numCache>
                <c:formatCode>0.00</c:formatCode>
                <c:ptCount val="4"/>
                <c:pt idx="0">
                  <c:v>0.37</c:v>
                </c:pt>
                <c:pt idx="1">
                  <c:v>1.83</c:v>
                </c:pt>
                <c:pt idx="2">
                  <c:v>3.7</c:v>
                </c:pt>
                <c:pt idx="3">
                  <c:v>7.31</c:v>
                </c:pt>
              </c:numCache>
            </c:numRef>
          </c:xVal>
          <c:yVal>
            <c:numRef>
              <c:f>Sheet1!$V$26:$V$29</c:f>
              <c:numCache>
                <c:formatCode>0.00E+00</c:formatCode>
                <c:ptCount val="4"/>
                <c:pt idx="0">
                  <c:v>5.8788617886178864E-6</c:v>
                </c:pt>
                <c:pt idx="1">
                  <c:v>1.4772357723577236E-5</c:v>
                </c:pt>
                <c:pt idx="2">
                  <c:v>1.6878048780487807E-5</c:v>
                </c:pt>
                <c:pt idx="3">
                  <c:v>2.2756097560975612E-5</c:v>
                </c:pt>
              </c:numCache>
            </c:numRef>
          </c:yVal>
        </c:ser>
        <c:axId val="101574912"/>
        <c:axId val="101585280"/>
      </c:scatterChart>
      <c:valAx>
        <c:axId val="101574912"/>
        <c:scaling>
          <c:orientation val="minMax"/>
          <c:max val="10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da-DK" sz="1400" b="0" baseline="0"/>
                  <a:t>BA  [</a:t>
                </a:r>
                <a:r>
                  <a:rPr lang="da-DK" sz="1400" b="0" i="0" u="none" strike="noStrike" baseline="0"/>
                  <a:t>mM</a:t>
                </a:r>
                <a:r>
                  <a:rPr lang="da-DK" sz="1400" b="0" baseline="0"/>
                  <a:t>]</a:t>
                </a:r>
                <a:r>
                  <a:rPr lang="da-DK" sz="1400" b="0" baseline="-25000"/>
                  <a:t>  </a:t>
                </a:r>
                <a:endParaRPr lang="da-DK" sz="1400" b="0"/>
              </a:p>
            </c:rich>
          </c:tx>
          <c:layout>
            <c:manualLayout>
              <c:xMode val="edge"/>
              <c:yMode val="edge"/>
              <c:x val="0.48539250000000056"/>
              <c:y val="0.92912694444444432"/>
            </c:manualLayout>
          </c:layout>
        </c:title>
        <c:numFmt formatCode="0" sourceLinked="0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101585280"/>
        <c:crosses val="autoZero"/>
        <c:crossBetween val="midCat"/>
        <c:majorUnit val="1"/>
      </c:valAx>
      <c:valAx>
        <c:axId val="101585280"/>
        <c:scaling>
          <c:orientation val="minMax"/>
          <c:max val="2.5000000000000113E-5"/>
          <c:min val="0"/>
        </c:scaling>
        <c:axPos val="l"/>
        <c:title>
          <c:tx>
            <c:rich>
              <a:bodyPr rot="-5400000" vert="horz"/>
              <a:lstStyle/>
              <a:p>
                <a:pPr algn="ctr">
                  <a:defRPr sz="1400"/>
                </a:pPr>
                <a:r>
                  <a:rPr lang="da-DK" sz="1400" b="0">
                    <a:latin typeface="Symbol" pitchFamily="18" charset="2"/>
                  </a:rPr>
                  <a:t> </a:t>
                </a:r>
                <a:r>
                  <a:rPr lang="da-DK" sz="1400" b="0" baseline="0">
                    <a:latin typeface="Symbol" pitchFamily="18" charset="2"/>
                  </a:rPr>
                  <a:t>D</a:t>
                </a:r>
                <a:r>
                  <a:rPr lang="da-DK" sz="1400" b="0" baseline="0"/>
                  <a:t>Abs/</a:t>
                </a:r>
                <a:r>
                  <a:rPr lang="da-DK" sz="1400" b="0" baseline="0">
                    <a:latin typeface="Symbol" pitchFamily="18" charset="2"/>
                  </a:rPr>
                  <a:t>e </a:t>
                </a:r>
                <a:r>
                  <a:rPr lang="da-DK" sz="1400" b="0" i="0" u="none" strike="noStrike" baseline="0"/>
                  <a:t>[mM/s]</a:t>
                </a:r>
                <a:endParaRPr lang="da-DK" sz="1400" b="0" baseline="30000">
                  <a:latin typeface="Calibri" pitchFamily="34" charset="0"/>
                </a:endParaRPr>
              </a:p>
            </c:rich>
          </c:tx>
          <c:layout>
            <c:manualLayout>
              <c:xMode val="edge"/>
              <c:yMode val="edge"/>
              <c:x val="1.8872222222222242E-3"/>
              <c:y val="0.25540750000000001"/>
            </c:manualLayout>
          </c:layout>
        </c:title>
        <c:numFmt formatCode="0.0E+0" sourceLinked="0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101574912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9986833333333365"/>
          <c:y val="0.30524083333333335"/>
          <c:w val="0.24162083333333334"/>
          <c:h val="0.16170611111111124"/>
        </c:manualLayout>
      </c:layout>
      <c:overlay val="1"/>
      <c:txPr>
        <a:bodyPr/>
        <a:lstStyle/>
        <a:p>
          <a:pPr>
            <a:defRPr sz="1400"/>
          </a:pPr>
          <a:endParaRPr lang="da-DK"/>
        </a:p>
      </c:txPr>
    </c:legend>
    <c:plotVisOnly val="1"/>
  </c:chart>
  <c:spPr>
    <a:ln>
      <a:noFill/>
    </a:ln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>
        <c:manualLayout>
          <c:layoutTarget val="inner"/>
          <c:xMode val="edge"/>
          <c:yMode val="edge"/>
          <c:x val="0.25597916666666681"/>
          <c:y val="3.6424176784493625E-2"/>
          <c:w val="0.69782472222222225"/>
          <c:h val="0.80564883490245465"/>
        </c:manualLayout>
      </c:layout>
      <c:scatterChart>
        <c:scatterStyle val="lineMarker"/>
        <c:ser>
          <c:idx val="2"/>
          <c:order val="0"/>
          <c:tx>
            <c:strRef>
              <c:f>Sheet1!$AA$61</c:f>
              <c:strCache>
                <c:ptCount val="1"/>
                <c:pt idx="0">
                  <c:v>4-Methoxybenzyl alcohol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plus>
              <c:numRef>
                <c:f>Sheet1!$AD$62:$AD$68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281942.62010708795</c:v>
                  </c:pt>
                  <c:pt idx="2">
                    <c:v>174345.56583686976</c:v>
                  </c:pt>
                  <c:pt idx="3">
                    <c:v>174345.56583686976</c:v>
                  </c:pt>
                  <c:pt idx="4">
                    <c:v>174345.56583686976</c:v>
                  </c:pt>
                  <c:pt idx="5">
                    <c:v>769438.44831426372</c:v>
                  </c:pt>
                  <c:pt idx="6">
                    <c:v>290714.69604082161</c:v>
                  </c:pt>
                </c:numCache>
              </c:numRef>
            </c:plus>
            <c:minus>
              <c:numRef>
                <c:f>Sheet1!$AD$62:$AD$68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281942.62010708795</c:v>
                  </c:pt>
                  <c:pt idx="2">
                    <c:v>174345.56583686976</c:v>
                  </c:pt>
                  <c:pt idx="3">
                    <c:v>174345.56583686976</c:v>
                  </c:pt>
                  <c:pt idx="4">
                    <c:v>174345.56583686976</c:v>
                  </c:pt>
                  <c:pt idx="5">
                    <c:v>769438.44831426372</c:v>
                  </c:pt>
                  <c:pt idx="6">
                    <c:v>290714.69604082161</c:v>
                  </c:pt>
                </c:numCache>
              </c:numRef>
            </c:minus>
          </c:errBars>
          <c:xVal>
            <c:numRef>
              <c:f>Sheet1!$AA$62:$AA$68</c:f>
              <c:numCache>
                <c:formatCode>0.00</c:formatCode>
                <c:ptCount val="7"/>
                <c:pt idx="0">
                  <c:v>4.126666666666666</c:v>
                </c:pt>
                <c:pt idx="1">
                  <c:v>8.25</c:v>
                </c:pt>
                <c:pt idx="2">
                  <c:v>1.03</c:v>
                </c:pt>
                <c:pt idx="3">
                  <c:v>0</c:v>
                </c:pt>
                <c:pt idx="4">
                  <c:v>3.09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Sheet1!$AB$62:$AB$68</c:f>
              <c:numCache>
                <c:formatCode>0.000E+00</c:formatCode>
                <c:ptCount val="7"/>
                <c:pt idx="0" formatCode="General">
                  <c:v>0</c:v>
                </c:pt>
                <c:pt idx="1">
                  <c:v>8.8670524486523027E-7</c:v>
                </c:pt>
                <c:pt idx="2">
                  <c:v>1.4339338015279263E-6</c:v>
                </c:pt>
                <c:pt idx="3">
                  <c:v>1.4339338015279263E-6</c:v>
                </c:pt>
                <c:pt idx="4">
                  <c:v>1.4339338015279263E-6</c:v>
                </c:pt>
                <c:pt idx="5">
                  <c:v>3.2491227927031254E-7</c:v>
                </c:pt>
                <c:pt idx="6">
                  <c:v>8.5994964618126993E-7</c:v>
                </c:pt>
              </c:numCache>
            </c:numRef>
          </c:yVal>
        </c:ser>
        <c:ser>
          <c:idx val="0"/>
          <c:order val="1"/>
          <c:tx>
            <c:strRef>
              <c:f>Sheet1!$AH$74</c:f>
              <c:strCache>
                <c:ptCount val="1"/>
                <c:pt idx="0">
                  <c:v>MM fit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Sheet1!$AG$75:$AG$165</c:f>
              <c:numCache>
                <c:formatCode>0.0</c:formatCode>
                <c:ptCount val="91"/>
                <c:pt idx="0" formatCode="General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 formatCode="General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 formatCode="General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 formatCode="General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 formatCode="General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 formatCode="General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 formatCode="General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 formatCode="General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 formatCode="General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 formatCode="General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 formatCode="General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 formatCode="General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 formatCode="General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 formatCode="General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 formatCode="General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 formatCode="General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 formatCode="General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 formatCode="General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 formatCode="General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 formatCode="General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 formatCode="General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 formatCode="General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 formatCode="General">
                  <c:v>8.8000000000000007</c:v>
                </c:pt>
                <c:pt idx="89">
                  <c:v>8.9</c:v>
                </c:pt>
                <c:pt idx="90">
                  <c:v>9</c:v>
                </c:pt>
              </c:numCache>
            </c:numRef>
          </c:xVal>
          <c:yVal>
            <c:numRef>
              <c:f>Sheet1!$AH$75:$AH$165</c:f>
              <c:numCache>
                <c:formatCode>General</c:formatCode>
                <c:ptCount val="91"/>
                <c:pt idx="0">
                  <c:v>0</c:v>
                </c:pt>
                <c:pt idx="1">
                  <c:v>3.8165101721439755E-5</c:v>
                </c:pt>
                <c:pt idx="2">
                  <c:v>5.4865016872890886E-5</c:v>
                </c:pt>
                <c:pt idx="3">
                  <c:v>6.4233977172958726E-5</c:v>
                </c:pt>
                <c:pt idx="4">
                  <c:v>7.0230381569474446E-5</c:v>
                </c:pt>
                <c:pt idx="5">
                  <c:v>7.4397498474679691E-5</c:v>
                </c:pt>
                <c:pt idx="6">
                  <c:v>7.7461619904711489E-5</c:v>
                </c:pt>
                <c:pt idx="7">
                  <c:v>7.9809490416082291E-5</c:v>
                </c:pt>
                <c:pt idx="8">
                  <c:v>8.1665969024696529E-5</c:v>
                </c:pt>
                <c:pt idx="9">
                  <c:v>8.317070860174307E-5</c:v>
                </c:pt>
                <c:pt idx="10">
                  <c:v>8.4415022499134646E-5</c:v>
                </c:pt>
                <c:pt idx="11">
                  <c:v>8.5461134119146223E-5</c:v>
                </c:pt>
                <c:pt idx="12">
                  <c:v>8.6352906462083213E-5</c:v>
                </c:pt>
                <c:pt idx="13">
                  <c:v>8.7122148942017042E-5</c:v>
                </c:pt>
                <c:pt idx="14">
                  <c:v>8.779249164309592E-5</c:v>
                </c:pt>
                <c:pt idx="15">
                  <c:v>8.8381855520657158E-5</c:v>
                </c:pt>
                <c:pt idx="16">
                  <c:v>8.8904078377762588E-5</c:v>
                </c:pt>
                <c:pt idx="17">
                  <c:v>8.9370015089458945E-5</c:v>
                </c:pt>
                <c:pt idx="18">
                  <c:v>8.9788300265903045E-5</c:v>
                </c:pt>
                <c:pt idx="19">
                  <c:v>9.0165888305117711E-5</c:v>
                </c:pt>
                <c:pt idx="20">
                  <c:v>9.0508443124884017E-5</c:v>
                </c:pt>
                <c:pt idx="21">
                  <c:v>9.0820624224153217E-5</c:v>
                </c:pt>
                <c:pt idx="22">
                  <c:v>9.1106299881134307E-5</c:v>
                </c:pt>
                <c:pt idx="23">
                  <c:v>9.1368708258674037E-5</c:v>
                </c:pt>
                <c:pt idx="24">
                  <c:v>9.1610580685553284E-5</c:v>
                </c:pt>
                <c:pt idx="25">
                  <c:v>9.183423708389817E-5</c:v>
                </c:pt>
                <c:pt idx="26">
                  <c:v>9.2041660618377122E-5</c:v>
                </c:pt>
                <c:pt idx="27">
                  <c:v>9.2234556660596726E-5</c:v>
                </c:pt>
                <c:pt idx="28">
                  <c:v>9.241439978346191E-5</c:v>
                </c:pt>
                <c:pt idx="29">
                  <c:v>9.2582471527686853E-5</c:v>
                </c:pt>
                <c:pt idx="30">
                  <c:v>9.2739890987450873E-5</c:v>
                </c:pt>
                <c:pt idx="31">
                  <c:v>9.2887639759184167E-5</c:v>
                </c:pt>
                <c:pt idx="32">
                  <c:v>9.3026582429371794E-5</c:v>
                </c:pt>
                <c:pt idx="33">
                  <c:v>9.3157483505035301E-5</c:v>
                </c:pt>
                <c:pt idx="34">
                  <c:v>9.3281021487231404E-5</c:v>
                </c:pt>
                <c:pt idx="35">
                  <c:v>9.3397800634642745E-5</c:v>
                </c:pt>
                <c:pt idx="36">
                  <c:v>9.3508360847800601E-5</c:v>
                </c:pt>
                <c:pt idx="37">
                  <c:v>9.3613186015146794E-5</c:v>
                </c:pt>
                <c:pt idx="38">
                  <c:v>9.3712711093133771E-5</c:v>
                </c:pt>
                <c:pt idx="39">
                  <c:v>9.3807328138869705E-5</c:v>
                </c:pt>
                <c:pt idx="40">
                  <c:v>9.3897391471748964E-5</c:v>
                </c:pt>
                <c:pt idx="41">
                  <c:v>9.3983222107340926E-5</c:v>
                </c:pt>
                <c:pt idx="42">
                  <c:v>9.4065111580494086E-5</c:v>
                </c:pt>
                <c:pt idx="43">
                  <c:v>9.414332525361344E-5</c:v>
                </c:pt>
                <c:pt idx="44">
                  <c:v>9.4218105189217672E-5</c:v>
                </c:pt>
                <c:pt idx="45">
                  <c:v>9.4289672652289722E-5</c:v>
                </c:pt>
                <c:pt idx="46">
                  <c:v>9.4358230296913111E-5</c:v>
                </c:pt>
                <c:pt idx="47">
                  <c:v>9.4423964082708631E-5</c:v>
                </c:pt>
                <c:pt idx="48">
                  <c:v>9.4487044959238039E-5</c:v>
                </c:pt>
                <c:pt idx="49">
                  <c:v>9.4547630350502414E-5</c:v>
                </c:pt>
                <c:pt idx="50">
                  <c:v>9.4605865466677023E-5</c:v>
                </c:pt>
                <c:pt idx="51">
                  <c:v>9.4661884466093322E-5</c:v>
                </c:pt>
                <c:pt idx="52">
                  <c:v>9.4715811487041616E-5</c:v>
                </c:pt>
                <c:pt idx="53">
                  <c:v>9.4767761566097236E-5</c:v>
                </c:pt>
                <c:pt idx="54">
                  <c:v>9.4817841457268349E-5</c:v>
                </c:pt>
                <c:pt idx="55">
                  <c:v>9.4866150364240762E-5</c:v>
                </c:pt>
                <c:pt idx="56">
                  <c:v>9.4912780596288849E-5</c:v>
                </c:pt>
                <c:pt idx="57">
                  <c:v>9.4957818156977936E-5</c:v>
                </c:pt>
                <c:pt idx="58">
                  <c:v>9.5001343273557658E-5</c:v>
                </c:pt>
                <c:pt idx="59">
                  <c:v>9.5043430873901843E-5</c:v>
                </c:pt>
                <c:pt idx="60">
                  <c:v>9.5084151016960167E-5</c:v>
                </c:pt>
                <c:pt idx="61">
                  <c:v>9.512356928192339E-5</c:v>
                </c:pt>
                <c:pt idx="62">
                  <c:v>9.5161747120649505E-5</c:v>
                </c:pt>
                <c:pt idx="63">
                  <c:v>9.5198742177334407E-5</c:v>
                </c:pt>
                <c:pt idx="64">
                  <c:v>9.5234608578924888E-5</c:v>
                </c:pt>
                <c:pt idx="65">
                  <c:v>9.5269397199350923E-5</c:v>
                </c:pt>
                <c:pt idx="66">
                  <c:v>9.5303155900290133E-5</c:v>
                </c:pt>
                <c:pt idx="67">
                  <c:v>9.5335929750860619E-5</c:v>
                </c:pt>
                <c:pt idx="68">
                  <c:v>9.5367761228362758E-5</c:v>
                </c:pt>
                <c:pt idx="69">
                  <c:v>9.5398690401950233E-5</c:v>
                </c:pt>
                <c:pt idx="70">
                  <c:v>9.5428755100900002E-5</c:v>
                </c:pt>
                <c:pt idx="71">
                  <c:v>9.545799106896743E-5</c:v>
                </c:pt>
                <c:pt idx="72">
                  <c:v>9.5486432106150408E-5</c:v>
                </c:pt>
                <c:pt idx="73">
                  <c:v>9.5514110199045006E-5</c:v>
                </c:pt>
                <c:pt idx="74">
                  <c:v>9.5541055640849173E-5</c:v>
                </c:pt>
                <c:pt idx="75">
                  <c:v>9.5567297141961442E-5</c:v>
                </c:pt>
                <c:pt idx="76">
                  <c:v>9.5592861932023316E-5</c:v>
                </c:pt>
                <c:pt idx="77">
                  <c:v>9.5617775854167725E-5</c:v>
                </c:pt>
                <c:pt idx="78">
                  <c:v>9.5642063452159492E-5</c:v>
                </c:pt>
                <c:pt idx="79">
                  <c:v>9.5665748051045234E-5</c:v>
                </c:pt>
                <c:pt idx="80">
                  <c:v>9.5688851831870133E-5</c:v>
                </c:pt>
                <c:pt idx="81">
                  <c:v>9.5711395900964199E-5</c:v>
                </c:pt>
                <c:pt idx="82">
                  <c:v>9.5733400354253438E-5</c:v>
                </c:pt>
                <c:pt idx="83">
                  <c:v>9.5754884337007437E-5</c:v>
                </c:pt>
                <c:pt idx="84">
                  <c:v>9.5775866099396897E-5</c:v>
                </c:pt>
                <c:pt idx="85">
                  <c:v>9.5796363048200012E-5</c:v>
                </c:pt>
                <c:pt idx="86">
                  <c:v>9.5816391794965508E-5</c:v>
                </c:pt>
                <c:pt idx="87">
                  <c:v>9.5835968200912421E-5</c:v>
                </c:pt>
                <c:pt idx="88">
                  <c:v>9.5855107418821745E-5</c:v>
                </c:pt>
                <c:pt idx="89">
                  <c:v>9.587382393215248E-5</c:v>
                </c:pt>
                <c:pt idx="90">
                  <c:v>9.5892131591594212E-5</c:v>
                </c:pt>
              </c:numCache>
            </c:numRef>
          </c:yVal>
          <c:smooth val="1"/>
        </c:ser>
        <c:ser>
          <c:idx val="1"/>
          <c:order val="2"/>
          <c:spPr>
            <a:ln w="28575">
              <a:noFill/>
            </a:ln>
          </c:spPr>
          <c:xVal>
            <c:numRef>
              <c:f>Sheet1!$O$147:$O$150</c:f>
              <c:numCache>
                <c:formatCode>0.00</c:formatCode>
                <c:ptCount val="4"/>
                <c:pt idx="0">
                  <c:v>9.5000000000000001E-2</c:v>
                </c:pt>
                <c:pt idx="1">
                  <c:v>0.191</c:v>
                </c:pt>
                <c:pt idx="2">
                  <c:v>0.28599999999999998</c:v>
                </c:pt>
                <c:pt idx="3">
                  <c:v>0.38100000000000001</c:v>
                </c:pt>
              </c:numCache>
            </c:numRef>
          </c:xVal>
          <c:yVal>
            <c:numRef>
              <c:f>Sheet1!$U$147:$U$150</c:f>
              <c:numCache>
                <c:formatCode>0.00E+00</c:formatCode>
                <c:ptCount val="4"/>
                <c:pt idx="0">
                  <c:v>2.4879999999999999E-5</c:v>
                </c:pt>
                <c:pt idx="1">
                  <c:v>3.9629999999999998E-5</c:v>
                </c:pt>
                <c:pt idx="2">
                  <c:v>3.9629999999999998E-5</c:v>
                </c:pt>
                <c:pt idx="3">
                  <c:v>4.7929999999999997E-5</c:v>
                </c:pt>
              </c:numCache>
            </c:numRef>
          </c:yVal>
        </c:ser>
        <c:ser>
          <c:idx val="3"/>
          <c:order val="3"/>
          <c:spPr>
            <a:ln w="28575">
              <a:noFill/>
            </a:ln>
          </c:spPr>
          <c:xVal>
            <c:numRef>
              <c:f>Sheet1!$O$143:$O$146</c:f>
              <c:numCache>
                <c:formatCode>0.00</c:formatCode>
                <c:ptCount val="4"/>
                <c:pt idx="0">
                  <c:v>4.8000000000000001E-2</c:v>
                </c:pt>
                <c:pt idx="1">
                  <c:v>9.5000000000000001E-2</c:v>
                </c:pt>
                <c:pt idx="2">
                  <c:v>0.14299999999999999</c:v>
                </c:pt>
                <c:pt idx="3">
                  <c:v>0.191</c:v>
                </c:pt>
              </c:numCache>
            </c:numRef>
          </c:xVal>
          <c:yVal>
            <c:numRef>
              <c:f>Sheet1!$U$143:$U$146</c:f>
              <c:numCache>
                <c:formatCode>0.00E+00</c:formatCode>
                <c:ptCount val="4"/>
                <c:pt idx="0">
                  <c:v>5.5300000000000004E-6</c:v>
                </c:pt>
                <c:pt idx="1">
                  <c:v>7.1609999999999997E-6</c:v>
                </c:pt>
                <c:pt idx="2">
                  <c:v>1.468E-5</c:v>
                </c:pt>
                <c:pt idx="3">
                  <c:v>1.5529999999999999E-5</c:v>
                </c:pt>
              </c:numCache>
            </c:numRef>
          </c:yVal>
        </c:ser>
        <c:axId val="101647104"/>
        <c:axId val="101649024"/>
      </c:scatterChart>
      <c:valAx>
        <c:axId val="101647104"/>
        <c:scaling>
          <c:orientation val="minMax"/>
          <c:max val="10"/>
          <c:min val="0"/>
        </c:scaling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a-DK" sz="1400" b="0" i="1"/>
                  <a:t>p</a:t>
                </a:r>
                <a:r>
                  <a:rPr lang="da-DK" sz="1400" b="0"/>
                  <a:t>MBA</a:t>
                </a:r>
                <a:r>
                  <a:rPr lang="da-DK" sz="1400" b="0" baseline="0"/>
                  <a:t> </a:t>
                </a:r>
                <a:r>
                  <a:rPr lang="da-DK" sz="1400" b="0" i="0" u="none" strike="noStrike" baseline="0"/>
                  <a:t>[mM]</a:t>
                </a:r>
                <a:endParaRPr lang="da-DK" sz="1400" b="0"/>
              </a:p>
            </c:rich>
          </c:tx>
          <c:layout>
            <c:manualLayout>
              <c:xMode val="edge"/>
              <c:yMode val="edge"/>
              <c:x val="0.43968555555555588"/>
              <c:y val="0.92912692475747849"/>
            </c:manualLayout>
          </c:layout>
        </c:title>
        <c:numFmt formatCode="0" sourceLinked="0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101649024"/>
        <c:crosses val="autoZero"/>
        <c:crossBetween val="midCat"/>
        <c:majorUnit val="1"/>
      </c:valAx>
      <c:valAx>
        <c:axId val="101649024"/>
        <c:scaling>
          <c:orientation val="minMax"/>
          <c:max val="1.1000000000000038E-4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a-DK" sz="1400" b="0">
                    <a:latin typeface="Symbol" pitchFamily="18" charset="2"/>
                  </a:rPr>
                  <a:t>D</a:t>
                </a:r>
                <a:r>
                  <a:rPr lang="da-DK" sz="1400" b="0"/>
                  <a:t>Abs/</a:t>
                </a:r>
                <a:r>
                  <a:rPr lang="da-DK" sz="1400" b="0">
                    <a:latin typeface="Symbol" pitchFamily="18" charset="2"/>
                  </a:rPr>
                  <a:t>e </a:t>
                </a:r>
                <a:r>
                  <a:rPr lang="da-DK" sz="1400" b="0" i="0" u="none" strike="noStrike" baseline="0"/>
                  <a:t>[mM/s]</a:t>
                </a:r>
                <a:r>
                  <a:rPr lang="da-DK" sz="1400" b="0" baseline="0">
                    <a:latin typeface="+mn-lt"/>
                  </a:rPr>
                  <a:t> </a:t>
                </a:r>
                <a:endParaRPr lang="da-DK" sz="1400" b="0"/>
              </a:p>
            </c:rich>
          </c:tx>
          <c:layout>
            <c:manualLayout>
              <c:xMode val="edge"/>
              <c:yMode val="edge"/>
              <c:x val="0"/>
              <c:y val="0.29709674919354195"/>
            </c:manualLayout>
          </c:layout>
        </c:title>
        <c:numFmt formatCode="0.0E+0" sourceLinked="0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101647104"/>
        <c:crosses val="autoZero"/>
        <c:crossBetween val="midCat"/>
        <c:majorUnit val="2.0000000000000049E-5"/>
      </c:valAx>
      <c:spPr>
        <a:noFill/>
        <a:ln w="25400">
          <a:noFill/>
        </a:ln>
      </c:spPr>
    </c:plotArea>
    <c:plotVisOnly val="1"/>
  </c:chart>
  <c:spPr>
    <a:ln>
      <a:noFill/>
    </a:ln>
  </c:sp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>
        <c:manualLayout>
          <c:layoutTarget val="inner"/>
          <c:xMode val="edge"/>
          <c:yMode val="edge"/>
          <c:x val="0.20862870370370368"/>
          <c:y val="3.0144722222222222E-2"/>
          <c:w val="0.7363144444444446"/>
          <c:h val="0.71526166666666668"/>
        </c:manualLayout>
      </c:layout>
      <c:scatterChart>
        <c:scatterStyle val="lineMarker"/>
        <c:ser>
          <c:idx val="0"/>
          <c:order val="0"/>
          <c:tx>
            <c:strRef>
              <c:f>Sheet1!$AH$218</c:f>
              <c:strCache>
                <c:ptCount val="1"/>
                <c:pt idx="0">
                  <c:v>Vmax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ysClr val="windowText" lastClr="000000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plus>
              <c:numRef>
                <c:f>Sheet1!$AJ$223</c:f>
                <c:numCache>
                  <c:formatCode>General</c:formatCode>
                  <c:ptCount val="1"/>
                  <c:pt idx="0">
                    <c:v>3.1430896423742039E-4</c:v>
                  </c:pt>
                </c:numCache>
              </c:numRef>
            </c:plus>
            <c:minus>
              <c:numRef>
                <c:f>Sheet1!$AJ$223</c:f>
                <c:numCache>
                  <c:formatCode>General</c:formatCode>
                  <c:ptCount val="1"/>
                  <c:pt idx="0">
                    <c:v>3.1430896423742039E-4</c:v>
                  </c:pt>
                </c:numCache>
              </c:numRef>
            </c:minus>
          </c:errBars>
          <c:xVal>
            <c:numRef>
              <c:f>Sheet1!$AG$219:$AG$228</c:f>
              <c:numCache>
                <c:formatCode>0.0</c:formatCode>
                <c:ptCount val="10"/>
                <c:pt idx="0">
                  <c:v>6.71</c:v>
                </c:pt>
                <c:pt idx="1">
                  <c:v>7</c:v>
                </c:pt>
                <c:pt idx="2">
                  <c:v>7.5</c:v>
                </c:pt>
                <c:pt idx="3">
                  <c:v>8.01</c:v>
                </c:pt>
                <c:pt idx="4">
                  <c:v>8.48</c:v>
                </c:pt>
                <c:pt idx="5">
                  <c:v>8.98</c:v>
                </c:pt>
                <c:pt idx="6">
                  <c:v>9.23</c:v>
                </c:pt>
                <c:pt idx="7">
                  <c:v>9.4</c:v>
                </c:pt>
                <c:pt idx="8">
                  <c:v>9.51</c:v>
                </c:pt>
                <c:pt idx="9">
                  <c:v>9.6999999999999993</c:v>
                </c:pt>
              </c:numCache>
            </c:numRef>
          </c:xVal>
          <c:yVal>
            <c:numRef>
              <c:f>Sheet1!$AH$219:$AH$228</c:f>
              <c:numCache>
                <c:formatCode>0.00E+00</c:formatCode>
                <c:ptCount val="10"/>
                <c:pt idx="0">
                  <c:v>1.1143E-4</c:v>
                </c:pt>
                <c:pt idx="1">
                  <c:v>1.1680000000000001E-4</c:v>
                </c:pt>
                <c:pt idx="2">
                  <c:v>2.5159999999999999E-4</c:v>
                </c:pt>
                <c:pt idx="3">
                  <c:v>6.3150000000000001E-4</c:v>
                </c:pt>
                <c:pt idx="4">
                  <c:v>1.7095000000000001E-3</c:v>
                </c:pt>
                <c:pt idx="5">
                  <c:v>3.235E-3</c:v>
                </c:pt>
                <c:pt idx="6">
                  <c:v>3.6080000000000001E-3</c:v>
                </c:pt>
                <c:pt idx="7">
                  <c:v>3.5760000000000002E-3</c:v>
                </c:pt>
                <c:pt idx="8">
                  <c:v>3.042E-3</c:v>
                </c:pt>
                <c:pt idx="9">
                  <c:v>2.8349999999999998E-3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Sheet1!$AK$240</c:f>
              <c:strCache>
                <c:ptCount val="1"/>
                <c:pt idx="0">
                  <c:v>Fit</c:v>
                </c:pt>
              </c:strCache>
            </c:strRef>
          </c:tx>
          <c:spPr>
            <a:ln w="25400">
              <a:solidFill>
                <a:sysClr val="windowText" lastClr="000000">
                  <a:shade val="95000"/>
                  <a:satMod val="105000"/>
                </a:sysClr>
              </a:solidFill>
            </a:ln>
          </c:spPr>
          <c:marker>
            <c:symbol val="none"/>
          </c:marker>
          <c:xVal>
            <c:numRef>
              <c:f>Sheet1!$AJ$242:$AJ$277</c:f>
              <c:numCache>
                <c:formatCode>General</c:formatCode>
                <c:ptCount val="36"/>
                <c:pt idx="0">
                  <c:v>6.5</c:v>
                </c:pt>
                <c:pt idx="1">
                  <c:v>6.6</c:v>
                </c:pt>
                <c:pt idx="2">
                  <c:v>6.7</c:v>
                </c:pt>
                <c:pt idx="3">
                  <c:v>6.8</c:v>
                </c:pt>
                <c:pt idx="4">
                  <c:v>6.9</c:v>
                </c:pt>
                <c:pt idx="5">
                  <c:v>7</c:v>
                </c:pt>
                <c:pt idx="6">
                  <c:v>7.1</c:v>
                </c:pt>
                <c:pt idx="7">
                  <c:v>7.2</c:v>
                </c:pt>
                <c:pt idx="8">
                  <c:v>7.3</c:v>
                </c:pt>
                <c:pt idx="9">
                  <c:v>7.4</c:v>
                </c:pt>
                <c:pt idx="10">
                  <c:v>7.5</c:v>
                </c:pt>
                <c:pt idx="11">
                  <c:v>7.6</c:v>
                </c:pt>
                <c:pt idx="12">
                  <c:v>7.7</c:v>
                </c:pt>
                <c:pt idx="13">
                  <c:v>7.8</c:v>
                </c:pt>
                <c:pt idx="14">
                  <c:v>7.9</c:v>
                </c:pt>
                <c:pt idx="15">
                  <c:v>7.9999999999999902</c:v>
                </c:pt>
                <c:pt idx="16">
                  <c:v>8.0999999999999908</c:v>
                </c:pt>
                <c:pt idx="17">
                  <c:v>8.1999999999999904</c:v>
                </c:pt>
                <c:pt idx="18">
                  <c:v>8.2999999999999901</c:v>
                </c:pt>
                <c:pt idx="19">
                  <c:v>8.3999999999999897</c:v>
                </c:pt>
                <c:pt idx="20">
                  <c:v>8.4999999999999893</c:v>
                </c:pt>
                <c:pt idx="21">
                  <c:v>8.5999999999999908</c:v>
                </c:pt>
                <c:pt idx="22">
                  <c:v>8.6999999999999904</c:v>
                </c:pt>
                <c:pt idx="23">
                  <c:v>8.7999999999999901</c:v>
                </c:pt>
                <c:pt idx="24">
                  <c:v>8.8999999999999897</c:v>
                </c:pt>
                <c:pt idx="25">
                  <c:v>8.9999999999999893</c:v>
                </c:pt>
                <c:pt idx="26">
                  <c:v>9.0999999999999908</c:v>
                </c:pt>
                <c:pt idx="27">
                  <c:v>9.1999999999999904</c:v>
                </c:pt>
                <c:pt idx="28">
                  <c:v>9.2999999999999901</c:v>
                </c:pt>
                <c:pt idx="29">
                  <c:v>9.3999999999999897</c:v>
                </c:pt>
                <c:pt idx="30">
                  <c:v>9.4999999999999893</c:v>
                </c:pt>
                <c:pt idx="31">
                  <c:v>9.5999999999999908</c:v>
                </c:pt>
                <c:pt idx="32">
                  <c:v>9.6999999999999904</c:v>
                </c:pt>
                <c:pt idx="33">
                  <c:v>9.7999999999999901</c:v>
                </c:pt>
                <c:pt idx="34">
                  <c:v>9.8999999999999897</c:v>
                </c:pt>
                <c:pt idx="35">
                  <c:v>9.9999999999999893</c:v>
                </c:pt>
              </c:numCache>
            </c:numRef>
          </c:xVal>
          <c:yVal>
            <c:numRef>
              <c:f>Sheet1!$AK$242:$AK$277</c:f>
              <c:numCache>
                <c:formatCode>0.00E+00</c:formatCode>
                <c:ptCount val="36"/>
                <c:pt idx="0">
                  <c:v>2.2671428413047537E-5</c:v>
                </c:pt>
                <c:pt idx="1">
                  <c:v>2.8520447639885122E-5</c:v>
                </c:pt>
                <c:pt idx="2">
                  <c:v>3.5871568379259317E-5</c:v>
                </c:pt>
                <c:pt idx="3">
                  <c:v>4.5106529923356313E-5</c:v>
                </c:pt>
                <c:pt idx="4">
                  <c:v>5.6701741426532472E-5</c:v>
                </c:pt>
                <c:pt idx="5">
                  <c:v>7.1250388696665075E-5</c:v>
                </c:pt>
                <c:pt idx="6">
                  <c:v>8.9488892115614977E-5</c:v>
                </c:pt>
                <c:pt idx="7">
                  <c:v>1.1232807288309282E-4</c:v>
                </c:pt>
                <c:pt idx="8">
                  <c:v>1.4088905998440622E-4</c:v>
                </c:pt>
                <c:pt idx="9">
                  <c:v>1.7654334893591581E-4</c:v>
                </c:pt>
                <c:pt idx="10">
                  <c:v>2.2095533439590639E-4</c:v>
                </c:pt>
                <c:pt idx="11">
                  <c:v>2.7612383927709213E-4</c:v>
                </c:pt>
                <c:pt idx="12">
                  <c:v>3.4441632797198107E-4</c:v>
                </c:pt>
                <c:pt idx="13">
                  <c:v>4.2858522445712519E-4</c:v>
                </c:pt>
                <c:pt idx="14">
                  <c:v>5.317496548343935E-4</c:v>
                </c:pt>
                <c:pt idx="15">
                  <c:v>6.5731776791342147E-4</c:v>
                </c:pt>
                <c:pt idx="16">
                  <c:v>8.0881488836611736E-4</c:v>
                </c:pt>
                <c:pt idx="17">
                  <c:v>9.8957275173995195E-4</c:v>
                </c:pt>
                <c:pt idx="18">
                  <c:v>1.2022290686272083E-3</c:v>
                </c:pt>
                <c:pt idx="19">
                  <c:v>1.4479928008602136E-3</c:v>
                </c:pt>
                <c:pt idx="20">
                  <c:v>1.725662120870528E-3</c:v>
                </c:pt>
                <c:pt idx="21">
                  <c:v>2.0304562296593999E-3</c:v>
                </c:pt>
                <c:pt idx="22">
                  <c:v>2.3528522078366445E-3</c:v>
                </c:pt>
                <c:pt idx="23">
                  <c:v>2.6777941487873508E-3</c:v>
                </c:pt>
                <c:pt idx="24">
                  <c:v>2.9848027239327518E-3</c:v>
                </c:pt>
                <c:pt idx="25">
                  <c:v>3.2495281610029464E-3</c:v>
                </c:pt>
                <c:pt idx="26">
                  <c:v>3.4469966110702507E-3</c:v>
                </c:pt>
                <c:pt idx="27">
                  <c:v>3.5561421364425257E-3</c:v>
                </c:pt>
                <c:pt idx="28">
                  <c:v>3.5644173151577617E-3</c:v>
                </c:pt>
                <c:pt idx="29">
                  <c:v>3.4708444272093797E-3</c:v>
                </c:pt>
                <c:pt idx="30">
                  <c:v>3.2862622295504748E-3</c:v>
                </c:pt>
                <c:pt idx="31">
                  <c:v>3.0306628680766617E-3</c:v>
                </c:pt>
                <c:pt idx="32">
                  <c:v>2.7287197301838293E-3</c:v>
                </c:pt>
                <c:pt idx="33">
                  <c:v>2.4051431066070428E-3</c:v>
                </c:pt>
                <c:pt idx="34">
                  <c:v>2.0811795361960423E-3</c:v>
                </c:pt>
                <c:pt idx="35">
                  <c:v>1.7727916477127529E-3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Sheet1!$AM$232</c:f>
              <c:strCache>
                <c:ptCount val="1"/>
                <c:pt idx="0">
                  <c:v>pKa1</c:v>
                </c:pt>
              </c:strCache>
            </c:strRef>
          </c:tx>
          <c:spPr>
            <a:ln w="12700">
              <a:solidFill>
                <a:sysClr val="windowText" lastClr="000000">
                  <a:shade val="95000"/>
                  <a:satMod val="105000"/>
                </a:sysClr>
              </a:solidFill>
              <a:prstDash val="dash"/>
            </a:ln>
          </c:spPr>
          <c:marker>
            <c:symbol val="none"/>
          </c:marker>
          <c:errBars>
            <c:errDir val="y"/>
            <c:errBarType val="both"/>
            <c:errValType val="fixedVal"/>
            <c:val val="1"/>
            <c:spPr>
              <a:ln w="12700">
                <a:prstDash val="dash"/>
              </a:ln>
            </c:spPr>
          </c:errBars>
          <c:xVal>
            <c:numRef>
              <c:f>Sheet1!$AM$233</c:f>
              <c:numCache>
                <c:formatCode>General</c:formatCode>
                <c:ptCount val="1"/>
                <c:pt idx="0">
                  <c:v>9.0419999999999998</c:v>
                </c:pt>
              </c:numCache>
            </c:numRef>
          </c:xVal>
          <c:yVal>
            <c:numRef>
              <c:f>Sheet1!$AH$228</c:f>
              <c:numCache>
                <c:formatCode>0.00E+00</c:formatCode>
                <c:ptCount val="1"/>
                <c:pt idx="0">
                  <c:v>2.8349999999999998E-3</c:v>
                </c:pt>
              </c:numCache>
            </c:numRef>
          </c:yVal>
        </c:ser>
        <c:ser>
          <c:idx val="4"/>
          <c:order val="3"/>
          <c:tx>
            <c:strRef>
              <c:f>Sheet1!$AL$232</c:f>
              <c:strCache>
                <c:ptCount val="1"/>
                <c:pt idx="0">
                  <c:v>pKa2</c:v>
                </c:pt>
              </c:strCache>
            </c:strRef>
          </c:tx>
          <c:spPr>
            <a:ln w="12700">
              <a:solidFill>
                <a:sysClr val="windowText" lastClr="000000">
                  <a:shade val="95000"/>
                  <a:satMod val="105000"/>
                </a:sysClr>
              </a:solidFill>
              <a:prstDash val="lgDash"/>
            </a:ln>
          </c:spPr>
          <c:marker>
            <c:symbol val="none"/>
          </c:marker>
          <c:errBars>
            <c:errDir val="y"/>
            <c:errBarType val="both"/>
            <c:errValType val="fixedVal"/>
            <c:val val="1"/>
            <c:spPr>
              <a:ln w="12700">
                <a:solidFill>
                  <a:sysClr val="windowText" lastClr="000000">
                    <a:shade val="95000"/>
                    <a:satMod val="105000"/>
                  </a:sysClr>
                </a:solidFill>
                <a:prstDash val="lgDash"/>
              </a:ln>
            </c:spPr>
          </c:errBars>
          <c:xVal>
            <c:numRef>
              <c:f>Sheet1!$AL$233</c:f>
              <c:numCache>
                <c:formatCode>General</c:formatCode>
                <c:ptCount val="1"/>
                <c:pt idx="0">
                  <c:v>9.4740000000000002</c:v>
                </c:pt>
              </c:numCache>
            </c:numRef>
          </c:xVal>
          <c:yVal>
            <c:numRef>
              <c:f>Sheet1!$AH$225</c:f>
              <c:numCache>
                <c:formatCode>0.00E+00</c:formatCode>
                <c:ptCount val="1"/>
                <c:pt idx="0">
                  <c:v>3.6080000000000001E-3</c:v>
                </c:pt>
              </c:numCache>
            </c:numRef>
          </c:yVal>
        </c:ser>
        <c:axId val="101692928"/>
        <c:axId val="101694848"/>
      </c:scatterChart>
      <c:valAx>
        <c:axId val="101692928"/>
        <c:scaling>
          <c:orientation val="minMax"/>
          <c:max val="10"/>
          <c:min val="6.5"/>
        </c:scaling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da-DK" sz="1400" b="0"/>
                  <a:t>pH</a:t>
                </a:r>
              </a:p>
            </c:rich>
          </c:tx>
        </c:title>
        <c:numFmt formatCode="0.0" sourceLinked="0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101694848"/>
        <c:crosses val="autoZero"/>
        <c:crossBetween val="midCat"/>
        <c:majorUnit val="0.5"/>
        <c:minorUnit val="0.1"/>
      </c:valAx>
      <c:valAx>
        <c:axId val="101694848"/>
        <c:scaling>
          <c:orientation val="minMax"/>
          <c:max val="5.0000000000000114E-3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da-DK" sz="1400" b="0"/>
                  <a:t>1/s</a:t>
                </a:r>
              </a:p>
            </c:rich>
          </c:tx>
        </c:title>
        <c:numFmt formatCode="0.0E+0" sourceLinked="0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1016929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6191833333333342"/>
          <c:y val="0.14281694444444507"/>
          <c:w val="0.1621131481481482"/>
          <c:h val="0.32341222222222388"/>
        </c:manualLayout>
      </c:layout>
      <c:overlay val="1"/>
      <c:txPr>
        <a:bodyPr/>
        <a:lstStyle/>
        <a:p>
          <a:pPr>
            <a:defRPr sz="1400"/>
          </a:pPr>
          <a:endParaRPr lang="da-DK"/>
        </a:p>
      </c:txPr>
    </c:legend>
    <c:plotVisOnly val="1"/>
  </c:chart>
  <c:spPr>
    <a:ln>
      <a:noFill/>
    </a:ln>
  </c:sp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>
        <c:manualLayout>
          <c:layoutTarget val="inner"/>
          <c:xMode val="edge"/>
          <c:yMode val="edge"/>
          <c:x val="8.5090477592686342E-2"/>
          <c:y val="1.871869817895528E-2"/>
          <c:w val="0.77545799680296146"/>
          <c:h val="0.91647548134678869"/>
        </c:manualLayout>
      </c:layout>
      <c:scatterChart>
        <c:scatterStyle val="lineMarker"/>
        <c:ser>
          <c:idx val="4"/>
          <c:order val="0"/>
          <c:xVal>
            <c:numRef>
              <c:f>Sheet1!$AM$11:$AM$15</c:f>
              <c:numCache>
                <c:formatCode>0.000</c:formatCode>
                <c:ptCount val="5"/>
                <c:pt idx="0">
                  <c:v>9.9000000000000005E-2</c:v>
                </c:pt>
                <c:pt idx="1">
                  <c:v>0.49</c:v>
                </c:pt>
                <c:pt idx="2">
                  <c:v>0.99</c:v>
                </c:pt>
                <c:pt idx="3">
                  <c:v>2.46</c:v>
                </c:pt>
                <c:pt idx="4">
                  <c:v>9.85</c:v>
                </c:pt>
              </c:numCache>
            </c:numRef>
          </c:xVal>
          <c:yVal>
            <c:numRef>
              <c:f>Sheet1!$AQ$11:$AQ$15</c:f>
              <c:numCache>
                <c:formatCode>0.00E+00</c:formatCode>
                <c:ptCount val="5"/>
                <c:pt idx="0">
                  <c:v>1.1197831978319784E-6</c:v>
                </c:pt>
                <c:pt idx="1">
                  <c:v>3.534688346883469E-6</c:v>
                </c:pt>
                <c:pt idx="2">
                  <c:v>5.2495934959349595E-6</c:v>
                </c:pt>
                <c:pt idx="3">
                  <c:v>6.1149051490514907E-6</c:v>
                </c:pt>
                <c:pt idx="4">
                  <c:v>8.1433604336043374E-6</c:v>
                </c:pt>
              </c:numCache>
            </c:numRef>
          </c:yVal>
        </c:ser>
        <c:ser>
          <c:idx val="2"/>
          <c:order val="1"/>
          <c:tx>
            <c:strRef>
              <c:f>Sheet1!$G$26</c:f>
              <c:strCache>
                <c:ptCount val="1"/>
                <c:pt idx="0">
                  <c:v>data67</c:v>
                </c:pt>
              </c:strCache>
            </c:strRef>
          </c:tx>
          <c:xVal>
            <c:numRef>
              <c:f>Sheet1!$O$26:$O$29</c:f>
              <c:numCache>
                <c:formatCode>0.00</c:formatCode>
                <c:ptCount val="4"/>
                <c:pt idx="0">
                  <c:v>0.37</c:v>
                </c:pt>
                <c:pt idx="1">
                  <c:v>1.83</c:v>
                </c:pt>
                <c:pt idx="2">
                  <c:v>3.7</c:v>
                </c:pt>
                <c:pt idx="3">
                  <c:v>7.31</c:v>
                </c:pt>
              </c:numCache>
            </c:numRef>
          </c:xVal>
          <c:yVal>
            <c:numRef>
              <c:f>Sheet1!$V$26:$V$29</c:f>
              <c:numCache>
                <c:formatCode>0.00E+00</c:formatCode>
                <c:ptCount val="4"/>
                <c:pt idx="0">
                  <c:v>5.8788617886178864E-6</c:v>
                </c:pt>
                <c:pt idx="1">
                  <c:v>1.4772357723577236E-5</c:v>
                </c:pt>
                <c:pt idx="2">
                  <c:v>1.6878048780487807E-5</c:v>
                </c:pt>
                <c:pt idx="3">
                  <c:v>2.2756097560975612E-5</c:v>
                </c:pt>
              </c:numCache>
            </c:numRef>
          </c:yVal>
        </c:ser>
        <c:ser>
          <c:idx val="3"/>
          <c:order val="2"/>
          <c:tx>
            <c:strRef>
              <c:f>Sheet1!$G$30</c:f>
              <c:strCache>
                <c:ptCount val="1"/>
                <c:pt idx="0">
                  <c:v>data65</c:v>
                </c:pt>
              </c:strCache>
            </c:strRef>
          </c:tx>
          <c:xVal>
            <c:numRef>
              <c:f>Sheet1!$O$30:$O$33</c:f>
              <c:numCache>
                <c:formatCode>0.00</c:formatCode>
                <c:ptCount val="4"/>
                <c:pt idx="0">
                  <c:v>0.37</c:v>
                </c:pt>
                <c:pt idx="1">
                  <c:v>1.83</c:v>
                </c:pt>
                <c:pt idx="2">
                  <c:v>3.7</c:v>
                </c:pt>
                <c:pt idx="3">
                  <c:v>7.31</c:v>
                </c:pt>
              </c:numCache>
            </c:numRef>
          </c:xVal>
          <c:yVal>
            <c:numRef>
              <c:f>Sheet1!$V$30:$V$33</c:f>
              <c:numCache>
                <c:formatCode>0.00E+00</c:formatCode>
                <c:ptCount val="4"/>
                <c:pt idx="0">
                  <c:v>1.1991869918699187E-5</c:v>
                </c:pt>
                <c:pt idx="1">
                  <c:v>2.0162601626016259E-5</c:v>
                </c:pt>
                <c:pt idx="2">
                  <c:v>2.8536585365853658E-5</c:v>
                </c:pt>
                <c:pt idx="3">
                  <c:v>2.9455284552845525E-5</c:v>
                </c:pt>
              </c:numCache>
            </c:numRef>
          </c:yVal>
        </c:ser>
        <c:axId val="101723520"/>
        <c:axId val="101733504"/>
      </c:scatterChart>
      <c:valAx>
        <c:axId val="101723520"/>
        <c:scaling>
          <c:orientation val="minMax"/>
        </c:scaling>
        <c:axPos val="b"/>
        <c:numFmt formatCode="0.000" sourceLinked="1"/>
        <c:tickLblPos val="nextTo"/>
        <c:crossAx val="101733504"/>
        <c:crosses val="autoZero"/>
        <c:crossBetween val="midCat"/>
      </c:valAx>
      <c:valAx>
        <c:axId val="101733504"/>
        <c:scaling>
          <c:orientation val="minMax"/>
        </c:scaling>
        <c:axPos val="l"/>
        <c:majorGridlines/>
        <c:numFmt formatCode="0.00E+00" sourceLinked="1"/>
        <c:tickLblPos val="nextTo"/>
        <c:crossAx val="10172352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/>
      <c:scatterChart>
        <c:scatterStyle val="lineMarker"/>
        <c:ser>
          <c:idx val="0"/>
          <c:order val="0"/>
          <c:tx>
            <c:strRef>
              <c:f>Sheet1!$G$323</c:f>
              <c:strCache>
                <c:ptCount val="1"/>
                <c:pt idx="0">
                  <c:v>data59</c:v>
                </c:pt>
              </c:strCache>
            </c:strRef>
          </c:tx>
          <c:xVal>
            <c:numRef>
              <c:f>Sheet1!$O$323:$O$326</c:f>
              <c:numCache>
                <c:formatCode>0.00</c:formatCode>
                <c:ptCount val="4"/>
                <c:pt idx="0">
                  <c:v>0.59209999999999996</c:v>
                </c:pt>
                <c:pt idx="1">
                  <c:v>2.9811000000000001</c:v>
                </c:pt>
                <c:pt idx="2">
                  <c:v>5.3659600000000003</c:v>
                </c:pt>
                <c:pt idx="3">
                  <c:v>7.7507999999999999</c:v>
                </c:pt>
              </c:numCache>
            </c:numRef>
          </c:xVal>
          <c:yVal>
            <c:numRef>
              <c:f>Sheet1!$X$323:$X$326</c:f>
              <c:numCache>
                <c:formatCode>0.000E+00</c:formatCode>
                <c:ptCount val="4"/>
                <c:pt idx="0">
                  <c:v>4.8718963245549896E-4</c:v>
                </c:pt>
                <c:pt idx="1">
                  <c:v>1.1963613404540759E-3</c:v>
                </c:pt>
                <c:pt idx="2">
                  <c:v>1.4958605704383776E-3</c:v>
                </c:pt>
                <c:pt idx="3">
                  <c:v>1.6645671212828584E-3</c:v>
                </c:pt>
              </c:numCache>
            </c:numRef>
          </c:yVal>
        </c:ser>
        <c:ser>
          <c:idx val="1"/>
          <c:order val="1"/>
          <c:tx>
            <c:strRef>
              <c:f>Sheet1!$G$327</c:f>
              <c:strCache>
                <c:ptCount val="1"/>
                <c:pt idx="0">
                  <c:v>data60</c:v>
                </c:pt>
              </c:strCache>
            </c:strRef>
          </c:tx>
          <c:xVal>
            <c:numRef>
              <c:f>Sheet1!$O$327:$O$330</c:f>
              <c:numCache>
                <c:formatCode>0.00</c:formatCode>
                <c:ptCount val="4"/>
                <c:pt idx="0">
                  <c:v>0.59209999999999996</c:v>
                </c:pt>
                <c:pt idx="1">
                  <c:v>2.9811000000000001</c:v>
                </c:pt>
                <c:pt idx="2">
                  <c:v>5.3659600000000003</c:v>
                </c:pt>
                <c:pt idx="3">
                  <c:v>7.7507999999999999</c:v>
                </c:pt>
              </c:numCache>
            </c:numRef>
          </c:xVal>
          <c:yVal>
            <c:numRef>
              <c:f>Sheet1!$X$327:$X$330</c:f>
              <c:numCache>
                <c:formatCode>0.000E+00</c:formatCode>
                <c:ptCount val="4"/>
                <c:pt idx="0">
                  <c:v>4.7586485940712375E-4</c:v>
                </c:pt>
                <c:pt idx="1">
                  <c:v>1.852120296474469E-3</c:v>
                </c:pt>
                <c:pt idx="2">
                  <c:v>2.4342098787872961E-3</c:v>
                </c:pt>
                <c:pt idx="3">
                  <c:v>2.9455187125900979E-3</c:v>
                </c:pt>
              </c:numCache>
            </c:numRef>
          </c:yVal>
        </c:ser>
        <c:ser>
          <c:idx val="2"/>
          <c:order val="2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xVal>
            <c:numRef>
              <c:f>Sheet1!#REF!</c:f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</c:ser>
        <c:axId val="101762560"/>
        <c:axId val="101764096"/>
      </c:scatterChart>
      <c:valAx>
        <c:axId val="101762560"/>
        <c:scaling>
          <c:orientation val="minMax"/>
        </c:scaling>
        <c:axPos val="b"/>
        <c:numFmt formatCode="0.00" sourceLinked="1"/>
        <c:tickLblPos val="nextTo"/>
        <c:crossAx val="101764096"/>
        <c:crosses val="autoZero"/>
        <c:crossBetween val="midCat"/>
      </c:valAx>
      <c:valAx>
        <c:axId val="101764096"/>
        <c:scaling>
          <c:orientation val="minMax"/>
        </c:scaling>
        <c:axPos val="l"/>
        <c:majorGridlines/>
        <c:numFmt formatCode="0.000E+00" sourceLinked="1"/>
        <c:tickLblPos val="nextTo"/>
        <c:crossAx val="10176256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title/>
    <c:plotArea>
      <c:layout/>
      <c:scatterChart>
        <c:scatterStyle val="lineMarker"/>
        <c:ser>
          <c:idx val="0"/>
          <c:order val="0"/>
          <c:tx>
            <c:strRef>
              <c:f>Sheet1!$G$212</c:f>
              <c:strCache>
                <c:ptCount val="1"/>
                <c:pt idx="0">
                  <c:v>data14</c:v>
                </c:pt>
              </c:strCache>
            </c:strRef>
          </c:tx>
          <c:xVal>
            <c:numRef>
              <c:f>Sheet1!$O$212:$O$215</c:f>
              <c:numCache>
                <c:formatCode>General</c:formatCode>
                <c:ptCount val="4"/>
                <c:pt idx="0">
                  <c:v>1.85</c:v>
                </c:pt>
                <c:pt idx="1">
                  <c:v>3.7</c:v>
                </c:pt>
                <c:pt idx="2">
                  <c:v>5.55</c:v>
                </c:pt>
                <c:pt idx="3">
                  <c:v>7.4</c:v>
                </c:pt>
              </c:numCache>
            </c:numRef>
          </c:xVal>
          <c:yVal>
            <c:numRef>
              <c:f>Sheet1!$X$212:$X$215</c:f>
              <c:numCache>
                <c:formatCode>0.00E+00</c:formatCode>
                <c:ptCount val="4"/>
                <c:pt idx="0">
                  <c:v>2.3155385845859174E-5</c:v>
                </c:pt>
                <c:pt idx="1">
                  <c:v>3.3668557827661501E-5</c:v>
                </c:pt>
                <c:pt idx="2">
                  <c:v>3.9168409279778554E-5</c:v>
                </c:pt>
                <c:pt idx="3">
                  <c:v>5.1565664470040288E-5</c:v>
                </c:pt>
              </c:numCache>
            </c:numRef>
          </c:yVal>
        </c:ser>
        <c:axId val="101808384"/>
        <c:axId val="101810176"/>
      </c:scatterChart>
      <c:valAx>
        <c:axId val="101808384"/>
        <c:scaling>
          <c:orientation val="minMax"/>
        </c:scaling>
        <c:axPos val="b"/>
        <c:numFmt formatCode="General" sourceLinked="1"/>
        <c:tickLblPos val="nextTo"/>
        <c:crossAx val="101810176"/>
        <c:crosses val="autoZero"/>
        <c:crossBetween val="midCat"/>
      </c:valAx>
      <c:valAx>
        <c:axId val="101810176"/>
        <c:scaling>
          <c:orientation val="minMax"/>
        </c:scaling>
        <c:axPos val="l"/>
        <c:majorGridlines/>
        <c:numFmt formatCode="0.00E+00" sourceLinked="1"/>
        <c:tickLblPos val="nextTo"/>
        <c:crossAx val="10180838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>
        <c:manualLayout>
          <c:layoutTarget val="inner"/>
          <c:xMode val="edge"/>
          <c:yMode val="edge"/>
          <c:x val="9.7138873662217254E-2"/>
          <c:y val="7.2102240883661503E-2"/>
          <c:w val="0.67463670166229261"/>
          <c:h val="0.79862463040853682"/>
        </c:manualLayout>
      </c:layout>
      <c:scatterChart>
        <c:scatterStyle val="lineMarker"/>
        <c:ser>
          <c:idx val="1"/>
          <c:order val="0"/>
          <c:tx>
            <c:strRef>
              <c:f>Sheet1!$K$358</c:f>
              <c:strCache>
                <c:ptCount val="1"/>
                <c:pt idx="0">
                  <c:v>7.5</c:v>
                </c:pt>
              </c:strCache>
            </c:strRef>
          </c:tx>
          <c:xVal>
            <c:numRef>
              <c:f>Sheet1!$O$358:$O$361</c:f>
              <c:numCache>
                <c:formatCode>0.0</c:formatCode>
                <c:ptCount val="4"/>
                <c:pt idx="0">
                  <c:v>6.33</c:v>
                </c:pt>
                <c:pt idx="1">
                  <c:v>3.16</c:v>
                </c:pt>
                <c:pt idx="2">
                  <c:v>1.27</c:v>
                </c:pt>
                <c:pt idx="3">
                  <c:v>0.32</c:v>
                </c:pt>
              </c:numCache>
            </c:numRef>
          </c:xVal>
          <c:yVal>
            <c:numRef>
              <c:f>Sheet1!$X$358:$X$361</c:f>
              <c:numCache>
                <c:formatCode>0.000E+00</c:formatCode>
                <c:ptCount val="4"/>
                <c:pt idx="0">
                  <c:v>3.0004344209005722E-4</c:v>
                </c:pt>
                <c:pt idx="1">
                  <c:v>2.9029832306014009E-4</c:v>
                </c:pt>
                <c:pt idx="2">
                  <c:v>2.2175742017839636E-4</c:v>
                </c:pt>
                <c:pt idx="3">
                  <c:v>9.0156309867159338E-5</c:v>
                </c:pt>
              </c:numCache>
            </c:numRef>
          </c:yVal>
        </c:ser>
        <c:ser>
          <c:idx val="0"/>
          <c:order val="1"/>
          <c:tx>
            <c:strRef>
              <c:f>Sheet1!$K$347</c:f>
              <c:strCache>
                <c:ptCount val="1"/>
                <c:pt idx="0">
                  <c:v>8.0</c:v>
                </c:pt>
              </c:strCache>
            </c:strRef>
          </c:tx>
          <c:xVal>
            <c:numRef>
              <c:f>Sheet1!$O$347:$O$350</c:f>
              <c:numCache>
                <c:formatCode>0.0</c:formatCode>
                <c:ptCount val="4"/>
                <c:pt idx="0">
                  <c:v>6.33</c:v>
                </c:pt>
                <c:pt idx="1">
                  <c:v>3.16</c:v>
                </c:pt>
                <c:pt idx="2">
                  <c:v>1.27</c:v>
                </c:pt>
                <c:pt idx="3">
                  <c:v>0.32</c:v>
                </c:pt>
              </c:numCache>
            </c:numRef>
          </c:xVal>
          <c:yVal>
            <c:numRef>
              <c:f>Sheet1!$X$347:$X$350</c:f>
              <c:numCache>
                <c:formatCode>0.000E+00</c:formatCode>
                <c:ptCount val="4"/>
                <c:pt idx="0">
                  <c:v>1.2847283552062012E-3</c:v>
                </c:pt>
                <c:pt idx="1">
                  <c:v>1.4802162775395485E-3</c:v>
                </c:pt>
                <c:pt idx="2">
                  <c:v>1.1318495565995751E-3</c:v>
                </c:pt>
                <c:pt idx="3">
                  <c:v>7.1525547614013116E-4</c:v>
                </c:pt>
              </c:numCache>
            </c:numRef>
          </c:yVal>
        </c:ser>
        <c:ser>
          <c:idx val="8"/>
          <c:order val="2"/>
          <c:tx>
            <c:strRef>
              <c:f>Sheet1!$K$358</c:f>
              <c:strCache>
                <c:ptCount val="1"/>
                <c:pt idx="0">
                  <c:v>7.5</c:v>
                </c:pt>
              </c:strCache>
            </c:strRef>
          </c:tx>
          <c:xVal>
            <c:numRef>
              <c:f>Sheet1!$O$358:$O$361</c:f>
              <c:numCache>
                <c:formatCode>0.0</c:formatCode>
                <c:ptCount val="4"/>
                <c:pt idx="0">
                  <c:v>6.33</c:v>
                </c:pt>
                <c:pt idx="1">
                  <c:v>3.16</c:v>
                </c:pt>
                <c:pt idx="2">
                  <c:v>1.27</c:v>
                </c:pt>
                <c:pt idx="3">
                  <c:v>0.32</c:v>
                </c:pt>
              </c:numCache>
            </c:numRef>
          </c:xVal>
          <c:yVal>
            <c:numRef>
              <c:f>Sheet1!$X$358:$X$361</c:f>
              <c:numCache>
                <c:formatCode>0.000E+00</c:formatCode>
                <c:ptCount val="4"/>
                <c:pt idx="0">
                  <c:v>3.0004344209005722E-4</c:v>
                </c:pt>
                <c:pt idx="1">
                  <c:v>2.9029832306014009E-4</c:v>
                </c:pt>
                <c:pt idx="2">
                  <c:v>2.2175742017839636E-4</c:v>
                </c:pt>
                <c:pt idx="3">
                  <c:v>9.0156309867159338E-5</c:v>
                </c:pt>
              </c:numCache>
            </c:numRef>
          </c:yVal>
        </c:ser>
        <c:ser>
          <c:idx val="9"/>
          <c:order val="3"/>
          <c:tx>
            <c:strRef>
              <c:f>Sheet1!$K$366</c:f>
              <c:strCache>
                <c:ptCount val="1"/>
                <c:pt idx="0">
                  <c:v>7.5</c:v>
                </c:pt>
              </c:strCache>
            </c:strRef>
          </c:tx>
          <c:xVal>
            <c:numRef>
              <c:f>Sheet1!$O$366:$O$369</c:f>
              <c:numCache>
                <c:formatCode>0.0</c:formatCode>
                <c:ptCount val="4"/>
                <c:pt idx="0">
                  <c:v>14.31</c:v>
                </c:pt>
                <c:pt idx="1">
                  <c:v>11.45</c:v>
                </c:pt>
                <c:pt idx="2">
                  <c:v>9.5399999999999991</c:v>
                </c:pt>
                <c:pt idx="3">
                  <c:v>6.36</c:v>
                </c:pt>
              </c:numCache>
            </c:numRef>
          </c:xVal>
          <c:yVal>
            <c:numRef>
              <c:f>Sheet1!$X$366:$X$369</c:f>
              <c:numCache>
                <c:formatCode>0.000E+00</c:formatCode>
                <c:ptCount val="4"/>
                <c:pt idx="0">
                  <c:v>3.2644957154861066E-4</c:v>
                </c:pt>
                <c:pt idx="1">
                  <c:v>3.9548064732401489E-4</c:v>
                </c:pt>
                <c:pt idx="2">
                  <c:v>3.9311268226742662E-4</c:v>
                </c:pt>
                <c:pt idx="3">
                  <c:v>3.561785125177372E-4</c:v>
                </c:pt>
              </c:numCache>
            </c:numRef>
          </c:yVal>
        </c:ser>
        <c:axId val="101840384"/>
        <c:axId val="101841920"/>
      </c:scatterChart>
      <c:valAx>
        <c:axId val="101840384"/>
        <c:scaling>
          <c:orientation val="minMax"/>
        </c:scaling>
        <c:axPos val="b"/>
        <c:numFmt formatCode="0.0" sourceLinked="1"/>
        <c:tickLblPos val="nextTo"/>
        <c:crossAx val="101841920"/>
        <c:crosses val="autoZero"/>
        <c:crossBetween val="midCat"/>
      </c:valAx>
      <c:valAx>
        <c:axId val="101841920"/>
        <c:scaling>
          <c:orientation val="minMax"/>
        </c:scaling>
        <c:axPos val="l"/>
        <c:numFmt formatCode="0.000E+00" sourceLinked="1"/>
        <c:tickLblPos val="nextTo"/>
        <c:crossAx val="10184038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/>
      <c:scatterChart>
        <c:scatterStyle val="lineMarker"/>
        <c:ser>
          <c:idx val="0"/>
          <c:order val="0"/>
          <c:tx>
            <c:strRef>
              <c:f>Sheet1!$G$392</c:f>
              <c:strCache>
                <c:ptCount val="1"/>
                <c:pt idx="0">
                  <c:v>data34</c:v>
                </c:pt>
              </c:strCache>
            </c:strRef>
          </c:tx>
          <c:xVal>
            <c:numRef>
              <c:f>Sheet1!$L$392:$L$395</c:f>
              <c:numCache>
                <c:formatCode>0.00E+00</c:formatCode>
                <c:ptCount val="4"/>
                <c:pt idx="0">
                  <c:v>4.927E-3</c:v>
                </c:pt>
                <c:pt idx="1">
                  <c:v>9.8390000000000005E-3</c:v>
                </c:pt>
                <c:pt idx="2">
                  <c:v>1.968E-2</c:v>
                </c:pt>
                <c:pt idx="3">
                  <c:v>3.9359999999999999E-2</c:v>
                </c:pt>
              </c:numCache>
            </c:numRef>
          </c:xVal>
          <c:yVal>
            <c:numRef>
              <c:f>Sheet1!$W$392:$W$395</c:f>
              <c:numCache>
                <c:formatCode>General</c:formatCode>
                <c:ptCount val="4"/>
                <c:pt idx="0" formatCode="0.00E+00">
                  <c:v>8.5993336474296462E-6</c:v>
                </c:pt>
                <c:pt idx="1">
                  <c:v>2.6798630228014659E-5</c:v>
                </c:pt>
                <c:pt idx="2">
                  <c:v>3.6228519188519142E-5</c:v>
                </c:pt>
                <c:pt idx="3">
                  <c:v>4.9861496010862526E-5</c:v>
                </c:pt>
              </c:numCache>
            </c:numRef>
          </c:yVal>
        </c:ser>
        <c:ser>
          <c:idx val="1"/>
          <c:order val="1"/>
          <c:tx>
            <c:strRef>
              <c:f>Sheet1!$G$396</c:f>
              <c:strCache>
                <c:ptCount val="1"/>
                <c:pt idx="0">
                  <c:v>data32</c:v>
                </c:pt>
              </c:strCache>
            </c:strRef>
          </c:tx>
          <c:xVal>
            <c:numRef>
              <c:f>Sheet1!$L$396:$L$399</c:f>
              <c:numCache>
                <c:formatCode>0.00E+00</c:formatCode>
                <c:ptCount val="4"/>
                <c:pt idx="0">
                  <c:v>7.8710000000000002E-2</c:v>
                </c:pt>
                <c:pt idx="1">
                  <c:v>0.15740000000000001</c:v>
                </c:pt>
                <c:pt idx="2">
                  <c:v>0.2361</c:v>
                </c:pt>
                <c:pt idx="3">
                  <c:v>0.31490000000000001</c:v>
                </c:pt>
              </c:numCache>
            </c:numRef>
          </c:xVal>
          <c:yVal>
            <c:numRef>
              <c:f>Sheet1!$W$396:$W$399</c:f>
              <c:numCache>
                <c:formatCode>General</c:formatCode>
                <c:ptCount val="4"/>
                <c:pt idx="0" formatCode="0.00E+00">
                  <c:v>6.6023964007188381E-5</c:v>
                </c:pt>
                <c:pt idx="1">
                  <c:v>8.8838006743878099E-5</c:v>
                </c:pt>
                <c:pt idx="2">
                  <c:v>1.0197684059874813E-4</c:v>
                </c:pt>
                <c:pt idx="3">
                  <c:v>1.1512460889679609E-4</c:v>
                </c:pt>
              </c:numCache>
            </c:numRef>
          </c:yVal>
        </c:ser>
        <c:ser>
          <c:idx val="2"/>
          <c:order val="2"/>
          <c:tx>
            <c:strRef>
              <c:f>Sheet1!$G$400</c:f>
              <c:strCache>
                <c:ptCount val="1"/>
                <c:pt idx="0">
                  <c:v>data32</c:v>
                </c:pt>
              </c:strCache>
            </c:strRef>
          </c:tx>
          <c:xVal>
            <c:numRef>
              <c:f>Sheet1!$L$400:$L$403</c:f>
              <c:numCache>
                <c:formatCode>0.00E+00</c:formatCode>
                <c:ptCount val="4"/>
                <c:pt idx="0">
                  <c:v>9.0499999999999997E-2</c:v>
                </c:pt>
                <c:pt idx="1">
                  <c:v>0.18099999999999999</c:v>
                </c:pt>
                <c:pt idx="2">
                  <c:v>0.27150000000000002</c:v>
                </c:pt>
                <c:pt idx="3">
                  <c:v>0.36199999999999999</c:v>
                </c:pt>
              </c:numCache>
            </c:numRef>
          </c:xVal>
          <c:yVal>
            <c:numRef>
              <c:f>Sheet1!$W$400:$W$403</c:f>
              <c:numCache>
                <c:formatCode>General</c:formatCode>
                <c:ptCount val="4"/>
                <c:pt idx="0" formatCode="0.00E+00">
                  <c:v>4.8812435727211179E-4</c:v>
                </c:pt>
                <c:pt idx="1">
                  <c:v>2.7097869925329205E-4</c:v>
                </c:pt>
                <c:pt idx="2">
                  <c:v>5.6327918047413853E-4</c:v>
                </c:pt>
                <c:pt idx="3">
                  <c:v>6.0188973878310336E-4</c:v>
                </c:pt>
              </c:numCache>
            </c:numRef>
          </c:yVal>
        </c:ser>
        <c:axId val="101867520"/>
        <c:axId val="101869056"/>
      </c:scatterChart>
      <c:valAx>
        <c:axId val="101867520"/>
        <c:scaling>
          <c:orientation val="minMax"/>
        </c:scaling>
        <c:axPos val="b"/>
        <c:numFmt formatCode="0.00E+00" sourceLinked="1"/>
        <c:tickLblPos val="nextTo"/>
        <c:crossAx val="101869056"/>
        <c:crosses val="autoZero"/>
        <c:crossBetween val="midCat"/>
      </c:valAx>
      <c:valAx>
        <c:axId val="101869056"/>
        <c:scaling>
          <c:orientation val="minMax"/>
        </c:scaling>
        <c:axPos val="l"/>
        <c:majorGridlines/>
        <c:numFmt formatCode="0.00E+00" sourceLinked="1"/>
        <c:tickLblPos val="nextTo"/>
        <c:crossAx val="10186752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autoTitleDeleted val="1"/>
    <c:plotArea>
      <c:layout>
        <c:manualLayout>
          <c:layoutTarget val="inner"/>
          <c:xMode val="edge"/>
          <c:yMode val="edge"/>
          <c:x val="0.18810456359828556"/>
          <c:y val="0.14494837082810286"/>
          <c:w val="0.73224518518518644"/>
          <c:h val="0.7542834773377266"/>
        </c:manualLayout>
      </c:layout>
      <c:scatterChart>
        <c:scatterStyle val="lineMarker"/>
        <c:ser>
          <c:idx val="0"/>
          <c:order val="0"/>
          <c:tx>
            <c:strRef>
              <c:f>Sheet1!$AW$168</c:f>
              <c:strCache>
                <c:ptCount val="1"/>
                <c:pt idx="0">
                  <c:v>R*ln(kcat*h/T*kB)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ysClr val="windowText" lastClr="000000"/>
              </a:solidFill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2.6407777777777908E-2"/>
                  <c:y val="-0.22273694444444478"/>
                </c:manualLayout>
              </c:layout>
              <c:numFmt formatCode="#,##0.000" sourceLinked="0"/>
              <c:txPr>
                <a:bodyPr/>
                <a:lstStyle/>
                <a:p>
                  <a:pPr>
                    <a:defRPr sz="1400"/>
                  </a:pPr>
                  <a:endParaRPr lang="da-DK"/>
                </a:p>
              </c:txPr>
            </c:trendlineLbl>
          </c:trendline>
          <c:xVal>
            <c:numRef>
              <c:f>Sheet1!$AU$169:$AU$174</c:f>
              <c:numCache>
                <c:formatCode>0.00E+00</c:formatCode>
                <c:ptCount val="6"/>
                <c:pt idx="0">
                  <c:v>3.4704147145583901E-3</c:v>
                </c:pt>
                <c:pt idx="1">
                  <c:v>3.4112229234180458E-3</c:v>
                </c:pt>
                <c:pt idx="2">
                  <c:v>3.3540164346805303E-3</c:v>
                </c:pt>
                <c:pt idx="3">
                  <c:v>3.298697014679202E-3</c:v>
                </c:pt>
                <c:pt idx="4">
                  <c:v>3.2451728054518907E-3</c:v>
                </c:pt>
                <c:pt idx="5">
                  <c:v>3.1933578157432542E-3</c:v>
                </c:pt>
              </c:numCache>
            </c:numRef>
          </c:xVal>
          <c:yVal>
            <c:numRef>
              <c:f>Sheet1!$AW$169:$AW$174</c:f>
              <c:numCache>
                <c:formatCode>0.0E+00</c:formatCode>
                <c:ptCount val="6"/>
                <c:pt idx="0">
                  <c:v>-8.4312629309505768E-2</c:v>
                </c:pt>
                <c:pt idx="1">
                  <c:v>-8.2989627013299441E-2</c:v>
                </c:pt>
                <c:pt idx="2">
                  <c:v>-8.2123996579340927E-2</c:v>
                </c:pt>
                <c:pt idx="3">
                  <c:v>-8.1133129501623796E-2</c:v>
                </c:pt>
                <c:pt idx="4">
                  <c:v>-7.9502338612342793E-2</c:v>
                </c:pt>
                <c:pt idx="5">
                  <c:v>-7.919187777009043E-2</c:v>
                </c:pt>
              </c:numCache>
            </c:numRef>
          </c:yVal>
        </c:ser>
        <c:ser>
          <c:idx val="1"/>
          <c:order val="1"/>
          <c:tx>
            <c:strRef>
              <c:f>Sheet1!$AX$168</c:f>
              <c:strCache>
                <c:ptCount val="1"/>
                <c:pt idx="0">
                  <c:v>R*ln(kcat*h/Km*T*kB)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8"/>
            <c:spPr>
              <a:solidFill>
                <a:sysClr val="windowText" lastClr="000000"/>
              </a:solidFill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35694407407407491"/>
                  <c:y val="-0.23537472222222222"/>
                </c:manualLayout>
              </c:layout>
              <c:numFmt formatCode="#,##0.000" sourceLinked="0"/>
              <c:txPr>
                <a:bodyPr/>
                <a:lstStyle/>
                <a:p>
                  <a:pPr>
                    <a:defRPr sz="1400"/>
                  </a:pPr>
                  <a:endParaRPr lang="da-DK"/>
                </a:p>
              </c:txPr>
            </c:trendlineLbl>
          </c:trendline>
          <c:xVal>
            <c:numRef>
              <c:f>Sheet1!$AU$169:$AU$174</c:f>
              <c:numCache>
                <c:formatCode>0.00E+00</c:formatCode>
                <c:ptCount val="6"/>
                <c:pt idx="0">
                  <c:v>3.4704147145583901E-3</c:v>
                </c:pt>
                <c:pt idx="1">
                  <c:v>3.4112229234180458E-3</c:v>
                </c:pt>
                <c:pt idx="2">
                  <c:v>3.3540164346805303E-3</c:v>
                </c:pt>
                <c:pt idx="3">
                  <c:v>3.298697014679202E-3</c:v>
                </c:pt>
                <c:pt idx="4">
                  <c:v>3.2451728054518907E-3</c:v>
                </c:pt>
                <c:pt idx="5">
                  <c:v>3.1933578157432542E-3</c:v>
                </c:pt>
              </c:numCache>
            </c:numRef>
          </c:xVal>
          <c:yVal>
            <c:numRef>
              <c:f>Sheet1!$AX$169:$AX$174</c:f>
              <c:numCache>
                <c:formatCode>0.0E+00</c:formatCode>
                <c:ptCount val="6"/>
                <c:pt idx="0">
                  <c:v>-8.7287451910665045E-2</c:v>
                </c:pt>
                <c:pt idx="1">
                  <c:v>-8.6114489749023859E-2</c:v>
                </c:pt>
                <c:pt idx="2">
                  <c:v>-8.4391281961846476E-2</c:v>
                </c:pt>
                <c:pt idx="3">
                  <c:v>-8.2909820933513373E-2</c:v>
                </c:pt>
                <c:pt idx="4">
                  <c:v>-8.2463309497734505E-2</c:v>
                </c:pt>
                <c:pt idx="5">
                  <c:v>-8.1060762601132819E-2</c:v>
                </c:pt>
              </c:numCache>
            </c:numRef>
          </c:yVal>
        </c:ser>
        <c:axId val="102261120"/>
        <c:axId val="102263040"/>
      </c:scatterChart>
      <c:valAx>
        <c:axId val="102261120"/>
        <c:scaling>
          <c:orientation val="minMax"/>
          <c:max val="3.5000000000000061E-3"/>
        </c:scaling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sz="1400" b="0"/>
                  <a:t>1/T</a:t>
                </a:r>
                <a:r>
                  <a:rPr lang="en-US" sz="1400" b="0" baseline="0"/>
                  <a:t> [1/</a:t>
                </a:r>
                <a:r>
                  <a:rPr lang="en-US" sz="1400" b="0" baseline="30000"/>
                  <a:t>o</a:t>
                </a:r>
                <a:r>
                  <a:rPr lang="en-US" sz="1400" b="0" baseline="0"/>
                  <a:t>K]</a:t>
                </a:r>
                <a:endParaRPr lang="en-US" sz="1400" b="0"/>
              </a:p>
            </c:rich>
          </c:tx>
        </c:title>
        <c:numFmt formatCode="0.0E+0" sourceLinked="0"/>
        <c:majorTickMark val="in"/>
        <c:minorTickMark val="in"/>
        <c:tickLblPos val="high"/>
        <c:txPr>
          <a:bodyPr/>
          <a:lstStyle/>
          <a:p>
            <a:pPr>
              <a:defRPr sz="1400"/>
            </a:pPr>
            <a:endParaRPr lang="da-DK"/>
          </a:p>
        </c:txPr>
        <c:crossAx val="102263040"/>
        <c:crosses val="autoZero"/>
        <c:crossBetween val="midCat"/>
      </c:valAx>
      <c:valAx>
        <c:axId val="102263040"/>
        <c:scaling>
          <c:orientation val="minMax"/>
          <c:max val="-7.8000000000000014E-2"/>
        </c:scaling>
        <c:axPos val="l"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a-DK" sz="1400" b="0"/>
                  <a:t>kCal/mol</a:t>
                </a:r>
                <a:r>
                  <a:rPr lang="da-DK" sz="1400" b="0" baseline="30000"/>
                  <a:t>o</a:t>
                </a:r>
                <a:r>
                  <a:rPr lang="da-DK" sz="1400" b="0"/>
                  <a:t>K</a:t>
                </a:r>
              </a:p>
            </c:rich>
          </c:tx>
        </c:title>
        <c:numFmt formatCode="0.0E+0" sourceLinked="0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102261120"/>
        <c:crosses val="autoZero"/>
        <c:crossBetween val="midCat"/>
        <c:majorUnit val="2.5000000000000057E-3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042838888888889"/>
          <c:y val="0.69459944444444566"/>
          <c:w val="0.39119759259259257"/>
          <c:h val="0.17171777777777791"/>
        </c:manualLayout>
      </c:layout>
      <c:overlay val="1"/>
      <c:txPr>
        <a:bodyPr/>
        <a:lstStyle/>
        <a:p>
          <a:pPr>
            <a:defRPr sz="1400"/>
          </a:pPr>
          <a:endParaRPr lang="da-DK"/>
        </a:p>
      </c:txPr>
    </c:legend>
    <c:plotVisOnly val="1"/>
  </c:chart>
  <c:spPr>
    <a:ln>
      <a:noFill/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>
        <c:manualLayout>
          <c:layoutTarget val="inner"/>
          <c:xMode val="edge"/>
          <c:yMode val="edge"/>
          <c:x val="0.18059951881014871"/>
          <c:y val="0.17593590728224853"/>
          <c:w val="0.60498381452318906"/>
          <c:h val="0.65550564405781364"/>
        </c:manualLayout>
      </c:layout>
      <c:scatterChart>
        <c:scatterStyle val="lineMarker"/>
        <c:ser>
          <c:idx val="0"/>
          <c:order val="0"/>
          <c:tx>
            <c:strRef>
              <c:f>Sheet1!$G$143</c:f>
              <c:strCache>
                <c:ptCount val="1"/>
                <c:pt idx="0">
                  <c:v>data40</c:v>
                </c:pt>
              </c:strCache>
            </c:strRef>
          </c:tx>
          <c:xVal>
            <c:numRef>
              <c:f>Sheet1!$O$143:$O$146</c:f>
              <c:numCache>
                <c:formatCode>0.00</c:formatCode>
                <c:ptCount val="4"/>
                <c:pt idx="0">
                  <c:v>4.8000000000000001E-2</c:v>
                </c:pt>
                <c:pt idx="1">
                  <c:v>9.5000000000000001E-2</c:v>
                </c:pt>
                <c:pt idx="2">
                  <c:v>0.14299999999999999</c:v>
                </c:pt>
                <c:pt idx="3">
                  <c:v>0.191</c:v>
                </c:pt>
              </c:numCache>
            </c:numRef>
          </c:xVal>
          <c:yVal>
            <c:numRef>
              <c:f>Sheet1!$V$143:$V$146</c:f>
              <c:numCache>
                <c:formatCode>0.0E+00</c:formatCode>
                <c:ptCount val="4"/>
                <c:pt idx="0">
                  <c:v>7.3439575033200531E-7</c:v>
                </c:pt>
                <c:pt idx="1">
                  <c:v>9.5099601593625487E-7</c:v>
                </c:pt>
                <c:pt idx="2">
                  <c:v>1.9495351925630811E-6</c:v>
                </c:pt>
                <c:pt idx="3">
                  <c:v>2.0624169986719783E-6</c:v>
                </c:pt>
              </c:numCache>
            </c:numRef>
          </c:yVal>
        </c:ser>
        <c:ser>
          <c:idx val="1"/>
          <c:order val="1"/>
          <c:tx>
            <c:strRef>
              <c:f>Sheet1!$G$147</c:f>
              <c:strCache>
                <c:ptCount val="1"/>
                <c:pt idx="0">
                  <c:v>data31</c:v>
                </c:pt>
              </c:strCache>
            </c:strRef>
          </c:tx>
          <c:xVal>
            <c:numRef>
              <c:f>Sheet1!$O$147:$O$150</c:f>
              <c:numCache>
                <c:formatCode>0.00</c:formatCode>
                <c:ptCount val="4"/>
                <c:pt idx="0">
                  <c:v>9.5000000000000001E-2</c:v>
                </c:pt>
                <c:pt idx="1">
                  <c:v>0.191</c:v>
                </c:pt>
                <c:pt idx="2">
                  <c:v>0.28599999999999998</c:v>
                </c:pt>
                <c:pt idx="3">
                  <c:v>0.38100000000000001</c:v>
                </c:pt>
              </c:numCache>
            </c:numRef>
          </c:xVal>
          <c:yVal>
            <c:numRef>
              <c:f>Sheet1!$V$147:$V$150</c:f>
              <c:numCache>
                <c:formatCode>0.0E+00</c:formatCode>
                <c:ptCount val="4"/>
                <c:pt idx="0">
                  <c:v>3.3041168658698536E-6</c:v>
                </c:pt>
                <c:pt idx="1">
                  <c:v>5.2629482071713142E-6</c:v>
                </c:pt>
                <c:pt idx="2">
                  <c:v>5.2629482071713142E-6</c:v>
                </c:pt>
                <c:pt idx="3">
                  <c:v>6.3652058432934924E-6</c:v>
                </c:pt>
              </c:numCache>
            </c:numRef>
          </c:yVal>
        </c:ser>
        <c:ser>
          <c:idx val="2"/>
          <c:order val="2"/>
          <c:tx>
            <c:strRef>
              <c:f>Sheet1!$G$151</c:f>
              <c:strCache>
                <c:ptCount val="1"/>
                <c:pt idx="0">
                  <c:v>data52</c:v>
                </c:pt>
              </c:strCache>
            </c:strRef>
          </c:tx>
          <c:xVal>
            <c:numRef>
              <c:f>Sheet1!$O$151:$O$154</c:f>
              <c:numCache>
                <c:formatCode>0.00</c:formatCode>
                <c:ptCount val="4"/>
                <c:pt idx="0">
                  <c:v>0.05</c:v>
                </c:pt>
                <c:pt idx="1">
                  <c:v>0.1</c:v>
                </c:pt>
                <c:pt idx="2">
                  <c:v>0.14000000000000001</c:v>
                </c:pt>
                <c:pt idx="3">
                  <c:v>0.19</c:v>
                </c:pt>
              </c:numCache>
            </c:numRef>
          </c:xVal>
          <c:yVal>
            <c:numRef>
              <c:f>Sheet1!$V$151:$V$154</c:f>
              <c:numCache>
                <c:formatCode>0.0E+00</c:formatCode>
                <c:ptCount val="4"/>
                <c:pt idx="0">
                  <c:v>1.5298804780876494E-6</c:v>
                </c:pt>
                <c:pt idx="1">
                  <c:v>2.1420982735723772E-6</c:v>
                </c:pt>
                <c:pt idx="2">
                  <c:v>2.1420982735723772E-6</c:v>
                </c:pt>
                <c:pt idx="3">
                  <c:v>2.6015936254980078E-6</c:v>
                </c:pt>
              </c:numCache>
            </c:numRef>
          </c:yVal>
        </c:ser>
        <c:ser>
          <c:idx val="3"/>
          <c:order val="3"/>
          <c:tx>
            <c:strRef>
              <c:f>Sheet1!$G$104</c:f>
              <c:strCache>
                <c:ptCount val="1"/>
                <c:pt idx="0">
                  <c:v>data23</c:v>
                </c:pt>
              </c:strCache>
            </c:strRef>
          </c:tx>
          <c:xVal>
            <c:numRef>
              <c:f>Sheet1!$O$104:$O$107</c:f>
              <c:numCache>
                <c:formatCode>0.00</c:formatCode>
                <c:ptCount val="4"/>
                <c:pt idx="0">
                  <c:v>2.06</c:v>
                </c:pt>
                <c:pt idx="1">
                  <c:v>4.13</c:v>
                </c:pt>
                <c:pt idx="2">
                  <c:v>6.19</c:v>
                </c:pt>
                <c:pt idx="3">
                  <c:v>8.25</c:v>
                </c:pt>
              </c:numCache>
            </c:numRef>
          </c:xVal>
          <c:yVal>
            <c:numRef>
              <c:f>Sheet1!$V$104:$V$107</c:f>
              <c:numCache>
                <c:formatCode>0.0E+00</c:formatCode>
                <c:ptCount val="4"/>
                <c:pt idx="0">
                  <c:v>1.1652058432934926E-5</c:v>
                </c:pt>
                <c:pt idx="1">
                  <c:v>1.2106241699867198E-5</c:v>
                </c:pt>
                <c:pt idx="2">
                  <c:v>1.1003984063745019E-5</c:v>
                </c:pt>
                <c:pt idx="3">
                  <c:v>7.9322709163346604E-6</c:v>
                </c:pt>
              </c:numCache>
            </c:numRef>
          </c:yVal>
        </c:ser>
        <c:ser>
          <c:idx val="4"/>
          <c:order val="4"/>
          <c:tx>
            <c:strRef>
              <c:f>Sheet1!$G$108</c:f>
              <c:strCache>
                <c:ptCount val="1"/>
                <c:pt idx="0">
                  <c:v>data24</c:v>
                </c:pt>
              </c:strCache>
            </c:strRef>
          </c:tx>
          <c:xVal>
            <c:numRef>
              <c:f>Sheet1!$O$108:$O$111</c:f>
              <c:numCache>
                <c:formatCode>0.00</c:formatCode>
                <c:ptCount val="4"/>
                <c:pt idx="0">
                  <c:v>2.06</c:v>
                </c:pt>
                <c:pt idx="1">
                  <c:v>4.13</c:v>
                </c:pt>
                <c:pt idx="2">
                  <c:v>6.19</c:v>
                </c:pt>
                <c:pt idx="3">
                  <c:v>8.25</c:v>
                </c:pt>
              </c:numCache>
            </c:numRef>
          </c:xVal>
          <c:yVal>
            <c:numRef>
              <c:f>Sheet1!$V$108:$V$111</c:f>
              <c:numCache>
                <c:formatCode>0.0E+00</c:formatCode>
                <c:ptCount val="4"/>
                <c:pt idx="0">
                  <c:v>1.2196547144754317E-5</c:v>
                </c:pt>
                <c:pt idx="1">
                  <c:v>1.1654714475431606E-5</c:v>
                </c:pt>
                <c:pt idx="2">
                  <c:v>1.2196547144754317E-5</c:v>
                </c:pt>
                <c:pt idx="3">
                  <c:v>9.7569721115537851E-6</c:v>
                </c:pt>
              </c:numCache>
            </c:numRef>
          </c:yVal>
        </c:ser>
        <c:ser>
          <c:idx val="5"/>
          <c:order val="5"/>
          <c:tx>
            <c:strRef>
              <c:f>Sheet1!$G$112</c:f>
              <c:strCache>
                <c:ptCount val="1"/>
                <c:pt idx="0">
                  <c:v>data25</c:v>
                </c:pt>
              </c:strCache>
            </c:strRef>
          </c:tx>
          <c:xVal>
            <c:numRef>
              <c:f>Sheet1!$O$112:$O$115</c:f>
              <c:numCache>
                <c:formatCode>0.00</c:formatCode>
                <c:ptCount val="4"/>
                <c:pt idx="0">
                  <c:v>2.06</c:v>
                </c:pt>
                <c:pt idx="1">
                  <c:v>4.13</c:v>
                </c:pt>
                <c:pt idx="2">
                  <c:v>6.19</c:v>
                </c:pt>
                <c:pt idx="3">
                  <c:v>8.25</c:v>
                </c:pt>
              </c:numCache>
            </c:numRef>
          </c:xVal>
          <c:yVal>
            <c:numRef>
              <c:f>Sheet1!$V$112:$V$115</c:f>
              <c:numCache>
                <c:formatCode>0.0E+00</c:formatCode>
                <c:ptCount val="4"/>
                <c:pt idx="0">
                  <c:v>1.1654714475431606E-5</c:v>
                </c:pt>
                <c:pt idx="1">
                  <c:v>5.4209827357237717E-7</c:v>
                </c:pt>
                <c:pt idx="2">
                  <c:v>1.0840637450199203E-5</c:v>
                </c:pt>
                <c:pt idx="3">
                  <c:v>1.0840637450199203E-6</c:v>
                </c:pt>
              </c:numCache>
            </c:numRef>
          </c:yVal>
        </c:ser>
        <c:ser>
          <c:idx val="6"/>
          <c:order val="6"/>
          <c:tx>
            <c:strRef>
              <c:f>Sheet1!$G$116</c:f>
              <c:strCache>
                <c:ptCount val="1"/>
                <c:pt idx="0">
                  <c:v>data26</c:v>
                </c:pt>
              </c:strCache>
            </c:strRef>
          </c:tx>
          <c:xVal>
            <c:numRef>
              <c:f>Sheet1!$O$116:$O$119</c:f>
              <c:numCache>
                <c:formatCode>0.00</c:formatCode>
                <c:ptCount val="4"/>
                <c:pt idx="0">
                  <c:v>4.13</c:v>
                </c:pt>
                <c:pt idx="1">
                  <c:v>4.13</c:v>
                </c:pt>
                <c:pt idx="2">
                  <c:v>4.13</c:v>
                </c:pt>
                <c:pt idx="3">
                  <c:v>4.13</c:v>
                </c:pt>
              </c:numCache>
            </c:numRef>
          </c:xVal>
          <c:yVal>
            <c:numRef>
              <c:f>Sheet1!$V$116:$V$119</c:f>
              <c:numCache>
                <c:formatCode>0.0E+00</c:formatCode>
                <c:ptCount val="4"/>
                <c:pt idx="0">
                  <c:v>1.1250996015936254E-5</c:v>
                </c:pt>
                <c:pt idx="1">
                  <c:v>1.1498007968127489E-5</c:v>
                </c:pt>
                <c:pt idx="2">
                  <c:v>1.1513944223107571E-5</c:v>
                </c:pt>
                <c:pt idx="3">
                  <c:v>1.0594953519256307E-5</c:v>
                </c:pt>
              </c:numCache>
            </c:numRef>
          </c:yVal>
        </c:ser>
        <c:ser>
          <c:idx val="7"/>
          <c:order val="7"/>
          <c:tx>
            <c:strRef>
              <c:f>Sheet1!$G$120</c:f>
              <c:strCache>
                <c:ptCount val="1"/>
                <c:pt idx="0">
                  <c:v>data27</c:v>
                </c:pt>
              </c:strCache>
            </c:strRef>
          </c:tx>
          <c:xVal>
            <c:numRef>
              <c:f>Sheet1!$O$120:$O$123</c:f>
              <c:numCache>
                <c:formatCode>0.00</c:formatCode>
                <c:ptCount val="4"/>
                <c:pt idx="0">
                  <c:v>1.03</c:v>
                </c:pt>
                <c:pt idx="1">
                  <c:v>2.06</c:v>
                </c:pt>
                <c:pt idx="2">
                  <c:v>3.09</c:v>
                </c:pt>
                <c:pt idx="3">
                  <c:v>4.13</c:v>
                </c:pt>
              </c:numCache>
            </c:numRef>
          </c:xVal>
          <c:yVal>
            <c:numRef>
              <c:f>Sheet1!$V$120:$V$123</c:f>
              <c:numCache>
                <c:formatCode>0.0E+00</c:formatCode>
                <c:ptCount val="4"/>
                <c:pt idx="0">
                  <c:v>1.1925630810092961E-5</c:v>
                </c:pt>
                <c:pt idx="1">
                  <c:v>1.3009296148738381E-5</c:v>
                </c:pt>
                <c:pt idx="2">
                  <c:v>1.2196547144754317E-5</c:v>
                </c:pt>
                <c:pt idx="3">
                  <c:v>1.0298804780876494E-5</c:v>
                </c:pt>
              </c:numCache>
            </c:numRef>
          </c:yVal>
        </c:ser>
        <c:ser>
          <c:idx val="8"/>
          <c:order val="8"/>
          <c:tx>
            <c:strRef>
              <c:f>Sheet1!$G$124</c:f>
              <c:strCache>
                <c:ptCount val="1"/>
                <c:pt idx="0">
                  <c:v>data28</c:v>
                </c:pt>
              </c:strCache>
            </c:strRef>
          </c:tx>
          <c:xVal>
            <c:numRef>
              <c:f>Sheet1!$O$124:$O$127</c:f>
              <c:numCache>
                <c:formatCode>0.00</c:formatCode>
                <c:ptCount val="4"/>
                <c:pt idx="0">
                  <c:v>2.06</c:v>
                </c:pt>
                <c:pt idx="1">
                  <c:v>4.13</c:v>
                </c:pt>
                <c:pt idx="2">
                  <c:v>6.19</c:v>
                </c:pt>
                <c:pt idx="3">
                  <c:v>8.25</c:v>
                </c:pt>
              </c:numCache>
            </c:numRef>
          </c:xVal>
          <c:yVal>
            <c:numRef>
              <c:f>Sheet1!$V$124:$V$127</c:f>
              <c:numCache>
                <c:formatCode>0.0E+00</c:formatCode>
                <c:ptCount val="4"/>
                <c:pt idx="0">
                  <c:v>1.3009296148738381E-5</c:v>
                </c:pt>
                <c:pt idx="1">
                  <c:v>1.3009296148738381E-5</c:v>
                </c:pt>
                <c:pt idx="2">
                  <c:v>1.1654714475431606E-5</c:v>
                </c:pt>
                <c:pt idx="3">
                  <c:v>8.9442231075697211E-6</c:v>
                </c:pt>
              </c:numCache>
            </c:numRef>
          </c:yVal>
        </c:ser>
        <c:ser>
          <c:idx val="9"/>
          <c:order val="9"/>
          <c:tx>
            <c:strRef>
              <c:f>Sheet1!$G$128</c:f>
              <c:strCache>
                <c:ptCount val="1"/>
                <c:pt idx="0">
                  <c:v>data29</c:v>
                </c:pt>
              </c:strCache>
            </c:strRef>
          </c:tx>
          <c:xVal>
            <c:numRef>
              <c:f>Sheet1!$O$128:$O$131</c:f>
              <c:numCache>
                <c:formatCode>0.00</c:formatCode>
                <c:ptCount val="4"/>
                <c:pt idx="0">
                  <c:v>0.38</c:v>
                </c:pt>
                <c:pt idx="1">
                  <c:v>0.76</c:v>
                </c:pt>
                <c:pt idx="2">
                  <c:v>1.1499999999999999</c:v>
                </c:pt>
                <c:pt idx="3">
                  <c:v>1.53</c:v>
                </c:pt>
              </c:numCache>
            </c:numRef>
          </c:xVal>
          <c:yVal>
            <c:numRef>
              <c:f>Sheet1!$V$128:$V$131</c:f>
              <c:numCache>
                <c:formatCode>0.0E+00</c:formatCode>
                <c:ptCount val="4"/>
                <c:pt idx="0">
                  <c:v>9.9442231075697216E-6</c:v>
                </c:pt>
                <c:pt idx="1">
                  <c:v>1.2086321381142098E-5</c:v>
                </c:pt>
                <c:pt idx="2">
                  <c:v>1.2545816733067729E-5</c:v>
                </c:pt>
                <c:pt idx="3">
                  <c:v>1.2851261620185921E-5</c:v>
                </c:pt>
              </c:numCache>
            </c:numRef>
          </c:yVal>
        </c:ser>
        <c:ser>
          <c:idx val="10"/>
          <c:order val="10"/>
          <c:tx>
            <c:strRef>
              <c:f>Sheet1!$G$132</c:f>
              <c:strCache>
                <c:ptCount val="1"/>
                <c:pt idx="0">
                  <c:v>data30</c:v>
                </c:pt>
              </c:strCache>
            </c:strRef>
          </c:tx>
          <c:xVal>
            <c:numRef>
              <c:f>Sheet1!$O$132:$O$135</c:f>
              <c:numCache>
                <c:formatCode>0.00</c:formatCode>
                <c:ptCount val="4"/>
                <c:pt idx="0">
                  <c:v>9.5000000000000001E-2</c:v>
                </c:pt>
                <c:pt idx="1">
                  <c:v>0.191</c:v>
                </c:pt>
                <c:pt idx="2">
                  <c:v>0.28599999999999998</c:v>
                </c:pt>
                <c:pt idx="3">
                  <c:v>0.38100000000000001</c:v>
                </c:pt>
              </c:numCache>
            </c:numRef>
          </c:xVal>
          <c:yVal>
            <c:numRef>
              <c:f>Sheet1!$V$132:$V$135</c:f>
              <c:numCache>
                <c:formatCode>0.0E+00</c:formatCode>
                <c:ptCount val="4"/>
                <c:pt idx="0">
                  <c:v>4.7423638778220453E-6</c:v>
                </c:pt>
                <c:pt idx="1">
                  <c:v>7.6494023904382468E-6</c:v>
                </c:pt>
                <c:pt idx="2">
                  <c:v>8.5683930942895088E-6</c:v>
                </c:pt>
                <c:pt idx="3">
                  <c:v>8.1088977423638778E-6</c:v>
                </c:pt>
              </c:numCache>
            </c:numRef>
          </c:yVal>
        </c:ser>
        <c:ser>
          <c:idx val="11"/>
          <c:order val="11"/>
          <c:tx>
            <c:strRef>
              <c:f>Sheet1!$G$136</c:f>
              <c:strCache>
                <c:ptCount val="1"/>
                <c:pt idx="0">
                  <c:v>data38</c:v>
                </c:pt>
              </c:strCache>
            </c:strRef>
          </c:tx>
          <c:xVal>
            <c:numRef>
              <c:f>Sheet1!$O$136:$O$138</c:f>
              <c:numCache>
                <c:formatCode>0.00</c:formatCode>
                <c:ptCount val="3"/>
                <c:pt idx="0">
                  <c:v>0.19</c:v>
                </c:pt>
                <c:pt idx="1">
                  <c:v>0.38</c:v>
                </c:pt>
                <c:pt idx="2">
                  <c:v>0.56999999999999995</c:v>
                </c:pt>
              </c:numCache>
            </c:numRef>
          </c:xVal>
          <c:yVal>
            <c:numRef>
              <c:f>Sheet1!$V$136:$V$138</c:f>
              <c:numCache>
                <c:formatCode>0.0E+00</c:formatCode>
                <c:ptCount val="3"/>
                <c:pt idx="0">
                  <c:v>1.1015936254980079E-5</c:v>
                </c:pt>
                <c:pt idx="1">
                  <c:v>1.2393094289508631E-5</c:v>
                </c:pt>
                <c:pt idx="2">
                  <c:v>1.2851261620185921E-5</c:v>
                </c:pt>
              </c:numCache>
            </c:numRef>
          </c:yVal>
        </c:ser>
        <c:ser>
          <c:idx val="12"/>
          <c:order val="12"/>
          <c:tx>
            <c:strRef>
              <c:f>Sheet1!$G$139</c:f>
              <c:strCache>
                <c:ptCount val="1"/>
                <c:pt idx="0">
                  <c:v>data39</c:v>
                </c:pt>
              </c:strCache>
            </c:strRef>
          </c:tx>
          <c:xVal>
            <c:numRef>
              <c:f>Sheet1!$O$139:$O$142</c:f>
              <c:numCache>
                <c:formatCode>0.00</c:formatCode>
                <c:ptCount val="4"/>
                <c:pt idx="0">
                  <c:v>9.5000000000000001E-2</c:v>
                </c:pt>
                <c:pt idx="1">
                  <c:v>0.191</c:v>
                </c:pt>
                <c:pt idx="2">
                  <c:v>0.28599999999999998</c:v>
                </c:pt>
                <c:pt idx="3">
                  <c:v>0.38</c:v>
                </c:pt>
              </c:numCache>
            </c:numRef>
          </c:xVal>
          <c:yVal>
            <c:numRef>
              <c:f>Sheet1!$V$139:$V$142</c:f>
              <c:numCache>
                <c:formatCode>0.0E+00</c:formatCode>
                <c:ptCount val="4"/>
                <c:pt idx="0">
                  <c:v>5.6613545816733065E-6</c:v>
                </c:pt>
                <c:pt idx="1">
                  <c:v>8.7211155378486061E-6</c:v>
                </c:pt>
                <c:pt idx="2">
                  <c:v>9.4860557768924299E-6</c:v>
                </c:pt>
                <c:pt idx="3">
                  <c:v>9.6387782204515271E-6</c:v>
                </c:pt>
              </c:numCache>
            </c:numRef>
          </c:yVal>
        </c:ser>
        <c:axId val="102333440"/>
        <c:axId val="102347520"/>
      </c:scatterChart>
      <c:valAx>
        <c:axId val="102333440"/>
        <c:scaling>
          <c:orientation val="minMax"/>
        </c:scaling>
        <c:axPos val="b"/>
        <c:numFmt formatCode="0.00" sourceLinked="1"/>
        <c:tickLblPos val="nextTo"/>
        <c:crossAx val="102347520"/>
        <c:crosses val="autoZero"/>
        <c:crossBetween val="midCat"/>
      </c:valAx>
      <c:valAx>
        <c:axId val="102347520"/>
        <c:scaling>
          <c:orientation val="minMax"/>
        </c:scaling>
        <c:axPos val="l"/>
        <c:majorGridlines/>
        <c:numFmt formatCode="0.0E+00" sourceLinked="1"/>
        <c:tickLblPos val="nextTo"/>
        <c:crossAx val="10233344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>
        <c:manualLayout>
          <c:layoutTarget val="inner"/>
          <c:xMode val="edge"/>
          <c:yMode val="edge"/>
          <c:x val="0.15588981756490541"/>
          <c:y val="5.1110699492561334E-2"/>
          <c:w val="0.59446462638430353"/>
          <c:h val="0.79936290148062816"/>
        </c:manualLayout>
      </c:layout>
      <c:scatterChart>
        <c:scatterStyle val="lineMarker"/>
        <c:ser>
          <c:idx val="0"/>
          <c:order val="0"/>
          <c:errBars>
            <c:errDir val="y"/>
            <c:errBarType val="both"/>
            <c:errValType val="cust"/>
            <c:plus>
              <c:numRef>
                <c:f>Sheet1!$AL$302:$AL$316</c:f>
                <c:numCache>
                  <c:formatCode>General</c:formatCode>
                  <c:ptCount val="15"/>
                  <c:pt idx="0">
                    <c:v>5.3669999999999996E-6</c:v>
                  </c:pt>
                  <c:pt idx="1">
                    <c:v>3.5367999999999997E-5</c:v>
                  </c:pt>
                  <c:pt idx="2">
                    <c:v>5.0679999999999996E-6</c:v>
                  </c:pt>
                  <c:pt idx="3">
                    <c:v>3.112E-6</c:v>
                  </c:pt>
                  <c:pt idx="4">
                    <c:v>1.1294000000000001E-5</c:v>
                  </c:pt>
                  <c:pt idx="5">
                    <c:v>7.2100000000000004E-6</c:v>
                  </c:pt>
                  <c:pt idx="6">
                    <c:v>5.9999999999999968E-6</c:v>
                  </c:pt>
                  <c:pt idx="7">
                    <c:v>9.1099999999999992E-6</c:v>
                  </c:pt>
                  <c:pt idx="8">
                    <c:v>6.9430000000000004E-5</c:v>
                  </c:pt>
                  <c:pt idx="9">
                    <c:v>1.1645E-4</c:v>
                  </c:pt>
                  <c:pt idx="10">
                    <c:v>7.0599999999999995E-5</c:v>
                  </c:pt>
                  <c:pt idx="11">
                    <c:v>1.5164000000000001E-4</c:v>
                  </c:pt>
                  <c:pt idx="12">
                    <c:v>1.5745899999999998E-4</c:v>
                  </c:pt>
                  <c:pt idx="13">
                    <c:v>3.7560000000000002E-4</c:v>
                  </c:pt>
                </c:numCache>
              </c:numRef>
            </c:plus>
            <c:minus>
              <c:numRef>
                <c:f>Sheet1!$AK$301:$AK$315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3.8789999999999996</c:v>
                  </c:pt>
                  <c:pt idx="2">
                    <c:v>-29.57</c:v>
                  </c:pt>
                  <c:pt idx="3">
                    <c:v>-1.857</c:v>
                  </c:pt>
                  <c:pt idx="4">
                    <c:v>4.0339999999999998</c:v>
                  </c:pt>
                  <c:pt idx="5">
                    <c:v>8.9960000000000004</c:v>
                  </c:pt>
                  <c:pt idx="6">
                    <c:v>53</c:v>
                  </c:pt>
                  <c:pt idx="7">
                    <c:v>107.7</c:v>
                  </c:pt>
                  <c:pt idx="8">
                    <c:v>53.059999999999995</c:v>
                  </c:pt>
                  <c:pt idx="9">
                    <c:v>76.569999999999993</c:v>
                  </c:pt>
                  <c:pt idx="10">
                    <c:v>61.85</c:v>
                  </c:pt>
                  <c:pt idx="11">
                    <c:v>107.39999999999999</c:v>
                  </c:pt>
                  <c:pt idx="12">
                    <c:v>-32.839999999999996</c:v>
                  </c:pt>
                  <c:pt idx="13">
                    <c:v>-1.6589999999999998</c:v>
                  </c:pt>
                  <c:pt idx="14">
                    <c:v>-109.3</c:v>
                  </c:pt>
                </c:numCache>
              </c:numRef>
            </c:minus>
          </c:errBars>
          <c:xVal>
            <c:numRef>
              <c:f>Sheet1!$AA$302:$AA$314</c:f>
              <c:numCache>
                <c:formatCode>0.00</c:formatCode>
                <c:ptCount val="13"/>
                <c:pt idx="0">
                  <c:v>6.71</c:v>
                </c:pt>
                <c:pt idx="1">
                  <c:v>6.71</c:v>
                </c:pt>
                <c:pt idx="2">
                  <c:v>6.71</c:v>
                </c:pt>
                <c:pt idx="3">
                  <c:v>7</c:v>
                </c:pt>
                <c:pt idx="4">
                  <c:v>7.5</c:v>
                </c:pt>
                <c:pt idx="5">
                  <c:v>8.01</c:v>
                </c:pt>
                <c:pt idx="6">
                  <c:v>8.5</c:v>
                </c:pt>
                <c:pt idx="7">
                  <c:v>8.4600000000000009</c:v>
                </c:pt>
                <c:pt idx="8">
                  <c:v>8.98</c:v>
                </c:pt>
                <c:pt idx="9">
                  <c:v>9.23</c:v>
                </c:pt>
                <c:pt idx="10">
                  <c:v>9.4</c:v>
                </c:pt>
                <c:pt idx="11">
                  <c:v>9.5050000000000008</c:v>
                </c:pt>
                <c:pt idx="12">
                  <c:v>9.6999999999999993</c:v>
                </c:pt>
              </c:numCache>
            </c:numRef>
          </c:xVal>
          <c:yVal>
            <c:numRef>
              <c:f>Sheet1!$AH$302:$AH$314</c:f>
              <c:numCache>
                <c:formatCode>0.00E+00</c:formatCode>
                <c:ptCount val="13"/>
                <c:pt idx="0">
                  <c:v>9.2459999999999992E-6</c:v>
                </c:pt>
                <c:pt idx="1">
                  <c:v>5.7980000000000002E-6</c:v>
                </c:pt>
                <c:pt idx="2">
                  <c:v>3.2109999999999998E-6</c:v>
                </c:pt>
                <c:pt idx="3">
                  <c:v>7.1459999999999999E-6</c:v>
                </c:pt>
                <c:pt idx="4">
                  <c:v>2.0290000000000001E-5</c:v>
                </c:pt>
                <c:pt idx="5">
                  <c:v>6.0210000000000001E-5</c:v>
                </c:pt>
                <c:pt idx="6">
                  <c:v>1.137E-4</c:v>
                </c:pt>
                <c:pt idx="7">
                  <c:v>6.2169999999999996E-5</c:v>
                </c:pt>
                <c:pt idx="8">
                  <c:v>1.46E-4</c:v>
                </c:pt>
                <c:pt idx="9">
                  <c:v>1.783E-4</c:v>
                </c:pt>
                <c:pt idx="10">
                  <c:v>1.7799999999999999E-4</c:v>
                </c:pt>
                <c:pt idx="11">
                  <c:v>1.188E-4</c:v>
                </c:pt>
                <c:pt idx="12">
                  <c:v>1.5579999999999999E-4</c:v>
                </c:pt>
              </c:numCache>
            </c:numRef>
          </c:yVal>
        </c:ser>
        <c:axId val="101929344"/>
        <c:axId val="101930880"/>
      </c:scatterChart>
      <c:valAx>
        <c:axId val="101929344"/>
        <c:scaling>
          <c:orientation val="minMax"/>
          <c:max val="11"/>
          <c:min val="6.5"/>
        </c:scaling>
        <c:axPos val="b"/>
        <c:numFmt formatCode="0.00" sourceLinked="1"/>
        <c:tickLblPos val="nextTo"/>
        <c:crossAx val="101930880"/>
        <c:crosses val="autoZero"/>
        <c:crossBetween val="midCat"/>
      </c:valAx>
      <c:valAx>
        <c:axId val="101930880"/>
        <c:scaling>
          <c:orientation val="minMax"/>
        </c:scaling>
        <c:axPos val="l"/>
        <c:numFmt formatCode="0.00E+00" sourceLinked="1"/>
        <c:tickLblPos val="nextTo"/>
        <c:crossAx val="10192934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>
        <c:manualLayout>
          <c:layoutTarget val="inner"/>
          <c:xMode val="edge"/>
          <c:yMode val="edge"/>
          <c:x val="0.13596062992125985"/>
          <c:y val="7.4487823818532986E-2"/>
          <c:w val="0.57706714785651758"/>
          <c:h val="0.79838984032443594"/>
        </c:manualLayout>
      </c:layout>
      <c:scatterChart>
        <c:scatterStyle val="lineMarker"/>
        <c:ser>
          <c:idx val="0"/>
          <c:order val="0"/>
          <c:tx>
            <c:strRef>
              <c:f>Sheet1!$AD$276</c:f>
              <c:strCache>
                <c:ptCount val="1"/>
                <c:pt idx="0">
                  <c:v>data43</c:v>
                </c:pt>
              </c:strCache>
            </c:strRef>
          </c:tx>
          <c:xVal>
            <c:numRef>
              <c:f>Sheet1!$AB$277:$AB$280</c:f>
              <c:numCache>
                <c:formatCode>0.00</c:formatCode>
                <c:ptCount val="4"/>
                <c:pt idx="0">
                  <c:v>1.528551784</c:v>
                </c:pt>
                <c:pt idx="1">
                  <c:v>3.057103568</c:v>
                </c:pt>
                <c:pt idx="2">
                  <c:v>4.5856553519999999</c:v>
                </c:pt>
                <c:pt idx="3">
                  <c:v>6.1142071360000001</c:v>
                </c:pt>
              </c:numCache>
            </c:numRef>
          </c:xVal>
          <c:yVal>
            <c:numRef>
              <c:f>Sheet1!$AD$277:$AD$280</c:f>
              <c:numCache>
                <c:formatCode>0.0E+00</c:formatCode>
                <c:ptCount val="4"/>
                <c:pt idx="0">
                  <c:v>5.2828977131765965E-5</c:v>
                </c:pt>
                <c:pt idx="1">
                  <c:v>4.8159012302438586E-5</c:v>
                </c:pt>
                <c:pt idx="2">
                  <c:v>6.0855479182172402E-5</c:v>
                </c:pt>
                <c:pt idx="3">
                  <c:v>7.7589519820595509E-5</c:v>
                </c:pt>
              </c:numCache>
            </c:numRef>
          </c:yVal>
        </c:ser>
        <c:ser>
          <c:idx val="1"/>
          <c:order val="1"/>
          <c:tx>
            <c:strRef>
              <c:f>Sheet1!$AE$276</c:f>
              <c:strCache>
                <c:ptCount val="1"/>
                <c:pt idx="0">
                  <c:v>data48</c:v>
                </c:pt>
              </c:strCache>
            </c:strRef>
          </c:tx>
          <c:xVal>
            <c:numRef>
              <c:f>Sheet1!$AB$277:$AB$280</c:f>
              <c:numCache>
                <c:formatCode>0.00</c:formatCode>
                <c:ptCount val="4"/>
                <c:pt idx="0">
                  <c:v>1.528551784</c:v>
                </c:pt>
                <c:pt idx="1">
                  <c:v>3.057103568</c:v>
                </c:pt>
                <c:pt idx="2">
                  <c:v>4.5856553519999999</c:v>
                </c:pt>
                <c:pt idx="3">
                  <c:v>6.1142071360000001</c:v>
                </c:pt>
              </c:numCache>
            </c:numRef>
          </c:xVal>
          <c:yVal>
            <c:numRef>
              <c:f>Sheet1!$AE$277:$AE$280</c:f>
              <c:numCache>
                <c:formatCode>0.0E+00</c:formatCode>
                <c:ptCount val="4"/>
                <c:pt idx="0">
                  <c:v>2.7985737149083758E-5</c:v>
                </c:pt>
                <c:pt idx="1">
                  <c:v>4.7682286726111422E-5</c:v>
                </c:pt>
                <c:pt idx="2">
                  <c:v>6.2168906790420724E-5</c:v>
                </c:pt>
                <c:pt idx="3">
                  <c:v>7.9000238362788149E-5</c:v>
                </c:pt>
              </c:numCache>
            </c:numRef>
          </c:yVal>
        </c:ser>
        <c:ser>
          <c:idx val="2"/>
          <c:order val="2"/>
          <c:tx>
            <c:strRef>
              <c:f>Sheet1!$Z$277</c:f>
              <c:strCache>
                <c:ptCount val="1"/>
                <c:pt idx="0">
                  <c:v>data43+48</c:v>
                </c:pt>
              </c:strCache>
            </c:strRef>
          </c:tx>
          <c:xVal>
            <c:numRef>
              <c:f>Sheet1!$AB$277:$AB$280</c:f>
              <c:numCache>
                <c:formatCode>0.00</c:formatCode>
                <c:ptCount val="4"/>
                <c:pt idx="0">
                  <c:v>1.528551784</c:v>
                </c:pt>
                <c:pt idx="1">
                  <c:v>3.057103568</c:v>
                </c:pt>
                <c:pt idx="2">
                  <c:v>4.5856553519999999</c:v>
                </c:pt>
                <c:pt idx="3">
                  <c:v>6.1142071360000001</c:v>
                </c:pt>
              </c:numCache>
            </c:numRef>
          </c:xVal>
          <c:yVal>
            <c:numRef>
              <c:f>Sheet1!$AC$277:$AC$280</c:f>
              <c:numCache>
                <c:formatCode>0.00E+00</c:formatCode>
                <c:ptCount val="4"/>
                <c:pt idx="0">
                  <c:v>4.040735714042486E-5</c:v>
                </c:pt>
                <c:pt idx="1">
                  <c:v>4.7920649514275008E-5</c:v>
                </c:pt>
                <c:pt idx="2">
                  <c:v>6.151219298629657E-5</c:v>
                </c:pt>
                <c:pt idx="3">
                  <c:v>7.8294879091691822E-5</c:v>
                </c:pt>
              </c:numCache>
            </c:numRef>
          </c:yVal>
        </c:ser>
        <c:axId val="101952128"/>
        <c:axId val="101953920"/>
      </c:scatterChart>
      <c:valAx>
        <c:axId val="101952128"/>
        <c:scaling>
          <c:orientation val="minMax"/>
        </c:scaling>
        <c:axPos val="b"/>
        <c:numFmt formatCode="0.00" sourceLinked="1"/>
        <c:tickLblPos val="nextTo"/>
        <c:crossAx val="101953920"/>
        <c:crosses val="autoZero"/>
        <c:crossBetween val="midCat"/>
      </c:valAx>
      <c:valAx>
        <c:axId val="101953920"/>
        <c:scaling>
          <c:orientation val="minMax"/>
        </c:scaling>
        <c:axPos val="l"/>
        <c:majorGridlines/>
        <c:numFmt formatCode="0.0E+00" sourceLinked="1"/>
        <c:tickLblPos val="nextTo"/>
        <c:crossAx val="10195212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title/>
    <c:plotArea>
      <c:layout/>
      <c:scatterChart>
        <c:scatterStyle val="lineMarker"/>
        <c:ser>
          <c:idx val="0"/>
          <c:order val="0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xVal>
            <c:numRef>
              <c:f>Sheet1!$AA$302:$AA$316</c:f>
              <c:numCache>
                <c:formatCode>0.00</c:formatCode>
                <c:ptCount val="15"/>
                <c:pt idx="0">
                  <c:v>6.71</c:v>
                </c:pt>
                <c:pt idx="1">
                  <c:v>6.71</c:v>
                </c:pt>
                <c:pt idx="2">
                  <c:v>6.71</c:v>
                </c:pt>
                <c:pt idx="3">
                  <c:v>7</c:v>
                </c:pt>
                <c:pt idx="4">
                  <c:v>7.5</c:v>
                </c:pt>
                <c:pt idx="5">
                  <c:v>8.01</c:v>
                </c:pt>
                <c:pt idx="6">
                  <c:v>8.5</c:v>
                </c:pt>
                <c:pt idx="7">
                  <c:v>8.4600000000000009</c:v>
                </c:pt>
                <c:pt idx="8">
                  <c:v>8.98</c:v>
                </c:pt>
                <c:pt idx="9">
                  <c:v>9.23</c:v>
                </c:pt>
                <c:pt idx="10">
                  <c:v>9.4</c:v>
                </c:pt>
                <c:pt idx="11">
                  <c:v>9.5050000000000008</c:v>
                </c:pt>
                <c:pt idx="12">
                  <c:v>9.6999999999999993</c:v>
                </c:pt>
                <c:pt idx="13">
                  <c:v>10.07</c:v>
                </c:pt>
                <c:pt idx="14">
                  <c:v>10.34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</c:ser>
        <c:axId val="102370688"/>
        <c:axId val="102380672"/>
      </c:scatterChart>
      <c:valAx>
        <c:axId val="102370688"/>
        <c:scaling>
          <c:orientation val="minMax"/>
          <c:max val="11"/>
          <c:min val="6"/>
        </c:scaling>
        <c:axPos val="b"/>
        <c:numFmt formatCode="0.00" sourceLinked="1"/>
        <c:tickLblPos val="nextTo"/>
        <c:crossAx val="102380672"/>
        <c:crosses val="autoZero"/>
        <c:crossBetween val="midCat"/>
      </c:valAx>
      <c:valAx>
        <c:axId val="102380672"/>
        <c:scaling>
          <c:orientation val="minMax"/>
        </c:scaling>
        <c:axPos val="l"/>
        <c:majorGridlines/>
        <c:numFmt formatCode="General" sourceLinked="1"/>
        <c:tickLblPos val="nextTo"/>
        <c:crossAx val="10237068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/>
      <c:scatterChart>
        <c:scatterStyle val="lineMarker"/>
        <c:ser>
          <c:idx val="0"/>
          <c:order val="0"/>
          <c:xVal>
            <c:numRef>
              <c:f>Sheet1!$AA$302:$AA$314</c:f>
              <c:numCache>
                <c:formatCode>0.00</c:formatCode>
                <c:ptCount val="13"/>
                <c:pt idx="0">
                  <c:v>6.71</c:v>
                </c:pt>
                <c:pt idx="1">
                  <c:v>6.71</c:v>
                </c:pt>
                <c:pt idx="2">
                  <c:v>6.71</c:v>
                </c:pt>
                <c:pt idx="3">
                  <c:v>7</c:v>
                </c:pt>
                <c:pt idx="4">
                  <c:v>7.5</c:v>
                </c:pt>
                <c:pt idx="5">
                  <c:v>8.01</c:v>
                </c:pt>
                <c:pt idx="6">
                  <c:v>8.5</c:v>
                </c:pt>
                <c:pt idx="7">
                  <c:v>8.4600000000000009</c:v>
                </c:pt>
                <c:pt idx="8">
                  <c:v>8.98</c:v>
                </c:pt>
                <c:pt idx="9">
                  <c:v>9.23</c:v>
                </c:pt>
                <c:pt idx="10">
                  <c:v>9.4</c:v>
                </c:pt>
                <c:pt idx="11">
                  <c:v>9.5050000000000008</c:v>
                </c:pt>
                <c:pt idx="12">
                  <c:v>9.6999999999999993</c:v>
                </c:pt>
              </c:numCache>
            </c:numRef>
          </c:xVal>
          <c:yVal>
            <c:numRef>
              <c:f>Sheet1!$AH$302:$AH$314</c:f>
              <c:numCache>
                <c:formatCode>0.00E+00</c:formatCode>
                <c:ptCount val="13"/>
                <c:pt idx="0">
                  <c:v>9.2459999999999992E-6</c:v>
                </c:pt>
                <c:pt idx="1">
                  <c:v>5.7980000000000002E-6</c:v>
                </c:pt>
                <c:pt idx="2">
                  <c:v>3.2109999999999998E-6</c:v>
                </c:pt>
                <c:pt idx="3">
                  <c:v>7.1459999999999999E-6</c:v>
                </c:pt>
                <c:pt idx="4">
                  <c:v>2.0290000000000001E-5</c:v>
                </c:pt>
                <c:pt idx="5">
                  <c:v>6.0210000000000001E-5</c:v>
                </c:pt>
                <c:pt idx="6">
                  <c:v>1.137E-4</c:v>
                </c:pt>
                <c:pt idx="7">
                  <c:v>6.2169999999999996E-5</c:v>
                </c:pt>
                <c:pt idx="8">
                  <c:v>1.46E-4</c:v>
                </c:pt>
                <c:pt idx="9">
                  <c:v>1.783E-4</c:v>
                </c:pt>
                <c:pt idx="10">
                  <c:v>1.7799999999999999E-4</c:v>
                </c:pt>
                <c:pt idx="11">
                  <c:v>1.188E-4</c:v>
                </c:pt>
                <c:pt idx="12">
                  <c:v>1.5579999999999999E-4</c:v>
                </c:pt>
              </c:numCache>
            </c:numRef>
          </c:yVal>
        </c:ser>
        <c:axId val="102408960"/>
        <c:axId val="102410496"/>
      </c:scatterChart>
      <c:valAx>
        <c:axId val="102408960"/>
        <c:scaling>
          <c:orientation val="minMax"/>
          <c:max val="10"/>
          <c:min val="6.5"/>
        </c:scaling>
        <c:axPos val="b"/>
        <c:numFmt formatCode="0.00" sourceLinked="1"/>
        <c:tickLblPos val="nextTo"/>
        <c:crossAx val="102410496"/>
        <c:crosses val="autoZero"/>
        <c:crossBetween val="midCat"/>
      </c:valAx>
      <c:valAx>
        <c:axId val="102410496"/>
        <c:scaling>
          <c:orientation val="minMax"/>
        </c:scaling>
        <c:axPos val="l"/>
        <c:majorGridlines/>
        <c:numFmt formatCode="0.00E+00" sourceLinked="1"/>
        <c:tickLblPos val="nextTo"/>
        <c:crossAx val="10240896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/>
      <c:scatterChart>
        <c:scatterStyle val="lineMarker"/>
        <c:ser>
          <c:idx val="0"/>
          <c:order val="0"/>
          <c:tx>
            <c:strRef>
              <c:f>Sheet1!$L$409</c:f>
              <c:strCache>
                <c:ptCount val="1"/>
                <c:pt idx="0">
                  <c:v>7.53</c:v>
                </c:pt>
              </c:strCache>
            </c:strRef>
          </c:tx>
          <c:xVal>
            <c:numRef>
              <c:f>Sheet1!$P$409:$P$411</c:f>
              <c:numCache>
                <c:formatCode>General</c:formatCode>
                <c:ptCount val="3"/>
                <c:pt idx="0">
                  <c:v>3.6709999999999998</c:v>
                </c:pt>
                <c:pt idx="1">
                  <c:v>36.712000000000003</c:v>
                </c:pt>
                <c:pt idx="2">
                  <c:v>73.424000000000007</c:v>
                </c:pt>
              </c:numCache>
            </c:numRef>
          </c:xVal>
          <c:yVal>
            <c:numRef>
              <c:f>Sheet1!$V$409:$V$411</c:f>
              <c:numCache>
                <c:formatCode>0.00E+00</c:formatCode>
                <c:ptCount val="3"/>
                <c:pt idx="0">
                  <c:v>1.1327116212338594E-5</c:v>
                </c:pt>
                <c:pt idx="1">
                  <c:v>4.8923959827833566E-5</c:v>
                </c:pt>
                <c:pt idx="2">
                  <c:v>6.9225251076040169E-5</c:v>
                </c:pt>
              </c:numCache>
            </c:numRef>
          </c:yVal>
        </c:ser>
        <c:ser>
          <c:idx val="1"/>
          <c:order val="1"/>
          <c:tx>
            <c:strRef>
              <c:f>Sheet1!$L$412</c:f>
              <c:strCache>
                <c:ptCount val="1"/>
                <c:pt idx="0">
                  <c:v>7.60</c:v>
                </c:pt>
              </c:strCache>
            </c:strRef>
          </c:tx>
          <c:xVal>
            <c:numRef>
              <c:f>Sheet1!$P$412:$P$415</c:f>
              <c:numCache>
                <c:formatCode>General</c:formatCode>
                <c:ptCount val="4"/>
                <c:pt idx="0">
                  <c:v>5.14</c:v>
                </c:pt>
                <c:pt idx="1">
                  <c:v>14.685</c:v>
                </c:pt>
                <c:pt idx="2">
                  <c:v>24.963999999999999</c:v>
                </c:pt>
                <c:pt idx="3">
                  <c:v>35.244</c:v>
                </c:pt>
              </c:numCache>
            </c:numRef>
          </c:xVal>
          <c:yVal>
            <c:numRef>
              <c:f>Sheet1!$V$412:$V$415</c:f>
              <c:numCache>
                <c:formatCode>0.00E+00</c:formatCode>
                <c:ptCount val="4"/>
                <c:pt idx="0">
                  <c:v>1.2396438250096787E-5</c:v>
                </c:pt>
                <c:pt idx="1">
                  <c:v>3.1409214092140917E-5</c:v>
                </c:pt>
                <c:pt idx="2">
                  <c:v>3.8946960898180404E-5</c:v>
                </c:pt>
                <c:pt idx="3">
                  <c:v>3.2411924119241191E-5</c:v>
                </c:pt>
              </c:numCache>
            </c:numRef>
          </c:yVal>
        </c:ser>
        <c:ser>
          <c:idx val="2"/>
          <c:order val="2"/>
          <c:tx>
            <c:strRef>
              <c:f>Sheet1!$L$416</c:f>
              <c:strCache>
                <c:ptCount val="1"/>
                <c:pt idx="0">
                  <c:v>8.02</c:v>
                </c:pt>
              </c:strCache>
            </c:strRef>
          </c:tx>
          <c:xVal>
            <c:numRef>
              <c:f>Sheet1!$P$416:$P$419</c:f>
              <c:numCache>
                <c:formatCode>General</c:formatCode>
                <c:ptCount val="4"/>
                <c:pt idx="0">
                  <c:v>5.14</c:v>
                </c:pt>
                <c:pt idx="1">
                  <c:v>14.685</c:v>
                </c:pt>
                <c:pt idx="2">
                  <c:v>24.963999999999999</c:v>
                </c:pt>
                <c:pt idx="3">
                  <c:v>35.244</c:v>
                </c:pt>
              </c:numCache>
            </c:numRef>
          </c:xVal>
          <c:yVal>
            <c:numRef>
              <c:f>Sheet1!$V$416:$V$419</c:f>
              <c:numCache>
                <c:formatCode>0.00E+00</c:formatCode>
                <c:ptCount val="4"/>
                <c:pt idx="0">
                  <c:v>2.3608207510646533E-5</c:v>
                </c:pt>
                <c:pt idx="1">
                  <c:v>6.7711962833914041E-5</c:v>
                </c:pt>
                <c:pt idx="2">
                  <c:v>8.6798296554394097E-5</c:v>
                </c:pt>
                <c:pt idx="3">
                  <c:v>1.73015873015873E-4</c:v>
                </c:pt>
              </c:numCache>
            </c:numRef>
          </c:yVal>
        </c:ser>
        <c:ser>
          <c:idx val="3"/>
          <c:order val="3"/>
          <c:tx>
            <c:strRef>
              <c:f>Sheet1!$L$420</c:f>
              <c:strCache>
                <c:ptCount val="1"/>
                <c:pt idx="0">
                  <c:v>8.16</c:v>
                </c:pt>
              </c:strCache>
            </c:strRef>
          </c:tx>
          <c:xVal>
            <c:numRef>
              <c:f>Sheet1!$P$420:$P$422</c:f>
              <c:numCache>
                <c:formatCode>General</c:formatCode>
                <c:ptCount val="3"/>
                <c:pt idx="0">
                  <c:v>3.6709999999999998</c:v>
                </c:pt>
                <c:pt idx="1">
                  <c:v>7.3419999999999996</c:v>
                </c:pt>
                <c:pt idx="2">
                  <c:v>36.712000000000003</c:v>
                </c:pt>
              </c:numCache>
            </c:numRef>
          </c:xVal>
          <c:yVal>
            <c:numRef>
              <c:f>Sheet1!$V$420:$V$422</c:f>
              <c:numCache>
                <c:formatCode>0.00E+00</c:formatCode>
                <c:ptCount val="3"/>
                <c:pt idx="0">
                  <c:v>3.2400765184122426E-5</c:v>
                </c:pt>
                <c:pt idx="1">
                  <c:v>4.7417503586800566E-5</c:v>
                </c:pt>
                <c:pt idx="2">
                  <c:v>1.4985652797704449E-4</c:v>
                </c:pt>
              </c:numCache>
            </c:numRef>
          </c:yVal>
        </c:ser>
        <c:ser>
          <c:idx val="4"/>
          <c:order val="4"/>
          <c:tx>
            <c:strRef>
              <c:f>Sheet1!$L$423</c:f>
              <c:strCache>
                <c:ptCount val="1"/>
                <c:pt idx="0">
                  <c:v>8.51</c:v>
                </c:pt>
              </c:strCache>
            </c:strRef>
          </c:tx>
          <c:xVal>
            <c:numRef>
              <c:f>Sheet1!$P$423:$P$426</c:f>
              <c:numCache>
                <c:formatCode>General</c:formatCode>
                <c:ptCount val="4"/>
                <c:pt idx="0">
                  <c:v>3.6709999999999998</c:v>
                </c:pt>
                <c:pt idx="1">
                  <c:v>7.3419999999999996</c:v>
                </c:pt>
                <c:pt idx="2">
                  <c:v>36.712000000000003</c:v>
                </c:pt>
                <c:pt idx="3">
                  <c:v>73.424000000000007</c:v>
                </c:pt>
              </c:numCache>
            </c:numRef>
          </c:xVal>
          <c:yVal>
            <c:numRef>
              <c:f>Sheet1!$V$423:$V$426</c:f>
              <c:numCache>
                <c:formatCode>0.00E+00</c:formatCode>
                <c:ptCount val="4"/>
                <c:pt idx="0">
                  <c:v>7.0086083213773308E-5</c:v>
                </c:pt>
                <c:pt idx="1">
                  <c:v>7.7522716403634624E-5</c:v>
                </c:pt>
                <c:pt idx="2">
                  <c:v>1.2058823529411764E-4</c:v>
                </c:pt>
                <c:pt idx="3">
                  <c:v>2.3479196556671448E-4</c:v>
                </c:pt>
              </c:numCache>
            </c:numRef>
          </c:yVal>
        </c:ser>
        <c:ser>
          <c:idx val="5"/>
          <c:order val="5"/>
          <c:tx>
            <c:strRef>
              <c:f>Sheet1!$L$427</c:f>
              <c:strCache>
                <c:ptCount val="1"/>
                <c:pt idx="0">
                  <c:v>8.67</c:v>
                </c:pt>
              </c:strCache>
            </c:strRef>
          </c:tx>
          <c:xVal>
            <c:numRef>
              <c:f>Sheet1!$P$427:$P$430</c:f>
              <c:numCache>
                <c:formatCode>General</c:formatCode>
                <c:ptCount val="4"/>
                <c:pt idx="0">
                  <c:v>5.14</c:v>
                </c:pt>
                <c:pt idx="1">
                  <c:v>14.685</c:v>
                </c:pt>
                <c:pt idx="2">
                  <c:v>24.963999999999999</c:v>
                </c:pt>
                <c:pt idx="3">
                  <c:v>35.244</c:v>
                </c:pt>
              </c:numCache>
            </c:numRef>
          </c:xVal>
          <c:yVal>
            <c:numRef>
              <c:f>Sheet1!$V$427:$V$430</c:f>
              <c:numCache>
                <c:formatCode>0.00E+00</c:formatCode>
                <c:ptCount val="4"/>
                <c:pt idx="0">
                  <c:v>3.0886566008517225E-5</c:v>
                </c:pt>
                <c:pt idx="1">
                  <c:v>5.7181571815718155E-5</c:v>
                </c:pt>
                <c:pt idx="2">
                  <c:v>8.6720867208672084E-5</c:v>
                </c:pt>
                <c:pt idx="3">
                  <c:v>1.3097173828881145E-4</c:v>
                </c:pt>
              </c:numCache>
            </c:numRef>
          </c:yVal>
        </c:ser>
        <c:ser>
          <c:idx val="6"/>
          <c:order val="6"/>
          <c:tx>
            <c:strRef>
              <c:f>Sheet1!$L$431</c:f>
              <c:strCache>
                <c:ptCount val="1"/>
                <c:pt idx="0">
                  <c:v>9.04</c:v>
                </c:pt>
              </c:strCache>
            </c:strRef>
          </c:tx>
          <c:xVal>
            <c:numRef>
              <c:f>Sheet1!$P$431:$P$434</c:f>
              <c:numCache>
                <c:formatCode>General</c:formatCode>
                <c:ptCount val="4"/>
                <c:pt idx="0">
                  <c:v>5.14</c:v>
                </c:pt>
                <c:pt idx="1">
                  <c:v>14.685</c:v>
                </c:pt>
                <c:pt idx="2">
                  <c:v>24.963999999999999</c:v>
                </c:pt>
                <c:pt idx="3">
                  <c:v>35.244</c:v>
                </c:pt>
              </c:numCache>
            </c:numRef>
          </c:xVal>
          <c:yVal>
            <c:numRef>
              <c:f>Sheet1!$V$431:$V$434</c:f>
              <c:numCache>
                <c:formatCode>0.00E+00</c:formatCode>
                <c:ptCount val="4"/>
                <c:pt idx="0">
                  <c:v>7.2783584978706924E-5</c:v>
                </c:pt>
                <c:pt idx="1">
                  <c:v>1.481223383662408E-4</c:v>
                </c:pt>
                <c:pt idx="2">
                  <c:v>2.148664343786295E-4</c:v>
                </c:pt>
                <c:pt idx="3">
                  <c:v>2.7557104142469994E-4</c:v>
                </c:pt>
              </c:numCache>
            </c:numRef>
          </c:yVal>
        </c:ser>
        <c:ser>
          <c:idx val="7"/>
          <c:order val="7"/>
          <c:tx>
            <c:strRef>
              <c:f>Sheet1!$L$435</c:f>
              <c:strCache>
                <c:ptCount val="1"/>
                <c:pt idx="0">
                  <c:v>9.15</c:v>
                </c:pt>
              </c:strCache>
            </c:strRef>
          </c:tx>
          <c:xVal>
            <c:numRef>
              <c:f>Sheet1!$P$435:$P$438</c:f>
              <c:numCache>
                <c:formatCode>General</c:formatCode>
                <c:ptCount val="4"/>
                <c:pt idx="0">
                  <c:v>3.6709999999999998</c:v>
                </c:pt>
                <c:pt idx="1">
                  <c:v>7.3419999999999996</c:v>
                </c:pt>
                <c:pt idx="2">
                  <c:v>36.712000000000003</c:v>
                </c:pt>
                <c:pt idx="3">
                  <c:v>73.424000000000007</c:v>
                </c:pt>
              </c:numCache>
            </c:numRef>
          </c:xVal>
          <c:yVal>
            <c:numRef>
              <c:f>Sheet1!$V$435:$V$438</c:f>
              <c:numCache>
                <c:formatCode>0.00E+00</c:formatCode>
                <c:ptCount val="4"/>
                <c:pt idx="0">
                  <c:v>7.9616724738675965E-5</c:v>
                </c:pt>
                <c:pt idx="1">
                  <c:v>2.4123112659698028E-4</c:v>
                </c:pt>
                <c:pt idx="2">
                  <c:v>2.0121951219512194E-4</c:v>
                </c:pt>
                <c:pt idx="3">
                  <c:v>4.023809523809524E-4</c:v>
                </c:pt>
              </c:numCache>
            </c:numRef>
          </c:yVal>
        </c:ser>
        <c:ser>
          <c:idx val="8"/>
          <c:order val="8"/>
          <c:tx>
            <c:strRef>
              <c:f>Sheet1!$L$439</c:f>
              <c:strCache>
                <c:ptCount val="1"/>
                <c:pt idx="0">
                  <c:v>9.23</c:v>
                </c:pt>
              </c:strCache>
            </c:strRef>
          </c:tx>
          <c:xVal>
            <c:numRef>
              <c:f>Sheet1!$P$439:$P$442</c:f>
              <c:numCache>
                <c:formatCode>General</c:formatCode>
                <c:ptCount val="4"/>
                <c:pt idx="0">
                  <c:v>3.6709999999999998</c:v>
                </c:pt>
                <c:pt idx="1">
                  <c:v>7.3419999999999996</c:v>
                </c:pt>
                <c:pt idx="2">
                  <c:v>36.712000000000003</c:v>
                </c:pt>
                <c:pt idx="3">
                  <c:v>73.424000000000007</c:v>
                </c:pt>
              </c:numCache>
            </c:numRef>
          </c:xVal>
          <c:yVal>
            <c:numRef>
              <c:f>Sheet1!$V$439:$V$442</c:f>
              <c:numCache>
                <c:formatCode>0.00E+00</c:formatCode>
                <c:ptCount val="4"/>
                <c:pt idx="0">
                  <c:v>1.1449067431850787E-4</c:v>
                </c:pt>
                <c:pt idx="1">
                  <c:v>1.3703969392635102E-4</c:v>
                </c:pt>
                <c:pt idx="2">
                  <c:v>2.3735054997608797E-4</c:v>
                </c:pt>
                <c:pt idx="3">
                  <c:v>2.4318507890961258E-4</c:v>
                </c:pt>
              </c:numCache>
            </c:numRef>
          </c:yVal>
        </c:ser>
        <c:ser>
          <c:idx val="9"/>
          <c:order val="9"/>
          <c:tx>
            <c:strRef>
              <c:f>Sheet1!$L$443</c:f>
              <c:strCache>
                <c:ptCount val="1"/>
                <c:pt idx="0">
                  <c:v>9.32</c:v>
                </c:pt>
              </c:strCache>
            </c:strRef>
          </c:tx>
          <c:xVal>
            <c:numRef>
              <c:f>Sheet1!$P$443:$P$446</c:f>
              <c:numCache>
                <c:formatCode>General</c:formatCode>
                <c:ptCount val="4"/>
                <c:pt idx="0">
                  <c:v>5.14</c:v>
                </c:pt>
                <c:pt idx="1">
                  <c:v>14.685</c:v>
                </c:pt>
                <c:pt idx="2">
                  <c:v>24.963999999999999</c:v>
                </c:pt>
                <c:pt idx="3">
                  <c:v>35.244</c:v>
                </c:pt>
              </c:numCache>
            </c:numRef>
          </c:xVal>
          <c:yVal>
            <c:numRef>
              <c:f>Sheet1!$V$443:$V$446</c:f>
              <c:numCache>
                <c:formatCode>0.00E+00</c:formatCode>
                <c:ptCount val="4"/>
                <c:pt idx="0">
                  <c:v>9.4850948509485081E-5</c:v>
                </c:pt>
                <c:pt idx="1">
                  <c:v>1.6504065040650405E-4</c:v>
                </c:pt>
                <c:pt idx="2">
                  <c:v>1.9562524196670535E-4</c:v>
                </c:pt>
                <c:pt idx="3">
                  <c:v>4.6147890050329067E-4</c:v>
                </c:pt>
              </c:numCache>
            </c:numRef>
          </c:yVal>
        </c:ser>
        <c:ser>
          <c:idx val="10"/>
          <c:order val="10"/>
          <c:tx>
            <c:strRef>
              <c:f>Sheet1!$L$447</c:f>
              <c:strCache>
                <c:ptCount val="1"/>
                <c:pt idx="0">
                  <c:v>9.43</c:v>
                </c:pt>
              </c:strCache>
            </c:strRef>
          </c:tx>
          <c:xVal>
            <c:numRef>
              <c:f>Sheet1!$P$447:$P$450</c:f>
              <c:numCache>
                <c:formatCode>General</c:formatCode>
                <c:ptCount val="4"/>
                <c:pt idx="0">
                  <c:v>3.6709999999999998</c:v>
                </c:pt>
                <c:pt idx="1">
                  <c:v>7.3419999999999996</c:v>
                </c:pt>
                <c:pt idx="2">
                  <c:v>36.712000000000003</c:v>
                </c:pt>
                <c:pt idx="3">
                  <c:v>73.424000000000007</c:v>
                </c:pt>
              </c:numCache>
            </c:numRef>
          </c:xVal>
          <c:yVal>
            <c:numRef>
              <c:f>Sheet1!$V$447:$V$450</c:f>
              <c:numCache>
                <c:formatCode>0.00E+00</c:formatCode>
                <c:ptCount val="4"/>
                <c:pt idx="0">
                  <c:v>8.5075493612078981E-5</c:v>
                </c:pt>
                <c:pt idx="1">
                  <c:v>1.7653890824622534E-4</c:v>
                </c:pt>
                <c:pt idx="2">
                  <c:v>1.6056910569105693E-4</c:v>
                </c:pt>
                <c:pt idx="3">
                  <c:v>3.8362369337979096E-4</c:v>
                </c:pt>
              </c:numCache>
            </c:numRef>
          </c:yVal>
        </c:ser>
        <c:ser>
          <c:idx val="11"/>
          <c:order val="11"/>
          <c:tx>
            <c:strRef>
              <c:f>Sheet1!$L$451</c:f>
              <c:strCache>
                <c:ptCount val="1"/>
                <c:pt idx="0">
                  <c:v>9.73</c:v>
                </c:pt>
              </c:strCache>
            </c:strRef>
          </c:tx>
          <c:xVal>
            <c:numRef>
              <c:f>Sheet1!$P$451:$P$454</c:f>
              <c:numCache>
                <c:formatCode>General</c:formatCode>
                <c:ptCount val="4"/>
                <c:pt idx="0">
                  <c:v>5.14</c:v>
                </c:pt>
                <c:pt idx="1">
                  <c:v>14.685</c:v>
                </c:pt>
                <c:pt idx="2">
                  <c:v>24.963999999999999</c:v>
                </c:pt>
                <c:pt idx="3">
                  <c:v>35.244</c:v>
                </c:pt>
              </c:numCache>
            </c:numRef>
          </c:xVal>
          <c:yVal>
            <c:numRef>
              <c:f>Sheet1!$V$451:$V$454</c:f>
              <c:numCache>
                <c:formatCode>0.00E+00</c:formatCode>
                <c:ptCount val="4"/>
                <c:pt idx="0">
                  <c:v>5.6174990321331777E-5</c:v>
                </c:pt>
                <c:pt idx="1">
                  <c:v>1.1862175764614787E-4</c:v>
                </c:pt>
                <c:pt idx="2">
                  <c:v>1.0851722802942315E-4</c:v>
                </c:pt>
                <c:pt idx="3">
                  <c:v>2.7921022067363529E-4</c:v>
                </c:pt>
              </c:numCache>
            </c:numRef>
          </c:yVal>
        </c:ser>
        <c:axId val="110926080"/>
        <c:axId val="110948352"/>
      </c:scatterChart>
      <c:valAx>
        <c:axId val="110926080"/>
        <c:scaling>
          <c:orientation val="minMax"/>
        </c:scaling>
        <c:axPos val="b"/>
        <c:numFmt formatCode="General" sourceLinked="1"/>
        <c:tickLblPos val="nextTo"/>
        <c:crossAx val="110948352"/>
        <c:crosses val="autoZero"/>
        <c:crossBetween val="midCat"/>
      </c:valAx>
      <c:valAx>
        <c:axId val="110948352"/>
        <c:scaling>
          <c:orientation val="minMax"/>
        </c:scaling>
        <c:axPos val="l"/>
        <c:numFmt formatCode="0.00E+00" sourceLinked="1"/>
        <c:tickLblPos val="nextTo"/>
        <c:crossAx val="11092608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/>
      <c:scatterChart>
        <c:scatterStyle val="lineMarker"/>
        <c:ser>
          <c:idx val="0"/>
          <c:order val="0"/>
          <c:xVal>
            <c:numRef>
              <c:f>Sheet1!$H$461:$H$472</c:f>
              <c:numCache>
                <c:formatCode>0.00</c:formatCode>
                <c:ptCount val="12"/>
                <c:pt idx="0">
                  <c:v>7.53</c:v>
                </c:pt>
                <c:pt idx="1">
                  <c:v>7.6</c:v>
                </c:pt>
                <c:pt idx="2">
                  <c:v>8.02</c:v>
                </c:pt>
                <c:pt idx="3">
                  <c:v>8.16</c:v>
                </c:pt>
                <c:pt idx="4">
                  <c:v>8.51</c:v>
                </c:pt>
                <c:pt idx="5">
                  <c:v>8.67</c:v>
                </c:pt>
                <c:pt idx="6">
                  <c:v>9.0399999999999991</c:v>
                </c:pt>
                <c:pt idx="7">
                  <c:v>9.15</c:v>
                </c:pt>
                <c:pt idx="8">
                  <c:v>9.23</c:v>
                </c:pt>
                <c:pt idx="9">
                  <c:v>9.32</c:v>
                </c:pt>
                <c:pt idx="10">
                  <c:v>9.43</c:v>
                </c:pt>
                <c:pt idx="11">
                  <c:v>9.73</c:v>
                </c:pt>
              </c:numCache>
            </c:numRef>
          </c:xVal>
          <c:yVal>
            <c:numRef>
              <c:f>Sheet1!$N$461:$N$472</c:f>
              <c:numCache>
                <c:formatCode>0.00E+00</c:formatCode>
                <c:ptCount val="12"/>
                <c:pt idx="0">
                  <c:v>1.0679999999999999E-4</c:v>
                </c:pt>
                <c:pt idx="1">
                  <c:v>7.6899999999999999E-5</c:v>
                </c:pt>
                <c:pt idx="2">
                  <c:v>2.0589999999999999E-4</c:v>
                </c:pt>
                <c:pt idx="3">
                  <c:v>2.9389999999999999E-4</c:v>
                </c:pt>
                <c:pt idx="4">
                  <c:v>2.6860000000000002E-4</c:v>
                </c:pt>
                <c:pt idx="5">
                  <c:v>1.8990000000000001E-4</c:v>
                </c:pt>
                <c:pt idx="6">
                  <c:v>6.2580000000000003E-4</c:v>
                </c:pt>
                <c:pt idx="7">
                  <c:v>3.6890000000000002E-4</c:v>
                </c:pt>
                <c:pt idx="8">
                  <c:v>2.6570000000000001E-4</c:v>
                </c:pt>
                <c:pt idx="9">
                  <c:v>2.7090000000000003E-4</c:v>
                </c:pt>
                <c:pt idx="10">
                  <c:v>3.6830000000000001E-4</c:v>
                </c:pt>
                <c:pt idx="11">
                  <c:v>1.5320000000000001E-4</c:v>
                </c:pt>
              </c:numCache>
            </c:numRef>
          </c:yVal>
        </c:ser>
        <c:axId val="110967808"/>
        <c:axId val="110981888"/>
      </c:scatterChart>
      <c:valAx>
        <c:axId val="110967808"/>
        <c:scaling>
          <c:orientation val="minMax"/>
          <c:max val="10"/>
          <c:min val="7"/>
        </c:scaling>
        <c:axPos val="b"/>
        <c:numFmt formatCode="0.00" sourceLinked="1"/>
        <c:tickLblPos val="nextTo"/>
        <c:crossAx val="110981888"/>
        <c:crosses val="autoZero"/>
        <c:crossBetween val="midCat"/>
      </c:valAx>
      <c:valAx>
        <c:axId val="110981888"/>
        <c:scaling>
          <c:orientation val="minMax"/>
        </c:scaling>
        <c:axPos val="l"/>
        <c:majorGridlines/>
        <c:numFmt formatCode="0.00E+00" sourceLinked="1"/>
        <c:tickLblPos val="nextTo"/>
        <c:crossAx val="11096780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>
        <c:manualLayout>
          <c:layoutTarget val="inner"/>
          <c:xMode val="edge"/>
          <c:yMode val="edge"/>
          <c:x val="0.22004805555555559"/>
          <c:y val="2.1528333333333333E-2"/>
          <c:w val="0.72751166666666667"/>
          <c:h val="0.83717833333333458"/>
        </c:manualLayout>
      </c:layout>
      <c:scatterChart>
        <c:scatterStyle val="lineMarker"/>
        <c:ser>
          <c:idx val="0"/>
          <c:order val="0"/>
          <c:tx>
            <c:strRef>
              <c:f>Sheet1!$H$70</c:f>
              <c:strCache>
                <c:ptCount val="1"/>
                <c:pt idx="0">
                  <c:v>4-Methoxybenzyl alcohol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plus>
              <c:numRef>
                <c:f>Sheet1!$Z$71:$Z$84</c:f>
                <c:numCache>
                  <c:formatCode>General</c:formatCode>
                  <c:ptCount val="14"/>
                  <c:pt idx="0">
                    <c:v>3.4031512958719519E-7</c:v>
                  </c:pt>
                  <c:pt idx="1">
                    <c:v>8.0253950902255586E-7</c:v>
                  </c:pt>
                  <c:pt idx="2">
                    <c:v>3.1182039539954671E-7</c:v>
                  </c:pt>
                  <c:pt idx="3">
                    <c:v>1.4339338015279263E-6</c:v>
                  </c:pt>
                  <c:pt idx="4">
                    <c:v>8.0253950902255586E-7</c:v>
                  </c:pt>
                  <c:pt idx="5">
                    <c:v>3.1182039539954671E-7</c:v>
                  </c:pt>
                  <c:pt idx="6">
                    <c:v>8.8670524486523027E-7</c:v>
                  </c:pt>
                  <c:pt idx="7">
                    <c:v>1.4339338015279263E-6</c:v>
                  </c:pt>
                  <c:pt idx="8">
                    <c:v>1.4339338015279263E-6</c:v>
                  </c:pt>
                  <c:pt idx="9">
                    <c:v>1.4339338015279263E-6</c:v>
                  </c:pt>
                  <c:pt idx="10">
                    <c:v>3.2491227927031254E-7</c:v>
                  </c:pt>
                  <c:pt idx="11">
                    <c:v>8.5994964618126993E-7</c:v>
                  </c:pt>
                  <c:pt idx="12">
                    <c:v>3.2444275285518198E-7</c:v>
                  </c:pt>
                  <c:pt idx="13">
                    <c:v>1.4339338015279263E-6</c:v>
                  </c:pt>
                </c:numCache>
              </c:numRef>
            </c:plus>
            <c:minus>
              <c:numRef>
                <c:f>Sheet1!$Z$71:$Z$84</c:f>
                <c:numCache>
                  <c:formatCode>General</c:formatCode>
                  <c:ptCount val="14"/>
                  <c:pt idx="0">
                    <c:v>3.4031512958719519E-7</c:v>
                  </c:pt>
                  <c:pt idx="1">
                    <c:v>8.0253950902255586E-7</c:v>
                  </c:pt>
                  <c:pt idx="2">
                    <c:v>3.1182039539954671E-7</c:v>
                  </c:pt>
                  <c:pt idx="3">
                    <c:v>1.4339338015279263E-6</c:v>
                  </c:pt>
                  <c:pt idx="4">
                    <c:v>8.0253950902255586E-7</c:v>
                  </c:pt>
                  <c:pt idx="5">
                    <c:v>3.1182039539954671E-7</c:v>
                  </c:pt>
                  <c:pt idx="6">
                    <c:v>8.8670524486523027E-7</c:v>
                  </c:pt>
                  <c:pt idx="7">
                    <c:v>1.4339338015279263E-6</c:v>
                  </c:pt>
                  <c:pt idx="8">
                    <c:v>1.4339338015279263E-6</c:v>
                  </c:pt>
                  <c:pt idx="9">
                    <c:v>1.4339338015279263E-6</c:v>
                  </c:pt>
                  <c:pt idx="10">
                    <c:v>3.2491227927031254E-7</c:v>
                  </c:pt>
                  <c:pt idx="11">
                    <c:v>8.5994964618126993E-7</c:v>
                  </c:pt>
                  <c:pt idx="12">
                    <c:v>3.2444275285518198E-7</c:v>
                  </c:pt>
                  <c:pt idx="13">
                    <c:v>1.4339338015279263E-6</c:v>
                  </c:pt>
                </c:numCache>
              </c:numRef>
            </c:minus>
          </c:errBars>
          <c:xVal>
            <c:numRef>
              <c:f>Sheet1!$H$71:$H$84</c:f>
              <c:numCache>
                <c:formatCode>0.00</c:formatCode>
                <c:ptCount val="14"/>
                <c:pt idx="0">
                  <c:v>2.06</c:v>
                </c:pt>
                <c:pt idx="1">
                  <c:v>4.13</c:v>
                </c:pt>
                <c:pt idx="2">
                  <c:v>6.19</c:v>
                </c:pt>
                <c:pt idx="3">
                  <c:v>8.25</c:v>
                </c:pt>
                <c:pt idx="4">
                  <c:v>1.03</c:v>
                </c:pt>
                <c:pt idx="5">
                  <c:v>3.09</c:v>
                </c:pt>
                <c:pt idx="6">
                  <c:v>0.38</c:v>
                </c:pt>
                <c:pt idx="7">
                  <c:v>0.76</c:v>
                </c:pt>
                <c:pt idx="8">
                  <c:v>1.1499999999999999</c:v>
                </c:pt>
                <c:pt idx="9">
                  <c:v>1.53</c:v>
                </c:pt>
                <c:pt idx="10">
                  <c:v>9.5000000000000001E-2</c:v>
                </c:pt>
                <c:pt idx="11">
                  <c:v>0.191</c:v>
                </c:pt>
                <c:pt idx="12">
                  <c:v>0.28599999999999998</c:v>
                </c:pt>
                <c:pt idx="13">
                  <c:v>0.56999999999999995</c:v>
                </c:pt>
              </c:numCache>
            </c:numRef>
          </c:xVal>
          <c:yVal>
            <c:numRef>
              <c:f>Sheet1!$X$71:$X$84</c:f>
              <c:numCache>
                <c:formatCode>0.00E+00</c:formatCode>
                <c:ptCount val="14"/>
                <c:pt idx="0">
                  <c:v>1.2304382470119523E-5</c:v>
                </c:pt>
                <c:pt idx="1">
                  <c:v>1.02141065368157E-5</c:v>
                </c:pt>
                <c:pt idx="2">
                  <c:v>1.1423970783532536E-5</c:v>
                </c:pt>
                <c:pt idx="3">
                  <c:v>6.6583665338645421E-6</c:v>
                </c:pt>
                <c:pt idx="4">
                  <c:v>1.1925630810092961E-5</c:v>
                </c:pt>
                <c:pt idx="5">
                  <c:v>1.2196547144754317E-5</c:v>
                </c:pt>
                <c:pt idx="6">
                  <c:v>1.0021248339973439E-5</c:v>
                </c:pt>
                <c:pt idx="7">
                  <c:v>1.2086321381142098E-5</c:v>
                </c:pt>
                <c:pt idx="8">
                  <c:v>1.2545816733067729E-5</c:v>
                </c:pt>
                <c:pt idx="9">
                  <c:v>1.2851261620185921E-5</c:v>
                </c:pt>
                <c:pt idx="10">
                  <c:v>5.2018592297476763E-6</c:v>
                </c:pt>
                <c:pt idx="11">
                  <c:v>9.1288180610889774E-6</c:v>
                </c:pt>
                <c:pt idx="12">
                  <c:v>9.0272244355909685E-6</c:v>
                </c:pt>
                <c:pt idx="13">
                  <c:v>1.2851261620185921E-5</c:v>
                </c:pt>
              </c:numCache>
            </c:numRef>
          </c:yVal>
        </c:ser>
        <c:ser>
          <c:idx val="1"/>
          <c:order val="1"/>
          <c:tx>
            <c:strRef>
              <c:f>Sheet1!$AP$57</c:f>
              <c:strCache>
                <c:ptCount val="1"/>
                <c:pt idx="0">
                  <c:v> (a*K*sqrt(1+4*x/K)-a*K)/(b+x)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Sheet1!$AN$61:$AN$161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Sheet1!$AO$61:$AO$161</c:f>
              <c:numCache>
                <c:formatCode>General</c:formatCode>
                <c:ptCount val="101"/>
                <c:pt idx="0">
                  <c:v>0</c:v>
                </c:pt>
                <c:pt idx="1">
                  <c:v>5.3612514163661679E-6</c:v>
                </c:pt>
                <c:pt idx="2">
                  <c:v>8.0164778748599657E-6</c:v>
                </c:pt>
                <c:pt idx="3">
                  <c:v>9.5544839346930798E-6</c:v>
                </c:pt>
                <c:pt idx="4">
                  <c:v>1.0526955118998101E-5</c:v>
                </c:pt>
                <c:pt idx="5">
                  <c:v>1.1175647779982926E-5</c:v>
                </c:pt>
                <c:pt idx="6">
                  <c:v>1.1623021507667253E-5</c:v>
                </c:pt>
                <c:pt idx="7">
                  <c:v>1.1937608071818459E-5</c:v>
                </c:pt>
                <c:pt idx="8">
                  <c:v>1.2160661462748389E-5</c:v>
                </c:pt>
                <c:pt idx="9">
                  <c:v>1.2318437852249888E-5</c:v>
                </c:pt>
                <c:pt idx="10">
                  <c:v>1.2428397980851716E-5</c:v>
                </c:pt>
                <c:pt idx="11">
                  <c:v>1.250257243550811E-5</c:v>
                </c:pt>
                <c:pt idx="12">
                  <c:v>1.2549495708778731E-5</c:v>
                </c:pt>
                <c:pt idx="13">
                  <c:v>1.2575371541170345E-5</c:v>
                </c:pt>
                <c:pt idx="14">
                  <c:v>1.2584803422149535E-5</c:v>
                </c:pt>
                <c:pt idx="15">
                  <c:v>1.2581268156618981E-5</c:v>
                </c:pt>
                <c:pt idx="16">
                  <c:v>1.256743186505313E-5</c:v>
                </c:pt>
                <c:pt idx="17">
                  <c:v>1.2545366202222464E-5</c:v>
                </c:pt>
                <c:pt idx="18">
                  <c:v>1.2516699592745009E-5</c:v>
                </c:pt>
                <c:pt idx="19">
                  <c:v>1.2482725089831612E-5</c:v>
                </c:pt>
                <c:pt idx="20">
                  <c:v>1.2444478639801145E-5</c:v>
                </c:pt>
                <c:pt idx="21">
                  <c:v>1.2402796757819041E-5</c:v>
                </c:pt>
                <c:pt idx="22">
                  <c:v>1.2358359626791612E-5</c:v>
                </c:pt>
                <c:pt idx="23">
                  <c:v>1.2311723711323696E-5</c:v>
                </c:pt>
                <c:pt idx="24">
                  <c:v>1.2263346721019826E-5</c:v>
                </c:pt>
                <c:pt idx="25">
                  <c:v>1.2213606917814879E-5</c:v>
                </c:pt>
                <c:pt idx="26">
                  <c:v>1.2162818191695778E-5</c:v>
                </c:pt>
                <c:pt idx="27">
                  <c:v>1.2111241935563229E-5</c:v>
                </c:pt>
                <c:pt idx="28">
                  <c:v>1.205909647433998E-5</c:v>
                </c:pt>
                <c:pt idx="29">
                  <c:v>1.2006564607793151E-5</c:v>
                </c:pt>
                <c:pt idx="30">
                  <c:v>1.1953799685947628E-5</c:v>
                </c:pt>
                <c:pt idx="31">
                  <c:v>1.1900930533766657E-5</c:v>
                </c:pt>
                <c:pt idx="32">
                  <c:v>1.1848065466683468E-5</c:v>
                </c:pt>
                <c:pt idx="33">
                  <c:v>1.1795295582840396E-5</c:v>
                </c:pt>
                <c:pt idx="34">
                  <c:v>1.174269747614968E-5</c:v>
                </c:pt>
                <c:pt idx="35">
                  <c:v>1.1690335482749235E-5</c:v>
                </c:pt>
                <c:pt idx="36">
                  <c:v>1.1638263549398884E-5</c:v>
                </c:pt>
                <c:pt idx="37">
                  <c:v>1.1586526793917279E-5</c:v>
                </c:pt>
                <c:pt idx="38">
                  <c:v>1.1535162813497206E-5</c:v>
                </c:pt>
                <c:pt idx="39">
                  <c:v>1.1484202785633235E-5</c:v>
                </c:pt>
                <c:pt idx="40">
                  <c:v>1.1433672397695844E-5</c:v>
                </c:pt>
                <c:pt idx="41">
                  <c:v>1.1383592634327655E-5</c:v>
                </c:pt>
                <c:pt idx="42">
                  <c:v>1.1333980446399806E-5</c:v>
                </c:pt>
                <c:pt idx="43">
                  <c:v>1.1284849320931498E-5</c:v>
                </c:pt>
                <c:pt idx="44">
                  <c:v>1.1236209767902068E-5</c:v>
                </c:pt>
                <c:pt idx="45">
                  <c:v>1.1188069737087512E-5</c:v>
                </c:pt>
                <c:pt idx="46">
                  <c:v>1.1140434975790231E-5</c:v>
                </c:pt>
                <c:pt idx="47">
                  <c:v>1.1093309336491257E-5</c:v>
                </c:pt>
                <c:pt idx="48">
                  <c:v>1.1046695041953283E-5</c:v>
                </c:pt>
                <c:pt idx="49">
                  <c:v>1.100059291407248E-5</c:v>
                </c:pt>
                <c:pt idx="50">
                  <c:v>1.0955002571765273E-5</c:v>
                </c:pt>
                <c:pt idx="51">
                  <c:v>1.0909922602340505E-5</c:v>
                </c:pt>
                <c:pt idx="52">
                  <c:v>1.0865350710115207E-5</c:v>
                </c:pt>
                <c:pt idx="53">
                  <c:v>1.0821283845456386E-5</c:v>
                </c:pt>
                <c:pt idx="54">
                  <c:v>1.0777718316951156E-5</c:v>
                </c:pt>
                <c:pt idx="55">
                  <c:v>1.0734649889005591E-5</c:v>
                </c:pt>
                <c:pt idx="56">
                  <c:v>1.0692073866835725E-5</c:v>
                </c:pt>
                <c:pt idx="57">
                  <c:v>1.0649985170530074E-5</c:v>
                </c:pt>
                <c:pt idx="58">
                  <c:v>1.06083783996236E-5</c:v>
                </c:pt>
                <c:pt idx="59">
                  <c:v>1.056724788942051E-5</c:v>
                </c:pt>
                <c:pt idx="60">
                  <c:v>1.0526587760131078E-5</c:v>
                </c:pt>
                <c:pt idx="61">
                  <c:v>1.0486391959741683E-5</c:v>
                </c:pt>
                <c:pt idx="62">
                  <c:v>1.0446654301412434E-5</c:v>
                </c:pt>
                <c:pt idx="63">
                  <c:v>1.0407368496090387E-5</c:v>
                </c:pt>
                <c:pt idx="64">
                  <c:v>1.0368528180935122E-5</c:v>
                </c:pt>
                <c:pt idx="65">
                  <c:v>1.0330126944075166E-5</c:v>
                </c:pt>
                <c:pt idx="66">
                  <c:v>1.0292158346146681E-5</c:v>
                </c:pt>
                <c:pt idx="67">
                  <c:v>1.0254615939007547E-5</c:v>
                </c:pt>
                <c:pt idx="68">
                  <c:v>1.0217493281970418E-5</c:v>
                </c:pt>
                <c:pt idx="69">
                  <c:v>1.0180783955854703E-5</c:v>
                </c:pt>
                <c:pt idx="70">
                  <c:v>1.01444815751202E-5</c:v>
                </c:pt>
                <c:pt idx="71">
                  <c:v>1.0108579798312582E-5</c:v>
                </c:pt>
                <c:pt idx="72">
                  <c:v>1.0073072337022695E-5</c:v>
                </c:pt>
                <c:pt idx="73">
                  <c:v>1.0037952963537059E-5</c:v>
                </c:pt>
                <c:pt idx="74">
                  <c:v>1.0003215517335605E-5</c:v>
                </c:pt>
                <c:pt idx="75">
                  <c:v>9.9688539105739269E-6</c:v>
                </c:pt>
                <c:pt idx="76">
                  <c:v>9.9348621326710583E-6</c:v>
                </c:pt>
                <c:pt idx="77">
                  <c:v>9.9012342541094258E-6</c:v>
                </c:pt>
                <c:pt idx="78">
                  <c:v>9.8679644295411505E-6</c:v>
                </c:pt>
                <c:pt idx="79">
                  <c:v>9.835046900283907E-6</c:v>
                </c:pt>
                <c:pt idx="80">
                  <c:v>9.8024759962797728E-6</c:v>
                </c:pt>
                <c:pt idx="81">
                  <c:v>9.770246137582148E-6</c:v>
                </c:pt>
                <c:pt idx="82">
                  <c:v>9.7383518354282816E-6</c:v>
                </c:pt>
                <c:pt idx="83">
                  <c:v>9.7067876929483091E-6</c:v>
                </c:pt>
                <c:pt idx="84">
                  <c:v>9.6755484055560128E-6</c:v>
                </c:pt>
                <c:pt idx="85">
                  <c:v>9.6446287610612672E-6</c:v>
                </c:pt>
                <c:pt idx="86">
                  <c:v>9.6140236395396291E-6</c:v>
                </c:pt>
                <c:pt idx="87">
                  <c:v>9.5837280129905557E-6</c:v>
                </c:pt>
                <c:pt idx="88">
                  <c:v>9.5537369448121249E-6</c:v>
                </c:pt>
                <c:pt idx="89">
                  <c:v>9.5240455891170276E-6</c:v>
                </c:pt>
                <c:pt idx="90">
                  <c:v>9.4946491899117473E-6</c:v>
                </c:pt>
                <c:pt idx="91">
                  <c:v>9.4655430801584636E-6</c:v>
                </c:pt>
                <c:pt idx="92">
                  <c:v>9.4367226807369025E-6</c:v>
                </c:pt>
                <c:pt idx="93">
                  <c:v>9.4081834993214545E-6</c:v>
                </c:pt>
                <c:pt idx="94">
                  <c:v>9.3799211291871804E-6</c:v>
                </c:pt>
                <c:pt idx="95">
                  <c:v>9.3519312479567158E-6</c:v>
                </c:pt>
                <c:pt idx="96">
                  <c:v>9.3242096162986898E-6</c:v>
                </c:pt>
                <c:pt idx="97">
                  <c:v>9.2967520765871851E-6</c:v>
                </c:pt>
                <c:pt idx="98">
                  <c:v>9.2695545515304715E-6</c:v>
                </c:pt>
                <c:pt idx="99">
                  <c:v>9.2426130427764386E-6</c:v>
                </c:pt>
                <c:pt idx="100">
                  <c:v>9.215923629501248E-6</c:v>
                </c:pt>
              </c:numCache>
            </c:numRef>
          </c:yVal>
          <c:smooth val="1"/>
        </c:ser>
        <c:axId val="111002752"/>
        <c:axId val="111004288"/>
      </c:scatterChart>
      <c:valAx>
        <c:axId val="111002752"/>
        <c:scaling>
          <c:orientation val="minMax"/>
          <c:max val="8.3000000000000007"/>
          <c:min val="0"/>
        </c:scaling>
        <c:axPos val="b"/>
        <c:numFmt formatCode="0.00" sourceLinked="1"/>
        <c:tickLblPos val="nextTo"/>
        <c:crossAx val="111004288"/>
        <c:crosses val="autoZero"/>
        <c:crossBetween val="midCat"/>
      </c:valAx>
      <c:valAx>
        <c:axId val="111004288"/>
        <c:scaling>
          <c:orientation val="minMax"/>
          <c:max val="1.5000000000000043E-5"/>
          <c:min val="0"/>
        </c:scaling>
        <c:axPos val="l"/>
        <c:numFmt formatCode="0.0E+0" sourceLinked="0"/>
        <c:tickLblPos val="nextTo"/>
        <c:crossAx val="111002752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title>
      <c:layout/>
    </c:title>
    <c:plotArea>
      <c:layout>
        <c:manualLayout>
          <c:layoutTarget val="inner"/>
          <c:xMode val="edge"/>
          <c:yMode val="edge"/>
          <c:x val="4.9146511131553994E-2"/>
          <c:y val="0.24574302799383024"/>
          <c:w val="0.87288829186275119"/>
          <c:h val="0.63496004055166888"/>
        </c:manualLayout>
      </c:layout>
      <c:barChart>
        <c:barDir val="bar"/>
        <c:grouping val="clustered"/>
        <c:ser>
          <c:idx val="0"/>
          <c:order val="0"/>
          <c:tx>
            <c:strRef>
              <c:f>[1]Sheet12!$A$160</c:f>
              <c:strCache>
                <c:ptCount val="1"/>
                <c:pt idx="0">
                  <c:v>TS(CA)-RC(CA) 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2700" cmpd="sng">
              <a:solidFill>
                <a:sysClr val="windowText" lastClr="000000"/>
              </a:solidFill>
              <a:prstDash val="solid"/>
            </a:ln>
          </c:spPr>
          <c:cat>
            <c:numRef>
              <c:f>[1]Sheet12!$B$158:$G$158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[1]Sheet12!$B$160:$G$160</c:f>
              <c:numCache>
                <c:formatCode>General</c:formatCode>
                <c:ptCount val="6"/>
                <c:pt idx="0">
                  <c:v>30.770557565730996</c:v>
                </c:pt>
                <c:pt idx="1">
                  <c:v>9.5524836938129738</c:v>
                </c:pt>
                <c:pt idx="2">
                  <c:v>-0.62723167205695063</c:v>
                </c:pt>
                <c:pt idx="3">
                  <c:v>-6.9490127920871601</c:v>
                </c:pt>
                <c:pt idx="4">
                  <c:v>1.1399653401458636</c:v>
                </c:pt>
                <c:pt idx="5">
                  <c:v>0.93157949740998447</c:v>
                </c:pt>
              </c:numCache>
            </c:numRef>
          </c:val>
        </c:ser>
        <c:ser>
          <c:idx val="1"/>
          <c:order val="1"/>
          <c:tx>
            <c:strRef>
              <c:f>[1]Sheet12!$A$161</c:f>
              <c:strCache>
                <c:ptCount val="1"/>
                <c:pt idx="0">
                  <c:v>TS(CB)-RC(CB) 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 w="0">
              <a:solidFill>
                <a:sysClr val="windowText" lastClr="000000"/>
              </a:solidFill>
              <a:prstDash val="solid"/>
            </a:ln>
          </c:spPr>
          <c:cat>
            <c:numRef>
              <c:f>[1]Sheet12!$B$158:$G$158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[1]Sheet12!$B$161:$G$161</c:f>
              <c:numCache>
                <c:formatCode>General</c:formatCode>
                <c:ptCount val="6"/>
                <c:pt idx="0">
                  <c:v>22.383952885400504</c:v>
                </c:pt>
                <c:pt idx="1">
                  <c:v>-1.4353864692384377</c:v>
                </c:pt>
                <c:pt idx="2">
                  <c:v>-2.4579132463550195</c:v>
                </c:pt>
                <c:pt idx="3">
                  <c:v>-5.1588689198251814</c:v>
                </c:pt>
                <c:pt idx="4">
                  <c:v>-0.55327136989217252</c:v>
                </c:pt>
                <c:pt idx="5">
                  <c:v>-0.58412098104599863</c:v>
                </c:pt>
              </c:numCache>
            </c:numRef>
          </c:val>
        </c:ser>
        <c:ser>
          <c:idx val="2"/>
          <c:order val="2"/>
          <c:tx>
            <c:strRef>
              <c:f>[1]Sheet12!$A$162</c:f>
              <c:strCache>
                <c:ptCount val="1"/>
                <c:pt idx="0">
                  <c:v>TS(CC)-RC(CC) 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2700">
              <a:solidFill>
                <a:sysClr val="windowText" lastClr="000000"/>
              </a:solidFill>
              <a:prstDash val="solid"/>
            </a:ln>
          </c:spPr>
          <c:cat>
            <c:numRef>
              <c:f>[1]Sheet12!$B$158:$G$158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[1]Sheet12!$B$162:$G$162</c:f>
              <c:numCache>
                <c:formatCode>General</c:formatCode>
                <c:ptCount val="6"/>
                <c:pt idx="0">
                  <c:v>16.68795941316057</c:v>
                </c:pt>
                <c:pt idx="1">
                  <c:v>1.5111058556940407</c:v>
                </c:pt>
                <c:pt idx="2">
                  <c:v>-1.6798729210859165</c:v>
                </c:pt>
                <c:pt idx="3">
                  <c:v>-7.3303927533561364</c:v>
                </c:pt>
                <c:pt idx="4">
                  <c:v>-1.1461877723922953</c:v>
                </c:pt>
                <c:pt idx="5">
                  <c:v>-0.12618147442117333</c:v>
                </c:pt>
              </c:numCache>
            </c:numRef>
          </c:val>
        </c:ser>
        <c:ser>
          <c:idx val="3"/>
          <c:order val="3"/>
          <c:tx>
            <c:strRef>
              <c:f>[1]Sheet12!$A$163</c:f>
              <c:strCache>
                <c:ptCount val="1"/>
                <c:pt idx="0">
                  <c:v>TS(CD)-RC(CD)  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 w="12700" cmpd="sng">
              <a:solidFill>
                <a:schemeClr val="tx1"/>
              </a:solidFill>
              <a:prstDash val="solid"/>
            </a:ln>
          </c:spPr>
          <c:cat>
            <c:numRef>
              <c:f>[1]Sheet12!$B$158:$G$158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[1]Sheet12!$B$163:$G$163</c:f>
              <c:numCache>
                <c:formatCode>General</c:formatCode>
                <c:ptCount val="6"/>
                <c:pt idx="0">
                  <c:v>-0.69688615621998906</c:v>
                </c:pt>
                <c:pt idx="1">
                  <c:v>0.33244066289626062</c:v>
                </c:pt>
                <c:pt idx="2">
                  <c:v>1.0985349685652182</c:v>
                </c:pt>
                <c:pt idx="3">
                  <c:v>-2.7839476919034496</c:v>
                </c:pt>
                <c:pt idx="4">
                  <c:v>-0.52922180050518364</c:v>
                </c:pt>
                <c:pt idx="5">
                  <c:v>-0.27271056431345642</c:v>
                </c:pt>
              </c:numCache>
            </c:numRef>
          </c:val>
        </c:ser>
        <c:axId val="111121920"/>
        <c:axId val="111123456"/>
      </c:barChart>
      <c:catAx>
        <c:axId val="111121920"/>
        <c:scaling>
          <c:orientation val="minMax"/>
        </c:scaling>
        <c:axPos val="l"/>
        <c:numFmt formatCode="General" sourceLinked="1"/>
        <c:majorTickMark val="none"/>
        <c:tickLblPos val="none"/>
        <c:spPr>
          <a:noFill/>
        </c:spPr>
        <c:crossAx val="111123456"/>
        <c:crosses val="autoZero"/>
        <c:auto val="1"/>
        <c:lblAlgn val="ctr"/>
        <c:lblOffset val="100"/>
        <c:tickLblSkip val="10"/>
      </c:catAx>
      <c:valAx>
        <c:axId val="111123456"/>
        <c:scaling>
          <c:orientation val="minMax"/>
          <c:min val="-15"/>
        </c:scaling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da-DK" sz="1200"/>
                  <a:t>kJ/mol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200"/>
            </a:pPr>
            <a:endParaRPr lang="da-DK"/>
          </a:p>
        </c:txPr>
        <c:crossAx val="111121920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64540423280423365"/>
          <c:y val="0.25173744037321327"/>
          <c:w val="0.30717910052910052"/>
          <c:h val="0.30379319566186302"/>
        </c:manualLayout>
      </c:layout>
      <c:overlay val="1"/>
    </c:legend>
    <c:plotVisOnly val="1"/>
  </c:chart>
  <c:spPr>
    <a:ln w="0">
      <a:solidFill>
        <a:schemeClr val="bg1"/>
      </a:solidFill>
    </a:ln>
  </c:spPr>
  <c:printSettings>
    <c:headerFooter/>
    <c:pageMargins b="0.750000000000004" l="0.70000000000000062" r="0.70000000000000062" t="0.750000000000004" header="0.30000000000000032" footer="0.30000000000000032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title>
      <c:tx>
        <c:rich>
          <a:bodyPr/>
          <a:lstStyle/>
          <a:p>
            <a:pPr>
              <a:defRPr/>
            </a:pPr>
            <a:r>
              <a:rPr lang="en-US"/>
              <a:t>BX//B1</a:t>
            </a:r>
            <a:r>
              <a:rPr lang="da-DK" sz="1800" b="1" i="0" u="none" strike="noStrike" baseline="0"/>
              <a:t>-B5//B5</a:t>
            </a:r>
            <a:endParaRPr lang="en-US"/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[1]Sheet12!$C$172</c:f>
              <c:strCache>
                <c:ptCount val="1"/>
                <c:pt idx="0">
                  <c:v>CA (RC-&gt;TS)</c:v>
                </c:pt>
              </c:strCache>
            </c:strRef>
          </c:tx>
          <c:cat>
            <c:numRef>
              <c:f>[1]Sheet12!$D$170:$H$170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[1]Sheet12!$D$172:$H$172</c:f>
              <c:numCache>
                <c:formatCode>General</c:formatCode>
                <c:ptCount val="5"/>
                <c:pt idx="0">
                  <c:v>30.770557565730996</c:v>
                </c:pt>
                <c:pt idx="1">
                  <c:v>8.0966918477788568</c:v>
                </c:pt>
                <c:pt idx="2">
                  <c:v>-3.3697174863191321</c:v>
                </c:pt>
                <c:pt idx="3">
                  <c:v>-10.38749996945262</c:v>
                </c:pt>
                <c:pt idx="4">
                  <c:v>-1.058338581235148</c:v>
                </c:pt>
              </c:numCache>
            </c:numRef>
          </c:val>
        </c:ser>
        <c:ser>
          <c:idx val="1"/>
          <c:order val="1"/>
          <c:tx>
            <c:strRef>
              <c:f>[1]Sheet12!$C$173</c:f>
              <c:strCache>
                <c:ptCount val="1"/>
                <c:pt idx="0">
                  <c:v>CB (RC-&gt;TS)</c:v>
                </c:pt>
              </c:strCache>
            </c:strRef>
          </c:tx>
          <c:cat>
            <c:numRef>
              <c:f>[1]Sheet12!$D$170:$H$170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[1]Sheet12!$D$173:$H$173</c:f>
              <c:numCache>
                <c:formatCode>General</c:formatCode>
                <c:ptCount val="5"/>
                <c:pt idx="0">
                  <c:v>22.383952885400504</c:v>
                </c:pt>
                <c:pt idx="1">
                  <c:v>-2.7277620165841654</c:v>
                </c:pt>
                <c:pt idx="2">
                  <c:v>-4.6254305683542043</c:v>
                </c:pt>
                <c:pt idx="3">
                  <c:v>-8.8907293375814334</c:v>
                </c:pt>
                <c:pt idx="4">
                  <c:v>-1.6692081446526572</c:v>
                </c:pt>
              </c:numCache>
            </c:numRef>
          </c:val>
        </c:ser>
        <c:ser>
          <c:idx val="2"/>
          <c:order val="2"/>
          <c:tx>
            <c:strRef>
              <c:f>[1]Sheet12!$C$174</c:f>
              <c:strCache>
                <c:ptCount val="1"/>
                <c:pt idx="0">
                  <c:v>CC (RC-&gt;TS)</c:v>
                </c:pt>
              </c:strCache>
            </c:strRef>
          </c:tx>
          <c:cat>
            <c:numRef>
              <c:f>[1]Sheet12!$D$170:$H$170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[1]Sheet12!$D$174:$H$174</c:f>
              <c:numCache>
                <c:formatCode>General</c:formatCode>
                <c:ptCount val="5"/>
                <c:pt idx="0">
                  <c:v>16.68795941316057</c:v>
                </c:pt>
                <c:pt idx="1">
                  <c:v>0.82311488932464272</c:v>
                </c:pt>
                <c:pt idx="2">
                  <c:v>-2.7351659236010164</c:v>
                </c:pt>
                <c:pt idx="3">
                  <c:v>-9.6758663865039125</c:v>
                </c:pt>
                <c:pt idx="4">
                  <c:v>-1.1311226604739204</c:v>
                </c:pt>
              </c:numCache>
            </c:numRef>
          </c:val>
        </c:ser>
        <c:ser>
          <c:idx val="3"/>
          <c:order val="3"/>
          <c:tx>
            <c:strRef>
              <c:f>[1]Sheet12!$C$175</c:f>
              <c:strCache>
                <c:ptCount val="1"/>
                <c:pt idx="0">
                  <c:v>CD (RC2-&gt;TS)</c:v>
                </c:pt>
              </c:strCache>
            </c:strRef>
          </c:tx>
          <c:cat>
            <c:numRef>
              <c:f>[1]Sheet12!$D$170:$H$170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[1]Sheet12!$D$175:$H$175</c:f>
              <c:numCache>
                <c:formatCode>General</c:formatCode>
                <c:ptCount val="5"/>
                <c:pt idx="0">
                  <c:v>-0.69688615621998906</c:v>
                </c:pt>
                <c:pt idx="1">
                  <c:v>-2.6396765373647213E-2</c:v>
                </c:pt>
                <c:pt idx="2">
                  <c:v>0.14167191716842353</c:v>
                </c:pt>
                <c:pt idx="3">
                  <c:v>-4.1805686706211418</c:v>
                </c:pt>
                <c:pt idx="4">
                  <c:v>-1.5571098462678492</c:v>
                </c:pt>
              </c:numCache>
            </c:numRef>
          </c:val>
        </c:ser>
        <c:axId val="111170304"/>
        <c:axId val="111171840"/>
      </c:barChart>
      <c:catAx>
        <c:axId val="111170304"/>
        <c:scaling>
          <c:orientation val="minMax"/>
        </c:scaling>
        <c:delete val="1"/>
        <c:axPos val="b"/>
        <c:numFmt formatCode="General" sourceLinked="1"/>
        <c:tickLblPos val="none"/>
        <c:crossAx val="111171840"/>
        <c:crosses val="autoZero"/>
        <c:auto val="1"/>
        <c:lblAlgn val="ctr"/>
        <c:lblOffset val="100"/>
      </c:catAx>
      <c:valAx>
        <c:axId val="111171840"/>
        <c:scaling>
          <c:orientation val="minMax"/>
        </c:scaling>
        <c:axPos val="l"/>
        <c:numFmt formatCode="General" sourceLinked="1"/>
        <c:tickLblPos val="nextTo"/>
        <c:crossAx val="11117030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52205974159979462"/>
          <c:y val="0.20572869774538721"/>
          <c:w val="0.34847783200124338"/>
          <c:h val="0.38989726812323788"/>
        </c:manualLayout>
      </c:layout>
      <c:overlay val="1"/>
    </c:legend>
    <c:plotVisOnly val="1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title>
      <c:tx>
        <c:rich>
          <a:bodyPr/>
          <a:lstStyle/>
          <a:p>
            <a:pPr>
              <a:defRPr/>
            </a:pPr>
            <a:r>
              <a:rPr lang="en-US"/>
              <a:t>BX//B3</a:t>
            </a:r>
            <a:r>
              <a:rPr lang="da-DK" sz="1800" b="1" i="0" u="none" strike="noStrike" baseline="0"/>
              <a:t>-B5//B5</a:t>
            </a:r>
            <a:endParaRPr lang="en-US"/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[1]Sheet12!$C$198</c:f>
              <c:strCache>
                <c:ptCount val="1"/>
                <c:pt idx="0">
                  <c:v>CA (RC-&gt;TS)</c:v>
                </c:pt>
              </c:strCache>
            </c:strRef>
          </c:tx>
          <c:xVal>
            <c:numRef>
              <c:f>[1]Sheet12!$D$196:$F$196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[1]Sheet12!$D$198:$F$198</c:f>
              <c:numCache>
                <c:formatCode>General</c:formatCode>
                <c:ptCount val="3"/>
                <c:pt idx="0">
                  <c:v>-1.7671970122028142</c:v>
                </c:pt>
                <c:pt idx="1">
                  <c:v>-8.1805135235190392</c:v>
                </c:pt>
                <c:pt idx="2">
                  <c:v>-0.24256458657328039</c:v>
                </c:pt>
              </c:numCache>
            </c:numRef>
          </c:yVal>
        </c:ser>
        <c:ser>
          <c:idx val="1"/>
          <c:order val="1"/>
          <c:tx>
            <c:strRef>
              <c:f>[1]Sheet12!$C$199</c:f>
              <c:strCache>
                <c:ptCount val="1"/>
                <c:pt idx="0">
                  <c:v>CB (RC-&gt;TS)</c:v>
                </c:pt>
              </c:strCache>
            </c:strRef>
          </c:tx>
          <c:xVal>
            <c:numRef>
              <c:f>[1]Sheet12!$D$196:$F$196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[1]Sheet12!$D$199:$F$199</c:f>
              <c:numCache>
                <c:formatCode>General</c:formatCode>
                <c:ptCount val="3"/>
                <c:pt idx="0">
                  <c:v>-1.904641876462847</c:v>
                </c:pt>
                <c:pt idx="1">
                  <c:v>-4.850223153247498</c:v>
                </c:pt>
                <c:pt idx="2">
                  <c:v>5.382010038010776E-2</c:v>
                </c:pt>
              </c:numCache>
            </c:numRef>
          </c:yVal>
        </c:ser>
        <c:ser>
          <c:idx val="2"/>
          <c:order val="2"/>
          <c:tx>
            <c:strRef>
              <c:f>[1]Sheet12!$C$201</c:f>
              <c:strCache>
                <c:ptCount val="1"/>
                <c:pt idx="0">
                  <c:v>CD (RC2-&gt;TS)</c:v>
                </c:pt>
              </c:strCache>
            </c:strRef>
          </c:tx>
          <c:xVal>
            <c:numRef>
              <c:f>[1]Sheet12!$D$196:$F$196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[1]Sheet12!$D$201:$F$201</c:f>
              <c:numCache>
                <c:formatCode>General</c:formatCode>
                <c:ptCount val="3"/>
                <c:pt idx="0">
                  <c:v>1.6277567690704018</c:v>
                </c:pt>
                <c:pt idx="1">
                  <c:v>-2.3542296717641875</c:v>
                </c:pt>
                <c:pt idx="2">
                  <c:v>1.6456626821309328E-2</c:v>
                </c:pt>
              </c:numCache>
            </c:numRef>
          </c:yVal>
        </c:ser>
        <c:ser>
          <c:idx val="3"/>
          <c:order val="3"/>
          <c:tx>
            <c:strRef>
              <c:f>[1]Sheet12!$C$200</c:f>
              <c:strCache>
                <c:ptCount val="1"/>
                <c:pt idx="0">
                  <c:v>CC (RC-&gt;TS)</c:v>
                </c:pt>
              </c:strCache>
            </c:strRef>
          </c:tx>
          <c:xVal>
            <c:numRef>
              <c:f>[1]Sheet12!$D$196:$F$196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[1]Sheet12!$D$200:$F$200</c:f>
              <c:numCache>
                <c:formatCode>General</c:formatCode>
                <c:ptCount val="3"/>
                <c:pt idx="0">
                  <c:v>-0.53368514869362116</c:v>
                </c:pt>
                <c:pt idx="1">
                  <c:v>-6.3461903827264905</c:v>
                </c:pt>
                <c:pt idx="2">
                  <c:v>-0.22771213948726654</c:v>
                </c:pt>
              </c:numCache>
            </c:numRef>
          </c:yVal>
        </c:ser>
        <c:axId val="111210880"/>
        <c:axId val="111212416"/>
      </c:scatterChart>
      <c:valAx>
        <c:axId val="111210880"/>
        <c:scaling>
          <c:orientation val="minMax"/>
          <c:max val="4"/>
        </c:scaling>
        <c:delete val="1"/>
        <c:axPos val="b"/>
        <c:numFmt formatCode="@" sourceLinked="0"/>
        <c:tickLblPos val="none"/>
        <c:crossAx val="111212416"/>
        <c:crosses val="autoZero"/>
        <c:crossBetween val="midCat"/>
      </c:valAx>
      <c:valAx>
        <c:axId val="111212416"/>
        <c:scaling>
          <c:orientation val="minMax"/>
        </c:scaling>
        <c:axPos val="l"/>
        <c:majorGridlines/>
        <c:numFmt formatCode="General" sourceLinked="1"/>
        <c:tickLblPos val="nextTo"/>
        <c:crossAx val="111210880"/>
        <c:crosses val="autoZero"/>
        <c:crossBetween val="midCat"/>
        <c:majorUnit val="5"/>
      </c:valAx>
    </c:plotArea>
    <c:legend>
      <c:legendPos val="r"/>
    </c:legend>
    <c:plotVisOnly val="1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title>
      <c:tx>
        <c:rich>
          <a:bodyPr/>
          <a:lstStyle/>
          <a:p>
            <a:pPr>
              <a:defRPr/>
            </a:pPr>
            <a:r>
              <a:rPr lang="en-US"/>
              <a:t>BX//B2</a:t>
            </a:r>
            <a:r>
              <a:rPr lang="da-DK" sz="1800" b="1" i="0" u="none" strike="noStrike" baseline="0"/>
              <a:t>-B5//B5</a:t>
            </a:r>
            <a:endParaRPr lang="en-US"/>
          </a:p>
        </c:rich>
      </c:tx>
    </c:title>
    <c:plotArea>
      <c:layout>
        <c:manualLayout>
          <c:layoutTarget val="inner"/>
          <c:xMode val="edge"/>
          <c:yMode val="edge"/>
          <c:x val="0.13942469348149286"/>
          <c:y val="0.19101014576063921"/>
          <c:w val="0.52037808073337066"/>
          <c:h val="0.75271328614999655"/>
        </c:manualLayout>
      </c:layout>
      <c:barChart>
        <c:barDir val="col"/>
        <c:grouping val="clustered"/>
        <c:ser>
          <c:idx val="0"/>
          <c:order val="0"/>
          <c:tx>
            <c:strRef>
              <c:f>[1]Sheet12!$C$185</c:f>
              <c:strCache>
                <c:ptCount val="1"/>
                <c:pt idx="0">
                  <c:v>CA (RC-&gt;TS)</c:v>
                </c:pt>
              </c:strCache>
            </c:strRef>
          </c:tx>
          <c:cat>
            <c:numRef>
              <c:f>[1]Sheet12!$D$183:$G$183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[1]Sheet12!$D$185:$G$185</c:f>
              <c:numCache>
                <c:formatCode>General</c:formatCode>
                <c:ptCount val="4"/>
                <c:pt idx="0">
                  <c:v>8.6209041964029893</c:v>
                </c:pt>
                <c:pt idx="1">
                  <c:v>-1.9156873497413471</c:v>
                </c:pt>
                <c:pt idx="2">
                  <c:v>-8.477804007823579</c:v>
                </c:pt>
                <c:pt idx="3">
                  <c:v>-0.55596250621601939</c:v>
                </c:pt>
              </c:numCache>
            </c:numRef>
          </c:val>
        </c:ser>
        <c:ser>
          <c:idx val="1"/>
          <c:order val="1"/>
          <c:tx>
            <c:strRef>
              <c:f>[1]Sheet12!$C$186</c:f>
              <c:strCache>
                <c:ptCount val="1"/>
                <c:pt idx="0">
                  <c:v>CB (RC-&gt;TS)</c:v>
                </c:pt>
              </c:strCache>
            </c:strRef>
          </c:tx>
          <c:cat>
            <c:numRef>
              <c:f>[1]Sheet12!$D$183:$G$183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[1]Sheet12!$D$186:$G$186</c:f>
              <c:numCache>
                <c:formatCode>General</c:formatCode>
                <c:ptCount val="4"/>
                <c:pt idx="0">
                  <c:v>-0.85126548819243908</c:v>
                </c:pt>
                <c:pt idx="1">
                  <c:v>-1.9149128278950229</c:v>
                </c:pt>
                <c:pt idx="2">
                  <c:v>-6.3178481229115278</c:v>
                </c:pt>
                <c:pt idx="3">
                  <c:v>4.2963662766851485E-2</c:v>
                </c:pt>
              </c:numCache>
            </c:numRef>
          </c:val>
        </c:ser>
        <c:ser>
          <c:idx val="2"/>
          <c:order val="2"/>
          <c:tx>
            <c:strRef>
              <c:f>[1]Sheet12!$C$187</c:f>
              <c:strCache>
                <c:ptCount val="1"/>
                <c:pt idx="0">
                  <c:v>CC (RC-&gt;TS)</c:v>
                </c:pt>
              </c:strCache>
            </c:strRef>
          </c:tx>
          <c:cat>
            <c:numRef>
              <c:f>[1]Sheet12!$D$183:$G$183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[1]Sheet12!$D$187:$G$187</c:f>
              <c:numCache>
                <c:formatCode>General</c:formatCode>
                <c:ptCount val="4"/>
                <c:pt idx="0">
                  <c:v>1.637287330115214</c:v>
                </c:pt>
                <c:pt idx="1">
                  <c:v>-1.830219486146234</c:v>
                </c:pt>
                <c:pt idx="2">
                  <c:v>-7.7560359990457073</c:v>
                </c:pt>
                <c:pt idx="3">
                  <c:v>-0.28644979954697192</c:v>
                </c:pt>
              </c:numCache>
            </c:numRef>
          </c:val>
        </c:ser>
        <c:ser>
          <c:idx val="3"/>
          <c:order val="3"/>
          <c:tx>
            <c:strRef>
              <c:f>[1]Sheet12!$C$188</c:f>
              <c:strCache>
                <c:ptCount val="1"/>
                <c:pt idx="0">
                  <c:v>CD (RC2-&gt;TS)</c:v>
                </c:pt>
              </c:strCache>
            </c:strRef>
          </c:tx>
          <c:cat>
            <c:numRef>
              <c:f>[1]Sheet12!$D$183:$G$183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[1]Sheet12!$D$188:$G$188</c:f>
              <c:numCache>
                <c:formatCode>General</c:formatCode>
                <c:ptCount val="4"/>
                <c:pt idx="0">
                  <c:v>0.60515122720971704</c:v>
                </c:pt>
                <c:pt idx="1">
                  <c:v>0.95803927490487695</c:v>
                </c:pt>
                <c:pt idx="2">
                  <c:v>-3.048243532073684</c:v>
                </c:pt>
                <c:pt idx="3">
                  <c:v>-0.3447752563515678</c:v>
                </c:pt>
              </c:numCache>
            </c:numRef>
          </c:val>
        </c:ser>
        <c:axId val="111362048"/>
        <c:axId val="111363584"/>
      </c:barChart>
      <c:catAx>
        <c:axId val="111362048"/>
        <c:scaling>
          <c:orientation val="minMax"/>
        </c:scaling>
        <c:delete val="1"/>
        <c:axPos val="b"/>
        <c:numFmt formatCode="General" sourceLinked="1"/>
        <c:tickLblPos val="none"/>
        <c:crossAx val="111363584"/>
        <c:crosses val="autoZero"/>
        <c:auto val="1"/>
        <c:lblAlgn val="ctr"/>
        <c:lblOffset val="100"/>
      </c:catAx>
      <c:valAx>
        <c:axId val="111363584"/>
        <c:scaling>
          <c:orientation val="minMax"/>
        </c:scaling>
        <c:axPos val="l"/>
        <c:majorGridlines/>
        <c:numFmt formatCode="General" sourceLinked="1"/>
        <c:tickLblPos val="nextTo"/>
        <c:crossAx val="111362048"/>
        <c:crosses val="autoZero"/>
        <c:crossBetween val="between"/>
        <c:majorUnit val="5"/>
      </c:valAx>
    </c:plotArea>
    <c:legend>
      <c:legendPos val="r"/>
    </c:legend>
    <c:plotVisOnly val="1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title>
      <c:tx>
        <c:rich>
          <a:bodyPr/>
          <a:lstStyle/>
          <a:p>
            <a:pPr>
              <a:defRPr/>
            </a:pPr>
            <a:r>
              <a:rPr lang="en-US"/>
              <a:t>BX//B4</a:t>
            </a:r>
            <a:r>
              <a:rPr lang="da-DK" sz="1800" b="1" i="0" u="none" strike="noStrike" baseline="0"/>
              <a:t>-B5//B5</a:t>
            </a:r>
            <a:endParaRPr lang="en-US"/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[1]Sheet12!$A$161</c:f>
              <c:strCache>
                <c:ptCount val="1"/>
                <c:pt idx="0">
                  <c:v>TS(CB)-RC(CB) </c:v>
                </c:pt>
              </c:strCache>
            </c:strRef>
          </c:tx>
          <c:xVal>
            <c:numRef>
              <c:f>[1]Sheet12!$B$158:$F$158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[1]Sheet12!$B$161:$F$161</c:f>
              <c:numCache>
                <c:formatCode>General</c:formatCode>
                <c:ptCount val="5"/>
                <c:pt idx="0">
                  <c:v>22.383952885400504</c:v>
                </c:pt>
                <c:pt idx="1">
                  <c:v>-1.4353864692384377</c:v>
                </c:pt>
                <c:pt idx="2">
                  <c:v>-2.4579132463550195</c:v>
                </c:pt>
                <c:pt idx="3">
                  <c:v>-5.1588689198251814</c:v>
                </c:pt>
                <c:pt idx="4">
                  <c:v>-0.55327136989217252</c:v>
                </c:pt>
              </c:numCache>
            </c:numRef>
          </c:yVal>
        </c:ser>
        <c:ser>
          <c:idx val="1"/>
          <c:order val="1"/>
          <c:tx>
            <c:strRef>
              <c:f>[1]Sheet12!$A$162</c:f>
              <c:strCache>
                <c:ptCount val="1"/>
                <c:pt idx="0">
                  <c:v>TS(CC)-RC(CC) </c:v>
                </c:pt>
              </c:strCache>
            </c:strRef>
          </c:tx>
          <c:xVal>
            <c:numRef>
              <c:f>[1]Sheet12!$B$158:$F$158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[1]Sheet12!$B$162:$F$162</c:f>
              <c:numCache>
                <c:formatCode>General</c:formatCode>
                <c:ptCount val="5"/>
                <c:pt idx="0">
                  <c:v>16.68795941316057</c:v>
                </c:pt>
                <c:pt idx="1">
                  <c:v>1.5111058556940407</c:v>
                </c:pt>
                <c:pt idx="2">
                  <c:v>-1.6798729210859165</c:v>
                </c:pt>
                <c:pt idx="3">
                  <c:v>-7.3303927533561364</c:v>
                </c:pt>
                <c:pt idx="4">
                  <c:v>-1.1461877723922953</c:v>
                </c:pt>
              </c:numCache>
            </c:numRef>
          </c:yVal>
        </c:ser>
        <c:ser>
          <c:idx val="2"/>
          <c:order val="2"/>
          <c:tx>
            <c:strRef>
              <c:f>[1]Sheet12!$A$163</c:f>
              <c:strCache>
                <c:ptCount val="1"/>
                <c:pt idx="0">
                  <c:v>TS(CD)-RC(CD)  </c:v>
                </c:pt>
              </c:strCache>
            </c:strRef>
          </c:tx>
          <c:xVal>
            <c:numRef>
              <c:f>[1]Sheet12!$C$158:$F$158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[1]Sheet12!$C$163:$F$163</c:f>
              <c:numCache>
                <c:formatCode>General</c:formatCode>
                <c:ptCount val="4"/>
                <c:pt idx="0">
                  <c:v>0.33244066289626062</c:v>
                </c:pt>
                <c:pt idx="1">
                  <c:v>1.0985349685652182</c:v>
                </c:pt>
                <c:pt idx="2">
                  <c:v>-2.7839476919034496</c:v>
                </c:pt>
                <c:pt idx="3">
                  <c:v>-0.52922180050518364</c:v>
                </c:pt>
              </c:numCache>
            </c:numRef>
          </c:yVal>
        </c:ser>
        <c:axId val="111393408"/>
        <c:axId val="111403392"/>
      </c:scatterChart>
      <c:valAx>
        <c:axId val="111393408"/>
        <c:scaling>
          <c:orientation val="minMax"/>
          <c:max val="6"/>
        </c:scaling>
        <c:delete val="1"/>
        <c:axPos val="b"/>
        <c:numFmt formatCode="@" sourceLinked="0"/>
        <c:tickLblPos val="none"/>
        <c:crossAx val="111403392"/>
        <c:crosses val="autoZero"/>
        <c:crossBetween val="midCat"/>
      </c:valAx>
      <c:valAx>
        <c:axId val="111403392"/>
        <c:scaling>
          <c:orientation val="minMax"/>
        </c:scaling>
        <c:axPos val="l"/>
        <c:majorGridlines/>
        <c:numFmt formatCode="General" sourceLinked="1"/>
        <c:tickLblPos val="nextTo"/>
        <c:crossAx val="111393408"/>
        <c:crosses val="autoZero"/>
        <c:crossBetween val="midCat"/>
        <c:majorUnit val="5"/>
      </c:valAx>
    </c:plotArea>
    <c:legend>
      <c:legendPos val="r"/>
    </c:legend>
    <c:plotVisOnly val="1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Eq val="1"/>
            <c:trendlineLbl>
              <c:layout>
                <c:manualLayout>
                  <c:x val="-0.12441251093613317"/>
                  <c:y val="-0.19672278634915616"/>
                </c:manualLayout>
              </c:layout>
              <c:numFmt formatCode="General" sourceLinked="0"/>
            </c:trendlineLbl>
          </c:trendline>
          <c:xVal>
            <c:numRef>
              <c:f>Sheet4!$S$133:$S$139</c:f>
              <c:numCache>
                <c:formatCode>0.0E+00</c:formatCode>
                <c:ptCount val="7"/>
                <c:pt idx="0">
                  <c:v>3.3333333333333335E-3</c:v>
                </c:pt>
                <c:pt idx="1">
                  <c:v>2.8571428571428571E-3</c:v>
                </c:pt>
                <c:pt idx="2">
                  <c:v>2.5000000000000001E-3</c:v>
                </c:pt>
                <c:pt idx="3">
                  <c:v>2.2222222222222222E-3</c:v>
                </c:pt>
                <c:pt idx="4">
                  <c:v>2E-3</c:v>
                </c:pt>
                <c:pt idx="5">
                  <c:v>1.8181818181818182E-3</c:v>
                </c:pt>
                <c:pt idx="6">
                  <c:v>1.6666666666666668E-3</c:v>
                </c:pt>
              </c:numCache>
            </c:numRef>
          </c:xVal>
          <c:yVal>
            <c:numRef>
              <c:f>Sheet4!$T$133:$T$139</c:f>
              <c:numCache>
                <c:formatCode>0.0</c:formatCode>
                <c:ptCount val="7"/>
                <c:pt idx="0">
                  <c:v>-113.35075503051621</c:v>
                </c:pt>
                <c:pt idx="1">
                  <c:v>-88.724641920472038</c:v>
                </c:pt>
                <c:pt idx="2">
                  <c:v>-70.222928829527305</c:v>
                </c:pt>
                <c:pt idx="3">
                  <c:v>-55.597739741060089</c:v>
                </c:pt>
                <c:pt idx="4">
                  <c:v>57.92411766957769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</c:ser>
        <c:axId val="111490176"/>
        <c:axId val="111491712"/>
      </c:scatterChart>
      <c:valAx>
        <c:axId val="111490176"/>
        <c:scaling>
          <c:orientation val="minMax"/>
        </c:scaling>
        <c:axPos val="b"/>
        <c:numFmt formatCode="0.0E+00" sourceLinked="1"/>
        <c:tickLblPos val="nextTo"/>
        <c:crossAx val="111491712"/>
        <c:crosses val="autoZero"/>
        <c:crossBetween val="midCat"/>
      </c:valAx>
      <c:valAx>
        <c:axId val="111491712"/>
        <c:scaling>
          <c:orientation val="minMax"/>
        </c:scaling>
        <c:axPos val="l"/>
        <c:majorGridlines/>
        <c:numFmt formatCode="0.0" sourceLinked="1"/>
        <c:tickLblPos val="nextTo"/>
        <c:crossAx val="11149017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Sheet4!$S$142:$S$148</c:f>
              <c:strCache>
                <c:ptCount val="1"/>
                <c:pt idx="0">
                  <c:v>3.3E-03 2.9E-03 2.5E-03 2.2E-03 2.0E-03 1.8E-03 1.7E-03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Eq val="1"/>
            <c:trendlineLbl>
              <c:layout>
                <c:manualLayout>
                  <c:x val="-0.45162707786526735"/>
                  <c:y val="-0.41108134864987184"/>
                </c:manualLayout>
              </c:layout>
              <c:numFmt formatCode="General" sourceLinked="0"/>
            </c:trendlineLbl>
          </c:trendline>
          <c:xVal>
            <c:numRef>
              <c:f>Sheet4!$S$142:$S$148</c:f>
              <c:numCache>
                <c:formatCode>0.0E+00</c:formatCode>
                <c:ptCount val="7"/>
                <c:pt idx="0">
                  <c:v>3.3333333333333335E-3</c:v>
                </c:pt>
                <c:pt idx="1">
                  <c:v>2.8571428571428571E-3</c:v>
                </c:pt>
                <c:pt idx="2">
                  <c:v>2.5000000000000001E-3</c:v>
                </c:pt>
                <c:pt idx="3">
                  <c:v>2.2222222222222222E-3</c:v>
                </c:pt>
                <c:pt idx="4">
                  <c:v>2E-3</c:v>
                </c:pt>
                <c:pt idx="5">
                  <c:v>1.8181818181818182E-3</c:v>
                </c:pt>
                <c:pt idx="6">
                  <c:v>1.6666666666666668E-3</c:v>
                </c:pt>
              </c:numCache>
            </c:numRef>
          </c:xVal>
          <c:yVal>
            <c:numRef>
              <c:f>Sheet4!$T$142:$T$148</c:f>
              <c:numCache>
                <c:formatCode>0.0</c:formatCode>
                <c:ptCount val="7"/>
                <c:pt idx="0">
                  <c:v>-231.95308170205277</c:v>
                </c:pt>
                <c:pt idx="1">
                  <c:v>-143.46330574629727</c:v>
                </c:pt>
                <c:pt idx="2">
                  <c:v>-119.01842902920464</c:v>
                </c:pt>
                <c:pt idx="3">
                  <c:v>-99.870423902499255</c:v>
                </c:pt>
                <c:pt idx="4">
                  <c:v>-33.629284187366274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</c:ser>
        <c:axId val="111516288"/>
        <c:axId val="111538560"/>
      </c:scatterChart>
      <c:valAx>
        <c:axId val="111516288"/>
        <c:scaling>
          <c:orientation val="minMax"/>
        </c:scaling>
        <c:axPos val="b"/>
        <c:numFmt formatCode="0.0E+00" sourceLinked="1"/>
        <c:tickLblPos val="nextTo"/>
        <c:crossAx val="111538560"/>
        <c:crosses val="autoZero"/>
        <c:crossBetween val="midCat"/>
      </c:valAx>
      <c:valAx>
        <c:axId val="111538560"/>
        <c:scaling>
          <c:orientation val="minMax"/>
        </c:scaling>
        <c:axPos val="l"/>
        <c:majorGridlines/>
        <c:numFmt formatCode="0.0" sourceLinked="1"/>
        <c:tickLblPos val="nextTo"/>
        <c:crossAx val="111516288"/>
        <c:crosses val="autoZero"/>
        <c:crossBetween val="midCat"/>
      </c:valAx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autoTitleDeleted val="1"/>
    <c:plotArea>
      <c:layout>
        <c:manualLayout>
          <c:layoutTarget val="inner"/>
          <c:xMode val="edge"/>
          <c:yMode val="edge"/>
          <c:x val="0.13072908093278471"/>
          <c:y val="8.3642500000000022E-2"/>
          <c:w val="0.83304046639231899"/>
          <c:h val="0.74855888888888966"/>
        </c:manualLayout>
      </c:layout>
      <c:scatterChart>
        <c:scatterStyle val="smoothMarker"/>
        <c:ser>
          <c:idx val="0"/>
          <c:order val="0"/>
          <c:tx>
            <c:strRef>
              <c:f>Sheet7!$H$7</c:f>
              <c:strCache>
                <c:ptCount val="1"/>
                <c:pt idx="0">
                  <c:v>Singlet surface M05</c:v>
                </c:pt>
              </c:strCache>
            </c:strRef>
          </c:tx>
          <c:spPr>
            <a:ln w="12700">
              <a:solidFill>
                <a:sysClr val="windowText" lastClr="000000">
                  <a:shade val="95000"/>
                  <a:satMod val="105000"/>
                </a:sysClr>
              </a:solidFill>
            </a:ln>
          </c:spPr>
          <c:marker>
            <c:symbol val="diamond"/>
            <c:size val="5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Sheet7!$H$12:$H$52</c:f>
              <c:numCache>
                <c:formatCode>0.000</c:formatCode>
                <c:ptCount val="41"/>
                <c:pt idx="0">
                  <c:v>3.2000001361999999</c:v>
                </c:pt>
                <c:pt idx="1">
                  <c:v>3.1500001362000001</c:v>
                </c:pt>
                <c:pt idx="2">
                  <c:v>3.1000001361999998</c:v>
                </c:pt>
                <c:pt idx="3">
                  <c:v>3.0500001362</c:v>
                </c:pt>
                <c:pt idx="4">
                  <c:v>3.0000001362000002</c:v>
                </c:pt>
                <c:pt idx="5">
                  <c:v>2.9500001361999999</c:v>
                </c:pt>
                <c:pt idx="6">
                  <c:v>2.9000001362000001</c:v>
                </c:pt>
                <c:pt idx="7">
                  <c:v>2.8500001361999998</c:v>
                </c:pt>
                <c:pt idx="8">
                  <c:v>2.8000001362</c:v>
                </c:pt>
                <c:pt idx="9">
                  <c:v>2.7500001362000002</c:v>
                </c:pt>
                <c:pt idx="10">
                  <c:v>2.7000001361999999</c:v>
                </c:pt>
                <c:pt idx="11">
                  <c:v>2.6500001362000001</c:v>
                </c:pt>
                <c:pt idx="12">
                  <c:v>2.6000001361999998</c:v>
                </c:pt>
                <c:pt idx="13">
                  <c:v>2.5500001362</c:v>
                </c:pt>
                <c:pt idx="14">
                  <c:v>2.5000001362000002</c:v>
                </c:pt>
                <c:pt idx="15">
                  <c:v>2.4500001361999999</c:v>
                </c:pt>
                <c:pt idx="16">
                  <c:v>2.4000001362000001</c:v>
                </c:pt>
                <c:pt idx="17">
                  <c:v>2.3500001361999998</c:v>
                </c:pt>
                <c:pt idx="18">
                  <c:v>2.3000001362</c:v>
                </c:pt>
                <c:pt idx="19">
                  <c:v>2.2500001362000002</c:v>
                </c:pt>
                <c:pt idx="20">
                  <c:v>2.2000001361999999</c:v>
                </c:pt>
                <c:pt idx="21">
                  <c:v>2.1500001362000001</c:v>
                </c:pt>
                <c:pt idx="22">
                  <c:v>2.1000001361999998</c:v>
                </c:pt>
                <c:pt idx="23">
                  <c:v>2.0500001362</c:v>
                </c:pt>
                <c:pt idx="24">
                  <c:v>2.0000001362000002</c:v>
                </c:pt>
                <c:pt idx="25">
                  <c:v>1.9500001361999999</c:v>
                </c:pt>
                <c:pt idx="26">
                  <c:v>1.9000001362000001</c:v>
                </c:pt>
                <c:pt idx="27">
                  <c:v>1.8500001362</c:v>
                </c:pt>
                <c:pt idx="28">
                  <c:v>1.8000001362</c:v>
                </c:pt>
                <c:pt idx="29">
                  <c:v>1.7500001361999999</c:v>
                </c:pt>
                <c:pt idx="30">
                  <c:v>1.7000001361999999</c:v>
                </c:pt>
                <c:pt idx="31">
                  <c:v>1.6500001362000001</c:v>
                </c:pt>
                <c:pt idx="32">
                  <c:v>1.6000001362</c:v>
                </c:pt>
                <c:pt idx="33">
                  <c:v>1.5500001362</c:v>
                </c:pt>
                <c:pt idx="34">
                  <c:v>1.5000001361999999</c:v>
                </c:pt>
                <c:pt idx="35">
                  <c:v>1.4500001361999999</c:v>
                </c:pt>
                <c:pt idx="36">
                  <c:v>1.4000001362000001</c:v>
                </c:pt>
                <c:pt idx="37">
                  <c:v>1.3500001362</c:v>
                </c:pt>
                <c:pt idx="38">
                  <c:v>1.3000001362</c:v>
                </c:pt>
                <c:pt idx="39">
                  <c:v>1.2500001361999999</c:v>
                </c:pt>
                <c:pt idx="40">
                  <c:v>1.2000001361999999</c:v>
                </c:pt>
              </c:numCache>
            </c:numRef>
          </c:xVal>
          <c:yVal>
            <c:numRef>
              <c:f>Sheet7!$K$12:$K$52</c:f>
              <c:numCache>
                <c:formatCode>0.0</c:formatCode>
                <c:ptCount val="41"/>
                <c:pt idx="0">
                  <c:v>46.27130267501343</c:v>
                </c:pt>
                <c:pt idx="1">
                  <c:v>46.153925181235536</c:v>
                </c:pt>
                <c:pt idx="2">
                  <c:v>46.054596736954409</c:v>
                </c:pt>
                <c:pt idx="3">
                  <c:v>45.982940196990967</c:v>
                </c:pt>
                <c:pt idx="4">
                  <c:v>45.947847367890063</c:v>
                </c:pt>
                <c:pt idx="5">
                  <c:v>45.953450398257701</c:v>
                </c:pt>
                <c:pt idx="6">
                  <c:v>46.018611589635839</c:v>
                </c:pt>
                <c:pt idx="7">
                  <c:v>46.164227628643857</c:v>
                </c:pt>
                <c:pt idx="8">
                  <c:v>46.404835395267582</c:v>
                </c:pt>
                <c:pt idx="9">
                  <c:v>46.190744915889809</c:v>
                </c:pt>
                <c:pt idx="10">
                  <c:v>45.88541772440658</c:v>
                </c:pt>
                <c:pt idx="11">
                  <c:v>45.563603981543565</c:v>
                </c:pt>
                <c:pt idx="12">
                  <c:v>45.209716356766876</c:v>
                </c:pt>
                <c:pt idx="13">
                  <c:v>44.811177681476693</c:v>
                </c:pt>
                <c:pt idx="14">
                  <c:v>44.368427212189999</c:v>
                </c:pt>
                <c:pt idx="15">
                  <c:v>43.879493942251429</c:v>
                </c:pt>
                <c:pt idx="16">
                  <c:v>43.336710963267251</c:v>
                </c:pt>
                <c:pt idx="17">
                  <c:v>42.728264157951344</c:v>
                </c:pt>
                <c:pt idx="18">
                  <c:v>42.02129588527896</c:v>
                </c:pt>
                <c:pt idx="19">
                  <c:v>41.206419861424365</c:v>
                </c:pt>
                <c:pt idx="20">
                  <c:v>40.283412693039281</c:v>
                </c:pt>
                <c:pt idx="21">
                  <c:v>39.241187546169385</c:v>
                </c:pt>
                <c:pt idx="22">
                  <c:v>38.077497310048784</c:v>
                </c:pt>
                <c:pt idx="23">
                  <c:v>36.771646101056831</c:v>
                </c:pt>
                <c:pt idx="24">
                  <c:v>35.316169696263387</c:v>
                </c:pt>
                <c:pt idx="25">
                  <c:v>33.662116724066436</c:v>
                </c:pt>
                <c:pt idx="26">
                  <c:v>31.751095563231502</c:v>
                </c:pt>
                <c:pt idx="27">
                  <c:v>29.496257674065419</c:v>
                </c:pt>
                <c:pt idx="28">
                  <c:v>26.674619515630184</c:v>
                </c:pt>
                <c:pt idx="29">
                  <c:v>22.884122713090619</c:v>
                </c:pt>
                <c:pt idx="30">
                  <c:v>18.146502932941075</c:v>
                </c:pt>
                <c:pt idx="31">
                  <c:v>13.548437452118378</c:v>
                </c:pt>
                <c:pt idx="32">
                  <c:v>9.2776324947335524</c:v>
                </c:pt>
                <c:pt idx="33">
                  <c:v>5.5155706477962667</c:v>
                </c:pt>
                <c:pt idx="34">
                  <c:v>2.5002379441866651</c:v>
                </c:pt>
                <c:pt idx="35">
                  <c:v>0.53342556057032198</c:v>
                </c:pt>
                <c:pt idx="36">
                  <c:v>0</c:v>
                </c:pt>
                <c:pt idx="37">
                  <c:v>1.397870425178553</c:v>
                </c:pt>
                <c:pt idx="38">
                  <c:v>5.3686926876398502</c:v>
                </c:pt>
                <c:pt idx="39">
                  <c:v>12.756635572077357</c:v>
                </c:pt>
                <c:pt idx="40">
                  <c:v>24.656014398380648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Sheet7!$N$7</c:f>
              <c:strCache>
                <c:ptCount val="1"/>
                <c:pt idx="0">
                  <c:v>Triplet surface M05</c:v>
                </c:pt>
              </c:strCache>
            </c:strRef>
          </c:tx>
          <c:spPr>
            <a:ln w="12700">
              <a:solidFill>
                <a:sysClr val="windowText" lastClr="000000">
                  <a:shade val="95000"/>
                  <a:satMod val="105000"/>
                </a:sysClr>
              </a:solidFill>
            </a:ln>
          </c:spPr>
          <c:marker>
            <c:symbol val="triangle"/>
            <c:size val="5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Sheet7!$N$12:$N$42</c:f>
              <c:numCache>
                <c:formatCode>0.000</c:formatCode>
                <c:ptCount val="31"/>
                <c:pt idx="0">
                  <c:v>3.1999995568999999</c:v>
                </c:pt>
                <c:pt idx="1">
                  <c:v>3.1499995569000001</c:v>
                </c:pt>
                <c:pt idx="2">
                  <c:v>3.0999995568999998</c:v>
                </c:pt>
                <c:pt idx="3">
                  <c:v>3.0499995569</c:v>
                </c:pt>
                <c:pt idx="4">
                  <c:v>2.9999995569000002</c:v>
                </c:pt>
                <c:pt idx="5">
                  <c:v>2.9499995568999999</c:v>
                </c:pt>
                <c:pt idx="6">
                  <c:v>2.8999995569000001</c:v>
                </c:pt>
                <c:pt idx="7">
                  <c:v>2.8499995568999998</c:v>
                </c:pt>
                <c:pt idx="8">
                  <c:v>2.7999995569</c:v>
                </c:pt>
                <c:pt idx="9">
                  <c:v>2.7499995569000002</c:v>
                </c:pt>
                <c:pt idx="10">
                  <c:v>2.6999995568999999</c:v>
                </c:pt>
                <c:pt idx="11">
                  <c:v>2.6499995569000001</c:v>
                </c:pt>
                <c:pt idx="12">
                  <c:v>2.5999995568999998</c:v>
                </c:pt>
                <c:pt idx="13">
                  <c:v>2.5499995569</c:v>
                </c:pt>
                <c:pt idx="14">
                  <c:v>2.4999995569000002</c:v>
                </c:pt>
                <c:pt idx="15">
                  <c:v>2.4499995568999999</c:v>
                </c:pt>
                <c:pt idx="16">
                  <c:v>2.3999995569000001</c:v>
                </c:pt>
                <c:pt idx="17">
                  <c:v>2.3499995568999998</c:v>
                </c:pt>
                <c:pt idx="18">
                  <c:v>2.2999995569</c:v>
                </c:pt>
                <c:pt idx="19">
                  <c:v>2.2499995569000002</c:v>
                </c:pt>
                <c:pt idx="20">
                  <c:v>2.1999995568999999</c:v>
                </c:pt>
                <c:pt idx="21">
                  <c:v>2.1499995569000001</c:v>
                </c:pt>
                <c:pt idx="22">
                  <c:v>2.0999995568999998</c:v>
                </c:pt>
                <c:pt idx="23">
                  <c:v>2.0499995569</c:v>
                </c:pt>
                <c:pt idx="24">
                  <c:v>1.9999995569</c:v>
                </c:pt>
                <c:pt idx="25">
                  <c:v>1.9499995568999999</c:v>
                </c:pt>
                <c:pt idx="26">
                  <c:v>1.8999995569000001</c:v>
                </c:pt>
                <c:pt idx="27">
                  <c:v>1.8499995569000001</c:v>
                </c:pt>
                <c:pt idx="28">
                  <c:v>1.7999995569</c:v>
                </c:pt>
                <c:pt idx="29">
                  <c:v>1.7499995569</c:v>
                </c:pt>
                <c:pt idx="30">
                  <c:v>1.6999995568999999</c:v>
                </c:pt>
              </c:numCache>
            </c:numRef>
          </c:xVal>
          <c:yVal>
            <c:numRef>
              <c:f>Sheet7!$Q$12:$Q$42</c:f>
              <c:numCache>
                <c:formatCode>0.0</c:formatCode>
                <c:ptCount val="31"/>
                <c:pt idx="0">
                  <c:v>46.273544765688712</c:v>
                </c:pt>
                <c:pt idx="1">
                  <c:v>46.149128500299412</c:v>
                </c:pt>
                <c:pt idx="2">
                  <c:v>46.039592362503754</c:v>
                </c:pt>
                <c:pt idx="3">
                  <c:v>45.955556946923025</c:v>
                </c:pt>
                <c:pt idx="4">
                  <c:v>45.905065667553572</c:v>
                </c:pt>
                <c:pt idx="5">
                  <c:v>45.888506325092749</c:v>
                </c:pt>
                <c:pt idx="6">
                  <c:v>45.92294089695497</c:v>
                </c:pt>
                <c:pt idx="7">
                  <c:v>46.030371741115232</c:v>
                </c:pt>
                <c:pt idx="8">
                  <c:v>46.217067675257567</c:v>
                </c:pt>
                <c:pt idx="9">
                  <c:v>45.706076199043309</c:v>
                </c:pt>
                <c:pt idx="10">
                  <c:v>45.474358983905404</c:v>
                </c:pt>
                <c:pt idx="11">
                  <c:v>45.273480712465243</c:v>
                </c:pt>
                <c:pt idx="12">
                  <c:v>45.073792826136923</c:v>
                </c:pt>
                <c:pt idx="13">
                  <c:v>44.873265332382289</c:v>
                </c:pt>
                <c:pt idx="14">
                  <c:v>44.676605178319733</c:v>
                </c:pt>
                <c:pt idx="15">
                  <c:v>44.493646061935578</c:v>
                </c:pt>
                <c:pt idx="16">
                  <c:v>44.335436539171496</c:v>
                </c:pt>
                <c:pt idx="17">
                  <c:v>44.22355226163927</c:v>
                </c:pt>
                <c:pt idx="18">
                  <c:v>44.154279001944815</c:v>
                </c:pt>
                <c:pt idx="19">
                  <c:v>44.122970681317383</c:v>
                </c:pt>
                <c:pt idx="20">
                  <c:v>44.153472652513301</c:v>
                </c:pt>
                <c:pt idx="21">
                  <c:v>44.26928388311353</c:v>
                </c:pt>
                <c:pt idx="22">
                  <c:v>44.510453270573635</c:v>
                </c:pt>
                <c:pt idx="23">
                  <c:v>44.876158777682576</c:v>
                </c:pt>
                <c:pt idx="24">
                  <c:v>45.364423122722656</c:v>
                </c:pt>
                <c:pt idx="25">
                  <c:v>45.99245198268909</c:v>
                </c:pt>
                <c:pt idx="26">
                  <c:v>46.766086841496872</c:v>
                </c:pt>
                <c:pt idx="27">
                  <c:v>47.640145148296142</c:v>
                </c:pt>
                <c:pt idx="28">
                  <c:v>48.680294494479313</c:v>
                </c:pt>
                <c:pt idx="29">
                  <c:v>50.491603175338241</c:v>
                </c:pt>
                <c:pt idx="30">
                  <c:v>53.313740203651832</c:v>
                </c:pt>
              </c:numCache>
            </c:numRef>
          </c:yVal>
          <c:smooth val="1"/>
        </c:ser>
        <c:ser>
          <c:idx val="2"/>
          <c:order val="2"/>
          <c:marker>
            <c:symbol val="none"/>
          </c:marker>
          <c:errBars>
            <c:errDir val="y"/>
            <c:errBarType val="both"/>
            <c:errValType val="fixedVal"/>
            <c:val val="100"/>
            <c:spPr>
              <a:ln w="12700">
                <a:prstDash val="dash"/>
              </a:ln>
            </c:spPr>
          </c:errBars>
          <c:xVal>
            <c:numRef>
              <c:f>Sheet7!$N$20</c:f>
              <c:numCache>
                <c:formatCode>0.000</c:formatCode>
                <c:ptCount val="1"/>
                <c:pt idx="0">
                  <c:v>2.7999995569</c:v>
                </c:pt>
              </c:numCache>
            </c:numRef>
          </c:xVal>
          <c:yVal>
            <c:numRef>
              <c:f>Sheet7!$Q$20</c:f>
              <c:numCache>
                <c:formatCode>0.0</c:formatCode>
                <c:ptCount val="1"/>
                <c:pt idx="0">
                  <c:v>46.217067675257567</c:v>
                </c:pt>
              </c:numCache>
            </c:numRef>
          </c:yVal>
          <c:smooth val="1"/>
        </c:ser>
        <c:ser>
          <c:idx val="3"/>
          <c:order val="3"/>
          <c:dPt>
            <c:idx val="0"/>
            <c:marker>
              <c:symbol val="none"/>
            </c:marker>
          </c:dPt>
          <c:errBars>
            <c:errDir val="y"/>
            <c:errBarType val="both"/>
            <c:errValType val="fixedVal"/>
            <c:val val="100"/>
            <c:spPr>
              <a:ln w="12700">
                <a:prstDash val="dash"/>
              </a:ln>
            </c:spPr>
          </c:errBars>
          <c:xVal>
            <c:numRef>
              <c:f>Sheet7!$H$16</c:f>
              <c:numCache>
                <c:formatCode>0.000</c:formatCode>
                <c:ptCount val="1"/>
                <c:pt idx="0">
                  <c:v>3.0000001362000002</c:v>
                </c:pt>
              </c:numCache>
            </c:numRef>
          </c:xVal>
          <c:yVal>
            <c:numRef>
              <c:f>Sheet7!$K$16</c:f>
              <c:numCache>
                <c:formatCode>0.0</c:formatCode>
                <c:ptCount val="1"/>
                <c:pt idx="0">
                  <c:v>45.947847367890063</c:v>
                </c:pt>
              </c:numCache>
            </c:numRef>
          </c:yVal>
          <c:smooth val="1"/>
        </c:ser>
        <c:ser>
          <c:idx val="4"/>
          <c:order val="4"/>
          <c:marker>
            <c:symbol val="none"/>
          </c:marker>
          <c:errBars>
            <c:errDir val="y"/>
            <c:errBarType val="both"/>
            <c:errValType val="fixedVal"/>
            <c:val val="100"/>
            <c:spPr>
              <a:ln w="12700">
                <a:prstDash val="dash"/>
              </a:ln>
            </c:spPr>
          </c:errBars>
          <c:xVal>
            <c:numRef>
              <c:f>Sheet7!$H$48</c:f>
              <c:numCache>
                <c:formatCode>0.000</c:formatCode>
                <c:ptCount val="1"/>
                <c:pt idx="0">
                  <c:v>1.4000001362000001</c:v>
                </c:pt>
              </c:numCache>
            </c:numRef>
          </c:xVal>
          <c:yVal>
            <c:numRef>
              <c:f>Sheet7!$K$48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1"/>
        </c:ser>
        <c:axId val="111858048"/>
        <c:axId val="111859968"/>
      </c:scatterChart>
      <c:valAx>
        <c:axId val="111858048"/>
        <c:scaling>
          <c:orientation val="minMax"/>
          <c:max val="3.3"/>
          <c:min val="1.1500000000000001"/>
        </c:scaling>
        <c:axPos val="b"/>
        <c:title>
          <c:tx>
            <c:rich>
              <a:bodyPr/>
              <a:lstStyle/>
              <a:p>
                <a:pPr algn="ctr">
                  <a:defRPr sz="1400" b="0"/>
                </a:pPr>
                <a:r>
                  <a:rPr lang="da-DK" sz="1400" b="0"/>
                  <a:t>r</a:t>
                </a:r>
                <a:r>
                  <a:rPr lang="da-DK" sz="1400" b="0" baseline="-25000"/>
                  <a:t>O-O</a:t>
                </a:r>
                <a:r>
                  <a:rPr lang="da-DK" sz="1400" b="0" baseline="0"/>
                  <a:t>  [Å]</a:t>
                </a:r>
                <a:endParaRPr lang="da-DK" sz="1400" b="0" baseline="-25000"/>
              </a:p>
            </c:rich>
          </c:tx>
          <c:layout>
            <c:manualLayout>
              <c:xMode val="edge"/>
              <c:yMode val="edge"/>
              <c:x val="0.48712019890260705"/>
              <c:y val="0.92592916666666669"/>
            </c:manualLayout>
          </c:layout>
        </c:title>
        <c:numFmt formatCode="0.000" sourceLinked="1"/>
        <c:minorTickMark val="out"/>
        <c:tickLblPos val="low"/>
        <c:txPr>
          <a:bodyPr/>
          <a:lstStyle/>
          <a:p>
            <a:pPr>
              <a:defRPr sz="1200"/>
            </a:pPr>
            <a:endParaRPr lang="da-DK"/>
          </a:p>
        </c:txPr>
        <c:crossAx val="111859968"/>
        <c:crosses val="autoZero"/>
        <c:crossBetween val="midCat"/>
        <c:majorUnit val="0.2"/>
        <c:minorUnit val="0.05"/>
      </c:valAx>
      <c:valAx>
        <c:axId val="111859968"/>
        <c:scaling>
          <c:orientation val="minMax"/>
          <c:max val="60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a-DK" sz="1400" b="0"/>
                  <a:t>Potential energy [kCal/mol]</a:t>
                </a:r>
              </a:p>
            </c:rich>
          </c:tx>
          <c:layout>
            <c:manualLayout>
              <c:xMode val="edge"/>
              <c:yMode val="edge"/>
              <c:x val="1.2419410150891607E-3"/>
              <c:y val="0.1614541666666667"/>
            </c:manualLayout>
          </c:layout>
        </c:title>
        <c:numFmt formatCode="0.0" sourceLinked="1"/>
        <c:minorTickMark val="out"/>
        <c:tickLblPos val="nextTo"/>
        <c:txPr>
          <a:bodyPr/>
          <a:lstStyle/>
          <a:p>
            <a:pPr>
              <a:defRPr sz="1200"/>
            </a:pPr>
            <a:endParaRPr lang="da-DK"/>
          </a:p>
        </c:txPr>
        <c:crossAx val="111858048"/>
        <c:crosses val="autoZero"/>
        <c:crossBetween val="midCat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37873473936899882"/>
          <c:y val="0.55545361111111102"/>
          <c:w val="0.30960613854595337"/>
          <c:h val="0.16847583333333341"/>
        </c:manualLayout>
      </c:layout>
      <c:overlay val="1"/>
      <c:txPr>
        <a:bodyPr/>
        <a:lstStyle/>
        <a:p>
          <a:pPr>
            <a:defRPr sz="1400"/>
          </a:pPr>
          <a:endParaRPr lang="da-DK"/>
        </a:p>
      </c:txPr>
    </c:legend>
    <c:plotVisOnly val="1"/>
  </c:chart>
  <c:spPr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autoTitleDeleted val="1"/>
    <c:plotArea>
      <c:layout>
        <c:manualLayout>
          <c:layoutTarget val="inner"/>
          <c:xMode val="edge"/>
          <c:yMode val="edge"/>
          <c:x val="0.11162568587105633"/>
          <c:y val="9.4225833333333522E-2"/>
          <c:w val="0.8482839506172839"/>
          <c:h val="0.73797555555555661"/>
        </c:manualLayout>
      </c:layout>
      <c:scatterChart>
        <c:scatterStyle val="smoothMarker"/>
        <c:ser>
          <c:idx val="5"/>
          <c:order val="0"/>
          <c:tx>
            <c:strRef>
              <c:f>Sheet7!$H$54</c:f>
              <c:strCache>
                <c:ptCount val="1"/>
                <c:pt idx="0">
                  <c:v>B3LYP/MG3S Singlet surface</c:v>
                </c:pt>
              </c:strCache>
            </c:strRef>
          </c:tx>
          <c:spPr>
            <a:ln w="12700">
              <a:solidFill>
                <a:sysClr val="windowText" lastClr="000000">
                  <a:shade val="95000"/>
                  <a:satMod val="105000"/>
                </a:sysClr>
              </a:solidFill>
            </a:ln>
          </c:spPr>
          <c:marker>
            <c:symbol val="triangle"/>
            <c:size val="6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Sheet7!$H$59:$H$99</c:f>
              <c:numCache>
                <c:formatCode>0.00</c:formatCode>
                <c:ptCount val="41"/>
                <c:pt idx="0">
                  <c:v>3.1999985419999999</c:v>
                </c:pt>
                <c:pt idx="1">
                  <c:v>3.1499985420000001</c:v>
                </c:pt>
                <c:pt idx="2">
                  <c:v>3.0999985419999998</c:v>
                </c:pt>
                <c:pt idx="3">
                  <c:v>3.049998542</c:v>
                </c:pt>
                <c:pt idx="4">
                  <c:v>2.9999985420000002</c:v>
                </c:pt>
                <c:pt idx="5">
                  <c:v>2.9499985419999999</c:v>
                </c:pt>
                <c:pt idx="6">
                  <c:v>2.8999985420000001</c:v>
                </c:pt>
                <c:pt idx="7">
                  <c:v>2.8499985419999998</c:v>
                </c:pt>
                <c:pt idx="8">
                  <c:v>2.799998542</c:v>
                </c:pt>
                <c:pt idx="9">
                  <c:v>2.7499985420000002</c:v>
                </c:pt>
                <c:pt idx="10">
                  <c:v>2.6999985419999999</c:v>
                </c:pt>
                <c:pt idx="11">
                  <c:v>2.6499985420000001</c:v>
                </c:pt>
                <c:pt idx="12">
                  <c:v>2.5999985419999998</c:v>
                </c:pt>
                <c:pt idx="13">
                  <c:v>2.549998542</c:v>
                </c:pt>
                <c:pt idx="14">
                  <c:v>2.4999985420000002</c:v>
                </c:pt>
                <c:pt idx="15">
                  <c:v>2.4499985419999999</c:v>
                </c:pt>
                <c:pt idx="16">
                  <c:v>2.3999985420000001</c:v>
                </c:pt>
                <c:pt idx="17">
                  <c:v>2.3499985419999998</c:v>
                </c:pt>
                <c:pt idx="18">
                  <c:v>2.299998542</c:v>
                </c:pt>
                <c:pt idx="19">
                  <c:v>2.2499985420000002</c:v>
                </c:pt>
                <c:pt idx="20">
                  <c:v>2.1999985419999999</c:v>
                </c:pt>
                <c:pt idx="21">
                  <c:v>2.1499985420000001</c:v>
                </c:pt>
                <c:pt idx="22">
                  <c:v>2.0999985419999998</c:v>
                </c:pt>
                <c:pt idx="23">
                  <c:v>2.049998542</c:v>
                </c:pt>
                <c:pt idx="24">
                  <c:v>1.9999985419999999</c:v>
                </c:pt>
                <c:pt idx="25">
                  <c:v>1.9499985419999999</c:v>
                </c:pt>
                <c:pt idx="26">
                  <c:v>1.8999985420000001</c:v>
                </c:pt>
                <c:pt idx="27">
                  <c:v>1.849998542</c:v>
                </c:pt>
                <c:pt idx="28">
                  <c:v>1.799998542</c:v>
                </c:pt>
                <c:pt idx="29">
                  <c:v>1.7499985419999999</c:v>
                </c:pt>
                <c:pt idx="30">
                  <c:v>1.6999985419999999</c:v>
                </c:pt>
                <c:pt idx="31">
                  <c:v>1.6499985420000001</c:v>
                </c:pt>
                <c:pt idx="32">
                  <c:v>1.599998542</c:v>
                </c:pt>
                <c:pt idx="33">
                  <c:v>1.549998542</c:v>
                </c:pt>
                <c:pt idx="34">
                  <c:v>1.4999985419999999</c:v>
                </c:pt>
                <c:pt idx="35">
                  <c:v>1.4499985419999999</c:v>
                </c:pt>
                <c:pt idx="36">
                  <c:v>1.3999985420000001</c:v>
                </c:pt>
                <c:pt idx="37">
                  <c:v>1.349998542</c:v>
                </c:pt>
                <c:pt idx="38">
                  <c:v>1.299998542</c:v>
                </c:pt>
                <c:pt idx="39">
                  <c:v>1.2499985419999999</c:v>
                </c:pt>
                <c:pt idx="40">
                  <c:v>1.1999985419999999</c:v>
                </c:pt>
              </c:numCache>
            </c:numRef>
          </c:xVal>
          <c:yVal>
            <c:numRef>
              <c:f>Sheet7!$K$59:$K$99</c:f>
              <c:numCache>
                <c:formatCode>0.00</c:formatCode>
                <c:ptCount val="41"/>
                <c:pt idx="0">
                  <c:v>47.280901104270015</c:v>
                </c:pt>
                <c:pt idx="1">
                  <c:v>47.178639681587811</c:v>
                </c:pt>
                <c:pt idx="2">
                  <c:v>47.095849244447891</c:v>
                </c:pt>
                <c:pt idx="3">
                  <c:v>47.035841786797391</c:v>
                </c:pt>
                <c:pt idx="4">
                  <c:v>47.008696362754563</c:v>
                </c:pt>
                <c:pt idx="5">
                  <c:v>47.022918860631762</c:v>
                </c:pt>
                <c:pt idx="6">
                  <c:v>47.088752114461386</c:v>
                </c:pt>
                <c:pt idx="7">
                  <c:v>47.218601982734981</c:v>
                </c:pt>
                <c:pt idx="8">
                  <c:v>47.426929416877101</c:v>
                </c:pt>
                <c:pt idx="9">
                  <c:v>47.609312479733489</c:v>
                </c:pt>
                <c:pt idx="10">
                  <c:v>47.438020015921211</c:v>
                </c:pt>
                <c:pt idx="11">
                  <c:v>47.162694670740166</c:v>
                </c:pt>
                <c:pt idx="12">
                  <c:v>46.835802495261305</c:v>
                </c:pt>
                <c:pt idx="13">
                  <c:v>46.452509785478469</c:v>
                </c:pt>
                <c:pt idx="14">
                  <c:v>46.006596669423743</c:v>
                </c:pt>
                <c:pt idx="15">
                  <c:v>45.490430751669919</c:v>
                </c:pt>
                <c:pt idx="16">
                  <c:v>44.894453810804407</c:v>
                </c:pt>
                <c:pt idx="17">
                  <c:v>44.20680654894386</c:v>
                </c:pt>
                <c:pt idx="18">
                  <c:v>43.412708612435381</c:v>
                </c:pt>
                <c:pt idx="19">
                  <c:v>42.493277619461878</c:v>
                </c:pt>
                <c:pt idx="20">
                  <c:v>41.424146129575092</c:v>
                </c:pt>
                <c:pt idx="21">
                  <c:v>40.174147011755849</c:v>
                </c:pt>
                <c:pt idx="22">
                  <c:v>38.703012995349127</c:v>
                </c:pt>
                <c:pt idx="23">
                  <c:v>36.958382195807644</c:v>
                </c:pt>
                <c:pt idx="24">
                  <c:v>34.872531301341951</c:v>
                </c:pt>
                <c:pt idx="25">
                  <c:v>32.357563204262988</c:v>
                </c:pt>
                <c:pt idx="26">
                  <c:v>29.29876669771329</c:v>
                </c:pt>
                <c:pt idx="27">
                  <c:v>25.546340883345692</c:v>
                </c:pt>
                <c:pt idx="28">
                  <c:v>21.123437088550418</c:v>
                </c:pt>
                <c:pt idx="29">
                  <c:v>16.747544406665838</c:v>
                </c:pt>
                <c:pt idx="30">
                  <c:v>12.57875551583129</c:v>
                </c:pt>
                <c:pt idx="31">
                  <c:v>8.7317088317795424</c:v>
                </c:pt>
                <c:pt idx="32">
                  <c:v>5.3480589274258818</c:v>
                </c:pt>
                <c:pt idx="33">
                  <c:v>2.6066478307329817</c:v>
                </c:pt>
                <c:pt idx="34">
                  <c:v>0.73016603582073003</c:v>
                </c:pt>
                <c:pt idx="35">
                  <c:v>0</c:v>
                </c:pt>
                <c:pt idx="36">
                  <c:v>0.77418518444756046</c:v>
                </c:pt>
                <c:pt idx="37">
                  <c:v>3.5141046915814513</c:v>
                </c:pt>
                <c:pt idx="38">
                  <c:v>8.8218147721636342</c:v>
                </c:pt>
                <c:pt idx="39">
                  <c:v>17.490768283139914</c:v>
                </c:pt>
                <c:pt idx="40">
                  <c:v>30.572773065665388</c:v>
                </c:pt>
              </c:numCache>
            </c:numRef>
          </c:yVal>
          <c:smooth val="1"/>
        </c:ser>
        <c:ser>
          <c:idx val="6"/>
          <c:order val="1"/>
          <c:tx>
            <c:strRef>
              <c:f>Sheet7!$N$54</c:f>
              <c:strCache>
                <c:ptCount val="1"/>
                <c:pt idx="0">
                  <c:v>B3LYP/MG3S Triplet surface</c:v>
                </c:pt>
              </c:strCache>
            </c:strRef>
          </c:tx>
          <c:spPr>
            <a:ln w="12700">
              <a:solidFill>
                <a:sysClr val="windowText" lastClr="000000">
                  <a:shade val="95000"/>
                  <a:satMod val="105000"/>
                </a:sysClr>
              </a:solidFill>
            </a:ln>
          </c:spPr>
          <c:marker>
            <c:symbol val="circle"/>
            <c:size val="5"/>
            <c:spPr>
              <a:solidFill>
                <a:sysClr val="windowText" lastClr="000000"/>
              </a:solidFill>
              <a:ln>
                <a:solidFill>
                  <a:sysClr val="windowText" lastClr="000000">
                    <a:shade val="95000"/>
                    <a:satMod val="105000"/>
                  </a:sysClr>
                </a:solidFill>
              </a:ln>
            </c:spPr>
          </c:marker>
          <c:xVal>
            <c:numRef>
              <c:f>Sheet7!$N$59:$N$89</c:f>
              <c:numCache>
                <c:formatCode>0.00</c:formatCode>
                <c:ptCount val="31"/>
                <c:pt idx="0">
                  <c:v>3.2000001993999998</c:v>
                </c:pt>
                <c:pt idx="1">
                  <c:v>3.1500001994</c:v>
                </c:pt>
                <c:pt idx="2">
                  <c:v>3.1000001994000002</c:v>
                </c:pt>
                <c:pt idx="3">
                  <c:v>3.0500001993999999</c:v>
                </c:pt>
                <c:pt idx="4">
                  <c:v>3.0000001994000001</c:v>
                </c:pt>
                <c:pt idx="5">
                  <c:v>2.9500001993999998</c:v>
                </c:pt>
                <c:pt idx="6">
                  <c:v>2.9000001994</c:v>
                </c:pt>
                <c:pt idx="7">
                  <c:v>2.8500001994000002</c:v>
                </c:pt>
                <c:pt idx="8">
                  <c:v>2.8000001993999999</c:v>
                </c:pt>
                <c:pt idx="9">
                  <c:v>2.7500001994000001</c:v>
                </c:pt>
                <c:pt idx="10">
                  <c:v>2.7000001993999998</c:v>
                </c:pt>
                <c:pt idx="11">
                  <c:v>2.6500001994</c:v>
                </c:pt>
                <c:pt idx="12">
                  <c:v>2.6000001994000002</c:v>
                </c:pt>
                <c:pt idx="13">
                  <c:v>2.5500001993999999</c:v>
                </c:pt>
                <c:pt idx="14">
                  <c:v>2.5000001994000001</c:v>
                </c:pt>
                <c:pt idx="15">
                  <c:v>2.4500001993999998</c:v>
                </c:pt>
                <c:pt idx="16">
                  <c:v>2.4000001994</c:v>
                </c:pt>
                <c:pt idx="17">
                  <c:v>2.3500001994000002</c:v>
                </c:pt>
                <c:pt idx="18">
                  <c:v>2.3000001993999999</c:v>
                </c:pt>
                <c:pt idx="19">
                  <c:v>2.2500001994000001</c:v>
                </c:pt>
                <c:pt idx="20">
                  <c:v>2.2000001993999998</c:v>
                </c:pt>
                <c:pt idx="21">
                  <c:v>2.1500001994</c:v>
                </c:pt>
                <c:pt idx="22">
                  <c:v>2.1000001994000002</c:v>
                </c:pt>
                <c:pt idx="23">
                  <c:v>2.0500001993999999</c:v>
                </c:pt>
                <c:pt idx="24">
                  <c:v>2.0000001994000001</c:v>
                </c:pt>
                <c:pt idx="25">
                  <c:v>1.9500001994</c:v>
                </c:pt>
                <c:pt idx="26">
                  <c:v>1.9000001994</c:v>
                </c:pt>
                <c:pt idx="27">
                  <c:v>1.8500001993999999</c:v>
                </c:pt>
                <c:pt idx="28">
                  <c:v>1.8000001993999999</c:v>
                </c:pt>
                <c:pt idx="29">
                  <c:v>1.7500001994000001</c:v>
                </c:pt>
                <c:pt idx="30">
                  <c:v>1.7000001994</c:v>
                </c:pt>
              </c:numCache>
            </c:numRef>
          </c:xVal>
          <c:yVal>
            <c:numRef>
              <c:f>Sheet7!$Q$59:$Q$89</c:f>
              <c:numCache>
                <c:formatCode>0.00</c:formatCode>
                <c:ptCount val="31"/>
                <c:pt idx="0">
                  <c:v>47.257451709912857</c:v>
                </c:pt>
                <c:pt idx="1">
                  <c:v>47.148112610026146</c:v>
                </c:pt>
                <c:pt idx="2">
                  <c:v>47.054722286076867</c:v>
                </c:pt>
                <c:pt idx="3">
                  <c:v>46.982512910442892</c:v>
                </c:pt>
                <c:pt idx="4">
                  <c:v>46.938029404933332</c:v>
                </c:pt>
                <c:pt idx="5">
                  <c:v>46.928590410301695</c:v>
                </c:pt>
                <c:pt idx="6">
                  <c:v>46.962821041641291</c:v>
                </c:pt>
                <c:pt idx="7">
                  <c:v>47.04931378357287</c:v>
                </c:pt>
                <c:pt idx="8">
                  <c:v>47.002791500402964</c:v>
                </c:pt>
                <c:pt idx="9">
                  <c:v>46.94259014238196</c:v>
                </c:pt>
                <c:pt idx="10">
                  <c:v>46.832870771890157</c:v>
                </c:pt>
                <c:pt idx="11">
                  <c:v>46.643620874965563</c:v>
                </c:pt>
                <c:pt idx="12">
                  <c:v>46.421739240337047</c:v>
                </c:pt>
                <c:pt idx="13">
                  <c:v>46.201051128344261</c:v>
                </c:pt>
                <c:pt idx="14">
                  <c:v>45.985351087641902</c:v>
                </c:pt>
                <c:pt idx="15">
                  <c:v>45.778158190296381</c:v>
                </c:pt>
                <c:pt idx="16">
                  <c:v>45.581915957431193</c:v>
                </c:pt>
                <c:pt idx="17">
                  <c:v>45.397283273807261</c:v>
                </c:pt>
                <c:pt idx="18">
                  <c:v>45.222277837572619</c:v>
                </c:pt>
                <c:pt idx="19">
                  <c:v>45.051270262978505</c:v>
                </c:pt>
                <c:pt idx="20">
                  <c:v>44.872452707859338</c:v>
                </c:pt>
                <c:pt idx="21">
                  <c:v>44.665645101194968</c:v>
                </c:pt>
                <c:pt idx="22">
                  <c:v>44.401543387037236</c:v>
                </c:pt>
                <c:pt idx="23">
                  <c:v>44.038459613715531</c:v>
                </c:pt>
                <c:pt idx="24">
                  <c:v>43.515864863351453</c:v>
                </c:pt>
                <c:pt idx="25">
                  <c:v>43.018169681308791</c:v>
                </c:pt>
                <c:pt idx="26">
                  <c:v>42.952364665397909</c:v>
                </c:pt>
                <c:pt idx="27">
                  <c:v>43.439409132406581</c:v>
                </c:pt>
                <c:pt idx="28">
                  <c:v>44.623908203822793</c:v>
                </c:pt>
                <c:pt idx="29">
                  <c:v>46.678701781376731</c:v>
                </c:pt>
                <c:pt idx="30">
                  <c:v>49.809437834570417</c:v>
                </c:pt>
              </c:numCache>
            </c:numRef>
          </c:yVal>
          <c:smooth val="1"/>
        </c:ser>
        <c:ser>
          <c:idx val="0"/>
          <c:order val="2"/>
          <c:tx>
            <c:strRef>
              <c:f>Sheet7!$L$94</c:f>
              <c:strCache>
                <c:ptCount val="1"/>
                <c:pt idx="0">
                  <c:v>R0</c:v>
                </c:pt>
              </c:strCache>
            </c:strRef>
          </c:tx>
          <c:marker>
            <c:symbol val="none"/>
          </c:marker>
          <c:errBars>
            <c:errDir val="y"/>
            <c:errBarType val="both"/>
            <c:errValType val="fixedVal"/>
            <c:val val="100"/>
            <c:spPr>
              <a:ln w="12700">
                <a:prstDash val="dash"/>
              </a:ln>
            </c:spPr>
          </c:errBars>
          <c:xVal>
            <c:numRef>
              <c:f>Sheet7!$H$94</c:f>
              <c:numCache>
                <c:formatCode>0.00</c:formatCode>
                <c:ptCount val="1"/>
                <c:pt idx="0">
                  <c:v>1.4499985419999999</c:v>
                </c:pt>
              </c:numCache>
            </c:numRef>
          </c:xVal>
          <c:yVal>
            <c:numRef>
              <c:f>Sheet7!$K$94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1"/>
          <c:order val="3"/>
          <c:tx>
            <c:strRef>
              <c:f>Sheet7!$L$68</c:f>
              <c:strCache>
                <c:ptCount val="1"/>
                <c:pt idx="0">
                  <c:v>TS singlet</c:v>
                </c:pt>
              </c:strCache>
            </c:strRef>
          </c:tx>
          <c:marker>
            <c:symbol val="none"/>
          </c:marker>
          <c:errBars>
            <c:errDir val="y"/>
            <c:errBarType val="both"/>
            <c:errValType val="fixedVal"/>
            <c:val val="100"/>
            <c:spPr>
              <a:ln w="0">
                <a:prstDash val="dash"/>
              </a:ln>
            </c:spPr>
          </c:errBars>
          <c:xVal>
            <c:numRef>
              <c:f>Sheet7!$H$68</c:f>
              <c:numCache>
                <c:formatCode>0.00</c:formatCode>
                <c:ptCount val="1"/>
                <c:pt idx="0">
                  <c:v>2.7499985420000002</c:v>
                </c:pt>
              </c:numCache>
            </c:numRef>
          </c:xVal>
          <c:yVal>
            <c:numRef>
              <c:f>Sheet7!$K$68</c:f>
              <c:numCache>
                <c:formatCode>0.00</c:formatCode>
                <c:ptCount val="1"/>
                <c:pt idx="0">
                  <c:v>47.609312479733489</c:v>
                </c:pt>
              </c:numCache>
            </c:numRef>
          </c:yVal>
          <c:smooth val="1"/>
        </c:ser>
        <c:ser>
          <c:idx val="2"/>
          <c:order val="4"/>
          <c:tx>
            <c:strRef>
              <c:f>Sheet7!$L$63</c:f>
              <c:strCache>
                <c:ptCount val="1"/>
                <c:pt idx="0">
                  <c:v>PC</c:v>
                </c:pt>
              </c:strCache>
            </c:strRef>
          </c:tx>
          <c:marker>
            <c:symbol val="none"/>
          </c:marker>
          <c:errBars>
            <c:errDir val="y"/>
            <c:errBarType val="both"/>
            <c:errValType val="fixedVal"/>
            <c:val val="100"/>
            <c:spPr>
              <a:ln w="12700">
                <a:prstDash val="dash"/>
              </a:ln>
            </c:spPr>
          </c:errBars>
          <c:xVal>
            <c:numRef>
              <c:f>Sheet7!$H$63</c:f>
              <c:numCache>
                <c:formatCode>0.00</c:formatCode>
                <c:ptCount val="1"/>
                <c:pt idx="0">
                  <c:v>2.9999985420000002</c:v>
                </c:pt>
              </c:numCache>
            </c:numRef>
          </c:xVal>
          <c:yVal>
            <c:numRef>
              <c:f>Sheet7!$K$63</c:f>
              <c:numCache>
                <c:formatCode>0.00</c:formatCode>
                <c:ptCount val="1"/>
                <c:pt idx="0">
                  <c:v>47.008696362754563</c:v>
                </c:pt>
              </c:numCache>
            </c:numRef>
          </c:yVal>
          <c:smooth val="1"/>
        </c:ser>
        <c:ser>
          <c:idx val="3"/>
          <c:order val="5"/>
          <c:tx>
            <c:strRef>
              <c:f>Sheet7!$R$66</c:f>
              <c:strCache>
                <c:ptCount val="1"/>
                <c:pt idx="0">
                  <c:v>TS triplet</c:v>
                </c:pt>
              </c:strCache>
            </c:strRef>
          </c:tx>
          <c:marker>
            <c:symbol val="none"/>
          </c:marker>
          <c:errBars>
            <c:errDir val="y"/>
            <c:errBarType val="both"/>
            <c:errValType val="fixedVal"/>
            <c:val val="100"/>
            <c:spPr>
              <a:ln w="12700">
                <a:prstDash val="dash"/>
              </a:ln>
            </c:spPr>
          </c:errBars>
          <c:xVal>
            <c:numRef>
              <c:f>Sheet7!$N$66</c:f>
              <c:numCache>
                <c:formatCode>0.00</c:formatCode>
                <c:ptCount val="1"/>
                <c:pt idx="0">
                  <c:v>2.8500001994000002</c:v>
                </c:pt>
              </c:numCache>
            </c:numRef>
          </c:xVal>
          <c:yVal>
            <c:numRef>
              <c:f>Sheet7!$Q$66</c:f>
              <c:numCache>
                <c:formatCode>0.00</c:formatCode>
                <c:ptCount val="1"/>
                <c:pt idx="0">
                  <c:v>47.04931378357287</c:v>
                </c:pt>
              </c:numCache>
            </c:numRef>
          </c:yVal>
          <c:smooth val="1"/>
        </c:ser>
        <c:ser>
          <c:idx val="4"/>
          <c:order val="6"/>
          <c:tx>
            <c:strRef>
              <c:f>Sheet7!$R$85</c:f>
              <c:strCache>
                <c:ptCount val="1"/>
                <c:pt idx="0">
                  <c:v>R0 triplet</c:v>
                </c:pt>
              </c:strCache>
            </c:strRef>
          </c:tx>
          <c:marker>
            <c:symbol val="none"/>
          </c:marker>
          <c:errBars>
            <c:errDir val="y"/>
            <c:errBarType val="both"/>
            <c:errValType val="fixedVal"/>
            <c:val val="100"/>
            <c:spPr>
              <a:ln w="12700">
                <a:prstDash val="dash"/>
              </a:ln>
            </c:spPr>
          </c:errBars>
          <c:xVal>
            <c:numRef>
              <c:f>Sheet7!$N$85</c:f>
              <c:numCache>
                <c:formatCode>0.00</c:formatCode>
                <c:ptCount val="1"/>
                <c:pt idx="0">
                  <c:v>1.9000001994</c:v>
                </c:pt>
              </c:numCache>
            </c:numRef>
          </c:xVal>
          <c:yVal>
            <c:numRef>
              <c:f>Sheet7!$Q$85</c:f>
              <c:numCache>
                <c:formatCode>0.00</c:formatCode>
                <c:ptCount val="1"/>
                <c:pt idx="0">
                  <c:v>42.952364665397909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Sheet7!$U$73</c:f>
              <c:strCache>
                <c:ptCount val="1"/>
                <c:pt idx="0">
                  <c:v>Avoided crossing</c:v>
                </c:pt>
              </c:strCache>
            </c:strRef>
          </c:tx>
          <c:marker>
            <c:symbol val="none"/>
          </c:marker>
          <c:errBars>
            <c:errDir val="y"/>
            <c:errBarType val="both"/>
            <c:errValType val="fixedVal"/>
            <c:val val="100"/>
            <c:spPr>
              <a:ln w="12700">
                <a:prstDash val="dash"/>
              </a:ln>
            </c:spPr>
          </c:errBars>
          <c:xVal>
            <c:numRef>
              <c:f>Sheet7!$N$73</c:f>
              <c:numCache>
                <c:formatCode>0.00</c:formatCode>
                <c:ptCount val="1"/>
                <c:pt idx="0">
                  <c:v>2.5000001994000001</c:v>
                </c:pt>
              </c:numCache>
            </c:numRef>
          </c:xVal>
          <c:yVal>
            <c:numRef>
              <c:f>Sheet7!$Q$73</c:f>
              <c:numCache>
                <c:formatCode>0.00</c:formatCode>
                <c:ptCount val="1"/>
                <c:pt idx="0">
                  <c:v>45.985351087641902</c:v>
                </c:pt>
              </c:numCache>
            </c:numRef>
          </c:yVal>
          <c:smooth val="1"/>
        </c:ser>
        <c:axId val="112324608"/>
        <c:axId val="112326528"/>
      </c:scatterChart>
      <c:valAx>
        <c:axId val="112324608"/>
        <c:scaling>
          <c:orientation val="minMax"/>
          <c:max val="3.3"/>
          <c:min val="1.1500000000000001"/>
        </c:scaling>
        <c:axPos val="b"/>
        <c:title>
          <c:tx>
            <c:rich>
              <a:bodyPr/>
              <a:lstStyle/>
              <a:p>
                <a:pPr algn="ctr">
                  <a:defRPr sz="1400" b="0"/>
                </a:pPr>
                <a:r>
                  <a:rPr lang="da-DK" sz="1400" b="0"/>
                  <a:t>r</a:t>
                </a:r>
                <a:r>
                  <a:rPr lang="da-DK" sz="1400" b="0" baseline="-25000"/>
                  <a:t>O-O</a:t>
                </a:r>
                <a:r>
                  <a:rPr lang="da-DK" sz="1400" b="0" baseline="0"/>
                  <a:t>  [Å]</a:t>
                </a:r>
                <a:endParaRPr lang="da-DK" sz="1400" b="0" baseline="-25000"/>
              </a:p>
            </c:rich>
          </c:tx>
          <c:layout>
            <c:manualLayout>
              <c:xMode val="edge"/>
              <c:yMode val="edge"/>
              <c:x val="0.48712019890260727"/>
              <c:y val="0.92592916666666669"/>
            </c:manualLayout>
          </c:layout>
        </c:title>
        <c:numFmt formatCode="0.00" sourceLinked="1"/>
        <c:minorTickMark val="out"/>
        <c:tickLblPos val="low"/>
        <c:txPr>
          <a:bodyPr/>
          <a:lstStyle/>
          <a:p>
            <a:pPr>
              <a:defRPr sz="1400"/>
            </a:pPr>
            <a:endParaRPr lang="da-DK"/>
          </a:p>
        </c:txPr>
        <c:crossAx val="112326528"/>
        <c:crosses val="autoZero"/>
        <c:crossBetween val="midCat"/>
        <c:majorUnit val="0.2"/>
        <c:minorUnit val="0.05"/>
      </c:valAx>
      <c:valAx>
        <c:axId val="112326528"/>
        <c:scaling>
          <c:orientation val="minMax"/>
          <c:max val="60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a-DK" sz="1400" b="0"/>
                  <a:t>Potential energy [kCal/mol]</a:t>
                </a:r>
              </a:p>
            </c:rich>
          </c:tx>
          <c:layout>
            <c:manualLayout>
              <c:xMode val="edge"/>
              <c:yMode val="edge"/>
              <c:x val="1.2419410150891607E-3"/>
              <c:y val="0.18262083333333334"/>
            </c:manualLayout>
          </c:layout>
        </c:title>
        <c:numFmt formatCode="0" sourceLinked="0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112324608"/>
        <c:crosses val="autoZero"/>
        <c:crossBetween val="midCat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49675137174211248"/>
          <c:y val="0.52995222222222227"/>
          <c:w val="0.45041066529492546"/>
          <c:h val="0.13387777777777768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da-DK"/>
        </a:p>
      </c:txPr>
    </c:legend>
    <c:plotVisOnly val="1"/>
  </c:chart>
  <c:spPr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autoTitleDeleted val="1"/>
    <c:plotArea>
      <c:layout>
        <c:manualLayout>
          <c:layoutTarget val="inner"/>
          <c:xMode val="edge"/>
          <c:yMode val="edge"/>
          <c:x val="0.11162568587105638"/>
          <c:y val="9.4225833333333578E-2"/>
          <c:w val="0.8482839506172839"/>
          <c:h val="0.73797555555555683"/>
        </c:manualLayout>
      </c:layout>
      <c:scatterChart>
        <c:scatterStyle val="smoothMarker"/>
        <c:ser>
          <c:idx val="0"/>
          <c:order val="0"/>
          <c:tx>
            <c:strRef>
              <c:f>Sheet7!$L$94</c:f>
              <c:strCache>
                <c:ptCount val="1"/>
                <c:pt idx="0">
                  <c:v>R0</c:v>
                </c:pt>
              </c:strCache>
            </c:strRef>
          </c:tx>
          <c:marker>
            <c:symbol val="none"/>
          </c:marker>
          <c:xVal>
            <c:numRef>
              <c:f>Sheet7!$H$94</c:f>
              <c:numCache>
                <c:formatCode>0.00</c:formatCode>
                <c:ptCount val="1"/>
                <c:pt idx="0">
                  <c:v>1.4499985419999999</c:v>
                </c:pt>
              </c:numCache>
            </c:numRef>
          </c:xVal>
          <c:yVal>
            <c:numRef>
              <c:f>Sheet7!$K$94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Sheet7!$L$68</c:f>
              <c:strCache>
                <c:ptCount val="1"/>
                <c:pt idx="0">
                  <c:v>TS singlet</c:v>
                </c:pt>
              </c:strCache>
            </c:strRef>
          </c:tx>
          <c:marker>
            <c:symbol val="none"/>
          </c:marker>
          <c:xVal>
            <c:numRef>
              <c:f>Sheet7!$H$68</c:f>
              <c:numCache>
                <c:formatCode>0.00</c:formatCode>
                <c:ptCount val="1"/>
                <c:pt idx="0">
                  <c:v>2.7499985420000002</c:v>
                </c:pt>
              </c:numCache>
            </c:numRef>
          </c:xVal>
          <c:yVal>
            <c:numRef>
              <c:f>Sheet7!$K$68</c:f>
              <c:numCache>
                <c:formatCode>0.00</c:formatCode>
                <c:ptCount val="1"/>
                <c:pt idx="0">
                  <c:v>47.609312479733489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Sheet7!$L$63</c:f>
              <c:strCache>
                <c:ptCount val="1"/>
                <c:pt idx="0">
                  <c:v>PC</c:v>
                </c:pt>
              </c:strCache>
            </c:strRef>
          </c:tx>
          <c:marker>
            <c:symbol val="none"/>
          </c:marker>
          <c:xVal>
            <c:numRef>
              <c:f>Sheet7!$H$63</c:f>
              <c:numCache>
                <c:formatCode>0.00</c:formatCode>
                <c:ptCount val="1"/>
                <c:pt idx="0">
                  <c:v>2.9999985420000002</c:v>
                </c:pt>
              </c:numCache>
            </c:numRef>
          </c:xVal>
          <c:yVal>
            <c:numRef>
              <c:f>Sheet7!$K$63</c:f>
              <c:numCache>
                <c:formatCode>0.00</c:formatCode>
                <c:ptCount val="1"/>
                <c:pt idx="0">
                  <c:v>47.008696362754563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Sheet7!$R$66</c:f>
              <c:strCache>
                <c:ptCount val="1"/>
                <c:pt idx="0">
                  <c:v>TS triplet</c:v>
                </c:pt>
              </c:strCache>
            </c:strRef>
          </c:tx>
          <c:marker>
            <c:symbol val="none"/>
          </c:marker>
          <c:xVal>
            <c:numRef>
              <c:f>Sheet7!$N$66</c:f>
              <c:numCache>
                <c:formatCode>0.00</c:formatCode>
                <c:ptCount val="1"/>
                <c:pt idx="0">
                  <c:v>2.8500001994000002</c:v>
                </c:pt>
              </c:numCache>
            </c:numRef>
          </c:xVal>
          <c:yVal>
            <c:numRef>
              <c:f>Sheet7!$Q$66</c:f>
              <c:numCache>
                <c:formatCode>0.00</c:formatCode>
                <c:ptCount val="1"/>
                <c:pt idx="0">
                  <c:v>47.04931378357287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Sheet7!$R$85</c:f>
              <c:strCache>
                <c:ptCount val="1"/>
                <c:pt idx="0">
                  <c:v>R0 triplet</c:v>
                </c:pt>
              </c:strCache>
            </c:strRef>
          </c:tx>
          <c:marker>
            <c:symbol val="none"/>
          </c:marker>
          <c:xVal>
            <c:numRef>
              <c:f>Sheet7!$N$85</c:f>
              <c:numCache>
                <c:formatCode>0.00</c:formatCode>
                <c:ptCount val="1"/>
                <c:pt idx="0">
                  <c:v>1.9000001994</c:v>
                </c:pt>
              </c:numCache>
            </c:numRef>
          </c:xVal>
          <c:yVal>
            <c:numRef>
              <c:f>Sheet7!$Q$85</c:f>
              <c:numCache>
                <c:formatCode>0.00</c:formatCode>
                <c:ptCount val="1"/>
                <c:pt idx="0">
                  <c:v>42.952364665397909</c:v>
                </c:pt>
              </c:numCache>
            </c:numRef>
          </c:yVal>
          <c:smooth val="1"/>
        </c:ser>
        <c:ser>
          <c:idx val="7"/>
          <c:order val="5"/>
          <c:tx>
            <c:strRef>
              <c:f>Sheet7!$U$73</c:f>
              <c:strCache>
                <c:ptCount val="1"/>
                <c:pt idx="0">
                  <c:v>Avoided crossing</c:v>
                </c:pt>
              </c:strCache>
            </c:strRef>
          </c:tx>
          <c:marker>
            <c:symbol val="none"/>
          </c:marker>
          <c:xVal>
            <c:numRef>
              <c:f>Sheet7!$N$73</c:f>
              <c:numCache>
                <c:formatCode>0.00</c:formatCode>
                <c:ptCount val="1"/>
                <c:pt idx="0">
                  <c:v>2.5000001994000001</c:v>
                </c:pt>
              </c:numCache>
            </c:numRef>
          </c:xVal>
          <c:yVal>
            <c:numRef>
              <c:f>Sheet7!$Q$73</c:f>
              <c:numCache>
                <c:formatCode>0.00</c:formatCode>
                <c:ptCount val="1"/>
                <c:pt idx="0">
                  <c:v>45.985351087641902</c:v>
                </c:pt>
              </c:numCache>
            </c:numRef>
          </c:yVal>
          <c:smooth val="1"/>
        </c:ser>
        <c:ser>
          <c:idx val="5"/>
          <c:order val="6"/>
          <c:xVal>
            <c:numRef>
              <c:f>Sheet7!$H$107:$H$147</c:f>
              <c:numCache>
                <c:formatCode>0.00</c:formatCode>
                <c:ptCount val="41"/>
                <c:pt idx="0">
                  <c:v>3.2000006373000001</c:v>
                </c:pt>
                <c:pt idx="1">
                  <c:v>3.1500006372999998</c:v>
                </c:pt>
                <c:pt idx="2">
                  <c:v>3.1000006373</c:v>
                </c:pt>
                <c:pt idx="3">
                  <c:v>3.0500006373000002</c:v>
                </c:pt>
                <c:pt idx="4">
                  <c:v>3.0000006372999999</c:v>
                </c:pt>
                <c:pt idx="5">
                  <c:v>2.9500006373000001</c:v>
                </c:pt>
                <c:pt idx="6">
                  <c:v>2.9000006372999998</c:v>
                </c:pt>
                <c:pt idx="7">
                  <c:v>2.8500006373</c:v>
                </c:pt>
                <c:pt idx="8">
                  <c:v>2.8000006373000002</c:v>
                </c:pt>
                <c:pt idx="9">
                  <c:v>2.7500006372999999</c:v>
                </c:pt>
                <c:pt idx="10">
                  <c:v>2.7000006373000001</c:v>
                </c:pt>
                <c:pt idx="11">
                  <c:v>2.6500006372999998</c:v>
                </c:pt>
                <c:pt idx="12">
                  <c:v>2.6000006373</c:v>
                </c:pt>
                <c:pt idx="13">
                  <c:v>2.5500006373000002</c:v>
                </c:pt>
                <c:pt idx="14">
                  <c:v>2.5000006372999999</c:v>
                </c:pt>
                <c:pt idx="15">
                  <c:v>2.4500006373000001</c:v>
                </c:pt>
                <c:pt idx="16">
                  <c:v>2.4000006372999998</c:v>
                </c:pt>
                <c:pt idx="17">
                  <c:v>2.3500006373</c:v>
                </c:pt>
                <c:pt idx="18">
                  <c:v>2.3000006373000002</c:v>
                </c:pt>
                <c:pt idx="19">
                  <c:v>2.2500006372999999</c:v>
                </c:pt>
                <c:pt idx="20">
                  <c:v>2.2000006373000001</c:v>
                </c:pt>
                <c:pt idx="21">
                  <c:v>2.1500006372999998</c:v>
                </c:pt>
                <c:pt idx="22">
                  <c:v>2.1000006373</c:v>
                </c:pt>
                <c:pt idx="23">
                  <c:v>2.0500006373000002</c:v>
                </c:pt>
                <c:pt idx="24">
                  <c:v>2.0000006372999999</c:v>
                </c:pt>
                <c:pt idx="25">
                  <c:v>1.9500006373000001</c:v>
                </c:pt>
                <c:pt idx="26">
                  <c:v>1.9000006373</c:v>
                </c:pt>
                <c:pt idx="27">
                  <c:v>1.8500006373</c:v>
                </c:pt>
                <c:pt idx="28">
                  <c:v>1.8000006372999999</c:v>
                </c:pt>
                <c:pt idx="29">
                  <c:v>1.7500006373000001</c:v>
                </c:pt>
                <c:pt idx="30">
                  <c:v>1.7000006373000001</c:v>
                </c:pt>
                <c:pt idx="31">
                  <c:v>1.6500006373</c:v>
                </c:pt>
                <c:pt idx="32">
                  <c:v>1.6000006373</c:v>
                </c:pt>
                <c:pt idx="33">
                  <c:v>1.5500006372999999</c:v>
                </c:pt>
                <c:pt idx="34">
                  <c:v>1.5000006373000001</c:v>
                </c:pt>
                <c:pt idx="35">
                  <c:v>1.4500006373000001</c:v>
                </c:pt>
                <c:pt idx="36">
                  <c:v>1.4000006373</c:v>
                </c:pt>
                <c:pt idx="37">
                  <c:v>1.3500006373</c:v>
                </c:pt>
                <c:pt idx="38">
                  <c:v>1.3000006372999999</c:v>
                </c:pt>
                <c:pt idx="39">
                  <c:v>1.2500006373000001</c:v>
                </c:pt>
                <c:pt idx="40">
                  <c:v>1.2000006373000001</c:v>
                </c:pt>
              </c:numCache>
            </c:numRef>
          </c:xVal>
          <c:yVal>
            <c:numRef>
              <c:f>Sheet7!$K$107:$K$147</c:f>
              <c:numCache>
                <c:formatCode>0.0</c:formatCode>
                <c:ptCount val="41"/>
                <c:pt idx="0">
                  <c:v>46.671337959938683</c:v>
                </c:pt>
                <c:pt idx="1">
                  <c:v>46.507774527970469</c:v>
                </c:pt>
                <c:pt idx="2">
                  <c:v>46.363300555880414</c:v>
                </c:pt>
                <c:pt idx="3">
                  <c:v>46.243394199686009</c:v>
                </c:pt>
                <c:pt idx="4">
                  <c:v>46.152599881650531</c:v>
                </c:pt>
                <c:pt idx="5">
                  <c:v>46.072129346299334</c:v>
                </c:pt>
                <c:pt idx="6">
                  <c:v>45.988375682383776</c:v>
                </c:pt>
                <c:pt idx="7">
                  <c:v>45.957969720111578</c:v>
                </c:pt>
                <c:pt idx="8">
                  <c:v>45.993498668176471</c:v>
                </c:pt>
                <c:pt idx="9">
                  <c:v>46.110140093544032</c:v>
                </c:pt>
                <c:pt idx="10">
                  <c:v>46.325801856190083</c:v>
                </c:pt>
                <c:pt idx="11">
                  <c:v>46.410329239035491</c:v>
                </c:pt>
                <c:pt idx="12">
                  <c:v>46.312086385805742</c:v>
                </c:pt>
                <c:pt idx="13">
                  <c:v>46.020051723462529</c:v>
                </c:pt>
                <c:pt idx="14">
                  <c:v>45.604883424675791</c:v>
                </c:pt>
                <c:pt idx="15">
                  <c:v>45.075613230568706</c:v>
                </c:pt>
                <c:pt idx="16">
                  <c:v>44.435772763361456</c:v>
                </c:pt>
                <c:pt idx="17">
                  <c:v>43.681751962198177</c:v>
                </c:pt>
                <c:pt idx="18">
                  <c:v>42.804261807119474</c:v>
                </c:pt>
                <c:pt idx="19">
                  <c:v>41.788781105860835</c:v>
                </c:pt>
                <c:pt idx="20">
                  <c:v>40.615121002265369</c:v>
                </c:pt>
                <c:pt idx="21">
                  <c:v>39.256572191254236</c:v>
                </c:pt>
                <c:pt idx="22">
                  <c:v>37.678014860794065</c:v>
                </c:pt>
                <c:pt idx="23">
                  <c:v>35.833287545596249</c:v>
                </c:pt>
                <c:pt idx="24">
                  <c:v>33.661755278721103</c:v>
                </c:pt>
                <c:pt idx="25">
                  <c:v>31.082931837067008</c:v>
                </c:pt>
                <c:pt idx="26">
                  <c:v>27.989071366857388</c:v>
                </c:pt>
                <c:pt idx="27">
                  <c:v>24.236019925709115</c:v>
                </c:pt>
                <c:pt idx="28">
                  <c:v>19.920407668003463</c:v>
                </c:pt>
                <c:pt idx="29">
                  <c:v>15.712254492376815</c:v>
                </c:pt>
                <c:pt idx="30">
                  <c:v>11.726974416058511</c:v>
                </c:pt>
                <c:pt idx="31">
                  <c:v>8.0669468334381236</c:v>
                </c:pt>
                <c:pt idx="32">
                  <c:v>4.8650292648235336</c:v>
                </c:pt>
                <c:pt idx="33">
                  <c:v>2.2937547598412493</c:v>
                </c:pt>
                <c:pt idx="34">
                  <c:v>0.57656431368377525</c:v>
                </c:pt>
                <c:pt idx="35">
                  <c:v>0</c:v>
                </c:pt>
                <c:pt idx="36">
                  <c:v>0.92888002774270717</c:v>
                </c:pt>
                <c:pt idx="37">
                  <c:v>3.8312679631344508</c:v>
                </c:pt>
                <c:pt idx="38">
                  <c:v>9.3161515245155897</c:v>
                </c:pt>
                <c:pt idx="39">
                  <c:v>18.188945150744985</c:v>
                </c:pt>
                <c:pt idx="40">
                  <c:v>31.526142270653509</c:v>
                </c:pt>
              </c:numCache>
            </c:numRef>
          </c:yVal>
          <c:smooth val="1"/>
        </c:ser>
        <c:ser>
          <c:idx val="8"/>
          <c:order val="7"/>
          <c:xVal>
            <c:numRef>
              <c:f>Sheet7!$N$107:$N$137</c:f>
              <c:numCache>
                <c:formatCode>0.00</c:formatCode>
                <c:ptCount val="31"/>
                <c:pt idx="0">
                  <c:v>3.1999995136999999</c:v>
                </c:pt>
                <c:pt idx="1">
                  <c:v>3.1499995137000001</c:v>
                </c:pt>
                <c:pt idx="2">
                  <c:v>3.0999995136999998</c:v>
                </c:pt>
                <c:pt idx="3">
                  <c:v>3.0499995137</c:v>
                </c:pt>
                <c:pt idx="4">
                  <c:v>2.9999995137000002</c:v>
                </c:pt>
                <c:pt idx="5">
                  <c:v>2.9499995136999999</c:v>
                </c:pt>
                <c:pt idx="6">
                  <c:v>2.8999995137000001</c:v>
                </c:pt>
                <c:pt idx="7">
                  <c:v>2.8499995136999998</c:v>
                </c:pt>
                <c:pt idx="8">
                  <c:v>2.7999995137</c:v>
                </c:pt>
                <c:pt idx="9">
                  <c:v>2.7499995137000002</c:v>
                </c:pt>
                <c:pt idx="10">
                  <c:v>2.6999995136999999</c:v>
                </c:pt>
                <c:pt idx="11">
                  <c:v>2.6499995137000001</c:v>
                </c:pt>
                <c:pt idx="12">
                  <c:v>2.5999995136999998</c:v>
                </c:pt>
                <c:pt idx="13">
                  <c:v>2.5499995137</c:v>
                </c:pt>
                <c:pt idx="14">
                  <c:v>2.4999995137000002</c:v>
                </c:pt>
                <c:pt idx="15">
                  <c:v>2.4499995136999999</c:v>
                </c:pt>
                <c:pt idx="16">
                  <c:v>2.3999995137000001</c:v>
                </c:pt>
                <c:pt idx="17">
                  <c:v>2.3499995136999998</c:v>
                </c:pt>
                <c:pt idx="18">
                  <c:v>2.2999995137</c:v>
                </c:pt>
                <c:pt idx="19">
                  <c:v>2.2499995137000002</c:v>
                </c:pt>
                <c:pt idx="20">
                  <c:v>2.1999995136999999</c:v>
                </c:pt>
                <c:pt idx="21">
                  <c:v>2.1499995137000001</c:v>
                </c:pt>
                <c:pt idx="22">
                  <c:v>2.0999995136999998</c:v>
                </c:pt>
                <c:pt idx="23">
                  <c:v>2.0499995137</c:v>
                </c:pt>
                <c:pt idx="24">
                  <c:v>1.9999995137</c:v>
                </c:pt>
                <c:pt idx="25">
                  <c:v>1.9499995136999999</c:v>
                </c:pt>
                <c:pt idx="26">
                  <c:v>1.8999995137000001</c:v>
                </c:pt>
                <c:pt idx="27">
                  <c:v>1.8499995137</c:v>
                </c:pt>
                <c:pt idx="28">
                  <c:v>1.7999995137</c:v>
                </c:pt>
                <c:pt idx="29">
                  <c:v>1.7499995137</c:v>
                </c:pt>
                <c:pt idx="30">
                  <c:v>1.6999995136999999</c:v>
                </c:pt>
              </c:numCache>
            </c:numRef>
          </c:xVal>
          <c:yVal>
            <c:numRef>
              <c:f>Sheet7!$Q$107:$Q$137</c:f>
              <c:numCache>
                <c:formatCode>0.0</c:formatCode>
                <c:ptCount val="31"/>
                <c:pt idx="0">
                  <c:v>46.714375056573772</c:v>
                </c:pt>
                <c:pt idx="1">
                  <c:v>46.558955440064892</c:v>
                </c:pt>
                <c:pt idx="2">
                  <c:v>46.424109342871816</c:v>
                </c:pt>
                <c:pt idx="3">
                  <c:v>46.31546238574083</c:v>
                </c:pt>
                <c:pt idx="4">
                  <c:v>46.237818779714871</c:v>
                </c:pt>
                <c:pt idx="5">
                  <c:v>46.166854382492602</c:v>
                </c:pt>
                <c:pt idx="6">
                  <c:v>46.102559781429591</c:v>
                </c:pt>
                <c:pt idx="7">
                  <c:v>46.095828489356791</c:v>
                </c:pt>
                <c:pt idx="8">
                  <c:v>46.16026239747589</c:v>
                </c:pt>
                <c:pt idx="9">
                  <c:v>46.312159176872228</c:v>
                </c:pt>
                <c:pt idx="10">
                  <c:v>46.570871841337066</c:v>
                </c:pt>
                <c:pt idx="11">
                  <c:v>46.959283144315123</c:v>
                </c:pt>
                <c:pt idx="12">
                  <c:v>47.504419283111929</c:v>
                </c:pt>
                <c:pt idx="13">
                  <c:v>47.735173271488748</c:v>
                </c:pt>
                <c:pt idx="14">
                  <c:v>48.186966777037014</c:v>
                </c:pt>
                <c:pt idx="15">
                  <c:v>48.602376666894997</c:v>
                </c:pt>
                <c:pt idx="16">
                  <c:v>48.91366770658351</c:v>
                </c:pt>
                <c:pt idx="17">
                  <c:v>49.125912053670618</c:v>
                </c:pt>
                <c:pt idx="18">
                  <c:v>49.264088970128796</c:v>
                </c:pt>
                <c:pt idx="19">
                  <c:v>49.34155185346026</c:v>
                </c:pt>
                <c:pt idx="20">
                  <c:v>49.362671933384263</c:v>
                </c:pt>
                <c:pt idx="21">
                  <c:v>49.323131946002832</c:v>
                </c:pt>
                <c:pt idx="22">
                  <c:v>49.211210645429674</c:v>
                </c:pt>
                <c:pt idx="23">
                  <c:v>49.00598749970959</c:v>
                </c:pt>
                <c:pt idx="24">
                  <c:v>48.672759990513441</c:v>
                </c:pt>
                <c:pt idx="25">
                  <c:v>48.193817923383904</c:v>
                </c:pt>
                <c:pt idx="26">
                  <c:v>48.026751734592835</c:v>
                </c:pt>
                <c:pt idx="27">
                  <c:v>48.407940405741101</c:v>
                </c:pt>
                <c:pt idx="28">
                  <c:v>49.47622852314089</c:v>
                </c:pt>
                <c:pt idx="29">
                  <c:v>51.392028167174431</c:v>
                </c:pt>
                <c:pt idx="30">
                  <c:v>54.339554727761424</c:v>
                </c:pt>
              </c:numCache>
            </c:numRef>
          </c:yVal>
          <c:smooth val="1"/>
        </c:ser>
        <c:axId val="112453888"/>
        <c:axId val="112329088"/>
      </c:scatterChart>
      <c:valAx>
        <c:axId val="112453888"/>
        <c:scaling>
          <c:orientation val="minMax"/>
          <c:max val="3.3"/>
          <c:min val="1.1500000000000001"/>
        </c:scaling>
        <c:axPos val="b"/>
        <c:title>
          <c:tx>
            <c:rich>
              <a:bodyPr/>
              <a:lstStyle/>
              <a:p>
                <a:pPr algn="ctr">
                  <a:defRPr sz="1400" b="0"/>
                </a:pPr>
                <a:r>
                  <a:rPr lang="da-DK" sz="1400" b="0"/>
                  <a:t>r</a:t>
                </a:r>
                <a:r>
                  <a:rPr lang="da-DK" sz="1400" b="0" baseline="-25000"/>
                  <a:t>O-O</a:t>
                </a:r>
                <a:r>
                  <a:rPr lang="da-DK" sz="1400" b="0" baseline="0"/>
                  <a:t>  [Å]</a:t>
                </a:r>
                <a:endParaRPr lang="da-DK" sz="1400" b="0" baseline="-25000"/>
              </a:p>
            </c:rich>
          </c:tx>
          <c:layout>
            <c:manualLayout>
              <c:xMode val="edge"/>
              <c:yMode val="edge"/>
              <c:x val="0.48712019890260744"/>
              <c:y val="0.92592916666666669"/>
            </c:manualLayout>
          </c:layout>
        </c:title>
        <c:numFmt formatCode="0.00" sourceLinked="1"/>
        <c:minorTickMark val="out"/>
        <c:tickLblPos val="low"/>
        <c:txPr>
          <a:bodyPr/>
          <a:lstStyle/>
          <a:p>
            <a:pPr>
              <a:defRPr sz="1400"/>
            </a:pPr>
            <a:endParaRPr lang="da-DK"/>
          </a:p>
        </c:txPr>
        <c:crossAx val="112329088"/>
        <c:crosses val="autoZero"/>
        <c:crossBetween val="midCat"/>
        <c:majorUnit val="0.2"/>
        <c:minorUnit val="0.05"/>
      </c:valAx>
      <c:valAx>
        <c:axId val="112329088"/>
        <c:scaling>
          <c:orientation val="minMax"/>
          <c:max val="60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a-DK" sz="1400" b="0"/>
                  <a:t>Potential energy [kCal/mol]</a:t>
                </a:r>
              </a:p>
            </c:rich>
          </c:tx>
          <c:layout>
            <c:manualLayout>
              <c:xMode val="edge"/>
              <c:yMode val="edge"/>
              <c:x val="1.2419410150891598E-3"/>
              <c:y val="0.18262083333333334"/>
            </c:manualLayout>
          </c:layout>
        </c:title>
        <c:numFmt formatCode="0" sourceLinked="0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112453888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49675137174211248"/>
          <c:y val="0.52995222222222227"/>
          <c:w val="0.15467781207133069"/>
          <c:h val="0.16170611111111122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da-DK"/>
        </a:p>
      </c:txPr>
    </c:legend>
    <c:plotVisOnly val="1"/>
  </c:chart>
  <c:spPr>
    <a:ln>
      <a:noFill/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/>
      <c:scatterChart>
        <c:scatterStyle val="lineMarker"/>
        <c:ser>
          <c:idx val="0"/>
          <c:order val="0"/>
          <c:tx>
            <c:strRef>
              <c:f>Sheet8!$R$34</c:f>
              <c:strCache>
                <c:ptCount val="1"/>
                <c:pt idx="0">
                  <c:v>exp.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4548370430074192"/>
                  <c:y val="-0.15527012248468938"/>
                </c:manualLayout>
              </c:layout>
              <c:numFmt formatCode="General" sourceLinked="0"/>
            </c:trendlineLbl>
          </c:trendline>
          <c:xVal>
            <c:numRef>
              <c:f>Sheet8!$O$36:$O$40</c:f>
              <c:numCache>
                <c:formatCode>0.00E+00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Sheet8!$W$36:$W$40</c:f>
              <c:numCache>
                <c:formatCode>0.00</c:formatCode>
                <c:ptCount val="5"/>
                <c:pt idx="0">
                  <c:v>0.10436001532424286</c:v>
                </c:pt>
                <c:pt idx="1">
                  <c:v>0.36464311358790924</c:v>
                </c:pt>
                <c:pt idx="2">
                  <c:v>0.64710324205853842</c:v>
                </c:pt>
                <c:pt idx="3">
                  <c:v>1.1118575154181303</c:v>
                </c:pt>
                <c:pt idx="4">
                  <c:v>1.6193882432872684</c:v>
                </c:pt>
              </c:numCache>
            </c:numRef>
          </c:yVal>
        </c:ser>
        <c:ser>
          <c:idx val="1"/>
          <c:order val="1"/>
          <c:tx>
            <c:strRef>
              <c:f>Sheet8!$X$35</c:f>
              <c:strCache>
                <c:ptCount val="1"/>
                <c:pt idx="0">
                  <c:v>ln(calc)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7435509537685742"/>
                  <c:y val="-0.10622010790317889"/>
                </c:manualLayout>
              </c:layout>
              <c:numFmt formatCode="General" sourceLinked="0"/>
            </c:trendlineLbl>
          </c:trendline>
          <c:xVal>
            <c:numRef>
              <c:f>Sheet8!$O$36:$O$40</c:f>
              <c:numCache>
                <c:formatCode>0.00E+00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Sheet8!$X$36:$X$40</c:f>
              <c:numCache>
                <c:formatCode>0.00</c:formatCode>
                <c:ptCount val="5"/>
                <c:pt idx="0">
                  <c:v>5.5296317770880261</c:v>
                </c:pt>
                <c:pt idx="1">
                  <c:v>5.8874130934725422</c:v>
                </c:pt>
                <c:pt idx="2">
                  <c:v>6.2680295267516932</c:v>
                </c:pt>
                <c:pt idx="3">
                  <c:v>6.6903565326898233</c:v>
                </c:pt>
                <c:pt idx="4">
                  <c:v>7.1038135163795868</c:v>
                </c:pt>
              </c:numCache>
            </c:numRef>
          </c:yVal>
        </c:ser>
        <c:axId val="112566272"/>
        <c:axId val="112567808"/>
      </c:scatterChart>
      <c:valAx>
        <c:axId val="112566272"/>
        <c:scaling>
          <c:orientation val="minMax"/>
        </c:scaling>
        <c:axPos val="b"/>
        <c:numFmt formatCode="0.00E+00" sourceLinked="1"/>
        <c:tickLblPos val="nextTo"/>
        <c:crossAx val="112567808"/>
        <c:crosses val="autoZero"/>
        <c:crossBetween val="midCat"/>
      </c:valAx>
      <c:valAx>
        <c:axId val="112567808"/>
        <c:scaling>
          <c:orientation val="minMax"/>
        </c:scaling>
        <c:axPos val="l"/>
        <c:majorGridlines/>
        <c:numFmt formatCode="0.00" sourceLinked="1"/>
        <c:tickLblPos val="nextTo"/>
        <c:crossAx val="11256627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20422647169103872"/>
                  <c:y val="-0.45619604841061523"/>
                </c:manualLayout>
              </c:layout>
              <c:numFmt formatCode="General" sourceLinked="0"/>
            </c:trendlineLbl>
          </c:trendline>
          <c:xVal>
            <c:numRef>
              <c:f>Sheet8!$W$38:$W$40</c:f>
              <c:numCache>
                <c:formatCode>0.00</c:formatCode>
                <c:ptCount val="3"/>
                <c:pt idx="0">
                  <c:v>0.64710324205853842</c:v>
                </c:pt>
                <c:pt idx="1">
                  <c:v>1.1118575154181303</c:v>
                </c:pt>
                <c:pt idx="2">
                  <c:v>1.6193882432872684</c:v>
                </c:pt>
              </c:numCache>
            </c:numRef>
          </c:xVal>
          <c:yVal>
            <c:numRef>
              <c:f>Sheet8!$O$38:$O$40</c:f>
              <c:numCache>
                <c:formatCode>0.00E+00</c:formatCode>
                <c:ptCount val="3"/>
                <c:pt idx="0">
                  <c:v>1.3859053426650962E-3</c:v>
                </c:pt>
                <c:pt idx="1">
                  <c:v>1.366960563187752E-3</c:v>
                </c:pt>
                <c:pt idx="2">
                  <c:v>1.3483449066271152E-3</c:v>
                </c:pt>
              </c:numCache>
            </c:numRef>
          </c:yVal>
        </c:ser>
        <c:axId val="112588288"/>
        <c:axId val="112589824"/>
      </c:scatterChart>
      <c:valAx>
        <c:axId val="112588288"/>
        <c:scaling>
          <c:orientation val="minMax"/>
        </c:scaling>
        <c:axPos val="b"/>
        <c:numFmt formatCode="0.00" sourceLinked="1"/>
        <c:tickLblPos val="nextTo"/>
        <c:crossAx val="112589824"/>
        <c:crosses val="autoZero"/>
        <c:crossBetween val="midCat"/>
      </c:valAx>
      <c:valAx>
        <c:axId val="112589824"/>
        <c:scaling>
          <c:orientation val="minMax"/>
        </c:scaling>
        <c:axPos val="l"/>
        <c:majorGridlines/>
        <c:numFmt formatCode="0.00E+00" sourceLinked="1"/>
        <c:tickLblPos val="nextTo"/>
        <c:crossAx val="11258828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>
        <c:manualLayout>
          <c:layoutTarget val="inner"/>
          <c:xMode val="edge"/>
          <c:yMode val="edge"/>
          <c:x val="0.10141907261592301"/>
          <c:y val="5.1400554097404488E-2"/>
          <c:w val="0.61502537182852202"/>
          <c:h val="0.89719889180519141"/>
        </c:manualLayout>
      </c:layout>
      <c:scatterChart>
        <c:scatterStyle val="lineMarker"/>
        <c:ser>
          <c:idx val="0"/>
          <c:order val="0"/>
          <c:tx>
            <c:strRef>
              <c:f>Sheet9!$E$31</c:f>
              <c:strCache>
                <c:ptCount val="1"/>
                <c:pt idx="0">
                  <c:v>exp. k0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2436548556430446"/>
                  <c:y val="-0.43266076115485641"/>
                </c:manualLayout>
              </c:layout>
              <c:numFmt formatCode="General" sourceLinked="0"/>
            </c:trendlineLbl>
          </c:trendline>
          <c:xVal>
            <c:numRef>
              <c:f>Sheet9!$B$33:$B$37</c:f>
              <c:numCache>
                <c:formatCode>0.000000E+00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Sheet9!$L$33:$L$37</c:f>
              <c:numCache>
                <c:formatCode>0.00</c:formatCode>
                <c:ptCount val="5"/>
                <c:pt idx="0">
                  <c:v>0.10436001532424286</c:v>
                </c:pt>
                <c:pt idx="1">
                  <c:v>0.36464311358790924</c:v>
                </c:pt>
                <c:pt idx="2">
                  <c:v>0.64710324205853842</c:v>
                </c:pt>
                <c:pt idx="3">
                  <c:v>1.1118575154181303</c:v>
                </c:pt>
                <c:pt idx="4">
                  <c:v>1.6193882432872684</c:v>
                </c:pt>
              </c:numCache>
            </c:numRef>
          </c:yVal>
        </c:ser>
        <c:ser>
          <c:idx val="1"/>
          <c:order val="1"/>
          <c:tx>
            <c:strRef>
              <c:f>Sheet9!$H$31</c:f>
              <c:strCache>
                <c:ptCount val="1"/>
                <c:pt idx="0">
                  <c:v>CBS-QB3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2667629046369203"/>
                  <c:y val="3.1029090113735801E-2"/>
                </c:manualLayout>
              </c:layout>
              <c:numFmt formatCode="General" sourceLinked="0"/>
            </c:trendlineLbl>
          </c:trendline>
          <c:xVal>
            <c:numRef>
              <c:f>Sheet9!$B$33:$B$37</c:f>
              <c:numCache>
                <c:formatCode>0.000000E+00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Sheet9!$M$33:$M$37</c:f>
              <c:numCache>
                <c:formatCode>0.00</c:formatCode>
                <c:ptCount val="5"/>
                <c:pt idx="0">
                  <c:v>-0.61408223264561645</c:v>
                </c:pt>
                <c:pt idx="1">
                  <c:v>-0.19755702550010276</c:v>
                </c:pt>
                <c:pt idx="2">
                  <c:v>0.24545537710336501</c:v>
                </c:pt>
                <c:pt idx="3">
                  <c:v>0.73759068881427969</c:v>
                </c:pt>
                <c:pt idx="4">
                  <c:v>1.218489369520062</c:v>
                </c:pt>
              </c:numCache>
            </c:numRef>
          </c:yVal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trendline>
            <c:trendlineType val="linear"/>
            <c:forward val="2.0000000000000022E-5"/>
          </c:trendline>
          <c:xVal>
            <c:numRef>
              <c:f>Sheet9!$B$35:$B$37</c:f>
              <c:numCache>
                <c:formatCode>0.000000E+00</c:formatCode>
                <c:ptCount val="3"/>
                <c:pt idx="0">
                  <c:v>1.3859053426650962E-3</c:v>
                </c:pt>
                <c:pt idx="1">
                  <c:v>1.366960563187752E-3</c:v>
                </c:pt>
                <c:pt idx="2">
                  <c:v>1.3483449066271152E-3</c:v>
                </c:pt>
              </c:numCache>
            </c:numRef>
          </c:xVal>
          <c:yVal>
            <c:numRef>
              <c:f>Sheet9!$L$35:$L$37</c:f>
              <c:numCache>
                <c:formatCode>0.00</c:formatCode>
                <c:ptCount val="3"/>
                <c:pt idx="0">
                  <c:v>0.64710324205853842</c:v>
                </c:pt>
                <c:pt idx="1">
                  <c:v>1.1118575154181303</c:v>
                </c:pt>
                <c:pt idx="2">
                  <c:v>1.6193882432872684</c:v>
                </c:pt>
              </c:numCache>
            </c:numRef>
          </c:yVal>
        </c:ser>
        <c:axId val="112773760"/>
        <c:axId val="112591232"/>
      </c:scatterChart>
      <c:valAx>
        <c:axId val="112773760"/>
        <c:scaling>
          <c:orientation val="minMax"/>
        </c:scaling>
        <c:delete val="1"/>
        <c:axPos val="b"/>
        <c:numFmt formatCode="0.000000E+00" sourceLinked="1"/>
        <c:tickLblPos val="none"/>
        <c:crossAx val="112591232"/>
        <c:crosses val="autoZero"/>
        <c:crossBetween val="midCat"/>
      </c:valAx>
      <c:valAx>
        <c:axId val="112591232"/>
        <c:scaling>
          <c:orientation val="minMax"/>
        </c:scaling>
        <c:axPos val="l"/>
        <c:numFmt formatCode="0.00" sourceLinked="1"/>
        <c:tickLblPos val="nextTo"/>
        <c:crossAx val="11277376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>
        <c:manualLayout>
          <c:layoutTarget val="inner"/>
          <c:xMode val="edge"/>
          <c:yMode val="edge"/>
          <c:x val="0.10141907261592301"/>
          <c:y val="5.1400554097404488E-2"/>
          <c:w val="0.61502537182852224"/>
          <c:h val="0.89719889180519163"/>
        </c:manualLayout>
      </c:layout>
      <c:scatterChart>
        <c:scatterStyle val="lineMarker"/>
        <c:ser>
          <c:idx val="0"/>
          <c:order val="0"/>
          <c:tx>
            <c:strRef>
              <c:f>Sheet9!$E$31</c:f>
              <c:strCache>
                <c:ptCount val="1"/>
                <c:pt idx="0">
                  <c:v>exp. k0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1.5197336724975538E-2"/>
                  <c:y val="-0.14529955042748388"/>
                </c:manualLayout>
              </c:layout>
              <c:numFmt formatCode="General" sourceLinked="0"/>
            </c:trendlineLbl>
          </c:trendline>
          <c:xVal>
            <c:numRef>
              <c:f>Sheet9!$B$33:$B$37</c:f>
              <c:numCache>
                <c:formatCode>0.000000E+00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Sheet9!$F$33:$F$37</c:f>
              <c:numCache>
                <c:formatCode>0.000E+00</c:formatCode>
                <c:ptCount val="5"/>
                <c:pt idx="0">
                  <c:v>7.5600086806547039E-14</c:v>
                </c:pt>
                <c:pt idx="1">
                  <c:v>9.696121251244992E-14</c:v>
                </c:pt>
                <c:pt idx="2">
                  <c:v>1.270397726507509E-13</c:v>
                </c:pt>
                <c:pt idx="3">
                  <c:v>1.9943544227199862E-13</c:v>
                </c:pt>
                <c:pt idx="4">
                  <c:v>3.2678728389229337E-13</c:v>
                </c:pt>
              </c:numCache>
            </c:numRef>
          </c:yVal>
        </c:ser>
        <c:ser>
          <c:idx val="1"/>
          <c:order val="1"/>
          <c:tx>
            <c:strRef>
              <c:f>Sheet9!$K$48</c:f>
              <c:strCache>
                <c:ptCount val="1"/>
                <c:pt idx="0">
                  <c:v>B3LYP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5153001766528029"/>
                  <c:y val="-3.8246823107507599E-2"/>
                </c:manualLayout>
              </c:layout>
              <c:numFmt formatCode="General" sourceLinked="0"/>
            </c:trendlineLbl>
          </c:trendline>
          <c:xVal>
            <c:numRef>
              <c:f>Sheet9!$B$33:$B$37</c:f>
              <c:numCache>
                <c:formatCode>0.000000E+00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Sheet9!$M$42:$M$46</c:f>
              <c:numCache>
                <c:formatCode>0.00</c:formatCode>
                <c:ptCount val="5"/>
                <c:pt idx="0">
                  <c:v>1.7165702375007366</c:v>
                </c:pt>
                <c:pt idx="1">
                  <c:v>2.0889848484032272</c:v>
                </c:pt>
                <c:pt idx="2">
                  <c:v>2.4847162046127647</c:v>
                </c:pt>
                <c:pt idx="3">
                  <c:v>2.9233854435988307</c:v>
                </c:pt>
                <c:pt idx="4">
                  <c:v>3.3540077622399518</c:v>
                </c:pt>
              </c:numCache>
            </c:numRef>
          </c:yVal>
        </c:ser>
        <c:ser>
          <c:idx val="2"/>
          <c:order val="2"/>
          <c:tx>
            <c:strRef>
              <c:f>Sheet9!$K$31</c:f>
              <c:strCache>
                <c:ptCount val="1"/>
                <c:pt idx="0">
                  <c:v>CBS-QB3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</c:trendline>
          <c:trendline>
            <c:trendlineType val="linear"/>
            <c:dispRSqr val="1"/>
            <c:dispEq val="1"/>
            <c:trendlineLbl>
              <c:layout>
                <c:manualLayout>
                  <c:x val="-0.13517009595244373"/>
                  <c:y val="-6.0068293443517627E-2"/>
                </c:manualLayout>
              </c:layout>
              <c:numFmt formatCode="General" sourceLinked="0"/>
            </c:trendlineLbl>
          </c:trendline>
          <c:xVal>
            <c:numRef>
              <c:f>Sheet9!$B$33:$B$37</c:f>
              <c:numCache>
                <c:formatCode>0.000000E+00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Sheet9!$M$33:$M$37</c:f>
              <c:numCache>
                <c:formatCode>0.00</c:formatCode>
                <c:ptCount val="5"/>
                <c:pt idx="0">
                  <c:v>-0.61408223264561645</c:v>
                </c:pt>
                <c:pt idx="1">
                  <c:v>-0.19755702550010276</c:v>
                </c:pt>
                <c:pt idx="2">
                  <c:v>0.24545537710336501</c:v>
                </c:pt>
                <c:pt idx="3">
                  <c:v>0.73759068881427969</c:v>
                </c:pt>
                <c:pt idx="4">
                  <c:v>1.218489369520062</c:v>
                </c:pt>
              </c:numCache>
            </c:numRef>
          </c:yVal>
        </c:ser>
        <c:axId val="112640384"/>
        <c:axId val="112641920"/>
      </c:scatterChart>
      <c:valAx>
        <c:axId val="112640384"/>
        <c:scaling>
          <c:orientation val="minMax"/>
        </c:scaling>
        <c:delete val="1"/>
        <c:axPos val="b"/>
        <c:numFmt formatCode="0.000000E+00" sourceLinked="1"/>
        <c:tickLblPos val="none"/>
        <c:crossAx val="112641920"/>
        <c:crosses val="autoZero"/>
        <c:crossBetween val="midCat"/>
      </c:valAx>
      <c:valAx>
        <c:axId val="112641920"/>
        <c:scaling>
          <c:orientation val="minMax"/>
        </c:scaling>
        <c:axPos val="l"/>
        <c:numFmt formatCode="0.000E+00" sourceLinked="1"/>
        <c:tickLblPos val="nextTo"/>
        <c:crossAx val="11264038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>
        <c:manualLayout>
          <c:layoutTarget val="inner"/>
          <c:xMode val="edge"/>
          <c:yMode val="edge"/>
          <c:x val="0.10141907261592301"/>
          <c:y val="5.1400554097404488E-2"/>
          <c:w val="0.7539697263869416"/>
          <c:h val="0.89719889180519163"/>
        </c:manualLayout>
      </c:layout>
      <c:scatterChart>
        <c:scatterStyle val="lineMarker"/>
        <c:ser>
          <c:idx val="1"/>
          <c:order val="0"/>
          <c:tx>
            <c:strRef>
              <c:f>Sheet9!$G$48</c:f>
              <c:strCache>
                <c:ptCount val="1"/>
                <c:pt idx="0">
                  <c:v>exp.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1"/>
            <c:dispEq val="1"/>
            <c:trendlineLbl>
              <c:layout>
                <c:manualLayout>
                  <c:x val="-6.8049566093394895E-2"/>
                  <c:y val="-0.12919751407990968"/>
                </c:manualLayout>
              </c:layout>
              <c:numFmt formatCode="General" sourceLinked="0"/>
            </c:trendlineLbl>
          </c:trendline>
          <c:xVal>
            <c:numRef>
              <c:f>Sheet9!$A$50:$A$54</c:f>
              <c:numCache>
                <c:formatCode>0.00</c:formatCode>
                <c:ptCount val="5"/>
                <c:pt idx="0">
                  <c:v>704.65</c:v>
                </c:pt>
                <c:pt idx="1">
                  <c:v>712.75</c:v>
                </c:pt>
                <c:pt idx="2">
                  <c:v>721.55</c:v>
                </c:pt>
                <c:pt idx="3">
                  <c:v>731.55</c:v>
                </c:pt>
                <c:pt idx="4">
                  <c:v>741.65</c:v>
                </c:pt>
              </c:numCache>
            </c:numRef>
          </c:xVal>
          <c:yVal>
            <c:numRef>
              <c:f>Sheet9!$F$50:$F$54</c:f>
              <c:numCache>
                <c:formatCode>0.0E+00</c:formatCode>
                <c:ptCount val="5"/>
                <c:pt idx="0">
                  <c:v>7.5600086806547039E-14</c:v>
                </c:pt>
                <c:pt idx="1">
                  <c:v>9.696121251244992E-14</c:v>
                </c:pt>
                <c:pt idx="2">
                  <c:v>1.270397726507509E-13</c:v>
                </c:pt>
                <c:pt idx="3">
                  <c:v>1.9943544227199862E-13</c:v>
                </c:pt>
                <c:pt idx="4">
                  <c:v>3.2678728389229337E-13</c:v>
                </c:pt>
              </c:numCache>
            </c:numRef>
          </c:yVal>
        </c:ser>
        <c:ser>
          <c:idx val="0"/>
          <c:order val="1"/>
          <c:tx>
            <c:strRef>
              <c:f>Sheet9!$K$48</c:f>
              <c:strCache>
                <c:ptCount val="1"/>
                <c:pt idx="0">
                  <c:v>B3LYP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1"/>
            <c:dispEq val="1"/>
            <c:trendlineLbl>
              <c:layout>
                <c:manualLayout>
                  <c:x val="0.10856051676175214"/>
                  <c:y val="-0.29773163173537726"/>
                </c:manualLayout>
              </c:layout>
              <c:numFmt formatCode="General" sourceLinked="0"/>
            </c:trendlineLbl>
          </c:trendline>
          <c:xVal>
            <c:numRef>
              <c:f>Sheet9!$A$50:$A$54</c:f>
              <c:numCache>
                <c:formatCode>0.00</c:formatCode>
                <c:ptCount val="5"/>
                <c:pt idx="0">
                  <c:v>704.65</c:v>
                </c:pt>
                <c:pt idx="1">
                  <c:v>712.75</c:v>
                </c:pt>
                <c:pt idx="2">
                  <c:v>721.55</c:v>
                </c:pt>
                <c:pt idx="3">
                  <c:v>731.55</c:v>
                </c:pt>
                <c:pt idx="4">
                  <c:v>741.65</c:v>
                </c:pt>
              </c:numCache>
            </c:numRef>
          </c:xVal>
          <c:yVal>
            <c:numRef>
              <c:f>Sheet9!$K$33:$K$37</c:f>
              <c:numCache>
                <c:formatCode>0.0E+00</c:formatCode>
                <c:ptCount val="5"/>
                <c:pt idx="0">
                  <c:v>3.685588043255221E-14</c:v>
                </c:pt>
                <c:pt idx="1">
                  <c:v>5.5263402404624267E-14</c:v>
                </c:pt>
                <c:pt idx="2">
                  <c:v>8.5017094068059631E-14</c:v>
                </c:pt>
                <c:pt idx="3">
                  <c:v>1.3717037409501236E-13</c:v>
                </c:pt>
                <c:pt idx="4">
                  <c:v>2.188552554933847E-13</c:v>
                </c:pt>
              </c:numCache>
            </c:numRef>
          </c:yVal>
        </c:ser>
        <c:ser>
          <c:idx val="2"/>
          <c:order val="2"/>
          <c:tx>
            <c:strRef>
              <c:f>Sheet9!$K$40</c:f>
              <c:strCache>
                <c:ptCount val="1"/>
                <c:pt idx="0">
                  <c:v>B3LYP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1"/>
            <c:dispEq val="1"/>
            <c:trendlineLbl>
              <c:layout>
                <c:manualLayout>
                  <c:x val="-0.29064108004463518"/>
                  <c:y val="0.1702341251747794"/>
                </c:manualLayout>
              </c:layout>
              <c:numFmt formatCode="General" sourceLinked="0"/>
            </c:trendlineLbl>
          </c:trendline>
          <c:xVal>
            <c:numRef>
              <c:f>Sheet9!$A$42:$A$46</c:f>
              <c:numCache>
                <c:formatCode>0.00</c:formatCode>
                <c:ptCount val="5"/>
                <c:pt idx="0">
                  <c:v>704.65</c:v>
                </c:pt>
                <c:pt idx="1">
                  <c:v>712.75</c:v>
                </c:pt>
                <c:pt idx="2">
                  <c:v>721.55</c:v>
                </c:pt>
                <c:pt idx="3">
                  <c:v>731.55</c:v>
                </c:pt>
                <c:pt idx="4">
                  <c:v>741.65</c:v>
                </c:pt>
              </c:numCache>
            </c:numRef>
          </c:xVal>
          <c:yVal>
            <c:numRef>
              <c:f>Sheet9!$K$42:$K$46</c:f>
              <c:numCache>
                <c:formatCode>0.0E+00</c:formatCode>
                <c:ptCount val="5"/>
                <c:pt idx="0">
                  <c:v>3.7904982226113066E-13</c:v>
                </c:pt>
                <c:pt idx="1">
                  <c:v>5.4383873633239388E-13</c:v>
                </c:pt>
                <c:pt idx="2">
                  <c:v>7.980036492732957E-13</c:v>
                </c:pt>
                <c:pt idx="3">
                  <c:v>1.2205032034194303E-12</c:v>
                </c:pt>
                <c:pt idx="4">
                  <c:v>1.8518287997679806E-12</c:v>
                </c:pt>
              </c:numCache>
            </c:numRef>
          </c:yVal>
        </c:ser>
        <c:axId val="112686208"/>
        <c:axId val="112687744"/>
      </c:scatterChart>
      <c:valAx>
        <c:axId val="112686208"/>
        <c:scaling>
          <c:orientation val="minMax"/>
        </c:scaling>
        <c:axPos val="b"/>
        <c:numFmt formatCode="#,##0" sourceLinked="0"/>
        <c:tickLblPos val="nextTo"/>
        <c:crossAx val="112687744"/>
        <c:crosses val="autoZero"/>
        <c:crossBetween val="midCat"/>
      </c:valAx>
      <c:valAx>
        <c:axId val="112687744"/>
        <c:scaling>
          <c:orientation val="minMax"/>
        </c:scaling>
        <c:axPos val="l"/>
        <c:numFmt formatCode="0.0E+00" sourceLinked="0"/>
        <c:tickLblPos val="nextTo"/>
        <c:crossAx val="112686208"/>
        <c:crosses val="autoZero"/>
        <c:crossBetween val="midCat"/>
      </c:valAx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>
        <c:manualLayout>
          <c:layoutTarget val="inner"/>
          <c:xMode val="edge"/>
          <c:yMode val="edge"/>
          <c:x val="0.1229206826325133"/>
          <c:y val="0.111350247885681"/>
          <c:w val="0.80560634277561749"/>
          <c:h val="0.8326195683872849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chemeClr val="tx1"/>
              </a:solidFill>
              <a:ln>
                <a:noFill/>
              </a:ln>
            </c:spPr>
          </c:marker>
          <c:trendline>
            <c:trendlineType val="linear"/>
          </c:trendline>
          <c:xVal>
            <c:numRef>
              <c:f>Sheet10!$Z$5:$Z$9</c:f>
              <c:numCache>
                <c:formatCode>0.000E+00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Sheet10!$AC$5:$AC$9</c:f>
              <c:numCache>
                <c:formatCode>0.000E+00</c:formatCode>
                <c:ptCount val="5"/>
                <c:pt idx="0">
                  <c:v>-21.874295957746348</c:v>
                </c:pt>
                <c:pt idx="1">
                  <c:v>-21.625442361637944</c:v>
                </c:pt>
                <c:pt idx="2">
                  <c:v>-21.355253181256622</c:v>
                </c:pt>
                <c:pt idx="3">
                  <c:v>-20.904262802839114</c:v>
                </c:pt>
                <c:pt idx="4">
                  <c:v>-20.410443937915424</c:v>
                </c:pt>
              </c:numCache>
            </c:numRef>
          </c:yVal>
        </c:ser>
        <c:axId val="112870144"/>
        <c:axId val="112980352"/>
      </c:scatterChart>
      <c:valAx>
        <c:axId val="112870144"/>
        <c:scaling>
          <c:orientation val="minMax"/>
          <c:max val="1.4300000000000011E-3"/>
          <c:min val="1.3400000000000011E-3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a-DK" sz="1400" b="0"/>
                  <a:t>T</a:t>
                </a:r>
                <a:r>
                  <a:rPr lang="da-DK" sz="1400" b="0" baseline="30000"/>
                  <a:t>-1</a:t>
                </a:r>
                <a:r>
                  <a:rPr lang="da-DK" sz="1400" b="0"/>
                  <a:t> [</a:t>
                </a:r>
                <a:r>
                  <a:rPr lang="da-DK" sz="1400" b="0" baseline="30000"/>
                  <a:t>o</a:t>
                </a:r>
                <a:r>
                  <a:rPr lang="da-DK" sz="1400" b="0"/>
                  <a:t>K</a:t>
                </a:r>
                <a:r>
                  <a:rPr lang="da-DK" sz="1400" b="0" baseline="30000"/>
                  <a:t>-1</a:t>
                </a:r>
                <a:r>
                  <a:rPr lang="da-DK" sz="1400" b="0"/>
                  <a:t>]</a:t>
                </a:r>
                <a:r>
                  <a:rPr lang="da-DK" sz="1400" b="0" baseline="0"/>
                  <a:t> </a:t>
                </a:r>
                <a:endParaRPr lang="da-DK" sz="1400" b="0"/>
              </a:p>
            </c:rich>
          </c:tx>
          <c:layout/>
        </c:title>
        <c:numFmt formatCode="0.0E+0" sourceLinked="0"/>
        <c:majorTickMark val="in"/>
        <c:minorTickMark val="in"/>
        <c:tickLblPos val="high"/>
        <c:txPr>
          <a:bodyPr/>
          <a:lstStyle/>
          <a:p>
            <a:pPr>
              <a:defRPr sz="1400"/>
            </a:pPr>
            <a:endParaRPr lang="da-DK"/>
          </a:p>
        </c:txPr>
        <c:crossAx val="112980352"/>
        <c:crosses val="autoZero"/>
        <c:crossBetween val="midCat"/>
        <c:majorUnit val="5.0000000000000057E-5"/>
        <c:minorUnit val="2.0000000000000029E-6"/>
      </c:valAx>
      <c:valAx>
        <c:axId val="112980352"/>
        <c:scaling>
          <c:orientation val="minMax"/>
          <c:max val="-20.3"/>
          <c:min val="-22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a-DK" sz="1400" b="0"/>
                  <a:t>Ln(k</a:t>
                </a:r>
                <a:r>
                  <a:rPr lang="da-DK" sz="1400" b="0" baseline="-25000"/>
                  <a:t>obs</a:t>
                </a:r>
                <a:r>
                  <a:rPr lang="da-DK" sz="1400" b="0"/>
                  <a:t>·h</a:t>
                </a:r>
                <a:r>
                  <a:rPr lang="da-DK" sz="1400" b="0">
                    <a:latin typeface="Calibri"/>
                  </a:rPr>
                  <a:t>·L</a:t>
                </a:r>
                <a:r>
                  <a:rPr lang="da-DK" sz="1400" b="0"/>
                  <a:t>/k</a:t>
                </a:r>
                <a:r>
                  <a:rPr lang="da-DK" sz="1400" b="0" baseline="-25000"/>
                  <a:t>B</a:t>
                </a:r>
                <a:r>
                  <a:rPr lang="da-DK" sz="1400" b="0">
                    <a:latin typeface="Calibri"/>
                  </a:rPr>
                  <a:t>·T·mol)</a:t>
                </a:r>
                <a:endParaRPr lang="da-DK" sz="1400" b="0"/>
              </a:p>
            </c:rich>
          </c:tx>
          <c:layout/>
        </c:title>
        <c:numFmt formatCode="#,##0" sourceLinked="0"/>
        <c:minorTickMark val="out"/>
        <c:tickLblPos val="nextTo"/>
        <c:txPr>
          <a:bodyPr/>
          <a:lstStyle/>
          <a:p>
            <a:pPr>
              <a:defRPr sz="1400"/>
            </a:pPr>
            <a:endParaRPr lang="da-DK"/>
          </a:p>
        </c:txPr>
        <c:crossAx val="112870144"/>
        <c:crosses val="autoZero"/>
        <c:crossBetween val="midCat"/>
        <c:majorUnit val="1"/>
        <c:minorUnit val="0.1"/>
      </c:valAx>
    </c:plotArea>
    <c:plotVisOnly val="1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>
        <c:manualLayout>
          <c:layoutTarget val="inner"/>
          <c:xMode val="edge"/>
          <c:yMode val="edge"/>
          <c:x val="5.8312169312169315E-2"/>
          <c:y val="3.7843888888888892E-2"/>
          <c:w val="0.9414507236546974"/>
          <c:h val="0.91501611111111114"/>
        </c:manualLayout>
      </c:layout>
      <c:scatterChart>
        <c:scatterStyle val="lineMarker"/>
        <c:ser>
          <c:idx val="1"/>
          <c:order val="0"/>
          <c:tx>
            <c:strRef>
              <c:f>Sheet10!$AK$191</c:f>
              <c:strCache>
                <c:ptCount val="1"/>
                <c:pt idx="0">
                  <c:v>Exp. Bond dissociation energy (T=0): Luo et al. (1992)</c:v>
                </c:pt>
              </c:strCache>
            </c:strRef>
          </c:tx>
          <c:spPr>
            <a:ln w="50800" cmpd="sng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Sheet10!$AH$192:$AH$212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Sheet10!$AK$192:$AK$212</c:f>
              <c:numCache>
                <c:formatCode>General</c:formatCode>
                <c:ptCount val="21"/>
                <c:pt idx="0">
                  <c:v>48.75</c:v>
                </c:pt>
                <c:pt idx="1">
                  <c:v>48.75</c:v>
                </c:pt>
                <c:pt idx="2">
                  <c:v>48.75</c:v>
                </c:pt>
                <c:pt idx="3">
                  <c:v>48.75</c:v>
                </c:pt>
                <c:pt idx="4">
                  <c:v>48.75</c:v>
                </c:pt>
                <c:pt idx="5">
                  <c:v>48.75</c:v>
                </c:pt>
                <c:pt idx="6">
                  <c:v>48.75</c:v>
                </c:pt>
                <c:pt idx="7">
                  <c:v>48.75</c:v>
                </c:pt>
                <c:pt idx="8">
                  <c:v>48.75</c:v>
                </c:pt>
                <c:pt idx="9">
                  <c:v>48.75</c:v>
                </c:pt>
                <c:pt idx="10">
                  <c:v>48.75</c:v>
                </c:pt>
                <c:pt idx="11">
                  <c:v>48.75</c:v>
                </c:pt>
                <c:pt idx="12">
                  <c:v>48.75</c:v>
                </c:pt>
                <c:pt idx="13">
                  <c:v>48.75</c:v>
                </c:pt>
                <c:pt idx="14">
                  <c:v>48.75</c:v>
                </c:pt>
                <c:pt idx="15">
                  <c:v>48.75</c:v>
                </c:pt>
                <c:pt idx="16">
                  <c:v>48.75</c:v>
                </c:pt>
                <c:pt idx="17">
                  <c:v>48.75</c:v>
                </c:pt>
                <c:pt idx="18">
                  <c:v>48.75</c:v>
                </c:pt>
                <c:pt idx="19">
                  <c:v>48.75</c:v>
                </c:pt>
                <c:pt idx="20">
                  <c:v>48.75</c:v>
                </c:pt>
              </c:numCache>
            </c:numRef>
          </c:yVal>
        </c:ser>
        <c:ser>
          <c:idx val="0"/>
          <c:order val="1"/>
          <c:tx>
            <c:strRef>
              <c:f>Sheet10!$AJ$191</c:f>
              <c:strCache>
                <c:ptCount val="1"/>
                <c:pt idx="0">
                  <c:v>Exp. Activation energy: Kappel et al. (2002)</c:v>
                </c:pt>
              </c:strCache>
            </c:strRef>
          </c:tx>
          <c:spPr>
            <a:ln w="50800"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Sheet10!$AH$192:$AH$212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Sheet10!$AJ$192:$AJ$212</c:f>
              <c:numCache>
                <c:formatCode>0.0</c:formatCode>
                <c:ptCount val="21"/>
                <c:pt idx="0">
                  <c:v>43.642968098388046</c:v>
                </c:pt>
                <c:pt idx="1">
                  <c:v>43.642968098388046</c:v>
                </c:pt>
                <c:pt idx="2">
                  <c:v>43.642968098388046</c:v>
                </c:pt>
                <c:pt idx="3">
                  <c:v>43.642968098388046</c:v>
                </c:pt>
                <c:pt idx="4">
                  <c:v>43.642968098388046</c:v>
                </c:pt>
                <c:pt idx="5">
                  <c:v>43.642968098388046</c:v>
                </c:pt>
                <c:pt idx="6">
                  <c:v>43.642968098388046</c:v>
                </c:pt>
                <c:pt idx="7">
                  <c:v>43.642968098388046</c:v>
                </c:pt>
                <c:pt idx="8">
                  <c:v>43.642968098388046</c:v>
                </c:pt>
                <c:pt idx="9">
                  <c:v>43.642968098388046</c:v>
                </c:pt>
                <c:pt idx="10">
                  <c:v>43.642968098388046</c:v>
                </c:pt>
                <c:pt idx="11">
                  <c:v>43.642968098388046</c:v>
                </c:pt>
                <c:pt idx="12">
                  <c:v>43.642968098388046</c:v>
                </c:pt>
                <c:pt idx="13">
                  <c:v>43.642968098388046</c:v>
                </c:pt>
                <c:pt idx="14">
                  <c:v>43.642968098388046</c:v>
                </c:pt>
                <c:pt idx="15">
                  <c:v>43.642968098388046</c:v>
                </c:pt>
                <c:pt idx="16">
                  <c:v>43.642968098388046</c:v>
                </c:pt>
                <c:pt idx="17">
                  <c:v>43.642968098388046</c:v>
                </c:pt>
                <c:pt idx="18">
                  <c:v>43.642968098388046</c:v>
                </c:pt>
                <c:pt idx="19">
                  <c:v>43.642968098388046</c:v>
                </c:pt>
                <c:pt idx="20">
                  <c:v>43.642968098388046</c:v>
                </c:pt>
              </c:numCache>
            </c:numRef>
          </c:yVal>
        </c:ser>
        <c:ser>
          <c:idx val="11"/>
          <c:order val="2"/>
          <c:tx>
            <c:strRef>
              <c:f>Sheet10!$AI$191</c:f>
              <c:strCache>
                <c:ptCount val="1"/>
                <c:pt idx="0">
                  <c:v>Exp. Activation energy: Hong et al. (2010)</c:v>
                </c:pt>
              </c:strCache>
            </c:strRef>
          </c:tx>
          <c:spPr>
            <a:ln w="508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Sheet10!$AH$192:$AH$212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Sheet10!$AI$192:$AI$212</c:f>
              <c:numCache>
                <c:formatCode>0.0</c:formatCode>
                <c:ptCount val="21"/>
                <c:pt idx="0">
                  <c:v>42.228079049756218</c:v>
                </c:pt>
                <c:pt idx="1">
                  <c:v>42.228079049756218</c:v>
                </c:pt>
                <c:pt idx="2">
                  <c:v>42.228079049756218</c:v>
                </c:pt>
                <c:pt idx="3">
                  <c:v>42.228079049756218</c:v>
                </c:pt>
                <c:pt idx="4">
                  <c:v>42.228079049756218</c:v>
                </c:pt>
                <c:pt idx="5">
                  <c:v>42.228079049756218</c:v>
                </c:pt>
                <c:pt idx="6">
                  <c:v>42.228079049756218</c:v>
                </c:pt>
                <c:pt idx="7">
                  <c:v>42.228079049756218</c:v>
                </c:pt>
                <c:pt idx="8">
                  <c:v>42.228079049756218</c:v>
                </c:pt>
                <c:pt idx="9">
                  <c:v>42.228079049756218</c:v>
                </c:pt>
                <c:pt idx="10">
                  <c:v>42.228079049756218</c:v>
                </c:pt>
                <c:pt idx="11">
                  <c:v>42.228079049756218</c:v>
                </c:pt>
                <c:pt idx="12">
                  <c:v>42.228079049756218</c:v>
                </c:pt>
                <c:pt idx="13">
                  <c:v>42.228079049756218</c:v>
                </c:pt>
                <c:pt idx="14">
                  <c:v>42.228079049756218</c:v>
                </c:pt>
                <c:pt idx="15">
                  <c:v>42.228079049756218</c:v>
                </c:pt>
                <c:pt idx="16">
                  <c:v>42.228079049756218</c:v>
                </c:pt>
                <c:pt idx="17">
                  <c:v>42.228079049756218</c:v>
                </c:pt>
                <c:pt idx="18">
                  <c:v>42.228079049756218</c:v>
                </c:pt>
                <c:pt idx="19">
                  <c:v>42.228079049756218</c:v>
                </c:pt>
                <c:pt idx="20">
                  <c:v>42.228079049756218</c:v>
                </c:pt>
              </c:numCache>
            </c:numRef>
          </c:yVal>
        </c:ser>
        <c:ser>
          <c:idx val="2"/>
          <c:order val="3"/>
          <c:tx>
            <c:strRef>
              <c:f>Sheet10!$T$205</c:f>
              <c:strCache>
                <c:ptCount val="1"/>
                <c:pt idx="0">
                  <c:v>Ee at (AP/U)B3LYP/6-311++G(3df,3pd)  </c:v>
                </c:pt>
              </c:strCache>
            </c:strRef>
          </c:tx>
          <c:spPr>
            <a:ln w="50800"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Sheet10!$U$224:$U$231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Sheet10!$W$224:$W$231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48.082545035955263</c:v>
                </c:pt>
                <c:pt idx="3">
                  <c:v>48.082545035955263</c:v>
                </c:pt>
                <c:pt idx="4">
                  <c:v>46.663703877347871</c:v>
                </c:pt>
                <c:pt idx="5">
                  <c:v>46.663703877347871</c:v>
                </c:pt>
                <c:pt idx="6">
                  <c:v>50.644504597119521</c:v>
                </c:pt>
                <c:pt idx="7">
                  <c:v>50.644504597119521</c:v>
                </c:pt>
              </c:numCache>
            </c:numRef>
          </c:yVal>
        </c:ser>
        <c:ser>
          <c:idx val="3"/>
          <c:order val="4"/>
          <c:tx>
            <c:strRef>
              <c:f>Sheet10!$T$212</c:f>
              <c:strCache>
                <c:ptCount val="1"/>
                <c:pt idx="0">
                  <c:v>Ee at(AP/U)M05/6-311++G(3df,3pd)  </c:v>
                </c:pt>
              </c:strCache>
            </c:strRef>
          </c:tx>
          <c:spPr>
            <a:ln w="50800">
              <a:solidFill>
                <a:srgbClr val="FFC000"/>
              </a:solidFill>
              <a:prstDash val="sysDot"/>
            </a:ln>
          </c:spPr>
          <c:marker>
            <c:symbol val="none"/>
          </c:marker>
          <c:xVal>
            <c:numRef>
              <c:f>Sheet10!$U$224:$U$231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Sheet10!$AF$224:$AF$231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 formatCode="0.00">
                  <c:v>46.613012103116489</c:v>
                </c:pt>
                <c:pt idx="3" formatCode="0.00">
                  <c:v>46.613012103116489</c:v>
                </c:pt>
                <c:pt idx="4" formatCode="0.00">
                  <c:v>45.118026566458866</c:v>
                </c:pt>
                <c:pt idx="5" formatCode="0.00">
                  <c:v>45.118026566458866</c:v>
                </c:pt>
                <c:pt idx="6" formatCode="0.00">
                  <c:v>49.708816219150322</c:v>
                </c:pt>
                <c:pt idx="7" formatCode="0.00">
                  <c:v>49.708816219150322</c:v>
                </c:pt>
              </c:numCache>
            </c:numRef>
          </c:yVal>
        </c:ser>
        <c:ser>
          <c:idx val="9"/>
          <c:order val="5"/>
          <c:tx>
            <c:strRef>
              <c:f>Sheet10!$T$213</c:f>
              <c:strCache>
                <c:ptCount val="1"/>
                <c:pt idx="0">
                  <c:v>Ee at (AP/U)M052X/6-311++G(3df,3pd)  </c:v>
                </c:pt>
              </c:strCache>
            </c:strRef>
          </c:tx>
          <c:spPr>
            <a:ln w="50800">
              <a:solidFill>
                <a:srgbClr val="FFC000"/>
              </a:solidFill>
              <a:prstDash val="dash"/>
            </a:ln>
          </c:spPr>
          <c:marker>
            <c:symbol val="none"/>
          </c:marker>
          <c:xVal>
            <c:numRef>
              <c:f>Sheet10!$U$224:$U$231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Sheet10!$AH$224:$AH$231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 formatCode="0.00">
                  <c:v>47.962534641686943</c:v>
                </c:pt>
                <c:pt idx="3" formatCode="0.00">
                  <c:v>47.962534641686943</c:v>
                </c:pt>
                <c:pt idx="4" formatCode="0.00">
                  <c:v>47.528230207579327</c:v>
                </c:pt>
                <c:pt idx="5" formatCode="0.00">
                  <c:v>47.528230207579327</c:v>
                </c:pt>
                <c:pt idx="6" formatCode="0.00">
                  <c:v>51.508953226759331</c:v>
                </c:pt>
                <c:pt idx="7" formatCode="0.00">
                  <c:v>51.508953226759331</c:v>
                </c:pt>
              </c:numCache>
            </c:numRef>
          </c:yVal>
        </c:ser>
        <c:ser>
          <c:idx val="4"/>
          <c:order val="6"/>
          <c:tx>
            <c:strRef>
              <c:f>Sheet10!$T$208</c:f>
              <c:strCache>
                <c:ptCount val="1"/>
                <c:pt idx="0">
                  <c:v>Ee at CASPT2/aug-cc-pVTZ: Sellevåg et al. (2009)</c:v>
                </c:pt>
              </c:strCache>
            </c:strRef>
          </c:tx>
          <c:spPr>
            <a:ln w="50800">
              <a:solidFill>
                <a:srgbClr val="C00000"/>
              </a:solidFill>
              <a:prstDash val="sysDash"/>
            </a:ln>
          </c:spPr>
          <c:marker>
            <c:symbol val="none"/>
          </c:marker>
          <c:xVal>
            <c:numRef>
              <c:f>Sheet10!$U$224:$U$231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Sheet10!$AA$224:$AA$231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 formatCode="General">
                  <c:v>47.67</c:v>
                </c:pt>
                <c:pt idx="3" formatCode="General">
                  <c:v>47.67</c:v>
                </c:pt>
                <c:pt idx="4">
                  <c:v>47.31</c:v>
                </c:pt>
                <c:pt idx="5">
                  <c:v>47.31</c:v>
                </c:pt>
                <c:pt idx="6">
                  <c:v>51.2</c:v>
                </c:pt>
                <c:pt idx="7">
                  <c:v>51.2</c:v>
                </c:pt>
              </c:numCache>
            </c:numRef>
          </c:yVal>
        </c:ser>
        <c:ser>
          <c:idx val="5"/>
          <c:order val="7"/>
          <c:tx>
            <c:strRef>
              <c:f>Sheet10!$T$209</c:f>
              <c:strCache>
                <c:ptCount val="1"/>
                <c:pt idx="0">
                  <c:v>Ee + ZPVE at CCSD(T)/EB5Q//MP2/aug-cc-pVTZ: Sellevåg et al. (2009)</c:v>
                </c:pt>
              </c:strCache>
            </c:strRef>
          </c:tx>
          <c:spPr>
            <a:ln w="5080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Sheet10!$U$230:$U$231</c:f>
              <c:numCache>
                <c:formatCode>General</c:formatCode>
                <c:ptCount val="2"/>
                <c:pt idx="0">
                  <c:v>6</c:v>
                </c:pt>
                <c:pt idx="1">
                  <c:v>7</c:v>
                </c:pt>
              </c:numCache>
            </c:numRef>
          </c:xVal>
          <c:yVal>
            <c:numRef>
              <c:f>Sheet10!$AB$230:$AB$231</c:f>
              <c:numCache>
                <c:formatCode>General</c:formatCode>
                <c:ptCount val="2"/>
                <c:pt idx="0">
                  <c:v>48.7</c:v>
                </c:pt>
                <c:pt idx="1">
                  <c:v>48.7</c:v>
                </c:pt>
              </c:numCache>
            </c:numRef>
          </c:yVal>
        </c:ser>
        <c:ser>
          <c:idx val="7"/>
          <c:order val="8"/>
          <c:tx>
            <c:strRef>
              <c:f>Sheet10!$T$210</c:f>
              <c:strCache>
                <c:ptCount val="1"/>
                <c:pt idx="0">
                  <c:v>Ee + ZPVE at CCSD(T)/aug-cc-pVTZ//MP2/aug-cc-pVTZ: Sellevåg et al. (2009)</c:v>
                </c:pt>
              </c:strCache>
            </c:strRef>
          </c:tx>
          <c:spPr>
            <a:ln w="50800">
              <a:solidFill>
                <a:srgbClr val="C00000"/>
              </a:solidFill>
              <a:prstDash val="sysDot"/>
            </a:ln>
          </c:spPr>
          <c:marker>
            <c:symbol val="none"/>
          </c:marker>
          <c:xVal>
            <c:numRef>
              <c:f>Sheet10!$U$230:$U$231</c:f>
              <c:numCache>
                <c:formatCode>General</c:formatCode>
                <c:ptCount val="2"/>
                <c:pt idx="0">
                  <c:v>6</c:v>
                </c:pt>
                <c:pt idx="1">
                  <c:v>7</c:v>
                </c:pt>
              </c:numCache>
            </c:numRef>
          </c:xVal>
          <c:yVal>
            <c:numRef>
              <c:f>Sheet10!$AC$230:$AC$231</c:f>
              <c:numCache>
                <c:formatCode>General</c:formatCode>
                <c:ptCount val="2"/>
                <c:pt idx="0">
                  <c:v>46.4</c:v>
                </c:pt>
                <c:pt idx="1">
                  <c:v>46.4</c:v>
                </c:pt>
              </c:numCache>
            </c:numRef>
          </c:yVal>
        </c:ser>
        <c:ser>
          <c:idx val="8"/>
          <c:order val="9"/>
          <c:tx>
            <c:strRef>
              <c:f>Sheet10!$T$211</c:f>
              <c:strCache>
                <c:ptCount val="1"/>
                <c:pt idx="0">
                  <c:v>Ee + ZPVE at CASPT2/aug-cc-pVTZ: Sellevåg et al. (2009)</c:v>
                </c:pt>
              </c:strCache>
            </c:strRef>
          </c:tx>
          <c:spPr>
            <a:ln w="5080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Sheet10!$U$230:$U$231</c:f>
              <c:numCache>
                <c:formatCode>General</c:formatCode>
                <c:ptCount val="2"/>
                <c:pt idx="0">
                  <c:v>6</c:v>
                </c:pt>
                <c:pt idx="1">
                  <c:v>7</c:v>
                </c:pt>
              </c:numCache>
            </c:numRef>
          </c:xVal>
          <c:yVal>
            <c:numRef>
              <c:f>Sheet10!$AD$230:$AD$231</c:f>
              <c:numCache>
                <c:formatCode>0.00</c:formatCode>
                <c:ptCount val="2"/>
                <c:pt idx="0">
                  <c:v>45.4</c:v>
                </c:pt>
                <c:pt idx="1">
                  <c:v>45.4</c:v>
                </c:pt>
              </c:numCache>
            </c:numRef>
          </c:yVal>
        </c:ser>
        <c:ser>
          <c:idx val="15"/>
          <c:order val="10"/>
          <c:spPr>
            <a:ln w="50800"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Sheet10!$AG$275:$AG$283</c:f>
              <c:numCache>
                <c:formatCode>General</c:formatCode>
                <c:ptCount val="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Sheet10!$AH$275:$AH$283</c:f>
              <c:numCache>
                <c:formatCode>0.00</c:formatCode>
                <c:ptCount val="9"/>
                <c:pt idx="0">
                  <c:v>50.644504597119521</c:v>
                </c:pt>
                <c:pt idx="1">
                  <c:v>46.773939492675709</c:v>
                </c:pt>
                <c:pt idx="2">
                  <c:v>46.773939492675709</c:v>
                </c:pt>
                <c:pt idx="3">
                  <c:v>53.693308645830257</c:v>
                </c:pt>
                <c:pt idx="4">
                  <c:v>53.693308645830257</c:v>
                </c:pt>
                <c:pt idx="5">
                  <c:v>34.525165380517137</c:v>
                </c:pt>
                <c:pt idx="6">
                  <c:v>34.525165380517137</c:v>
                </c:pt>
                <c:pt idx="7">
                  <c:v>36.250979059230303</c:v>
                </c:pt>
                <c:pt idx="8">
                  <c:v>36.250979059230303</c:v>
                </c:pt>
              </c:numCache>
            </c:numRef>
          </c:yVal>
        </c:ser>
        <c:ser>
          <c:idx val="17"/>
          <c:order val="11"/>
          <c:spPr>
            <a:ln w="50800">
              <a:solidFill>
                <a:srgbClr val="FFC000"/>
              </a:solidFill>
              <a:prstDash val="sysDot"/>
            </a:ln>
          </c:spPr>
          <c:marker>
            <c:symbol val="none"/>
          </c:marker>
          <c:xVal>
            <c:numRef>
              <c:f>Sheet10!$AG$275:$AG$283</c:f>
              <c:numCache>
                <c:formatCode>General</c:formatCode>
                <c:ptCount val="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Sheet10!$AM$275:$AM$283</c:f>
              <c:numCache>
                <c:formatCode>0.00</c:formatCode>
                <c:ptCount val="9"/>
                <c:pt idx="0">
                  <c:v>49.708816219150322</c:v>
                </c:pt>
                <c:pt idx="1">
                  <c:v>45.25648211351654</c:v>
                </c:pt>
                <c:pt idx="2">
                  <c:v>45.25648211351654</c:v>
                </c:pt>
                <c:pt idx="3">
                  <c:v>56.233718479255913</c:v>
                </c:pt>
                <c:pt idx="4">
                  <c:v>56.233718479255913</c:v>
                </c:pt>
                <c:pt idx="5">
                  <c:v>29.498315276985522</c:v>
                </c:pt>
                <c:pt idx="6">
                  <c:v>29.498315276985522</c:v>
                </c:pt>
                <c:pt idx="7">
                  <c:v>31.743703503874713</c:v>
                </c:pt>
                <c:pt idx="8">
                  <c:v>31.743703503874713</c:v>
                </c:pt>
              </c:numCache>
            </c:numRef>
          </c:yVal>
        </c:ser>
        <c:ser>
          <c:idx val="6"/>
          <c:order val="12"/>
          <c:spPr>
            <a:ln w="50800">
              <a:solidFill>
                <a:srgbClr val="FFC000"/>
              </a:solidFill>
              <a:prstDash val="dash"/>
            </a:ln>
          </c:spPr>
          <c:marker>
            <c:symbol val="none"/>
          </c:marker>
          <c:xVal>
            <c:numRef>
              <c:f>Sheet10!$AG$275:$AG$283</c:f>
              <c:numCache>
                <c:formatCode>General</c:formatCode>
                <c:ptCount val="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Sheet10!$AQ$275:$AQ$283</c:f>
              <c:numCache>
                <c:formatCode>0.00</c:formatCode>
                <c:ptCount val="9"/>
                <c:pt idx="0">
                  <c:v>51.508953226759331</c:v>
                </c:pt>
                <c:pt idx="1">
                  <c:v>47.543160451197764</c:v>
                </c:pt>
                <c:pt idx="2">
                  <c:v>47.543160451197764</c:v>
                </c:pt>
                <c:pt idx="3">
                  <c:v>64.704705989395734</c:v>
                </c:pt>
                <c:pt idx="4">
                  <c:v>64.704705989395734</c:v>
                </c:pt>
                <c:pt idx="5">
                  <c:v>31.528022915998008</c:v>
                </c:pt>
                <c:pt idx="6">
                  <c:v>31.528022915998008</c:v>
                </c:pt>
                <c:pt idx="7">
                  <c:v>33.414291471184697</c:v>
                </c:pt>
                <c:pt idx="8">
                  <c:v>33.414291471184697</c:v>
                </c:pt>
              </c:numCache>
            </c:numRef>
          </c:yVal>
        </c:ser>
        <c:axId val="70269568"/>
        <c:axId val="70277760"/>
      </c:scatterChart>
      <c:valAx>
        <c:axId val="70269568"/>
        <c:scaling>
          <c:orientation val="minMax"/>
          <c:max val="19"/>
          <c:min val="0"/>
        </c:scaling>
        <c:axPos val="b"/>
        <c:title>
          <c:tx>
            <c:rich>
              <a:bodyPr/>
              <a:lstStyle/>
              <a:p>
                <a:pPr>
                  <a:defRPr sz="1600" b="0"/>
                </a:pPr>
                <a:r>
                  <a:rPr lang="da-DK" sz="1600" b="0"/>
                  <a:t>Reaction coordinate</a:t>
                </a:r>
              </a:p>
            </c:rich>
          </c:tx>
          <c:layout>
            <c:manualLayout>
              <c:xMode val="edge"/>
              <c:yMode val="edge"/>
              <c:x val="0.43310730820105819"/>
              <c:y val="0.95911305555555537"/>
            </c:manualLayout>
          </c:layout>
        </c:title>
        <c:numFmt formatCode="General" sourceLinked="1"/>
        <c:majorTickMark val="none"/>
        <c:tickLblPos val="none"/>
        <c:crossAx val="70277760"/>
        <c:crosses val="autoZero"/>
        <c:crossBetween val="midCat"/>
        <c:majorUnit val="1"/>
      </c:valAx>
      <c:valAx>
        <c:axId val="70277760"/>
        <c:scaling>
          <c:orientation val="minMax"/>
          <c:max val="65"/>
          <c:min val="25"/>
        </c:scaling>
        <c:axPos val="l"/>
        <c:title>
          <c:tx>
            <c:rich>
              <a:bodyPr rot="-5400000" vert="horz"/>
              <a:lstStyle/>
              <a:p>
                <a:pPr>
                  <a:defRPr sz="1600" b="0"/>
                </a:pPr>
                <a:r>
                  <a:rPr lang="da-DK" sz="1600" b="0" baseline="0"/>
                  <a:t>kCal/mol</a:t>
                </a:r>
              </a:p>
            </c:rich>
          </c:tx>
          <c:layout>
            <c:manualLayout>
              <c:xMode val="edge"/>
              <c:yMode val="edge"/>
              <c:x val="1.4252645502645502E-4"/>
              <c:y val="0.43947111111111109"/>
            </c:manualLayout>
          </c:layout>
        </c:title>
        <c:numFmt formatCode="0" sourceLinked="0"/>
        <c:minorTickMark val="out"/>
        <c:tickLblPos val="nextTo"/>
        <c:txPr>
          <a:bodyPr/>
          <a:lstStyle/>
          <a:p>
            <a:pPr>
              <a:defRPr sz="1600" b="0"/>
            </a:pPr>
            <a:endParaRPr lang="da-DK"/>
          </a:p>
        </c:txPr>
        <c:crossAx val="70269568"/>
        <c:crosses val="autoZero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ayout>
        <c:manualLayout>
          <c:xMode val="edge"/>
          <c:yMode val="edge"/>
          <c:x val="0.16395502645502646"/>
          <c:y val="0.54515666666666662"/>
          <c:w val="0.58085648148148161"/>
          <c:h val="0.35421472222222222"/>
        </c:manualLayout>
      </c:layout>
      <c:overlay val="1"/>
      <c:txPr>
        <a:bodyPr/>
        <a:lstStyle/>
        <a:p>
          <a:pPr>
            <a:defRPr sz="1400"/>
          </a:pPr>
          <a:endParaRPr lang="da-DK"/>
        </a:p>
      </c:txPr>
    </c:legend>
    <c:plotVisOnly val="1"/>
  </c:chart>
  <c:spPr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 paperSize="9" orientation="landscape" verticalDpi="0"/>
  </c:printSettings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>
        <c:manualLayout>
          <c:layoutTarget val="inner"/>
          <c:xMode val="edge"/>
          <c:yMode val="edge"/>
          <c:x val="0.12292068263251334"/>
          <c:y val="0.11135024788568103"/>
          <c:w val="0.80560634277561749"/>
          <c:h val="0.8326195683872849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7.3008998875140646E-2"/>
                  <c:y val="6.0164190002565482E-2"/>
                </c:manualLayout>
              </c:layout>
              <c:numFmt formatCode="General" sourceLinked="0"/>
            </c:trendlineLbl>
          </c:trendline>
          <c:xVal>
            <c:numRef>
              <c:f>Sheet10!$Z$5:$Z$9</c:f>
              <c:numCache>
                <c:formatCode>0.000E+00</c:formatCode>
                <c:ptCount val="5"/>
                <c:pt idx="0">
                  <c:v>1.4191442560136239E-3</c:v>
                </c:pt>
                <c:pt idx="1">
                  <c:v>1.4030164854437039E-3</c:v>
                </c:pt>
                <c:pt idx="2">
                  <c:v>1.3859053426650962E-3</c:v>
                </c:pt>
                <c:pt idx="3">
                  <c:v>1.366960563187752E-3</c:v>
                </c:pt>
                <c:pt idx="4">
                  <c:v>1.3483449066271152E-3</c:v>
                </c:pt>
              </c:numCache>
            </c:numRef>
          </c:xVal>
          <c:yVal>
            <c:numRef>
              <c:f>Sheet10!$AM$5:$AM$9</c:f>
              <c:numCache>
                <c:formatCode>0.00E+00</c:formatCode>
                <c:ptCount val="5"/>
                <c:pt idx="0">
                  <c:v>-4.1417874473364709</c:v>
                </c:pt>
                <c:pt idx="1">
                  <c:v>-3.5834487900922918</c:v>
                </c:pt>
                <c:pt idx="2">
                  <c:v>-3.1187956660912879</c:v>
                </c:pt>
                <c:pt idx="3">
                  <c:v>-2.8480172085862594</c:v>
                </c:pt>
                <c:pt idx="4">
                  <c:v>-2.4609921046194909</c:v>
                </c:pt>
              </c:numCache>
            </c:numRef>
          </c:yVal>
        </c:ser>
        <c:axId val="112839296"/>
        <c:axId val="112890624"/>
      </c:scatterChart>
      <c:valAx>
        <c:axId val="112839296"/>
        <c:scaling>
          <c:orientation val="minMax"/>
        </c:scaling>
        <c:axPos val="b"/>
        <c:numFmt formatCode="0.0E+0" sourceLinked="0"/>
        <c:majorTickMark val="in"/>
        <c:tickLblPos val="high"/>
        <c:crossAx val="112890624"/>
        <c:crosses val="autoZero"/>
        <c:crossBetween val="midCat"/>
      </c:valAx>
      <c:valAx>
        <c:axId val="112890624"/>
        <c:scaling>
          <c:orientation val="minMax"/>
        </c:scaling>
        <c:axPos val="l"/>
        <c:numFmt formatCode="0.0E+0" sourceLinked="0"/>
        <c:tickLblPos val="nextTo"/>
        <c:crossAx val="112839296"/>
        <c:crosses val="autoZero"/>
        <c:crossBetween val="midCat"/>
      </c:valAx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autoTitleDeleted val="1"/>
    <c:plotArea>
      <c:layout>
        <c:manualLayout>
          <c:layoutTarget val="inner"/>
          <c:xMode val="edge"/>
          <c:yMode val="edge"/>
          <c:x val="0.11102520576131693"/>
          <c:y val="3.0144722222222222E-2"/>
          <c:w val="0.88684842249657114"/>
          <c:h val="0.88326611111111086"/>
        </c:manualLayout>
      </c:layout>
      <c:scatterChart>
        <c:scatterStyle val="lineMarker"/>
        <c:ser>
          <c:idx val="0"/>
          <c:order val="0"/>
          <c:tx>
            <c:strRef>
              <c:f>Sheet10!$S$105</c:f>
              <c:strCache>
                <c:ptCount val="1"/>
                <c:pt idx="0">
                  <c:v>AP-B3LYP/6-31+G(d,p)//UB3LYP/6-31G(d) Singlet surface</c:v>
                </c:pt>
              </c:strCache>
            </c:strRef>
          </c:tx>
          <c:spPr>
            <a:ln w="50800">
              <a:solidFill>
                <a:srgbClr val="00B050"/>
              </a:solidFill>
              <a:prstDash val="sysDot"/>
            </a:ln>
          </c:spPr>
          <c:marker>
            <c:symbol val="none"/>
          </c:marker>
          <c:xVal>
            <c:numRef>
              <c:f>Sheet10!$T$106:$T$113</c:f>
              <c:numCache>
                <c:formatCode>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Sheet10!$V$106:$V$113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 formatCode="0.0">
                  <c:v>43.272154608741403</c:v>
                </c:pt>
                <c:pt idx="3" formatCode="0.0">
                  <c:v>43.272154608741403</c:v>
                </c:pt>
                <c:pt idx="4" formatCode="0.0">
                  <c:v>41.487018098356202</c:v>
                </c:pt>
                <c:pt idx="5" formatCode="0.0">
                  <c:v>41.487018098356202</c:v>
                </c:pt>
                <c:pt idx="6" formatCode="0.0">
                  <c:v>43.951126385843963</c:v>
                </c:pt>
                <c:pt idx="7" formatCode="0.0">
                  <c:v>43.951126385843963</c:v>
                </c:pt>
              </c:numCache>
            </c:numRef>
          </c:yVal>
        </c:ser>
        <c:ser>
          <c:idx val="2"/>
          <c:order val="1"/>
          <c:tx>
            <c:strRef>
              <c:f>Sheet10!$S$115</c:f>
              <c:strCache>
                <c:ptCount val="1"/>
                <c:pt idx="0">
                  <c:v>AP-B3LYP/6-311+G(2d,p)//UB3LYP/6-31G(d) Singlet surface</c:v>
                </c:pt>
              </c:strCache>
            </c:strRef>
          </c:tx>
          <c:spPr>
            <a:ln w="50800">
              <a:solidFill>
                <a:srgbClr val="00B050"/>
              </a:solidFill>
              <a:prstDash val="sysDash"/>
            </a:ln>
          </c:spPr>
          <c:marker>
            <c:symbol val="none"/>
          </c:marker>
          <c:xVal>
            <c:numRef>
              <c:f>Sheet10!$T$116:$T$123</c:f>
              <c:numCache>
                <c:formatCode>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Sheet10!$V$116:$V$123</c:f>
              <c:numCache>
                <c:formatCode>0.00</c:formatCode>
                <c:ptCount val="8"/>
                <c:pt idx="0" formatCode="0.0">
                  <c:v>0</c:v>
                </c:pt>
                <c:pt idx="1">
                  <c:v>0</c:v>
                </c:pt>
                <c:pt idx="2">
                  <c:v>43.336003179720137</c:v>
                </c:pt>
                <c:pt idx="3">
                  <c:v>43.336003179720137</c:v>
                </c:pt>
                <c:pt idx="4">
                  <c:v>41.608325751527445</c:v>
                </c:pt>
                <c:pt idx="5">
                  <c:v>41.608325751527445</c:v>
                </c:pt>
                <c:pt idx="6">
                  <c:v>43.889020411646925</c:v>
                </c:pt>
                <c:pt idx="7">
                  <c:v>43.889020411646925</c:v>
                </c:pt>
              </c:numCache>
            </c:numRef>
          </c:yVal>
        </c:ser>
        <c:ser>
          <c:idx val="5"/>
          <c:order val="2"/>
          <c:tx>
            <c:strRef>
              <c:f>Sheet10!$W$149</c:f>
              <c:strCache>
                <c:ptCount val="1"/>
                <c:pt idx="0">
                  <c:v>AP-B3LYP/6-311++G(3df,3pd)//UB3LYP/6-31G(d) Singlet surface</c:v>
                </c:pt>
              </c:strCache>
            </c:strRef>
          </c:tx>
          <c:spPr>
            <a:ln w="508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Sheet10!$X$150:$X$157</c:f>
              <c:numCache>
                <c:formatCode>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Sheet10!$Z$150:$Z$157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43.594978511566296</c:v>
                </c:pt>
                <c:pt idx="3">
                  <c:v>43.594978511566296</c:v>
                </c:pt>
                <c:pt idx="4">
                  <c:v>41.880093015890452</c:v>
                </c:pt>
                <c:pt idx="5">
                  <c:v>41.880093015890452</c:v>
                </c:pt>
                <c:pt idx="6">
                  <c:v>44.117757585190702</c:v>
                </c:pt>
                <c:pt idx="7">
                  <c:v>44.117757585190702</c:v>
                </c:pt>
              </c:numCache>
            </c:numRef>
          </c:yVal>
        </c:ser>
        <c:ser>
          <c:idx val="6"/>
          <c:order val="3"/>
          <c:tx>
            <c:strRef>
              <c:f>Sheet10!$AB$149</c:f>
              <c:strCache>
                <c:ptCount val="1"/>
                <c:pt idx="0">
                  <c:v>B3LYP/6311++G(3df,3pd)//B3LYP/6-31G(d) Triplet surface</c:v>
                </c:pt>
              </c:strCache>
            </c:strRef>
          </c:tx>
          <c:spPr>
            <a:ln w="50800">
              <a:solidFill>
                <a:srgbClr val="FFC000"/>
              </a:solidFill>
              <a:prstDash val="sysDash"/>
            </a:ln>
          </c:spPr>
          <c:marker>
            <c:symbol val="none"/>
          </c:marker>
          <c:xVal>
            <c:numRef>
              <c:f>Sheet10!$AC$154:$AC$155</c:f>
              <c:numCache>
                <c:formatCode>0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xVal>
          <c:yVal>
            <c:numRef>
              <c:f>Sheet10!$AE$154:$AE$155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ser>
          <c:idx val="1"/>
          <c:order val="4"/>
          <c:tx>
            <c:strRef>
              <c:f>Sheet10!$W$148</c:f>
              <c:strCache>
                <c:ptCount val="1"/>
                <c:pt idx="0">
                  <c:v>UB3LYP/6-311++G(3df,3pd)//UB3LYP/6-31G(d) Singlet surface</c:v>
                </c:pt>
              </c:strCache>
            </c:strRef>
          </c:tx>
          <c:spPr>
            <a:ln w="50800">
              <a:solidFill>
                <a:srgbClr val="C00000"/>
              </a:solidFill>
              <a:prstDash val="sysDash"/>
            </a:ln>
          </c:spPr>
          <c:marker>
            <c:symbol val="none"/>
          </c:marker>
          <c:xVal>
            <c:numRef>
              <c:f>Sheet10!$X$150:$X$157</c:f>
              <c:numCache>
                <c:formatCode>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Sheet10!$Y$150:$Y$157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42.785803621576633</c:v>
                </c:pt>
                <c:pt idx="3">
                  <c:v>42.785803621576633</c:v>
                </c:pt>
                <c:pt idx="4">
                  <c:v>42.017934318049811</c:v>
                </c:pt>
                <c:pt idx="5">
                  <c:v>42.017934318049811</c:v>
                </c:pt>
                <c:pt idx="6">
                  <c:v>44.117757585190702</c:v>
                </c:pt>
                <c:pt idx="7">
                  <c:v>44.117757585190702</c:v>
                </c:pt>
              </c:numCache>
            </c:numRef>
          </c:yVal>
        </c:ser>
        <c:ser>
          <c:idx val="4"/>
          <c:order val="5"/>
          <c:tx>
            <c:strRef>
              <c:f>Sheet10!$W$105</c:f>
              <c:strCache>
                <c:ptCount val="1"/>
                <c:pt idx="0">
                  <c:v>Experimental activation energy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Sheet10!$T$106:$T$113</c:f>
              <c:numCache>
                <c:formatCode>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Sheet10!$W$106:$W$113</c:f>
              <c:numCache>
                <c:formatCode>0.0</c:formatCode>
                <c:ptCount val="8"/>
                <c:pt idx="0">
                  <c:v>43.63899369094807</c:v>
                </c:pt>
                <c:pt idx="1">
                  <c:v>43.63899369094807</c:v>
                </c:pt>
                <c:pt idx="2">
                  <c:v>43.63899369094807</c:v>
                </c:pt>
                <c:pt idx="3">
                  <c:v>43.63899369094807</c:v>
                </c:pt>
                <c:pt idx="4">
                  <c:v>43.63899369094807</c:v>
                </c:pt>
                <c:pt idx="5">
                  <c:v>43.63899369094807</c:v>
                </c:pt>
                <c:pt idx="6">
                  <c:v>43.63899369094807</c:v>
                </c:pt>
                <c:pt idx="7">
                  <c:v>43.63899369094807</c:v>
                </c:pt>
              </c:numCache>
            </c:numRef>
          </c:yVal>
        </c:ser>
        <c:axId val="113028096"/>
        <c:axId val="113034368"/>
      </c:scatterChart>
      <c:valAx>
        <c:axId val="113028096"/>
        <c:scaling>
          <c:orientation val="minMax"/>
          <c:max val="7"/>
          <c:min val="1.3"/>
        </c:scaling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a-DK" sz="1400" b="0"/>
                  <a:t>Reaction coordinate</a:t>
                </a:r>
              </a:p>
            </c:rich>
          </c:tx>
          <c:layout>
            <c:manualLayout>
              <c:xMode val="edge"/>
              <c:yMode val="edge"/>
              <c:x val="0.41831961591220873"/>
              <c:y val="0.92912694444444432"/>
            </c:manualLayout>
          </c:layout>
        </c:title>
        <c:numFmt formatCode="0" sourceLinked="1"/>
        <c:majorTickMark val="none"/>
        <c:tickLblPos val="none"/>
        <c:crossAx val="113034368"/>
        <c:crosses val="autoZero"/>
        <c:crossBetween val="midCat"/>
        <c:majorUnit val="1"/>
      </c:valAx>
      <c:valAx>
        <c:axId val="113034368"/>
        <c:scaling>
          <c:orientation val="minMax"/>
          <c:max val="45"/>
          <c:min val="38"/>
        </c:scaling>
        <c:axPos val="l"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a-DK" sz="1400" b="0" baseline="0">
                    <a:latin typeface="+mn-lt"/>
                  </a:rPr>
                  <a:t>E</a:t>
                </a:r>
                <a:r>
                  <a:rPr lang="da-DK" sz="1400" b="0" baseline="-25000">
                    <a:latin typeface="+mn-lt"/>
                  </a:rPr>
                  <a:t>e</a:t>
                </a:r>
                <a:r>
                  <a:rPr lang="da-DK" sz="1400" b="0" baseline="0">
                    <a:latin typeface="+mn-lt"/>
                  </a:rPr>
                  <a:t> + ZPVE</a:t>
                </a:r>
                <a:r>
                  <a:rPr lang="da-DK" sz="1400" b="0" baseline="-25000">
                    <a:latin typeface="+mn-lt"/>
                  </a:rPr>
                  <a:t>  </a:t>
                </a:r>
                <a:r>
                  <a:rPr lang="da-DK" sz="1400" b="0" baseline="0"/>
                  <a:t> [kCal/mol]</a:t>
                </a:r>
              </a:p>
            </c:rich>
          </c:tx>
          <c:layout>
            <c:manualLayout>
              <c:xMode val="edge"/>
              <c:yMode val="edge"/>
              <c:x val="1.4248393024821822E-4"/>
              <c:y val="0.26131834440470131"/>
            </c:manualLayout>
          </c:layout>
        </c:title>
        <c:numFmt formatCode="0" sourceLinked="0"/>
        <c:minorTickMark val="out"/>
        <c:tickLblPos val="nextTo"/>
        <c:txPr>
          <a:bodyPr/>
          <a:lstStyle/>
          <a:p>
            <a:pPr>
              <a:defRPr sz="1400" b="0"/>
            </a:pPr>
            <a:endParaRPr lang="da-DK"/>
          </a:p>
        </c:txPr>
        <c:crossAx val="113028096"/>
        <c:crosses val="autoZero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22115174897119338"/>
          <c:y val="0.57960638888888882"/>
          <c:w val="0.77449296982167348"/>
          <c:h val="0.32161583333333332"/>
        </c:manualLayout>
      </c:layout>
      <c:overlay val="1"/>
      <c:txPr>
        <a:bodyPr/>
        <a:lstStyle/>
        <a:p>
          <a:pPr>
            <a:defRPr sz="1200" b="0"/>
          </a:pPr>
          <a:endParaRPr lang="da-DK"/>
        </a:p>
      </c:txPr>
    </c:legend>
    <c:plotVisOnly val="1"/>
  </c:chart>
  <c:spPr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 paperSize="9" orientation="landscape" verticalDpi="0"/>
  </c:printSettings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autoTitleDeleted val="1"/>
    <c:plotArea>
      <c:layout>
        <c:manualLayout>
          <c:layoutTarget val="inner"/>
          <c:xMode val="edge"/>
          <c:yMode val="edge"/>
          <c:x val="0.13073181216931218"/>
          <c:y val="3.6373333333333334E-2"/>
          <c:w val="0.86747982804232804"/>
          <c:h val="0.8751048540841766"/>
        </c:manualLayout>
      </c:layout>
      <c:scatterChart>
        <c:scatterStyle val="lineMarker"/>
        <c:ser>
          <c:idx val="7"/>
          <c:order val="0"/>
          <c:tx>
            <c:strRef>
              <c:f>Sheet10!$AF$254</c:f>
              <c:strCache>
                <c:ptCount val="1"/>
                <c:pt idx="0">
                  <c:v>UB3LYP/6-311++G(3df,3pd)</c:v>
                </c:pt>
              </c:strCache>
            </c:strRef>
          </c:tx>
          <c:spPr>
            <a:ln w="508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Sheet10!$AG$255:$AG$268</c:f>
              <c:numCache>
                <c:formatCode>General</c:formatCode>
                <c:ptCount val="14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</c:numCache>
            </c:numRef>
          </c:xVal>
          <c:yVal>
            <c:numRef>
              <c:f>Sheet10!$AJ$255:$AJ$268</c:f>
              <c:numCache>
                <c:formatCode>0.00</c:formatCode>
                <c:ptCount val="14"/>
                <c:pt idx="0">
                  <c:v>44.663713627640391</c:v>
                </c:pt>
                <c:pt idx="1">
                  <c:v>44.663713627640391</c:v>
                </c:pt>
                <c:pt idx="2">
                  <c:v>42.001731400887365</c:v>
                </c:pt>
                <c:pt idx="3">
                  <c:v>42.001731400887365</c:v>
                </c:pt>
                <c:pt idx="4">
                  <c:v>42.043391742132371</c:v>
                </c:pt>
                <c:pt idx="5">
                  <c:v>42.043391742132371</c:v>
                </c:pt>
                <c:pt idx="6">
                  <c:v>40.768644285737537</c:v>
                </c:pt>
                <c:pt idx="7">
                  <c:v>40.768644285737537</c:v>
                </c:pt>
                <c:pt idx="8">
                  <c:v>40.379375177551992</c:v>
                </c:pt>
                <c:pt idx="9">
                  <c:v>40.379375177551992</c:v>
                </c:pt>
                <c:pt idx="10">
                  <c:v>31.475482818786986</c:v>
                </c:pt>
                <c:pt idx="11">
                  <c:v>31.475482818786986</c:v>
                </c:pt>
                <c:pt idx="12">
                  <c:v>32.992950865576859</c:v>
                </c:pt>
                <c:pt idx="13">
                  <c:v>32.992950865576859</c:v>
                </c:pt>
              </c:numCache>
            </c:numRef>
          </c:yVal>
        </c:ser>
        <c:ser>
          <c:idx val="0"/>
          <c:order val="1"/>
          <c:tx>
            <c:strRef>
              <c:f>Sheet10!$AI$191</c:f>
              <c:strCache>
                <c:ptCount val="1"/>
                <c:pt idx="0">
                  <c:v>Exp. Activation energy: Hong et al. (2010)</c:v>
                </c:pt>
              </c:strCache>
            </c:strRef>
          </c:tx>
          <c:spPr>
            <a:ln w="31750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Sheet10!$AH$192:$AH$212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Sheet10!$AQ$193:$AQ$212</c:f>
              <c:numCache>
                <c:formatCode>0.0</c:formatCode>
                <c:ptCount val="20"/>
                <c:pt idx="0">
                  <c:v>-2.1123975543478051</c:v>
                </c:pt>
                <c:pt idx="1">
                  <c:v>-2.1123975543478051</c:v>
                </c:pt>
                <c:pt idx="2">
                  <c:v>-2.1123975543478051</c:v>
                </c:pt>
                <c:pt idx="3">
                  <c:v>-2.1123975543478051</c:v>
                </c:pt>
                <c:pt idx="4">
                  <c:v>-2.1123975543478051</c:v>
                </c:pt>
                <c:pt idx="5">
                  <c:v>-2.1123975543478051</c:v>
                </c:pt>
                <c:pt idx="6">
                  <c:v>-2.1123975543478051</c:v>
                </c:pt>
                <c:pt idx="7">
                  <c:v>-2.1123975543478051</c:v>
                </c:pt>
                <c:pt idx="8">
                  <c:v>-2.1123975543478051</c:v>
                </c:pt>
                <c:pt idx="9">
                  <c:v>-2.1123975543478051</c:v>
                </c:pt>
                <c:pt idx="10">
                  <c:v>-2.1123975543478051</c:v>
                </c:pt>
                <c:pt idx="11">
                  <c:v>-2.1123975543478051</c:v>
                </c:pt>
                <c:pt idx="12">
                  <c:v>-2.1123975543478051</c:v>
                </c:pt>
                <c:pt idx="13">
                  <c:v>-2.1123975543478051</c:v>
                </c:pt>
                <c:pt idx="14">
                  <c:v>-2.1123975543478051</c:v>
                </c:pt>
                <c:pt idx="15">
                  <c:v>-2.1123975543478051</c:v>
                </c:pt>
                <c:pt idx="16">
                  <c:v>-2.1123975543478051</c:v>
                </c:pt>
                <c:pt idx="17">
                  <c:v>-2.1123975543478051</c:v>
                </c:pt>
                <c:pt idx="18">
                  <c:v>-2.1123975543478051</c:v>
                </c:pt>
                <c:pt idx="19">
                  <c:v>-2.1123975543478051</c:v>
                </c:pt>
              </c:numCache>
            </c:numRef>
          </c:yVal>
        </c:ser>
        <c:ser>
          <c:idx val="1"/>
          <c:order val="2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Sheet10!$AH$192:$AH$211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Sheet10!$AS$193:$AS$211</c:f>
              <c:numCache>
                <c:formatCode>General</c:formatCode>
                <c:ptCount val="19"/>
                <c:pt idx="0">
                  <c:v>-15</c:v>
                </c:pt>
                <c:pt idx="1">
                  <c:v>-15</c:v>
                </c:pt>
                <c:pt idx="2">
                  <c:v>-15</c:v>
                </c:pt>
                <c:pt idx="3">
                  <c:v>-15</c:v>
                </c:pt>
                <c:pt idx="4">
                  <c:v>-15</c:v>
                </c:pt>
                <c:pt idx="5">
                  <c:v>-15</c:v>
                </c:pt>
                <c:pt idx="6">
                  <c:v>-15</c:v>
                </c:pt>
                <c:pt idx="7">
                  <c:v>-15</c:v>
                </c:pt>
                <c:pt idx="8">
                  <c:v>-15</c:v>
                </c:pt>
                <c:pt idx="9">
                  <c:v>-15</c:v>
                </c:pt>
                <c:pt idx="10">
                  <c:v>-15</c:v>
                </c:pt>
                <c:pt idx="11">
                  <c:v>-15</c:v>
                </c:pt>
                <c:pt idx="12">
                  <c:v>-15</c:v>
                </c:pt>
                <c:pt idx="13">
                  <c:v>-15</c:v>
                </c:pt>
                <c:pt idx="14">
                  <c:v>-15</c:v>
                </c:pt>
                <c:pt idx="15">
                  <c:v>-15</c:v>
                </c:pt>
                <c:pt idx="16">
                  <c:v>-15</c:v>
                </c:pt>
                <c:pt idx="17">
                  <c:v>-15</c:v>
                </c:pt>
                <c:pt idx="18">
                  <c:v>-15</c:v>
                </c:pt>
              </c:numCache>
            </c:numRef>
          </c:yVal>
        </c:ser>
        <c:ser>
          <c:idx val="2"/>
          <c:order val="3"/>
          <c:spPr>
            <a:ln w="50800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Sheet10!$AG$276:$AG$283</c:f>
              <c:numCache>
                <c:formatCode>General</c:formatCode>
                <c:ptCount val="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</c:numCache>
            </c:numRef>
          </c:xVal>
          <c:yVal>
            <c:numRef>
              <c:f>Sheet10!$AJ$276:$AJ$283</c:f>
              <c:numCache>
                <c:formatCode>0.00</c:formatCode>
                <c:ptCount val="8"/>
                <c:pt idx="0">
                  <c:v>42.001731400887365</c:v>
                </c:pt>
                <c:pt idx="1">
                  <c:v>42.001731400887365</c:v>
                </c:pt>
                <c:pt idx="2">
                  <c:v>48.142989044019487</c:v>
                </c:pt>
                <c:pt idx="3">
                  <c:v>48.142989044019487</c:v>
                </c:pt>
                <c:pt idx="4">
                  <c:v>31.955514869550825</c:v>
                </c:pt>
                <c:pt idx="5">
                  <c:v>31.955514869550825</c:v>
                </c:pt>
                <c:pt idx="6">
                  <c:v>32.992950865576859</c:v>
                </c:pt>
                <c:pt idx="7">
                  <c:v>32.992950865576859</c:v>
                </c:pt>
              </c:numCache>
            </c:numRef>
          </c:yVal>
        </c:ser>
        <c:axId val="117437568"/>
        <c:axId val="118012160"/>
      </c:scatterChart>
      <c:valAx>
        <c:axId val="117437568"/>
        <c:scaling>
          <c:orientation val="minMax"/>
          <c:max val="13"/>
        </c:scaling>
        <c:delete val="1"/>
        <c:axPos val="b"/>
        <c:title>
          <c:tx>
            <c:rich>
              <a:bodyPr/>
              <a:lstStyle/>
              <a:p>
                <a:pPr>
                  <a:defRPr sz="1600" b="0"/>
                </a:pPr>
                <a:r>
                  <a:rPr lang="da-DK" sz="1600" b="0"/>
                  <a:t>Reaction coordinate</a:t>
                </a:r>
              </a:p>
            </c:rich>
          </c:tx>
          <c:layout>
            <c:manualLayout>
              <c:xMode val="edge"/>
              <c:yMode val="edge"/>
              <c:x val="0.39282032568825814"/>
              <c:y val="0.91607831060272771"/>
            </c:manualLayout>
          </c:layout>
        </c:title>
        <c:numFmt formatCode="General" sourceLinked="1"/>
        <c:majorTickMark val="none"/>
        <c:tickLblPos val="none"/>
        <c:crossAx val="118012160"/>
        <c:crosses val="autoZero"/>
        <c:crossBetween val="midCat"/>
        <c:majorUnit val="1"/>
      </c:valAx>
      <c:valAx>
        <c:axId val="118012160"/>
        <c:scaling>
          <c:orientation val="minMax"/>
          <c:max val="5"/>
          <c:min val="-15"/>
        </c:scaling>
        <c:axPos val="l"/>
        <c:title>
          <c:tx>
            <c:rich>
              <a:bodyPr rot="-5400000" vert="horz"/>
              <a:lstStyle/>
              <a:p>
                <a:pPr>
                  <a:defRPr sz="1600" b="0"/>
                </a:pPr>
                <a:r>
                  <a:rPr lang="da-DK" sz="1600" b="0" baseline="0">
                    <a:latin typeface="+mn-lt"/>
                  </a:rPr>
                  <a:t>E</a:t>
                </a:r>
                <a:r>
                  <a:rPr lang="da-DK" sz="1600" b="0" baseline="-25000">
                    <a:latin typeface="+mn-lt"/>
                  </a:rPr>
                  <a:t>e</a:t>
                </a:r>
                <a:r>
                  <a:rPr lang="da-DK" sz="1600" b="0" baseline="0">
                    <a:latin typeface="+mn-lt"/>
                  </a:rPr>
                  <a:t> + ZPVE</a:t>
                </a:r>
                <a:r>
                  <a:rPr lang="da-DK" sz="1600" b="0" baseline="-25000">
                    <a:latin typeface="+mn-lt"/>
                  </a:rPr>
                  <a:t>  </a:t>
                </a:r>
                <a:r>
                  <a:rPr lang="da-DK" sz="1600" b="0" baseline="0"/>
                  <a:t> [kCal/mol]</a:t>
                </a:r>
              </a:p>
            </c:rich>
          </c:tx>
          <c:layout>
            <c:manualLayout>
              <c:xMode val="edge"/>
              <c:yMode val="edge"/>
              <c:x val="1.4252645502645502E-4"/>
              <c:y val="0.25426277777777778"/>
            </c:manualLayout>
          </c:layout>
        </c:title>
        <c:numFmt formatCode="0" sourceLinked="0"/>
        <c:minorTickMark val="out"/>
        <c:tickLblPos val="nextTo"/>
        <c:txPr>
          <a:bodyPr/>
          <a:lstStyle/>
          <a:p>
            <a:pPr>
              <a:defRPr sz="1600" b="0"/>
            </a:pPr>
            <a:endParaRPr lang="da-DK"/>
          </a:p>
        </c:txPr>
        <c:crossAx val="117437568"/>
        <c:crosses val="autoZero"/>
        <c:crossBetween val="midCat"/>
        <c:majorUnit val="2"/>
        <c:minorUnit val="0.5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8257589285714285"/>
          <c:y val="0.66886777777777773"/>
          <c:w val="0.49328733455956397"/>
          <c:h val="0.18378061299310747"/>
        </c:manualLayout>
      </c:layout>
      <c:overlay val="1"/>
      <c:txPr>
        <a:bodyPr/>
        <a:lstStyle/>
        <a:p>
          <a:pPr>
            <a:defRPr sz="1600"/>
          </a:pPr>
          <a:endParaRPr lang="da-DK"/>
        </a:p>
      </c:txPr>
    </c:legend>
    <c:plotVisOnly val="1"/>
  </c:chart>
  <c:spPr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 paperSize="9" orientation="landscape" verticalDpi="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5" Type="http://schemas.openxmlformats.org/officeDocument/2006/relationships/chart" Target="../charts/chart39.xml"/><Relationship Id="rId4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28576</xdr:colOff>
      <xdr:row>172</xdr:row>
      <xdr:rowOff>62593</xdr:rowOff>
    </xdr:from>
    <xdr:to>
      <xdr:col>31</xdr:col>
      <xdr:colOff>53755</xdr:colOff>
      <xdr:row>191</xdr:row>
      <xdr:rowOff>43093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128866</xdr:colOff>
      <xdr:row>256</xdr:row>
      <xdr:rowOff>172890</xdr:rowOff>
    </xdr:from>
    <xdr:to>
      <xdr:col>44</xdr:col>
      <xdr:colOff>250895</xdr:colOff>
      <xdr:row>275</xdr:row>
      <xdr:rowOff>52537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857246</xdr:colOff>
      <xdr:row>36</xdr:row>
      <xdr:rowOff>107618</xdr:rowOff>
    </xdr:from>
    <xdr:to>
      <xdr:col>24</xdr:col>
      <xdr:colOff>239032</xdr:colOff>
      <xdr:row>55</xdr:row>
      <xdr:rowOff>74511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884464</xdr:colOff>
      <xdr:row>112</xdr:row>
      <xdr:rowOff>27212</xdr:rowOff>
    </xdr:from>
    <xdr:to>
      <xdr:col>32</xdr:col>
      <xdr:colOff>184607</xdr:colOff>
      <xdr:row>130</xdr:row>
      <xdr:rowOff>143783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163282</xdr:colOff>
      <xdr:row>212</xdr:row>
      <xdr:rowOff>149676</xdr:rowOff>
    </xdr:from>
    <xdr:to>
      <xdr:col>30</xdr:col>
      <xdr:colOff>61193</xdr:colOff>
      <xdr:row>231</xdr:row>
      <xdr:rowOff>74147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979714</xdr:colOff>
      <xdr:row>10</xdr:row>
      <xdr:rowOff>108858</xdr:rowOff>
    </xdr:from>
    <xdr:to>
      <xdr:col>23</xdr:col>
      <xdr:colOff>1197427</xdr:colOff>
      <xdr:row>38</xdr:row>
      <xdr:rowOff>136071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675556</xdr:colOff>
      <xdr:row>461</xdr:row>
      <xdr:rowOff>92047</xdr:rowOff>
    </xdr:from>
    <xdr:to>
      <xdr:col>30</xdr:col>
      <xdr:colOff>2402</xdr:colOff>
      <xdr:row>475</xdr:row>
      <xdr:rowOff>160084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489857</xdr:colOff>
      <xdr:row>136</xdr:row>
      <xdr:rowOff>40821</xdr:rowOff>
    </xdr:from>
    <xdr:to>
      <xdr:col>30</xdr:col>
      <xdr:colOff>571500</xdr:colOff>
      <xdr:row>150</xdr:row>
      <xdr:rowOff>95250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291937</xdr:colOff>
      <xdr:row>323</xdr:row>
      <xdr:rowOff>131123</xdr:rowOff>
    </xdr:from>
    <xdr:to>
      <xdr:col>32</xdr:col>
      <xdr:colOff>278327</xdr:colOff>
      <xdr:row>390</xdr:row>
      <xdr:rowOff>69273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16008</xdr:colOff>
      <xdr:row>384</xdr:row>
      <xdr:rowOff>142476</xdr:rowOff>
    </xdr:from>
    <xdr:to>
      <xdr:col>20</xdr:col>
      <xdr:colOff>1069361</xdr:colOff>
      <xdr:row>399</xdr:row>
      <xdr:rowOff>11207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421819</xdr:colOff>
      <xdr:row>171</xdr:row>
      <xdr:rowOff>87244</xdr:rowOff>
    </xdr:from>
    <xdr:to>
      <xdr:col>38</xdr:col>
      <xdr:colOff>555854</xdr:colOff>
      <xdr:row>190</xdr:row>
      <xdr:rowOff>67744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358586</xdr:colOff>
      <xdr:row>109</xdr:row>
      <xdr:rowOff>52026</xdr:rowOff>
    </xdr:from>
    <xdr:to>
      <xdr:col>46</xdr:col>
      <xdr:colOff>476250</xdr:colOff>
      <xdr:row>133</xdr:row>
      <xdr:rowOff>81642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31</xdr:col>
      <xdr:colOff>638081</xdr:colOff>
      <xdr:row>250</xdr:row>
      <xdr:rowOff>6185</xdr:rowOff>
    </xdr:from>
    <xdr:to>
      <xdr:col>37</xdr:col>
      <xdr:colOff>235324</xdr:colOff>
      <xdr:row>269</xdr:row>
      <xdr:rowOff>33617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616323</xdr:colOff>
      <xdr:row>265</xdr:row>
      <xdr:rowOff>156882</xdr:rowOff>
    </xdr:from>
    <xdr:to>
      <xdr:col>37</xdr:col>
      <xdr:colOff>705970</xdr:colOff>
      <xdr:row>279</xdr:row>
      <xdr:rowOff>168089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694765</xdr:colOff>
      <xdr:row>279</xdr:row>
      <xdr:rowOff>156882</xdr:rowOff>
    </xdr:from>
    <xdr:to>
      <xdr:col>35</xdr:col>
      <xdr:colOff>750794</xdr:colOff>
      <xdr:row>294</xdr:row>
      <xdr:rowOff>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33</xdr:col>
      <xdr:colOff>381000</xdr:colOff>
      <xdr:row>317</xdr:row>
      <xdr:rowOff>112058</xdr:rowOff>
    </xdr:from>
    <xdr:to>
      <xdr:col>39</xdr:col>
      <xdr:colOff>582706</xdr:colOff>
      <xdr:row>331</xdr:row>
      <xdr:rowOff>168088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18</xdr:col>
      <xdr:colOff>280147</xdr:colOff>
      <xdr:row>478</xdr:row>
      <xdr:rowOff>134470</xdr:rowOff>
    </xdr:from>
    <xdr:to>
      <xdr:col>22</xdr:col>
      <xdr:colOff>414617</xdr:colOff>
      <xdr:row>497</xdr:row>
      <xdr:rowOff>123266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235323</xdr:colOff>
      <xdr:row>477</xdr:row>
      <xdr:rowOff>44824</xdr:rowOff>
    </xdr:from>
    <xdr:to>
      <xdr:col>17</xdr:col>
      <xdr:colOff>437029</xdr:colOff>
      <xdr:row>491</xdr:row>
      <xdr:rowOff>123265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993320</xdr:colOff>
      <xdr:row>46</xdr:row>
      <xdr:rowOff>13606</xdr:rowOff>
    </xdr:from>
    <xdr:to>
      <xdr:col>19</xdr:col>
      <xdr:colOff>443142</xdr:colOff>
      <xdr:row>64</xdr:row>
      <xdr:rowOff>184606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302559</xdr:colOff>
      <xdr:row>158</xdr:row>
      <xdr:rowOff>123265</xdr:rowOff>
    </xdr:from>
    <xdr:to>
      <xdr:col>15</xdr:col>
      <xdr:colOff>773205</xdr:colOff>
      <xdr:row>176</xdr:row>
      <xdr:rowOff>10597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514350</xdr:colOff>
      <xdr:row>177</xdr:row>
      <xdr:rowOff>95250</xdr:rowOff>
    </xdr:from>
    <xdr:to>
      <xdr:col>13</xdr:col>
      <xdr:colOff>962025</xdr:colOff>
      <xdr:row>189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95250</xdr:colOff>
      <xdr:row>205</xdr:row>
      <xdr:rowOff>28575</xdr:rowOff>
    </xdr:from>
    <xdr:to>
      <xdr:col>14</xdr:col>
      <xdr:colOff>180975</xdr:colOff>
      <xdr:row>217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28575</xdr:colOff>
      <xdr:row>191</xdr:row>
      <xdr:rowOff>28575</xdr:rowOff>
    </xdr:from>
    <xdr:to>
      <xdr:col>14</xdr:col>
      <xdr:colOff>114300</xdr:colOff>
      <xdr:row>204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220</xdr:row>
      <xdr:rowOff>0</xdr:rowOff>
    </xdr:from>
    <xdr:to>
      <xdr:col>14</xdr:col>
      <xdr:colOff>85725</xdr:colOff>
      <xdr:row>233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0.70533</cdr:y>
    </cdr:from>
    <cdr:to>
      <cdr:x>0.14919</cdr:x>
      <cdr:y>0.76644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0" y="2493065"/>
          <a:ext cx="540000" cy="216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da-DK" sz="1100"/>
            <a:t>B6//B6</a:t>
          </a:r>
        </a:p>
      </cdr:txBody>
    </cdr:sp>
  </cdr:relSizeAnchor>
  <cdr:relSizeAnchor xmlns:cdr="http://schemas.openxmlformats.org/drawingml/2006/chartDrawing">
    <cdr:from>
      <cdr:x>0</cdr:x>
      <cdr:y>0.15682</cdr:y>
    </cdr:from>
    <cdr:to>
      <cdr:x>0.14919</cdr:x>
      <cdr:y>0.21793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0" y="554282"/>
          <a:ext cx="540000" cy="216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100"/>
            <a:t>B5//B5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123265</xdr:colOff>
      <xdr:row>131</xdr:row>
      <xdr:rowOff>44824</xdr:rowOff>
    </xdr:from>
    <xdr:to>
      <xdr:col>29</xdr:col>
      <xdr:colOff>470648</xdr:colOff>
      <xdr:row>145</xdr:row>
      <xdr:rowOff>123266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358588</xdr:colOff>
      <xdr:row>137</xdr:row>
      <xdr:rowOff>112059</xdr:rowOff>
    </xdr:from>
    <xdr:to>
      <xdr:col>12</xdr:col>
      <xdr:colOff>0</xdr:colOff>
      <xdr:row>152</xdr:row>
      <xdr:rowOff>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390525</xdr:colOff>
      <xdr:row>9</xdr:row>
      <xdr:rowOff>76200</xdr:rowOff>
    </xdr:from>
    <xdr:to>
      <xdr:col>31</xdr:col>
      <xdr:colOff>126525</xdr:colOff>
      <xdr:row>28</xdr:row>
      <xdr:rowOff>56700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438150</xdr:colOff>
      <xdr:row>28</xdr:row>
      <xdr:rowOff>123824</xdr:rowOff>
    </xdr:from>
    <xdr:to>
      <xdr:col>41</xdr:col>
      <xdr:colOff>174150</xdr:colOff>
      <xdr:row>47</xdr:row>
      <xdr:rowOff>104324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47625</xdr:colOff>
      <xdr:row>103</xdr:row>
      <xdr:rowOff>180975</xdr:rowOff>
    </xdr:from>
    <xdr:to>
      <xdr:col>29</xdr:col>
      <xdr:colOff>393225</xdr:colOff>
      <xdr:row>122</xdr:row>
      <xdr:rowOff>161475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0.7354</cdr:x>
      <cdr:y>0</cdr:y>
    </cdr:from>
    <cdr:to>
      <cdr:x>0.79538</cdr:x>
      <cdr:y>0.0782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288858" y="0"/>
          <a:ext cx="349817" cy="281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a-DK" sz="1400"/>
            <a:t>TS</a:t>
          </a:r>
        </a:p>
      </cdr:txBody>
    </cdr:sp>
  </cdr:relSizeAnchor>
  <cdr:relSizeAnchor xmlns:cdr="http://schemas.openxmlformats.org/drawingml/2006/chartDrawing">
    <cdr:from>
      <cdr:x>0.80401</cdr:x>
      <cdr:y>0</cdr:y>
    </cdr:from>
    <cdr:to>
      <cdr:x>0.9559</cdr:x>
      <cdr:y>0.0782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4689000" y="0"/>
          <a:ext cx="885825" cy="281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/>
            <a:t>HO</a:t>
          </a:r>
          <a:r>
            <a:rPr lang="da-DK" sz="1400" baseline="30000"/>
            <a:t>•</a:t>
          </a:r>
          <a:r>
            <a:rPr lang="da-DK" sz="1100">
              <a:latin typeface="+mn-lt"/>
              <a:ea typeface="+mn-ea"/>
              <a:cs typeface="+mn-cs"/>
            </a:rPr>
            <a:t>··· </a:t>
          </a:r>
          <a:r>
            <a:rPr lang="da-DK" sz="1400"/>
            <a:t>HO</a:t>
          </a:r>
          <a:r>
            <a:rPr lang="da-DK" sz="1400" baseline="30000"/>
            <a:t>•</a:t>
          </a:r>
        </a:p>
      </cdr:txBody>
    </cdr:sp>
  </cdr:relSizeAnchor>
  <cdr:relSizeAnchor xmlns:cdr="http://schemas.openxmlformats.org/drawingml/2006/chartDrawing">
    <cdr:from>
      <cdr:x>0.15842</cdr:x>
      <cdr:y>0</cdr:y>
    </cdr:from>
    <cdr:to>
      <cdr:x>0.21841</cdr:x>
      <cdr:y>0.0782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923925" y="0"/>
          <a:ext cx="349817" cy="281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/>
            <a:t>H</a:t>
          </a:r>
          <a:r>
            <a:rPr lang="da-DK" sz="1400" baseline="-25000"/>
            <a:t>2</a:t>
          </a:r>
          <a:r>
            <a:rPr lang="da-DK" sz="1400"/>
            <a:t>O</a:t>
          </a:r>
          <a:r>
            <a:rPr lang="da-DK" sz="1400" baseline="-25000"/>
            <a:t>2</a:t>
          </a:r>
        </a:p>
      </cdr:txBody>
    </cdr:sp>
  </cdr:relSizeAnchor>
  <cdr:relSizeAnchor xmlns:cdr="http://schemas.openxmlformats.org/drawingml/2006/chartDrawing">
    <cdr:from>
      <cdr:x>0.7354</cdr:x>
      <cdr:y>0</cdr:y>
    </cdr:from>
    <cdr:to>
      <cdr:x>0.79538</cdr:x>
      <cdr:y>0.0782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288858" y="0"/>
          <a:ext cx="349817" cy="281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a-DK" sz="1400"/>
            <a:t>TS</a:t>
          </a:r>
        </a:p>
      </cdr:txBody>
    </cdr:sp>
  </cdr:relSizeAnchor>
  <cdr:relSizeAnchor xmlns:cdr="http://schemas.openxmlformats.org/drawingml/2006/chartDrawing">
    <cdr:from>
      <cdr:x>0.80401</cdr:x>
      <cdr:y>0</cdr:y>
    </cdr:from>
    <cdr:to>
      <cdr:x>0.9559</cdr:x>
      <cdr:y>0.0782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689000" y="0"/>
          <a:ext cx="885825" cy="281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/>
            <a:t>HO</a:t>
          </a:r>
          <a:r>
            <a:rPr lang="da-DK" sz="1400" baseline="30000"/>
            <a:t>•</a:t>
          </a:r>
          <a:r>
            <a:rPr lang="da-DK" sz="1100">
              <a:latin typeface="+mn-lt"/>
              <a:ea typeface="+mn-ea"/>
              <a:cs typeface="+mn-cs"/>
            </a:rPr>
            <a:t>··· </a:t>
          </a:r>
          <a:r>
            <a:rPr lang="da-DK" sz="1400"/>
            <a:t>HO</a:t>
          </a:r>
          <a:r>
            <a:rPr lang="da-DK" sz="1400" baseline="30000"/>
            <a:t>•</a:t>
          </a:r>
        </a:p>
      </cdr:txBody>
    </cdr:sp>
  </cdr:relSizeAnchor>
  <cdr:relSizeAnchor xmlns:cdr="http://schemas.openxmlformats.org/drawingml/2006/chartDrawing">
    <cdr:from>
      <cdr:x>0.15842</cdr:x>
      <cdr:y>0</cdr:y>
    </cdr:from>
    <cdr:to>
      <cdr:x>0.21841</cdr:x>
      <cdr:y>0.0782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923925" y="0"/>
          <a:ext cx="349817" cy="281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/>
            <a:t>H</a:t>
          </a:r>
          <a:r>
            <a:rPr lang="da-DK" sz="1400" baseline="-25000"/>
            <a:t>2</a:t>
          </a:r>
          <a:r>
            <a:rPr lang="da-DK" sz="1400"/>
            <a:t>O</a:t>
          </a:r>
          <a:r>
            <a:rPr lang="da-DK" sz="1400" baseline="-25000"/>
            <a:t>2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0.70124</cdr:x>
      <cdr:y>0</cdr:y>
    </cdr:from>
    <cdr:to>
      <cdr:x>0.76122</cdr:x>
      <cdr:y>0.0782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089659" y="0"/>
          <a:ext cx="349803" cy="2815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a-DK" sz="1400" baseline="30000"/>
            <a:t>1</a:t>
          </a:r>
          <a:r>
            <a:rPr lang="da-DK" sz="1400"/>
            <a:t>TS</a:t>
          </a:r>
        </a:p>
      </cdr:txBody>
    </cdr:sp>
  </cdr:relSizeAnchor>
  <cdr:relSizeAnchor xmlns:cdr="http://schemas.openxmlformats.org/drawingml/2006/chartDrawing">
    <cdr:from>
      <cdr:x>0.79702</cdr:x>
      <cdr:y>0</cdr:y>
    </cdr:from>
    <cdr:to>
      <cdr:x>0.9608</cdr:x>
      <cdr:y>0.08186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648200" y="0"/>
          <a:ext cx="955200" cy="2946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30000"/>
            <a:t>1,3</a:t>
          </a:r>
          <a:r>
            <a:rPr lang="da-DK" sz="1400"/>
            <a:t>(HO</a:t>
          </a:r>
          <a:r>
            <a:rPr lang="da-DK" sz="1400" baseline="30000"/>
            <a:t>•</a:t>
          </a:r>
          <a:r>
            <a:rPr lang="da-DK" sz="1100">
              <a:latin typeface="+mn-lt"/>
              <a:ea typeface="+mn-ea"/>
              <a:cs typeface="+mn-cs"/>
            </a:rPr>
            <a:t>··· </a:t>
          </a:r>
          <a:r>
            <a:rPr lang="da-DK" sz="1400"/>
            <a:t>HO</a:t>
          </a:r>
          <a:r>
            <a:rPr lang="da-DK" sz="1400" baseline="30000"/>
            <a:t>•</a:t>
          </a:r>
          <a:r>
            <a:rPr lang="da-DK" sz="1400" baseline="0"/>
            <a:t>)</a:t>
          </a:r>
        </a:p>
      </cdr:txBody>
    </cdr:sp>
  </cdr:relSizeAnchor>
  <cdr:relSizeAnchor xmlns:cdr="http://schemas.openxmlformats.org/drawingml/2006/chartDrawing">
    <cdr:from>
      <cdr:x>0.16916</cdr:x>
      <cdr:y>0</cdr:y>
    </cdr:from>
    <cdr:to>
      <cdr:x>0.27765</cdr:x>
      <cdr:y>0.08996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986542" y="0"/>
          <a:ext cx="632708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30000"/>
            <a:t>1</a:t>
          </a:r>
          <a:r>
            <a:rPr lang="da-DK" sz="1400"/>
            <a:t>(H</a:t>
          </a:r>
          <a:r>
            <a:rPr lang="da-DK" sz="1400" baseline="-25000"/>
            <a:t>2</a:t>
          </a:r>
          <a:r>
            <a:rPr lang="da-DK" sz="1400"/>
            <a:t>O</a:t>
          </a:r>
          <a:r>
            <a:rPr lang="da-DK" sz="1400" baseline="-25000"/>
            <a:t>2</a:t>
          </a:r>
          <a:r>
            <a:rPr lang="da-DK" sz="1400" baseline="0"/>
            <a:t>)</a:t>
          </a:r>
          <a:endParaRPr lang="da-DK" sz="1400" baseline="-25000"/>
        </a:p>
      </cdr:txBody>
    </cdr:sp>
  </cdr:relSizeAnchor>
  <cdr:relSizeAnchor xmlns:cdr="http://schemas.openxmlformats.org/drawingml/2006/chartDrawing">
    <cdr:from>
      <cdr:x>0.34624</cdr:x>
      <cdr:y>0</cdr:y>
    </cdr:from>
    <cdr:to>
      <cdr:x>0.45473</cdr:x>
      <cdr:y>0.08996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2019300" y="0"/>
          <a:ext cx="632708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30000"/>
            <a:t>3</a:t>
          </a:r>
          <a:r>
            <a:rPr lang="da-DK" sz="1400"/>
            <a:t>(H</a:t>
          </a:r>
          <a:r>
            <a:rPr lang="da-DK" sz="1400" baseline="-25000"/>
            <a:t>2</a:t>
          </a:r>
          <a:r>
            <a:rPr lang="da-DK" sz="1400"/>
            <a:t>O</a:t>
          </a:r>
          <a:r>
            <a:rPr lang="da-DK" sz="1400" baseline="-25000"/>
            <a:t>2</a:t>
          </a:r>
          <a:r>
            <a:rPr lang="da-DK" sz="1400" baseline="0"/>
            <a:t>)</a:t>
          </a:r>
          <a:endParaRPr lang="da-DK" sz="1400" baseline="-25000"/>
        </a:p>
      </cdr:txBody>
    </cdr:sp>
  </cdr:relSizeAnchor>
  <cdr:relSizeAnchor xmlns:cdr="http://schemas.openxmlformats.org/drawingml/2006/chartDrawing">
    <cdr:from>
      <cdr:x>0.74965</cdr:x>
      <cdr:y>0</cdr:y>
    </cdr:from>
    <cdr:to>
      <cdr:x>0.80963</cdr:x>
      <cdr:y>0.0782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4371975" y="0"/>
          <a:ext cx="349803" cy="2815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30000"/>
            <a:t>3</a:t>
          </a:r>
          <a:r>
            <a:rPr lang="da-DK" sz="1400"/>
            <a:t>TS</a:t>
          </a:r>
        </a:p>
      </cdr:txBody>
    </cdr:sp>
  </cdr:relSizeAnchor>
  <cdr:relSizeAnchor xmlns:cdr="http://schemas.openxmlformats.org/drawingml/2006/chartDrawing">
    <cdr:from>
      <cdr:x>0.46936</cdr:x>
      <cdr:y>0</cdr:y>
    </cdr:from>
    <cdr:to>
      <cdr:x>0.57785</cdr:x>
      <cdr:y>0.05761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2737296" y="0"/>
          <a:ext cx="632708" cy="2074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0"/>
            <a:t>Avoided crossing</a:t>
          </a:r>
          <a:endParaRPr lang="da-DK" sz="1400" baseline="-250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0.70124</cdr:x>
      <cdr:y>0</cdr:y>
    </cdr:from>
    <cdr:to>
      <cdr:x>0.76122</cdr:x>
      <cdr:y>0.0782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089659" y="0"/>
          <a:ext cx="349803" cy="2815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a-DK" sz="1400" baseline="30000"/>
            <a:t>1</a:t>
          </a:r>
          <a:r>
            <a:rPr lang="da-DK" sz="1400"/>
            <a:t>TS</a:t>
          </a:r>
        </a:p>
      </cdr:txBody>
    </cdr:sp>
  </cdr:relSizeAnchor>
  <cdr:relSizeAnchor xmlns:cdr="http://schemas.openxmlformats.org/drawingml/2006/chartDrawing">
    <cdr:from>
      <cdr:x>0.79702</cdr:x>
      <cdr:y>0</cdr:y>
    </cdr:from>
    <cdr:to>
      <cdr:x>0.9608</cdr:x>
      <cdr:y>0.08186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648200" y="0"/>
          <a:ext cx="955200" cy="2946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30000"/>
            <a:t>1,3</a:t>
          </a:r>
          <a:r>
            <a:rPr lang="da-DK" sz="1400"/>
            <a:t>(HO</a:t>
          </a:r>
          <a:r>
            <a:rPr lang="da-DK" sz="1400" baseline="30000"/>
            <a:t>•</a:t>
          </a:r>
          <a:r>
            <a:rPr lang="da-DK" sz="1100">
              <a:latin typeface="+mn-lt"/>
              <a:ea typeface="+mn-ea"/>
              <a:cs typeface="+mn-cs"/>
            </a:rPr>
            <a:t>··· </a:t>
          </a:r>
          <a:r>
            <a:rPr lang="da-DK" sz="1400"/>
            <a:t>HO</a:t>
          </a:r>
          <a:r>
            <a:rPr lang="da-DK" sz="1400" baseline="30000"/>
            <a:t>•</a:t>
          </a:r>
          <a:r>
            <a:rPr lang="da-DK" sz="1400" baseline="0"/>
            <a:t>)</a:t>
          </a:r>
        </a:p>
      </cdr:txBody>
    </cdr:sp>
  </cdr:relSizeAnchor>
  <cdr:relSizeAnchor xmlns:cdr="http://schemas.openxmlformats.org/drawingml/2006/chartDrawing">
    <cdr:from>
      <cdr:x>0.16916</cdr:x>
      <cdr:y>0</cdr:y>
    </cdr:from>
    <cdr:to>
      <cdr:x>0.27765</cdr:x>
      <cdr:y>0.08996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986542" y="0"/>
          <a:ext cx="632708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30000"/>
            <a:t>1</a:t>
          </a:r>
          <a:r>
            <a:rPr lang="da-DK" sz="1400"/>
            <a:t>(H</a:t>
          </a:r>
          <a:r>
            <a:rPr lang="da-DK" sz="1400" baseline="-25000"/>
            <a:t>2</a:t>
          </a:r>
          <a:r>
            <a:rPr lang="da-DK" sz="1400"/>
            <a:t>O</a:t>
          </a:r>
          <a:r>
            <a:rPr lang="da-DK" sz="1400" baseline="-25000"/>
            <a:t>2</a:t>
          </a:r>
          <a:r>
            <a:rPr lang="da-DK" sz="1400" baseline="0"/>
            <a:t>)</a:t>
          </a:r>
          <a:endParaRPr lang="da-DK" sz="1400" baseline="-25000"/>
        </a:p>
      </cdr:txBody>
    </cdr:sp>
  </cdr:relSizeAnchor>
  <cdr:relSizeAnchor xmlns:cdr="http://schemas.openxmlformats.org/drawingml/2006/chartDrawing">
    <cdr:from>
      <cdr:x>0.34624</cdr:x>
      <cdr:y>0</cdr:y>
    </cdr:from>
    <cdr:to>
      <cdr:x>0.45473</cdr:x>
      <cdr:y>0.08996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2019300" y="0"/>
          <a:ext cx="632708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30000"/>
            <a:t>3</a:t>
          </a:r>
          <a:r>
            <a:rPr lang="da-DK" sz="1400"/>
            <a:t>(H</a:t>
          </a:r>
          <a:r>
            <a:rPr lang="da-DK" sz="1400" baseline="-25000"/>
            <a:t>2</a:t>
          </a:r>
          <a:r>
            <a:rPr lang="da-DK" sz="1400"/>
            <a:t>O</a:t>
          </a:r>
          <a:r>
            <a:rPr lang="da-DK" sz="1400" baseline="-25000"/>
            <a:t>2</a:t>
          </a:r>
          <a:r>
            <a:rPr lang="da-DK" sz="1400" baseline="0"/>
            <a:t>)</a:t>
          </a:r>
          <a:endParaRPr lang="da-DK" sz="1400" baseline="-25000"/>
        </a:p>
      </cdr:txBody>
    </cdr:sp>
  </cdr:relSizeAnchor>
  <cdr:relSizeAnchor xmlns:cdr="http://schemas.openxmlformats.org/drawingml/2006/chartDrawing">
    <cdr:from>
      <cdr:x>0.74965</cdr:x>
      <cdr:y>0</cdr:y>
    </cdr:from>
    <cdr:to>
      <cdr:x>0.80963</cdr:x>
      <cdr:y>0.0782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4371975" y="0"/>
          <a:ext cx="349803" cy="2815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30000"/>
            <a:t>3</a:t>
          </a:r>
          <a:r>
            <a:rPr lang="da-DK" sz="1400"/>
            <a:t>TS</a:t>
          </a:r>
        </a:p>
      </cdr:txBody>
    </cdr:sp>
  </cdr:relSizeAnchor>
  <cdr:relSizeAnchor xmlns:cdr="http://schemas.openxmlformats.org/drawingml/2006/chartDrawing">
    <cdr:from>
      <cdr:x>0.46936</cdr:x>
      <cdr:y>0</cdr:y>
    </cdr:from>
    <cdr:to>
      <cdr:x>0.57785</cdr:x>
      <cdr:y>0.05761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2737296" y="0"/>
          <a:ext cx="632708" cy="2074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aseline="0"/>
            <a:t>Avoided crossing</a:t>
          </a:r>
          <a:endParaRPr lang="da-DK" sz="1400" baseline="-250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676275</xdr:colOff>
      <xdr:row>5</xdr:row>
      <xdr:rowOff>28575</xdr:rowOff>
    </xdr:from>
    <xdr:to>
      <xdr:col>22</xdr:col>
      <xdr:colOff>314325</xdr:colOff>
      <xdr:row>19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552450</xdr:colOff>
      <xdr:row>38</xdr:row>
      <xdr:rowOff>142875</xdr:rowOff>
    </xdr:from>
    <xdr:to>
      <xdr:col>30</xdr:col>
      <xdr:colOff>504825</xdr:colOff>
      <xdr:row>53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447675</xdr:colOff>
      <xdr:row>21</xdr:row>
      <xdr:rowOff>161925</xdr:rowOff>
    </xdr:from>
    <xdr:to>
      <xdr:col>22</xdr:col>
      <xdr:colOff>142875</xdr:colOff>
      <xdr:row>35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504825</xdr:colOff>
      <xdr:row>29</xdr:row>
      <xdr:rowOff>161925</xdr:rowOff>
    </xdr:from>
    <xdr:to>
      <xdr:col>25</xdr:col>
      <xdr:colOff>895349</xdr:colOff>
      <xdr:row>55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571499</xdr:colOff>
      <xdr:row>63</xdr:row>
      <xdr:rowOff>666751</xdr:rowOff>
    </xdr:from>
    <xdr:to>
      <xdr:col>25</xdr:col>
      <xdr:colOff>619124</xdr:colOff>
      <xdr:row>87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34017</xdr:colOff>
      <xdr:row>1</xdr:row>
      <xdr:rowOff>649061</xdr:rowOff>
    </xdr:from>
    <xdr:to>
      <xdr:col>36</xdr:col>
      <xdr:colOff>1092631</xdr:colOff>
      <xdr:row>21</xdr:row>
      <xdr:rowOff>54429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312959</xdr:colOff>
      <xdr:row>202</xdr:row>
      <xdr:rowOff>625929</xdr:rowOff>
    </xdr:from>
    <xdr:to>
      <xdr:col>60</xdr:col>
      <xdr:colOff>26459</xdr:colOff>
      <xdr:row>237</xdr:row>
      <xdr:rowOff>15429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0</xdr:colOff>
      <xdr:row>3</xdr:row>
      <xdr:rowOff>0</xdr:rowOff>
    </xdr:from>
    <xdr:to>
      <xdr:col>50</xdr:col>
      <xdr:colOff>152400</xdr:colOff>
      <xdr:row>13</xdr:row>
      <xdr:rowOff>600075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517072</xdr:colOff>
      <xdr:row>92</xdr:row>
      <xdr:rowOff>40823</xdr:rowOff>
    </xdr:from>
    <xdr:to>
      <xdr:col>33</xdr:col>
      <xdr:colOff>661286</xdr:colOff>
      <xdr:row>107</xdr:row>
      <xdr:rowOff>21323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884466</xdr:colOff>
      <xdr:row>129</xdr:row>
      <xdr:rowOff>-1</xdr:rowOff>
    </xdr:from>
    <xdr:to>
      <xdr:col>36</xdr:col>
      <xdr:colOff>904502</xdr:colOff>
      <xdr:row>144</xdr:row>
      <xdr:rowOff>170999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0.47388</cdr:x>
      <cdr:y>0.24121</cdr:y>
    </cdr:from>
    <cdr:to>
      <cdr:x>0.93409</cdr:x>
      <cdr:y>0.42165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42105" y="982360"/>
          <a:ext cx="3148596" cy="7348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a-DK" sz="1400"/>
            <a:t>Y</a:t>
          </a:r>
          <a:r>
            <a:rPr lang="da-DK" sz="1400" baseline="0"/>
            <a:t> </a:t>
          </a:r>
          <a:r>
            <a:rPr lang="da-DK" sz="1400"/>
            <a:t>= 7.29</a:t>
          </a:r>
          <a:r>
            <a:rPr lang="da-DK" sz="1400" baseline="0">
              <a:latin typeface="+mn-lt"/>
              <a:ea typeface="+mn-ea"/>
              <a:cs typeface="+mn-cs"/>
            </a:rPr>
            <a:t>±3.32 - 20600</a:t>
          </a:r>
          <a:r>
            <a:rPr lang="da-DK" sz="1400" baseline="0">
              <a:latin typeface="Calibri"/>
            </a:rPr>
            <a:t>±2395</a:t>
          </a:r>
          <a:r>
            <a:rPr lang="da-DK" sz="1400" baseline="0">
              <a:latin typeface="+mn-lt"/>
              <a:ea typeface="+mn-ea"/>
              <a:cs typeface="+mn-cs"/>
            </a:rPr>
            <a:t> </a:t>
          </a:r>
          <a:r>
            <a:rPr lang="da-DK" sz="1100">
              <a:latin typeface="+mn-lt"/>
              <a:ea typeface="+mn-ea"/>
              <a:cs typeface="+mn-cs"/>
            </a:rPr>
            <a:t>· </a:t>
          </a:r>
          <a:r>
            <a:rPr lang="da-DK" sz="1400">
              <a:latin typeface="+mn-lt"/>
              <a:ea typeface="+mn-ea"/>
              <a:cs typeface="+mn-cs"/>
            </a:rPr>
            <a:t>T</a:t>
          </a:r>
          <a:r>
            <a:rPr lang="da-DK" sz="1400" baseline="30000">
              <a:latin typeface="+mn-lt"/>
              <a:ea typeface="+mn-ea"/>
              <a:cs typeface="+mn-cs"/>
            </a:rPr>
            <a:t>-1</a:t>
          </a:r>
        </a:p>
        <a:p xmlns:a="http://schemas.openxmlformats.org/drawingml/2006/main">
          <a:r>
            <a:rPr lang="da-DK" sz="1400" baseline="0">
              <a:latin typeface="+mn-lt"/>
              <a:ea typeface="+mn-ea"/>
              <a:cs typeface="+mn-cs"/>
            </a:rPr>
            <a:t>R</a:t>
          </a:r>
          <a:r>
            <a:rPr lang="da-DK" sz="1400" baseline="30000">
              <a:latin typeface="+mn-lt"/>
              <a:ea typeface="+mn-ea"/>
              <a:cs typeface="+mn-cs"/>
            </a:rPr>
            <a:t>2 </a:t>
          </a:r>
          <a:r>
            <a:rPr lang="da-DK" sz="1400" baseline="0">
              <a:latin typeface="+mn-lt"/>
              <a:ea typeface="+mn-ea"/>
              <a:cs typeface="+mn-cs"/>
            </a:rPr>
            <a:t>=  0.9848</a:t>
          </a:r>
          <a:r>
            <a:rPr lang="da-DK" sz="1400" baseline="0">
              <a:latin typeface="Calibri"/>
            </a:rPr>
            <a:t> </a:t>
          </a:r>
          <a:endParaRPr lang="da-DK" sz="1400" baseline="0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0.12839</cdr:x>
      <cdr:y>0.87123</cdr:y>
    </cdr:from>
    <cdr:to>
      <cdr:x>0.2194</cdr:x>
      <cdr:y>0.92037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76512" y="6272853"/>
          <a:ext cx="550419" cy="3538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a-DK" sz="1600" b="0">
              <a:latin typeface="+mn-lt"/>
              <a:ea typeface="+mn-ea"/>
              <a:cs typeface="+mn-cs"/>
            </a:rPr>
            <a:t>H</a:t>
          </a:r>
          <a:r>
            <a:rPr lang="da-DK" sz="1600" b="0" baseline="-25000">
              <a:latin typeface="+mn-lt"/>
              <a:ea typeface="+mn-ea"/>
              <a:cs typeface="+mn-cs"/>
            </a:rPr>
            <a:t>2</a:t>
          </a:r>
          <a:r>
            <a:rPr lang="da-DK" sz="1600" b="0">
              <a:latin typeface="+mn-lt"/>
              <a:ea typeface="+mn-ea"/>
              <a:cs typeface="+mn-cs"/>
            </a:rPr>
            <a:t>O</a:t>
          </a:r>
          <a:r>
            <a:rPr lang="da-DK" sz="1600" b="0" baseline="-25000">
              <a:latin typeface="+mn-lt"/>
              <a:ea typeface="+mn-ea"/>
              <a:cs typeface="+mn-cs"/>
            </a:rPr>
            <a:t>2 </a:t>
          </a:r>
          <a:endParaRPr lang="da-DK" sz="1600" b="0"/>
        </a:p>
      </cdr:txBody>
    </cdr:sp>
  </cdr:relSizeAnchor>
  <cdr:relSizeAnchor xmlns:cdr="http://schemas.openxmlformats.org/drawingml/2006/chartDrawing">
    <cdr:from>
      <cdr:x>0.38096</cdr:x>
      <cdr:y>0.02371</cdr:y>
    </cdr:from>
    <cdr:to>
      <cdr:x>0.49963</cdr:x>
      <cdr:y>0.08279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976411" y="181972"/>
          <a:ext cx="1550150" cy="4533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 baseline="30000"/>
            <a:t>1</a:t>
          </a:r>
          <a:r>
            <a:rPr lang="da-DK" sz="1600" b="0"/>
            <a:t>(</a:t>
          </a:r>
          <a:r>
            <a:rPr lang="da-DK" sz="1600" b="0">
              <a:latin typeface="+mn-lt"/>
              <a:ea typeface="+mn-ea"/>
              <a:cs typeface="+mn-cs"/>
            </a:rPr>
            <a:t>TS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1</a:t>
          </a:r>
        </a:p>
      </cdr:txBody>
    </cdr:sp>
  </cdr:relSizeAnchor>
  <cdr:relSizeAnchor xmlns:cdr="http://schemas.openxmlformats.org/drawingml/2006/chartDrawing">
    <cdr:from>
      <cdr:x>0.86882</cdr:x>
      <cdr:y>0.87123</cdr:y>
    </cdr:from>
    <cdr:to>
      <cdr:x>0.95381</cdr:x>
      <cdr:y>0.93086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254599" y="6272853"/>
          <a:ext cx="514048" cy="4293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 baseline="0"/>
            <a:t>2</a:t>
          </a:r>
          <a:r>
            <a:rPr lang="da-DK" sz="1600" b="0"/>
            <a:t>HO</a:t>
          </a:r>
          <a:r>
            <a:rPr lang="da-DK" sz="1600" b="0" baseline="0"/>
            <a:t> </a:t>
          </a:r>
        </a:p>
      </cdr:txBody>
    </cdr:sp>
  </cdr:relSizeAnchor>
  <cdr:relSizeAnchor xmlns:cdr="http://schemas.openxmlformats.org/drawingml/2006/chartDrawing">
    <cdr:from>
      <cdr:x>0.17522</cdr:x>
      <cdr:y>0.91924</cdr:y>
    </cdr:from>
    <cdr:to>
      <cdr:x>0.17522</cdr:x>
      <cdr:y>0.93924</cdr:y>
    </cdr:to>
    <cdr:sp macro="" textlink="">
      <cdr:nvSpPr>
        <cdr:cNvPr id="21" name="Straight Arrow Connector 15"/>
        <cdr:cNvSpPr/>
      </cdr:nvSpPr>
      <cdr:spPr>
        <a:xfrm xmlns:a="http://schemas.openxmlformats.org/drawingml/2006/main">
          <a:off x="1059719" y="6618544"/>
          <a:ext cx="0" cy="1440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da-DK"/>
        </a:p>
      </cdr:txBody>
    </cdr:sp>
  </cdr:relSizeAnchor>
  <cdr:relSizeAnchor xmlns:cdr="http://schemas.openxmlformats.org/drawingml/2006/chartDrawing">
    <cdr:from>
      <cdr:x>0.56246</cdr:x>
      <cdr:y>0.08931</cdr:y>
    </cdr:from>
    <cdr:to>
      <cdr:x>0.71844</cdr:x>
      <cdr:y>0.15001</cdr:y>
    </cdr:to>
    <cdr:sp macro="" textlink="">
      <cdr:nvSpPr>
        <cdr:cNvPr id="25" name="TextBox 1"/>
        <cdr:cNvSpPr txBox="1"/>
      </cdr:nvSpPr>
      <cdr:spPr>
        <a:xfrm xmlns:a="http://schemas.openxmlformats.org/drawingml/2006/main">
          <a:off x="7347284" y="685437"/>
          <a:ext cx="2037543" cy="4657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 baseline="30000"/>
            <a:t>1</a:t>
          </a:r>
          <a:r>
            <a:rPr lang="da-DK" sz="1600" b="0"/>
            <a:t>(</a:t>
          </a:r>
          <a:r>
            <a:rPr lang="da-DK" sz="1600" b="0">
              <a:latin typeface="+mn-lt"/>
              <a:ea typeface="+mn-ea"/>
              <a:cs typeface="+mn-cs"/>
            </a:rPr>
            <a:t>H</a:t>
          </a:r>
          <a:r>
            <a:rPr lang="da-DK" sz="1600" b="0" baseline="-25000">
              <a:latin typeface="+mn-lt"/>
              <a:ea typeface="+mn-ea"/>
              <a:cs typeface="+mn-cs"/>
            </a:rPr>
            <a:t>2</a:t>
          </a:r>
          <a:r>
            <a:rPr lang="da-DK" sz="1600" b="0">
              <a:latin typeface="+mn-lt"/>
              <a:ea typeface="+mn-ea"/>
              <a:cs typeface="+mn-cs"/>
            </a:rPr>
            <a:t>O</a:t>
          </a:r>
          <a:r>
            <a:rPr lang="da-DK" sz="1600" b="0" baseline="-25000">
              <a:latin typeface="+mn-lt"/>
              <a:ea typeface="+mn-ea"/>
              <a:cs typeface="+mn-cs"/>
            </a:rPr>
            <a:t>2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S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0.25058</cdr:x>
      <cdr:y>0.12095</cdr:y>
    </cdr:from>
    <cdr:to>
      <cdr:x>0.38264</cdr:x>
      <cdr:y>0.21413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1461371" y="435415"/>
          <a:ext cx="770174" cy="3354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a-DK" sz="1400" b="0" baseline="30000"/>
            <a:t>1</a:t>
          </a:r>
          <a:r>
            <a:rPr lang="da-DK" sz="1400" b="0"/>
            <a:t>TS1</a:t>
          </a:r>
          <a:r>
            <a:rPr lang="da-DK" sz="1400" b="0" baseline="-25000"/>
            <a:t>Ar</a:t>
          </a:r>
          <a:endParaRPr lang="da-DK" sz="1100" b="0" i="0" baseline="-25000">
            <a:latin typeface="+mn-lt"/>
            <a:ea typeface="+mn-ea"/>
            <a:cs typeface="+mn-cs"/>
          </a:endParaRPr>
        </a:p>
        <a:p xmlns:a="http://schemas.openxmlformats.org/drawingml/2006/main">
          <a:endParaRPr lang="da-DK" sz="1400" b="0" baseline="-25000"/>
        </a:p>
      </cdr:txBody>
    </cdr:sp>
  </cdr:relSizeAnchor>
  <cdr:relSizeAnchor xmlns:cdr="http://schemas.openxmlformats.org/drawingml/2006/chartDrawing">
    <cdr:from>
      <cdr:x>0.47446</cdr:x>
      <cdr:y>0.47669</cdr:y>
    </cdr:from>
    <cdr:to>
      <cdr:x>0.71162</cdr:x>
      <cdr:y>0.57074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767073" y="1716091"/>
          <a:ext cx="1383102" cy="338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400" b="0" baseline="30000"/>
            <a:t>1</a:t>
          </a:r>
          <a:r>
            <a:rPr lang="da-DK" sz="1400" b="0"/>
            <a:t>(HO</a:t>
          </a:r>
          <a:r>
            <a:rPr lang="da-DK" sz="1400" b="0" baseline="30000"/>
            <a:t>•</a:t>
          </a:r>
          <a:r>
            <a:rPr lang="da-DK" sz="1400" b="0" baseline="0"/>
            <a:t>·</a:t>
          </a:r>
          <a:r>
            <a:rPr lang="da-DK" sz="1400" b="0" baseline="0">
              <a:latin typeface="+mn-lt"/>
              <a:ea typeface="+mn-ea"/>
              <a:cs typeface="+mn-cs"/>
            </a:rPr>
            <a:t>··</a:t>
          </a:r>
          <a:r>
            <a:rPr lang="da-DK" sz="1400" b="0">
              <a:latin typeface="+mn-lt"/>
              <a:ea typeface="+mn-ea"/>
              <a:cs typeface="+mn-cs"/>
            </a:rPr>
            <a:t>HO</a:t>
          </a:r>
          <a:r>
            <a:rPr lang="da-DK" sz="1400" b="0" baseline="30000">
              <a:latin typeface="+mn-lt"/>
              <a:ea typeface="+mn-ea"/>
              <a:cs typeface="+mn-cs"/>
            </a:rPr>
            <a:t>•</a:t>
          </a:r>
          <a:r>
            <a:rPr lang="da-DK" sz="1400" b="0" baseline="0"/>
            <a:t>)  + Ar</a:t>
          </a:r>
          <a:endParaRPr lang="da-DK" sz="1400" b="0" baseline="-25000"/>
        </a:p>
      </cdr:txBody>
    </cdr:sp>
  </cdr:relSizeAnchor>
  <cdr:relSizeAnchor xmlns:cdr="http://schemas.openxmlformats.org/drawingml/2006/chartDrawing">
    <cdr:from>
      <cdr:x>0.112</cdr:x>
      <cdr:y>0.66902</cdr:y>
    </cdr:from>
    <cdr:to>
      <cdr:x>0.20766</cdr:x>
      <cdr:y>0.80131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653168" y="2408472"/>
          <a:ext cx="557889" cy="4762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a-DK" sz="1400" b="0" i="0" baseline="0">
              <a:latin typeface="+mn-lt"/>
              <a:ea typeface="+mn-ea"/>
              <a:cs typeface="+mn-cs"/>
            </a:rPr>
            <a:t>H</a:t>
          </a:r>
          <a:r>
            <a:rPr lang="da-DK" sz="1400" b="0" i="0" baseline="-25000">
              <a:latin typeface="+mn-lt"/>
              <a:ea typeface="+mn-ea"/>
              <a:cs typeface="+mn-cs"/>
            </a:rPr>
            <a:t>2</a:t>
          </a:r>
          <a:r>
            <a:rPr lang="da-DK" sz="1400" b="0" i="0" baseline="0">
              <a:latin typeface="+mn-lt"/>
              <a:ea typeface="+mn-ea"/>
              <a:cs typeface="+mn-cs"/>
            </a:rPr>
            <a:t>O</a:t>
          </a:r>
          <a:r>
            <a:rPr lang="da-DK" sz="1400" b="0" i="0" baseline="-25000">
              <a:latin typeface="+mn-lt"/>
              <a:ea typeface="+mn-ea"/>
              <a:cs typeface="+mn-cs"/>
            </a:rPr>
            <a:t>2 </a:t>
          </a:r>
        </a:p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a-DK" sz="1400" b="0" i="0" baseline="0">
              <a:latin typeface="+mn-lt"/>
              <a:ea typeface="+mn-ea"/>
              <a:cs typeface="+mn-cs"/>
            </a:rPr>
            <a:t>+ Ar</a:t>
          </a:r>
          <a:endParaRPr lang="da-DK" sz="1100" b="0" i="0" baseline="0">
            <a:latin typeface="+mn-lt"/>
            <a:ea typeface="+mn-ea"/>
            <a:cs typeface="+mn-cs"/>
          </a:endParaRPr>
        </a:p>
        <a:p xmlns:a="http://schemas.openxmlformats.org/drawingml/2006/main">
          <a:endParaRPr lang="da-DK" sz="1400" b="0" baseline="-25000"/>
        </a:p>
      </cdr:txBody>
    </cdr:sp>
  </cdr:relSizeAnchor>
  <cdr:relSizeAnchor xmlns:cdr="http://schemas.openxmlformats.org/drawingml/2006/chartDrawing">
    <cdr:from>
      <cdr:x>0.16099</cdr:x>
      <cdr:y>0.80509</cdr:y>
    </cdr:from>
    <cdr:to>
      <cdr:x>0.16099</cdr:x>
      <cdr:y>0.88446</cdr:y>
    </cdr:to>
    <cdr:sp macro="" textlink="">
      <cdr:nvSpPr>
        <cdr:cNvPr id="26" name="Straight Arrow Connector 25"/>
        <cdr:cNvSpPr/>
      </cdr:nvSpPr>
      <cdr:spPr>
        <a:xfrm xmlns:a="http://schemas.openxmlformats.org/drawingml/2006/main">
          <a:off x="938877" y="2898324"/>
          <a:ext cx="0" cy="28573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da-DK"/>
        </a:p>
      </cdr:txBody>
    </cdr:sp>
  </cdr:relSizeAnchor>
  <cdr:relSizeAnchor xmlns:cdr="http://schemas.openxmlformats.org/drawingml/2006/chartDrawing">
    <cdr:from>
      <cdr:x>0.85393</cdr:x>
      <cdr:y>0.05292</cdr:y>
    </cdr:from>
    <cdr:to>
      <cdr:x>0.9566</cdr:x>
      <cdr:y>0.13607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4980131" y="190501"/>
          <a:ext cx="598771" cy="2993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a-DK" sz="1400" b="0" i="0" baseline="0">
              <a:latin typeface="+mn-lt"/>
              <a:ea typeface="+mn-ea"/>
              <a:cs typeface="+mn-cs"/>
            </a:rPr>
            <a:t>2HO</a:t>
          </a:r>
          <a:r>
            <a:rPr lang="da-DK" sz="1400" b="0" i="0" baseline="30000">
              <a:latin typeface="+mn-lt"/>
              <a:ea typeface="+mn-ea"/>
              <a:cs typeface="+mn-cs"/>
            </a:rPr>
            <a:t>•</a:t>
          </a:r>
          <a:r>
            <a:rPr lang="da-DK" sz="1400" b="0" i="0" baseline="0">
              <a:latin typeface="+mn-lt"/>
              <a:ea typeface="+mn-ea"/>
              <a:cs typeface="+mn-cs"/>
            </a:rPr>
            <a:t> + Ar</a:t>
          </a:r>
          <a:endParaRPr lang="da-DK" sz="1100" b="0" i="0" baseline="0">
            <a:latin typeface="+mn-lt"/>
            <a:ea typeface="+mn-ea"/>
            <a:cs typeface="+mn-cs"/>
          </a:endParaRPr>
        </a:p>
        <a:p xmlns:a="http://schemas.openxmlformats.org/drawingml/2006/main">
          <a:endParaRPr lang="da-DK" sz="1400" b="0" baseline="-25000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0.14174</cdr:x>
      <cdr:y>0.14741</cdr:y>
    </cdr:from>
    <cdr:to>
      <cdr:x>0.22556</cdr:x>
      <cdr:y>0.22324</cdr:y>
    </cdr:to>
    <cdr:sp macro="" textlink="">
      <cdr:nvSpPr>
        <cdr:cNvPr id="24" name="TextBox 1"/>
        <cdr:cNvSpPr txBox="1"/>
      </cdr:nvSpPr>
      <cdr:spPr>
        <a:xfrm xmlns:a="http://schemas.openxmlformats.org/drawingml/2006/main">
          <a:off x="857250" y="530679"/>
          <a:ext cx="506949" cy="2729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da-DK" sz="1600" b="0" baseline="0"/>
            <a:t>2</a:t>
          </a:r>
          <a:r>
            <a:rPr lang="da-DK" sz="1600" b="0"/>
            <a:t>HO</a:t>
          </a:r>
          <a:r>
            <a:rPr lang="da-DK" sz="1600" b="0" baseline="0"/>
            <a:t> </a:t>
          </a:r>
        </a:p>
      </cdr:txBody>
    </cdr:sp>
  </cdr:relSizeAnchor>
  <cdr:relSizeAnchor xmlns:cdr="http://schemas.openxmlformats.org/drawingml/2006/chartDrawing">
    <cdr:from>
      <cdr:x>0.21374</cdr:x>
      <cdr:y>0.36664</cdr:y>
    </cdr:from>
    <cdr:to>
      <cdr:x>0.34423</cdr:x>
      <cdr:y>0.46869</cdr:y>
    </cdr:to>
    <cdr:sp macro="" textlink="">
      <cdr:nvSpPr>
        <cdr:cNvPr id="25" name="TextBox 1"/>
        <cdr:cNvSpPr txBox="1"/>
      </cdr:nvSpPr>
      <cdr:spPr>
        <a:xfrm xmlns:a="http://schemas.openxmlformats.org/drawingml/2006/main">
          <a:off x="1292678" y="1319894"/>
          <a:ext cx="789213" cy="3673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da-DK" sz="1600" b="0" baseline="30000"/>
            <a:t>3</a:t>
          </a:r>
          <a:r>
            <a:rPr lang="da-DK" sz="1600" b="0"/>
            <a:t>(</a:t>
          </a:r>
          <a:r>
            <a:rPr lang="da-DK" sz="1600" b="0">
              <a:latin typeface="Calibri"/>
            </a:rPr>
            <a:t>H</a:t>
          </a:r>
          <a:r>
            <a:rPr lang="da-DK" sz="1600" b="0" baseline="-25000">
              <a:latin typeface="Calibri"/>
            </a:rPr>
            <a:t>2</a:t>
          </a:r>
          <a:r>
            <a:rPr lang="da-DK" sz="1600" b="0">
              <a:latin typeface="Calibri"/>
            </a:rPr>
            <a:t>O</a:t>
          </a:r>
          <a:r>
            <a:rPr lang="da-DK" sz="1600" b="0" baseline="-25000">
              <a:latin typeface="Calibri"/>
            </a:rPr>
            <a:t>2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S</a:t>
          </a:r>
        </a:p>
      </cdr:txBody>
    </cdr:sp>
  </cdr:relSizeAnchor>
  <cdr:relSizeAnchor xmlns:cdr="http://schemas.openxmlformats.org/drawingml/2006/chartDrawing">
    <cdr:from>
      <cdr:x>0.36223</cdr:x>
      <cdr:y>0.36664</cdr:y>
    </cdr:from>
    <cdr:to>
      <cdr:x>0.46572</cdr:x>
      <cdr:y>0.44979</cdr:y>
    </cdr:to>
    <cdr:sp macro="" textlink="">
      <cdr:nvSpPr>
        <cdr:cNvPr id="26" name="TextBox 1"/>
        <cdr:cNvSpPr txBox="1"/>
      </cdr:nvSpPr>
      <cdr:spPr>
        <a:xfrm xmlns:a="http://schemas.openxmlformats.org/drawingml/2006/main">
          <a:off x="2190751" y="1319892"/>
          <a:ext cx="625926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da-DK" sz="1600" b="0" baseline="30000"/>
            <a:t>3</a:t>
          </a:r>
          <a:r>
            <a:rPr lang="da-DK" sz="1600" b="0"/>
            <a:t>(</a:t>
          </a:r>
          <a:r>
            <a:rPr lang="da-DK" sz="1600" b="0">
              <a:latin typeface="Calibri"/>
            </a:rPr>
            <a:t>TS1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1</a:t>
          </a:r>
        </a:p>
      </cdr:txBody>
    </cdr:sp>
  </cdr:relSizeAnchor>
  <cdr:relSizeAnchor xmlns:cdr="http://schemas.openxmlformats.org/drawingml/2006/chartDrawing">
    <cdr:from>
      <cdr:x>0.60971</cdr:x>
      <cdr:y>0.44223</cdr:y>
    </cdr:from>
    <cdr:to>
      <cdr:x>0.73795</cdr:x>
      <cdr:y>0.52161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3687536" y="1592036"/>
          <a:ext cx="775606" cy="2857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 baseline="30000"/>
            <a:t>3</a:t>
          </a:r>
          <a:r>
            <a:rPr lang="da-DK" sz="1600" b="0"/>
            <a:t>(</a:t>
          </a:r>
          <a:r>
            <a:rPr lang="da-DK" sz="1600" b="0">
              <a:latin typeface="Calibri"/>
            </a:rPr>
            <a:t>TS2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S</a:t>
          </a:r>
        </a:p>
      </cdr:txBody>
    </cdr:sp>
  </cdr:relSizeAnchor>
  <cdr:relSizeAnchor xmlns:cdr="http://schemas.openxmlformats.org/drawingml/2006/chartDrawing">
    <cdr:from>
      <cdr:x>0.62321</cdr:x>
      <cdr:y>0.00756</cdr:y>
    </cdr:from>
    <cdr:to>
      <cdr:x>0.7672</cdr:x>
      <cdr:y>0.09071</cdr:y>
    </cdr:to>
    <cdr:sp macro="" textlink="">
      <cdr:nvSpPr>
        <cdr:cNvPr id="28" name="TextBox 1"/>
        <cdr:cNvSpPr txBox="1"/>
      </cdr:nvSpPr>
      <cdr:spPr>
        <a:xfrm xmlns:a="http://schemas.openxmlformats.org/drawingml/2006/main">
          <a:off x="3769177" y="27215"/>
          <a:ext cx="870856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da-DK" sz="1600" b="0" baseline="30000"/>
            <a:t>3</a:t>
          </a:r>
          <a:r>
            <a:rPr lang="da-DK" sz="1600" b="0"/>
            <a:t>(</a:t>
          </a:r>
          <a:r>
            <a:rPr lang="da-DK" sz="1600" b="0">
              <a:latin typeface="Calibri"/>
            </a:rPr>
            <a:t>TS3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S</a:t>
          </a:r>
        </a:p>
      </cdr:txBody>
    </cdr:sp>
  </cdr:relSizeAnchor>
  <cdr:relSizeAnchor xmlns:cdr="http://schemas.openxmlformats.org/drawingml/2006/chartDrawing">
    <cdr:from>
      <cdr:x>0.50172</cdr:x>
      <cdr:y>0.3364</cdr:y>
    </cdr:from>
    <cdr:to>
      <cdr:x>0.65471</cdr:x>
      <cdr:y>0.43467</cdr:y>
    </cdr:to>
    <cdr:sp macro="" textlink="">
      <cdr:nvSpPr>
        <cdr:cNvPr id="29" name="TextBox 1"/>
        <cdr:cNvSpPr txBox="1"/>
      </cdr:nvSpPr>
      <cdr:spPr>
        <a:xfrm xmlns:a="http://schemas.openxmlformats.org/drawingml/2006/main">
          <a:off x="3034393" y="1211035"/>
          <a:ext cx="925284" cy="3537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 baseline="30000"/>
            <a:t>3</a:t>
          </a:r>
          <a:r>
            <a:rPr lang="da-DK" sz="1600" b="0"/>
            <a:t>(</a:t>
          </a:r>
          <a:r>
            <a:rPr lang="da-DK" sz="1600" b="0">
              <a:latin typeface="Calibri"/>
            </a:rPr>
            <a:t>H</a:t>
          </a:r>
          <a:r>
            <a:rPr lang="da-DK" sz="1600" b="0" baseline="-25000">
              <a:latin typeface="Calibri"/>
            </a:rPr>
            <a:t>2</a:t>
          </a:r>
          <a:r>
            <a:rPr lang="da-DK" sz="1600" b="0">
              <a:latin typeface="Calibri"/>
            </a:rPr>
            <a:t>O</a:t>
          </a:r>
          <a:r>
            <a:rPr lang="da-DK" sz="1600" b="0" baseline="-25000">
              <a:latin typeface="Calibri"/>
            </a:rPr>
            <a:t>2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2h</a:t>
          </a:r>
        </a:p>
      </cdr:txBody>
    </cdr:sp>
  </cdr:relSizeAnchor>
  <cdr:relSizeAnchor xmlns:cdr="http://schemas.openxmlformats.org/drawingml/2006/chartDrawing">
    <cdr:from>
      <cdr:x>0.79645</cdr:x>
      <cdr:y>0.60854</cdr:y>
    </cdr:from>
    <cdr:to>
      <cdr:x>0.95243</cdr:x>
      <cdr:y>0.72508</cdr:y>
    </cdr:to>
    <cdr:sp macro="" textlink="">
      <cdr:nvSpPr>
        <cdr:cNvPr id="30" name="TextBox 1"/>
        <cdr:cNvSpPr txBox="1"/>
      </cdr:nvSpPr>
      <cdr:spPr>
        <a:xfrm xmlns:a="http://schemas.openxmlformats.org/drawingml/2006/main">
          <a:off x="4816929" y="2190750"/>
          <a:ext cx="943366" cy="4195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 baseline="30000"/>
            <a:t>3</a:t>
          </a:r>
          <a:r>
            <a:rPr lang="da-DK" sz="1600" b="0"/>
            <a:t>(</a:t>
          </a:r>
          <a:r>
            <a:rPr lang="da-DK" sz="1600" b="0">
              <a:latin typeface="Calibri"/>
            </a:rPr>
            <a:t>H</a:t>
          </a:r>
          <a:r>
            <a:rPr lang="da-DK" sz="1600" b="0" baseline="-25000">
              <a:latin typeface="Calibri"/>
            </a:rPr>
            <a:t>2</a:t>
          </a:r>
          <a:r>
            <a:rPr lang="da-DK" sz="1600" b="0">
              <a:latin typeface="Calibri"/>
            </a:rPr>
            <a:t>O</a:t>
          </a:r>
          <a:r>
            <a:rPr lang="da-DK" sz="1600" b="0" baseline="-25000">
              <a:latin typeface="Calibri"/>
            </a:rPr>
            <a:t>2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S</a:t>
          </a:r>
        </a:p>
      </cdr:txBody>
    </cdr:sp>
  </cdr:relSizeAnchor>
  <cdr:relSizeAnchor xmlns:cdr="http://schemas.openxmlformats.org/drawingml/2006/chartDrawing">
    <cdr:from>
      <cdr:x>0.7357</cdr:x>
      <cdr:y>0.80887</cdr:y>
    </cdr:from>
    <cdr:to>
      <cdr:x>0.88644</cdr:x>
      <cdr:y>0.90336</cdr:y>
    </cdr:to>
    <cdr:sp macro="" textlink="">
      <cdr:nvSpPr>
        <cdr:cNvPr id="32" name="TextBox 1"/>
        <cdr:cNvSpPr txBox="1"/>
      </cdr:nvSpPr>
      <cdr:spPr>
        <a:xfrm xmlns:a="http://schemas.openxmlformats.org/drawingml/2006/main">
          <a:off x="4449535" y="2911929"/>
          <a:ext cx="911677" cy="3401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a-DK" sz="1600" b="0" baseline="30000"/>
            <a:t>3</a:t>
          </a:r>
          <a:r>
            <a:rPr lang="da-DK" sz="1600" b="0"/>
            <a:t>(</a:t>
          </a:r>
          <a:r>
            <a:rPr lang="da-DK" sz="1600" b="0">
              <a:latin typeface="Calibri"/>
            </a:rPr>
            <a:t>H</a:t>
          </a:r>
          <a:r>
            <a:rPr lang="da-DK" sz="1600" b="0" baseline="-25000">
              <a:latin typeface="Calibri"/>
            </a:rPr>
            <a:t>2</a:t>
          </a:r>
          <a:r>
            <a:rPr lang="da-DK" sz="1600" b="0">
              <a:latin typeface="Calibri"/>
            </a:rPr>
            <a:t>O</a:t>
          </a:r>
          <a:r>
            <a:rPr lang="da-DK" sz="1600" b="0" baseline="-25000">
              <a:latin typeface="Calibri"/>
            </a:rPr>
            <a:t>2</a:t>
          </a:r>
          <a:r>
            <a:rPr lang="da-DK" sz="1600" b="0"/>
            <a:t>)</a:t>
          </a:r>
          <a:r>
            <a:rPr lang="da-DK" sz="1600" b="0" baseline="-25000"/>
            <a:t>C</a:t>
          </a:r>
          <a:r>
            <a:rPr lang="da-DK" sz="1600" b="0" baseline="-50000"/>
            <a:t>1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ds/Desktop/Chemzyme%20project/data/model%20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5"/>
      <sheetName val="Sheet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8">
          <cell r="B158">
            <v>1</v>
          </cell>
          <cell r="C158">
            <v>2</v>
          </cell>
          <cell r="D158">
            <v>3</v>
          </cell>
          <cell r="E158">
            <v>4</v>
          </cell>
          <cell r="F158">
            <v>5</v>
          </cell>
          <cell r="G158">
            <v>6</v>
          </cell>
        </row>
        <row r="160">
          <cell r="A160" t="str">
            <v xml:space="preserve">TS(CA)-RC(CA) </v>
          </cell>
          <cell r="B160">
            <v>30.770557565730996</v>
          </cell>
          <cell r="C160">
            <v>9.5524836938129738</v>
          </cell>
          <cell r="D160">
            <v>-0.62723167205695063</v>
          </cell>
          <cell r="E160">
            <v>-6.9490127920871601</v>
          </cell>
          <cell r="F160">
            <v>1.1399653401458636</v>
          </cell>
          <cell r="G160">
            <v>0.93157949740998447</v>
          </cell>
        </row>
        <row r="161">
          <cell r="A161" t="str">
            <v xml:space="preserve">TS(CB)-RC(CB) </v>
          </cell>
          <cell r="B161">
            <v>22.383952885400504</v>
          </cell>
          <cell r="C161">
            <v>-1.4353864692384377</v>
          </cell>
          <cell r="D161">
            <v>-2.4579132463550195</v>
          </cell>
          <cell r="E161">
            <v>-5.1588689198251814</v>
          </cell>
          <cell r="F161">
            <v>-0.55327136989217252</v>
          </cell>
          <cell r="G161">
            <v>-0.58412098104599863</v>
          </cell>
        </row>
        <row r="162">
          <cell r="A162" t="str">
            <v xml:space="preserve">TS(CC)-RC(CC) </v>
          </cell>
          <cell r="B162">
            <v>16.68795941316057</v>
          </cell>
          <cell r="C162">
            <v>1.5111058556940407</v>
          </cell>
          <cell r="D162">
            <v>-1.6798729210859165</v>
          </cell>
          <cell r="E162">
            <v>-7.3303927533561364</v>
          </cell>
          <cell r="F162">
            <v>-1.1461877723922953</v>
          </cell>
          <cell r="G162">
            <v>-0.12618147442117333</v>
          </cell>
        </row>
        <row r="163">
          <cell r="A163" t="str">
            <v xml:space="preserve">TS(CD)-RC(CD)  </v>
          </cell>
          <cell r="B163">
            <v>-0.69688615621998906</v>
          </cell>
          <cell r="C163">
            <v>0.33244066289626062</v>
          </cell>
          <cell r="D163">
            <v>1.0985349685652182</v>
          </cell>
          <cell r="E163">
            <v>-2.7839476919034496</v>
          </cell>
          <cell r="F163">
            <v>-0.52922180050518364</v>
          </cell>
          <cell r="G163">
            <v>-0.27271056431345642</v>
          </cell>
        </row>
        <row r="170">
          <cell r="D170">
            <v>1</v>
          </cell>
          <cell r="E170">
            <v>2</v>
          </cell>
          <cell r="F170">
            <v>3</v>
          </cell>
          <cell r="G170">
            <v>4</v>
          </cell>
          <cell r="H170">
            <v>5</v>
          </cell>
        </row>
        <row r="172">
          <cell r="C172" t="str">
            <v>CA (RC-&gt;TS)</v>
          </cell>
          <cell r="D172">
            <v>30.770557565730996</v>
          </cell>
          <cell r="E172">
            <v>8.0966918477788568</v>
          </cell>
          <cell r="F172">
            <v>-3.3697174863191321</v>
          </cell>
          <cell r="G172">
            <v>-10.38749996945262</v>
          </cell>
          <cell r="H172">
            <v>-1.058338581235148</v>
          </cell>
        </row>
        <row r="173">
          <cell r="C173" t="str">
            <v>CB (RC-&gt;TS)</v>
          </cell>
          <cell r="D173">
            <v>22.383952885400504</v>
          </cell>
          <cell r="E173">
            <v>-2.7277620165841654</v>
          </cell>
          <cell r="F173">
            <v>-4.6254305683542043</v>
          </cell>
          <cell r="G173">
            <v>-8.8907293375814334</v>
          </cell>
          <cell r="H173">
            <v>-1.6692081446526572</v>
          </cell>
        </row>
        <row r="174">
          <cell r="C174" t="str">
            <v>CC (RC-&gt;TS)</v>
          </cell>
          <cell r="D174">
            <v>16.68795941316057</v>
          </cell>
          <cell r="E174">
            <v>0.82311488932464272</v>
          </cell>
          <cell r="F174">
            <v>-2.7351659236010164</v>
          </cell>
          <cell r="G174">
            <v>-9.6758663865039125</v>
          </cell>
          <cell r="H174">
            <v>-1.1311226604739204</v>
          </cell>
        </row>
        <row r="175">
          <cell r="C175" t="str">
            <v>CD (RC2-&gt;TS)</v>
          </cell>
          <cell r="D175">
            <v>-0.69688615621998906</v>
          </cell>
          <cell r="E175">
            <v>-2.6396765373647213E-2</v>
          </cell>
          <cell r="F175">
            <v>0.14167191716842353</v>
          </cell>
          <cell r="G175">
            <v>-4.1805686706211418</v>
          </cell>
          <cell r="H175">
            <v>-1.5571098462678492</v>
          </cell>
        </row>
        <row r="183">
          <cell r="D183">
            <v>1</v>
          </cell>
          <cell r="E183">
            <v>2</v>
          </cell>
          <cell r="F183">
            <v>3</v>
          </cell>
          <cell r="G183">
            <v>4</v>
          </cell>
        </row>
        <row r="185">
          <cell r="C185" t="str">
            <v>CA (RC-&gt;TS)</v>
          </cell>
          <cell r="D185">
            <v>8.6209041964029893</v>
          </cell>
          <cell r="E185">
            <v>-1.9156873497413471</v>
          </cell>
          <cell r="F185">
            <v>-8.477804007823579</v>
          </cell>
          <cell r="G185">
            <v>-0.55596250621601939</v>
          </cell>
        </row>
        <row r="186">
          <cell r="C186" t="str">
            <v>CB (RC-&gt;TS)</v>
          </cell>
          <cell r="D186">
            <v>-0.85126548819243908</v>
          </cell>
          <cell r="E186">
            <v>-1.9149128278950229</v>
          </cell>
          <cell r="F186">
            <v>-6.3178481229115278</v>
          </cell>
          <cell r="G186">
            <v>4.2963662766851485E-2</v>
          </cell>
        </row>
        <row r="187">
          <cell r="C187" t="str">
            <v>CC (RC-&gt;TS)</v>
          </cell>
          <cell r="D187">
            <v>1.637287330115214</v>
          </cell>
          <cell r="E187">
            <v>-1.830219486146234</v>
          </cell>
          <cell r="F187">
            <v>-7.7560359990457073</v>
          </cell>
          <cell r="G187">
            <v>-0.28644979954697192</v>
          </cell>
        </row>
        <row r="188">
          <cell r="C188" t="str">
            <v>CD (RC2-&gt;TS)</v>
          </cell>
          <cell r="D188">
            <v>0.60515122720971704</v>
          </cell>
          <cell r="E188">
            <v>0.95803927490487695</v>
          </cell>
          <cell r="F188">
            <v>-3.048243532073684</v>
          </cell>
          <cell r="G188">
            <v>-0.3447752563515678</v>
          </cell>
        </row>
        <row r="196">
          <cell r="D196">
            <v>1</v>
          </cell>
          <cell r="E196">
            <v>2</v>
          </cell>
          <cell r="F196">
            <v>3</v>
          </cell>
        </row>
        <row r="198">
          <cell r="C198" t="str">
            <v>CA (RC-&gt;TS)</v>
          </cell>
          <cell r="D198">
            <v>-1.7671970122028142</v>
          </cell>
          <cell r="E198">
            <v>-8.1805135235190392</v>
          </cell>
          <cell r="F198">
            <v>-0.24256458657328039</v>
          </cell>
        </row>
        <row r="199">
          <cell r="C199" t="str">
            <v>CB (RC-&gt;TS)</v>
          </cell>
          <cell r="D199">
            <v>-1.904641876462847</v>
          </cell>
          <cell r="E199">
            <v>-4.850223153247498</v>
          </cell>
          <cell r="F199">
            <v>5.382010038010776E-2</v>
          </cell>
        </row>
        <row r="200">
          <cell r="C200" t="str">
            <v>CC (RC-&gt;TS)</v>
          </cell>
          <cell r="D200">
            <v>-0.53368514869362116</v>
          </cell>
          <cell r="E200">
            <v>-6.3461903827264905</v>
          </cell>
          <cell r="F200">
            <v>-0.22771213948726654</v>
          </cell>
        </row>
        <row r="201">
          <cell r="C201" t="str">
            <v>CD (RC2-&gt;TS)</v>
          </cell>
          <cell r="D201">
            <v>1.6277567690704018</v>
          </cell>
          <cell r="E201">
            <v>-2.3542296717641875</v>
          </cell>
          <cell r="F201">
            <v>1.6456626821309328E-2</v>
          </cell>
        </row>
      </sheetData>
      <sheetData sheetId="12"/>
      <sheetData sheetId="13"/>
      <sheetData sheetId="14"/>
    </sheetDataSet>
  </externalBook>
</externalLink>
</file>

<file path=xl/queryTables/queryTable1.xml><?xml version="1.0" encoding="utf-8"?>
<queryTable xmlns="http://schemas.openxmlformats.org/spreadsheetml/2006/main" name="T_5" connectionId="15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S_6" connectionId="8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_4" connectionId="14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S_5" connectionId="7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S" connectionId="9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T" connectionId="16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5.xml"/><Relationship Id="rId6" Type="http://schemas.openxmlformats.org/officeDocument/2006/relationships/queryTable" Target="../queryTables/queryTable5.xml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719"/>
  <sheetViews>
    <sheetView topLeftCell="N16" zoomScale="70" zoomScaleNormal="70" workbookViewId="0">
      <selection activeCell="AD37" sqref="AD37"/>
    </sheetView>
  </sheetViews>
  <sheetFormatPr defaultRowHeight="15"/>
  <cols>
    <col min="2" max="2" width="16.140625" customWidth="1"/>
    <col min="3" max="3" width="14.5703125" customWidth="1"/>
    <col min="4" max="4" width="16.7109375" customWidth="1"/>
    <col min="5" max="5" width="11.5703125" customWidth="1"/>
    <col min="6" max="6" width="16" customWidth="1"/>
    <col min="7" max="7" width="21.42578125" customWidth="1"/>
    <col min="8" max="8" width="12" customWidth="1"/>
    <col min="9" max="9" width="15.7109375" customWidth="1"/>
    <col min="10" max="10" width="14" customWidth="1"/>
    <col min="11" max="11" width="13.140625" customWidth="1"/>
    <col min="12" max="12" width="14.140625" customWidth="1"/>
    <col min="13" max="13" width="15.85546875" customWidth="1"/>
    <col min="14" max="14" width="19.28515625" customWidth="1"/>
    <col min="15" max="15" width="18.42578125" customWidth="1"/>
    <col min="16" max="16" width="15.42578125" customWidth="1"/>
    <col min="17" max="17" width="12.28515625" bestFit="1" customWidth="1"/>
    <col min="18" max="18" width="15" customWidth="1"/>
    <col min="19" max="19" width="19.42578125" customWidth="1"/>
    <col min="20" max="20" width="18.42578125" customWidth="1"/>
    <col min="21" max="21" width="21.42578125" customWidth="1"/>
    <col min="22" max="22" width="20" customWidth="1"/>
    <col min="23" max="23" width="22.28515625" customWidth="1"/>
    <col min="24" max="24" width="21" customWidth="1"/>
    <col min="25" max="25" width="15.140625" customWidth="1"/>
    <col min="26" max="26" width="13.5703125" customWidth="1"/>
    <col min="27" max="27" width="13.5703125" bestFit="1" customWidth="1"/>
    <col min="28" max="29" width="14.85546875" bestFit="1" customWidth="1"/>
    <col min="30" max="30" width="10.5703125" bestFit="1" customWidth="1"/>
    <col min="31" max="31" width="12.85546875" customWidth="1"/>
    <col min="32" max="32" width="11.28515625" bestFit="1" customWidth="1"/>
    <col min="33" max="33" width="11.140625" customWidth="1"/>
    <col min="34" max="34" width="10.42578125" customWidth="1"/>
    <col min="35" max="36" width="11.42578125" customWidth="1"/>
    <col min="37" max="38" width="11.5703125" customWidth="1"/>
    <col min="39" max="39" width="9.140625" customWidth="1"/>
    <col min="40" max="40" width="15.28515625" customWidth="1"/>
    <col min="41" max="41" width="12.42578125" bestFit="1" customWidth="1"/>
    <col min="42" max="42" width="14.85546875" bestFit="1" customWidth="1"/>
    <col min="43" max="44" width="13.85546875" customWidth="1"/>
    <col min="45" max="45" width="11.140625" customWidth="1"/>
    <col min="46" max="46" width="10.5703125" customWidth="1"/>
    <col min="47" max="47" width="14.85546875" bestFit="1" customWidth="1"/>
    <col min="48" max="48" width="14" customWidth="1"/>
    <col min="49" max="49" width="12" customWidth="1"/>
    <col min="50" max="50" width="20.42578125" customWidth="1"/>
    <col min="52" max="52" width="14.85546875" bestFit="1" customWidth="1"/>
    <col min="53" max="53" width="10.28515625" bestFit="1" customWidth="1"/>
    <col min="54" max="54" width="10" bestFit="1" customWidth="1"/>
  </cols>
  <sheetData>
    <row r="1" spans="2:64" ht="15.75" thickBot="1">
      <c r="G1" s="31" t="s">
        <v>89</v>
      </c>
      <c r="H1" s="32">
        <v>1</v>
      </c>
      <c r="S1" s="15"/>
      <c r="T1" s="15"/>
      <c r="U1" s="15" t="s">
        <v>87</v>
      </c>
      <c r="V1" s="15" t="s">
        <v>87</v>
      </c>
      <c r="W1" s="15" t="s">
        <v>88</v>
      </c>
      <c r="X1" s="15" t="s">
        <v>88</v>
      </c>
      <c r="Y1" s="15" t="s">
        <v>88</v>
      </c>
    </row>
    <row r="2" spans="2:64" ht="15.75" thickBot="1">
      <c r="B2" s="3" t="s">
        <v>12</v>
      </c>
      <c r="C2" s="4">
        <v>1.23</v>
      </c>
      <c r="D2" t="s">
        <v>73</v>
      </c>
      <c r="F2" t="s">
        <v>461</v>
      </c>
      <c r="G2" s="15" t="s">
        <v>4</v>
      </c>
      <c r="H2" s="15" t="s">
        <v>81</v>
      </c>
      <c r="I2" s="15" t="s">
        <v>93</v>
      </c>
      <c r="J2" s="15" t="s">
        <v>83</v>
      </c>
      <c r="K2" s="15" t="s">
        <v>2</v>
      </c>
      <c r="L2" s="15" t="s">
        <v>90</v>
      </c>
      <c r="M2" s="15" t="s">
        <v>80</v>
      </c>
      <c r="N2" s="15" t="s">
        <v>95</v>
      </c>
      <c r="O2" s="15" t="s">
        <v>0</v>
      </c>
      <c r="P2" s="15" t="s">
        <v>1</v>
      </c>
      <c r="Q2" s="15" t="s">
        <v>34</v>
      </c>
      <c r="R2" s="15" t="s">
        <v>16</v>
      </c>
      <c r="S2" s="15" t="s">
        <v>17</v>
      </c>
      <c r="T2" s="15" t="s">
        <v>18</v>
      </c>
      <c r="U2" s="15" t="s">
        <v>11</v>
      </c>
      <c r="V2" s="15" t="s">
        <v>13</v>
      </c>
      <c r="W2" s="15" t="s">
        <v>96</v>
      </c>
      <c r="X2" s="15" t="s">
        <v>100</v>
      </c>
      <c r="Y2" s="15" t="s">
        <v>13</v>
      </c>
    </row>
    <row r="3" spans="2:64" ht="15.75" thickBot="1">
      <c r="B3" s="3" t="s">
        <v>12</v>
      </c>
      <c r="C3">
        <v>7.53</v>
      </c>
      <c r="D3" t="s">
        <v>19</v>
      </c>
      <c r="F3" t="s">
        <v>466</v>
      </c>
      <c r="G3" s="14" t="s">
        <v>3</v>
      </c>
      <c r="H3" s="14" t="s">
        <v>82</v>
      </c>
      <c r="I3" s="14">
        <f>25+273.15</f>
        <v>298.14999999999998</v>
      </c>
      <c r="J3" s="21">
        <v>0.05</v>
      </c>
      <c r="K3" s="33">
        <v>7</v>
      </c>
      <c r="L3" s="21">
        <v>7.8710000000000002E-2</v>
      </c>
      <c r="M3" s="21">
        <v>0.1077</v>
      </c>
      <c r="N3" s="19">
        <f>10^(-(1.824*10^6)/(78.54*I3)^(3/2))*SQRT(M3)</f>
        <v>0.10164503871517848</v>
      </c>
      <c r="O3" s="36">
        <v>9.9000000000000005E-2</v>
      </c>
      <c r="P3" s="14">
        <v>122.37</v>
      </c>
      <c r="Q3" s="21">
        <v>0</v>
      </c>
      <c r="R3" s="35">
        <v>3.628E-2</v>
      </c>
      <c r="S3" s="35">
        <v>17400</v>
      </c>
      <c r="T3" s="19">
        <f t="shared" ref="T3:T33" si="0">R3/S3</f>
        <v>2.0850574712643676E-6</v>
      </c>
      <c r="U3" s="21">
        <v>1.077E-6</v>
      </c>
      <c r="V3" s="19">
        <f>U3/($C$2)</f>
        <v>8.75609756097561E-7</v>
      </c>
      <c r="W3" s="19">
        <f>T3/(P3*$C$2*N3)</f>
        <v>1.3628616564521617E-7</v>
      </c>
      <c r="X3" s="19">
        <f>T3/($C$2*N3)</f>
        <v>1.6677338090005102E-5</v>
      </c>
      <c r="Y3" s="19">
        <f>T3/($C$2)</f>
        <v>1.6951686758246891E-6</v>
      </c>
    </row>
    <row r="4" spans="2:64" ht="15.75" thickBot="1">
      <c r="F4" t="s">
        <v>466</v>
      </c>
      <c r="G4" s="14" t="s">
        <v>3</v>
      </c>
      <c r="H4" s="14" t="s">
        <v>82</v>
      </c>
      <c r="I4" s="14">
        <f t="shared" ref="I4:I33" si="1">25+273.15</f>
        <v>298.14999999999998</v>
      </c>
      <c r="J4" s="21">
        <v>0.05</v>
      </c>
      <c r="K4" s="33">
        <v>7</v>
      </c>
      <c r="L4" s="21">
        <v>7.8710000000000002E-2</v>
      </c>
      <c r="M4" s="21">
        <v>0.1077</v>
      </c>
      <c r="N4" s="19">
        <f t="shared" ref="N4:N33" si="2">10^(-(1.824*10^6)/(78.54*I4)^(3/2))*SQRT(M4)</f>
        <v>0.10164503871517848</v>
      </c>
      <c r="O4" s="36">
        <v>0.49</v>
      </c>
      <c r="P4" s="14">
        <v>122.37</v>
      </c>
      <c r="Q4" s="21">
        <v>0</v>
      </c>
      <c r="R4" s="35">
        <v>0.1144</v>
      </c>
      <c r="S4" s="35">
        <v>23790</v>
      </c>
      <c r="T4" s="19">
        <f t="shared" si="0"/>
        <v>4.8087431693989072E-6</v>
      </c>
      <c r="U4" s="21">
        <v>3.7160000000000001E-6</v>
      </c>
      <c r="V4" s="19">
        <f t="shared" ref="V4:V33" si="3">U4/($C$2)</f>
        <v>3.0211382113821139E-6</v>
      </c>
      <c r="W4" s="19">
        <f t="shared" ref="W4:W33" si="4">T4/(P4*$C$2*N4)</f>
        <v>3.1431515781317591E-7</v>
      </c>
      <c r="X4" s="19">
        <f t="shared" ref="X4:X33" si="5">T4/($C$2*N4)</f>
        <v>3.8462745861598339E-5</v>
      </c>
      <c r="Y4" s="19">
        <f t="shared" ref="Y4:Y33" si="6">T4/($C$2)</f>
        <v>3.9095472921942336E-6</v>
      </c>
      <c r="BK4" s="2"/>
    </row>
    <row r="5" spans="2:64">
      <c r="F5" t="s">
        <v>466</v>
      </c>
      <c r="G5" s="14" t="s">
        <v>3</v>
      </c>
      <c r="H5" s="14" t="s">
        <v>82</v>
      </c>
      <c r="I5" s="14">
        <f t="shared" si="1"/>
        <v>298.14999999999998</v>
      </c>
      <c r="J5" s="21">
        <v>0.05</v>
      </c>
      <c r="K5" s="33">
        <v>7</v>
      </c>
      <c r="L5" s="21">
        <v>7.8710000000000002E-2</v>
      </c>
      <c r="M5" s="21">
        <v>0.1077</v>
      </c>
      <c r="N5" s="19">
        <f t="shared" si="2"/>
        <v>0.10164503871517848</v>
      </c>
      <c r="O5" s="36">
        <v>0.99</v>
      </c>
      <c r="P5" s="14">
        <v>122.37</v>
      </c>
      <c r="Q5" s="21">
        <v>0</v>
      </c>
      <c r="R5" s="35">
        <v>0.16420000000000001</v>
      </c>
      <c r="S5" s="35">
        <v>25600</v>
      </c>
      <c r="T5" s="19">
        <f t="shared" si="0"/>
        <v>6.4140625000000009E-6</v>
      </c>
      <c r="U5" s="21">
        <v>5.0769999999999998E-6</v>
      </c>
      <c r="V5" s="19">
        <f t="shared" si="3"/>
        <v>4.127642276422764E-6</v>
      </c>
      <c r="W5" s="19">
        <f t="shared" si="4"/>
        <v>4.192440718690074E-7</v>
      </c>
      <c r="X5" s="19">
        <f t="shared" si="5"/>
        <v>5.1302897074610435E-5</v>
      </c>
      <c r="Y5" s="19">
        <f t="shared" si="6"/>
        <v>5.2146849593495946E-6</v>
      </c>
      <c r="AT5" s="22" t="s">
        <v>451</v>
      </c>
      <c r="AU5" s="25" t="s">
        <v>43</v>
      </c>
      <c r="AV5" s="25" t="s">
        <v>269</v>
      </c>
      <c r="AW5" s="26" t="s">
        <v>270</v>
      </c>
      <c r="AX5" s="22" t="s">
        <v>452</v>
      </c>
      <c r="AY5" s="25" t="s">
        <v>43</v>
      </c>
      <c r="AZ5" s="25" t="s">
        <v>269</v>
      </c>
      <c r="BA5" s="26" t="s">
        <v>270</v>
      </c>
      <c r="BI5" s="13"/>
      <c r="BJ5" s="13"/>
      <c r="BK5" s="18"/>
    </row>
    <row r="6" spans="2:64">
      <c r="F6" t="s">
        <v>466</v>
      </c>
      <c r="G6" s="14" t="s">
        <v>3</v>
      </c>
      <c r="H6" s="14" t="s">
        <v>82</v>
      </c>
      <c r="I6" s="14">
        <f t="shared" si="1"/>
        <v>298.14999999999998</v>
      </c>
      <c r="J6" s="21">
        <v>0.05</v>
      </c>
      <c r="K6" s="33">
        <v>7</v>
      </c>
      <c r="L6" s="21">
        <v>7.8710000000000002E-2</v>
      </c>
      <c r="M6" s="21">
        <v>0.1077</v>
      </c>
      <c r="N6" s="19">
        <f t="shared" si="2"/>
        <v>0.10164503871517848</v>
      </c>
      <c r="O6" s="36">
        <v>2.46</v>
      </c>
      <c r="P6" s="14">
        <v>122.37</v>
      </c>
      <c r="Q6" s="21">
        <v>0</v>
      </c>
      <c r="R6" s="35">
        <v>0.21740000000000001</v>
      </c>
      <c r="S6" s="35">
        <v>24080</v>
      </c>
      <c r="T6" s="19">
        <f t="shared" si="0"/>
        <v>9.0282392026578074E-6</v>
      </c>
      <c r="U6" s="21">
        <v>7.075E-6</v>
      </c>
      <c r="V6" s="19">
        <f t="shared" si="3"/>
        <v>5.7520325203252034E-6</v>
      </c>
      <c r="W6" s="19">
        <f t="shared" si="4"/>
        <v>5.9011519846114056E-7</v>
      </c>
      <c r="X6" s="19">
        <f t="shared" si="5"/>
        <v>7.2212396835689776E-5</v>
      </c>
      <c r="Y6" s="19">
        <f t="shared" si="6"/>
        <v>7.3400318720795182E-6</v>
      </c>
      <c r="AT6" s="72" t="s">
        <v>271</v>
      </c>
      <c r="AU6" s="34">
        <v>0.56940000000000002</v>
      </c>
      <c r="AV6" s="34">
        <v>7.4839999999999998E-6</v>
      </c>
      <c r="AW6" s="77">
        <v>1.1019999999999999E-7</v>
      </c>
      <c r="AX6" s="72" t="s">
        <v>271</v>
      </c>
      <c r="AY6" s="8">
        <v>0.70989999999999998</v>
      </c>
      <c r="AZ6" s="34">
        <v>1.679E-5</v>
      </c>
      <c r="BA6" s="77">
        <v>1.029E-6</v>
      </c>
      <c r="BI6" s="13"/>
      <c r="BJ6" s="13"/>
      <c r="BK6" s="18"/>
    </row>
    <row r="7" spans="2:64" ht="15.75" thickBot="1">
      <c r="F7" t="s">
        <v>466</v>
      </c>
      <c r="G7" s="55" t="s">
        <v>3</v>
      </c>
      <c r="H7" s="55" t="s">
        <v>82</v>
      </c>
      <c r="I7" s="55">
        <f t="shared" si="1"/>
        <v>298.14999999999998</v>
      </c>
      <c r="J7" s="56">
        <v>0.05</v>
      </c>
      <c r="K7" s="63">
        <v>7</v>
      </c>
      <c r="L7" s="56">
        <v>7.8710000000000002E-2</v>
      </c>
      <c r="M7" s="56">
        <v>0.1077</v>
      </c>
      <c r="N7" s="19">
        <f t="shared" si="2"/>
        <v>0.10164503871517848</v>
      </c>
      <c r="O7" s="57">
        <v>9.85</v>
      </c>
      <c r="P7" s="55">
        <v>122.37</v>
      </c>
      <c r="Q7" s="56">
        <v>0</v>
      </c>
      <c r="R7" s="64">
        <v>0.37309999999999999</v>
      </c>
      <c r="S7" s="64">
        <v>33170</v>
      </c>
      <c r="T7" s="60">
        <f t="shared" si="0"/>
        <v>1.1248115767259572E-5</v>
      </c>
      <c r="U7" s="56">
        <v>9.3090000000000001E-6</v>
      </c>
      <c r="V7" s="19">
        <f t="shared" si="3"/>
        <v>7.5682926829268298E-6</v>
      </c>
      <c r="W7" s="60">
        <f t="shared" si="4"/>
        <v>7.3521358033537824E-7</v>
      </c>
      <c r="X7" s="19">
        <f t="shared" si="5"/>
        <v>8.9968085825640231E-5</v>
      </c>
      <c r="Y7" s="19">
        <f t="shared" si="6"/>
        <v>9.1448095668777001E-6</v>
      </c>
      <c r="AT7" s="72" t="s">
        <v>272</v>
      </c>
      <c r="AU7" s="8">
        <v>0.69850000000000001</v>
      </c>
      <c r="AV7" s="34">
        <v>8.3979999999999999E-6</v>
      </c>
      <c r="AW7" s="73"/>
      <c r="AX7" s="72"/>
      <c r="BI7" s="13"/>
      <c r="BJ7" s="13"/>
      <c r="BK7" s="18"/>
    </row>
    <row r="8" spans="2:64" ht="15.75" thickBot="1">
      <c r="F8" t="s">
        <v>466</v>
      </c>
      <c r="G8" s="40" t="s">
        <v>5</v>
      </c>
      <c r="H8" s="40" t="s">
        <v>82</v>
      </c>
      <c r="I8" s="40">
        <f t="shared" si="1"/>
        <v>298.14999999999998</v>
      </c>
      <c r="J8" s="41">
        <v>0.05</v>
      </c>
      <c r="K8" s="62">
        <v>7</v>
      </c>
      <c r="L8" s="41">
        <v>7.8710000000000002E-2</v>
      </c>
      <c r="M8" s="41">
        <v>0.1077</v>
      </c>
      <c r="N8" s="19">
        <f t="shared" si="2"/>
        <v>0.10164503871517848</v>
      </c>
      <c r="O8" s="42">
        <v>9.9000000000000005E-2</v>
      </c>
      <c r="P8" s="40">
        <v>122.37</v>
      </c>
      <c r="Q8" s="41">
        <v>0</v>
      </c>
      <c r="R8" s="53">
        <v>1.9990000000000001E-2</v>
      </c>
      <c r="S8" s="53">
        <v>9685</v>
      </c>
      <c r="T8" s="45">
        <f t="shared" si="0"/>
        <v>2.0640165203923595E-6</v>
      </c>
      <c r="U8" s="41">
        <v>1.742E-6</v>
      </c>
      <c r="V8" s="19">
        <f t="shared" si="3"/>
        <v>1.4162601626016261E-6</v>
      </c>
      <c r="W8" s="45">
        <f t="shared" si="4"/>
        <v>1.3491086038126272E-7</v>
      </c>
      <c r="X8" s="19">
        <f t="shared" si="5"/>
        <v>1.6509041984855118E-5</v>
      </c>
      <c r="Y8" s="19">
        <f t="shared" si="6"/>
        <v>1.6780622117011054E-6</v>
      </c>
      <c r="AH8" s="2"/>
      <c r="AI8" s="2"/>
      <c r="AJ8" s="2"/>
      <c r="AK8" s="2"/>
      <c r="AT8" s="23"/>
      <c r="AU8" s="28"/>
      <c r="AV8" s="28"/>
      <c r="AW8" s="30"/>
      <c r="AX8" s="23"/>
      <c r="AY8" s="28"/>
      <c r="AZ8" s="28"/>
      <c r="BA8" s="30"/>
      <c r="BI8" s="13"/>
      <c r="BJ8" s="13"/>
      <c r="BK8" s="18"/>
    </row>
    <row r="9" spans="2:64">
      <c r="F9" t="s">
        <v>466</v>
      </c>
      <c r="G9" s="14" t="s">
        <v>5</v>
      </c>
      <c r="H9" s="14" t="s">
        <v>82</v>
      </c>
      <c r="I9" s="14">
        <f t="shared" si="1"/>
        <v>298.14999999999998</v>
      </c>
      <c r="J9" s="21">
        <v>0.05</v>
      </c>
      <c r="K9" s="33">
        <v>7</v>
      </c>
      <c r="L9" s="21">
        <v>7.8710000000000002E-2</v>
      </c>
      <c r="M9" s="21">
        <v>0.1077</v>
      </c>
      <c r="N9" s="19">
        <f t="shared" si="2"/>
        <v>0.10164503871517848</v>
      </c>
      <c r="O9" s="36">
        <v>0.49</v>
      </c>
      <c r="P9" s="14">
        <v>122.37</v>
      </c>
      <c r="Q9" s="21">
        <v>0</v>
      </c>
      <c r="R9" s="35">
        <v>0.15060000000000001</v>
      </c>
      <c r="S9" s="35">
        <v>29400</v>
      </c>
      <c r="T9" s="19">
        <f t="shared" si="0"/>
        <v>5.1224489795918374E-6</v>
      </c>
      <c r="U9" s="21">
        <v>4.6140000000000002E-6</v>
      </c>
      <c r="V9" s="19">
        <f t="shared" si="3"/>
        <v>3.7512195121951223E-6</v>
      </c>
      <c r="W9" s="19">
        <f t="shared" si="4"/>
        <v>3.3481999405919787E-7</v>
      </c>
      <c r="X9" s="19">
        <f t="shared" si="5"/>
        <v>4.0971922673024042E-5</v>
      </c>
      <c r="Y9" s="19">
        <f t="shared" si="6"/>
        <v>4.1645926663348272E-6</v>
      </c>
      <c r="AH9" s="2"/>
      <c r="AI9" s="2"/>
      <c r="AJ9" s="2"/>
      <c r="AK9" s="2"/>
      <c r="AM9" t="s">
        <v>465</v>
      </c>
      <c r="AU9" s="2"/>
      <c r="AV9" s="2"/>
      <c r="AW9" s="2"/>
      <c r="BI9" s="13"/>
      <c r="BJ9" s="13"/>
      <c r="BK9" s="18"/>
    </row>
    <row r="10" spans="2:64">
      <c r="F10" t="s">
        <v>466</v>
      </c>
      <c r="G10" s="14" t="s">
        <v>5</v>
      </c>
      <c r="H10" s="14" t="s">
        <v>82</v>
      </c>
      <c r="I10" s="14">
        <f t="shared" si="1"/>
        <v>298.14999999999998</v>
      </c>
      <c r="J10" s="21">
        <v>0.05</v>
      </c>
      <c r="K10" s="33">
        <v>7</v>
      </c>
      <c r="L10" s="21">
        <v>7.8710000000000002E-2</v>
      </c>
      <c r="M10" s="21">
        <v>0.1077</v>
      </c>
      <c r="N10" s="19">
        <f t="shared" si="2"/>
        <v>0.10164503871517848</v>
      </c>
      <c r="O10" s="36">
        <v>0.99</v>
      </c>
      <c r="P10" s="14">
        <v>122.37</v>
      </c>
      <c r="Q10" s="21">
        <v>0</v>
      </c>
      <c r="R10" s="35">
        <v>0.28670000000000001</v>
      </c>
      <c r="S10" s="35">
        <v>38610</v>
      </c>
      <c r="T10" s="19">
        <f t="shared" si="0"/>
        <v>7.4255374255374255E-6</v>
      </c>
      <c r="U10" s="21">
        <v>6.8539999999999999E-6</v>
      </c>
      <c r="V10" s="19">
        <f t="shared" si="3"/>
        <v>5.5723577235772354E-6</v>
      </c>
      <c r="W10" s="19">
        <f t="shared" si="4"/>
        <v>4.8535737624914258E-7</v>
      </c>
      <c r="X10" s="19">
        <f t="shared" si="5"/>
        <v>5.9393182131607585E-5</v>
      </c>
      <c r="Y10" s="19">
        <f t="shared" si="6"/>
        <v>6.0370222971848987E-6</v>
      </c>
      <c r="AH10" s="2"/>
      <c r="AI10" s="2"/>
      <c r="AJ10" s="2"/>
      <c r="AK10" s="2"/>
      <c r="AM10" t="s">
        <v>98</v>
      </c>
      <c r="AN10" t="str">
        <f>G3</f>
        <v>BnOH_uncat_001</v>
      </c>
      <c r="AO10" t="str">
        <f>G8</f>
        <v>BnOH_uncat_002</v>
      </c>
      <c r="AP10" t="str">
        <f>G13</f>
        <v>BnOH_uncat_003</v>
      </c>
      <c r="AQ10" t="s">
        <v>14</v>
      </c>
      <c r="AR10" t="s">
        <v>15</v>
      </c>
      <c r="AS10" t="s">
        <v>268</v>
      </c>
      <c r="AT10" t="s">
        <v>450</v>
      </c>
      <c r="AU10" t="s">
        <v>468</v>
      </c>
      <c r="BI10" s="13"/>
      <c r="BJ10" s="13"/>
      <c r="BK10" s="18"/>
    </row>
    <row r="11" spans="2:64">
      <c r="F11" t="s">
        <v>466</v>
      </c>
      <c r="G11" s="14" t="s">
        <v>5</v>
      </c>
      <c r="H11" s="14" t="s">
        <v>82</v>
      </c>
      <c r="I11" s="14">
        <f t="shared" si="1"/>
        <v>298.14999999999998</v>
      </c>
      <c r="J11" s="21">
        <v>0.05</v>
      </c>
      <c r="K11" s="33">
        <v>7</v>
      </c>
      <c r="L11" s="21">
        <v>7.8710000000000002E-2</v>
      </c>
      <c r="M11" s="21">
        <v>0.1077</v>
      </c>
      <c r="N11" s="19">
        <f t="shared" si="2"/>
        <v>0.10164503871517848</v>
      </c>
      <c r="O11" s="36">
        <v>2.46</v>
      </c>
      <c r="P11" s="14">
        <v>122.37</v>
      </c>
      <c r="Q11" s="21">
        <v>0</v>
      </c>
      <c r="R11" s="35">
        <v>0.3705</v>
      </c>
      <c r="S11" s="35">
        <v>42630</v>
      </c>
      <c r="T11" s="19">
        <f t="shared" si="0"/>
        <v>8.6910626319493318E-6</v>
      </c>
      <c r="U11" s="21">
        <v>7.7309999999999993E-6</v>
      </c>
      <c r="V11" s="19">
        <f t="shared" si="3"/>
        <v>6.2853658536585365E-6</v>
      </c>
      <c r="W11" s="19">
        <f t="shared" si="4"/>
        <v>5.6807623665765808E-7</v>
      </c>
      <c r="X11" s="19">
        <f t="shared" si="5"/>
        <v>6.9515489079797617E-5</v>
      </c>
      <c r="Y11" s="19">
        <f t="shared" si="6"/>
        <v>7.0659045788205952E-6</v>
      </c>
      <c r="AM11" s="13">
        <f>O3</f>
        <v>9.9000000000000005E-2</v>
      </c>
      <c r="AN11" s="2">
        <f>V3</f>
        <v>8.75609756097561E-7</v>
      </c>
      <c r="AO11" s="2">
        <f>V8</f>
        <v>1.4162601626016261E-6</v>
      </c>
      <c r="AP11" s="2">
        <f>V13</f>
        <v>1.0674796747967479E-6</v>
      </c>
      <c r="AQ11" s="2">
        <f>(AN11+AO11+AP11)/3</f>
        <v>1.1197831978319784E-6</v>
      </c>
      <c r="AR11">
        <f>SQRT(0.5*((AN11-AQ11)^2+(AO11-AQ11)^2+(AP11-AQ11)^2))</f>
        <v>2.7409388793746452E-7</v>
      </c>
      <c r="AS11">
        <f t="shared" ref="AS11:AS16" si="7">1/AR11</f>
        <v>3648384.8929464398</v>
      </c>
      <c r="AT11">
        <f>AR11/2</f>
        <v>1.3704694396873226E-7</v>
      </c>
      <c r="AU11" s="2">
        <v>1.4300000000000001E-6</v>
      </c>
      <c r="BI11" s="13"/>
      <c r="BJ11" s="13"/>
      <c r="BK11" s="18"/>
    </row>
    <row r="12" spans="2:64" ht="15.75" thickBot="1">
      <c r="F12" t="s">
        <v>466</v>
      </c>
      <c r="G12" s="55" t="s">
        <v>5</v>
      </c>
      <c r="H12" s="55" t="s">
        <v>82</v>
      </c>
      <c r="I12" s="55">
        <f t="shared" si="1"/>
        <v>298.14999999999998</v>
      </c>
      <c r="J12" s="56">
        <v>0.05</v>
      </c>
      <c r="K12" s="63">
        <v>7</v>
      </c>
      <c r="L12" s="56">
        <v>7.8710000000000002E-2</v>
      </c>
      <c r="M12" s="56">
        <v>0.1077</v>
      </c>
      <c r="N12" s="19">
        <f t="shared" si="2"/>
        <v>0.10164503871517848</v>
      </c>
      <c r="O12" s="57">
        <v>9.85</v>
      </c>
      <c r="P12" s="55">
        <v>122.37</v>
      </c>
      <c r="Q12" s="56">
        <v>0</v>
      </c>
      <c r="R12" s="64">
        <v>0.7107</v>
      </c>
      <c r="S12" s="64">
        <v>65230</v>
      </c>
      <c r="T12" s="60">
        <f t="shared" si="0"/>
        <v>1.0895293576575195E-5</v>
      </c>
      <c r="U12" s="56">
        <v>1.0200000000000001E-5</v>
      </c>
      <c r="V12" s="19">
        <f t="shared" si="3"/>
        <v>8.2926829268292685E-6</v>
      </c>
      <c r="W12" s="60">
        <f t="shared" si="4"/>
        <v>7.1215196971523513E-7</v>
      </c>
      <c r="X12" s="19">
        <f t="shared" si="5"/>
        <v>8.7146036534053325E-5</v>
      </c>
      <c r="Y12" s="19">
        <f t="shared" si="6"/>
        <v>8.8579622573782065E-6</v>
      </c>
      <c r="AF12" s="2"/>
      <c r="AG12" s="2"/>
      <c r="AH12" s="2"/>
      <c r="AI12" s="2"/>
      <c r="AJ12" s="2"/>
      <c r="AM12" s="13">
        <f>O4</f>
        <v>0.49</v>
      </c>
      <c r="AN12" s="2">
        <f>V4</f>
        <v>3.0211382113821139E-6</v>
      </c>
      <c r="AO12" s="2">
        <f>V9</f>
        <v>3.7512195121951223E-6</v>
      </c>
      <c r="AP12" s="2">
        <f>V14</f>
        <v>3.8317073170731704E-6</v>
      </c>
      <c r="AQ12" s="2">
        <f>(AN12+AO12+AP12)/3</f>
        <v>3.534688346883469E-6</v>
      </c>
      <c r="AR12">
        <f>SQRT(0.5*((AN12-AQ12)^2+(AO12-AQ12)^2+(AP12-AQ12)^2))</f>
        <v>4.465645283031521E-7</v>
      </c>
      <c r="AS12">
        <f t="shared" si="7"/>
        <v>2239318.0304754213</v>
      </c>
      <c r="AT12">
        <f>AR12/2</f>
        <v>2.2328226415157605E-7</v>
      </c>
      <c r="AU12" s="2">
        <v>1.4300000000000001E-6</v>
      </c>
      <c r="AX12" t="s">
        <v>70</v>
      </c>
      <c r="AY12" t="s">
        <v>271</v>
      </c>
      <c r="AZ12" t="s">
        <v>272</v>
      </c>
      <c r="BA12" t="s">
        <v>273</v>
      </c>
      <c r="BI12" s="13"/>
      <c r="BJ12" s="13"/>
      <c r="BK12" s="18"/>
    </row>
    <row r="13" spans="2:64">
      <c r="F13" t="s">
        <v>466</v>
      </c>
      <c r="G13" s="40" t="s">
        <v>6</v>
      </c>
      <c r="H13" s="40" t="s">
        <v>82</v>
      </c>
      <c r="I13" s="40">
        <f t="shared" si="1"/>
        <v>298.14999999999998</v>
      </c>
      <c r="J13" s="41">
        <v>0.05</v>
      </c>
      <c r="K13" s="62">
        <v>7</v>
      </c>
      <c r="L13" s="41">
        <v>7.8710000000000002E-2</v>
      </c>
      <c r="M13" s="41">
        <v>0.1077</v>
      </c>
      <c r="N13" s="19">
        <f t="shared" si="2"/>
        <v>0.10164503871517848</v>
      </c>
      <c r="O13" s="42">
        <v>9.9000000000000005E-2</v>
      </c>
      <c r="P13" s="40">
        <v>122.37</v>
      </c>
      <c r="Q13" s="41">
        <v>0</v>
      </c>
      <c r="R13" s="53">
        <v>4.5179999999999998E-2</v>
      </c>
      <c r="S13" s="53">
        <v>29250</v>
      </c>
      <c r="T13" s="45">
        <f t="shared" si="0"/>
        <v>1.5446153846153846E-6</v>
      </c>
      <c r="U13" s="41">
        <v>1.313E-6</v>
      </c>
      <c r="V13" s="19">
        <f t="shared" si="3"/>
        <v>1.0674796747967479E-6</v>
      </c>
      <c r="W13" s="45">
        <f t="shared" si="4"/>
        <v>1.0096110590092733E-7</v>
      </c>
      <c r="X13" s="19">
        <f t="shared" si="5"/>
        <v>1.2354610529096479E-5</v>
      </c>
      <c r="Y13" s="19">
        <f t="shared" si="6"/>
        <v>1.255784865540963E-6</v>
      </c>
      <c r="AC13" s="2"/>
      <c r="AD13" s="2"/>
      <c r="AF13" s="2"/>
      <c r="AG13" s="2"/>
      <c r="AH13" s="2"/>
      <c r="AI13" s="2"/>
      <c r="AJ13" s="2"/>
      <c r="AM13" s="13">
        <f>O5</f>
        <v>0.99</v>
      </c>
      <c r="AN13" s="2">
        <f>V5</f>
        <v>4.127642276422764E-6</v>
      </c>
      <c r="AO13" s="2">
        <f>V10</f>
        <v>5.5723577235772354E-6</v>
      </c>
      <c r="AP13" s="2">
        <f>V15</f>
        <v>6.0487804878048783E-6</v>
      </c>
      <c r="AQ13" s="2">
        <f>(AN13+AO13+AP13)/3</f>
        <v>5.2495934959349595E-6</v>
      </c>
      <c r="AR13" s="2">
        <f>SQRT(0.5*((AN13-AQ13)^2+(AO13-AQ13)^2+(AP13-AQ13)^2))/2</f>
        <v>5.0020634911810492E-7</v>
      </c>
      <c r="AS13">
        <f t="shared" si="7"/>
        <v>1999174.9440267254</v>
      </c>
      <c r="AT13">
        <f>AR13/2</f>
        <v>2.5010317455905246E-7</v>
      </c>
      <c r="AU13" s="2">
        <v>1.4300000000000001E-6</v>
      </c>
      <c r="AX13">
        <v>0</v>
      </c>
      <c r="AY13" s="2">
        <f t="shared" ref="AY13:AY44" si="8">($AV$6*AX13)/($AU$6+AX13)+AX13*$AW$6</f>
        <v>0</v>
      </c>
      <c r="AZ13" s="2">
        <f>($AV$7*AX13)/($AU$7+AX13)</f>
        <v>0</v>
      </c>
      <c r="BA13" s="2">
        <f>($AZ$6*AX13)/($AY$6+AX13)+AX13*$BA$6</f>
        <v>0</v>
      </c>
    </row>
    <row r="14" spans="2:64" ht="15.75" thickBot="1">
      <c r="F14" t="s">
        <v>466</v>
      </c>
      <c r="G14" s="14" t="s">
        <v>6</v>
      </c>
      <c r="H14" s="14" t="s">
        <v>82</v>
      </c>
      <c r="I14" s="14">
        <f t="shared" si="1"/>
        <v>298.14999999999998</v>
      </c>
      <c r="J14" s="21">
        <v>0.05</v>
      </c>
      <c r="K14" s="33">
        <v>7</v>
      </c>
      <c r="L14" s="21">
        <v>7.8710000000000002E-2</v>
      </c>
      <c r="M14" s="21">
        <v>0.1077</v>
      </c>
      <c r="N14" s="19">
        <f t="shared" si="2"/>
        <v>0.10164503871517848</v>
      </c>
      <c r="O14" s="36">
        <v>0.49</v>
      </c>
      <c r="P14" s="14">
        <v>122.37</v>
      </c>
      <c r="Q14" s="21">
        <v>0</v>
      </c>
      <c r="R14" s="35">
        <v>0.17780000000000001</v>
      </c>
      <c r="S14" s="35">
        <v>34740</v>
      </c>
      <c r="T14" s="19">
        <f t="shared" si="0"/>
        <v>5.1180195739781237E-6</v>
      </c>
      <c r="U14" s="21">
        <v>4.7129999999999996E-6</v>
      </c>
      <c r="V14" s="19">
        <f t="shared" si="3"/>
        <v>3.8317073170731704E-6</v>
      </c>
      <c r="W14" s="19">
        <f t="shared" si="4"/>
        <v>3.3453047364285442E-7</v>
      </c>
      <c r="X14" s="19">
        <f t="shared" si="5"/>
        <v>4.0936494059676094E-5</v>
      </c>
      <c r="Y14" s="19">
        <f t="shared" si="6"/>
        <v>4.1609915235594503E-6</v>
      </c>
      <c r="AE14" s="2"/>
      <c r="AF14" s="2"/>
      <c r="AG14" s="2"/>
      <c r="AH14" s="2"/>
      <c r="AI14" s="2"/>
      <c r="AJ14" s="2"/>
      <c r="AM14" s="13">
        <f>O6</f>
        <v>2.46</v>
      </c>
      <c r="AN14" s="2">
        <f>V6</f>
        <v>5.7520325203252034E-6</v>
      </c>
      <c r="AO14" s="2">
        <f>V11</f>
        <v>6.2853658536585365E-6</v>
      </c>
      <c r="AP14" s="2">
        <f>V16</f>
        <v>6.3073170731707315E-6</v>
      </c>
      <c r="AQ14" s="2">
        <f>(AN14+AO14+AP14)/3</f>
        <v>6.1149051490514907E-6</v>
      </c>
      <c r="AR14">
        <f>SQRT(0.5*((AN14-AQ14)^2+(AO14-AQ14)^2+(AP14-AQ14)^2))</f>
        <v>3.144485212535789E-7</v>
      </c>
      <c r="AS14">
        <f t="shared" si="7"/>
        <v>3180170.78284676</v>
      </c>
      <c r="AT14">
        <f>AR14/2</f>
        <v>1.5722426062678945E-7</v>
      </c>
      <c r="AU14" s="2">
        <v>1.4300000000000001E-6</v>
      </c>
      <c r="AX14">
        <v>0.1</v>
      </c>
      <c r="AY14" s="2">
        <f t="shared" si="8"/>
        <v>1.1290361338512099E-6</v>
      </c>
      <c r="AZ14" s="2">
        <f t="shared" ref="AZ14:AZ77" si="9">($AV$7*AX14)/($AU$7+AX14)</f>
        <v>1.0517219787100814E-6</v>
      </c>
      <c r="BA14" s="2">
        <f t="shared" ref="BA14:BA77" si="10">($AZ$6*AX14)/($AY$6+AX14)+AX14*$BA$6</f>
        <v>2.1759954438819609E-6</v>
      </c>
    </row>
    <row r="15" spans="2:64">
      <c r="B15" s="22" t="s">
        <v>126</v>
      </c>
      <c r="C15" s="26">
        <v>6.7</v>
      </c>
      <c r="F15" t="s">
        <v>466</v>
      </c>
      <c r="G15" s="14" t="s">
        <v>6</v>
      </c>
      <c r="H15" s="14" t="s">
        <v>82</v>
      </c>
      <c r="I15" s="14">
        <f t="shared" si="1"/>
        <v>298.14999999999998</v>
      </c>
      <c r="J15" s="21">
        <v>0.05</v>
      </c>
      <c r="K15" s="33">
        <v>7</v>
      </c>
      <c r="L15" s="21">
        <v>7.8710000000000002E-2</v>
      </c>
      <c r="M15" s="21">
        <v>0.1077</v>
      </c>
      <c r="N15" s="19">
        <f t="shared" si="2"/>
        <v>0.10164503871517848</v>
      </c>
      <c r="O15" s="36">
        <v>0.99</v>
      </c>
      <c r="P15" s="14">
        <v>122.37</v>
      </c>
      <c r="Q15" s="21">
        <v>0</v>
      </c>
      <c r="R15" s="35">
        <v>0.27629999999999999</v>
      </c>
      <c r="S15" s="35">
        <v>34260</v>
      </c>
      <c r="T15" s="19">
        <f t="shared" si="0"/>
        <v>8.0647985989492119E-6</v>
      </c>
      <c r="U15" s="21">
        <v>7.4399999999999999E-6</v>
      </c>
      <c r="V15" s="19">
        <f t="shared" si="3"/>
        <v>6.0487804878048783E-6</v>
      </c>
      <c r="W15" s="19">
        <f t="shared" si="4"/>
        <v>5.271415742249056E-7</v>
      </c>
      <c r="X15" s="19">
        <f t="shared" si="5"/>
        <v>6.4506314437901696E-5</v>
      </c>
      <c r="Y15" s="19">
        <f t="shared" si="6"/>
        <v>6.5567468284139936E-6</v>
      </c>
      <c r="AC15" s="2"/>
      <c r="AD15" s="2"/>
      <c r="AF15" s="2"/>
      <c r="AG15" s="2"/>
      <c r="AH15" s="2"/>
      <c r="AI15" s="2"/>
      <c r="AM15" s="13">
        <f>O7</f>
        <v>9.85</v>
      </c>
      <c r="AN15" s="2">
        <f>V7</f>
        <v>7.5682926829268298E-6</v>
      </c>
      <c r="AO15" s="2">
        <f>V12</f>
        <v>8.2926829268292685E-6</v>
      </c>
      <c r="AP15" s="2">
        <f>V17</f>
        <v>8.5691056910569115E-6</v>
      </c>
      <c r="AQ15" s="2">
        <f>(AN15+AO15+AP15)/3</f>
        <v>8.1433604336043374E-6</v>
      </c>
      <c r="AR15">
        <f>SQRT(0.5*((AN15-AQ15)^2+(AO15-AQ15)^2+(AP15-AQ15)^2))</f>
        <v>5.1684579377970967E-7</v>
      </c>
      <c r="AS15">
        <f t="shared" si="7"/>
        <v>1934813.0758440895</v>
      </c>
      <c r="AT15">
        <f>AR15/2</f>
        <v>2.5842289688985483E-7</v>
      </c>
      <c r="AU15" s="2">
        <v>1.4300000000000001E-6</v>
      </c>
      <c r="AX15">
        <v>0.2</v>
      </c>
      <c r="AY15" s="2">
        <f t="shared" si="8"/>
        <v>1.967452009357941E-6</v>
      </c>
      <c r="AZ15" s="2">
        <f t="shared" si="9"/>
        <v>1.8693377851975514E-6</v>
      </c>
      <c r="BA15" s="2">
        <f t="shared" si="10"/>
        <v>3.8963154412572819E-6</v>
      </c>
      <c r="BH15" s="2"/>
      <c r="BJ15" s="2"/>
      <c r="BL15" s="2"/>
    </row>
    <row r="16" spans="2:64">
      <c r="B16" s="72" t="s">
        <v>85</v>
      </c>
      <c r="C16" s="82">
        <v>9.24</v>
      </c>
      <c r="F16" t="s">
        <v>466</v>
      </c>
      <c r="G16" s="14" t="s">
        <v>6</v>
      </c>
      <c r="H16" s="14" t="s">
        <v>82</v>
      </c>
      <c r="I16" s="14">
        <f t="shared" si="1"/>
        <v>298.14999999999998</v>
      </c>
      <c r="J16" s="21">
        <v>0.05</v>
      </c>
      <c r="K16" s="33">
        <v>7</v>
      </c>
      <c r="L16" s="21">
        <v>7.8710000000000002E-2</v>
      </c>
      <c r="M16" s="21">
        <v>0.1077</v>
      </c>
      <c r="N16" s="19">
        <f t="shared" si="2"/>
        <v>0.10164503871517848</v>
      </c>
      <c r="O16" s="36">
        <v>2.46</v>
      </c>
      <c r="P16" s="14">
        <v>122.37</v>
      </c>
      <c r="Q16" s="21">
        <v>0</v>
      </c>
      <c r="R16" s="35">
        <v>2.3879999999999999</v>
      </c>
      <c r="S16" s="35">
        <v>298700</v>
      </c>
      <c r="T16" s="19">
        <f t="shared" si="0"/>
        <v>7.9946434549715425E-6</v>
      </c>
      <c r="U16" s="21">
        <v>7.7579999999999992E-6</v>
      </c>
      <c r="V16" s="19">
        <f t="shared" si="3"/>
        <v>6.3073170731707315E-6</v>
      </c>
      <c r="W16" s="19">
        <f t="shared" si="4"/>
        <v>5.2255600490378421E-7</v>
      </c>
      <c r="X16" s="19">
        <f t="shared" si="5"/>
        <v>6.3945178320076084E-5</v>
      </c>
      <c r="Y16" s="19">
        <f t="shared" si="6"/>
        <v>6.4997101259931241E-6</v>
      </c>
      <c r="AC16" s="2"/>
      <c r="AD16" s="2"/>
      <c r="AF16" s="2"/>
      <c r="AH16" s="2"/>
      <c r="AI16" s="2"/>
      <c r="AJ16" s="2"/>
      <c r="AR16">
        <f>2*AR15</f>
        <v>1.0336915875594193E-6</v>
      </c>
      <c r="AS16">
        <f t="shared" si="7"/>
        <v>967406.53792204475</v>
      </c>
      <c r="AX16">
        <v>0.3</v>
      </c>
      <c r="AY16" s="2">
        <f t="shared" si="8"/>
        <v>2.6155306694271909E-6</v>
      </c>
      <c r="AZ16" s="2">
        <f t="shared" si="9"/>
        <v>2.5231847771657487E-6</v>
      </c>
      <c r="BA16" s="2">
        <f t="shared" si="10"/>
        <v>5.2963225368848403E-6</v>
      </c>
    </row>
    <row r="17" spans="2:54" ht="15.75" thickBot="1">
      <c r="B17" s="23" t="s">
        <v>86</v>
      </c>
      <c r="C17" s="24">
        <v>6.8650000000000002</v>
      </c>
      <c r="F17" t="s">
        <v>466</v>
      </c>
      <c r="G17" s="55" t="s">
        <v>6</v>
      </c>
      <c r="H17" s="55" t="s">
        <v>82</v>
      </c>
      <c r="I17" s="55">
        <f t="shared" si="1"/>
        <v>298.14999999999998</v>
      </c>
      <c r="J17" s="56">
        <v>0.05</v>
      </c>
      <c r="K17" s="63">
        <v>7</v>
      </c>
      <c r="L17" s="56">
        <v>7.8710000000000002E-2</v>
      </c>
      <c r="M17" s="56">
        <v>0.1077</v>
      </c>
      <c r="N17" s="19">
        <f t="shared" si="2"/>
        <v>0.10164503871517848</v>
      </c>
      <c r="O17" s="57">
        <v>9.85</v>
      </c>
      <c r="P17" s="55">
        <v>122.37</v>
      </c>
      <c r="Q17" s="56">
        <v>0</v>
      </c>
      <c r="R17" s="64">
        <v>1.964</v>
      </c>
      <c r="S17" s="64">
        <v>180400</v>
      </c>
      <c r="T17" s="60">
        <f t="shared" si="0"/>
        <v>1.0886917960088692E-5</v>
      </c>
      <c r="U17" s="56">
        <v>1.0540000000000001E-5</v>
      </c>
      <c r="V17" s="19">
        <f t="shared" si="3"/>
        <v>8.5691056910569115E-6</v>
      </c>
      <c r="W17" s="60">
        <f t="shared" si="4"/>
        <v>7.1160451206881915E-7</v>
      </c>
      <c r="X17" s="19">
        <f t="shared" si="5"/>
        <v>8.7079044141861401E-5</v>
      </c>
      <c r="Y17" s="19">
        <f t="shared" si="6"/>
        <v>8.8511528130802376E-6</v>
      </c>
      <c r="AE17" s="2"/>
      <c r="AF17" s="2"/>
      <c r="AG17" s="2"/>
      <c r="AH17" s="2"/>
      <c r="AI17" s="2"/>
      <c r="AJ17" s="2"/>
      <c r="AK17" s="2"/>
      <c r="AX17">
        <v>0.4</v>
      </c>
      <c r="AY17" s="2">
        <f t="shared" si="8"/>
        <v>3.1321757293171031E-6</v>
      </c>
      <c r="AZ17" s="2">
        <f t="shared" si="9"/>
        <v>3.0579881656804732E-6</v>
      </c>
      <c r="BA17" s="2">
        <f t="shared" si="10"/>
        <v>6.4625955851878543E-6</v>
      </c>
    </row>
    <row r="18" spans="2:54" ht="15.75" thickBot="1">
      <c r="F18" t="s">
        <v>466</v>
      </c>
      <c r="G18" s="40" t="s">
        <v>7</v>
      </c>
      <c r="H18" s="40" t="s">
        <v>82</v>
      </c>
      <c r="I18" s="40">
        <f t="shared" si="1"/>
        <v>298.14999999999998</v>
      </c>
      <c r="J18" s="41">
        <v>8.5000000000000006E-2</v>
      </c>
      <c r="K18" s="62">
        <v>8.01</v>
      </c>
      <c r="L18" s="41">
        <v>0.1641</v>
      </c>
      <c r="M18" s="41">
        <v>0.24340000000000001</v>
      </c>
      <c r="N18" s="19">
        <f t="shared" si="2"/>
        <v>0.15280537144565509</v>
      </c>
      <c r="O18" s="42">
        <v>0.21</v>
      </c>
      <c r="P18" s="40">
        <v>122.43</v>
      </c>
      <c r="Q18" s="41">
        <v>0</v>
      </c>
      <c r="R18" s="53">
        <v>0.311</v>
      </c>
      <c r="S18" s="53">
        <v>39970</v>
      </c>
      <c r="T18" s="45">
        <f t="shared" si="0"/>
        <v>7.7808356267200394E-6</v>
      </c>
      <c r="U18" s="41">
        <v>6.3280000000000002E-6</v>
      </c>
      <c r="V18" s="19">
        <f t="shared" si="3"/>
        <v>5.1447154471544716E-6</v>
      </c>
      <c r="W18" s="45">
        <f t="shared" si="4"/>
        <v>3.381385289205996E-7</v>
      </c>
      <c r="X18" s="19">
        <f t="shared" si="5"/>
        <v>4.1398300095749004E-5</v>
      </c>
      <c r="Y18" s="19">
        <f t="shared" si="6"/>
        <v>6.3258826233496256E-6</v>
      </c>
      <c r="AC18" s="2"/>
      <c r="AD18" s="2"/>
      <c r="AF18" s="2"/>
      <c r="AG18" s="2"/>
      <c r="AH18" s="2"/>
      <c r="AI18" s="2"/>
      <c r="AJ18" s="2"/>
      <c r="AK18" s="2"/>
      <c r="AX18">
        <v>0.5</v>
      </c>
      <c r="AY18" s="2">
        <f t="shared" si="8"/>
        <v>3.554258406583131E-6</v>
      </c>
      <c r="AZ18" s="2">
        <f t="shared" si="9"/>
        <v>3.5035460992907797E-6</v>
      </c>
      <c r="BA18" s="2">
        <f t="shared" si="10"/>
        <v>7.4530899661129019E-6</v>
      </c>
    </row>
    <row r="19" spans="2:54">
      <c r="B19" s="22" t="s">
        <v>91</v>
      </c>
      <c r="C19" s="26" t="s">
        <v>92</v>
      </c>
      <c r="E19" t="s">
        <v>467</v>
      </c>
      <c r="F19" t="s">
        <v>466</v>
      </c>
      <c r="G19" s="14" t="s">
        <v>7</v>
      </c>
      <c r="H19" s="14" t="s">
        <v>82</v>
      </c>
      <c r="I19" s="14">
        <f t="shared" si="1"/>
        <v>298.14999999999998</v>
      </c>
      <c r="J19" s="21">
        <v>8.5000000000000006E-2</v>
      </c>
      <c r="K19" s="33">
        <v>8.01</v>
      </c>
      <c r="L19" s="21">
        <v>0.1641</v>
      </c>
      <c r="M19" s="21">
        <v>0.24340000000000001</v>
      </c>
      <c r="N19" s="19">
        <f t="shared" si="2"/>
        <v>0.15280537144565509</v>
      </c>
      <c r="O19" s="36">
        <v>0.42</v>
      </c>
      <c r="P19" s="14">
        <v>122.43</v>
      </c>
      <c r="Q19" s="21">
        <v>0</v>
      </c>
      <c r="R19" s="35">
        <v>0.22900000000000001</v>
      </c>
      <c r="S19" s="35">
        <v>39970</v>
      </c>
      <c r="T19" s="19">
        <f t="shared" si="0"/>
        <v>5.7292969727295477E-6</v>
      </c>
      <c r="U19" s="21">
        <v>4.0210000000000001E-6</v>
      </c>
      <c r="V19" s="19">
        <f t="shared" si="3"/>
        <v>3.2691056910569106E-6</v>
      </c>
      <c r="W19" s="19">
        <f t="shared" si="4"/>
        <v>2.4898303254925183E-7</v>
      </c>
      <c r="X19" s="19">
        <f t="shared" si="5"/>
        <v>3.04829926750049E-5</v>
      </c>
      <c r="Y19" s="19">
        <f t="shared" si="6"/>
        <v>4.6579650184793072E-6</v>
      </c>
      <c r="AE19" s="1"/>
      <c r="AF19" s="2"/>
      <c r="AG19" s="2"/>
      <c r="AH19" s="2"/>
      <c r="AI19" s="2"/>
      <c r="AJ19" s="2"/>
      <c r="AK19" s="2"/>
      <c r="AX19">
        <v>0.6</v>
      </c>
      <c r="AY19" s="2">
        <f t="shared" si="8"/>
        <v>3.9060379066187783E-6</v>
      </c>
      <c r="AZ19" s="2">
        <f t="shared" si="9"/>
        <v>3.8804774740084709E-6</v>
      </c>
      <c r="BA19" s="2">
        <f t="shared" si="10"/>
        <v>8.3080634094205678E-6</v>
      </c>
    </row>
    <row r="20" spans="2:54" ht="15.75" thickBot="1">
      <c r="B20" s="27">
        <v>1.3349999999999999E-6</v>
      </c>
      <c r="C20" s="30">
        <v>0.1169</v>
      </c>
      <c r="F20" t="s">
        <v>466</v>
      </c>
      <c r="G20" s="14" t="s">
        <v>7</v>
      </c>
      <c r="H20" s="14" t="s">
        <v>82</v>
      </c>
      <c r="I20" s="14">
        <f t="shared" si="1"/>
        <v>298.14999999999998</v>
      </c>
      <c r="J20" s="21">
        <v>8.5000000000000006E-2</v>
      </c>
      <c r="K20" s="33">
        <v>8.01</v>
      </c>
      <c r="L20" s="21">
        <v>0.1641</v>
      </c>
      <c r="M20" s="21">
        <v>0.24340000000000001</v>
      </c>
      <c r="N20" s="19">
        <f t="shared" si="2"/>
        <v>0.15280537144565509</v>
      </c>
      <c r="O20" s="36">
        <v>1.05</v>
      </c>
      <c r="P20" s="14">
        <v>122.43</v>
      </c>
      <c r="Q20" s="21">
        <v>0</v>
      </c>
      <c r="R20" s="35">
        <v>0.91210000000000002</v>
      </c>
      <c r="S20" s="35">
        <v>39970</v>
      </c>
      <c r="T20" s="19">
        <f t="shared" si="0"/>
        <v>2.2819614711033275E-5</v>
      </c>
      <c r="U20" s="21">
        <v>2.1869999999999999E-5</v>
      </c>
      <c r="V20" s="19">
        <f t="shared" si="3"/>
        <v>1.7780487804878047E-5</v>
      </c>
      <c r="W20" s="19">
        <f t="shared" si="4"/>
        <v>9.9169180780861386E-7</v>
      </c>
      <c r="X20" s="19">
        <f t="shared" si="5"/>
        <v>1.214128280300086E-4</v>
      </c>
      <c r="Y20" s="19">
        <f t="shared" si="6"/>
        <v>1.8552532285392908E-5</v>
      </c>
      <c r="AE20" s="1"/>
      <c r="AF20" s="2"/>
      <c r="AG20" s="2"/>
      <c r="AH20" s="2"/>
      <c r="AI20" s="2"/>
      <c r="AJ20" s="2"/>
      <c r="AK20" s="2"/>
      <c r="AM20" t="s">
        <v>465</v>
      </c>
      <c r="AX20">
        <v>0.7</v>
      </c>
      <c r="AY20" s="2">
        <f t="shared" si="8"/>
        <v>4.2041291287222302E-6</v>
      </c>
      <c r="AZ20" s="2">
        <f t="shared" si="9"/>
        <v>4.2035037540221672E-6</v>
      </c>
      <c r="BA20" s="2">
        <f t="shared" si="10"/>
        <v>9.0563522022838503E-6</v>
      </c>
    </row>
    <row r="21" spans="2:54" ht="15.75" thickBot="1">
      <c r="F21" t="s">
        <v>466</v>
      </c>
      <c r="G21" s="55" t="s">
        <v>7</v>
      </c>
      <c r="H21" s="55" t="s">
        <v>82</v>
      </c>
      <c r="I21" s="55">
        <f t="shared" si="1"/>
        <v>298.14999999999998</v>
      </c>
      <c r="J21" s="56">
        <v>8.5000000000000006E-2</v>
      </c>
      <c r="K21" s="63">
        <v>8.01</v>
      </c>
      <c r="L21" s="56">
        <v>0.1641</v>
      </c>
      <c r="M21" s="56">
        <v>0.24340000000000001</v>
      </c>
      <c r="N21" s="19">
        <f t="shared" si="2"/>
        <v>0.15280537144565509</v>
      </c>
      <c r="O21" s="57">
        <v>2.11</v>
      </c>
      <c r="P21" s="55">
        <v>122.43</v>
      </c>
      <c r="Q21" s="56">
        <v>0</v>
      </c>
      <c r="R21" s="64">
        <v>0.98929999999999996</v>
      </c>
      <c r="S21" s="64">
        <v>39970</v>
      </c>
      <c r="T21" s="60">
        <f t="shared" si="0"/>
        <v>2.4751063297473105E-5</v>
      </c>
      <c r="U21" s="56">
        <v>2.4790000000000002E-5</v>
      </c>
      <c r="V21" s="19">
        <f t="shared" si="3"/>
        <v>2.0154471544715449E-5</v>
      </c>
      <c r="W21" s="60">
        <f t="shared" si="4"/>
        <v>1.0756284458557852E-6</v>
      </c>
      <c r="X21" s="19">
        <f t="shared" si="5"/>
        <v>1.3168919062612379E-4</v>
      </c>
      <c r="Y21" s="19">
        <f t="shared" si="6"/>
        <v>2.0122815689002526E-5</v>
      </c>
      <c r="AM21" t="s">
        <v>464</v>
      </c>
      <c r="AN21" t="s">
        <v>7</v>
      </c>
      <c r="AO21" t="s">
        <v>8</v>
      </c>
      <c r="AP21" t="s">
        <v>9</v>
      </c>
      <c r="AQ21" t="s">
        <v>14</v>
      </c>
      <c r="AR21" t="s">
        <v>15</v>
      </c>
      <c r="AS21" t="s">
        <v>268</v>
      </c>
      <c r="AT21" t="s">
        <v>450</v>
      </c>
      <c r="AX21">
        <v>0.8</v>
      </c>
      <c r="AY21" s="2">
        <f t="shared" si="8"/>
        <v>4.4602937812180514E-6</v>
      </c>
      <c r="AZ21" s="2">
        <f t="shared" si="9"/>
        <v>4.4834167500834168E-6</v>
      </c>
      <c r="BA21" s="2">
        <f t="shared" si="10"/>
        <v>9.7191533743956556E-6</v>
      </c>
    </row>
    <row r="22" spans="2:54">
      <c r="B22" s="8"/>
      <c r="C22" s="8"/>
      <c r="D22" s="8"/>
      <c r="E22" s="8"/>
      <c r="F22" t="s">
        <v>463</v>
      </c>
      <c r="G22" s="40" t="s">
        <v>8</v>
      </c>
      <c r="H22" s="40" t="s">
        <v>82</v>
      </c>
      <c r="I22" s="40">
        <f t="shared" si="1"/>
        <v>298.14999999999998</v>
      </c>
      <c r="J22" s="41">
        <v>8.5000000000000006E-2</v>
      </c>
      <c r="K22" s="62">
        <v>8.01</v>
      </c>
      <c r="L22" s="41">
        <v>0.1641</v>
      </c>
      <c r="M22" s="41">
        <v>0.24340000000000001</v>
      </c>
      <c r="N22" s="19">
        <f t="shared" si="2"/>
        <v>0.15280537144565509</v>
      </c>
      <c r="O22" s="42">
        <v>0.21</v>
      </c>
      <c r="P22" s="40">
        <v>122.43</v>
      </c>
      <c r="Q22" s="41">
        <v>0</v>
      </c>
      <c r="R22" s="53">
        <v>0.42120000000000002</v>
      </c>
      <c r="S22" s="53">
        <v>40000</v>
      </c>
      <c r="T22" s="45">
        <f t="shared" si="0"/>
        <v>1.0530000000000001E-5</v>
      </c>
      <c r="U22" s="41">
        <v>1.2269999999999999E-5</v>
      </c>
      <c r="V22" s="19">
        <f t="shared" si="3"/>
        <v>9.9756097560975613E-6</v>
      </c>
      <c r="W22" s="45">
        <f t="shared" si="4"/>
        <v>4.5761135183302425E-7</v>
      </c>
      <c r="X22" s="19">
        <f t="shared" si="5"/>
        <v>5.6025357804917158E-5</v>
      </c>
      <c r="Y22" s="19">
        <f t="shared" si="6"/>
        <v>8.5609756097560978E-6</v>
      </c>
      <c r="AM22" s="1">
        <f>O18</f>
        <v>0.21</v>
      </c>
      <c r="AN22" s="2">
        <f>V18</f>
        <v>5.1447154471544716E-6</v>
      </c>
      <c r="AO22" s="2">
        <f>V22</f>
        <v>9.9756097560975613E-6</v>
      </c>
      <c r="AP22" s="2"/>
      <c r="AQ22" s="2">
        <f>(AN22+AO22)/2</f>
        <v>7.5601626016260169E-6</v>
      </c>
      <c r="AR22" s="2">
        <f>SQRT(((AN22-AQ22)^2+(AO22-AQ22)^2))</f>
        <v>3.4159581250491589E-6</v>
      </c>
      <c r="AS22" s="2">
        <f>1/AR22</f>
        <v>292743.63542896445</v>
      </c>
      <c r="AT22" s="2">
        <f>AR22/2</f>
        <v>1.7079790625245794E-6</v>
      </c>
      <c r="AX22">
        <v>0.9</v>
      </c>
      <c r="AY22" s="2">
        <f t="shared" si="8"/>
        <v>4.6830918007349942E-6</v>
      </c>
      <c r="AZ22" s="2">
        <f t="shared" si="9"/>
        <v>4.7283077885517674E-6</v>
      </c>
      <c r="BA22" s="2">
        <f t="shared" si="10"/>
        <v>1.0312397285545684E-5</v>
      </c>
    </row>
    <row r="23" spans="2:54">
      <c r="B23" s="8"/>
      <c r="C23" s="8"/>
      <c r="D23" s="8"/>
      <c r="E23" s="8"/>
      <c r="F23" t="s">
        <v>463</v>
      </c>
      <c r="G23" s="14" t="s">
        <v>8</v>
      </c>
      <c r="H23" s="14" t="s">
        <v>82</v>
      </c>
      <c r="I23" s="14">
        <f t="shared" si="1"/>
        <v>298.14999999999998</v>
      </c>
      <c r="J23" s="21">
        <v>8.5000000000000006E-2</v>
      </c>
      <c r="K23" s="33">
        <v>8.01</v>
      </c>
      <c r="L23" s="21">
        <v>0.1641</v>
      </c>
      <c r="M23" s="21">
        <v>0.24340000000000001</v>
      </c>
      <c r="N23" s="19">
        <f t="shared" si="2"/>
        <v>0.15280537144565509</v>
      </c>
      <c r="O23" s="36">
        <v>0.42</v>
      </c>
      <c r="P23" s="14">
        <v>122.43</v>
      </c>
      <c r="Q23" s="21">
        <v>0</v>
      </c>
      <c r="R23" s="35">
        <v>0.78400000000000003</v>
      </c>
      <c r="S23" s="35">
        <v>39970</v>
      </c>
      <c r="T23" s="19">
        <f t="shared" si="0"/>
        <v>1.9614711033274958E-5</v>
      </c>
      <c r="U23" s="21">
        <v>2.3779999999999999E-5</v>
      </c>
      <c r="V23" s="19">
        <f t="shared" si="3"/>
        <v>1.9333333333333333E-5</v>
      </c>
      <c r="W23" s="19">
        <f t="shared" si="4"/>
        <v>8.5241352628215475E-7</v>
      </c>
      <c r="X23" s="19">
        <f t="shared" si="5"/>
        <v>1.0436098802272419E-4</v>
      </c>
      <c r="Y23" s="19">
        <f t="shared" si="6"/>
        <v>1.5946919539247934E-5</v>
      </c>
      <c r="AB23" s="1"/>
      <c r="AC23" s="2"/>
      <c r="AH23" s="2"/>
      <c r="AM23" s="1">
        <f>O19</f>
        <v>0.42</v>
      </c>
      <c r="AN23" s="2">
        <f>V19</f>
        <v>3.2691056910569106E-6</v>
      </c>
      <c r="AO23" s="2">
        <f>V23</f>
        <v>1.9333333333333333E-5</v>
      </c>
      <c r="AP23" s="2"/>
      <c r="AQ23" s="2">
        <f>(AN23+AO23)/2</f>
        <v>1.1301219512195122E-5</v>
      </c>
      <c r="AR23" s="2">
        <f>SQRT(((AN23-AQ23)^2+(AO23-AQ23)^2))</f>
        <v>1.1359124300378043E-5</v>
      </c>
      <c r="AS23" s="2">
        <f t="shared" ref="AS23:AS28" si="11">1/AR23</f>
        <v>88034.955297277542</v>
      </c>
      <c r="AT23" s="2">
        <f t="shared" ref="AT23:AT28" si="12">AR23/2</f>
        <v>5.6795621501890213E-6</v>
      </c>
      <c r="AX23">
        <v>1</v>
      </c>
      <c r="AY23" s="2">
        <f t="shared" si="8"/>
        <v>4.878901414553333E-6</v>
      </c>
      <c r="AZ23" s="2">
        <f t="shared" si="9"/>
        <v>4.9443626729467175E-6</v>
      </c>
      <c r="BA23" s="2">
        <f t="shared" si="10"/>
        <v>1.0848287677641967E-5</v>
      </c>
    </row>
    <row r="24" spans="2:54">
      <c r="B24" s="34"/>
      <c r="C24" s="8"/>
      <c r="D24" s="34"/>
      <c r="E24" s="8"/>
      <c r="F24" t="s">
        <v>463</v>
      </c>
      <c r="G24" s="14" t="s">
        <v>8</v>
      </c>
      <c r="H24" s="14" t="s">
        <v>82</v>
      </c>
      <c r="I24" s="14">
        <f t="shared" si="1"/>
        <v>298.14999999999998</v>
      </c>
      <c r="J24" s="21">
        <v>8.5000000000000006E-2</v>
      </c>
      <c r="K24" s="33">
        <v>8.01</v>
      </c>
      <c r="L24" s="21">
        <v>0.1641</v>
      </c>
      <c r="M24" s="21">
        <v>0.24340000000000001</v>
      </c>
      <c r="N24" s="19">
        <f t="shared" si="2"/>
        <v>0.15280537144565509</v>
      </c>
      <c r="O24" s="36">
        <v>1.05</v>
      </c>
      <c r="P24" s="14">
        <v>122.43</v>
      </c>
      <c r="Q24" s="21">
        <v>0</v>
      </c>
      <c r="R24" s="35">
        <v>1.0820000000000001</v>
      </c>
      <c r="S24" s="35">
        <v>39970</v>
      </c>
      <c r="T24" s="19">
        <f t="shared" si="0"/>
        <v>2.7070302727045285E-5</v>
      </c>
      <c r="U24" s="21">
        <v>2.8419999999999999E-5</v>
      </c>
      <c r="V24" s="19">
        <f t="shared" si="3"/>
        <v>2.3105691056910568E-5</v>
      </c>
      <c r="W24" s="19">
        <f t="shared" si="4"/>
        <v>1.176417647241443E-6</v>
      </c>
      <c r="X24" s="19">
        <f t="shared" si="5"/>
        <v>1.4402881255176986E-4</v>
      </c>
      <c r="Y24" s="19">
        <f t="shared" si="6"/>
        <v>2.2008376200849827E-5</v>
      </c>
      <c r="AB24" s="1"/>
      <c r="AC24" s="2"/>
      <c r="AM24" s="1">
        <f>O20</f>
        <v>1.05</v>
      </c>
      <c r="AN24" s="2">
        <f>V20</f>
        <v>1.7780487804878047E-5</v>
      </c>
      <c r="AO24" s="2">
        <f>V24</f>
        <v>2.3105691056910568E-5</v>
      </c>
      <c r="AP24" s="2"/>
      <c r="AQ24" s="2">
        <f>(AN24+AO24)/2</f>
        <v>2.0443089430894308E-5</v>
      </c>
      <c r="AR24" s="2">
        <f>SQRT(((AN24-AQ24)^2+(AO24-AQ24)^2))</f>
        <v>3.7654873307088516E-6</v>
      </c>
      <c r="AS24" s="2">
        <f t="shared" si="11"/>
        <v>265569.87507158879</v>
      </c>
      <c r="AT24" s="2">
        <f t="shared" si="12"/>
        <v>1.8827436653544258E-6</v>
      </c>
      <c r="AX24">
        <v>1.1000000000000001</v>
      </c>
      <c r="AY24" s="2">
        <f t="shared" si="8"/>
        <v>5.0525725817659051E-6</v>
      </c>
      <c r="AZ24" s="2">
        <f t="shared" si="9"/>
        <v>5.1363914373088678E-6</v>
      </c>
      <c r="BA24" s="2">
        <f t="shared" si="10"/>
        <v>1.1336331184043319E-5</v>
      </c>
    </row>
    <row r="25" spans="2:54" ht="15.75" thickBot="1">
      <c r="B25" s="8"/>
      <c r="C25" s="8"/>
      <c r="D25" s="8"/>
      <c r="E25" s="8"/>
      <c r="F25" t="s">
        <v>463</v>
      </c>
      <c r="G25" s="55" t="s">
        <v>8</v>
      </c>
      <c r="H25" s="55" t="s">
        <v>82</v>
      </c>
      <c r="I25" s="55">
        <f t="shared" si="1"/>
        <v>298.14999999999998</v>
      </c>
      <c r="J25" s="56">
        <v>8.5000000000000006E-2</v>
      </c>
      <c r="K25" s="63">
        <v>8.01</v>
      </c>
      <c r="L25" s="56">
        <v>0.1641</v>
      </c>
      <c r="M25" s="56">
        <v>0.24340000000000001</v>
      </c>
      <c r="N25" s="19">
        <f t="shared" si="2"/>
        <v>0.15280537144565509</v>
      </c>
      <c r="O25" s="57">
        <v>2.11</v>
      </c>
      <c r="P25" s="55">
        <v>122.43</v>
      </c>
      <c r="Q25" s="56">
        <v>0</v>
      </c>
      <c r="R25" s="64">
        <v>1.008</v>
      </c>
      <c r="S25" s="64">
        <v>39970</v>
      </c>
      <c r="T25" s="60">
        <f t="shared" si="0"/>
        <v>2.5218914185639229E-5</v>
      </c>
      <c r="U25" s="56">
        <v>2.5530000000000001E-5</v>
      </c>
      <c r="V25" s="19">
        <f t="shared" si="3"/>
        <v>2.0756097560975611E-5</v>
      </c>
      <c r="W25" s="60">
        <f t="shared" si="4"/>
        <v>1.0959602480770558E-6</v>
      </c>
      <c r="X25" s="19">
        <f t="shared" si="5"/>
        <v>1.3417841317207396E-4</v>
      </c>
      <c r="Y25" s="19">
        <f t="shared" si="6"/>
        <v>2.0503182264747342E-5</v>
      </c>
      <c r="AB25" s="1"/>
      <c r="AC25" s="2"/>
      <c r="AM25" s="1">
        <f>O21</f>
        <v>2.11</v>
      </c>
      <c r="AN25" s="2">
        <f>V21</f>
        <v>2.0154471544715449E-5</v>
      </c>
      <c r="AO25" s="2">
        <f>V25</f>
        <v>2.0756097560975611E-5</v>
      </c>
      <c r="AP25" s="2"/>
      <c r="AQ25" s="2">
        <f>(AN25+AO25)/2</f>
        <v>2.045528455284553E-5</v>
      </c>
      <c r="AR25" s="2">
        <f>SQRT(((AN25-AQ25)^2+(AO25-AQ25)^2))</f>
        <v>4.2541383583580847E-7</v>
      </c>
      <c r="AS25" s="2">
        <f t="shared" si="11"/>
        <v>2350652.2725931206</v>
      </c>
      <c r="AT25" s="2">
        <f t="shared" si="12"/>
        <v>2.1270691791790424E-7</v>
      </c>
      <c r="AX25">
        <v>1.2</v>
      </c>
      <c r="AY25" s="2">
        <f t="shared" si="8"/>
        <v>5.2078588538487612E-6</v>
      </c>
      <c r="AZ25" s="2">
        <f t="shared" si="9"/>
        <v>5.3081906768501449E-6</v>
      </c>
      <c r="BA25" s="2">
        <f t="shared" si="10"/>
        <v>1.1784043415885649E-5</v>
      </c>
    </row>
    <row r="26" spans="2:54">
      <c r="F26" t="s">
        <v>463</v>
      </c>
      <c r="G26" s="40" t="s">
        <v>9</v>
      </c>
      <c r="H26" s="40" t="s">
        <v>82</v>
      </c>
      <c r="I26" s="40">
        <f t="shared" si="1"/>
        <v>298.14999999999998</v>
      </c>
      <c r="J26" s="41">
        <v>8.5000000000000006E-2</v>
      </c>
      <c r="K26" s="62">
        <v>8.01</v>
      </c>
      <c r="L26" s="41">
        <v>0.1641</v>
      </c>
      <c r="M26" s="41">
        <v>0.24340000000000001</v>
      </c>
      <c r="N26" s="19">
        <f t="shared" si="2"/>
        <v>0.15280537144565509</v>
      </c>
      <c r="O26" s="42">
        <v>0.37</v>
      </c>
      <c r="P26" s="40">
        <v>122.43</v>
      </c>
      <c r="Q26" s="41">
        <v>0</v>
      </c>
      <c r="R26" s="53">
        <v>0.29670000000000002</v>
      </c>
      <c r="S26" s="53">
        <v>39970</v>
      </c>
      <c r="T26" s="45">
        <f t="shared" si="0"/>
        <v>7.4230673004753571E-6</v>
      </c>
      <c r="U26" s="41">
        <v>7.2309999999999999E-6</v>
      </c>
      <c r="V26" s="19">
        <f t="shared" si="3"/>
        <v>5.8788617886178864E-6</v>
      </c>
      <c r="W26" s="45">
        <f t="shared" si="4"/>
        <v>3.225906801631573E-7</v>
      </c>
      <c r="X26" s="19">
        <f t="shared" si="5"/>
        <v>3.9494776972375346E-5</v>
      </c>
      <c r="Y26" s="19">
        <f t="shared" si="6"/>
        <v>6.0350140654271201E-6</v>
      </c>
      <c r="AB26" s="1"/>
      <c r="AC26" s="2"/>
      <c r="AM26" s="1">
        <f>O26</f>
        <v>0.37</v>
      </c>
      <c r="AN26" s="2"/>
      <c r="AO26" s="2"/>
      <c r="AP26" s="2">
        <f>V26</f>
        <v>5.8788617886178864E-6</v>
      </c>
      <c r="AQ26" s="2">
        <f>AP26</f>
        <v>5.8788617886178864E-6</v>
      </c>
      <c r="AR26" s="2">
        <f>AR25</f>
        <v>4.2541383583580847E-7</v>
      </c>
      <c r="AS26" s="2">
        <f t="shared" si="11"/>
        <v>2350652.2725931206</v>
      </c>
      <c r="AT26" s="2">
        <f t="shared" si="12"/>
        <v>2.1270691791790424E-7</v>
      </c>
      <c r="AX26">
        <v>1.3</v>
      </c>
      <c r="AY26" s="2">
        <f t="shared" si="8"/>
        <v>5.347710625869262E-6</v>
      </c>
      <c r="AZ26" s="2">
        <f t="shared" si="9"/>
        <v>5.4627970978233672E-6</v>
      </c>
      <c r="BA26" s="2">
        <f t="shared" si="10"/>
        <v>1.2197444265883876E-5</v>
      </c>
    </row>
    <row r="27" spans="2:54">
      <c r="F27" t="s">
        <v>463</v>
      </c>
      <c r="G27" s="14" t="s">
        <v>9</v>
      </c>
      <c r="H27" s="14" t="s">
        <v>82</v>
      </c>
      <c r="I27" s="14">
        <f t="shared" si="1"/>
        <v>298.14999999999998</v>
      </c>
      <c r="J27" s="21">
        <v>8.5000000000000006E-2</v>
      </c>
      <c r="K27" s="33">
        <v>8.01</v>
      </c>
      <c r="L27" s="21">
        <v>0.1641</v>
      </c>
      <c r="M27" s="21">
        <v>0.24340000000000001</v>
      </c>
      <c r="N27" s="19">
        <f t="shared" si="2"/>
        <v>0.15280537144565509</v>
      </c>
      <c r="O27" s="36">
        <v>1.83</v>
      </c>
      <c r="P27" s="14">
        <v>122.43</v>
      </c>
      <c r="Q27" s="21">
        <v>0</v>
      </c>
      <c r="R27" s="35">
        <v>0.68859999999999999</v>
      </c>
      <c r="S27" s="35">
        <v>39970</v>
      </c>
      <c r="T27" s="19">
        <f t="shared" si="0"/>
        <v>1.7227920940705528E-5</v>
      </c>
      <c r="U27" s="21">
        <v>1.8170000000000001E-5</v>
      </c>
      <c r="V27" s="19">
        <f t="shared" si="3"/>
        <v>1.4772357723577236E-5</v>
      </c>
      <c r="W27" s="19">
        <f t="shared" si="4"/>
        <v>7.4868871708914754E-7</v>
      </c>
      <c r="X27" s="19">
        <f t="shared" si="5"/>
        <v>9.1661959633224327E-5</v>
      </c>
      <c r="Y27" s="19">
        <f t="shared" si="6"/>
        <v>1.4006439789191487E-5</v>
      </c>
      <c r="AM27" s="1">
        <f>O28</f>
        <v>3.7</v>
      </c>
      <c r="AP27" s="2">
        <f>V28</f>
        <v>1.6878048780487807E-5</v>
      </c>
      <c r="AQ27" s="2">
        <f>AP27</f>
        <v>1.6878048780487807E-5</v>
      </c>
      <c r="AR27" s="2">
        <f>AR26</f>
        <v>4.2541383583580847E-7</v>
      </c>
      <c r="AS27" s="2">
        <f t="shared" si="11"/>
        <v>2350652.2725931206</v>
      </c>
      <c r="AT27" s="2">
        <f t="shared" si="12"/>
        <v>2.1270691791790424E-7</v>
      </c>
      <c r="AX27">
        <v>1.4</v>
      </c>
      <c r="AY27" s="2">
        <f t="shared" si="8"/>
        <v>5.474479045394536E-6</v>
      </c>
      <c r="AZ27" s="2">
        <f t="shared" si="9"/>
        <v>5.6026685727900883E-6</v>
      </c>
      <c r="BA27" s="2">
        <f t="shared" si="10"/>
        <v>1.2581412360775392E-5</v>
      </c>
    </row>
    <row r="28" spans="2:54">
      <c r="F28" t="s">
        <v>463</v>
      </c>
      <c r="G28" s="14" t="s">
        <v>9</v>
      </c>
      <c r="H28" s="14" t="s">
        <v>82</v>
      </c>
      <c r="I28" s="14">
        <f t="shared" si="1"/>
        <v>298.14999999999998</v>
      </c>
      <c r="J28" s="21">
        <v>8.5000000000000006E-2</v>
      </c>
      <c r="K28" s="33">
        <v>8.01</v>
      </c>
      <c r="L28" s="21">
        <v>0.1641</v>
      </c>
      <c r="M28" s="21">
        <v>0.24340000000000001</v>
      </c>
      <c r="N28" s="19">
        <f t="shared" si="2"/>
        <v>0.15280537144565509</v>
      </c>
      <c r="O28" s="36">
        <v>3.7</v>
      </c>
      <c r="P28" s="14">
        <v>122.43</v>
      </c>
      <c r="Q28" s="21">
        <v>0</v>
      </c>
      <c r="R28" s="35">
        <v>0.84150000000000003</v>
      </c>
      <c r="S28" s="35">
        <v>39970</v>
      </c>
      <c r="T28" s="19">
        <f t="shared" si="0"/>
        <v>2.1053289967475608E-5</v>
      </c>
      <c r="U28" s="21">
        <v>2.0760000000000001E-5</v>
      </c>
      <c r="V28" s="19">
        <f t="shared" si="3"/>
        <v>1.6878048780487807E-5</v>
      </c>
      <c r="W28" s="19">
        <f t="shared" si="4"/>
        <v>9.1493109995718521E-7</v>
      </c>
      <c r="X28" s="19">
        <f t="shared" si="5"/>
        <v>1.1201501456775818E-4</v>
      </c>
      <c r="Y28" s="19">
        <f t="shared" si="6"/>
        <v>1.7116495908516756E-5</v>
      </c>
      <c r="AM28" s="1">
        <f>O29</f>
        <v>7.31</v>
      </c>
      <c r="AP28" s="2">
        <f>V29</f>
        <v>2.2756097560975612E-5</v>
      </c>
      <c r="AQ28" s="2">
        <f>AP28</f>
        <v>2.2756097560975612E-5</v>
      </c>
      <c r="AR28" s="2">
        <f>AR27</f>
        <v>4.2541383583580847E-7</v>
      </c>
      <c r="AS28" s="2">
        <f t="shared" si="11"/>
        <v>2350652.2725931206</v>
      </c>
      <c r="AT28" s="2">
        <f t="shared" si="12"/>
        <v>2.1270691791790424E-7</v>
      </c>
      <c r="AX28">
        <v>1.5</v>
      </c>
      <c r="AY28" s="2">
        <f t="shared" si="8"/>
        <v>5.5900608002319517E-6</v>
      </c>
      <c r="AZ28" s="2">
        <f t="shared" si="9"/>
        <v>5.7298157834887422E-6</v>
      </c>
      <c r="BA28" s="2">
        <f t="shared" si="10"/>
        <v>1.2939943277976378E-5</v>
      </c>
      <c r="BB28" s="2"/>
    </row>
    <row r="29" spans="2:54" ht="15.75" thickBot="1">
      <c r="F29" t="s">
        <v>463</v>
      </c>
      <c r="G29" s="55" t="s">
        <v>9</v>
      </c>
      <c r="H29" s="55" t="s">
        <v>82</v>
      </c>
      <c r="I29" s="55">
        <f t="shared" si="1"/>
        <v>298.14999999999998</v>
      </c>
      <c r="J29" s="56">
        <v>8.5000000000000006E-2</v>
      </c>
      <c r="K29" s="63">
        <v>8.01</v>
      </c>
      <c r="L29" s="56">
        <v>0.1641</v>
      </c>
      <c r="M29" s="56">
        <v>0.24340000000000001</v>
      </c>
      <c r="N29" s="19">
        <f t="shared" si="2"/>
        <v>0.15280537144565509</v>
      </c>
      <c r="O29" s="57">
        <v>7.31</v>
      </c>
      <c r="P29" s="55">
        <v>122.43</v>
      </c>
      <c r="Q29" s="56">
        <v>0</v>
      </c>
      <c r="R29" s="64">
        <v>1.101</v>
      </c>
      <c r="S29" s="64">
        <v>39970</v>
      </c>
      <c r="T29" s="60">
        <f t="shared" si="0"/>
        <v>2.7545659244433323E-5</v>
      </c>
      <c r="U29" s="56">
        <v>2.7990000000000001E-5</v>
      </c>
      <c r="V29" s="19">
        <f t="shared" si="3"/>
        <v>2.2756097560975612E-5</v>
      </c>
      <c r="W29" s="60">
        <f t="shared" si="4"/>
        <v>1.1970756281079747E-6</v>
      </c>
      <c r="X29" s="19">
        <f t="shared" si="5"/>
        <v>1.4655796914925934E-4</v>
      </c>
      <c r="Y29" s="19">
        <f t="shared" si="6"/>
        <v>2.2394844914173432E-5</v>
      </c>
      <c r="AX29">
        <v>1.6</v>
      </c>
      <c r="AY29" s="2">
        <f t="shared" si="8"/>
        <v>5.6960028616207247E-6</v>
      </c>
      <c r="AZ29" s="2">
        <f t="shared" si="9"/>
        <v>5.8458994996736997E-6</v>
      </c>
      <c r="BA29" s="2">
        <f t="shared" si="10"/>
        <v>1.3276340690073164E-5</v>
      </c>
      <c r="BB29" s="2"/>
    </row>
    <row r="30" spans="2:54" ht="15.75" thickBot="1">
      <c r="F30" t="s">
        <v>462</v>
      </c>
      <c r="G30" s="40" t="s">
        <v>10</v>
      </c>
      <c r="H30" s="40" t="s">
        <v>84</v>
      </c>
      <c r="I30" s="40">
        <f t="shared" si="1"/>
        <v>298.14999999999998</v>
      </c>
      <c r="J30" s="41">
        <v>8.7499999999999994E-2</v>
      </c>
      <c r="K30" s="62">
        <v>8.51</v>
      </c>
      <c r="L30" s="41">
        <v>1.3469999999999999E-2</v>
      </c>
      <c r="M30" s="41">
        <v>1.3469999999999999E-2</v>
      </c>
      <c r="N30" s="19">
        <f t="shared" si="2"/>
        <v>3.5946956972875893E-2</v>
      </c>
      <c r="O30" s="42">
        <v>0.37</v>
      </c>
      <c r="P30" s="40">
        <v>122.43</v>
      </c>
      <c r="Q30" s="41">
        <v>0</v>
      </c>
      <c r="R30" s="53">
        <v>0.83050000000000002</v>
      </c>
      <c r="S30" s="53">
        <v>54620</v>
      </c>
      <c r="T30" s="45">
        <f t="shared" si="0"/>
        <v>1.5205053094104724E-5</v>
      </c>
      <c r="U30" s="41">
        <v>1.4749999999999999E-5</v>
      </c>
      <c r="V30" s="19">
        <f t="shared" si="3"/>
        <v>1.1991869918699187E-5</v>
      </c>
      <c r="W30" s="45">
        <f t="shared" si="4"/>
        <v>2.808877816518495E-6</v>
      </c>
      <c r="X30" s="19">
        <f t="shared" si="5"/>
        <v>3.4389091107635934E-4</v>
      </c>
      <c r="Y30" s="19">
        <f t="shared" si="6"/>
        <v>1.2361831783824979E-5</v>
      </c>
      <c r="AX30">
        <v>1.7</v>
      </c>
      <c r="AY30" s="2">
        <f t="shared" si="8"/>
        <v>5.7935795346787694E-6</v>
      </c>
      <c r="AZ30" s="2">
        <f t="shared" si="9"/>
        <v>5.9523035230352306E-6</v>
      </c>
      <c r="BA30" s="2">
        <f t="shared" si="10"/>
        <v>1.3593359919498736E-5</v>
      </c>
      <c r="BB30" s="2"/>
    </row>
    <row r="31" spans="2:54">
      <c r="B31" s="51" t="s">
        <v>303</v>
      </c>
      <c r="C31" s="26"/>
      <c r="F31" t="s">
        <v>462</v>
      </c>
      <c r="G31" s="14" t="s">
        <v>10</v>
      </c>
      <c r="H31" s="14" t="s">
        <v>84</v>
      </c>
      <c r="I31" s="14">
        <f t="shared" si="1"/>
        <v>298.14999999999998</v>
      </c>
      <c r="J31" s="21">
        <v>8.7499999999999994E-2</v>
      </c>
      <c r="K31" s="33">
        <v>8.51</v>
      </c>
      <c r="L31" s="21">
        <v>1.3469999999999999E-2</v>
      </c>
      <c r="M31" s="21">
        <v>1.3469999999999999E-2</v>
      </c>
      <c r="N31" s="19">
        <f t="shared" si="2"/>
        <v>3.5946956972875893E-2</v>
      </c>
      <c r="O31" s="36">
        <v>1.83</v>
      </c>
      <c r="P31" s="14">
        <v>122.43</v>
      </c>
      <c r="Q31" s="21">
        <v>0</v>
      </c>
      <c r="R31" s="35">
        <v>1.3779999999999999</v>
      </c>
      <c r="S31" s="35">
        <v>54530</v>
      </c>
      <c r="T31" s="19">
        <f t="shared" si="0"/>
        <v>2.5270493306436821E-5</v>
      </c>
      <c r="U31" s="21">
        <v>2.48E-5</v>
      </c>
      <c r="V31" s="19">
        <f t="shared" si="3"/>
        <v>2.0162601626016259E-5</v>
      </c>
      <c r="W31" s="19">
        <f t="shared" si="4"/>
        <v>4.6682985992630575E-6</v>
      </c>
      <c r="X31" s="19">
        <f t="shared" si="5"/>
        <v>5.715397975077761E-4</v>
      </c>
      <c r="Y31" s="19">
        <f t="shared" si="6"/>
        <v>2.0545116509298229E-5</v>
      </c>
      <c r="AX31">
        <v>1.8</v>
      </c>
      <c r="AY31" s="2">
        <f t="shared" si="8"/>
        <v>5.8838499974677133E-6</v>
      </c>
      <c r="AZ31" s="2">
        <f t="shared" si="9"/>
        <v>6.0501901140684407E-6</v>
      </c>
      <c r="BA31" s="2">
        <f t="shared" si="10"/>
        <v>1.3893317175983107E-5</v>
      </c>
      <c r="BB31" s="2"/>
    </row>
    <row r="32" spans="2:54">
      <c r="B32" s="147" t="s">
        <v>2</v>
      </c>
      <c r="C32" s="148">
        <v>8.5</v>
      </c>
      <c r="F32" t="s">
        <v>462</v>
      </c>
      <c r="G32" s="14" t="s">
        <v>10</v>
      </c>
      <c r="H32" s="14" t="s">
        <v>84</v>
      </c>
      <c r="I32" s="14">
        <f t="shared" si="1"/>
        <v>298.14999999999998</v>
      </c>
      <c r="J32" s="21">
        <v>8.7499999999999994E-2</v>
      </c>
      <c r="K32" s="33">
        <v>8.51</v>
      </c>
      <c r="L32" s="21">
        <v>1.3469999999999999E-2</v>
      </c>
      <c r="M32" s="21">
        <v>1.3469999999999999E-2</v>
      </c>
      <c r="N32" s="19">
        <f t="shared" si="2"/>
        <v>3.5946956972875893E-2</v>
      </c>
      <c r="O32" s="36">
        <v>3.7</v>
      </c>
      <c r="P32" s="14">
        <v>122.43</v>
      </c>
      <c r="Q32" s="21">
        <v>0</v>
      </c>
      <c r="R32" s="35">
        <v>1.897</v>
      </c>
      <c r="S32" s="35">
        <v>54490</v>
      </c>
      <c r="T32" s="19">
        <f t="shared" si="0"/>
        <v>3.4813727289410899E-5</v>
      </c>
      <c r="U32" s="21">
        <v>3.5099999999999999E-5</v>
      </c>
      <c r="V32" s="19">
        <f t="shared" si="3"/>
        <v>2.8536585365853658E-5</v>
      </c>
      <c r="W32" s="19">
        <f t="shared" si="4"/>
        <v>6.4312505644235355E-6</v>
      </c>
      <c r="X32" s="19">
        <f t="shared" si="5"/>
        <v>7.8737800660237342E-4</v>
      </c>
      <c r="Y32" s="19">
        <f t="shared" si="6"/>
        <v>2.830384332472431E-5</v>
      </c>
      <c r="AX32">
        <v>1.9</v>
      </c>
      <c r="AY32" s="2">
        <f t="shared" si="8"/>
        <v>5.9677018595610269E-6</v>
      </c>
      <c r="AZ32" s="2">
        <f t="shared" si="9"/>
        <v>6.1405426207427352E-6</v>
      </c>
      <c r="BA32" s="2">
        <f t="shared" si="10"/>
        <v>1.4178173680983948E-5</v>
      </c>
      <c r="BB32" s="2"/>
    </row>
    <row r="33" spans="2:54" ht="15.75" thickBot="1">
      <c r="B33" s="147" t="s">
        <v>289</v>
      </c>
      <c r="C33" s="148">
        <v>9.24</v>
      </c>
      <c r="F33" t="s">
        <v>462</v>
      </c>
      <c r="G33" s="55" t="s">
        <v>10</v>
      </c>
      <c r="H33" s="55" t="s">
        <v>84</v>
      </c>
      <c r="I33" s="55">
        <f t="shared" si="1"/>
        <v>298.14999999999998</v>
      </c>
      <c r="J33" s="56">
        <v>8.7499999999999994E-2</v>
      </c>
      <c r="K33" s="63">
        <v>8.51</v>
      </c>
      <c r="L33" s="56">
        <v>1.3469999999999999E-2</v>
      </c>
      <c r="M33" s="56">
        <v>1.3469999999999999E-2</v>
      </c>
      <c r="N33" s="60">
        <f t="shared" si="2"/>
        <v>3.5946956972875893E-2</v>
      </c>
      <c r="O33" s="57">
        <v>7.31</v>
      </c>
      <c r="P33" s="55">
        <v>122.43</v>
      </c>
      <c r="Q33" s="56">
        <v>0</v>
      </c>
      <c r="R33" s="64">
        <v>1.8169999999999999</v>
      </c>
      <c r="S33" s="64">
        <v>50010</v>
      </c>
      <c r="T33" s="60">
        <f t="shared" si="0"/>
        <v>3.6332733453309335E-5</v>
      </c>
      <c r="U33" s="56">
        <v>3.6229999999999997E-5</v>
      </c>
      <c r="V33" s="19">
        <f t="shared" si="3"/>
        <v>2.9455284552845525E-5</v>
      </c>
      <c r="W33" s="60">
        <f t="shared" si="4"/>
        <v>6.7118614041570351E-6</v>
      </c>
      <c r="X33" s="19">
        <f t="shared" si="5"/>
        <v>8.2173319171094578E-4</v>
      </c>
      <c r="Y33" s="19">
        <f t="shared" si="6"/>
        <v>2.9538807685617346E-5</v>
      </c>
      <c r="AX33">
        <v>2</v>
      </c>
      <c r="AY33" s="2">
        <f t="shared" si="8"/>
        <v>6.045884548921927E-6</v>
      </c>
      <c r="AZ33" s="2">
        <f t="shared" si="9"/>
        <v>6.2241986288678896E-6</v>
      </c>
      <c r="BA33" s="2">
        <f t="shared" si="10"/>
        <v>1.4449601166094688E-5</v>
      </c>
      <c r="BB33" s="2"/>
    </row>
    <row r="34" spans="2:54">
      <c r="B34" s="147" t="s">
        <v>295</v>
      </c>
      <c r="C34" s="148">
        <v>11.75</v>
      </c>
      <c r="AX34">
        <v>2.1</v>
      </c>
      <c r="AY34" s="2">
        <f t="shared" si="8"/>
        <v>6.1190351944257134E-6</v>
      </c>
      <c r="AZ34" s="2">
        <f t="shared" si="9"/>
        <v>6.3018760050026799E-6</v>
      </c>
      <c r="BA34" s="2">
        <f t="shared" si="10"/>
        <v>1.4709033385529736E-5</v>
      </c>
      <c r="BB34" s="2"/>
    </row>
    <row r="35" spans="2:54">
      <c r="B35" s="147" t="s">
        <v>305</v>
      </c>
      <c r="C35" s="183">
        <f>J30</f>
        <v>8.7499999999999994E-2</v>
      </c>
      <c r="AX35">
        <v>2.2000000000000002</v>
      </c>
      <c r="AY35" s="2">
        <f t="shared" si="8"/>
        <v>6.1876989008449491E-6</v>
      </c>
      <c r="AZ35" s="2">
        <f t="shared" si="9"/>
        <v>6.3741935483870964E-6</v>
      </c>
      <c r="BA35" s="2">
        <f t="shared" si="10"/>
        <v>1.4957707007113647E-5</v>
      </c>
      <c r="BB35" s="2"/>
    </row>
    <row r="36" spans="2:54">
      <c r="B36" s="147" t="s">
        <v>297</v>
      </c>
      <c r="C36" s="148">
        <v>8.2500000000000004E-2</v>
      </c>
      <c r="AX36">
        <v>2.2999999999999998</v>
      </c>
      <c r="AY36" s="2">
        <f t="shared" si="8"/>
        <v>6.2523447842754586E-6</v>
      </c>
      <c r="AZ36" s="2">
        <f t="shared" si="9"/>
        <v>6.4416875104218769E-6</v>
      </c>
      <c r="BA36" s="2">
        <f t="shared" si="10"/>
        <v>1.5196694351971826E-5</v>
      </c>
      <c r="BB36" s="2"/>
    </row>
    <row r="37" spans="2:54">
      <c r="B37" s="149" t="s">
        <v>304</v>
      </c>
      <c r="C37" s="150">
        <f>(10^(C32-C33)/(1+10^(C32-C33)))*C35</f>
        <v>1.34710537121917E-2</v>
      </c>
      <c r="AD37">
        <f xml:space="preserve"> -1106.87102</f>
        <v>-1106.87102</v>
      </c>
      <c r="AX37">
        <v>2.4</v>
      </c>
      <c r="AY37" s="2">
        <f t="shared" si="8"/>
        <v>6.3133787674277628E-6</v>
      </c>
      <c r="AZ37" s="2">
        <f t="shared" si="9"/>
        <v>6.5048249152815874E-6</v>
      </c>
      <c r="BA37" s="2">
        <f t="shared" si="10"/>
        <v>1.5426929817679026E-5</v>
      </c>
      <c r="BB37" s="2"/>
    </row>
    <row r="38" spans="2:54">
      <c r="B38" s="149" t="s">
        <v>298</v>
      </c>
      <c r="C38" s="150">
        <f>(10^(C32-C34)/(1+10^(C32-C34)))*C36</f>
        <v>4.636708520006714E-5</v>
      </c>
      <c r="M38" s="135">
        <f>M33</f>
        <v>1.3469999999999999E-2</v>
      </c>
      <c r="AQ38" s="13"/>
      <c r="AX38">
        <v>2.5</v>
      </c>
      <c r="AY38" s="2">
        <f t="shared" si="8"/>
        <v>6.3711538737212485E-6</v>
      </c>
      <c r="AZ38" s="2">
        <f t="shared" si="9"/>
        <v>6.5640143817414407E-6</v>
      </c>
      <c r="BA38" s="2">
        <f t="shared" si="10"/>
        <v>1.5649231362347736E-5</v>
      </c>
      <c r="BB38" s="2"/>
    </row>
    <row r="39" spans="2:54">
      <c r="B39" s="147" t="s">
        <v>300</v>
      </c>
      <c r="C39" s="148">
        <v>-1</v>
      </c>
      <c r="J39" t="s">
        <v>454</v>
      </c>
      <c r="AD39" s="2"/>
      <c r="AF39" s="2"/>
      <c r="AQ39" s="13"/>
      <c r="AX39">
        <v>2.6</v>
      </c>
      <c r="AY39" s="2">
        <f t="shared" si="8"/>
        <v>6.4259785726004927E-6</v>
      </c>
      <c r="AZ39" s="2">
        <f t="shared" si="9"/>
        <v>6.619614976504471E-6</v>
      </c>
      <c r="BA39" s="2">
        <f t="shared" si="10"/>
        <v>1.5864318094202243E-5</v>
      </c>
      <c r="BB39" s="2"/>
    </row>
    <row r="40" spans="2:54" ht="15.75" thickBot="1">
      <c r="B40" s="151" t="s">
        <v>299</v>
      </c>
      <c r="C40" s="152">
        <f>0.5*((C39)^2*C37+(C39)^2*C38+ABS(C39)*C37+ABS(C39)*C38)</f>
        <v>1.3517420797391768E-2</v>
      </c>
      <c r="J40">
        <v>8.5000000000000006E-2</v>
      </c>
      <c r="L40" t="s">
        <v>455</v>
      </c>
      <c r="N40" s="2">
        <f>M3</f>
        <v>0.1077</v>
      </c>
      <c r="AD40" s="2"/>
      <c r="AQ40" s="13"/>
      <c r="AX40">
        <v>2.7</v>
      </c>
      <c r="AY40" s="2">
        <f t="shared" si="8"/>
        <v>6.4781235933198754E-6</v>
      </c>
      <c r="AZ40" s="2">
        <f t="shared" si="9"/>
        <v>6.6719435044872734E-6</v>
      </c>
      <c r="BA40" s="2">
        <f t="shared" si="10"/>
        <v>1.6072824766122173E-5</v>
      </c>
      <c r="BB40" s="2"/>
    </row>
    <row r="41" spans="2:54">
      <c r="E41" s="2"/>
      <c r="L41" t="s">
        <v>456</v>
      </c>
      <c r="AQ41" s="13"/>
      <c r="AX41">
        <v>2.8</v>
      </c>
      <c r="AY41" s="2">
        <f t="shared" si="8"/>
        <v>6.5278275253754374E-6</v>
      </c>
      <c r="AZ41" s="2">
        <f t="shared" si="9"/>
        <v>6.7212805488066317E-6</v>
      </c>
      <c r="BA41" s="2">
        <f t="shared" si="10"/>
        <v>1.6275313792415736E-5</v>
      </c>
      <c r="BB41" s="2"/>
    </row>
    <row r="42" spans="2:54">
      <c r="E42" s="2"/>
      <c r="T42">
        <f>180/4.2</f>
        <v>42.857142857142854</v>
      </c>
      <c r="AQ42" s="13"/>
      <c r="AX42">
        <v>2.9</v>
      </c>
      <c r="AY42" s="2">
        <f t="shared" si="8"/>
        <v>6.5753014503948812E-6</v>
      </c>
      <c r="AZ42" s="2">
        <f t="shared" si="9"/>
        <v>6.7678755036820892E-6</v>
      </c>
      <c r="BA42" s="2">
        <f t="shared" si="10"/>
        <v>1.6472285268289982E-5</v>
      </c>
      <c r="BB42" s="2"/>
    </row>
    <row r="43" spans="2:54">
      <c r="E43" s="2"/>
      <c r="AD43" s="11"/>
      <c r="AE43" s="2"/>
      <c r="AQ43" s="13"/>
      <c r="AX43">
        <v>3</v>
      </c>
      <c r="AY43" s="2">
        <f t="shared" si="8"/>
        <v>6.6207327954278029E-6</v>
      </c>
      <c r="AZ43" s="2">
        <f t="shared" si="9"/>
        <v>6.8119507908611595E-6</v>
      </c>
      <c r="BA43" s="2">
        <f t="shared" si="10"/>
        <v>1.6664185368877866E-5</v>
      </c>
      <c r="BB43" s="2"/>
    </row>
    <row r="44" spans="2:54">
      <c r="AD44" s="11"/>
      <c r="AE44" s="2"/>
      <c r="AG44" s="2"/>
      <c r="AQ44" s="13"/>
      <c r="AX44">
        <v>3.1</v>
      </c>
      <c r="AY44" s="2">
        <f t="shared" si="8"/>
        <v>6.6642885561672207E-6</v>
      </c>
      <c r="AZ44" s="2">
        <f t="shared" si="9"/>
        <v>6.8537054100302747E-6</v>
      </c>
      <c r="BA44" s="2">
        <f t="shared" si="10"/>
        <v>1.6851413425549229E-5</v>
      </c>
      <c r="BB44" s="2"/>
    </row>
    <row r="45" spans="2:54">
      <c r="AD45" s="11"/>
      <c r="AE45" s="2"/>
      <c r="AG45" s="2"/>
      <c r="AQ45" s="13"/>
      <c r="AX45">
        <v>3.2</v>
      </c>
      <c r="AY45" s="2">
        <f t="shared" ref="AY45:AY76" si="13">($AV$6*AX45)/($AU$6+AX45)+AX45*$AW$6</f>
        <v>6.7061180071098846E-6</v>
      </c>
      <c r="AZ45" s="2">
        <f t="shared" si="9"/>
        <v>6.8933179427985113E-6</v>
      </c>
      <c r="BA45" s="2">
        <f t="shared" si="10"/>
        <v>1.7034327916314995E-5</v>
      </c>
      <c r="BB45" s="2"/>
    </row>
    <row r="46" spans="2:54">
      <c r="L46">
        <f>0.05+0.09</f>
        <v>0.14000000000000001</v>
      </c>
      <c r="AD46" s="11"/>
      <c r="AE46" s="2"/>
      <c r="AG46" s="2"/>
      <c r="AX46">
        <v>3.3</v>
      </c>
      <c r="AY46" s="2">
        <f t="shared" si="13"/>
        <v>6.746354991471546E-6</v>
      </c>
      <c r="AZ46" s="2">
        <f t="shared" si="9"/>
        <v>6.9309491059147174E-6</v>
      </c>
      <c r="BA46" s="2">
        <f t="shared" si="10"/>
        <v>1.7213251559889272E-5</v>
      </c>
      <c r="BB46" s="2"/>
    </row>
    <row r="47" spans="2:54">
      <c r="L47">
        <f>L46/2</f>
        <v>7.0000000000000007E-2</v>
      </c>
      <c r="AD47" s="11"/>
      <c r="AE47" s="2"/>
      <c r="AG47" s="2"/>
      <c r="AX47">
        <v>3.4</v>
      </c>
      <c r="AY47" s="2">
        <f t="shared" si="13"/>
        <v>6.7851198649669979E-6</v>
      </c>
      <c r="AZ47" s="2">
        <f t="shared" si="9"/>
        <v>6.9667439307063565E-6</v>
      </c>
      <c r="BA47" s="2">
        <f t="shared" si="10"/>
        <v>1.7388475666074603E-5</v>
      </c>
      <c r="BB47" s="2"/>
    </row>
    <row r="48" spans="2:54">
      <c r="AD48" s="11"/>
      <c r="AE48" s="2"/>
      <c r="AG48" s="2"/>
      <c r="AX48">
        <v>3.5</v>
      </c>
      <c r="AY48" s="2">
        <f t="shared" si="13"/>
        <v>6.822521152995528E-6</v>
      </c>
      <c r="AZ48" s="2">
        <f t="shared" si="9"/>
        <v>7.0008336310587117E-6</v>
      </c>
      <c r="BA48" s="2">
        <f t="shared" si="10"/>
        <v>1.7560263866125084E-5</v>
      </c>
      <c r="BB48" s="2"/>
    </row>
    <row r="49" spans="8:54">
      <c r="AA49">
        <f>EXP(1)</f>
        <v>2.7182818284590451</v>
      </c>
      <c r="AX49">
        <v>3.6</v>
      </c>
      <c r="AY49" s="2">
        <f t="shared" si="13"/>
        <v>6.858656969348107E-6</v>
      </c>
      <c r="AZ49" s="2">
        <f t="shared" si="9"/>
        <v>7.0333372106548803E-6</v>
      </c>
      <c r="BA49" s="2">
        <f t="shared" si="10"/>
        <v>1.7728855323789416E-5</v>
      </c>
      <c r="BB49" s="2"/>
    </row>
    <row r="50" spans="8:54">
      <c r="AX50">
        <v>3.7</v>
      </c>
      <c r="AY50" s="2">
        <f t="shared" si="13"/>
        <v>6.893616235536609E-6</v>
      </c>
      <c r="AZ50" s="2">
        <f t="shared" si="9"/>
        <v>7.0643628509719214E-6</v>
      </c>
      <c r="BA50" s="2">
        <f t="shared" si="10"/>
        <v>1.7894467509467335E-5</v>
      </c>
      <c r="BB50" s="2"/>
    </row>
    <row r="51" spans="8:54">
      <c r="AX51">
        <v>3.8</v>
      </c>
      <c r="AY51" s="2">
        <f t="shared" si="13"/>
        <v>6.92747973268641E-6</v>
      </c>
      <c r="AZ51" s="2">
        <f t="shared" si="9"/>
        <v>7.09400911414916E-6</v>
      </c>
      <c r="BA51" s="2">
        <f t="shared" si="10"/>
        <v>1.8057298605290583E-5</v>
      </c>
      <c r="BB51" s="2"/>
    </row>
    <row r="52" spans="8:54">
      <c r="AX52">
        <v>3.9</v>
      </c>
      <c r="AY52" s="2">
        <f t="shared" si="13"/>
        <v>6.9603210122164039E-6</v>
      </c>
      <c r="AZ52" s="2">
        <f t="shared" si="9"/>
        <v>7.1223659889094276E-6</v>
      </c>
      <c r="BA52" s="2">
        <f t="shared" si="10"/>
        <v>1.8217529597171308E-5</v>
      </c>
      <c r="BB52" s="2"/>
    </row>
    <row r="53" spans="8:54">
      <c r="AX53">
        <v>4</v>
      </c>
      <c r="AY53" s="2">
        <f t="shared" si="13"/>
        <v>6.9922071869392047E-6</v>
      </c>
      <c r="AZ53" s="2">
        <f t="shared" si="9"/>
        <v>7.1495158029158241E-6</v>
      </c>
      <c r="BA53" s="2">
        <f t="shared" si="10"/>
        <v>1.8375326100341831E-5</v>
      </c>
      <c r="BB53" s="2"/>
    </row>
    <row r="54" spans="8:54">
      <c r="AX54">
        <v>4.0999999999999996</v>
      </c>
      <c r="AY54" s="2">
        <f t="shared" si="13"/>
        <v>7.0231996205079875E-6</v>
      </c>
      <c r="AZ54" s="2">
        <f t="shared" si="9"/>
        <v>7.1755340210482443E-6</v>
      </c>
      <c r="BA54" s="2">
        <f t="shared" si="10"/>
        <v>1.8530839957171668E-5</v>
      </c>
      <c r="BB54" s="2"/>
    </row>
    <row r="55" spans="8:54">
      <c r="AX55">
        <v>4.2</v>
      </c>
      <c r="AY55" s="2">
        <f t="shared" si="13"/>
        <v>7.0533545301295767E-6</v>
      </c>
      <c r="AZ55" s="2">
        <f t="shared" si="9"/>
        <v>7.2004899459018065E-6</v>
      </c>
      <c r="BA55" s="2">
        <f t="shared" si="10"/>
        <v>1.8684210639727895E-5</v>
      </c>
      <c r="BB55" s="2"/>
    </row>
    <row r="56" spans="8:54">
      <c r="AX56">
        <v>4.3</v>
      </c>
      <c r="AY56" s="2">
        <f t="shared" si="13"/>
        <v>7.0827235150121158E-6</v>
      </c>
      <c r="AZ56" s="2">
        <f t="shared" si="9"/>
        <v>7.2244473342002604E-6</v>
      </c>
      <c r="BA56" s="2">
        <f t="shared" si="10"/>
        <v>1.8835566484360964E-5</v>
      </c>
      <c r="BB56" s="2"/>
    </row>
    <row r="57" spans="8:54">
      <c r="H57">
        <f>200/60</f>
        <v>3.3333333333333335</v>
      </c>
      <c r="AO57" t="s">
        <v>472</v>
      </c>
      <c r="AP57" t="s">
        <v>473</v>
      </c>
      <c r="AX57">
        <v>4.4000000000000004</v>
      </c>
      <c r="AY57" s="2">
        <f t="shared" si="13"/>
        <v>7.111354021008573E-6</v>
      </c>
      <c r="AZ57" s="2">
        <f t="shared" si="9"/>
        <v>7.2474649406688231E-6</v>
      </c>
      <c r="BA57" s="2">
        <f t="shared" si="10"/>
        <v>1.8985025781326444E-5</v>
      </c>
      <c r="BB57" s="2"/>
    </row>
    <row r="58" spans="8:54">
      <c r="AO58" t="s">
        <v>470</v>
      </c>
      <c r="AP58" s="2">
        <v>8.5169999999999999E-6</v>
      </c>
      <c r="AX58">
        <v>4.5</v>
      </c>
      <c r="AY58" s="2">
        <f t="shared" si="13"/>
        <v>7.1392897502663036E-6</v>
      </c>
      <c r="AZ58" s="2">
        <f t="shared" si="9"/>
        <v>7.2695969991343653E-6</v>
      </c>
      <c r="BA58" s="2">
        <f t="shared" si="10"/>
        <v>1.9132697738920134E-5</v>
      </c>
      <c r="BB58" s="2"/>
    </row>
    <row r="59" spans="8:54">
      <c r="AO59" t="s">
        <v>471</v>
      </c>
      <c r="AP59">
        <v>0.2132</v>
      </c>
      <c r="AX59">
        <v>4.5999999999999996</v>
      </c>
      <c r="AY59" s="2">
        <f t="shared" si="13"/>
        <v>7.1665710233295938E-6</v>
      </c>
      <c r="AZ59" s="2">
        <f t="shared" si="9"/>
        <v>7.2908936491459845E-6</v>
      </c>
      <c r="BA59" s="2">
        <f t="shared" si="10"/>
        <v>1.9278683338669277E-5</v>
      </c>
      <c r="BB59" s="2"/>
    </row>
    <row r="60" spans="8:54">
      <c r="AO60" t="s">
        <v>474</v>
      </c>
      <c r="AP60">
        <v>6.8239999999999998</v>
      </c>
      <c r="AX60">
        <v>4.7</v>
      </c>
      <c r="AY60" s="2">
        <f t="shared" si="13"/>
        <v>7.1932351000113865E-6</v>
      </c>
      <c r="AZ60" s="2">
        <f t="shared" si="9"/>
        <v>7.3114013151801425E-6</v>
      </c>
      <c r="BA60" s="2">
        <f t="shared" si="10"/>
        <v>1.9423076095676445E-5</v>
      </c>
      <c r="BB60" s="2"/>
    </row>
    <row r="61" spans="8:54">
      <c r="AA61" t="s">
        <v>74</v>
      </c>
      <c r="AB61" t="s">
        <v>14</v>
      </c>
      <c r="AC61" t="s">
        <v>15</v>
      </c>
      <c r="AD61" t="s">
        <v>450</v>
      </c>
      <c r="AE61" t="s">
        <v>306</v>
      </c>
      <c r="AN61">
        <v>0</v>
      </c>
      <c r="AO61">
        <f xml:space="preserve"> ($AP$58*$AP$60*SQRT(1+4*AN61/$AP$60)-$AP$58*$AP$60)/($AP$59+AN61)</f>
        <v>0</v>
      </c>
      <c r="AX61">
        <v>4.8</v>
      </c>
      <c r="AY61" s="2">
        <f t="shared" si="13"/>
        <v>7.2193164644094304E-6</v>
      </c>
      <c r="AZ61" s="2">
        <f t="shared" si="9"/>
        <v>7.3311630444666724E-6</v>
      </c>
      <c r="BA61" s="2">
        <f t="shared" si="10"/>
        <v>1.9565962736165813E-5</v>
      </c>
      <c r="BB61" s="2"/>
    </row>
    <row r="62" spans="8:54">
      <c r="AA62" s="1">
        <f>(H71+H72+H73)/3</f>
        <v>4.126666666666666</v>
      </c>
      <c r="AB62" t="e">
        <f>(Z75+#REF!+Z76)/3</f>
        <v>#REF!</v>
      </c>
      <c r="AC62" s="11" t="e">
        <f>#REF!</f>
        <v>#REF!</v>
      </c>
      <c r="AD62" s="11" t="e">
        <f>AC62/2</f>
        <v>#REF!</v>
      </c>
      <c r="AE62" s="11" t="e">
        <f>1/AC62</f>
        <v>#REF!</v>
      </c>
      <c r="AN62">
        <v>0.1</v>
      </c>
      <c r="AO62">
        <f t="shared" ref="AO62:AO125" si="14" xml:space="preserve"> ($AP$58*$AP$60*SQRT(1+4*AN62/$AP$60)-$AP$58*$AP$60)/($AP$59+AN62)</f>
        <v>5.3612514163661679E-6</v>
      </c>
      <c r="AX62">
        <v>4.9000000000000004</v>
      </c>
      <c r="AY62" s="2">
        <f t="shared" si="13"/>
        <v>7.2448470786557945E-6</v>
      </c>
      <c r="AZ62" s="2">
        <f t="shared" si="9"/>
        <v>7.3502188086094495E-6</v>
      </c>
      <c r="BA62" s="2">
        <f t="shared" si="10"/>
        <v>1.9707423802563328E-5</v>
      </c>
      <c r="BB62" s="2"/>
    </row>
    <row r="63" spans="8:54">
      <c r="AA63" s="1">
        <f>H74</f>
        <v>8.25</v>
      </c>
      <c r="AB63" s="5">
        <f t="shared" ref="AB63:AC68" si="15">Z77</f>
        <v>8.8670524486523027E-7</v>
      </c>
      <c r="AC63" s="11">
        <f t="shared" si="15"/>
        <v>563885.24021417589</v>
      </c>
      <c r="AD63" s="11">
        <f t="shared" ref="AD63:AD68" si="16">AC63/2</f>
        <v>281942.62010708795</v>
      </c>
      <c r="AE63" s="11">
        <f t="shared" ref="AE63:AE68" si="17">1/AC63</f>
        <v>1.7734104897304605E-6</v>
      </c>
      <c r="AN63">
        <v>0.2</v>
      </c>
      <c r="AO63">
        <f t="shared" si="14"/>
        <v>8.0164778748599657E-6</v>
      </c>
      <c r="AX63">
        <v>5</v>
      </c>
      <c r="AY63" s="2">
        <f t="shared" si="13"/>
        <v>7.269856609329551E-6</v>
      </c>
      <c r="AZ63" s="2">
        <f t="shared" si="9"/>
        <v>7.3686057734491525E-6</v>
      </c>
      <c r="BA63" s="2">
        <f t="shared" si="10"/>
        <v>1.9847534194994658E-5</v>
      </c>
      <c r="BB63" s="2"/>
    </row>
    <row r="64" spans="8:54">
      <c r="AA64" s="1">
        <f>H75</f>
        <v>1.03</v>
      </c>
      <c r="AB64" s="5">
        <f t="shared" si="15"/>
        <v>1.4339338015279263E-6</v>
      </c>
      <c r="AC64" s="11">
        <f t="shared" si="15"/>
        <v>348691.13167373952</v>
      </c>
      <c r="AD64" s="11">
        <f t="shared" si="16"/>
        <v>174345.56583686976</v>
      </c>
      <c r="AE64" s="11">
        <f t="shared" si="17"/>
        <v>2.8678676030558525E-6</v>
      </c>
      <c r="AN64">
        <v>0.3</v>
      </c>
      <c r="AO64">
        <f t="shared" si="14"/>
        <v>9.5544839346930798E-6</v>
      </c>
      <c r="AX64">
        <v>5.0999999999999996</v>
      </c>
      <c r="AY64" s="2">
        <f t="shared" si="13"/>
        <v>7.2943726299079267E-6</v>
      </c>
      <c r="AZ64" s="2">
        <f t="shared" si="9"/>
        <v>7.3863585410019825E-6</v>
      </c>
      <c r="BA64" s="2">
        <f t="shared" si="10"/>
        <v>1.9986363656861563E-5</v>
      </c>
      <c r="BB64" s="2"/>
    </row>
    <row r="65" spans="7:54">
      <c r="AA65" s="1" t="e">
        <f>#REF!</f>
        <v>#REF!</v>
      </c>
      <c r="AB65" s="5">
        <f t="shared" si="15"/>
        <v>1.4339338015279263E-6</v>
      </c>
      <c r="AC65" s="11">
        <f t="shared" si="15"/>
        <v>348691.13167373952</v>
      </c>
      <c r="AD65" s="11">
        <f t="shared" si="16"/>
        <v>174345.56583686976</v>
      </c>
      <c r="AE65" s="11">
        <f t="shared" si="17"/>
        <v>2.8678676030558525E-6</v>
      </c>
      <c r="AN65">
        <v>0.4</v>
      </c>
      <c r="AO65">
        <f t="shared" si="14"/>
        <v>1.0526955118998101E-5</v>
      </c>
      <c r="AX65">
        <v>5.2</v>
      </c>
      <c r="AY65" s="2">
        <f t="shared" si="13"/>
        <v>7.318420802163136E-6</v>
      </c>
      <c r="AZ65" s="2">
        <f t="shared" si="9"/>
        <v>7.4035093667881657E-6</v>
      </c>
      <c r="BA65" s="2">
        <f t="shared" si="10"/>
        <v>2.0123977211120322E-5</v>
      </c>
      <c r="BB65" s="2"/>
    </row>
    <row r="66" spans="7:54">
      <c r="AA66" s="1">
        <f>H76</f>
        <v>3.09</v>
      </c>
      <c r="AB66" s="5">
        <f t="shared" si="15"/>
        <v>1.4339338015279263E-6</v>
      </c>
      <c r="AC66" s="11">
        <f t="shared" si="15"/>
        <v>348691.13167373952</v>
      </c>
      <c r="AD66" s="11">
        <f t="shared" si="16"/>
        <v>174345.56583686976</v>
      </c>
      <c r="AE66" s="11">
        <f t="shared" si="17"/>
        <v>2.8678676030558525E-6</v>
      </c>
      <c r="AJ66" s="11"/>
      <c r="AN66">
        <v>0.5</v>
      </c>
      <c r="AO66">
        <f t="shared" si="14"/>
        <v>1.1175647779982926E-5</v>
      </c>
      <c r="AX66">
        <v>5.3</v>
      </c>
      <c r="AY66" s="2">
        <f t="shared" si="13"/>
        <v>7.3420250390159133E-6</v>
      </c>
      <c r="AZ66" s="2">
        <f t="shared" si="9"/>
        <v>7.4200883554221889E-6</v>
      </c>
      <c r="BA66" s="2">
        <f t="shared" si="10"/>
        <v>2.0260435553004209E-5</v>
      </c>
      <c r="BB66" s="2"/>
    </row>
    <row r="67" spans="7:54">
      <c r="AA67" s="1">
        <f>L77</f>
        <v>0</v>
      </c>
      <c r="AB67" s="5">
        <f t="shared" si="15"/>
        <v>3.2491227927031254E-7</v>
      </c>
      <c r="AC67" s="11">
        <f t="shared" si="15"/>
        <v>1538876.8966285274</v>
      </c>
      <c r="AD67" s="11">
        <f t="shared" si="16"/>
        <v>769438.44831426372</v>
      </c>
      <c r="AE67" s="11">
        <f t="shared" si="17"/>
        <v>6.4982455854062507E-7</v>
      </c>
      <c r="AG67" s="2"/>
      <c r="AN67">
        <v>0.6</v>
      </c>
      <c r="AO67">
        <f t="shared" si="14"/>
        <v>1.1623021507667253E-5</v>
      </c>
      <c r="AX67">
        <v>5.4</v>
      </c>
      <c r="AY67" s="2">
        <f t="shared" si="13"/>
        <v>7.3652076510202027E-6</v>
      </c>
      <c r="AZ67" s="2">
        <f t="shared" si="9"/>
        <v>7.4361236369599082E-6</v>
      </c>
      <c r="BA67" s="2">
        <f t="shared" si="10"/>
        <v>2.0395795404180099E-5</v>
      </c>
      <c r="BB67" s="2"/>
    </row>
    <row r="68" spans="7:54">
      <c r="AA68" s="1">
        <f>L78</f>
        <v>0</v>
      </c>
      <c r="AB68" s="5">
        <f t="shared" si="15"/>
        <v>8.5994964618126993E-7</v>
      </c>
      <c r="AC68" s="11">
        <f t="shared" si="15"/>
        <v>581429.39208164322</v>
      </c>
      <c r="AD68" s="11">
        <f t="shared" si="16"/>
        <v>290714.69604082161</v>
      </c>
      <c r="AE68" s="11">
        <f t="shared" si="17"/>
        <v>1.7198992923625401E-6</v>
      </c>
      <c r="AG68" s="2"/>
      <c r="AN68">
        <v>0.7</v>
      </c>
      <c r="AO68">
        <f t="shared" si="14"/>
        <v>1.1937608071818459E-5</v>
      </c>
      <c r="AX68">
        <v>5.5</v>
      </c>
      <c r="AY68" s="2">
        <f t="shared" si="13"/>
        <v>7.3879894783668893E-6</v>
      </c>
      <c r="AZ68" s="2">
        <f t="shared" si="9"/>
        <v>7.4516415261756874E-6</v>
      </c>
      <c r="BA68" s="2">
        <f t="shared" si="10"/>
        <v>2.0530109832686516E-5</v>
      </c>
      <c r="BB68" s="2"/>
    </row>
    <row r="69" spans="7:54">
      <c r="AD69" s="11"/>
      <c r="AE69" s="2"/>
      <c r="AG69" s="2"/>
      <c r="AN69">
        <v>0.8</v>
      </c>
      <c r="AO69">
        <f t="shared" si="14"/>
        <v>1.2160661462748389E-5</v>
      </c>
      <c r="AX69">
        <v>5.6</v>
      </c>
      <c r="AY69" s="2">
        <f t="shared" si="13"/>
        <v>7.4103900100495999E-6</v>
      </c>
      <c r="AZ69" s="2">
        <f t="shared" si="9"/>
        <v>7.4666666666666666E-6</v>
      </c>
      <c r="BA69" s="2">
        <f t="shared" si="10"/>
        <v>2.0663428542449165E-5</v>
      </c>
      <c r="BB69" s="2"/>
    </row>
    <row r="70" spans="7:54">
      <c r="G70" t="s">
        <v>46</v>
      </c>
      <c r="H70" t="s">
        <v>74</v>
      </c>
      <c r="I70" t="s">
        <v>20</v>
      </c>
      <c r="J70" t="s">
        <v>22</v>
      </c>
      <c r="K70" t="s">
        <v>23</v>
      </c>
      <c r="L70" t="s">
        <v>24</v>
      </c>
      <c r="M70" t="s">
        <v>24</v>
      </c>
      <c r="N70" t="s">
        <v>24</v>
      </c>
      <c r="O70" t="s">
        <v>24</v>
      </c>
      <c r="P70" t="s">
        <v>25</v>
      </c>
      <c r="Q70" t="s">
        <v>26</v>
      </c>
      <c r="R70" t="s">
        <v>27</v>
      </c>
      <c r="S70" t="s">
        <v>28</v>
      </c>
      <c r="T70" t="s">
        <v>30</v>
      </c>
      <c r="U70" t="s">
        <v>29</v>
      </c>
      <c r="V70" t="s">
        <v>77</v>
      </c>
      <c r="W70" t="s">
        <v>31</v>
      </c>
      <c r="X70" t="s">
        <v>14</v>
      </c>
      <c r="Y70" t="s">
        <v>15</v>
      </c>
      <c r="Z70" t="s">
        <v>450</v>
      </c>
      <c r="AA70" t="s">
        <v>460</v>
      </c>
      <c r="AB70" t="s">
        <v>469</v>
      </c>
      <c r="AD70" s="11"/>
      <c r="AE70" s="2"/>
      <c r="AG70" s="2"/>
      <c r="AH70" t="s">
        <v>43</v>
      </c>
      <c r="AI70" t="s">
        <v>42</v>
      </c>
      <c r="AN70">
        <v>0.9</v>
      </c>
      <c r="AO70">
        <f t="shared" si="14"/>
        <v>1.2318437852249888E-5</v>
      </c>
      <c r="AX70">
        <v>5.7</v>
      </c>
      <c r="AY70" s="2">
        <f t="shared" si="13"/>
        <v>7.432427491625993E-6</v>
      </c>
      <c r="AZ70" s="2">
        <f t="shared" si="9"/>
        <v>7.4812221614440874E-6</v>
      </c>
      <c r="BA70" s="2">
        <f t="shared" si="10"/>
        <v>2.0795798135696345E-5</v>
      </c>
      <c r="BB70" s="2"/>
    </row>
    <row r="71" spans="7:54">
      <c r="G71">
        <f>I104</f>
        <v>313.14999999999998</v>
      </c>
      <c r="H71" s="1">
        <v>2.06</v>
      </c>
      <c r="I71" s="2">
        <f>V104</f>
        <v>1.1652058432934926E-5</v>
      </c>
      <c r="J71" s="2">
        <f>V108</f>
        <v>1.2196547144754317E-5</v>
      </c>
      <c r="K71" s="2">
        <f>V112</f>
        <v>1.1654714475431606E-5</v>
      </c>
      <c r="L71" s="2"/>
      <c r="M71" s="2"/>
      <c r="N71" s="2"/>
      <c r="O71" s="2"/>
      <c r="P71" s="2">
        <f>V121</f>
        <v>1.3009296148738381E-5</v>
      </c>
      <c r="Q71" s="11">
        <f>V124</f>
        <v>1.3009296148738381E-5</v>
      </c>
      <c r="U71" s="2"/>
      <c r="X71" s="2">
        <f>(I71+J71+K71+Q71+P71)/5</f>
        <v>1.2304382470119523E-5</v>
      </c>
      <c r="Y71" s="2">
        <f>SQRT(1/4*((I71-X71)^2+(J71-X71)^2+(K71-X71)^2+(Q71-X71)^2+(P71-X71)^2))</f>
        <v>6.8063025917439039E-7</v>
      </c>
      <c r="Z71" s="2">
        <f t="shared" ref="Z71:Z84" si="18">Y71/2</f>
        <v>3.4031512958719519E-7</v>
      </c>
      <c r="AA71" s="2">
        <f t="shared" ref="AA71:AA84" si="19">1/Y71</f>
        <v>1469226.4801935304</v>
      </c>
      <c r="AB71" s="2">
        <f t="shared" ref="AB71:AB84" si="20">$Z$74</f>
        <v>1.4339338015279263E-6</v>
      </c>
      <c r="AD71" s="11"/>
      <c r="AE71" s="2"/>
      <c r="AG71" s="2"/>
      <c r="AH71">
        <v>0.15559999999999999</v>
      </c>
      <c r="AI71" s="2">
        <v>9.7549999999999999E-5</v>
      </c>
      <c r="AN71">
        <v>1</v>
      </c>
      <c r="AO71">
        <f t="shared" si="14"/>
        <v>1.2428397980851716E-5</v>
      </c>
      <c r="AX71">
        <v>5.8</v>
      </c>
      <c r="AY71" s="2">
        <f t="shared" si="13"/>
        <v>7.454119022827896E-6</v>
      </c>
      <c r="AZ71" s="2">
        <f t="shared" si="9"/>
        <v>7.4953296914672609E-6</v>
      </c>
      <c r="BA71" s="2">
        <f t="shared" si="10"/>
        <v>2.0927262351188189E-5</v>
      </c>
      <c r="BB71" s="2"/>
    </row>
    <row r="72" spans="7:54">
      <c r="G72">
        <f t="shared" ref="G72:G84" si="21">I105</f>
        <v>313.14999999999998</v>
      </c>
      <c r="H72" s="1">
        <v>4.13</v>
      </c>
      <c r="I72" s="2">
        <f>V105</f>
        <v>1.2106241699867198E-5</v>
      </c>
      <c r="J72" s="2">
        <f>V109</f>
        <v>1.1654714475431606E-5</v>
      </c>
      <c r="K72" s="2"/>
      <c r="L72" s="2">
        <f>V116</f>
        <v>1.1250996015936254E-5</v>
      </c>
      <c r="M72" s="2">
        <f>V117</f>
        <v>1.1498007968127489E-5</v>
      </c>
      <c r="N72" s="2">
        <f>V118</f>
        <v>1.1513944223107571E-5</v>
      </c>
      <c r="O72" s="2">
        <f>V119</f>
        <v>1.0594953519256307E-5</v>
      </c>
      <c r="P72" s="2">
        <f>V123</f>
        <v>1.0298804780876494E-5</v>
      </c>
      <c r="Q72" s="11">
        <f>V125</f>
        <v>1.3009296148738381E-5</v>
      </c>
      <c r="U72" s="2"/>
      <c r="X72" s="2">
        <f>(I72+J72+K72+L72+M72+N72+O72+P72+Q72)/9</f>
        <v>1.02141065368157E-5</v>
      </c>
      <c r="Y72" s="2">
        <f>SQRT(1/7*((I72-X72)^2+(J72-X72)^2+(L72-X72)^2+(M72-X72)^2+(N72-X72)^2+(O72-X72)^2+(P72-X72)^2+(Q72-X72)^2))</f>
        <v>1.6050790180451117E-6</v>
      </c>
      <c r="Z72" s="2">
        <f t="shared" si="18"/>
        <v>8.0253950902255586E-7</v>
      </c>
      <c r="AA72" s="2">
        <f t="shared" si="19"/>
        <v>623022.28660239978</v>
      </c>
      <c r="AB72" s="2">
        <f t="shared" si="20"/>
        <v>1.4339338015279263E-6</v>
      </c>
      <c r="AD72" s="11"/>
      <c r="AE72" s="2"/>
      <c r="AG72" s="2" t="s">
        <v>99</v>
      </c>
      <c r="AH72" t="s">
        <v>137</v>
      </c>
      <c r="AI72" t="s">
        <v>138</v>
      </c>
      <c r="AN72">
        <v>1.1000000000000001</v>
      </c>
      <c r="AO72">
        <f t="shared" si="14"/>
        <v>1.250257243550811E-5</v>
      </c>
      <c r="AX72">
        <v>5.9</v>
      </c>
      <c r="AY72" s="2">
        <f t="shared" si="13"/>
        <v>7.47548064611865E-6</v>
      </c>
      <c r="AZ72" s="2">
        <f t="shared" si="9"/>
        <v>7.5090096233992569E-6</v>
      </c>
      <c r="BA72" s="2">
        <f t="shared" si="10"/>
        <v>2.1057862280821193E-5</v>
      </c>
      <c r="BB72" s="2"/>
    </row>
    <row r="73" spans="7:54">
      <c r="G73">
        <f t="shared" si="21"/>
        <v>313.14999999999998</v>
      </c>
      <c r="H73" s="1">
        <v>6.19</v>
      </c>
      <c r="I73" s="2">
        <f>V106</f>
        <v>1.1003984063745019E-5</v>
      </c>
      <c r="J73" s="2">
        <f>V110</f>
        <v>1.2196547144754317E-5</v>
      </c>
      <c r="K73" s="2">
        <f>V114</f>
        <v>1.0840637450199203E-5</v>
      </c>
      <c r="L73" s="2"/>
      <c r="M73" s="2"/>
      <c r="N73" s="2"/>
      <c r="O73" s="2"/>
      <c r="P73" s="2"/>
      <c r="Q73" s="11">
        <f>V126</f>
        <v>1.1654714475431606E-5</v>
      </c>
      <c r="U73" s="2"/>
      <c r="X73" s="2">
        <f>(I73+J73+K73+Q73)/4</f>
        <v>1.1423970783532536E-5</v>
      </c>
      <c r="Y73" s="2">
        <f>SQRT(1/3*((I73-X73)^2+(J73-X73)^2+(K73-X73)^2+(Q73-X73)^2))</f>
        <v>6.2364079079909342E-7</v>
      </c>
      <c r="Z73" s="2">
        <f t="shared" si="18"/>
        <v>3.1182039539954671E-7</v>
      </c>
      <c r="AA73" s="2">
        <f t="shared" si="19"/>
        <v>1603487.1592005135</v>
      </c>
      <c r="AB73" s="2">
        <f t="shared" si="20"/>
        <v>1.4339338015279263E-6</v>
      </c>
      <c r="AD73" s="11"/>
      <c r="AE73" s="2"/>
      <c r="AG73" s="2"/>
      <c r="AN73">
        <v>1.2</v>
      </c>
      <c r="AO73">
        <f t="shared" si="14"/>
        <v>1.2549495708778731E-5</v>
      </c>
      <c r="AX73">
        <v>6</v>
      </c>
      <c r="AY73" s="2">
        <f t="shared" si="13"/>
        <v>7.4965274271622981E-6</v>
      </c>
      <c r="AZ73" s="2">
        <f t="shared" si="9"/>
        <v>7.5222811077106811E-6</v>
      </c>
      <c r="BA73" s="2">
        <f t="shared" si="10"/>
        <v>2.118763656686389E-5</v>
      </c>
      <c r="BB73" s="2"/>
    </row>
    <row r="74" spans="7:54">
      <c r="G74">
        <f t="shared" si="21"/>
        <v>313.14999999999998</v>
      </c>
      <c r="H74" s="1">
        <v>8.25</v>
      </c>
      <c r="I74" s="2">
        <f>V107</f>
        <v>7.9322709163346604E-6</v>
      </c>
      <c r="J74" s="2">
        <f>V111</f>
        <v>9.7569721115537851E-6</v>
      </c>
      <c r="K74" s="2"/>
      <c r="L74" s="2"/>
      <c r="M74" s="2"/>
      <c r="N74" s="2"/>
      <c r="O74" s="2"/>
      <c r="P74" s="2"/>
      <c r="Q74" s="11">
        <f>V127</f>
        <v>8.9442231075697211E-6</v>
      </c>
      <c r="U74" s="2"/>
      <c r="X74" s="2">
        <f>(I74+J74+K74+Q74)/4</f>
        <v>6.6583665338645421E-6</v>
      </c>
      <c r="Y74" s="2">
        <f>SQRT(1/2*((I74-X74)^2+(J74-X74)^2+(Q74-X74)^2))</f>
        <v>2.8678676030558525E-6</v>
      </c>
      <c r="Z74" s="2">
        <f t="shared" si="18"/>
        <v>1.4339338015279263E-6</v>
      </c>
      <c r="AA74" s="2">
        <f t="shared" si="19"/>
        <v>348691.13167373952</v>
      </c>
      <c r="AB74" s="2">
        <f t="shared" si="20"/>
        <v>1.4339338015279263E-6</v>
      </c>
      <c r="AD74" s="11"/>
      <c r="AE74" s="2"/>
      <c r="AG74" s="2" t="s">
        <v>70</v>
      </c>
      <c r="AH74" t="s">
        <v>75</v>
      </c>
      <c r="AI74" t="s">
        <v>42</v>
      </c>
      <c r="AJ74" t="s">
        <v>101</v>
      </c>
      <c r="AN74">
        <v>1.3</v>
      </c>
      <c r="AO74">
        <f t="shared" si="14"/>
        <v>1.2575371541170345E-5</v>
      </c>
      <c r="AX74">
        <v>6.1</v>
      </c>
      <c r="AY74" s="2">
        <f t="shared" si="13"/>
        <v>7.5172735280534974E-6</v>
      </c>
      <c r="AZ74" s="2">
        <f t="shared" si="9"/>
        <v>7.5351621681253213E-6</v>
      </c>
      <c r="BA74" s="2">
        <f t="shared" si="10"/>
        <v>2.131662158181471E-5</v>
      </c>
      <c r="BB74" s="2"/>
    </row>
    <row r="75" spans="7:54">
      <c r="G75">
        <f t="shared" si="21"/>
        <v>313.14999999999998</v>
      </c>
      <c r="H75" s="1">
        <f>O120</f>
        <v>1.03</v>
      </c>
      <c r="I75" s="2"/>
      <c r="J75" s="2"/>
      <c r="K75" s="2"/>
      <c r="L75" s="2"/>
      <c r="M75" s="2"/>
      <c r="N75" s="2"/>
      <c r="O75" s="2"/>
      <c r="P75" s="2">
        <f>V120</f>
        <v>1.1925630810092961E-5</v>
      </c>
      <c r="U75" s="2"/>
      <c r="X75" s="2">
        <f>P75</f>
        <v>1.1925630810092961E-5</v>
      </c>
      <c r="Y75" s="2">
        <f>Y72</f>
        <v>1.6050790180451117E-6</v>
      </c>
      <c r="Z75" s="2">
        <f t="shared" si="18"/>
        <v>8.0253950902255586E-7</v>
      </c>
      <c r="AA75" s="2">
        <f t="shared" si="19"/>
        <v>623022.28660239978</v>
      </c>
      <c r="AB75" s="2">
        <f t="shared" si="20"/>
        <v>1.4339338015279263E-6</v>
      </c>
      <c r="AD75" s="11"/>
      <c r="AE75" s="2"/>
      <c r="AG75">
        <v>0</v>
      </c>
      <c r="AH75">
        <f>($AI$71*AG75)/($AH$71+AG75)</f>
        <v>0</v>
      </c>
      <c r="AI75" s="2">
        <f>$AI$71</f>
        <v>9.7549999999999999E-5</v>
      </c>
      <c r="AJ75" s="2">
        <v>9.0710000000000004E-5</v>
      </c>
      <c r="AK75">
        <v>1.0119999999999999E-4</v>
      </c>
      <c r="AN75">
        <v>1.4</v>
      </c>
      <c r="AO75">
        <f t="shared" si="14"/>
        <v>1.2584803422149535E-5</v>
      </c>
      <c r="AX75">
        <v>6.2</v>
      </c>
      <c r="AY75" s="2">
        <f t="shared" si="13"/>
        <v>7.5377322740567841E-6</v>
      </c>
      <c r="AZ75" s="2">
        <f t="shared" si="9"/>
        <v>7.5476697832862217E-6</v>
      </c>
      <c r="BA75" s="2">
        <f t="shared" si="10"/>
        <v>2.1444851592642442E-5</v>
      </c>
      <c r="BB75" s="2"/>
    </row>
    <row r="76" spans="7:54">
      <c r="G76">
        <f t="shared" si="21"/>
        <v>313.14999999999998</v>
      </c>
      <c r="H76" s="1">
        <f>O122</f>
        <v>3.09</v>
      </c>
      <c r="I76" s="2"/>
      <c r="J76" s="2"/>
      <c r="K76" s="2"/>
      <c r="L76" s="2"/>
      <c r="M76" s="2"/>
      <c r="N76" s="2"/>
      <c r="O76" s="2"/>
      <c r="P76" s="2">
        <f>V122</f>
        <v>1.2196547144754317E-5</v>
      </c>
      <c r="U76" s="2"/>
      <c r="X76" s="2">
        <f>P76</f>
        <v>1.2196547144754317E-5</v>
      </c>
      <c r="Y76" s="2">
        <f>Y73</f>
        <v>6.2364079079909342E-7</v>
      </c>
      <c r="Z76" s="2">
        <f t="shared" si="18"/>
        <v>3.1182039539954671E-7</v>
      </c>
      <c r="AA76" s="2">
        <f t="shared" si="19"/>
        <v>1603487.1592005135</v>
      </c>
      <c r="AB76" s="2">
        <f t="shared" si="20"/>
        <v>1.4339338015279263E-6</v>
      </c>
      <c r="AD76" s="11"/>
      <c r="AE76" s="2"/>
      <c r="AG76" s="6">
        <v>0.1</v>
      </c>
      <c r="AH76">
        <f t="shared" ref="AH76:AH139" si="22">($AI$71*AG76)/($AH$71+AG76)</f>
        <v>3.8165101721439755E-5</v>
      </c>
      <c r="AI76" s="2">
        <f t="shared" ref="AI76:AI139" si="23">$AI$71</f>
        <v>9.7549999999999999E-5</v>
      </c>
      <c r="AJ76" s="2">
        <v>9.0710000000000004E-5</v>
      </c>
      <c r="AK76">
        <v>1.0119999999999999E-4</v>
      </c>
      <c r="AN76">
        <v>1.5</v>
      </c>
      <c r="AO76">
        <f t="shared" si="14"/>
        <v>1.2581268156618981E-5</v>
      </c>
      <c r="AX76">
        <v>6.3</v>
      </c>
      <c r="AY76" s="2">
        <f t="shared" si="13"/>
        <v>7.5579162145165519E-6</v>
      </c>
      <c r="AZ76" s="2">
        <f t="shared" si="9"/>
        <v>7.5598199614203044E-6</v>
      </c>
      <c r="BA76" s="2">
        <f t="shared" si="10"/>
        <v>2.1572358910968772E-5</v>
      </c>
      <c r="BB76" s="2"/>
    </row>
    <row r="77" spans="7:54">
      <c r="G77">
        <f t="shared" si="21"/>
        <v>313.14999999999998</v>
      </c>
      <c r="H77" s="1">
        <f t="shared" ref="H77:H83" si="24">O128</f>
        <v>0.38</v>
      </c>
      <c r="L77" s="2"/>
      <c r="M77" s="2"/>
      <c r="N77" s="2"/>
      <c r="O77" s="2"/>
      <c r="P77" s="2"/>
      <c r="Q77" s="2"/>
      <c r="R77" s="2">
        <f>V128</f>
        <v>9.9442231075697216E-6</v>
      </c>
      <c r="S77" s="2">
        <f>V135</f>
        <v>8.1088977423638778E-6</v>
      </c>
      <c r="T77" s="2">
        <f>V137</f>
        <v>1.2393094289508631E-5</v>
      </c>
      <c r="U77" s="2">
        <f>V142</f>
        <v>9.6387782204515271E-6</v>
      </c>
      <c r="X77" s="2">
        <f>(R77+S77+T77+U77)/4</f>
        <v>1.0021248339973439E-5</v>
      </c>
      <c r="Y77" s="2">
        <f>SQRT(1/3*((R77-X77)^2+(S77-X77)^2+(T77-X77)^2+(U77-X77)^2))</f>
        <v>1.7734104897304605E-6</v>
      </c>
      <c r="Z77" s="2">
        <f t="shared" si="18"/>
        <v>8.8670524486523027E-7</v>
      </c>
      <c r="AA77" s="2">
        <f t="shared" si="19"/>
        <v>563885.24021417589</v>
      </c>
      <c r="AB77" s="2">
        <f t="shared" si="20"/>
        <v>1.4339338015279263E-6</v>
      </c>
      <c r="AD77" s="11"/>
      <c r="AE77" s="2"/>
      <c r="AG77" s="6">
        <v>0.2</v>
      </c>
      <c r="AH77">
        <f t="shared" si="22"/>
        <v>5.4865016872890886E-5</v>
      </c>
      <c r="AI77" s="2">
        <f t="shared" si="23"/>
        <v>9.7549999999999999E-5</v>
      </c>
      <c r="AJ77" s="2">
        <v>9.0710000000000004E-5</v>
      </c>
      <c r="AK77">
        <v>1.0119999999999999E-4</v>
      </c>
      <c r="AN77">
        <v>1.6</v>
      </c>
      <c r="AO77">
        <f t="shared" si="14"/>
        <v>1.256743186505313E-5</v>
      </c>
      <c r="AX77">
        <v>6.4</v>
      </c>
      <c r="AY77" s="2">
        <f t="shared" ref="AY77:AY108" si="25">($AV$6*AX77)/($AU$6+AX77)+AX77*$AW$6</f>
        <v>7.5778371785232585E-6</v>
      </c>
      <c r="AZ77" s="2">
        <f t="shared" si="9"/>
        <v>7.5716278086919765E-6</v>
      </c>
      <c r="BA77" s="2">
        <f t="shared" si="10"/>
        <v>2.1699174030577082E-5</v>
      </c>
      <c r="BB77" s="2"/>
    </row>
    <row r="78" spans="7:54">
      <c r="G78">
        <f t="shared" si="21"/>
        <v>313.14999999999998</v>
      </c>
      <c r="H78" s="1">
        <f t="shared" si="24"/>
        <v>0.76</v>
      </c>
      <c r="L78" s="2"/>
      <c r="M78" s="2"/>
      <c r="N78" s="2"/>
      <c r="O78" s="2"/>
      <c r="P78" s="2"/>
      <c r="Q78" s="2"/>
      <c r="R78" s="2">
        <f>V129</f>
        <v>1.2086321381142098E-5</v>
      </c>
      <c r="S78" s="2"/>
      <c r="T78" s="2"/>
      <c r="U78" s="2"/>
      <c r="X78" s="2">
        <f>R78</f>
        <v>1.2086321381142098E-5</v>
      </c>
      <c r="Y78" s="2">
        <f>Y74</f>
        <v>2.8678676030558525E-6</v>
      </c>
      <c r="Z78" s="2">
        <f t="shared" si="18"/>
        <v>1.4339338015279263E-6</v>
      </c>
      <c r="AA78" s="2">
        <f t="shared" si="19"/>
        <v>348691.13167373952</v>
      </c>
      <c r="AB78" s="2">
        <f t="shared" si="20"/>
        <v>1.4339338015279263E-6</v>
      </c>
      <c r="AD78" s="11"/>
      <c r="AE78" s="2"/>
      <c r="AG78" s="6">
        <v>0.3</v>
      </c>
      <c r="AH78">
        <f t="shared" si="22"/>
        <v>6.4233977172958726E-5</v>
      </c>
      <c r="AI78" s="2">
        <f t="shared" si="23"/>
        <v>9.7549999999999999E-5</v>
      </c>
      <c r="AJ78" s="2">
        <v>9.0710000000000004E-5</v>
      </c>
      <c r="AK78">
        <v>1.0119999999999999E-4</v>
      </c>
      <c r="AN78">
        <v>1.7</v>
      </c>
      <c r="AO78">
        <f t="shared" si="14"/>
        <v>1.2545366202222464E-5</v>
      </c>
      <c r="AX78">
        <v>6.5</v>
      </c>
      <c r="AY78" s="2">
        <f t="shared" si="25"/>
        <v>7.5975063258550947E-6</v>
      </c>
      <c r="AZ78" s="2">
        <f t="shared" ref="AZ78:AZ113" si="26">($AV$7*AX78)/($AU$7+AX78)</f>
        <v>7.5831075918594144E-6</v>
      </c>
      <c r="BA78" s="2">
        <f t="shared" ref="BA78:BA113" si="27">($AZ$6*AX78)/($AY$6+AX78)+AX78*$BA$6</f>
        <v>2.1825325753477858E-5</v>
      </c>
      <c r="BB78" s="2"/>
    </row>
    <row r="79" spans="7:54">
      <c r="G79">
        <f t="shared" si="21"/>
        <v>313.14999999999998</v>
      </c>
      <c r="H79" s="1">
        <f t="shared" si="24"/>
        <v>1.1499999999999999</v>
      </c>
      <c r="L79" s="2"/>
      <c r="M79" s="2"/>
      <c r="N79" s="2"/>
      <c r="O79" s="2"/>
      <c r="P79" s="2"/>
      <c r="Q79" s="2"/>
      <c r="R79" s="2">
        <f>V130</f>
        <v>1.2545816733067729E-5</v>
      </c>
      <c r="S79" s="2"/>
      <c r="T79" s="2"/>
      <c r="U79" s="2"/>
      <c r="X79" s="2">
        <f>R79</f>
        <v>1.2545816733067729E-5</v>
      </c>
      <c r="Y79" s="2">
        <f>Y74</f>
        <v>2.8678676030558525E-6</v>
      </c>
      <c r="Z79" s="2">
        <f t="shared" si="18"/>
        <v>1.4339338015279263E-6</v>
      </c>
      <c r="AA79" s="2">
        <f t="shared" si="19"/>
        <v>348691.13167373952</v>
      </c>
      <c r="AB79" s="2">
        <f t="shared" si="20"/>
        <v>1.4339338015279263E-6</v>
      </c>
      <c r="AD79" s="11"/>
      <c r="AE79" s="2"/>
      <c r="AG79">
        <v>0.4</v>
      </c>
      <c r="AH79">
        <f t="shared" si="22"/>
        <v>7.0230381569474446E-5</v>
      </c>
      <c r="AI79" s="2">
        <f t="shared" si="23"/>
        <v>9.7549999999999999E-5</v>
      </c>
      <c r="AJ79" s="2">
        <v>9.0710000000000004E-5</v>
      </c>
      <c r="AK79">
        <v>1.0119999999999999E-4</v>
      </c>
      <c r="AN79">
        <v>1.8</v>
      </c>
      <c r="AO79">
        <f t="shared" si="14"/>
        <v>1.2516699592745009E-5</v>
      </c>
      <c r="AX79">
        <v>6.6</v>
      </c>
      <c r="AY79" s="2">
        <f t="shared" si="25"/>
        <v>7.6169341936563732E-6</v>
      </c>
      <c r="AZ79" s="2">
        <f t="shared" si="26"/>
        <v>7.5942727957799547E-6</v>
      </c>
      <c r="BA79" s="2">
        <f t="shared" si="27"/>
        <v>2.1950841305626617E-5</v>
      </c>
      <c r="BB79" s="2"/>
    </row>
    <row r="80" spans="7:54">
      <c r="G80">
        <f t="shared" si="21"/>
        <v>313.14999999999998</v>
      </c>
      <c r="H80" s="1">
        <f t="shared" si="24"/>
        <v>1.53</v>
      </c>
      <c r="L80" s="2"/>
      <c r="M80" s="2"/>
      <c r="N80" s="2"/>
      <c r="O80" s="2"/>
      <c r="P80" s="2"/>
      <c r="Q80" s="2"/>
      <c r="R80" s="2">
        <f>V131</f>
        <v>1.2851261620185921E-5</v>
      </c>
      <c r="S80" s="2"/>
      <c r="T80" s="2"/>
      <c r="U80" s="2"/>
      <c r="X80" s="2">
        <f>R80</f>
        <v>1.2851261620185921E-5</v>
      </c>
      <c r="Y80" s="2">
        <f>Y74</f>
        <v>2.8678676030558525E-6</v>
      </c>
      <c r="Z80" s="2">
        <f t="shared" si="18"/>
        <v>1.4339338015279263E-6</v>
      </c>
      <c r="AA80" s="2">
        <f t="shared" si="19"/>
        <v>348691.13167373952</v>
      </c>
      <c r="AB80" s="2">
        <f t="shared" si="20"/>
        <v>1.4339338015279263E-6</v>
      </c>
      <c r="AD80" s="11"/>
      <c r="AE80" s="2"/>
      <c r="AG80" s="6">
        <v>0.5</v>
      </c>
      <c r="AH80">
        <f t="shared" si="22"/>
        <v>7.4397498474679691E-5</v>
      </c>
      <c r="AI80" s="2">
        <f t="shared" si="23"/>
        <v>9.7549999999999999E-5</v>
      </c>
      <c r="AJ80" s="2">
        <v>9.0710000000000004E-5</v>
      </c>
      <c r="AK80">
        <v>1.0119999999999999E-4</v>
      </c>
      <c r="AN80">
        <v>1.9</v>
      </c>
      <c r="AO80">
        <f t="shared" si="14"/>
        <v>1.2482725089831612E-5</v>
      </c>
      <c r="AX80">
        <v>6.7</v>
      </c>
      <c r="AY80" s="2">
        <f t="shared" si="25"/>
        <v>7.6361307392632124E-6</v>
      </c>
      <c r="AZ80" s="2">
        <f t="shared" si="26"/>
        <v>7.6051361762519425E-6</v>
      </c>
      <c r="BA80" s="2">
        <f t="shared" si="27"/>
        <v>2.2075746443271839E-5</v>
      </c>
      <c r="BB80" s="2"/>
    </row>
    <row r="81" spans="7:54">
      <c r="G81">
        <f t="shared" si="21"/>
        <v>313.14999999999998</v>
      </c>
      <c r="H81" s="1">
        <f t="shared" si="24"/>
        <v>9.5000000000000001E-2</v>
      </c>
      <c r="L81" s="2"/>
      <c r="M81" s="2"/>
      <c r="N81" s="2"/>
      <c r="O81" s="2"/>
      <c r="P81" s="2"/>
      <c r="Q81" s="2"/>
      <c r="R81" s="2"/>
      <c r="S81" s="2">
        <f>V132</f>
        <v>4.7423638778220453E-6</v>
      </c>
      <c r="T81" s="2"/>
      <c r="U81" s="2">
        <f>V139</f>
        <v>5.6613545816733065E-6</v>
      </c>
      <c r="X81" s="2">
        <f>(S81+U81)/2</f>
        <v>5.2018592297476763E-6</v>
      </c>
      <c r="Y81" s="2">
        <f>SQRT(1/1*((S81-X81)^2+(U81-X81)^2))</f>
        <v>6.4982455854062507E-7</v>
      </c>
      <c r="Z81" s="2">
        <f t="shared" si="18"/>
        <v>3.2491227927031254E-7</v>
      </c>
      <c r="AA81" s="2">
        <f t="shared" si="19"/>
        <v>1538876.8966285274</v>
      </c>
      <c r="AB81" s="2">
        <f t="shared" si="20"/>
        <v>1.4339338015279263E-6</v>
      </c>
      <c r="AD81" s="11"/>
      <c r="AE81" s="2"/>
      <c r="AG81" s="6">
        <v>0.6</v>
      </c>
      <c r="AH81">
        <f t="shared" si="22"/>
        <v>7.7461619904711489E-5</v>
      </c>
      <c r="AI81" s="2">
        <f t="shared" si="23"/>
        <v>9.7549999999999999E-5</v>
      </c>
      <c r="AJ81" s="2">
        <v>9.0710000000000004E-5</v>
      </c>
      <c r="AK81">
        <v>1.0119999999999999E-4</v>
      </c>
      <c r="AN81">
        <v>2</v>
      </c>
      <c r="AO81">
        <f t="shared" si="14"/>
        <v>1.2444478639801145E-5</v>
      </c>
      <c r="AX81">
        <v>6.8</v>
      </c>
      <c r="AY81" s="2">
        <f t="shared" si="25"/>
        <v>7.6551053795424322E-6</v>
      </c>
      <c r="AZ81" s="2">
        <f t="shared" si="26"/>
        <v>7.6157098086283923E-6</v>
      </c>
      <c r="BA81" s="2">
        <f t="shared" si="27"/>
        <v>2.220006555080627E-5</v>
      </c>
      <c r="BB81" s="2"/>
    </row>
    <row r="82" spans="7:54">
      <c r="G82">
        <f t="shared" si="21"/>
        <v>313.14999999999998</v>
      </c>
      <c r="H82" s="1">
        <f t="shared" si="24"/>
        <v>0.191</v>
      </c>
      <c r="L82" s="2"/>
      <c r="M82" s="2"/>
      <c r="N82" s="2"/>
      <c r="O82" s="2"/>
      <c r="P82" s="2"/>
      <c r="Q82" s="2"/>
      <c r="R82" s="2"/>
      <c r="S82" s="2">
        <f>V133</f>
        <v>7.6494023904382468E-6</v>
      </c>
      <c r="T82" s="2">
        <f>V136</f>
        <v>1.1015936254980079E-5</v>
      </c>
      <c r="U82" s="2">
        <f>V140</f>
        <v>8.7211155378486061E-6</v>
      </c>
      <c r="X82" s="2">
        <f>(S82+T82+U82)/3</f>
        <v>9.1288180610889774E-6</v>
      </c>
      <c r="Y82" s="2">
        <f>SQRT(1/2*((S82-X82)^2+(U82-X82)^2+(T82-X82)^2))</f>
        <v>1.7198992923625399E-6</v>
      </c>
      <c r="Z82" s="2">
        <f t="shared" si="18"/>
        <v>8.5994964618126993E-7</v>
      </c>
      <c r="AA82" s="2">
        <f t="shared" si="19"/>
        <v>581429.39208164322</v>
      </c>
      <c r="AB82" s="2">
        <f t="shared" si="20"/>
        <v>1.4339338015279263E-6</v>
      </c>
      <c r="AD82" s="11"/>
      <c r="AE82" s="2"/>
      <c r="AG82" s="6">
        <v>0.7</v>
      </c>
      <c r="AH82">
        <f t="shared" si="22"/>
        <v>7.9809490416082291E-5</v>
      </c>
      <c r="AI82" s="2">
        <f t="shared" si="23"/>
        <v>9.7549999999999999E-5</v>
      </c>
      <c r="AJ82" s="2">
        <v>9.0710000000000004E-5</v>
      </c>
      <c r="AK82">
        <v>1.0119999999999999E-4</v>
      </c>
      <c r="AN82">
        <v>2.1</v>
      </c>
      <c r="AO82">
        <f t="shared" si="14"/>
        <v>1.2402796757819041E-5</v>
      </c>
      <c r="AX82">
        <v>6.9</v>
      </c>
      <c r="AY82" s="2">
        <f t="shared" si="25"/>
        <v>7.6738670270704471E-6</v>
      </c>
      <c r="AZ82" s="2">
        <f t="shared" si="26"/>
        <v>7.626005132591959E-6</v>
      </c>
      <c r="BA82" s="2">
        <f t="shared" si="27"/>
        <v>2.2323821730903167E-5</v>
      </c>
      <c r="BB82" s="2"/>
    </row>
    <row r="83" spans="7:54">
      <c r="G83">
        <f t="shared" si="21"/>
        <v>313.14999999999998</v>
      </c>
      <c r="H83" s="1">
        <f t="shared" si="24"/>
        <v>0.28599999999999998</v>
      </c>
      <c r="L83" s="2"/>
      <c r="M83" s="2"/>
      <c r="N83" s="2"/>
      <c r="O83" s="2"/>
      <c r="P83" s="2"/>
      <c r="Q83" s="2"/>
      <c r="R83" s="2"/>
      <c r="S83" s="2">
        <f>V134</f>
        <v>8.5683930942895088E-6</v>
      </c>
      <c r="T83" s="2"/>
      <c r="U83" s="2">
        <f>V141</f>
        <v>9.4860557768924299E-6</v>
      </c>
      <c r="X83" s="2">
        <f>(S83+U83)/2</f>
        <v>9.0272244355909685E-6</v>
      </c>
      <c r="Y83" s="2">
        <f>SQRT(1/1*((S83-X83)^2+(U83-X83)^2))</f>
        <v>6.4888550571036395E-7</v>
      </c>
      <c r="Z83" s="2">
        <f t="shared" si="18"/>
        <v>3.2444275285518198E-7</v>
      </c>
      <c r="AA83" s="2">
        <f t="shared" si="19"/>
        <v>1541103.9254224908</v>
      </c>
      <c r="AB83" s="2">
        <f t="shared" si="20"/>
        <v>1.4339338015279263E-6</v>
      </c>
      <c r="AD83" s="11"/>
      <c r="AE83" s="2"/>
      <c r="AG83">
        <v>0.8</v>
      </c>
      <c r="AH83">
        <f t="shared" si="22"/>
        <v>8.1665969024696529E-5</v>
      </c>
      <c r="AI83" s="2">
        <f t="shared" si="23"/>
        <v>9.7549999999999999E-5</v>
      </c>
      <c r="AJ83" s="2">
        <v>9.0710000000000004E-5</v>
      </c>
      <c r="AK83">
        <v>1.0119999999999999E-4</v>
      </c>
      <c r="AN83">
        <v>2.2000000000000002</v>
      </c>
      <c r="AO83">
        <f t="shared" si="14"/>
        <v>1.2358359626791612E-5</v>
      </c>
      <c r="AX83">
        <v>7</v>
      </c>
      <c r="AY83" s="2">
        <f t="shared" si="25"/>
        <v>7.6924241234443948E-6</v>
      </c>
      <c r="AZ83" s="2">
        <f t="shared" si="26"/>
        <v>7.6360329934402801E-6</v>
      </c>
      <c r="BA83" s="2">
        <f t="shared" si="27"/>
        <v>2.2447036887637971E-5</v>
      </c>
      <c r="BB83" s="2"/>
    </row>
    <row r="84" spans="7:54">
      <c r="G84">
        <f t="shared" si="21"/>
        <v>313.14999999999998</v>
      </c>
      <c r="H84" s="1">
        <f>O138</f>
        <v>0.56999999999999995</v>
      </c>
      <c r="L84" s="2"/>
      <c r="M84" s="2"/>
      <c r="N84" s="2"/>
      <c r="O84" s="2"/>
      <c r="P84" s="2"/>
      <c r="Q84" s="2"/>
      <c r="R84" s="2"/>
      <c r="S84" s="2"/>
      <c r="T84" s="2">
        <f>V138</f>
        <v>1.2851261620185921E-5</v>
      </c>
      <c r="U84" s="2"/>
      <c r="X84" s="2">
        <f>T84</f>
        <v>1.2851261620185921E-5</v>
      </c>
      <c r="Y84" s="2">
        <f>Y74</f>
        <v>2.8678676030558525E-6</v>
      </c>
      <c r="Z84" s="2">
        <f t="shared" si="18"/>
        <v>1.4339338015279263E-6</v>
      </c>
      <c r="AA84" s="2">
        <f t="shared" si="19"/>
        <v>348691.13167373952</v>
      </c>
      <c r="AB84" s="2">
        <f t="shared" si="20"/>
        <v>1.4339338015279263E-6</v>
      </c>
      <c r="AD84" s="11"/>
      <c r="AE84" s="2"/>
      <c r="AG84" s="6">
        <v>0.9</v>
      </c>
      <c r="AH84">
        <f t="shared" si="22"/>
        <v>8.317070860174307E-5</v>
      </c>
      <c r="AI84" s="2">
        <f t="shared" si="23"/>
        <v>9.7549999999999999E-5</v>
      </c>
      <c r="AJ84" s="2">
        <v>9.0710000000000004E-5</v>
      </c>
      <c r="AK84">
        <v>1.0119999999999999E-4</v>
      </c>
      <c r="AN84">
        <v>2.2999999999999998</v>
      </c>
      <c r="AO84">
        <f t="shared" si="14"/>
        <v>1.2311723711323696E-5</v>
      </c>
      <c r="AX84">
        <v>7.1</v>
      </c>
      <c r="AY84" s="2">
        <f t="shared" si="25"/>
        <v>7.7107846699872221E-6</v>
      </c>
      <c r="AZ84" s="2">
        <f t="shared" si="26"/>
        <v>7.6458036801949094E-6</v>
      </c>
      <c r="BA84" s="2">
        <f t="shared" si="27"/>
        <v>2.2569731803224112E-5</v>
      </c>
      <c r="BB84" s="2"/>
    </row>
    <row r="85" spans="7:54">
      <c r="G85">
        <f>I147</f>
        <v>308.14999999999998</v>
      </c>
      <c r="H85" s="1">
        <f>O147</f>
        <v>9.5000000000000001E-2</v>
      </c>
      <c r="V85" s="2">
        <f>V147</f>
        <v>3.3041168658698536E-6</v>
      </c>
      <c r="X85" s="2">
        <f>V85</f>
        <v>3.3041168658698536E-6</v>
      </c>
      <c r="Y85" s="2">
        <f>$Y$79</f>
        <v>2.8678676030558525E-6</v>
      </c>
      <c r="Z85" s="2">
        <f t="shared" ref="Z85:Z92" si="28">Y85/2</f>
        <v>1.4339338015279263E-6</v>
      </c>
      <c r="AA85" s="2">
        <f t="shared" ref="AA85:AA92" si="29">1/Y85</f>
        <v>348691.13167373952</v>
      </c>
      <c r="AD85" s="11"/>
      <c r="AE85" s="2"/>
      <c r="AG85" s="6">
        <v>1</v>
      </c>
      <c r="AH85">
        <f t="shared" si="22"/>
        <v>8.4415022499134646E-5</v>
      </c>
      <c r="AI85" s="2">
        <f t="shared" si="23"/>
        <v>9.7549999999999999E-5</v>
      </c>
      <c r="AJ85" s="2">
        <v>9.0710000000000004E-5</v>
      </c>
      <c r="AK85">
        <v>1.0119999999999999E-4</v>
      </c>
      <c r="AN85">
        <v>2.4</v>
      </c>
      <c r="AO85">
        <f t="shared" si="14"/>
        <v>1.2263346721019826E-5</v>
      </c>
      <c r="AX85">
        <v>7.2</v>
      </c>
      <c r="AY85" s="2">
        <f t="shared" si="25"/>
        <v>7.7289562560815512E-6</v>
      </c>
      <c r="AZ85" s="2">
        <f t="shared" si="26"/>
        <v>7.6553269608153443E-6</v>
      </c>
      <c r="BA85" s="2">
        <f t="shared" si="27"/>
        <v>2.2691926208928052E-5</v>
      </c>
      <c r="BB85" s="2"/>
    </row>
    <row r="86" spans="7:54">
      <c r="G86">
        <f>I148</f>
        <v>308.14999999999998</v>
      </c>
      <c r="H86" s="1">
        <f>O148</f>
        <v>0.191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>
        <f>V148</f>
        <v>5.2629482071713142E-6</v>
      </c>
      <c r="W86" s="2"/>
      <c r="X86" s="2">
        <f>V86</f>
        <v>5.2629482071713142E-6</v>
      </c>
      <c r="Y86" s="2">
        <f t="shared" ref="Y86:Y92" si="30">$Y$79</f>
        <v>2.8678676030558525E-6</v>
      </c>
      <c r="Z86" s="2">
        <f t="shared" si="28"/>
        <v>1.4339338015279263E-6</v>
      </c>
      <c r="AA86" s="2">
        <f t="shared" si="29"/>
        <v>348691.13167373952</v>
      </c>
      <c r="AD86" s="11"/>
      <c r="AE86" s="2"/>
      <c r="AG86" s="6">
        <v>1.1000000000000001</v>
      </c>
      <c r="AH86">
        <f t="shared" si="22"/>
        <v>8.5461134119146223E-5</v>
      </c>
      <c r="AI86" s="2">
        <f t="shared" si="23"/>
        <v>9.7549999999999999E-5</v>
      </c>
      <c r="AJ86" s="2">
        <v>9.0710000000000004E-5</v>
      </c>
      <c r="AK86">
        <v>1.0119999999999999E-4</v>
      </c>
      <c r="AL86" s="11"/>
      <c r="AM86" s="11"/>
      <c r="AN86">
        <v>2.5</v>
      </c>
      <c r="AO86">
        <f t="shared" si="14"/>
        <v>1.2213606917814879E-5</v>
      </c>
      <c r="AX86">
        <v>7.3</v>
      </c>
      <c r="AY86" s="2">
        <f t="shared" si="25"/>
        <v>7.7469460853432276E-6</v>
      </c>
      <c r="AZ86" s="2">
        <f t="shared" si="26"/>
        <v>7.6646121147715199E-6</v>
      </c>
      <c r="BA86" s="2">
        <f t="shared" si="27"/>
        <v>2.2813638850672294E-5</v>
      </c>
      <c r="BB86" s="2"/>
    </row>
    <row r="87" spans="7:54">
      <c r="G87">
        <f>I149</f>
        <v>308.14999999999998</v>
      </c>
      <c r="H87" s="1">
        <f>O149</f>
        <v>0.28599999999999998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>
        <f>V149</f>
        <v>5.2629482071713142E-6</v>
      </c>
      <c r="W87" s="2"/>
      <c r="X87" s="2">
        <f>V87</f>
        <v>5.2629482071713142E-6</v>
      </c>
      <c r="Y87" s="2">
        <f t="shared" si="30"/>
        <v>2.8678676030558525E-6</v>
      </c>
      <c r="Z87" s="2">
        <f t="shared" si="28"/>
        <v>1.4339338015279263E-6</v>
      </c>
      <c r="AA87" s="2">
        <f t="shared" si="29"/>
        <v>348691.13167373952</v>
      </c>
      <c r="AD87" s="11"/>
      <c r="AE87" s="2"/>
      <c r="AG87">
        <v>1.2</v>
      </c>
      <c r="AH87">
        <f t="shared" si="22"/>
        <v>8.6352906462083213E-5</v>
      </c>
      <c r="AI87" s="2">
        <f t="shared" si="23"/>
        <v>9.7549999999999999E-5</v>
      </c>
      <c r="AJ87" s="2">
        <v>9.0710000000000004E-5</v>
      </c>
      <c r="AK87">
        <v>1.0119999999999999E-4</v>
      </c>
      <c r="AL87" s="11"/>
      <c r="AM87" s="11"/>
      <c r="AN87">
        <v>2.6</v>
      </c>
      <c r="AO87">
        <f t="shared" si="14"/>
        <v>1.2162818191695778E-5</v>
      </c>
      <c r="AX87">
        <v>7.4</v>
      </c>
      <c r="AY87" s="2">
        <f t="shared" si="25"/>
        <v>7.7647609998243276E-6</v>
      </c>
      <c r="AZ87" s="2">
        <f t="shared" si="26"/>
        <v>7.6736679632030624E-6</v>
      </c>
      <c r="BA87" s="2">
        <f t="shared" si="27"/>
        <v>2.2934887549784831E-5</v>
      </c>
      <c r="BB87" s="2"/>
    </row>
    <row r="88" spans="7:54">
      <c r="G88">
        <f>I150</f>
        <v>308.14999999999998</v>
      </c>
      <c r="H88" s="1">
        <f>O150</f>
        <v>0.38100000000000001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>
        <f>V150</f>
        <v>6.3652058432934924E-6</v>
      </c>
      <c r="W88" s="2"/>
      <c r="X88" s="2">
        <f>V88</f>
        <v>6.3652058432934924E-6</v>
      </c>
      <c r="Y88" s="2">
        <f t="shared" si="30"/>
        <v>2.8678676030558525E-6</v>
      </c>
      <c r="Z88" s="2">
        <f t="shared" si="28"/>
        <v>1.4339338015279263E-6</v>
      </c>
      <c r="AA88" s="2">
        <f t="shared" si="29"/>
        <v>348691.13167373952</v>
      </c>
      <c r="AD88" s="11"/>
      <c r="AE88" s="2"/>
      <c r="AG88" s="6">
        <v>1.3</v>
      </c>
      <c r="AH88">
        <f t="shared" si="22"/>
        <v>8.7122148942017042E-5</v>
      </c>
      <c r="AI88" s="2">
        <f t="shared" si="23"/>
        <v>9.7549999999999999E-5</v>
      </c>
      <c r="AJ88" s="2">
        <v>9.0710000000000004E-5</v>
      </c>
      <c r="AK88">
        <v>1.0119999999999999E-4</v>
      </c>
      <c r="AL88" s="11"/>
      <c r="AM88" s="11"/>
      <c r="AN88">
        <v>2.7</v>
      </c>
      <c r="AO88">
        <f t="shared" si="14"/>
        <v>1.2111241935563229E-5</v>
      </c>
      <c r="AX88">
        <v>7.5</v>
      </c>
      <c r="AY88" s="2">
        <f t="shared" si="25"/>
        <v>7.7824075024165366E-6</v>
      </c>
      <c r="AZ88" s="2">
        <f t="shared" si="26"/>
        <v>7.6825028968713784E-6</v>
      </c>
      <c r="BA88" s="2">
        <f t="shared" si="27"/>
        <v>2.3055689259308884E-5</v>
      </c>
      <c r="BB88" s="2"/>
    </row>
    <row r="89" spans="7:54">
      <c r="G89">
        <f>I143</f>
        <v>298.14999999999998</v>
      </c>
      <c r="H89" s="1">
        <f>O143</f>
        <v>4.8000000000000001E-2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>
        <f>V143</f>
        <v>7.3439575033200531E-7</v>
      </c>
      <c r="X89" s="2">
        <f>W89</f>
        <v>7.3439575033200531E-7</v>
      </c>
      <c r="Y89" s="2">
        <f t="shared" si="30"/>
        <v>2.8678676030558525E-6</v>
      </c>
      <c r="Z89" s="2">
        <f t="shared" si="28"/>
        <v>1.4339338015279263E-6</v>
      </c>
      <c r="AA89" s="2">
        <f t="shared" si="29"/>
        <v>348691.13167373952</v>
      </c>
      <c r="AD89" s="11"/>
      <c r="AE89" s="2"/>
      <c r="AG89" s="6">
        <v>1.4</v>
      </c>
      <c r="AH89">
        <f t="shared" si="22"/>
        <v>8.779249164309592E-5</v>
      </c>
      <c r="AI89" s="2">
        <f t="shared" si="23"/>
        <v>9.7549999999999999E-5</v>
      </c>
      <c r="AJ89" s="2">
        <v>9.0710000000000004E-5</v>
      </c>
      <c r="AK89">
        <v>1.0119999999999999E-4</v>
      </c>
      <c r="AL89" s="11"/>
      <c r="AM89" s="11"/>
      <c r="AN89">
        <v>2.8</v>
      </c>
      <c r="AO89">
        <f t="shared" si="14"/>
        <v>1.205909647433998E-5</v>
      </c>
      <c r="AX89">
        <v>7.6</v>
      </c>
      <c r="AY89" s="2">
        <f t="shared" si="25"/>
        <v>7.7998917776091257E-6</v>
      </c>
      <c r="AZ89" s="2">
        <f t="shared" si="26"/>
        <v>7.6911249020907399E-6</v>
      </c>
      <c r="BA89" s="2">
        <f t="shared" si="27"/>
        <v>2.3176060116246887E-5</v>
      </c>
      <c r="BB89" s="2"/>
    </row>
    <row r="90" spans="7:54">
      <c r="G90">
        <f>I144</f>
        <v>298.14999999999998</v>
      </c>
      <c r="H90" s="1">
        <f>O144</f>
        <v>9.5000000000000001E-2</v>
      </c>
      <c r="W90" s="2">
        <f>V144</f>
        <v>9.5099601593625487E-7</v>
      </c>
      <c r="X90" s="2">
        <f>W90</f>
        <v>9.5099601593625487E-7</v>
      </c>
      <c r="Y90" s="2">
        <f t="shared" si="30"/>
        <v>2.8678676030558525E-6</v>
      </c>
      <c r="Z90" s="2">
        <f t="shared" si="28"/>
        <v>1.4339338015279263E-6</v>
      </c>
      <c r="AA90" s="2">
        <f t="shared" si="29"/>
        <v>348691.13167373952</v>
      </c>
      <c r="AD90" s="11"/>
      <c r="AE90" s="2"/>
      <c r="AG90" s="6">
        <v>1.5</v>
      </c>
      <c r="AH90">
        <f t="shared" si="22"/>
        <v>8.8381855520657158E-5</v>
      </c>
      <c r="AI90" s="2">
        <f t="shared" si="23"/>
        <v>9.7549999999999999E-5</v>
      </c>
      <c r="AJ90" s="2">
        <v>9.0710000000000004E-5</v>
      </c>
      <c r="AK90">
        <v>1.0119999999999999E-4</v>
      </c>
      <c r="AN90">
        <v>2.9</v>
      </c>
      <c r="AO90">
        <f t="shared" si="14"/>
        <v>1.2006564607793151E-5</v>
      </c>
      <c r="AX90">
        <v>7.7</v>
      </c>
      <c r="AY90" s="2">
        <f t="shared" si="25"/>
        <v>7.8172197107408032E-6</v>
      </c>
      <c r="AZ90" s="2">
        <f t="shared" si="26"/>
        <v>7.6995415848068105E-6</v>
      </c>
      <c r="BA90" s="2">
        <f t="shared" si="27"/>
        <v>2.3296015490077173E-5</v>
      </c>
      <c r="BB90" s="2"/>
    </row>
    <row r="91" spans="7:54">
      <c r="G91">
        <f>I145</f>
        <v>298.14999999999998</v>
      </c>
      <c r="H91" s="1">
        <f>O145</f>
        <v>0.14299999999999999</v>
      </c>
      <c r="W91" s="2">
        <f>V145</f>
        <v>1.9495351925630811E-6</v>
      </c>
      <c r="X91" s="2">
        <f>W91</f>
        <v>1.9495351925630811E-6</v>
      </c>
      <c r="Y91" s="2">
        <f t="shared" si="30"/>
        <v>2.8678676030558525E-6</v>
      </c>
      <c r="Z91" s="2">
        <f t="shared" si="28"/>
        <v>1.4339338015279263E-6</v>
      </c>
      <c r="AA91" s="2">
        <f t="shared" si="29"/>
        <v>348691.13167373952</v>
      </c>
      <c r="AD91" s="11"/>
      <c r="AE91" s="2"/>
      <c r="AG91">
        <v>1.6</v>
      </c>
      <c r="AH91">
        <f t="shared" si="22"/>
        <v>8.8904078377762588E-5</v>
      </c>
      <c r="AI91" s="2">
        <f t="shared" si="23"/>
        <v>9.7549999999999999E-5</v>
      </c>
      <c r="AJ91" s="2">
        <v>9.0710000000000004E-5</v>
      </c>
      <c r="AK91">
        <v>1.0119999999999999E-4</v>
      </c>
      <c r="AL91" s="2"/>
      <c r="AM91" s="2"/>
      <c r="AN91">
        <v>3</v>
      </c>
      <c r="AO91">
        <f t="shared" si="14"/>
        <v>1.1953799685947628E-5</v>
      </c>
      <c r="AR91" s="11"/>
      <c r="AX91">
        <v>7.8</v>
      </c>
      <c r="AY91" s="2">
        <f t="shared" si="25"/>
        <v>7.8343969058713877E-6</v>
      </c>
      <c r="AZ91" s="2">
        <f t="shared" si="26"/>
        <v>7.707760192975232E-6</v>
      </c>
      <c r="BA91" s="2">
        <f t="shared" si="27"/>
        <v>2.3415570027849919E-5</v>
      </c>
      <c r="BB91" s="2"/>
    </row>
    <row r="92" spans="7:54">
      <c r="G92">
        <f>I146</f>
        <v>298.14999999999998</v>
      </c>
      <c r="H92" s="1">
        <f>O146</f>
        <v>0.191</v>
      </c>
      <c r="W92" s="2">
        <f>V146</f>
        <v>2.0624169986719783E-6</v>
      </c>
      <c r="X92" s="2">
        <f>W92</f>
        <v>2.0624169986719783E-6</v>
      </c>
      <c r="Y92" s="2">
        <f t="shared" si="30"/>
        <v>2.8678676030558525E-6</v>
      </c>
      <c r="Z92" s="2">
        <f t="shared" si="28"/>
        <v>1.4339338015279263E-6</v>
      </c>
      <c r="AA92" s="2">
        <f t="shared" si="29"/>
        <v>348691.13167373952</v>
      </c>
      <c r="AD92" s="11"/>
      <c r="AE92" s="2"/>
      <c r="AG92" s="6">
        <v>1.7</v>
      </c>
      <c r="AH92">
        <f t="shared" si="22"/>
        <v>8.9370015089458945E-5</v>
      </c>
      <c r="AI92" s="2">
        <f t="shared" si="23"/>
        <v>9.7549999999999999E-5</v>
      </c>
      <c r="AJ92" s="2">
        <v>9.0710000000000004E-5</v>
      </c>
      <c r="AK92">
        <v>1.0119999999999999E-4</v>
      </c>
      <c r="AL92" s="2"/>
      <c r="AM92" s="2"/>
      <c r="AN92">
        <v>3.1</v>
      </c>
      <c r="AO92">
        <f t="shared" si="14"/>
        <v>1.1900930533766657E-5</v>
      </c>
      <c r="AP92" s="2"/>
      <c r="AQ92" s="2"/>
      <c r="AR92" s="11"/>
      <c r="AX92">
        <v>7.9</v>
      </c>
      <c r="AY92" s="2">
        <f t="shared" si="25"/>
        <v>7.8514287023874185E-6</v>
      </c>
      <c r="AZ92" s="2">
        <f t="shared" si="26"/>
        <v>7.7157876373786125E-6</v>
      </c>
      <c r="BA92" s="2">
        <f t="shared" si="27"/>
        <v>2.3534737696140494E-5</v>
      </c>
      <c r="BB92" s="2"/>
    </row>
    <row r="93" spans="7:54">
      <c r="AD93" s="11"/>
      <c r="AE93" s="2"/>
      <c r="AG93" s="6">
        <v>1.8</v>
      </c>
      <c r="AH93">
        <f t="shared" si="22"/>
        <v>8.9788300265903045E-5</v>
      </c>
      <c r="AI93" s="2">
        <f t="shared" si="23"/>
        <v>9.7549999999999999E-5</v>
      </c>
      <c r="AJ93" s="2">
        <v>9.0710000000000004E-5</v>
      </c>
      <c r="AK93">
        <v>1.0119999999999999E-4</v>
      </c>
      <c r="AL93" s="2"/>
      <c r="AM93" s="2"/>
      <c r="AN93">
        <v>3.2</v>
      </c>
      <c r="AO93">
        <f t="shared" si="14"/>
        <v>1.1848065466683468E-5</v>
      </c>
      <c r="AR93" s="11"/>
      <c r="AX93">
        <v>8</v>
      </c>
      <c r="AY93" s="2">
        <f t="shared" si="25"/>
        <v>7.8683201904450721E-6</v>
      </c>
      <c r="AZ93" s="2">
        <f t="shared" si="26"/>
        <v>7.7236305110076456E-6</v>
      </c>
      <c r="BA93" s="2">
        <f t="shared" si="27"/>
        <v>2.3653531820112747E-5</v>
      </c>
      <c r="BB93" s="2"/>
    </row>
    <row r="94" spans="7:54">
      <c r="AD94" s="11"/>
      <c r="AE94" s="2"/>
      <c r="AG94" s="6">
        <v>1.9</v>
      </c>
      <c r="AH94">
        <f t="shared" si="22"/>
        <v>9.0165888305117711E-5</v>
      </c>
      <c r="AI94" s="2">
        <f t="shared" si="23"/>
        <v>9.7549999999999999E-5</v>
      </c>
      <c r="AJ94" s="2">
        <v>9.0710000000000004E-5</v>
      </c>
      <c r="AK94">
        <v>1.0119999999999999E-4</v>
      </c>
      <c r="AN94">
        <v>3.3</v>
      </c>
      <c r="AO94">
        <f t="shared" si="14"/>
        <v>1.1795295582840396E-5</v>
      </c>
      <c r="AX94">
        <v>8.1</v>
      </c>
      <c r="AY94" s="2">
        <f t="shared" si="25"/>
        <v>7.8850762253443144E-6</v>
      </c>
      <c r="AZ94" s="2">
        <f t="shared" si="26"/>
        <v>7.7312951071205329E-6</v>
      </c>
      <c r="BA94" s="2">
        <f t="shared" si="27"/>
        <v>2.3771965119921908E-5</v>
      </c>
      <c r="BB94" s="2"/>
    </row>
    <row r="95" spans="7:54">
      <c r="AD95" s="11"/>
      <c r="AE95" s="2"/>
      <c r="AG95">
        <v>2</v>
      </c>
      <c r="AH95">
        <f t="shared" si="22"/>
        <v>9.0508443124884017E-5</v>
      </c>
      <c r="AI95" s="2">
        <f t="shared" si="23"/>
        <v>9.7549999999999999E-5</v>
      </c>
      <c r="AJ95" s="2">
        <v>9.0710000000000004E-5</v>
      </c>
      <c r="AK95">
        <v>1.0119999999999999E-4</v>
      </c>
      <c r="AN95">
        <v>3.4</v>
      </c>
      <c r="AO95">
        <f t="shared" si="14"/>
        <v>1.174269747614968E-5</v>
      </c>
      <c r="AX95">
        <v>8.1999999999999993</v>
      </c>
      <c r="AY95" s="2">
        <f t="shared" si="25"/>
        <v>7.9017014409195604E-6</v>
      </c>
      <c r="AZ95" s="2">
        <f t="shared" si="26"/>
        <v>7.7387874360847339E-6</v>
      </c>
      <c r="BA95" s="2">
        <f t="shared" si="27"/>
        <v>2.3890049744666045E-5</v>
      </c>
      <c r="BB95" s="2"/>
    </row>
    <row r="96" spans="7:54">
      <c r="AE96" s="2"/>
      <c r="AG96" s="6">
        <v>2.1</v>
      </c>
      <c r="AH96">
        <f t="shared" si="22"/>
        <v>9.0820624224153217E-5</v>
      </c>
      <c r="AI96" s="2">
        <f t="shared" si="23"/>
        <v>9.7549999999999999E-5</v>
      </c>
      <c r="AJ96" s="2">
        <v>9.0710000000000004E-5</v>
      </c>
      <c r="AK96">
        <v>1.0119999999999999E-4</v>
      </c>
      <c r="AN96">
        <v>3.5</v>
      </c>
      <c r="AO96">
        <f t="shared" si="14"/>
        <v>1.1690335482749235E-5</v>
      </c>
      <c r="AX96">
        <v>8.3000000000000007</v>
      </c>
      <c r="AY96" s="2">
        <f t="shared" si="25"/>
        <v>7.9182002620244887E-6</v>
      </c>
      <c r="AZ96" s="2">
        <f t="shared" si="26"/>
        <v>7.7461132410957388E-6</v>
      </c>
      <c r="BA96" s="2">
        <f t="shared" si="27"/>
        <v>2.4007797304076628E-5</v>
      </c>
      <c r="BB96" s="2"/>
    </row>
    <row r="97" spans="6:54">
      <c r="AE97" s="2"/>
      <c r="AG97" s="6">
        <v>2.2000000000000002</v>
      </c>
      <c r="AH97">
        <f t="shared" si="22"/>
        <v>9.1106299881134307E-5</v>
      </c>
      <c r="AI97" s="2">
        <f t="shared" si="23"/>
        <v>9.7549999999999999E-5</v>
      </c>
      <c r="AJ97" s="2">
        <v>9.0710000000000004E-5</v>
      </c>
      <c r="AK97">
        <v>1.0119999999999999E-4</v>
      </c>
      <c r="AN97">
        <v>3.6</v>
      </c>
      <c r="AO97">
        <f t="shared" si="14"/>
        <v>1.1638263549398884E-5</v>
      </c>
      <c r="AX97">
        <v>8.4</v>
      </c>
      <c r="AY97" s="2">
        <f t="shared" si="25"/>
        <v>7.9345769161816843E-6</v>
      </c>
      <c r="AZ97" s="2">
        <f t="shared" si="26"/>
        <v>7.7532780128592635E-6</v>
      </c>
      <c r="BA97" s="2">
        <f t="shared" si="27"/>
        <v>2.4125218898121824E-5</v>
      </c>
      <c r="BB97" s="2"/>
    </row>
    <row r="98" spans="6:54">
      <c r="AE98" s="2"/>
      <c r="AG98" s="6">
        <v>2.2999999999999998</v>
      </c>
      <c r="AH98">
        <f t="shared" si="22"/>
        <v>9.1368708258674037E-5</v>
      </c>
      <c r="AI98" s="2">
        <f t="shared" si="23"/>
        <v>9.7549999999999999E-5</v>
      </c>
      <c r="AJ98" s="2">
        <v>9.0710000000000004E-5</v>
      </c>
      <c r="AK98">
        <v>1.0119999999999999E-4</v>
      </c>
      <c r="AN98">
        <v>3.7</v>
      </c>
      <c r="AO98">
        <f t="shared" si="14"/>
        <v>1.1586526793917279E-5</v>
      </c>
      <c r="AX98">
        <v>8.5</v>
      </c>
      <c r="AY98" s="2">
        <f t="shared" si="25"/>
        <v>7.950835444461597E-6</v>
      </c>
      <c r="AZ98" s="2">
        <f t="shared" si="26"/>
        <v>7.7602870033157599E-6</v>
      </c>
      <c r="BA98" s="2">
        <f t="shared" si="27"/>
        <v>2.4242325144681269E-5</v>
      </c>
      <c r="BB98" s="2"/>
    </row>
    <row r="99" spans="6:54">
      <c r="AE99" s="2"/>
      <c r="AG99">
        <v>2.4</v>
      </c>
      <c r="AH99">
        <f t="shared" si="22"/>
        <v>9.1610580685553284E-5</v>
      </c>
      <c r="AI99" s="2">
        <f t="shared" si="23"/>
        <v>9.7549999999999999E-5</v>
      </c>
      <c r="AJ99" s="2">
        <v>9.0710000000000004E-5</v>
      </c>
      <c r="AK99">
        <v>1.0119999999999999E-4</v>
      </c>
      <c r="AN99">
        <v>3.8</v>
      </c>
      <c r="AO99">
        <f t="shared" si="14"/>
        <v>1.1535162813497206E-5</v>
      </c>
      <c r="AX99">
        <v>8.6</v>
      </c>
      <c r="AY99" s="2">
        <f t="shared" si="25"/>
        <v>7.9669797116496157E-6</v>
      </c>
      <c r="AZ99" s="2">
        <f t="shared" si="26"/>
        <v>7.7671452384793263E-6</v>
      </c>
      <c r="BA99" s="2">
        <f t="shared" si="27"/>
        <v>2.4359126205437226E-5</v>
      </c>
      <c r="BB99" s="2"/>
    </row>
    <row r="100" spans="6:54">
      <c r="AE100" s="2"/>
      <c r="AG100" s="6">
        <v>2.5</v>
      </c>
      <c r="AH100">
        <f t="shared" si="22"/>
        <v>9.183423708389817E-5</v>
      </c>
      <c r="AI100" s="2">
        <f t="shared" si="23"/>
        <v>9.7549999999999999E-5</v>
      </c>
      <c r="AJ100" s="2">
        <v>9.0710000000000004E-5</v>
      </c>
      <c r="AK100">
        <v>1.0119999999999999E-4</v>
      </c>
      <c r="AN100">
        <v>3.9</v>
      </c>
      <c r="AO100">
        <f t="shared" si="14"/>
        <v>1.1484202785633235E-5</v>
      </c>
      <c r="AX100">
        <v>8.6999999999999993</v>
      </c>
      <c r="AY100" s="2">
        <f t="shared" si="25"/>
        <v>7.9830134157550652E-6</v>
      </c>
      <c r="AZ100" s="2">
        <f t="shared" si="26"/>
        <v>7.7738575304569879E-6</v>
      </c>
      <c r="BA100" s="2">
        <f t="shared" si="27"/>
        <v>2.4475631810114879E-5</v>
      </c>
      <c r="BB100" s="2"/>
    </row>
    <row r="101" spans="6:54" ht="15.75" thickBot="1">
      <c r="U101" t="s">
        <v>453</v>
      </c>
      <c r="AE101" s="2"/>
      <c r="AG101" s="6">
        <v>2.6</v>
      </c>
      <c r="AH101">
        <f t="shared" si="22"/>
        <v>9.2041660618377122E-5</v>
      </c>
      <c r="AI101" s="2">
        <f t="shared" si="23"/>
        <v>9.7549999999999999E-5</v>
      </c>
      <c r="AJ101" s="2">
        <v>9.0710000000000004E-5</v>
      </c>
      <c r="AK101">
        <v>1.0119999999999999E-4</v>
      </c>
      <c r="AN101">
        <v>4</v>
      </c>
      <c r="AO101">
        <f t="shared" si="14"/>
        <v>1.1433672397695844E-5</v>
      </c>
      <c r="AX101">
        <v>8.8000000000000007</v>
      </c>
      <c r="AY101" s="2">
        <f t="shared" si="25"/>
        <v>7.9989400969112215E-6</v>
      </c>
      <c r="AZ101" s="2">
        <f t="shared" si="26"/>
        <v>7.780428488708743E-6</v>
      </c>
      <c r="BA101" s="2">
        <f t="shared" si="27"/>
        <v>2.4591851279193264E-5</v>
      </c>
      <c r="BB101" s="2"/>
    </row>
    <row r="102" spans="6:54">
      <c r="G102" s="51" t="s">
        <v>89</v>
      </c>
      <c r="H102" s="52">
        <v>1</v>
      </c>
      <c r="S102" s="15"/>
      <c r="T102" s="15"/>
      <c r="U102" s="15" t="s">
        <v>102</v>
      </c>
      <c r="V102" s="15" t="s">
        <v>87</v>
      </c>
      <c r="W102" s="15" t="s">
        <v>88</v>
      </c>
      <c r="X102" s="15" t="s">
        <v>88</v>
      </c>
      <c r="AE102" s="2"/>
      <c r="AG102" s="6">
        <v>2.7</v>
      </c>
      <c r="AH102">
        <f t="shared" si="22"/>
        <v>9.2234556660596726E-5</v>
      </c>
      <c r="AI102" s="2">
        <f t="shared" si="23"/>
        <v>9.7549999999999999E-5</v>
      </c>
      <c r="AJ102" s="2">
        <v>9.0710000000000004E-5</v>
      </c>
      <c r="AK102">
        <v>1.0119999999999999E-4</v>
      </c>
      <c r="AN102">
        <v>4.0999999999999996</v>
      </c>
      <c r="AO102">
        <f t="shared" si="14"/>
        <v>1.1383592634327655E-5</v>
      </c>
      <c r="AX102">
        <v>8.9</v>
      </c>
      <c r="AY102" s="2">
        <f t="shared" si="25"/>
        <v>8.0147631457114479E-6</v>
      </c>
      <c r="AZ102" s="2">
        <f t="shared" si="26"/>
        <v>7.7868625306037398E-6</v>
      </c>
      <c r="BA102" s="2">
        <f t="shared" si="27"/>
        <v>2.4707793545198186E-5</v>
      </c>
      <c r="BB102" s="2"/>
    </row>
    <row r="103" spans="6:54" ht="15.75" thickBot="1">
      <c r="F103" t="s">
        <v>458</v>
      </c>
      <c r="G103" s="54" t="s">
        <v>4</v>
      </c>
      <c r="H103" s="54" t="s">
        <v>81</v>
      </c>
      <c r="I103" s="54" t="s">
        <v>94</v>
      </c>
      <c r="J103" s="54" t="s">
        <v>83</v>
      </c>
      <c r="K103" s="54" t="s">
        <v>2</v>
      </c>
      <c r="L103" s="54" t="s">
        <v>90</v>
      </c>
      <c r="M103" s="54" t="s">
        <v>80</v>
      </c>
      <c r="N103" s="15" t="s">
        <v>95</v>
      </c>
      <c r="O103" s="54" t="s">
        <v>21</v>
      </c>
      <c r="P103" s="54" t="s">
        <v>1</v>
      </c>
      <c r="Q103" s="54" t="s">
        <v>45</v>
      </c>
      <c r="R103" s="54" t="s">
        <v>16</v>
      </c>
      <c r="S103" s="54" t="s">
        <v>17</v>
      </c>
      <c r="T103" s="54" t="s">
        <v>18</v>
      </c>
      <c r="U103" s="54" t="s">
        <v>11</v>
      </c>
      <c r="V103" s="54" t="s">
        <v>13</v>
      </c>
      <c r="W103" s="54" t="s">
        <v>96</v>
      </c>
      <c r="X103" s="54" t="s">
        <v>100</v>
      </c>
      <c r="AE103" s="2"/>
      <c r="AG103">
        <v>2.8</v>
      </c>
      <c r="AH103">
        <f t="shared" si="22"/>
        <v>9.241439978346191E-5</v>
      </c>
      <c r="AI103" s="2">
        <f t="shared" si="23"/>
        <v>9.7549999999999999E-5</v>
      </c>
      <c r="AJ103" s="2">
        <v>9.0710000000000004E-5</v>
      </c>
      <c r="AK103">
        <v>1.0119999999999999E-4</v>
      </c>
      <c r="AN103">
        <v>4.2</v>
      </c>
      <c r="AO103">
        <f t="shared" si="14"/>
        <v>1.1333980446399806E-5</v>
      </c>
      <c r="AX103">
        <v>9</v>
      </c>
      <c r="AY103" s="2">
        <f t="shared" si="25"/>
        <v>8.0304858110226352E-6</v>
      </c>
      <c r="AZ103" s="2">
        <f t="shared" si="26"/>
        <v>7.7931638913234012E-6</v>
      </c>
      <c r="BA103" s="2">
        <f t="shared" si="27"/>
        <v>2.482346717267943E-5</v>
      </c>
      <c r="BB103" s="2"/>
    </row>
    <row r="104" spans="6:54">
      <c r="F104" t="s">
        <v>457</v>
      </c>
      <c r="G104" s="40" t="s">
        <v>20</v>
      </c>
      <c r="H104" s="40" t="s">
        <v>82</v>
      </c>
      <c r="I104" s="40">
        <f>40+273.15</f>
        <v>313.14999999999998</v>
      </c>
      <c r="J104" s="41">
        <v>0.08</v>
      </c>
      <c r="K104" s="62">
        <v>7</v>
      </c>
      <c r="L104" s="41">
        <v>0.12620000000000001</v>
      </c>
      <c r="M104" s="41">
        <v>0.17230000000000001</v>
      </c>
      <c r="N104" s="19">
        <f t="shared" ref="N104:N135" si="31">10^(-(1.824*10^6)/(78.54*I104)^(3/2))*SQRT(M104)</f>
        <v>0.13971818266839847</v>
      </c>
      <c r="O104" s="42">
        <v>2.06</v>
      </c>
      <c r="P104" s="40">
        <v>82.5</v>
      </c>
      <c r="Q104" s="42">
        <v>0</v>
      </c>
      <c r="R104" s="53">
        <v>0.18179999999999999</v>
      </c>
      <c r="S104" s="43">
        <v>2204</v>
      </c>
      <c r="T104" s="44">
        <f>R104/S104</f>
        <v>8.248638838475499E-5</v>
      </c>
      <c r="U104" s="41">
        <v>8.7739999999999997E-5</v>
      </c>
      <c r="V104" s="44">
        <f>U104/($C$3)</f>
        <v>1.1652058432934926E-5</v>
      </c>
      <c r="W104" s="44">
        <f>T104/(N104*P104*$C$3)</f>
        <v>9.5034312193098849E-7</v>
      </c>
      <c r="X104" s="45">
        <f>W104*P104</f>
        <v>7.8403307559306556E-5</v>
      </c>
      <c r="AE104" s="2"/>
      <c r="AG104" s="6">
        <v>2.9</v>
      </c>
      <c r="AH104">
        <f t="shared" si="22"/>
        <v>9.2582471527686853E-5</v>
      </c>
      <c r="AI104" s="2">
        <f t="shared" si="23"/>
        <v>9.7549999999999999E-5</v>
      </c>
      <c r="AJ104" s="2">
        <v>9.0710000000000004E-5</v>
      </c>
      <c r="AK104">
        <v>1.0119999999999999E-4</v>
      </c>
      <c r="AN104">
        <v>4.3</v>
      </c>
      <c r="AO104">
        <f t="shared" si="14"/>
        <v>1.1284849320931498E-5</v>
      </c>
      <c r="AX104">
        <v>9.1</v>
      </c>
      <c r="AY104" s="2">
        <f t="shared" si="25"/>
        <v>8.0461112073137948E-6</v>
      </c>
      <c r="AZ104" s="2">
        <f t="shared" si="26"/>
        <v>7.7993366331581362E-6</v>
      </c>
      <c r="BA104" s="2">
        <f t="shared" si="27"/>
        <v>2.4938880376966126E-5</v>
      </c>
      <c r="BB104" s="2"/>
    </row>
    <row r="105" spans="6:54">
      <c r="F105" t="s">
        <v>457</v>
      </c>
      <c r="G105" s="46" t="s">
        <v>20</v>
      </c>
      <c r="H105" s="46" t="s">
        <v>82</v>
      </c>
      <c r="I105" s="40">
        <f t="shared" ref="I105:I142" si="32">40+273.15</f>
        <v>313.14999999999998</v>
      </c>
      <c r="J105" s="47">
        <v>7.0000000000000007E-2</v>
      </c>
      <c r="K105" s="182">
        <v>7</v>
      </c>
      <c r="L105" s="47">
        <v>0.1104</v>
      </c>
      <c r="M105" s="47">
        <v>0.15079999999999999</v>
      </c>
      <c r="N105" s="19">
        <f t="shared" si="31"/>
        <v>0.13071064572502614</v>
      </c>
      <c r="O105" s="48">
        <v>4.13</v>
      </c>
      <c r="P105" s="46">
        <v>82.5</v>
      </c>
      <c r="Q105" s="48">
        <v>0</v>
      </c>
      <c r="R105" s="46">
        <v>0.27029999999999998</v>
      </c>
      <c r="S105" s="49">
        <v>3205</v>
      </c>
      <c r="T105" s="50">
        <f t="shared" ref="T105:T135" si="33">R105/S105</f>
        <v>8.4336973478939156E-5</v>
      </c>
      <c r="U105" s="47">
        <v>9.1160000000000001E-5</v>
      </c>
      <c r="V105" s="44">
        <f t="shared" ref="V105:V140" si="34">U105/($C$3)</f>
        <v>1.2106241699867198E-5</v>
      </c>
      <c r="W105" s="44">
        <f t="shared" ref="W105:W140" si="35">T105/(N105*P105*$C$3)</f>
        <v>1.0386234574522796E-6</v>
      </c>
      <c r="X105" s="45">
        <f t="shared" ref="X105:X140" si="36">W105*P105</f>
        <v>8.5686435239813068E-5</v>
      </c>
      <c r="AD105" s="11"/>
      <c r="AE105" s="2"/>
      <c r="AG105" s="6">
        <v>3</v>
      </c>
      <c r="AH105">
        <f t="shared" si="22"/>
        <v>9.2739890987450873E-5</v>
      </c>
      <c r="AI105" s="2">
        <f t="shared" si="23"/>
        <v>9.7549999999999999E-5</v>
      </c>
      <c r="AJ105" s="2">
        <v>9.0710000000000004E-5</v>
      </c>
      <c r="AK105">
        <v>1.0119999999999999E-4</v>
      </c>
      <c r="AN105">
        <v>4.4000000000000004</v>
      </c>
      <c r="AO105">
        <f t="shared" si="14"/>
        <v>1.1236209767902068E-5</v>
      </c>
      <c r="AX105">
        <v>9.1999999999999993</v>
      </c>
      <c r="AY105" s="2">
        <f t="shared" si="25"/>
        <v>8.0616423215345868E-6</v>
      </c>
      <c r="AZ105" s="2">
        <f t="shared" si="26"/>
        <v>7.8053846542405416E-6</v>
      </c>
      <c r="BA105" s="2">
        <f t="shared" si="27"/>
        <v>2.5054041041786497E-5</v>
      </c>
      <c r="BB105" s="2"/>
    </row>
    <row r="106" spans="6:54">
      <c r="F106" t="s">
        <v>457</v>
      </c>
      <c r="G106" s="46" t="s">
        <v>20</v>
      </c>
      <c r="H106" s="46" t="s">
        <v>82</v>
      </c>
      <c r="I106" s="40">
        <f t="shared" si="32"/>
        <v>313.14999999999998</v>
      </c>
      <c r="J106" s="47">
        <v>0.06</v>
      </c>
      <c r="K106" s="182">
        <v>7</v>
      </c>
      <c r="L106" s="47">
        <v>9.4630000000000006E-2</v>
      </c>
      <c r="M106" s="47">
        <v>0.1293</v>
      </c>
      <c r="N106" s="19">
        <f t="shared" si="31"/>
        <v>0.1210346034964655</v>
      </c>
      <c r="O106" s="48">
        <v>6.19</v>
      </c>
      <c r="P106" s="46">
        <v>82.5</v>
      </c>
      <c r="Q106" s="48">
        <v>0</v>
      </c>
      <c r="R106" s="46">
        <v>0.30940000000000001</v>
      </c>
      <c r="S106" s="49">
        <v>3822</v>
      </c>
      <c r="T106" s="50">
        <f t="shared" si="33"/>
        <v>8.0952380952380949E-5</v>
      </c>
      <c r="U106" s="47">
        <v>8.2860000000000003E-5</v>
      </c>
      <c r="V106" s="44">
        <f t="shared" si="34"/>
        <v>1.1003984063745019E-5</v>
      </c>
      <c r="W106" s="44">
        <f t="shared" si="35"/>
        <v>1.0766415844606308E-6</v>
      </c>
      <c r="X106" s="45">
        <f t="shared" si="36"/>
        <v>8.8822930718002042E-5</v>
      </c>
      <c r="AD106" s="11"/>
      <c r="AE106" s="2"/>
      <c r="AG106" s="6">
        <v>3.1</v>
      </c>
      <c r="AH106">
        <f t="shared" si="22"/>
        <v>9.2887639759184167E-5</v>
      </c>
      <c r="AI106" s="2">
        <f t="shared" si="23"/>
        <v>9.7549999999999999E-5</v>
      </c>
      <c r="AJ106" s="2">
        <v>9.0710000000000004E-5</v>
      </c>
      <c r="AK106">
        <v>1.0119999999999999E-4</v>
      </c>
      <c r="AN106">
        <v>4.5</v>
      </c>
      <c r="AO106">
        <f t="shared" si="14"/>
        <v>1.1188069737087512E-5</v>
      </c>
      <c r="AX106">
        <v>9.3000000000000007</v>
      </c>
      <c r="AY106" s="2">
        <f t="shared" si="25"/>
        <v>8.0770820195756582E-6</v>
      </c>
      <c r="AZ106" s="2">
        <f t="shared" si="26"/>
        <v>7.8113116967545142E-6</v>
      </c>
      <c r="BA106" s="2">
        <f t="shared" si="27"/>
        <v>2.516895673583153E-5</v>
      </c>
      <c r="BB106" s="2"/>
    </row>
    <row r="107" spans="6:54" ht="15.75" thickBot="1">
      <c r="F107" t="s">
        <v>457</v>
      </c>
      <c r="G107" s="55" t="s">
        <v>20</v>
      </c>
      <c r="H107" s="55" t="s">
        <v>82</v>
      </c>
      <c r="I107" s="55">
        <f t="shared" si="32"/>
        <v>313.14999999999998</v>
      </c>
      <c r="J107" s="56">
        <v>0.05</v>
      </c>
      <c r="K107" s="63">
        <v>7</v>
      </c>
      <c r="L107" s="56">
        <v>7.8850000000000003E-2</v>
      </c>
      <c r="M107" s="56">
        <v>0.1077</v>
      </c>
      <c r="N107" s="19">
        <f t="shared" si="31"/>
        <v>0.11046333248943327</v>
      </c>
      <c r="O107" s="57">
        <v>8.25</v>
      </c>
      <c r="P107" s="55">
        <v>82.5</v>
      </c>
      <c r="Q107" s="57">
        <v>0</v>
      </c>
      <c r="R107" s="55">
        <v>0.34949999999999998</v>
      </c>
      <c r="S107" s="58">
        <v>5426</v>
      </c>
      <c r="T107" s="59">
        <f t="shared" si="33"/>
        <v>6.4412089937338738E-5</v>
      </c>
      <c r="U107" s="56">
        <v>5.9729999999999999E-5</v>
      </c>
      <c r="V107" s="44">
        <f t="shared" si="34"/>
        <v>7.9322709163346604E-6</v>
      </c>
      <c r="W107" s="44">
        <f t="shared" si="35"/>
        <v>9.3864273887971362E-7</v>
      </c>
      <c r="X107" s="45">
        <f t="shared" si="36"/>
        <v>7.7438025957576379E-5</v>
      </c>
      <c r="AD107" s="11"/>
      <c r="AE107" s="2"/>
      <c r="AG107">
        <v>3.2</v>
      </c>
      <c r="AH107">
        <f t="shared" si="22"/>
        <v>9.3026582429371794E-5</v>
      </c>
      <c r="AI107" s="2">
        <f t="shared" si="23"/>
        <v>9.7549999999999999E-5</v>
      </c>
      <c r="AJ107" s="2">
        <v>9.0710000000000004E-5</v>
      </c>
      <c r="AK107">
        <v>1.0119999999999999E-4</v>
      </c>
      <c r="AN107">
        <v>4.5999999999999996</v>
      </c>
      <c r="AO107">
        <f t="shared" si="14"/>
        <v>1.1140434975790231E-5</v>
      </c>
      <c r="AX107">
        <v>9.4</v>
      </c>
      <c r="AY107" s="2">
        <f t="shared" si="25"/>
        <v>8.0924330523401607E-6</v>
      </c>
      <c r="AZ107" s="2">
        <f t="shared" si="26"/>
        <v>7.8171213546566329E-6</v>
      </c>
      <c r="BA107" s="2">
        <f t="shared" si="27"/>
        <v>2.5283634728335594E-5</v>
      </c>
      <c r="BB107" s="2"/>
    </row>
    <row r="108" spans="6:54">
      <c r="F108" t="s">
        <v>457</v>
      </c>
      <c r="G108" s="14" t="s">
        <v>22</v>
      </c>
      <c r="H108" s="14" t="s">
        <v>82</v>
      </c>
      <c r="I108" s="40">
        <f t="shared" si="32"/>
        <v>313.14999999999998</v>
      </c>
      <c r="J108" s="41">
        <v>0.08</v>
      </c>
      <c r="K108" s="33">
        <v>7</v>
      </c>
      <c r="L108" s="41">
        <v>0.12620000000000001</v>
      </c>
      <c r="M108" s="41">
        <v>0.17230000000000001</v>
      </c>
      <c r="N108" s="19">
        <f t="shared" si="31"/>
        <v>0.13971818266839847</v>
      </c>
      <c r="O108" s="36">
        <v>2.06</v>
      </c>
      <c r="P108" s="14">
        <v>82.5</v>
      </c>
      <c r="Q108" s="36">
        <v>0</v>
      </c>
      <c r="R108" s="14">
        <v>0.1643</v>
      </c>
      <c r="S108" s="37">
        <v>1668</v>
      </c>
      <c r="T108" s="39">
        <f t="shared" si="33"/>
        <v>9.8501199040767386E-5</v>
      </c>
      <c r="U108" s="41">
        <v>9.1840000000000002E-5</v>
      </c>
      <c r="V108" s="44">
        <f t="shared" si="34"/>
        <v>1.2196547144754317E-5</v>
      </c>
      <c r="W108" s="44">
        <f t="shared" si="35"/>
        <v>1.1348531417536208E-6</v>
      </c>
      <c r="X108" s="45">
        <f t="shared" si="36"/>
        <v>9.3625384194673714E-5</v>
      </c>
      <c r="AD108" s="11"/>
      <c r="AE108" s="2"/>
      <c r="AG108" s="6">
        <v>3.3</v>
      </c>
      <c r="AH108">
        <f t="shared" si="22"/>
        <v>9.3157483505035301E-5</v>
      </c>
      <c r="AI108" s="2">
        <f t="shared" si="23"/>
        <v>9.7549999999999999E-5</v>
      </c>
      <c r="AJ108" s="2">
        <v>9.0710000000000004E-5</v>
      </c>
      <c r="AK108">
        <v>1.0119999999999999E-4</v>
      </c>
      <c r="AN108">
        <v>4.7</v>
      </c>
      <c r="AO108">
        <f t="shared" si="14"/>
        <v>1.1093309336491257E-5</v>
      </c>
      <c r="AX108">
        <v>9.5</v>
      </c>
      <c r="AY108" s="2">
        <f t="shared" si="25"/>
        <v>8.1076980614535124E-6</v>
      </c>
      <c r="AZ108" s="2">
        <f t="shared" si="26"/>
        <v>7.8228170809432771E-6</v>
      </c>
      <c r="BA108" s="2">
        <f t="shared" si="27"/>
        <v>2.5398082003741467E-5</v>
      </c>
      <c r="BB108" s="2"/>
    </row>
    <row r="109" spans="6:54">
      <c r="F109" t="s">
        <v>457</v>
      </c>
      <c r="G109" s="14" t="s">
        <v>22</v>
      </c>
      <c r="H109" s="14" t="s">
        <v>82</v>
      </c>
      <c r="I109" s="40">
        <f t="shared" si="32"/>
        <v>313.14999999999998</v>
      </c>
      <c r="J109" s="47">
        <v>7.0000000000000007E-2</v>
      </c>
      <c r="K109" s="33">
        <v>7</v>
      </c>
      <c r="L109" s="47">
        <v>0.1104</v>
      </c>
      <c r="M109" s="47">
        <v>0.15079999999999999</v>
      </c>
      <c r="N109" s="19">
        <f t="shared" si="31"/>
        <v>0.13071064572502614</v>
      </c>
      <c r="O109" s="36">
        <v>4.13</v>
      </c>
      <c r="P109" s="14">
        <v>82.5</v>
      </c>
      <c r="Q109" s="36">
        <v>0</v>
      </c>
      <c r="R109" s="14">
        <v>0.21740000000000001</v>
      </c>
      <c r="S109" s="37">
        <v>2211</v>
      </c>
      <c r="T109" s="39">
        <f t="shared" si="33"/>
        <v>9.8326549072817737E-5</v>
      </c>
      <c r="U109" s="21">
        <v>8.776E-5</v>
      </c>
      <c r="V109" s="44">
        <f t="shared" si="34"/>
        <v>1.1654714475431606E-5</v>
      </c>
      <c r="W109" s="44">
        <f t="shared" si="35"/>
        <v>1.2109073416401873E-6</v>
      </c>
      <c r="X109" s="45">
        <f t="shared" si="36"/>
        <v>9.9899855685315451E-5</v>
      </c>
      <c r="AD109" s="11"/>
      <c r="AE109" s="2"/>
      <c r="AG109" s="6">
        <v>3.4</v>
      </c>
      <c r="AH109">
        <f t="shared" si="22"/>
        <v>9.3281021487231404E-5</v>
      </c>
      <c r="AI109" s="2">
        <f t="shared" si="23"/>
        <v>9.7549999999999999E-5</v>
      </c>
      <c r="AJ109" s="2">
        <v>9.0710000000000004E-5</v>
      </c>
      <c r="AK109">
        <v>1.0119999999999999E-4</v>
      </c>
      <c r="AN109">
        <v>4.8</v>
      </c>
      <c r="AO109">
        <f t="shared" si="14"/>
        <v>1.1046695041953283E-5</v>
      </c>
      <c r="AX109">
        <v>9.6</v>
      </c>
      <c r="AY109" s="2">
        <f>($AV$6*AX109)/($AU$6+AX109)+AX109*$AW$6</f>
        <v>8.1228795846362609E-6</v>
      </c>
      <c r="AZ109" s="2">
        <f t="shared" si="26"/>
        <v>7.8284021944943449E-6</v>
      </c>
      <c r="BA109" s="2">
        <f t="shared" si="27"/>
        <v>2.5512305275511889E-5</v>
      </c>
      <c r="BB109" s="2"/>
    </row>
    <row r="110" spans="6:54">
      <c r="F110" t="s">
        <v>457</v>
      </c>
      <c r="G110" s="14" t="s">
        <v>22</v>
      </c>
      <c r="H110" s="14" t="s">
        <v>82</v>
      </c>
      <c r="I110" s="40">
        <f t="shared" si="32"/>
        <v>313.14999999999998</v>
      </c>
      <c r="J110" s="47">
        <v>0.06</v>
      </c>
      <c r="K110" s="33">
        <v>7</v>
      </c>
      <c r="L110" s="47">
        <v>9.4630000000000006E-2</v>
      </c>
      <c r="M110" s="47">
        <v>0.1293</v>
      </c>
      <c r="N110" s="19">
        <f t="shared" si="31"/>
        <v>0.1210346034964655</v>
      </c>
      <c r="O110" s="36">
        <v>6.19</v>
      </c>
      <c r="P110" s="14">
        <v>82.5</v>
      </c>
      <c r="Q110" s="36">
        <v>0</v>
      </c>
      <c r="R110" s="14">
        <v>0.27110000000000001</v>
      </c>
      <c r="S110" s="37">
        <v>2736</v>
      </c>
      <c r="T110" s="39">
        <f t="shared" si="33"/>
        <v>9.9086257309941522E-5</v>
      </c>
      <c r="U110" s="21">
        <v>9.1840000000000002E-5</v>
      </c>
      <c r="V110" s="44">
        <f t="shared" si="34"/>
        <v>1.2196547144754317E-5</v>
      </c>
      <c r="W110" s="44">
        <f t="shared" si="35"/>
        <v>1.3178165214337842E-6</v>
      </c>
      <c r="X110" s="45">
        <f t="shared" si="36"/>
        <v>1.0871986301828719E-4</v>
      </c>
      <c r="AD110" s="11"/>
      <c r="AE110" s="2"/>
      <c r="AG110" s="6">
        <v>3.5</v>
      </c>
      <c r="AH110">
        <f t="shared" si="22"/>
        <v>9.3397800634642745E-5</v>
      </c>
      <c r="AI110" s="2">
        <f t="shared" si="23"/>
        <v>9.7549999999999999E-5</v>
      </c>
      <c r="AJ110" s="2">
        <v>9.0710000000000004E-5</v>
      </c>
      <c r="AK110">
        <v>1.0119999999999999E-4</v>
      </c>
      <c r="AN110">
        <v>4.9000000000000004</v>
      </c>
      <c r="AO110">
        <f t="shared" si="14"/>
        <v>1.100059291407248E-5</v>
      </c>
      <c r="AX110">
        <v>9.6999999999999993</v>
      </c>
      <c r="AY110" s="2">
        <f>($AV$6*AX110)/($AU$6+AX110)+AX110*$AW$6</f>
        <v>8.1379800607630428E-6</v>
      </c>
      <c r="AZ110" s="2">
        <f t="shared" si="26"/>
        <v>7.8338798865220948E-6</v>
      </c>
      <c r="BA110" s="2">
        <f t="shared" si="27"/>
        <v>2.5626310999145045E-5</v>
      </c>
      <c r="BB110" s="2"/>
    </row>
    <row r="111" spans="6:54" ht="15.75" thickBot="1">
      <c r="F111" t="s">
        <v>457</v>
      </c>
      <c r="G111" s="55" t="s">
        <v>22</v>
      </c>
      <c r="H111" s="55" t="s">
        <v>82</v>
      </c>
      <c r="I111" s="55">
        <f t="shared" si="32"/>
        <v>313.14999999999998</v>
      </c>
      <c r="J111" s="56">
        <v>0.05</v>
      </c>
      <c r="K111" s="63">
        <v>7</v>
      </c>
      <c r="L111" s="56">
        <v>7.8850000000000003E-2</v>
      </c>
      <c r="M111" s="56">
        <v>0.1077</v>
      </c>
      <c r="N111" s="19">
        <f t="shared" si="31"/>
        <v>0.11046333248943327</v>
      </c>
      <c r="O111" s="57">
        <v>8.25</v>
      </c>
      <c r="P111" s="55">
        <v>82.5</v>
      </c>
      <c r="Q111" s="57">
        <v>0</v>
      </c>
      <c r="R111" s="55">
        <v>0.36470000000000002</v>
      </c>
      <c r="S111" s="58">
        <v>4265</v>
      </c>
      <c r="T111" s="59">
        <f t="shared" si="33"/>
        <v>8.5509964830011726E-5</v>
      </c>
      <c r="U111" s="56">
        <v>7.347E-5</v>
      </c>
      <c r="V111" s="44">
        <f t="shared" si="34"/>
        <v>9.7569721115537851E-6</v>
      </c>
      <c r="W111" s="44">
        <f t="shared" si="35"/>
        <v>1.2460907209753915E-6</v>
      </c>
      <c r="X111" s="45">
        <f t="shared" si="36"/>
        <v>1.028024844804698E-4</v>
      </c>
      <c r="AD111" s="11"/>
      <c r="AE111" s="2"/>
      <c r="AG111">
        <v>3.6</v>
      </c>
      <c r="AH111">
        <f t="shared" si="22"/>
        <v>9.3508360847800601E-5</v>
      </c>
      <c r="AI111" s="2">
        <f t="shared" si="23"/>
        <v>9.7549999999999999E-5</v>
      </c>
      <c r="AJ111" s="2">
        <v>9.0710000000000004E-5</v>
      </c>
      <c r="AK111">
        <v>1.0119999999999999E-4</v>
      </c>
      <c r="AN111">
        <v>5</v>
      </c>
      <c r="AO111">
        <f t="shared" si="14"/>
        <v>1.0955002571765273E-5</v>
      </c>
      <c r="AX111">
        <v>9.8000000000000007</v>
      </c>
      <c r="AY111" s="2">
        <f>($AV$6*AX111)/($AU$6+AX111)+AX111*$AW$6</f>
        <v>8.1530018346288112E-6</v>
      </c>
      <c r="AZ111" s="2">
        <f t="shared" si="26"/>
        <v>7.8392532266514268E-6</v>
      </c>
      <c r="BA111" s="2">
        <f t="shared" si="27"/>
        <v>2.574010538444705E-5</v>
      </c>
      <c r="BB111" s="2"/>
    </row>
    <row r="112" spans="6:54">
      <c r="F112" t="s">
        <v>457</v>
      </c>
      <c r="G112" s="40" t="s">
        <v>23</v>
      </c>
      <c r="H112" s="40" t="s">
        <v>82</v>
      </c>
      <c r="I112" s="40">
        <f t="shared" si="32"/>
        <v>313.14999999999998</v>
      </c>
      <c r="J112" s="41">
        <v>0.08</v>
      </c>
      <c r="K112" s="62">
        <v>7</v>
      </c>
      <c r="L112" s="41">
        <v>0.12620000000000001</v>
      </c>
      <c r="M112" s="41">
        <v>0.17230000000000001</v>
      </c>
      <c r="N112" s="19">
        <f t="shared" si="31"/>
        <v>0.13971818266839847</v>
      </c>
      <c r="O112" s="42">
        <v>2.06</v>
      </c>
      <c r="P112" s="40">
        <v>82.5</v>
      </c>
      <c r="Q112" s="42">
        <v>0</v>
      </c>
      <c r="R112" s="40">
        <v>0.1341</v>
      </c>
      <c r="S112" s="43">
        <v>1492</v>
      </c>
      <c r="T112" s="44">
        <f t="shared" si="33"/>
        <v>8.9879356568364608E-5</v>
      </c>
      <c r="U112" s="41">
        <v>8.776E-5</v>
      </c>
      <c r="V112" s="44">
        <f t="shared" si="34"/>
        <v>1.1654714475431606E-5</v>
      </c>
      <c r="W112" s="44">
        <f t="shared" si="35"/>
        <v>1.0355190715819317E-6</v>
      </c>
      <c r="X112" s="45">
        <f t="shared" si="36"/>
        <v>8.5430323405509363E-5</v>
      </c>
      <c r="AD112" s="11"/>
      <c r="AE112" s="2"/>
      <c r="AG112" s="6">
        <v>3.7</v>
      </c>
      <c r="AH112">
        <f t="shared" si="22"/>
        <v>9.3613186015146794E-5</v>
      </c>
      <c r="AI112" s="2">
        <f t="shared" si="23"/>
        <v>9.7549999999999999E-5</v>
      </c>
      <c r="AJ112" s="2">
        <v>9.0710000000000004E-5</v>
      </c>
      <c r="AK112">
        <v>1.0119999999999999E-4</v>
      </c>
      <c r="AN112">
        <v>5.0999999999999996</v>
      </c>
      <c r="AO112">
        <f t="shared" si="14"/>
        <v>1.0909922602340505E-5</v>
      </c>
      <c r="AX112">
        <v>9.9</v>
      </c>
      <c r="AY112" s="2">
        <f>($AV$6*AX112)/($AU$6+AX112)+AX112*$AW$6</f>
        <v>8.167947161441917E-6</v>
      </c>
      <c r="AZ112" s="2">
        <f t="shared" si="26"/>
        <v>7.844525168655943E-6</v>
      </c>
      <c r="BA112" s="2">
        <f t="shared" si="27"/>
        <v>2.5853694407110343E-5</v>
      </c>
      <c r="BB112" s="2"/>
    </row>
    <row r="113" spans="6:54">
      <c r="F113" t="s">
        <v>457</v>
      </c>
      <c r="G113" s="14" t="s">
        <v>23</v>
      </c>
      <c r="H113" s="14" t="s">
        <v>82</v>
      </c>
      <c r="I113" s="40">
        <f t="shared" si="32"/>
        <v>313.14999999999998</v>
      </c>
      <c r="J113" s="47">
        <v>7.0000000000000007E-2</v>
      </c>
      <c r="K113" s="33">
        <v>7</v>
      </c>
      <c r="L113" s="47">
        <v>0.1104</v>
      </c>
      <c r="M113" s="47">
        <v>0.15079999999999999</v>
      </c>
      <c r="N113" s="19">
        <f t="shared" si="31"/>
        <v>0.13071064572502614</v>
      </c>
      <c r="O113" s="36">
        <v>4.13</v>
      </c>
      <c r="P113" s="14">
        <v>82.5</v>
      </c>
      <c r="Q113" s="36">
        <v>0</v>
      </c>
      <c r="R113" s="14">
        <v>0.31309999999999999</v>
      </c>
      <c r="S113" s="37">
        <v>140500</v>
      </c>
      <c r="T113" s="39">
        <f t="shared" si="33"/>
        <v>2.2284697508896795E-6</v>
      </c>
      <c r="U113" s="21">
        <v>4.0820000000000001E-6</v>
      </c>
      <c r="V113" s="44">
        <f t="shared" si="34"/>
        <v>5.4209827357237717E-7</v>
      </c>
      <c r="W113" s="44">
        <f t="shared" si="35"/>
        <v>2.7443965108314589E-8</v>
      </c>
      <c r="X113" s="45">
        <f t="shared" si="36"/>
        <v>2.2641271214359535E-6</v>
      </c>
      <c r="AD113" s="11"/>
      <c r="AE113" s="2"/>
      <c r="AG113" s="6">
        <v>3.8</v>
      </c>
      <c r="AH113">
        <f t="shared" si="22"/>
        <v>9.3712711093133771E-5</v>
      </c>
      <c r="AI113" s="2">
        <f t="shared" si="23"/>
        <v>9.7549999999999999E-5</v>
      </c>
      <c r="AJ113" s="2">
        <v>9.0710000000000004E-5</v>
      </c>
      <c r="AK113">
        <v>1.0119999999999999E-4</v>
      </c>
      <c r="AN113">
        <v>5.2</v>
      </c>
      <c r="AO113">
        <f t="shared" si="14"/>
        <v>1.0865350710115207E-5</v>
      </c>
      <c r="AX113">
        <v>10</v>
      </c>
      <c r="AY113" s="2">
        <f>($AV$6*AX113)/($AU$6+AX113)+AX113*$AW$6</f>
        <v>8.182818211062123E-6</v>
      </c>
      <c r="AZ113" s="2">
        <f t="shared" si="26"/>
        <v>7.8496985558723189E-6</v>
      </c>
      <c r="BA113" s="2">
        <f t="shared" si="27"/>
        <v>2.5967083819643511E-5</v>
      </c>
      <c r="BB113" s="2"/>
    </row>
    <row r="114" spans="6:54">
      <c r="F114" t="s">
        <v>457</v>
      </c>
      <c r="G114" s="14" t="s">
        <v>23</v>
      </c>
      <c r="H114" s="14" t="s">
        <v>82</v>
      </c>
      <c r="I114" s="40">
        <f t="shared" si="32"/>
        <v>313.14999999999998</v>
      </c>
      <c r="J114" s="47">
        <v>0.06</v>
      </c>
      <c r="K114" s="33">
        <v>7</v>
      </c>
      <c r="L114" s="47">
        <v>9.4630000000000006E-2</v>
      </c>
      <c r="M114" s="47">
        <v>0.1293</v>
      </c>
      <c r="N114" s="19">
        <f t="shared" si="31"/>
        <v>0.1210346034964655</v>
      </c>
      <c r="O114" s="36">
        <v>6.19</v>
      </c>
      <c r="P114" s="14">
        <v>82.5</v>
      </c>
      <c r="Q114" s="36">
        <v>0</v>
      </c>
      <c r="R114" s="14">
        <v>0.26690000000000003</v>
      </c>
      <c r="S114" s="37">
        <v>3303</v>
      </c>
      <c r="T114" s="39">
        <f t="shared" si="33"/>
        <v>8.0805328489252207E-5</v>
      </c>
      <c r="U114" s="21">
        <v>8.1630000000000003E-5</v>
      </c>
      <c r="V114" s="44">
        <f t="shared" si="34"/>
        <v>1.0840637450199203E-5</v>
      </c>
      <c r="W114" s="44">
        <f t="shared" si="35"/>
        <v>1.0746858322636091E-6</v>
      </c>
      <c r="X114" s="45">
        <f t="shared" si="36"/>
        <v>8.8661581161747751E-5</v>
      </c>
      <c r="AC114" t="s">
        <v>78</v>
      </c>
      <c r="AD114" s="11"/>
      <c r="AE114" s="2"/>
      <c r="AG114" s="6">
        <v>3.9</v>
      </c>
      <c r="AH114">
        <f t="shared" si="22"/>
        <v>9.3807328138869705E-5</v>
      </c>
      <c r="AI114" s="2">
        <f t="shared" si="23"/>
        <v>9.7549999999999999E-5</v>
      </c>
      <c r="AJ114" s="2">
        <v>9.0710000000000004E-5</v>
      </c>
      <c r="AK114">
        <v>1.0119999999999999E-4</v>
      </c>
      <c r="AN114">
        <v>5.3</v>
      </c>
      <c r="AO114">
        <f t="shared" si="14"/>
        <v>1.0821283845456386E-5</v>
      </c>
      <c r="AZ114" s="2"/>
      <c r="BA114" s="2"/>
      <c r="BB114" s="2"/>
    </row>
    <row r="115" spans="6:54" ht="15.75" thickBot="1">
      <c r="F115" t="s">
        <v>457</v>
      </c>
      <c r="G115" s="55" t="s">
        <v>23</v>
      </c>
      <c r="H115" s="55" t="s">
        <v>82</v>
      </c>
      <c r="I115" s="55">
        <f t="shared" si="32"/>
        <v>313.14999999999998</v>
      </c>
      <c r="J115" s="56">
        <v>0.05</v>
      </c>
      <c r="K115" s="63">
        <v>7</v>
      </c>
      <c r="L115" s="56">
        <v>7.8850000000000003E-2</v>
      </c>
      <c r="M115" s="56">
        <v>0.1077</v>
      </c>
      <c r="N115" s="19">
        <f t="shared" si="31"/>
        <v>0.11046333248943327</v>
      </c>
      <c r="O115" s="57">
        <v>8.25</v>
      </c>
      <c r="P115" s="55">
        <v>82.5</v>
      </c>
      <c r="Q115" s="57">
        <v>0</v>
      </c>
      <c r="R115" s="55">
        <v>0.40029999999999999</v>
      </c>
      <c r="S115" s="58">
        <v>26890</v>
      </c>
      <c r="T115" s="59">
        <f t="shared" si="33"/>
        <v>1.4886574934920044E-5</v>
      </c>
      <c r="U115" s="56">
        <v>8.1629999999999996E-6</v>
      </c>
      <c r="V115" s="44">
        <f t="shared" si="34"/>
        <v>1.0840637450199203E-6</v>
      </c>
      <c r="W115" s="44">
        <f t="shared" si="35"/>
        <v>2.1693404891915176E-7</v>
      </c>
      <c r="X115" s="45">
        <f t="shared" si="36"/>
        <v>1.7897059035830018E-5</v>
      </c>
      <c r="AD115" s="11"/>
      <c r="AE115" s="2"/>
      <c r="AG115">
        <v>4</v>
      </c>
      <c r="AH115">
        <f t="shared" si="22"/>
        <v>9.3897391471748964E-5</v>
      </c>
      <c r="AI115" s="2">
        <f t="shared" si="23"/>
        <v>9.7549999999999999E-5</v>
      </c>
      <c r="AJ115" s="2">
        <v>9.0710000000000004E-5</v>
      </c>
      <c r="AK115">
        <v>1.0119999999999999E-4</v>
      </c>
      <c r="AN115">
        <v>5.4</v>
      </c>
      <c r="AO115">
        <f t="shared" si="14"/>
        <v>1.0777718316951156E-5</v>
      </c>
      <c r="AZ115" s="2"/>
      <c r="BA115" s="2"/>
      <c r="BB115" s="2"/>
    </row>
    <row r="116" spans="6:54">
      <c r="F116" t="s">
        <v>459</v>
      </c>
      <c r="G116" s="40" t="s">
        <v>24</v>
      </c>
      <c r="H116" s="40" t="s">
        <v>82</v>
      </c>
      <c r="I116" s="40">
        <f t="shared" si="32"/>
        <v>313.14999999999998</v>
      </c>
      <c r="J116" s="41">
        <v>7.4999999999999997E-2</v>
      </c>
      <c r="K116" s="62">
        <v>7</v>
      </c>
      <c r="L116" s="41">
        <v>0.1183</v>
      </c>
      <c r="M116" s="41">
        <v>0.15079999999999999</v>
      </c>
      <c r="N116" s="19">
        <f t="shared" si="31"/>
        <v>0.13071064572502614</v>
      </c>
      <c r="O116" s="42">
        <v>4.13</v>
      </c>
      <c r="P116" s="40">
        <v>82.5</v>
      </c>
      <c r="Q116" s="42">
        <v>0</v>
      </c>
      <c r="R116" s="40">
        <v>1.246</v>
      </c>
      <c r="S116" s="43">
        <v>15400</v>
      </c>
      <c r="T116" s="44">
        <f t="shared" si="33"/>
        <v>8.0909090909090904E-5</v>
      </c>
      <c r="U116" s="41">
        <v>8.4720000000000002E-5</v>
      </c>
      <c r="V116" s="44">
        <f t="shared" si="34"/>
        <v>1.1250996015936254E-5</v>
      </c>
      <c r="W116" s="44">
        <f t="shared" si="35"/>
        <v>9.9640852965047411E-7</v>
      </c>
      <c r="X116" s="45">
        <f t="shared" si="36"/>
        <v>8.2203703696164109E-5</v>
      </c>
      <c r="AD116" s="11"/>
      <c r="AE116" s="2"/>
      <c r="AG116" s="6">
        <v>4.0999999999999996</v>
      </c>
      <c r="AH116">
        <f t="shared" si="22"/>
        <v>9.3983222107340926E-5</v>
      </c>
      <c r="AI116" s="2">
        <f t="shared" si="23"/>
        <v>9.7549999999999999E-5</v>
      </c>
      <c r="AJ116" s="2">
        <v>9.0710000000000004E-5</v>
      </c>
      <c r="AK116">
        <v>1.0119999999999999E-4</v>
      </c>
      <c r="AN116">
        <v>5.5</v>
      </c>
      <c r="AO116">
        <f t="shared" si="14"/>
        <v>1.0734649889005591E-5</v>
      </c>
      <c r="AZ116" s="2"/>
      <c r="BA116" s="2"/>
      <c r="BB116" s="2"/>
    </row>
    <row r="117" spans="6:54">
      <c r="F117" t="s">
        <v>459</v>
      </c>
      <c r="G117" s="14" t="s">
        <v>24</v>
      </c>
      <c r="H117" s="14" t="s">
        <v>82</v>
      </c>
      <c r="I117" s="40">
        <f t="shared" si="32"/>
        <v>313.14999999999998</v>
      </c>
      <c r="J117" s="21">
        <v>7.4999999999999997E-2</v>
      </c>
      <c r="K117" s="33">
        <v>7</v>
      </c>
      <c r="L117" s="41">
        <v>0.1183</v>
      </c>
      <c r="M117" s="41">
        <v>0.15079999999999999</v>
      </c>
      <c r="N117" s="19">
        <f t="shared" si="31"/>
        <v>0.13071064572502614</v>
      </c>
      <c r="O117" s="36">
        <v>4.13</v>
      </c>
      <c r="P117" s="14">
        <v>82.5</v>
      </c>
      <c r="Q117" s="36">
        <v>0</v>
      </c>
      <c r="R117" s="14">
        <v>1.8460000000000001</v>
      </c>
      <c r="S117" s="37">
        <v>21080</v>
      </c>
      <c r="T117" s="39">
        <f t="shared" si="33"/>
        <v>8.7571157495256168E-5</v>
      </c>
      <c r="U117" s="21">
        <v>8.6580000000000001E-5</v>
      </c>
      <c r="V117" s="44">
        <f t="shared" si="34"/>
        <v>1.1498007968127489E-5</v>
      </c>
      <c r="W117" s="44">
        <f t="shared" si="35"/>
        <v>1.0784529562651924E-6</v>
      </c>
      <c r="X117" s="45">
        <f t="shared" si="36"/>
        <v>8.8972368891878376E-5</v>
      </c>
      <c r="AD117" s="11"/>
      <c r="AE117" s="2"/>
      <c r="AG117" s="6">
        <v>4.2</v>
      </c>
      <c r="AH117">
        <f t="shared" si="22"/>
        <v>9.4065111580494086E-5</v>
      </c>
      <c r="AI117" s="2">
        <f t="shared" si="23"/>
        <v>9.7549999999999999E-5</v>
      </c>
      <c r="AJ117" s="2">
        <v>9.0710000000000004E-5</v>
      </c>
      <c r="AK117">
        <v>1.0119999999999999E-4</v>
      </c>
      <c r="AN117">
        <v>5.6</v>
      </c>
      <c r="AO117">
        <f t="shared" si="14"/>
        <v>1.0692073866835725E-5</v>
      </c>
      <c r="AZ117" s="2"/>
      <c r="BA117" s="2"/>
      <c r="BB117" s="2"/>
    </row>
    <row r="118" spans="6:54">
      <c r="F118" t="s">
        <v>459</v>
      </c>
      <c r="G118" s="14" t="s">
        <v>24</v>
      </c>
      <c r="H118" s="14" t="s">
        <v>82</v>
      </c>
      <c r="I118" s="40">
        <f t="shared" si="32"/>
        <v>313.14999999999998</v>
      </c>
      <c r="J118" s="21">
        <v>7.4999999999999997E-2</v>
      </c>
      <c r="K118" s="33">
        <v>7</v>
      </c>
      <c r="L118" s="41">
        <v>0.1183</v>
      </c>
      <c r="M118" s="41">
        <v>0.15079999999999999</v>
      </c>
      <c r="N118" s="19">
        <f t="shared" si="31"/>
        <v>0.13071064572502614</v>
      </c>
      <c r="O118" s="36">
        <v>4.13</v>
      </c>
      <c r="P118" s="14">
        <v>82.5</v>
      </c>
      <c r="Q118" s="36">
        <v>0</v>
      </c>
      <c r="R118" s="14">
        <v>1.8939999999999999</v>
      </c>
      <c r="S118" s="37">
        <v>21660</v>
      </c>
      <c r="T118" s="39">
        <f t="shared" si="33"/>
        <v>8.7442289935364719E-5</v>
      </c>
      <c r="U118" s="21">
        <v>8.6700000000000007E-5</v>
      </c>
      <c r="V118" s="44">
        <f t="shared" si="34"/>
        <v>1.1513944223107571E-5</v>
      </c>
      <c r="W118" s="44">
        <f t="shared" si="35"/>
        <v>1.0768659314398195E-6</v>
      </c>
      <c r="X118" s="45">
        <f t="shared" si="36"/>
        <v>8.8841439343785106E-5</v>
      </c>
      <c r="AD118" s="11"/>
      <c r="AE118" s="2"/>
      <c r="AG118" s="6">
        <v>4.3</v>
      </c>
      <c r="AH118">
        <f t="shared" si="22"/>
        <v>9.414332525361344E-5</v>
      </c>
      <c r="AI118" s="2">
        <f t="shared" si="23"/>
        <v>9.7549999999999999E-5</v>
      </c>
      <c r="AJ118" s="2">
        <v>9.0710000000000004E-5</v>
      </c>
      <c r="AK118">
        <v>1.0119999999999999E-4</v>
      </c>
      <c r="AN118">
        <v>5.7</v>
      </c>
      <c r="AO118">
        <f t="shared" si="14"/>
        <v>1.0649985170530074E-5</v>
      </c>
      <c r="AZ118" s="2"/>
      <c r="BA118" s="2"/>
      <c r="BB118" s="2"/>
    </row>
    <row r="119" spans="6:54" ht="15.75" thickBot="1">
      <c r="F119" t="s">
        <v>459</v>
      </c>
      <c r="G119" s="55" t="s">
        <v>24</v>
      </c>
      <c r="H119" s="55" t="s">
        <v>82</v>
      </c>
      <c r="I119" s="55">
        <f t="shared" si="32"/>
        <v>313.14999999999998</v>
      </c>
      <c r="J119" s="56">
        <v>7.4999999999999997E-2</v>
      </c>
      <c r="K119" s="63">
        <v>7</v>
      </c>
      <c r="L119" s="56">
        <v>0.1183</v>
      </c>
      <c r="M119" s="56">
        <v>0.15079999999999999</v>
      </c>
      <c r="N119" s="19">
        <f t="shared" si="31"/>
        <v>0.13071064572502614</v>
      </c>
      <c r="O119" s="57">
        <v>4.13</v>
      </c>
      <c r="P119" s="55">
        <v>82.5</v>
      </c>
      <c r="Q119" s="57">
        <v>0</v>
      </c>
      <c r="R119" s="55">
        <v>1.7450000000000001</v>
      </c>
      <c r="S119" s="58">
        <v>20380</v>
      </c>
      <c r="T119" s="59">
        <f t="shared" si="33"/>
        <v>8.5623159960745838E-5</v>
      </c>
      <c r="U119" s="56">
        <v>7.9779999999999998E-5</v>
      </c>
      <c r="V119" s="44">
        <f t="shared" si="34"/>
        <v>1.0594953519256307E-5</v>
      </c>
      <c r="W119" s="44">
        <f t="shared" si="35"/>
        <v>1.0544630518265789E-6</v>
      </c>
      <c r="X119" s="45">
        <f t="shared" si="36"/>
        <v>8.6993201775692765E-5</v>
      </c>
      <c r="AD119" s="11"/>
      <c r="AE119" s="2"/>
      <c r="AG119">
        <v>4.4000000000000004</v>
      </c>
      <c r="AH119">
        <f t="shared" si="22"/>
        <v>9.4218105189217672E-5</v>
      </c>
      <c r="AI119" s="2">
        <f t="shared" si="23"/>
        <v>9.7549999999999999E-5</v>
      </c>
      <c r="AJ119" s="2">
        <v>9.0710000000000004E-5</v>
      </c>
      <c r="AK119">
        <v>1.0119999999999999E-4</v>
      </c>
      <c r="AN119">
        <v>5.8</v>
      </c>
      <c r="AO119">
        <f t="shared" si="14"/>
        <v>1.06083783996236E-5</v>
      </c>
      <c r="AZ119" s="2"/>
      <c r="BA119" s="2"/>
      <c r="BB119" s="2"/>
    </row>
    <row r="120" spans="6:54">
      <c r="F120" t="s">
        <v>457</v>
      </c>
      <c r="G120" s="40" t="s">
        <v>25</v>
      </c>
      <c r="H120" s="40" t="s">
        <v>82</v>
      </c>
      <c r="I120" s="40">
        <f t="shared" si="32"/>
        <v>313.14999999999998</v>
      </c>
      <c r="J120" s="41">
        <v>0.9</v>
      </c>
      <c r="K120" s="62">
        <v>7</v>
      </c>
      <c r="L120" s="41">
        <v>0.1419</v>
      </c>
      <c r="M120" s="41">
        <v>0.19389999999999999</v>
      </c>
      <c r="N120" s="19">
        <f t="shared" si="31"/>
        <v>0.14821740109391845</v>
      </c>
      <c r="O120" s="42">
        <v>1.03</v>
      </c>
      <c r="P120" s="40">
        <v>82.5</v>
      </c>
      <c r="Q120" s="42">
        <v>0</v>
      </c>
      <c r="R120" s="40">
        <v>0.1142</v>
      </c>
      <c r="S120" s="43">
        <v>1035</v>
      </c>
      <c r="T120" s="44">
        <f t="shared" si="33"/>
        <v>1.1033816425120773E-4</v>
      </c>
      <c r="U120" s="41">
        <v>8.9800000000000001E-5</v>
      </c>
      <c r="V120" s="44">
        <f t="shared" si="34"/>
        <v>1.1925630810092961E-5</v>
      </c>
      <c r="W120" s="44">
        <f t="shared" si="35"/>
        <v>1.1983333208369869E-6</v>
      </c>
      <c r="X120" s="45">
        <f t="shared" si="36"/>
        <v>9.8862498969051423E-5</v>
      </c>
      <c r="AD120" s="11"/>
      <c r="AE120" s="2"/>
      <c r="AG120" s="6">
        <v>4.5</v>
      </c>
      <c r="AH120">
        <f t="shared" si="22"/>
        <v>9.4289672652289722E-5</v>
      </c>
      <c r="AI120" s="2">
        <f t="shared" si="23"/>
        <v>9.7549999999999999E-5</v>
      </c>
      <c r="AJ120" s="2">
        <v>9.0710000000000004E-5</v>
      </c>
      <c r="AK120">
        <v>1.0119999999999999E-4</v>
      </c>
      <c r="AN120">
        <v>5.9</v>
      </c>
      <c r="AO120">
        <f t="shared" si="14"/>
        <v>1.056724788942051E-5</v>
      </c>
      <c r="AZ120" s="2"/>
      <c r="BA120" s="2"/>
      <c r="BB120" s="2"/>
    </row>
    <row r="121" spans="6:54">
      <c r="F121" t="s">
        <v>457</v>
      </c>
      <c r="G121" s="14" t="s">
        <v>25</v>
      </c>
      <c r="H121" s="14" t="s">
        <v>82</v>
      </c>
      <c r="I121" s="40">
        <f t="shared" si="32"/>
        <v>313.14999999999998</v>
      </c>
      <c r="J121" s="21">
        <v>8.5000000000000006E-2</v>
      </c>
      <c r="K121" s="33">
        <v>7</v>
      </c>
      <c r="L121" s="21">
        <v>0.1341</v>
      </c>
      <c r="M121" s="21">
        <v>0.18310000000000001</v>
      </c>
      <c r="N121" s="19">
        <f t="shared" si="31"/>
        <v>0.14403049773432616</v>
      </c>
      <c r="O121" s="36">
        <v>2.06</v>
      </c>
      <c r="P121" s="14">
        <v>82.5</v>
      </c>
      <c r="Q121" s="36">
        <v>0</v>
      </c>
      <c r="R121" s="14">
        <v>0.16739999999999999</v>
      </c>
      <c r="S121" s="37">
        <v>1523</v>
      </c>
      <c r="T121" s="39">
        <f t="shared" si="33"/>
        <v>1.0991464215364412E-4</v>
      </c>
      <c r="U121" s="21">
        <v>9.7960000000000004E-5</v>
      </c>
      <c r="V121" s="44">
        <f t="shared" si="34"/>
        <v>1.3009296148738381E-5</v>
      </c>
      <c r="W121" s="44">
        <f t="shared" si="35"/>
        <v>1.2284349502142789E-6</v>
      </c>
      <c r="X121" s="45">
        <f t="shared" si="36"/>
        <v>1.01345883392678E-4</v>
      </c>
      <c r="AD121" s="11"/>
      <c r="AE121" s="2"/>
      <c r="AG121" s="6">
        <v>4.5999999999999996</v>
      </c>
      <c r="AH121">
        <f t="shared" si="22"/>
        <v>9.4358230296913111E-5</v>
      </c>
      <c r="AI121" s="2">
        <f t="shared" si="23"/>
        <v>9.7549999999999999E-5</v>
      </c>
      <c r="AJ121" s="2">
        <v>9.0710000000000004E-5</v>
      </c>
      <c r="AK121">
        <v>1.0119999999999999E-4</v>
      </c>
      <c r="AN121">
        <v>6</v>
      </c>
      <c r="AO121">
        <f t="shared" si="14"/>
        <v>1.0526587760131078E-5</v>
      </c>
      <c r="AZ121" s="2"/>
      <c r="BA121" s="2"/>
      <c r="BB121" s="2"/>
    </row>
    <row r="122" spans="6:54">
      <c r="F122" t="s">
        <v>457</v>
      </c>
      <c r="G122" s="14" t="s">
        <v>25</v>
      </c>
      <c r="H122" s="14" t="s">
        <v>82</v>
      </c>
      <c r="I122" s="40">
        <f t="shared" si="32"/>
        <v>313.14999999999998</v>
      </c>
      <c r="J122" s="21">
        <v>0.08</v>
      </c>
      <c r="K122" s="33">
        <v>7</v>
      </c>
      <c r="L122" s="21">
        <v>0.12620000000000001</v>
      </c>
      <c r="M122" s="21">
        <v>0.17230000000000001</v>
      </c>
      <c r="N122" s="19">
        <f t="shared" si="31"/>
        <v>0.13971818266839847</v>
      </c>
      <c r="O122" s="36">
        <v>3.09</v>
      </c>
      <c r="P122" s="14">
        <v>82.5</v>
      </c>
      <c r="Q122" s="36">
        <v>0</v>
      </c>
      <c r="R122" s="14">
        <v>0.20680000000000001</v>
      </c>
      <c r="S122" s="37">
        <v>1943</v>
      </c>
      <c r="T122" s="39">
        <f t="shared" si="33"/>
        <v>1.0643335048893464E-4</v>
      </c>
      <c r="U122" s="21">
        <v>9.1840000000000002E-5</v>
      </c>
      <c r="V122" s="44">
        <f t="shared" si="34"/>
        <v>1.2196547144754317E-5</v>
      </c>
      <c r="W122" s="44">
        <f t="shared" si="35"/>
        <v>1.2262411358032412E-6</v>
      </c>
      <c r="X122" s="45">
        <f t="shared" si="36"/>
        <v>1.011648937037674E-4</v>
      </c>
      <c r="AD122" s="11"/>
      <c r="AE122" s="2"/>
      <c r="AG122" s="6">
        <v>4.7</v>
      </c>
      <c r="AH122">
        <f t="shared" si="22"/>
        <v>9.4423964082708631E-5</v>
      </c>
      <c r="AI122" s="2">
        <f t="shared" si="23"/>
        <v>9.7549999999999999E-5</v>
      </c>
      <c r="AJ122" s="2">
        <v>9.0710000000000004E-5</v>
      </c>
      <c r="AK122">
        <v>1.0119999999999999E-4</v>
      </c>
      <c r="AN122">
        <v>6.1</v>
      </c>
      <c r="AO122">
        <f t="shared" si="14"/>
        <v>1.0486391959741683E-5</v>
      </c>
      <c r="AZ122" s="2"/>
      <c r="BA122" s="2"/>
      <c r="BB122" s="2"/>
    </row>
    <row r="123" spans="6:54" ht="15.75" thickBot="1">
      <c r="F123" t="s">
        <v>457</v>
      </c>
      <c r="G123" s="55" t="s">
        <v>25</v>
      </c>
      <c r="H123" s="55" t="s">
        <v>82</v>
      </c>
      <c r="I123" s="55">
        <f t="shared" si="32"/>
        <v>313.14999999999998</v>
      </c>
      <c r="J123" s="56">
        <v>7.4999999999999997E-2</v>
      </c>
      <c r="K123" s="63">
        <v>7</v>
      </c>
      <c r="L123" s="56">
        <v>0.16159999999999999</v>
      </c>
      <c r="M123" s="56">
        <v>0.16159999999999999</v>
      </c>
      <c r="N123" s="19">
        <f t="shared" si="31"/>
        <v>0.13531033447335447</v>
      </c>
      <c r="O123" s="57">
        <v>4.13</v>
      </c>
      <c r="P123" s="55">
        <v>82.5</v>
      </c>
      <c r="Q123" s="57">
        <v>0</v>
      </c>
      <c r="R123" s="55">
        <v>0.27800000000000002</v>
      </c>
      <c r="S123" s="58">
        <v>2561</v>
      </c>
      <c r="T123" s="59">
        <f t="shared" si="33"/>
        <v>1.0855134713002734E-4</v>
      </c>
      <c r="U123" s="56">
        <v>7.7550000000000001E-5</v>
      </c>
      <c r="V123" s="44">
        <f t="shared" si="34"/>
        <v>1.0298804780876494E-5</v>
      </c>
      <c r="W123" s="44">
        <f t="shared" si="35"/>
        <v>1.2913837735525206E-6</v>
      </c>
      <c r="X123" s="45">
        <f t="shared" si="36"/>
        <v>1.0653916131808295E-4</v>
      </c>
      <c r="AD123" s="11"/>
      <c r="AE123" s="2"/>
      <c r="AG123">
        <v>4.8</v>
      </c>
      <c r="AH123">
        <f t="shared" si="22"/>
        <v>9.4487044959238039E-5</v>
      </c>
      <c r="AI123" s="2">
        <f t="shared" si="23"/>
        <v>9.7549999999999999E-5</v>
      </c>
      <c r="AJ123" s="2">
        <v>9.0710000000000004E-5</v>
      </c>
      <c r="AK123">
        <v>1.0119999999999999E-4</v>
      </c>
      <c r="AN123">
        <v>6.2</v>
      </c>
      <c r="AO123">
        <f t="shared" si="14"/>
        <v>1.0446654301412434E-5</v>
      </c>
      <c r="AZ123" s="2"/>
      <c r="BA123" s="2"/>
      <c r="BB123" s="2"/>
    </row>
    <row r="124" spans="6:54">
      <c r="F124" t="s">
        <v>457</v>
      </c>
      <c r="G124" s="40" t="s">
        <v>26</v>
      </c>
      <c r="H124" s="40" t="s">
        <v>82</v>
      </c>
      <c r="I124" s="40">
        <f t="shared" si="32"/>
        <v>313.14999999999998</v>
      </c>
      <c r="J124" s="41">
        <v>0.08</v>
      </c>
      <c r="K124" s="62">
        <v>7</v>
      </c>
      <c r="L124" s="41">
        <v>0.12620000000000001</v>
      </c>
      <c r="M124" s="41">
        <v>0.17230000000000001</v>
      </c>
      <c r="N124" s="19">
        <f t="shared" si="31"/>
        <v>0.13971818266839847</v>
      </c>
      <c r="O124" s="42">
        <v>2.06</v>
      </c>
      <c r="P124" s="40">
        <v>82.5</v>
      </c>
      <c r="Q124" s="42">
        <v>0</v>
      </c>
      <c r="R124" s="40">
        <v>0.1996</v>
      </c>
      <c r="S124" s="43">
        <v>2055</v>
      </c>
      <c r="T124" s="44">
        <f t="shared" si="33"/>
        <v>9.7128953771289536E-5</v>
      </c>
      <c r="U124" s="41">
        <v>9.7960000000000004E-5</v>
      </c>
      <c r="V124" s="44">
        <f t="shared" si="34"/>
        <v>1.3009296148738381E-5</v>
      </c>
      <c r="W124" s="44">
        <f t="shared" si="35"/>
        <v>1.1190432138493019E-6</v>
      </c>
      <c r="X124" s="45">
        <f t="shared" si="36"/>
        <v>9.2321065142567406E-5</v>
      </c>
      <c r="AD124" s="11"/>
      <c r="AE124" s="2"/>
      <c r="AG124" s="6">
        <v>4.9000000000000004</v>
      </c>
      <c r="AH124">
        <f t="shared" si="22"/>
        <v>9.4547630350502414E-5</v>
      </c>
      <c r="AI124" s="2">
        <f t="shared" si="23"/>
        <v>9.7549999999999999E-5</v>
      </c>
      <c r="AJ124" s="2">
        <v>9.0710000000000004E-5</v>
      </c>
      <c r="AK124">
        <v>1.0119999999999999E-4</v>
      </c>
      <c r="AN124">
        <v>6.3</v>
      </c>
      <c r="AO124">
        <f t="shared" si="14"/>
        <v>1.0407368496090387E-5</v>
      </c>
      <c r="AZ124" s="2"/>
      <c r="BA124" s="2"/>
      <c r="BB124" s="2"/>
    </row>
    <row r="125" spans="6:54">
      <c r="F125" t="s">
        <v>457</v>
      </c>
      <c r="G125" s="14" t="s">
        <v>26</v>
      </c>
      <c r="H125" s="14" t="s">
        <v>82</v>
      </c>
      <c r="I125" s="40">
        <f t="shared" si="32"/>
        <v>313.14999999999998</v>
      </c>
      <c r="J125" s="47">
        <v>7.0000000000000007E-2</v>
      </c>
      <c r="K125" s="33">
        <v>7</v>
      </c>
      <c r="L125" s="47">
        <v>0.1104</v>
      </c>
      <c r="M125" s="47">
        <v>0.15079999999999999</v>
      </c>
      <c r="N125" s="19">
        <f t="shared" si="31"/>
        <v>0.13071064572502614</v>
      </c>
      <c r="O125" s="36">
        <v>4.13</v>
      </c>
      <c r="P125" s="14">
        <v>82.5</v>
      </c>
      <c r="Q125" s="36">
        <v>0</v>
      </c>
      <c r="R125" s="14">
        <v>0.29399999999999998</v>
      </c>
      <c r="S125" s="37">
        <v>3385</v>
      </c>
      <c r="T125" s="39">
        <f t="shared" si="33"/>
        <v>8.6853766617429832E-5</v>
      </c>
      <c r="U125" s="21">
        <v>9.7960000000000004E-5</v>
      </c>
      <c r="V125" s="44">
        <f t="shared" si="34"/>
        <v>1.3009296148738381E-5</v>
      </c>
      <c r="W125" s="44">
        <f t="shared" si="35"/>
        <v>1.0696181716726581E-6</v>
      </c>
      <c r="X125" s="45">
        <f t="shared" si="36"/>
        <v>8.8243499162994293E-5</v>
      </c>
      <c r="AD125" s="11"/>
      <c r="AE125" s="2"/>
      <c r="AG125" s="6">
        <v>5</v>
      </c>
      <c r="AH125">
        <f t="shared" si="22"/>
        <v>9.4605865466677023E-5</v>
      </c>
      <c r="AI125" s="2">
        <f t="shared" si="23"/>
        <v>9.7549999999999999E-5</v>
      </c>
      <c r="AJ125" s="2">
        <v>9.0710000000000004E-5</v>
      </c>
      <c r="AK125">
        <v>1.0119999999999999E-4</v>
      </c>
      <c r="AN125">
        <v>6.4</v>
      </c>
      <c r="AO125">
        <f t="shared" si="14"/>
        <v>1.0368528180935122E-5</v>
      </c>
      <c r="AZ125" s="2"/>
      <c r="BA125" s="2"/>
      <c r="BB125" s="2"/>
    </row>
    <row r="126" spans="6:54">
      <c r="F126" t="s">
        <v>457</v>
      </c>
      <c r="G126" s="14" t="s">
        <v>26</v>
      </c>
      <c r="H126" s="14" t="s">
        <v>82</v>
      </c>
      <c r="I126" s="40">
        <f t="shared" si="32"/>
        <v>313.14999999999998</v>
      </c>
      <c r="J126" s="47">
        <v>0.06</v>
      </c>
      <c r="K126" s="33">
        <v>7</v>
      </c>
      <c r="L126" s="47">
        <v>9.4630000000000006E-2</v>
      </c>
      <c r="M126" s="47">
        <v>0.1293</v>
      </c>
      <c r="N126" s="19">
        <f t="shared" si="31"/>
        <v>0.1210346034964655</v>
      </c>
      <c r="O126" s="36">
        <v>6.19</v>
      </c>
      <c r="P126" s="14">
        <v>82.5</v>
      </c>
      <c r="Q126" s="36">
        <v>0</v>
      </c>
      <c r="R126" s="14">
        <v>0.33040000000000003</v>
      </c>
      <c r="S126" s="37">
        <v>3948</v>
      </c>
      <c r="T126" s="39">
        <f t="shared" si="33"/>
        <v>8.3687943262411349E-5</v>
      </c>
      <c r="U126" s="21">
        <v>8.776E-5</v>
      </c>
      <c r="V126" s="44">
        <f t="shared" si="34"/>
        <v>1.1654714475431606E-5</v>
      </c>
      <c r="W126" s="44">
        <f t="shared" si="35"/>
        <v>1.1130237156001016E-6</v>
      </c>
      <c r="X126" s="45">
        <f t="shared" si="36"/>
        <v>9.1824456537008386E-5</v>
      </c>
      <c r="AD126" s="11"/>
      <c r="AE126" s="2"/>
      <c r="AG126" s="6">
        <v>5.0999999999999996</v>
      </c>
      <c r="AH126">
        <f t="shared" si="22"/>
        <v>9.4661884466093322E-5</v>
      </c>
      <c r="AI126" s="2">
        <f t="shared" si="23"/>
        <v>9.7549999999999999E-5</v>
      </c>
      <c r="AJ126" s="2">
        <v>9.0710000000000004E-5</v>
      </c>
      <c r="AK126">
        <v>1.0119999999999999E-4</v>
      </c>
      <c r="AN126">
        <v>6.5</v>
      </c>
      <c r="AO126">
        <f t="shared" ref="AO126:AO161" si="37" xml:space="preserve"> ($AP$58*$AP$60*SQRT(1+4*AN126/$AP$60)-$AP$58*$AP$60)/($AP$59+AN126)</f>
        <v>1.0330126944075166E-5</v>
      </c>
      <c r="AZ126" s="2"/>
      <c r="BA126" s="2"/>
      <c r="BB126" s="2"/>
    </row>
    <row r="127" spans="6:54" ht="15.75" thickBot="1">
      <c r="F127" t="s">
        <v>457</v>
      </c>
      <c r="G127" s="55" t="s">
        <v>26</v>
      </c>
      <c r="H127" s="55" t="s">
        <v>82</v>
      </c>
      <c r="I127" s="55">
        <f t="shared" si="32"/>
        <v>313.14999999999998</v>
      </c>
      <c r="J127" s="56">
        <v>0.05</v>
      </c>
      <c r="K127" s="63">
        <v>7</v>
      </c>
      <c r="L127" s="56">
        <v>7.8850000000000003E-2</v>
      </c>
      <c r="M127" s="56">
        <v>0.1077</v>
      </c>
      <c r="N127" s="19">
        <f t="shared" si="31"/>
        <v>0.11046333248943327</v>
      </c>
      <c r="O127" s="57">
        <v>8.25</v>
      </c>
      <c r="P127" s="55">
        <v>82.5</v>
      </c>
      <c r="Q127" s="57">
        <v>0</v>
      </c>
      <c r="R127" s="55">
        <v>0.37480000000000002</v>
      </c>
      <c r="S127" s="58">
        <v>4842</v>
      </c>
      <c r="T127" s="59">
        <f t="shared" si="33"/>
        <v>7.7406030565881868E-5</v>
      </c>
      <c r="U127" s="56">
        <v>6.7349999999999997E-5</v>
      </c>
      <c r="V127" s="44">
        <f t="shared" si="34"/>
        <v>8.9442231075697211E-6</v>
      </c>
      <c r="W127" s="44">
        <f t="shared" si="35"/>
        <v>1.1279964461151294E-6</v>
      </c>
      <c r="X127" s="45">
        <f t="shared" si="36"/>
        <v>9.3059706804498181E-5</v>
      </c>
      <c r="AD127" s="11"/>
      <c r="AE127" s="2"/>
      <c r="AG127">
        <v>5.2</v>
      </c>
      <c r="AH127">
        <f t="shared" si="22"/>
        <v>9.4715811487041616E-5</v>
      </c>
      <c r="AI127" s="2">
        <f t="shared" si="23"/>
        <v>9.7549999999999999E-5</v>
      </c>
      <c r="AJ127" s="2">
        <v>9.0710000000000004E-5</v>
      </c>
      <c r="AK127">
        <v>1.0119999999999999E-4</v>
      </c>
      <c r="AN127">
        <v>6.6</v>
      </c>
      <c r="AO127">
        <f t="shared" si="37"/>
        <v>1.0292158346146681E-5</v>
      </c>
      <c r="AZ127" s="2"/>
      <c r="BA127" s="2"/>
      <c r="BB127" s="2"/>
    </row>
    <row r="128" spans="6:54">
      <c r="F128" t="s">
        <v>457</v>
      </c>
      <c r="G128" s="40" t="s">
        <v>27</v>
      </c>
      <c r="H128" s="40" t="s">
        <v>82</v>
      </c>
      <c r="I128" s="40">
        <f t="shared" si="32"/>
        <v>313.14999999999998</v>
      </c>
      <c r="J128" s="41">
        <v>0.9</v>
      </c>
      <c r="K128" s="62">
        <v>7</v>
      </c>
      <c r="L128" s="41">
        <v>0.1419</v>
      </c>
      <c r="M128" s="41">
        <v>0.19389999999999999</v>
      </c>
      <c r="N128" s="19">
        <f t="shared" si="31"/>
        <v>0.14821740109391845</v>
      </c>
      <c r="O128" s="42">
        <v>0.38</v>
      </c>
      <c r="P128" s="40">
        <v>82.5</v>
      </c>
      <c r="Q128" s="42">
        <v>0</v>
      </c>
      <c r="R128" s="40">
        <v>7.6880000000000004E-2</v>
      </c>
      <c r="S128" s="43">
        <v>890.5</v>
      </c>
      <c r="T128" s="44">
        <f t="shared" si="33"/>
        <v>8.6333520494104443E-5</v>
      </c>
      <c r="U128" s="41">
        <v>7.4880000000000001E-5</v>
      </c>
      <c r="V128" s="44">
        <f t="shared" si="34"/>
        <v>9.9442231075697216E-6</v>
      </c>
      <c r="W128" s="44">
        <f t="shared" si="35"/>
        <v>9.3762964986175068E-7</v>
      </c>
      <c r="X128" s="45">
        <f t="shared" si="36"/>
        <v>7.7354446113594435E-5</v>
      </c>
      <c r="AD128" s="11"/>
      <c r="AE128" s="2"/>
      <c r="AG128" s="6">
        <v>5.3</v>
      </c>
      <c r="AH128">
        <f t="shared" si="22"/>
        <v>9.4767761566097236E-5</v>
      </c>
      <c r="AI128" s="2">
        <f t="shared" si="23"/>
        <v>9.7549999999999999E-5</v>
      </c>
      <c r="AJ128" s="2">
        <v>9.0710000000000004E-5</v>
      </c>
      <c r="AK128">
        <v>1.0119999999999999E-4</v>
      </c>
      <c r="AN128">
        <v>6.7</v>
      </c>
      <c r="AO128">
        <f t="shared" si="37"/>
        <v>1.0254615939007547E-5</v>
      </c>
      <c r="AZ128" s="2"/>
      <c r="BA128" s="2"/>
      <c r="BB128" s="2"/>
    </row>
    <row r="129" spans="6:54">
      <c r="F129" t="s">
        <v>457</v>
      </c>
      <c r="G129" s="14" t="s">
        <v>27</v>
      </c>
      <c r="H129" s="14" t="s">
        <v>82</v>
      </c>
      <c r="I129" s="40">
        <f t="shared" si="32"/>
        <v>313.14999999999998</v>
      </c>
      <c r="J129" s="21">
        <v>8.5000000000000006E-2</v>
      </c>
      <c r="K129" s="33">
        <v>7</v>
      </c>
      <c r="L129" s="21">
        <v>0.1341</v>
      </c>
      <c r="M129" s="21">
        <v>0.18310000000000001</v>
      </c>
      <c r="N129" s="19">
        <f t="shared" si="31"/>
        <v>0.14403049773432616</v>
      </c>
      <c r="O129" s="36">
        <v>0.76</v>
      </c>
      <c r="P129" s="14">
        <v>82.5</v>
      </c>
      <c r="Q129" s="36">
        <v>0</v>
      </c>
      <c r="R129" s="14">
        <v>0.12809999999999999</v>
      </c>
      <c r="S129" s="37">
        <v>1267</v>
      </c>
      <c r="T129" s="39">
        <f t="shared" si="33"/>
        <v>1.011049723756906E-4</v>
      </c>
      <c r="U129" s="21">
        <v>9.1009999999999998E-5</v>
      </c>
      <c r="V129" s="44">
        <f t="shared" si="34"/>
        <v>1.2086321381142098E-5</v>
      </c>
      <c r="W129" s="44">
        <f t="shared" si="35"/>
        <v>1.1299757636760842E-6</v>
      </c>
      <c r="X129" s="45">
        <f t="shared" si="36"/>
        <v>9.3223000503276943E-5</v>
      </c>
      <c r="AD129" s="11"/>
      <c r="AE129" s="2"/>
      <c r="AG129" s="6">
        <v>5.4</v>
      </c>
      <c r="AH129">
        <f t="shared" si="22"/>
        <v>9.4817841457268349E-5</v>
      </c>
      <c r="AI129" s="2">
        <f t="shared" si="23"/>
        <v>9.7549999999999999E-5</v>
      </c>
      <c r="AJ129" s="2">
        <v>9.0710000000000004E-5</v>
      </c>
      <c r="AK129">
        <v>1.0119999999999999E-4</v>
      </c>
      <c r="AN129">
        <v>6.8</v>
      </c>
      <c r="AO129">
        <f t="shared" si="37"/>
        <v>1.0217493281970418E-5</v>
      </c>
      <c r="AZ129" s="2"/>
      <c r="BA129" s="2"/>
      <c r="BB129" s="2"/>
    </row>
    <row r="130" spans="6:54">
      <c r="F130" t="s">
        <v>457</v>
      </c>
      <c r="G130" s="14" t="s">
        <v>27</v>
      </c>
      <c r="H130" s="14" t="s">
        <v>82</v>
      </c>
      <c r="I130" s="40">
        <f t="shared" si="32"/>
        <v>313.14999999999998</v>
      </c>
      <c r="J130" s="21">
        <v>0.08</v>
      </c>
      <c r="K130" s="33">
        <v>7</v>
      </c>
      <c r="L130" s="21">
        <v>0.12620000000000001</v>
      </c>
      <c r="M130" s="21">
        <v>0.17230000000000001</v>
      </c>
      <c r="N130" s="19">
        <f t="shared" si="31"/>
        <v>0.13971818266839847</v>
      </c>
      <c r="O130" s="36">
        <v>1.1499999999999999</v>
      </c>
      <c r="P130" s="14">
        <v>82.5</v>
      </c>
      <c r="Q130" s="36">
        <v>0</v>
      </c>
      <c r="R130" s="14">
        <v>0.16750000000000001</v>
      </c>
      <c r="S130" s="37">
        <v>1559</v>
      </c>
      <c r="T130" s="39">
        <f t="shared" si="33"/>
        <v>1.0744066709429121E-4</v>
      </c>
      <c r="U130" s="21">
        <v>9.4469999999999995E-5</v>
      </c>
      <c r="V130" s="44">
        <f t="shared" si="34"/>
        <v>1.2545816733067729E-5</v>
      </c>
      <c r="W130" s="44">
        <f t="shared" si="35"/>
        <v>1.2378466434058073E-6</v>
      </c>
      <c r="X130" s="45">
        <f t="shared" si="36"/>
        <v>1.021223480809791E-4</v>
      </c>
      <c r="AD130" s="11"/>
      <c r="AE130" s="2"/>
      <c r="AG130" s="6">
        <v>5.5</v>
      </c>
      <c r="AH130">
        <f t="shared" si="22"/>
        <v>9.4866150364240762E-5</v>
      </c>
      <c r="AI130" s="2">
        <f t="shared" si="23"/>
        <v>9.7549999999999999E-5</v>
      </c>
      <c r="AJ130" s="2">
        <v>9.0710000000000004E-5</v>
      </c>
      <c r="AK130">
        <v>1.0119999999999999E-4</v>
      </c>
      <c r="AN130">
        <v>6.9</v>
      </c>
      <c r="AO130">
        <f t="shared" si="37"/>
        <v>1.0180783955854703E-5</v>
      </c>
      <c r="AZ130" s="2"/>
      <c r="BA130" s="2"/>
      <c r="BB130" s="2"/>
    </row>
    <row r="131" spans="6:54" ht="15.75" thickBot="1">
      <c r="F131" t="s">
        <v>457</v>
      </c>
      <c r="G131" s="55" t="s">
        <v>27</v>
      </c>
      <c r="H131" s="55" t="s">
        <v>82</v>
      </c>
      <c r="I131" s="55">
        <f t="shared" si="32"/>
        <v>313.14999999999998</v>
      </c>
      <c r="J131" s="56">
        <v>7.4999999999999997E-2</v>
      </c>
      <c r="K131" s="63">
        <v>7</v>
      </c>
      <c r="L131" s="56">
        <v>0.16159999999999999</v>
      </c>
      <c r="M131" s="56">
        <v>0.16159999999999999</v>
      </c>
      <c r="N131" s="19">
        <f t="shared" si="31"/>
        <v>0.13531033447335447</v>
      </c>
      <c r="O131" s="57">
        <v>1.53</v>
      </c>
      <c r="P131" s="55">
        <v>82.5</v>
      </c>
      <c r="Q131" s="57">
        <v>0</v>
      </c>
      <c r="R131" s="55">
        <v>0.2344</v>
      </c>
      <c r="S131" s="58">
        <v>2133</v>
      </c>
      <c r="T131" s="59">
        <f t="shared" si="33"/>
        <v>1.0989217065166432E-4</v>
      </c>
      <c r="U131" s="56">
        <v>9.6769999999999997E-5</v>
      </c>
      <c r="V131" s="44">
        <f t="shared" si="34"/>
        <v>1.2851261620185921E-5</v>
      </c>
      <c r="W131" s="44">
        <f t="shared" si="35"/>
        <v>1.3073349135873416E-6</v>
      </c>
      <c r="X131" s="45">
        <f t="shared" si="36"/>
        <v>1.0785513037095568E-4</v>
      </c>
      <c r="AD131" s="11"/>
      <c r="AE131" s="2"/>
      <c r="AG131">
        <v>5.6</v>
      </c>
      <c r="AH131">
        <f t="shared" si="22"/>
        <v>9.4912780596288849E-5</v>
      </c>
      <c r="AI131" s="2">
        <f t="shared" si="23"/>
        <v>9.7549999999999999E-5</v>
      </c>
      <c r="AJ131" s="2">
        <v>9.0710000000000004E-5</v>
      </c>
      <c r="AK131">
        <v>1.0119999999999999E-4</v>
      </c>
      <c r="AN131">
        <v>7</v>
      </c>
      <c r="AO131">
        <f t="shared" si="37"/>
        <v>1.01444815751202E-5</v>
      </c>
      <c r="AZ131" s="2"/>
      <c r="BA131" s="2"/>
      <c r="BB131" s="2"/>
    </row>
    <row r="132" spans="6:54">
      <c r="F132" t="s">
        <v>457</v>
      </c>
      <c r="G132" s="40" t="s">
        <v>28</v>
      </c>
      <c r="H132" s="40" t="s">
        <v>82</v>
      </c>
      <c r="I132" s="40">
        <f t="shared" si="32"/>
        <v>313.14999999999998</v>
      </c>
      <c r="J132" s="41">
        <v>0.9</v>
      </c>
      <c r="K132" s="62">
        <v>7</v>
      </c>
      <c r="L132" s="41">
        <v>0.1419</v>
      </c>
      <c r="M132" s="41">
        <v>0.19389999999999999</v>
      </c>
      <c r="N132" s="19">
        <f t="shared" si="31"/>
        <v>0.14821740109391845</v>
      </c>
      <c r="O132" s="42">
        <v>9.5000000000000001E-2</v>
      </c>
      <c r="P132" s="40">
        <v>82.5</v>
      </c>
      <c r="Q132" s="42">
        <v>0</v>
      </c>
      <c r="R132" s="40">
        <v>3.073E-2</v>
      </c>
      <c r="S132" s="43">
        <v>752.9</v>
      </c>
      <c r="T132" s="44">
        <f t="shared" si="33"/>
        <v>4.0815513348386242E-5</v>
      </c>
      <c r="U132" s="41">
        <v>3.5710000000000002E-5</v>
      </c>
      <c r="V132" s="44">
        <f t="shared" si="34"/>
        <v>4.7423638778220453E-6</v>
      </c>
      <c r="W132" s="44">
        <f t="shared" si="35"/>
        <v>4.4327898677997707E-7</v>
      </c>
      <c r="X132" s="45">
        <f t="shared" si="36"/>
        <v>3.6570516409348108E-5</v>
      </c>
      <c r="AD132" s="11"/>
      <c r="AE132" s="2"/>
      <c r="AG132" s="6">
        <v>5.7</v>
      </c>
      <c r="AH132">
        <f t="shared" si="22"/>
        <v>9.4957818156977936E-5</v>
      </c>
      <c r="AI132" s="2">
        <f t="shared" si="23"/>
        <v>9.7549999999999999E-5</v>
      </c>
      <c r="AJ132" s="2">
        <v>9.0710000000000004E-5</v>
      </c>
      <c r="AK132">
        <v>1.0119999999999999E-4</v>
      </c>
      <c r="AN132">
        <v>7.1</v>
      </c>
      <c r="AO132">
        <f t="shared" si="37"/>
        <v>1.0108579798312582E-5</v>
      </c>
      <c r="AZ132" s="2"/>
      <c r="BA132" s="2"/>
      <c r="BB132" s="2"/>
    </row>
    <row r="133" spans="6:54">
      <c r="F133" t="s">
        <v>457</v>
      </c>
      <c r="G133" s="14" t="s">
        <v>28</v>
      </c>
      <c r="H133" s="14" t="s">
        <v>82</v>
      </c>
      <c r="I133" s="40">
        <f t="shared" si="32"/>
        <v>313.14999999999998</v>
      </c>
      <c r="J133" s="21">
        <v>8.5000000000000006E-2</v>
      </c>
      <c r="K133" s="33">
        <v>7</v>
      </c>
      <c r="L133" s="21">
        <v>0.1341</v>
      </c>
      <c r="M133" s="21">
        <v>0.18310000000000001</v>
      </c>
      <c r="N133" s="19">
        <f t="shared" si="31"/>
        <v>0.14403049773432616</v>
      </c>
      <c r="O133" s="36">
        <v>0.191</v>
      </c>
      <c r="P133" s="14">
        <v>82.5</v>
      </c>
      <c r="Q133" s="36">
        <v>0</v>
      </c>
      <c r="R133" s="14">
        <v>5.4339999999999999E-2</v>
      </c>
      <c r="S133" s="37">
        <v>809.2</v>
      </c>
      <c r="T133" s="39">
        <f t="shared" si="33"/>
        <v>6.7152743450321295E-5</v>
      </c>
      <c r="U133" s="21">
        <v>5.7599999999999997E-5</v>
      </c>
      <c r="V133" s="44">
        <f t="shared" si="34"/>
        <v>7.6494023904382468E-6</v>
      </c>
      <c r="W133" s="44">
        <f t="shared" si="35"/>
        <v>7.5051672316628384E-7</v>
      </c>
      <c r="X133" s="45">
        <f t="shared" si="36"/>
        <v>6.1917629661218412E-5</v>
      </c>
      <c r="AD133" s="11"/>
      <c r="AE133" s="2"/>
      <c r="AG133" s="6">
        <v>5.8</v>
      </c>
      <c r="AH133">
        <f t="shared" si="22"/>
        <v>9.5001343273557658E-5</v>
      </c>
      <c r="AI133" s="2">
        <f t="shared" si="23"/>
        <v>9.7549999999999999E-5</v>
      </c>
      <c r="AJ133" s="2">
        <v>9.0710000000000004E-5</v>
      </c>
      <c r="AK133">
        <v>1.0119999999999999E-4</v>
      </c>
      <c r="AN133">
        <v>7.2</v>
      </c>
      <c r="AO133">
        <f t="shared" si="37"/>
        <v>1.0073072337022695E-5</v>
      </c>
      <c r="AZ133" s="2"/>
      <c r="BA133" s="2"/>
      <c r="BB133" s="2"/>
    </row>
    <row r="134" spans="6:54">
      <c r="F134" t="s">
        <v>457</v>
      </c>
      <c r="G134" s="14" t="s">
        <v>28</v>
      </c>
      <c r="H134" s="14" t="s">
        <v>82</v>
      </c>
      <c r="I134" s="40">
        <f t="shared" si="32"/>
        <v>313.14999999999998</v>
      </c>
      <c r="J134" s="21">
        <v>0.08</v>
      </c>
      <c r="K134" s="33">
        <v>7</v>
      </c>
      <c r="L134" s="21">
        <v>0.12620000000000001</v>
      </c>
      <c r="M134" s="21">
        <v>0.17230000000000001</v>
      </c>
      <c r="N134" s="19">
        <f t="shared" si="31"/>
        <v>0.13971818266839847</v>
      </c>
      <c r="O134" s="36">
        <v>0.28599999999999998</v>
      </c>
      <c r="P134" s="14">
        <v>82.5</v>
      </c>
      <c r="Q134" s="36">
        <v>0</v>
      </c>
      <c r="R134" s="14">
        <v>7.7509999999999996E-2</v>
      </c>
      <c r="S134" s="37">
        <v>1040</v>
      </c>
      <c r="T134" s="39">
        <f t="shared" si="33"/>
        <v>7.4528846153846143E-5</v>
      </c>
      <c r="U134" s="21">
        <v>6.4519999999999999E-5</v>
      </c>
      <c r="V134" s="44">
        <f t="shared" si="34"/>
        <v>8.5683930942895088E-6</v>
      </c>
      <c r="W134" s="44">
        <f t="shared" si="35"/>
        <v>8.5866259530464311E-7</v>
      </c>
      <c r="X134" s="45">
        <f t="shared" si="36"/>
        <v>7.0839664112633054E-5</v>
      </c>
      <c r="AE134" s="2"/>
      <c r="AG134" s="6">
        <v>5.9</v>
      </c>
      <c r="AH134">
        <f t="shared" si="22"/>
        <v>9.5043430873901843E-5</v>
      </c>
      <c r="AI134" s="2">
        <f t="shared" si="23"/>
        <v>9.7549999999999999E-5</v>
      </c>
      <c r="AJ134" s="2">
        <v>9.0710000000000004E-5</v>
      </c>
      <c r="AK134">
        <v>1.0119999999999999E-4</v>
      </c>
      <c r="AN134">
        <v>7.3</v>
      </c>
      <c r="AO134">
        <f t="shared" si="37"/>
        <v>1.0037952963537059E-5</v>
      </c>
      <c r="AZ134" s="2"/>
      <c r="BA134" s="2"/>
      <c r="BB134" s="2"/>
    </row>
    <row r="135" spans="6:54" ht="15.75" thickBot="1">
      <c r="F135" t="s">
        <v>457</v>
      </c>
      <c r="G135" s="55" t="s">
        <v>28</v>
      </c>
      <c r="H135" s="55" t="s">
        <v>82</v>
      </c>
      <c r="I135" s="55">
        <f t="shared" si="32"/>
        <v>313.14999999999998</v>
      </c>
      <c r="J135" s="56">
        <v>7.4999999999999997E-2</v>
      </c>
      <c r="K135" s="63">
        <v>7</v>
      </c>
      <c r="L135" s="56">
        <v>0.16159999999999999</v>
      </c>
      <c r="M135" s="56">
        <v>0.16159999999999999</v>
      </c>
      <c r="N135" s="19">
        <f t="shared" si="31"/>
        <v>0.13531033447335447</v>
      </c>
      <c r="O135" s="57">
        <v>0.38100000000000001</v>
      </c>
      <c r="P135" s="55">
        <v>82.5</v>
      </c>
      <c r="Q135" s="57">
        <v>0</v>
      </c>
      <c r="R135" s="55">
        <v>0.1109</v>
      </c>
      <c r="S135" s="58">
        <v>1535</v>
      </c>
      <c r="T135" s="59">
        <f t="shared" si="33"/>
        <v>7.2247557003257335E-5</v>
      </c>
      <c r="U135" s="56">
        <v>6.1060000000000002E-5</v>
      </c>
      <c r="V135" s="44">
        <f t="shared" si="34"/>
        <v>8.1088977423638778E-6</v>
      </c>
      <c r="W135" s="44">
        <f t="shared" si="35"/>
        <v>8.5949484054821964E-7</v>
      </c>
      <c r="X135" s="45">
        <f t="shared" si="36"/>
        <v>7.0908324345228118E-5</v>
      </c>
      <c r="AE135" s="2"/>
      <c r="AG135">
        <v>6</v>
      </c>
      <c r="AH135">
        <f t="shared" si="22"/>
        <v>9.5084151016960167E-5</v>
      </c>
      <c r="AI135" s="2">
        <f t="shared" si="23"/>
        <v>9.7549999999999999E-5</v>
      </c>
      <c r="AJ135" s="2">
        <v>9.0710000000000004E-5</v>
      </c>
      <c r="AK135">
        <v>1.0119999999999999E-4</v>
      </c>
      <c r="AN135">
        <v>7.4</v>
      </c>
      <c r="AO135">
        <f t="shared" si="37"/>
        <v>1.0003215517335605E-5</v>
      </c>
      <c r="AZ135" s="2"/>
      <c r="BA135" s="2"/>
      <c r="BB135" s="2"/>
    </row>
    <row r="136" spans="6:54">
      <c r="F136" t="s">
        <v>457</v>
      </c>
      <c r="G136" s="40" t="s">
        <v>30</v>
      </c>
      <c r="H136" s="40" t="s">
        <v>82</v>
      </c>
      <c r="I136" s="40">
        <f t="shared" si="32"/>
        <v>313.14999999999998</v>
      </c>
      <c r="J136" s="41">
        <v>8.5000000000000006E-2</v>
      </c>
      <c r="K136" s="62">
        <v>6.97</v>
      </c>
      <c r="L136" s="41">
        <v>0.1341</v>
      </c>
      <c r="M136" s="41">
        <v>0.18310000000000001</v>
      </c>
      <c r="N136" s="19">
        <f>10^(-(1.824*10^6)/(78.54*I136)^(3/2))*SQRT(M136)</f>
        <v>0.14403049773432616</v>
      </c>
      <c r="O136" s="42">
        <v>0.19</v>
      </c>
      <c r="P136" s="40">
        <v>82.5</v>
      </c>
      <c r="Q136" s="42">
        <v>0</v>
      </c>
      <c r="R136" s="40">
        <v>7.9570000000000002E-2</v>
      </c>
      <c r="S136" s="43">
        <v>818.4</v>
      </c>
      <c r="T136" s="44">
        <f>R136/S136</f>
        <v>9.7226295210166188E-5</v>
      </c>
      <c r="U136" s="41">
        <v>8.2949999999999997E-5</v>
      </c>
      <c r="V136" s="44">
        <f t="shared" si="34"/>
        <v>1.1015936254980079E-5</v>
      </c>
      <c r="W136" s="44">
        <f t="shared" si="35"/>
        <v>1.0866266475131265E-6</v>
      </c>
      <c r="X136" s="45">
        <f t="shared" si="36"/>
        <v>8.9646698419832942E-5</v>
      </c>
      <c r="AE136" s="2"/>
      <c r="AG136" s="6">
        <v>6.1</v>
      </c>
      <c r="AH136">
        <f t="shared" si="22"/>
        <v>9.512356928192339E-5</v>
      </c>
      <c r="AI136" s="2">
        <f t="shared" si="23"/>
        <v>9.7549999999999999E-5</v>
      </c>
      <c r="AJ136" s="2">
        <v>9.0710000000000004E-5</v>
      </c>
      <c r="AK136">
        <v>1.0119999999999999E-4</v>
      </c>
      <c r="AN136">
        <v>7.5</v>
      </c>
      <c r="AO136">
        <f t="shared" si="37"/>
        <v>9.9688539105739269E-6</v>
      </c>
      <c r="AZ136" s="2"/>
      <c r="BA136" s="2"/>
      <c r="BB136" s="2"/>
    </row>
    <row r="137" spans="6:54">
      <c r="F137" t="s">
        <v>457</v>
      </c>
      <c r="G137" s="14" t="s">
        <v>30</v>
      </c>
      <c r="H137" s="14" t="s">
        <v>82</v>
      </c>
      <c r="I137" s="40">
        <f t="shared" si="32"/>
        <v>313.14999999999998</v>
      </c>
      <c r="J137" s="21">
        <v>7.4999999999999997E-2</v>
      </c>
      <c r="K137" s="33">
        <v>6.97</v>
      </c>
      <c r="L137" s="21">
        <v>0.1183</v>
      </c>
      <c r="M137" s="21">
        <v>0.16159999999999999</v>
      </c>
      <c r="N137" s="19">
        <f>10^(-(1.824*10^6)/(78.54*I137)^(3/2))*SQRT(M137)</f>
        <v>0.13531033447335447</v>
      </c>
      <c r="O137" s="36">
        <v>0.38</v>
      </c>
      <c r="P137" s="14">
        <v>82.5</v>
      </c>
      <c r="Q137" s="36">
        <v>0</v>
      </c>
      <c r="R137" s="14">
        <v>0.1152</v>
      </c>
      <c r="S137" s="37">
        <v>1099</v>
      </c>
      <c r="T137" s="39">
        <f>R137/S137</f>
        <v>1.0482256596906279E-4</v>
      </c>
      <c r="U137" s="21">
        <v>9.3319999999999994E-5</v>
      </c>
      <c r="V137" s="44">
        <f t="shared" si="34"/>
        <v>1.2393094289508631E-5</v>
      </c>
      <c r="W137" s="44">
        <f t="shared" si="35"/>
        <v>1.2470242366724299E-6</v>
      </c>
      <c r="X137" s="45">
        <f t="shared" si="36"/>
        <v>1.0287949952547547E-4</v>
      </c>
      <c r="AE137" s="2"/>
      <c r="AG137" s="6">
        <v>6.2</v>
      </c>
      <c r="AH137">
        <f t="shared" si="22"/>
        <v>9.5161747120649505E-5</v>
      </c>
      <c r="AI137" s="2">
        <f t="shared" si="23"/>
        <v>9.7549999999999999E-5</v>
      </c>
      <c r="AJ137" s="2">
        <v>9.0710000000000004E-5</v>
      </c>
      <c r="AK137">
        <v>1.0119999999999999E-4</v>
      </c>
      <c r="AN137">
        <v>7.6</v>
      </c>
      <c r="AO137">
        <f t="shared" si="37"/>
        <v>9.9348621326710583E-6</v>
      </c>
      <c r="AZ137" s="2"/>
      <c r="BA137" s="2"/>
      <c r="BB137" s="2"/>
    </row>
    <row r="138" spans="6:54" ht="15.75" thickBot="1">
      <c r="F138" t="s">
        <v>457</v>
      </c>
      <c r="G138" s="55" t="s">
        <v>30</v>
      </c>
      <c r="H138" s="55" t="s">
        <v>82</v>
      </c>
      <c r="I138" s="55">
        <f t="shared" si="32"/>
        <v>313.14999999999998</v>
      </c>
      <c r="J138" s="56">
        <v>5.5E-2</v>
      </c>
      <c r="K138" s="63">
        <v>6.97</v>
      </c>
      <c r="L138" s="56">
        <v>8.6739999999999998E-2</v>
      </c>
      <c r="M138" s="56">
        <v>0.11849999999999999</v>
      </c>
      <c r="N138" s="19">
        <f>10^(-(1.824*10^6)/(78.54*I138)^(3/2))*SQRT(M138)</f>
        <v>0.11586958847820618</v>
      </c>
      <c r="O138" s="57">
        <v>0.56999999999999995</v>
      </c>
      <c r="P138" s="55">
        <v>82.5</v>
      </c>
      <c r="Q138" s="57">
        <v>0</v>
      </c>
      <c r="R138" s="55">
        <v>0.12690000000000001</v>
      </c>
      <c r="S138" s="58">
        <v>1223</v>
      </c>
      <c r="T138" s="59">
        <f>R138/S138</f>
        <v>1.0376124284546199E-4</v>
      </c>
      <c r="U138" s="56">
        <v>9.6769999999999997E-5</v>
      </c>
      <c r="V138" s="44">
        <f t="shared" si="34"/>
        <v>1.2851261620185921E-5</v>
      </c>
      <c r="W138" s="44">
        <f t="shared" si="35"/>
        <v>1.4415070667230101E-6</v>
      </c>
      <c r="X138" s="45">
        <f t="shared" si="36"/>
        <v>1.1892433300464833E-4</v>
      </c>
      <c r="AE138" s="2"/>
      <c r="AG138" s="6">
        <v>6.3</v>
      </c>
      <c r="AH138">
        <f t="shared" si="22"/>
        <v>9.5198742177334407E-5</v>
      </c>
      <c r="AI138" s="2">
        <f t="shared" si="23"/>
        <v>9.7549999999999999E-5</v>
      </c>
      <c r="AJ138" s="2">
        <v>9.0710000000000004E-5</v>
      </c>
      <c r="AK138">
        <v>1.0119999999999999E-4</v>
      </c>
      <c r="AN138">
        <v>7.7</v>
      </c>
      <c r="AO138">
        <f t="shared" si="37"/>
        <v>9.9012342541094258E-6</v>
      </c>
      <c r="AZ138" s="2"/>
      <c r="BA138" s="2"/>
      <c r="BB138" s="2"/>
    </row>
    <row r="139" spans="6:54">
      <c r="F139" t="s">
        <v>457</v>
      </c>
      <c r="G139" s="40" t="s">
        <v>29</v>
      </c>
      <c r="H139" s="40" t="s">
        <v>82</v>
      </c>
      <c r="I139" s="40">
        <f t="shared" si="32"/>
        <v>313.14999999999998</v>
      </c>
      <c r="J139" s="41">
        <v>0.9</v>
      </c>
      <c r="K139" s="62">
        <v>6.97</v>
      </c>
      <c r="L139" s="41">
        <v>0.1419</v>
      </c>
      <c r="M139" s="41">
        <v>0.19389999999999999</v>
      </c>
      <c r="N139" s="19">
        <f>10^(-(1.824*10^6)/(78.54*I139)^(3/2))*SQRT(M139)</f>
        <v>0.14821740109391845</v>
      </c>
      <c r="O139" s="42">
        <v>9.5000000000000001E-2</v>
      </c>
      <c r="P139" s="40">
        <v>82.5</v>
      </c>
      <c r="Q139" s="42">
        <v>0</v>
      </c>
      <c r="R139" s="40">
        <v>2.792E-2</v>
      </c>
      <c r="S139" s="43">
        <v>555.4</v>
      </c>
      <c r="T139" s="44">
        <f>R139/S139</f>
        <v>5.0270075621173933E-5</v>
      </c>
      <c r="U139" s="41">
        <v>4.2629999999999997E-5</v>
      </c>
      <c r="V139" s="44">
        <f t="shared" si="34"/>
        <v>5.6613545816733065E-6</v>
      </c>
      <c r="W139" s="44">
        <f t="shared" si="35"/>
        <v>5.4596074773093243E-7</v>
      </c>
      <c r="X139" s="45">
        <f t="shared" si="36"/>
        <v>4.5041761687801927E-5</v>
      </c>
      <c r="AE139" s="2"/>
      <c r="AG139">
        <v>6.4</v>
      </c>
      <c r="AH139">
        <f t="shared" si="22"/>
        <v>9.5234608578924888E-5</v>
      </c>
      <c r="AI139" s="2">
        <f t="shared" si="23"/>
        <v>9.7549999999999999E-5</v>
      </c>
      <c r="AJ139" s="2">
        <v>9.0710000000000004E-5</v>
      </c>
      <c r="AK139">
        <v>1.0119999999999999E-4</v>
      </c>
      <c r="AN139">
        <v>7.8</v>
      </c>
      <c r="AO139">
        <f t="shared" si="37"/>
        <v>9.8679644295411505E-6</v>
      </c>
      <c r="AZ139" s="2"/>
      <c r="BA139" s="2"/>
      <c r="BB139" s="2"/>
    </row>
    <row r="140" spans="6:54">
      <c r="F140" t="s">
        <v>457</v>
      </c>
      <c r="G140" s="14" t="s">
        <v>29</v>
      </c>
      <c r="H140" s="14" t="s">
        <v>82</v>
      </c>
      <c r="I140" s="40">
        <f t="shared" si="32"/>
        <v>313.14999999999998</v>
      </c>
      <c r="J140" s="21">
        <v>8.5000000000000006E-2</v>
      </c>
      <c r="K140" s="33">
        <v>6.97</v>
      </c>
      <c r="L140" s="21">
        <v>0.1341</v>
      </c>
      <c r="M140" s="21">
        <v>0.18310000000000001</v>
      </c>
      <c r="N140" s="19">
        <f>10^(-(1.824*10^6)/(78.54*I140)^(3/2))*SQRT(M140)</f>
        <v>0.14403049773432616</v>
      </c>
      <c r="O140" s="36">
        <v>0.191</v>
      </c>
      <c r="P140" s="14">
        <v>82.5</v>
      </c>
      <c r="Q140" s="36">
        <v>0</v>
      </c>
      <c r="R140" s="14">
        <v>5.6890000000000003E-2</v>
      </c>
      <c r="S140" s="37">
        <v>745.7</v>
      </c>
      <c r="T140" s="39">
        <f>R140/S140</f>
        <v>7.6290733538956685E-5</v>
      </c>
      <c r="U140" s="21">
        <v>6.567E-5</v>
      </c>
      <c r="V140" s="44">
        <f t="shared" si="34"/>
        <v>8.7211155378486061E-6</v>
      </c>
      <c r="W140" s="44">
        <f t="shared" si="35"/>
        <v>8.5264530385073841E-7</v>
      </c>
      <c r="X140" s="45">
        <f t="shared" si="36"/>
        <v>7.0343237567685915E-5</v>
      </c>
      <c r="AE140" s="2"/>
      <c r="AG140" s="6">
        <v>6.5</v>
      </c>
      <c r="AH140">
        <f t="shared" ref="AH140:AH165" si="38">($AI$71*AG140)/($AH$71+AG140)</f>
        <v>9.5269397199350923E-5</v>
      </c>
      <c r="AI140" s="2">
        <f t="shared" ref="AI140:AI165" si="39">$AI$71</f>
        <v>9.7549999999999999E-5</v>
      </c>
      <c r="AJ140" s="2">
        <v>9.0710000000000004E-5</v>
      </c>
      <c r="AK140">
        <v>1.0119999999999999E-4</v>
      </c>
      <c r="AN140">
        <v>7.9</v>
      </c>
      <c r="AO140">
        <f t="shared" si="37"/>
        <v>9.835046900283907E-6</v>
      </c>
      <c r="AZ140" s="2"/>
      <c r="BA140" s="2"/>
      <c r="BB140" s="2"/>
    </row>
    <row r="141" spans="6:54">
      <c r="F141" t="s">
        <v>457</v>
      </c>
      <c r="G141" s="14" t="s">
        <v>29</v>
      </c>
      <c r="H141" s="14" t="s">
        <v>82</v>
      </c>
      <c r="I141" s="14">
        <f t="shared" si="32"/>
        <v>313.14999999999998</v>
      </c>
      <c r="J141" s="21">
        <v>0.08</v>
      </c>
      <c r="K141" s="33">
        <v>6.97</v>
      </c>
      <c r="L141" s="21">
        <v>0.12620000000000001</v>
      </c>
      <c r="M141" s="21">
        <v>0.17230000000000001</v>
      </c>
      <c r="N141" s="19">
        <f t="shared" ref="N141:N155" si="40">10^(-(1.824*10^6)/(78.54*I141)^(3/2))*SQRT(M141)</f>
        <v>0.13971818266839847</v>
      </c>
      <c r="O141" s="36">
        <v>0.28599999999999998</v>
      </c>
      <c r="P141" s="14">
        <v>82.5</v>
      </c>
      <c r="Q141" s="36">
        <v>0</v>
      </c>
      <c r="R141" s="14">
        <v>9.2910000000000006E-2</v>
      </c>
      <c r="S141" s="37">
        <v>1148</v>
      </c>
      <c r="T141" s="39">
        <f t="shared" ref="T141:T155" si="41">R141/S141</f>
        <v>8.0932055749128923E-5</v>
      </c>
      <c r="U141" s="21">
        <v>7.1429999999999999E-5</v>
      </c>
      <c r="V141" s="44">
        <f t="shared" ref="V141:V155" si="42">U141/($C$3)</f>
        <v>9.4860557768924299E-6</v>
      </c>
      <c r="W141" s="44">
        <f>T141/(N141*P141*$C$3)</f>
        <v>9.3243532697977803E-7</v>
      </c>
      <c r="X141" s="45">
        <f>W141*P141</f>
        <v>7.6925914475831688E-5</v>
      </c>
      <c r="AE141" s="2"/>
      <c r="AG141" s="6">
        <v>6.6</v>
      </c>
      <c r="AH141">
        <f t="shared" si="38"/>
        <v>9.5303155900290133E-5</v>
      </c>
      <c r="AI141" s="2">
        <f t="shared" si="39"/>
        <v>9.7549999999999999E-5</v>
      </c>
      <c r="AJ141" s="2">
        <v>9.0710000000000004E-5</v>
      </c>
      <c r="AK141">
        <v>1.0119999999999999E-4</v>
      </c>
      <c r="AN141">
        <v>8</v>
      </c>
      <c r="AO141">
        <f t="shared" si="37"/>
        <v>9.8024759962797728E-6</v>
      </c>
      <c r="AZ141" s="2"/>
      <c r="BA141" s="2"/>
      <c r="BB141" s="2"/>
    </row>
    <row r="142" spans="6:54" ht="15.75" thickBot="1">
      <c r="F142" t="s">
        <v>457</v>
      </c>
      <c r="G142" s="184" t="s">
        <v>31</v>
      </c>
      <c r="H142" s="184" t="s">
        <v>82</v>
      </c>
      <c r="I142" s="184">
        <f t="shared" si="32"/>
        <v>313.14999999999998</v>
      </c>
      <c r="J142" s="185">
        <v>1.08</v>
      </c>
      <c r="K142" s="186">
        <v>7</v>
      </c>
      <c r="L142" s="56">
        <v>0.12620000000000001</v>
      </c>
      <c r="M142" s="56">
        <v>0.17230000000000001</v>
      </c>
      <c r="N142" s="60">
        <f t="shared" si="40"/>
        <v>0.13971818266839847</v>
      </c>
      <c r="O142" s="187">
        <v>0.38</v>
      </c>
      <c r="P142" s="184">
        <v>82.5</v>
      </c>
      <c r="Q142" s="187">
        <v>0</v>
      </c>
      <c r="R142" s="184">
        <v>9.2910000000000006E-2</v>
      </c>
      <c r="S142" s="188">
        <v>1149</v>
      </c>
      <c r="T142" s="189">
        <f t="shared" si="41"/>
        <v>8.0861618798955622E-5</v>
      </c>
      <c r="U142" s="185">
        <v>7.258E-5</v>
      </c>
      <c r="V142" s="44">
        <f t="shared" si="42"/>
        <v>9.6387782204515271E-6</v>
      </c>
      <c r="W142" s="44">
        <f>T142/(N142*P142*$C$3)</f>
        <v>9.31623807983277E-7</v>
      </c>
      <c r="X142" s="45">
        <f>W142*P142</f>
        <v>7.6858964158620349E-5</v>
      </c>
      <c r="AD142" s="11"/>
      <c r="AE142" s="2"/>
      <c r="AG142" s="6">
        <v>6.7</v>
      </c>
      <c r="AH142">
        <f t="shared" si="38"/>
        <v>9.5335929750860619E-5</v>
      </c>
      <c r="AI142" s="2">
        <f t="shared" si="39"/>
        <v>9.7549999999999999E-5</v>
      </c>
      <c r="AJ142" s="2">
        <v>9.0710000000000004E-5</v>
      </c>
      <c r="AK142">
        <v>1.0119999999999999E-4</v>
      </c>
      <c r="AN142">
        <v>8.1</v>
      </c>
      <c r="AO142">
        <f t="shared" si="37"/>
        <v>9.770246137582148E-6</v>
      </c>
      <c r="AZ142" s="2"/>
      <c r="BA142" s="2"/>
      <c r="BB142" s="2"/>
    </row>
    <row r="143" spans="6:54">
      <c r="F143" t="s">
        <v>459</v>
      </c>
      <c r="G143" s="40" t="s">
        <v>31</v>
      </c>
      <c r="H143" s="40" t="s">
        <v>82</v>
      </c>
      <c r="I143" s="40">
        <f>25+273.15</f>
        <v>298.14999999999998</v>
      </c>
      <c r="J143" s="41">
        <v>0.09</v>
      </c>
      <c r="K143" s="62">
        <v>6.97</v>
      </c>
      <c r="L143" s="41"/>
      <c r="M143" s="41"/>
      <c r="N143" s="45">
        <f t="shared" si="40"/>
        <v>0</v>
      </c>
      <c r="O143" s="42">
        <v>4.8000000000000001E-2</v>
      </c>
      <c r="P143" s="40">
        <v>82.5</v>
      </c>
      <c r="Q143" s="42">
        <v>0</v>
      </c>
      <c r="R143" s="40">
        <v>1.264E-2</v>
      </c>
      <c r="S143" s="43">
        <v>2071</v>
      </c>
      <c r="T143" s="44">
        <f t="shared" si="41"/>
        <v>6.1033317238049249E-6</v>
      </c>
      <c r="U143" s="41">
        <v>5.5300000000000004E-6</v>
      </c>
      <c r="V143" s="44">
        <f t="shared" si="42"/>
        <v>7.3439575033200531E-7</v>
      </c>
      <c r="W143" s="44" t="e">
        <f t="shared" ref="W143:W155" si="43">T143/(N143*P143*$C$3)</f>
        <v>#DIV/0!</v>
      </c>
      <c r="X143" s="45" t="e">
        <f t="shared" ref="X143:X155" si="44">W143*P143</f>
        <v>#DIV/0!</v>
      </c>
      <c r="AD143" s="11"/>
      <c r="AE143" s="2"/>
      <c r="AG143">
        <v>6.8</v>
      </c>
      <c r="AH143">
        <f t="shared" si="38"/>
        <v>9.5367761228362758E-5</v>
      </c>
      <c r="AI143" s="2">
        <f t="shared" si="39"/>
        <v>9.7549999999999999E-5</v>
      </c>
      <c r="AJ143" s="2">
        <v>9.0710000000000004E-5</v>
      </c>
      <c r="AK143">
        <v>1.0119999999999999E-4</v>
      </c>
      <c r="AN143">
        <v>8.1999999999999993</v>
      </c>
      <c r="AO143">
        <f t="shared" si="37"/>
        <v>9.7383518354282816E-6</v>
      </c>
      <c r="AZ143" s="2"/>
      <c r="BA143" s="2"/>
      <c r="BB143" s="2"/>
    </row>
    <row r="144" spans="6:54">
      <c r="F144" t="s">
        <v>459</v>
      </c>
      <c r="G144" s="14" t="s">
        <v>31</v>
      </c>
      <c r="H144" s="14" t="s">
        <v>82</v>
      </c>
      <c r="I144" s="40">
        <f>25+273.15</f>
        <v>298.14999999999998</v>
      </c>
      <c r="J144" s="21">
        <v>8.5000000000000006E-2</v>
      </c>
      <c r="K144" s="33">
        <v>6.97</v>
      </c>
      <c r="L144" s="21"/>
      <c r="M144" s="21"/>
      <c r="N144" s="19">
        <f t="shared" si="40"/>
        <v>0</v>
      </c>
      <c r="O144" s="36">
        <v>9.5000000000000001E-2</v>
      </c>
      <c r="P144" s="14">
        <v>82.5</v>
      </c>
      <c r="Q144" s="36">
        <v>0</v>
      </c>
      <c r="R144" s="14">
        <v>2.0080000000000001E-2</v>
      </c>
      <c r="S144" s="37">
        <v>3431</v>
      </c>
      <c r="T144" s="39">
        <f t="shared" si="41"/>
        <v>5.8525211308656368E-6</v>
      </c>
      <c r="U144" s="21">
        <v>7.1609999999999997E-6</v>
      </c>
      <c r="V144" s="44">
        <f t="shared" si="42"/>
        <v>9.5099601593625487E-7</v>
      </c>
      <c r="W144" s="44" t="e">
        <f t="shared" si="43"/>
        <v>#DIV/0!</v>
      </c>
      <c r="X144" s="45" t="e">
        <f t="shared" si="44"/>
        <v>#DIV/0!</v>
      </c>
      <c r="AD144" s="11"/>
      <c r="AE144" s="2"/>
      <c r="AG144" s="6">
        <v>6.9</v>
      </c>
      <c r="AH144">
        <f t="shared" si="38"/>
        <v>9.5398690401950233E-5</v>
      </c>
      <c r="AI144" s="2">
        <f t="shared" si="39"/>
        <v>9.7549999999999999E-5</v>
      </c>
      <c r="AJ144" s="2">
        <v>9.0710000000000004E-5</v>
      </c>
      <c r="AK144">
        <v>1.0119999999999999E-4</v>
      </c>
      <c r="AN144">
        <v>8.3000000000000007</v>
      </c>
      <c r="AO144">
        <f t="shared" si="37"/>
        <v>9.7067876929483091E-6</v>
      </c>
      <c r="AZ144" s="2"/>
      <c r="BA144" s="2"/>
      <c r="BB144" s="2"/>
    </row>
    <row r="145" spans="6:54">
      <c r="F145" t="s">
        <v>459</v>
      </c>
      <c r="G145" s="14" t="s">
        <v>31</v>
      </c>
      <c r="H145" s="14" t="s">
        <v>82</v>
      </c>
      <c r="I145" s="40">
        <f>25+273.15</f>
        <v>298.14999999999998</v>
      </c>
      <c r="J145" s="21">
        <v>0.08</v>
      </c>
      <c r="K145" s="33">
        <v>6.97</v>
      </c>
      <c r="L145" s="21"/>
      <c r="M145" s="21"/>
      <c r="N145" s="19">
        <f t="shared" si="40"/>
        <v>0</v>
      </c>
      <c r="O145" s="36">
        <v>0.14299999999999999</v>
      </c>
      <c r="P145" s="14">
        <v>82.5</v>
      </c>
      <c r="Q145" s="36">
        <v>0</v>
      </c>
      <c r="R145" s="14">
        <v>3.236E-2</v>
      </c>
      <c r="S145" s="37">
        <v>2138</v>
      </c>
      <c r="T145" s="39">
        <f t="shared" si="41"/>
        <v>1.5135640785781104E-5</v>
      </c>
      <c r="U145" s="21">
        <v>1.468E-5</v>
      </c>
      <c r="V145" s="44">
        <f t="shared" si="42"/>
        <v>1.9495351925630811E-6</v>
      </c>
      <c r="W145" s="44" t="e">
        <f t="shared" si="43"/>
        <v>#DIV/0!</v>
      </c>
      <c r="X145" s="45" t="e">
        <f t="shared" si="44"/>
        <v>#DIV/0!</v>
      </c>
      <c r="AD145" s="11"/>
      <c r="AE145" s="2"/>
      <c r="AG145" s="6">
        <v>7</v>
      </c>
      <c r="AH145">
        <f t="shared" si="38"/>
        <v>9.5428755100900002E-5</v>
      </c>
      <c r="AI145" s="2">
        <f t="shared" si="39"/>
        <v>9.7549999999999999E-5</v>
      </c>
      <c r="AJ145" s="2">
        <v>9.0710000000000004E-5</v>
      </c>
      <c r="AK145">
        <v>1.0119999999999999E-4</v>
      </c>
      <c r="AN145">
        <v>8.4</v>
      </c>
      <c r="AO145">
        <f t="shared" si="37"/>
        <v>9.6755484055560128E-6</v>
      </c>
      <c r="AZ145" s="2"/>
      <c r="BA145" s="2"/>
      <c r="BB145" s="2"/>
    </row>
    <row r="146" spans="6:54" ht="15.75" thickBot="1">
      <c r="F146" t="s">
        <v>459</v>
      </c>
      <c r="G146" s="55" t="s">
        <v>31</v>
      </c>
      <c r="H146" s="55" t="s">
        <v>82</v>
      </c>
      <c r="I146" s="55">
        <f>25+273.15</f>
        <v>298.14999999999998</v>
      </c>
      <c r="J146" s="56">
        <v>7.4999999999999997E-2</v>
      </c>
      <c r="K146" s="63">
        <v>6.97</v>
      </c>
      <c r="L146" s="56"/>
      <c r="M146" s="56"/>
      <c r="N146" s="19">
        <f t="shared" si="40"/>
        <v>0</v>
      </c>
      <c r="O146" s="57">
        <v>0.191</v>
      </c>
      <c r="P146" s="55">
        <v>82.5</v>
      </c>
      <c r="Q146" s="57">
        <v>0</v>
      </c>
      <c r="R146" s="55">
        <v>4.1540000000000001E-2</v>
      </c>
      <c r="S146" s="58">
        <v>2421</v>
      </c>
      <c r="T146" s="59">
        <f t="shared" si="41"/>
        <v>1.7158199091284593E-5</v>
      </c>
      <c r="U146" s="56">
        <v>1.5529999999999999E-5</v>
      </c>
      <c r="V146" s="44">
        <f t="shared" si="42"/>
        <v>2.0624169986719783E-6</v>
      </c>
      <c r="W146" s="44" t="e">
        <f t="shared" si="43"/>
        <v>#DIV/0!</v>
      </c>
      <c r="X146" s="45" t="e">
        <f t="shared" si="44"/>
        <v>#DIV/0!</v>
      </c>
      <c r="AD146" s="11"/>
      <c r="AE146" s="2"/>
      <c r="AG146" s="6">
        <v>7.1</v>
      </c>
      <c r="AH146">
        <f t="shared" si="38"/>
        <v>9.545799106896743E-5</v>
      </c>
      <c r="AI146" s="2">
        <f t="shared" si="39"/>
        <v>9.7549999999999999E-5</v>
      </c>
      <c r="AJ146" s="2">
        <v>9.0710000000000004E-5</v>
      </c>
      <c r="AK146">
        <v>1.0119999999999999E-4</v>
      </c>
      <c r="AN146">
        <v>8.5</v>
      </c>
      <c r="AO146">
        <f t="shared" si="37"/>
        <v>9.6446287610612672E-6</v>
      </c>
      <c r="AZ146" s="2"/>
      <c r="BA146" s="2"/>
      <c r="BB146" s="2"/>
    </row>
    <row r="147" spans="6:54">
      <c r="F147" t="s">
        <v>457</v>
      </c>
      <c r="G147" s="40" t="s">
        <v>77</v>
      </c>
      <c r="H147" s="40" t="s">
        <v>82</v>
      </c>
      <c r="I147" s="40">
        <f>35+273.15</f>
        <v>308.14999999999998</v>
      </c>
      <c r="J147" s="21">
        <v>0.09</v>
      </c>
      <c r="K147" s="62">
        <v>7</v>
      </c>
      <c r="L147" s="41"/>
      <c r="M147" s="41"/>
      <c r="N147" s="19">
        <f t="shared" si="40"/>
        <v>0</v>
      </c>
      <c r="O147" s="42">
        <v>9.5000000000000001E-2</v>
      </c>
      <c r="P147" s="40">
        <v>82.5</v>
      </c>
      <c r="Q147" s="42">
        <v>0</v>
      </c>
      <c r="R147" s="40">
        <v>2.1059999999999999E-2</v>
      </c>
      <c r="S147" s="40">
        <v>731.5</v>
      </c>
      <c r="T147" s="44">
        <f t="shared" si="41"/>
        <v>2.8790157211209841E-5</v>
      </c>
      <c r="U147" s="41">
        <v>2.4879999999999999E-5</v>
      </c>
      <c r="V147" s="44">
        <f t="shared" si="42"/>
        <v>3.3041168658698536E-6</v>
      </c>
      <c r="W147" s="44" t="e">
        <f t="shared" si="43"/>
        <v>#DIV/0!</v>
      </c>
      <c r="X147" s="45" t="e">
        <f t="shared" si="44"/>
        <v>#DIV/0!</v>
      </c>
      <c r="AD147" s="11"/>
      <c r="AE147" s="2"/>
      <c r="AG147">
        <v>7.2</v>
      </c>
      <c r="AH147">
        <f t="shared" si="38"/>
        <v>9.5486432106150408E-5</v>
      </c>
      <c r="AI147" s="2">
        <f t="shared" si="39"/>
        <v>9.7549999999999999E-5</v>
      </c>
      <c r="AJ147" s="2">
        <v>9.0710000000000004E-5</v>
      </c>
      <c r="AK147">
        <v>1.0119999999999999E-4</v>
      </c>
      <c r="AN147">
        <v>8.6</v>
      </c>
      <c r="AO147">
        <f t="shared" si="37"/>
        <v>9.6140236395396291E-6</v>
      </c>
      <c r="AZ147" s="2"/>
      <c r="BA147" s="2"/>
      <c r="BB147" s="2"/>
    </row>
    <row r="148" spans="6:54">
      <c r="F148" t="s">
        <v>457</v>
      </c>
      <c r="G148" s="14" t="s">
        <v>77</v>
      </c>
      <c r="H148" s="14" t="s">
        <v>82</v>
      </c>
      <c r="I148" s="40">
        <f>35+273.15</f>
        <v>308.14999999999998</v>
      </c>
      <c r="J148" s="21">
        <v>8.5000000000000006E-2</v>
      </c>
      <c r="K148" s="33">
        <v>7</v>
      </c>
      <c r="L148" s="21"/>
      <c r="M148" s="21"/>
      <c r="N148" s="19">
        <f t="shared" si="40"/>
        <v>0</v>
      </c>
      <c r="O148" s="36">
        <v>0.191</v>
      </c>
      <c r="P148" s="14">
        <v>82.5</v>
      </c>
      <c r="Q148" s="36">
        <v>0</v>
      </c>
      <c r="R148" s="14">
        <v>4.5679999999999998E-2</v>
      </c>
      <c r="S148" s="14">
        <v>1142</v>
      </c>
      <c r="T148" s="39">
        <f t="shared" si="41"/>
        <v>3.9999999999999996E-5</v>
      </c>
      <c r="U148" s="21">
        <v>3.9629999999999998E-5</v>
      </c>
      <c r="V148" s="44">
        <f t="shared" si="42"/>
        <v>5.2629482071713142E-6</v>
      </c>
      <c r="W148" s="44" t="e">
        <f t="shared" si="43"/>
        <v>#DIV/0!</v>
      </c>
      <c r="X148" s="45" t="e">
        <f t="shared" si="44"/>
        <v>#DIV/0!</v>
      </c>
      <c r="AD148" s="11"/>
      <c r="AE148" s="2"/>
      <c r="AG148" s="6">
        <v>7.3</v>
      </c>
      <c r="AH148">
        <f t="shared" si="38"/>
        <v>9.5514110199045006E-5</v>
      </c>
      <c r="AI148" s="2">
        <f t="shared" si="39"/>
        <v>9.7549999999999999E-5</v>
      </c>
      <c r="AJ148" s="2">
        <v>9.0710000000000004E-5</v>
      </c>
      <c r="AK148">
        <v>1.0119999999999999E-4</v>
      </c>
      <c r="AN148">
        <v>8.6999999999999993</v>
      </c>
      <c r="AO148">
        <f t="shared" si="37"/>
        <v>9.5837280129905557E-6</v>
      </c>
      <c r="AZ148" s="2"/>
      <c r="BA148" s="2"/>
      <c r="BB148" s="2"/>
    </row>
    <row r="149" spans="6:54">
      <c r="F149" t="s">
        <v>457</v>
      </c>
      <c r="G149" s="14" t="s">
        <v>77</v>
      </c>
      <c r="H149" s="14" t="s">
        <v>82</v>
      </c>
      <c r="I149" s="40">
        <f>35+273.15</f>
        <v>308.14999999999998</v>
      </c>
      <c r="J149" s="21">
        <v>0.08</v>
      </c>
      <c r="K149" s="33">
        <v>7</v>
      </c>
      <c r="L149" s="21"/>
      <c r="M149" s="21"/>
      <c r="N149" s="19">
        <f t="shared" si="40"/>
        <v>0</v>
      </c>
      <c r="O149" s="36">
        <v>0.28599999999999998</v>
      </c>
      <c r="P149" s="14">
        <v>82.5</v>
      </c>
      <c r="Q149" s="36">
        <v>0</v>
      </c>
      <c r="R149" s="14">
        <v>7.0529999999999995E-2</v>
      </c>
      <c r="S149" s="14">
        <v>1599</v>
      </c>
      <c r="T149" s="39">
        <f t="shared" si="41"/>
        <v>4.410881801125703E-5</v>
      </c>
      <c r="U149" s="21">
        <v>3.9629999999999998E-5</v>
      </c>
      <c r="V149" s="44">
        <f t="shared" si="42"/>
        <v>5.2629482071713142E-6</v>
      </c>
      <c r="W149" s="44" t="e">
        <f t="shared" si="43"/>
        <v>#DIV/0!</v>
      </c>
      <c r="X149" s="45" t="e">
        <f t="shared" si="44"/>
        <v>#DIV/0!</v>
      </c>
      <c r="AD149" s="11"/>
      <c r="AE149" s="2"/>
      <c r="AG149" s="6">
        <v>7.4</v>
      </c>
      <c r="AH149">
        <f t="shared" si="38"/>
        <v>9.5541055640849173E-5</v>
      </c>
      <c r="AI149" s="2">
        <f t="shared" si="39"/>
        <v>9.7549999999999999E-5</v>
      </c>
      <c r="AJ149" s="2">
        <v>9.0710000000000004E-5</v>
      </c>
      <c r="AK149">
        <v>1.0119999999999999E-4</v>
      </c>
      <c r="AN149">
        <v>8.8000000000000007</v>
      </c>
      <c r="AO149">
        <f t="shared" si="37"/>
        <v>9.5537369448121249E-6</v>
      </c>
      <c r="AZ149" s="2"/>
      <c r="BA149" s="2"/>
      <c r="BB149" s="2"/>
    </row>
    <row r="150" spans="6:54" ht="15.75" thickBot="1">
      <c r="F150" t="s">
        <v>457</v>
      </c>
      <c r="G150" s="55" t="s">
        <v>77</v>
      </c>
      <c r="H150" s="55" t="s">
        <v>82</v>
      </c>
      <c r="I150" s="55">
        <f>35+273.15</f>
        <v>308.14999999999998</v>
      </c>
      <c r="J150" s="56">
        <v>7.4999999999999997E-2</v>
      </c>
      <c r="K150" s="63">
        <v>7</v>
      </c>
      <c r="L150" s="56"/>
      <c r="M150" s="56"/>
      <c r="N150" s="60">
        <f t="shared" si="40"/>
        <v>0</v>
      </c>
      <c r="O150" s="57">
        <v>0.38100000000000001</v>
      </c>
      <c r="P150" s="55">
        <v>82.5</v>
      </c>
      <c r="Q150" s="57">
        <v>0</v>
      </c>
      <c r="R150" s="55">
        <v>8.0799999999999997E-2</v>
      </c>
      <c r="S150" s="55">
        <v>1595</v>
      </c>
      <c r="T150" s="59">
        <f t="shared" si="41"/>
        <v>5.0658307210031348E-5</v>
      </c>
      <c r="U150" s="56">
        <v>4.7929999999999997E-5</v>
      </c>
      <c r="V150" s="44">
        <f t="shared" si="42"/>
        <v>6.3652058432934924E-6</v>
      </c>
      <c r="W150" s="44" t="e">
        <f t="shared" si="43"/>
        <v>#DIV/0!</v>
      </c>
      <c r="X150" s="45" t="e">
        <f t="shared" si="44"/>
        <v>#DIV/0!</v>
      </c>
      <c r="AD150" s="11"/>
      <c r="AE150" s="2"/>
      <c r="AG150" s="6">
        <v>7.5</v>
      </c>
      <c r="AH150">
        <f t="shared" si="38"/>
        <v>9.5567297141961442E-5</v>
      </c>
      <c r="AI150" s="2">
        <f t="shared" si="39"/>
        <v>9.7549999999999999E-5</v>
      </c>
      <c r="AJ150" s="2">
        <v>9.0710000000000004E-5</v>
      </c>
      <c r="AK150">
        <v>1.0119999999999999E-4</v>
      </c>
      <c r="AN150">
        <v>8.9</v>
      </c>
      <c r="AO150">
        <f t="shared" si="37"/>
        <v>9.5240455891170276E-6</v>
      </c>
      <c r="AZ150" s="2"/>
      <c r="BA150" s="2"/>
      <c r="BB150" s="2"/>
    </row>
    <row r="151" spans="6:54">
      <c r="G151" s="40" t="s">
        <v>136</v>
      </c>
      <c r="H151" s="40" t="s">
        <v>82</v>
      </c>
      <c r="I151" s="40">
        <v>298.14999999999998</v>
      </c>
      <c r="J151" s="41">
        <v>0.09</v>
      </c>
      <c r="K151" s="62">
        <v>7.5</v>
      </c>
      <c r="L151" s="41">
        <v>0.16289999999999999</v>
      </c>
      <c r="M151" s="41">
        <v>0.23580000000000001</v>
      </c>
      <c r="N151" s="45">
        <f t="shared" si="40"/>
        <v>0.15040083048310135</v>
      </c>
      <c r="O151" s="42">
        <v>0.05</v>
      </c>
      <c r="P151" s="40">
        <v>82.5</v>
      </c>
      <c r="Q151" s="42">
        <v>0</v>
      </c>
      <c r="R151" s="53">
        <v>1.366E-2</v>
      </c>
      <c r="S151" s="53">
        <v>1341</v>
      </c>
      <c r="T151" s="44">
        <f t="shared" si="41"/>
        <v>1.0186428038777032E-5</v>
      </c>
      <c r="U151" s="41">
        <v>1.152E-5</v>
      </c>
      <c r="V151" s="44">
        <f t="shared" si="42"/>
        <v>1.5298804780876494E-6</v>
      </c>
      <c r="W151" s="44">
        <f t="shared" si="43"/>
        <v>1.090241633013672E-7</v>
      </c>
      <c r="X151" s="45">
        <f t="shared" si="44"/>
        <v>8.9944934723627944E-6</v>
      </c>
      <c r="AD151" s="11"/>
      <c r="AE151" s="2"/>
      <c r="AG151">
        <v>7.6</v>
      </c>
      <c r="AH151">
        <f t="shared" si="38"/>
        <v>9.5592861932023316E-5</v>
      </c>
      <c r="AI151" s="2">
        <f t="shared" si="39"/>
        <v>9.7549999999999999E-5</v>
      </c>
      <c r="AJ151" s="2">
        <v>9.0710000000000004E-5</v>
      </c>
      <c r="AK151">
        <v>1.0119999999999999E-4</v>
      </c>
      <c r="AN151">
        <v>9</v>
      </c>
      <c r="AO151">
        <f t="shared" si="37"/>
        <v>9.4946491899117473E-6</v>
      </c>
      <c r="AZ151" s="2"/>
      <c r="BA151" s="2"/>
      <c r="BB151" s="2"/>
    </row>
    <row r="152" spans="6:54">
      <c r="G152" s="14" t="s">
        <v>136</v>
      </c>
      <c r="H152" s="40" t="s">
        <v>82</v>
      </c>
      <c r="I152" s="14">
        <v>298.14999999999998</v>
      </c>
      <c r="J152" s="21">
        <v>8.5000000000000006E-2</v>
      </c>
      <c r="K152" s="33">
        <v>7.5</v>
      </c>
      <c r="L152" s="21">
        <v>0.15390000000000001</v>
      </c>
      <c r="M152" s="21">
        <v>0.22270000000000001</v>
      </c>
      <c r="N152" s="19">
        <f t="shared" si="40"/>
        <v>0.14616333458195777</v>
      </c>
      <c r="O152" s="36">
        <v>0.1</v>
      </c>
      <c r="P152" s="14">
        <v>82.5</v>
      </c>
      <c r="Q152" s="36">
        <v>0</v>
      </c>
      <c r="R152" s="35">
        <v>5.3519999999999998E-2</v>
      </c>
      <c r="S152" s="35">
        <v>3940</v>
      </c>
      <c r="T152" s="39">
        <f t="shared" si="41"/>
        <v>1.3583756345177664E-5</v>
      </c>
      <c r="U152" s="21">
        <v>1.613E-5</v>
      </c>
      <c r="V152" s="44">
        <f t="shared" si="42"/>
        <v>2.1420982735723772E-6</v>
      </c>
      <c r="W152" s="44">
        <f t="shared" si="43"/>
        <v>1.4960031765677932E-7</v>
      </c>
      <c r="X152" s="45">
        <f t="shared" si="44"/>
        <v>1.2342026206684294E-5</v>
      </c>
      <c r="AD152" s="11"/>
      <c r="AE152" s="2"/>
      <c r="AG152" s="6">
        <v>7.7</v>
      </c>
      <c r="AH152">
        <f t="shared" si="38"/>
        <v>9.5617775854167725E-5</v>
      </c>
      <c r="AI152" s="2">
        <f t="shared" si="39"/>
        <v>9.7549999999999999E-5</v>
      </c>
      <c r="AJ152" s="2">
        <v>9.0710000000000004E-5</v>
      </c>
      <c r="AK152">
        <v>1.0119999999999999E-4</v>
      </c>
      <c r="AN152">
        <v>9.1</v>
      </c>
      <c r="AO152">
        <f t="shared" si="37"/>
        <v>9.4655430801584636E-6</v>
      </c>
      <c r="AZ152" s="2"/>
      <c r="BA152" s="2"/>
      <c r="BB152" s="2"/>
    </row>
    <row r="153" spans="6:54">
      <c r="G153" s="14" t="s">
        <v>136</v>
      </c>
      <c r="H153" s="40" t="s">
        <v>82</v>
      </c>
      <c r="I153" s="14">
        <v>298.14999999999998</v>
      </c>
      <c r="J153" s="21">
        <v>0.08</v>
      </c>
      <c r="K153" s="33">
        <v>7.5</v>
      </c>
      <c r="L153" s="21">
        <v>0.14480000000000001</v>
      </c>
      <c r="M153" s="21">
        <v>0.20960000000000001</v>
      </c>
      <c r="N153" s="19">
        <f t="shared" si="40"/>
        <v>0.14179926284091915</v>
      </c>
      <c r="O153" s="36">
        <v>0.14000000000000001</v>
      </c>
      <c r="P153" s="14">
        <v>82.5</v>
      </c>
      <c r="Q153" s="36">
        <v>0</v>
      </c>
      <c r="R153" s="35">
        <v>3.9149999999999997E-2</v>
      </c>
      <c r="S153" s="35">
        <v>1875</v>
      </c>
      <c r="T153" s="39">
        <f t="shared" si="41"/>
        <v>2.088E-5</v>
      </c>
      <c r="U153" s="21">
        <v>1.613E-5</v>
      </c>
      <c r="V153" s="44">
        <f t="shared" si="42"/>
        <v>2.1420982735723772E-6</v>
      </c>
      <c r="W153" s="44">
        <f t="shared" si="43"/>
        <v>2.3703233592369295E-7</v>
      </c>
      <c r="X153" s="45">
        <f t="shared" si="44"/>
        <v>1.9555167713704668E-5</v>
      </c>
      <c r="AD153" s="11"/>
      <c r="AE153" s="2"/>
      <c r="AG153" s="6">
        <v>7.8</v>
      </c>
      <c r="AH153">
        <f t="shared" si="38"/>
        <v>9.5642063452159492E-5</v>
      </c>
      <c r="AI153" s="2">
        <f t="shared" si="39"/>
        <v>9.7549999999999999E-5</v>
      </c>
      <c r="AJ153" s="2">
        <v>9.0710000000000004E-5</v>
      </c>
      <c r="AK153">
        <v>1.0119999999999999E-4</v>
      </c>
      <c r="AN153">
        <v>9.1999999999999993</v>
      </c>
      <c r="AO153">
        <f t="shared" si="37"/>
        <v>9.4367226807369025E-6</v>
      </c>
      <c r="AZ153" s="2"/>
      <c r="BA153" s="2"/>
      <c r="BB153" s="2"/>
    </row>
    <row r="154" spans="6:54">
      <c r="G154" s="14" t="s">
        <v>136</v>
      </c>
      <c r="H154" s="40" t="s">
        <v>82</v>
      </c>
      <c r="I154" s="14">
        <v>298.14999999999998</v>
      </c>
      <c r="J154" s="21">
        <v>7.4999999999999997E-2</v>
      </c>
      <c r="K154" s="33">
        <v>7.5</v>
      </c>
      <c r="L154" s="21">
        <v>0.1358</v>
      </c>
      <c r="M154" s="21">
        <v>0.19650000000000001</v>
      </c>
      <c r="N154" s="19">
        <f t="shared" si="40"/>
        <v>0.13729654587184204</v>
      </c>
      <c r="O154" s="36">
        <v>0.19</v>
      </c>
      <c r="P154" s="14">
        <v>82.5</v>
      </c>
      <c r="Q154" s="36">
        <v>0</v>
      </c>
      <c r="R154" s="35">
        <v>5.2569999999999999E-2</v>
      </c>
      <c r="S154" s="35">
        <v>2095</v>
      </c>
      <c r="T154" s="39">
        <f t="shared" si="41"/>
        <v>2.5093078758949881E-5</v>
      </c>
      <c r="U154" s="21">
        <v>1.959E-5</v>
      </c>
      <c r="V154" s="44">
        <f t="shared" si="42"/>
        <v>2.6015936254980078E-6</v>
      </c>
      <c r="W154" s="44">
        <f t="shared" si="43"/>
        <v>2.9420185969382898E-7</v>
      </c>
      <c r="X154" s="45">
        <f t="shared" si="44"/>
        <v>2.4271653424740892E-5</v>
      </c>
      <c r="AG154" s="6">
        <v>7.9</v>
      </c>
      <c r="AH154">
        <f t="shared" si="38"/>
        <v>9.5665748051045234E-5</v>
      </c>
      <c r="AI154" s="2">
        <f t="shared" si="39"/>
        <v>9.7549999999999999E-5</v>
      </c>
      <c r="AJ154" s="2">
        <v>9.0710000000000004E-5</v>
      </c>
      <c r="AK154">
        <v>1.0119999999999999E-4</v>
      </c>
      <c r="AN154">
        <v>9.3000000000000007</v>
      </c>
      <c r="AO154">
        <f t="shared" si="37"/>
        <v>9.4081834993214545E-6</v>
      </c>
      <c r="AZ154" s="2"/>
      <c r="BA154" s="2"/>
      <c r="BB154" s="2"/>
    </row>
    <row r="155" spans="6:54">
      <c r="G155" s="14"/>
      <c r="H155" s="14"/>
      <c r="I155" s="14"/>
      <c r="J155" s="21"/>
      <c r="K155" s="33"/>
      <c r="L155" s="21"/>
      <c r="M155" s="21"/>
      <c r="N155" s="19" t="e">
        <f t="shared" si="40"/>
        <v>#DIV/0!</v>
      </c>
      <c r="O155" s="36"/>
      <c r="P155" s="14"/>
      <c r="Q155" s="36"/>
      <c r="R155" s="35"/>
      <c r="S155" s="35"/>
      <c r="T155" s="39" t="e">
        <f t="shared" si="41"/>
        <v>#DIV/0!</v>
      </c>
      <c r="U155" s="21"/>
      <c r="V155" s="44">
        <f t="shared" si="42"/>
        <v>0</v>
      </c>
      <c r="W155" s="44" t="e">
        <f t="shared" si="43"/>
        <v>#DIV/0!</v>
      </c>
      <c r="X155" s="45" t="e">
        <f t="shared" si="44"/>
        <v>#DIV/0!</v>
      </c>
      <c r="AG155">
        <v>8</v>
      </c>
      <c r="AH155">
        <f t="shared" si="38"/>
        <v>9.5688851831870133E-5</v>
      </c>
      <c r="AI155" s="2">
        <f t="shared" si="39"/>
        <v>9.7549999999999999E-5</v>
      </c>
      <c r="AJ155" s="2">
        <v>9.0710000000000004E-5</v>
      </c>
      <c r="AK155">
        <v>1.0119999999999999E-4</v>
      </c>
      <c r="AN155">
        <v>9.4</v>
      </c>
      <c r="AO155">
        <f t="shared" si="37"/>
        <v>9.3799211291871804E-6</v>
      </c>
      <c r="AZ155" s="2"/>
      <c r="BA155" s="2"/>
      <c r="BB155" s="2"/>
    </row>
    <row r="156" spans="6:54">
      <c r="AG156" s="6">
        <v>8.1</v>
      </c>
      <c r="AH156">
        <f t="shared" si="38"/>
        <v>9.5711395900964199E-5</v>
      </c>
      <c r="AI156" s="2">
        <f t="shared" si="39"/>
        <v>9.7549999999999999E-5</v>
      </c>
      <c r="AJ156" s="2">
        <v>9.0710000000000004E-5</v>
      </c>
      <c r="AK156">
        <v>1.0119999999999999E-4</v>
      </c>
      <c r="AN156">
        <v>9.5</v>
      </c>
      <c r="AO156">
        <f t="shared" si="37"/>
        <v>9.3519312479567158E-6</v>
      </c>
      <c r="AZ156" s="2"/>
      <c r="BA156" s="2"/>
      <c r="BB156" s="2"/>
    </row>
    <row r="157" spans="6:54">
      <c r="AG157" s="6">
        <v>8.1999999999999993</v>
      </c>
      <c r="AH157">
        <f t="shared" si="38"/>
        <v>9.5733400354253438E-5</v>
      </c>
      <c r="AI157" s="2">
        <f t="shared" si="39"/>
        <v>9.7549999999999999E-5</v>
      </c>
      <c r="AJ157" s="2">
        <v>9.0710000000000004E-5</v>
      </c>
      <c r="AK157">
        <v>1.0119999999999999E-4</v>
      </c>
      <c r="AN157">
        <v>9.6</v>
      </c>
      <c r="AO157">
        <f t="shared" si="37"/>
        <v>9.3242096162986898E-6</v>
      </c>
      <c r="AZ157" s="2"/>
      <c r="BA157" s="2"/>
      <c r="BB157" s="2"/>
    </row>
    <row r="158" spans="6:54">
      <c r="AG158" s="6">
        <v>8.3000000000000007</v>
      </c>
      <c r="AH158">
        <f t="shared" si="38"/>
        <v>9.5754884337007437E-5</v>
      </c>
      <c r="AI158" s="2">
        <f t="shared" si="39"/>
        <v>9.7549999999999999E-5</v>
      </c>
      <c r="AJ158" s="2">
        <v>9.0710000000000004E-5</v>
      </c>
      <c r="AK158">
        <v>1.0119999999999999E-4</v>
      </c>
      <c r="AN158">
        <v>9.6999999999999993</v>
      </c>
      <c r="AO158">
        <f t="shared" si="37"/>
        <v>9.2967520765871851E-6</v>
      </c>
      <c r="AZ158" s="2"/>
      <c r="BA158" s="2"/>
      <c r="BB158" s="2"/>
    </row>
    <row r="159" spans="6:54">
      <c r="AG159">
        <v>8.4</v>
      </c>
      <c r="AH159">
        <f t="shared" si="38"/>
        <v>9.5775866099396897E-5</v>
      </c>
      <c r="AI159" s="2">
        <f t="shared" si="39"/>
        <v>9.7549999999999999E-5</v>
      </c>
      <c r="AJ159" s="2">
        <v>9.0710000000000004E-5</v>
      </c>
      <c r="AK159">
        <v>1.0119999999999999E-4</v>
      </c>
      <c r="AN159">
        <v>9.8000000000000007</v>
      </c>
      <c r="AO159">
        <f t="shared" si="37"/>
        <v>9.2695545515304715E-6</v>
      </c>
      <c r="AZ159" s="2"/>
      <c r="BA159" s="2"/>
      <c r="BB159" s="2"/>
    </row>
    <row r="160" spans="6:54">
      <c r="AG160" s="6">
        <v>8.5</v>
      </c>
      <c r="AH160">
        <f t="shared" si="38"/>
        <v>9.5796363048200012E-5</v>
      </c>
      <c r="AI160" s="2">
        <f t="shared" si="39"/>
        <v>9.7549999999999999E-5</v>
      </c>
      <c r="AJ160" s="2">
        <v>9.0710000000000004E-5</v>
      </c>
      <c r="AK160">
        <v>1.0119999999999999E-4</v>
      </c>
      <c r="AN160">
        <v>9.9</v>
      </c>
      <c r="AO160">
        <f t="shared" si="37"/>
        <v>9.2426130427764386E-6</v>
      </c>
      <c r="AZ160" s="2"/>
      <c r="BA160" s="2"/>
      <c r="BB160" s="2"/>
    </row>
    <row r="161" spans="18:54">
      <c r="AG161" s="6">
        <v>8.6</v>
      </c>
      <c r="AH161">
        <f t="shared" si="38"/>
        <v>9.5816391794965508E-5</v>
      </c>
      <c r="AI161" s="2">
        <f t="shared" si="39"/>
        <v>9.7549999999999999E-5</v>
      </c>
      <c r="AJ161" s="2">
        <v>9.0710000000000004E-5</v>
      </c>
      <c r="AK161">
        <v>1.0119999999999999E-4</v>
      </c>
      <c r="AN161">
        <v>10</v>
      </c>
      <c r="AO161">
        <f t="shared" si="37"/>
        <v>9.215923629501248E-6</v>
      </c>
      <c r="AZ161" s="2"/>
      <c r="BA161" s="2"/>
      <c r="BB161" s="2"/>
    </row>
    <row r="162" spans="18:54">
      <c r="AG162" s="6">
        <v>8.6999999999999993</v>
      </c>
      <c r="AH162">
        <f t="shared" si="38"/>
        <v>9.5835968200912421E-5</v>
      </c>
      <c r="AI162" s="2">
        <f t="shared" si="39"/>
        <v>9.7549999999999999E-5</v>
      </c>
      <c r="AJ162" s="2">
        <v>9.0710000000000004E-5</v>
      </c>
      <c r="AK162">
        <v>1.0119999999999999E-4</v>
      </c>
      <c r="AZ162" s="2"/>
      <c r="BA162" s="2"/>
      <c r="BB162" s="2"/>
    </row>
    <row r="163" spans="18:54">
      <c r="AG163">
        <v>8.8000000000000007</v>
      </c>
      <c r="AH163">
        <f t="shared" si="38"/>
        <v>9.5855107418821745E-5</v>
      </c>
      <c r="AI163" s="2">
        <f t="shared" si="39"/>
        <v>9.7549999999999999E-5</v>
      </c>
      <c r="AJ163" s="2">
        <v>9.0710000000000004E-5</v>
      </c>
      <c r="AK163">
        <v>1.0119999999999999E-4</v>
      </c>
      <c r="AZ163" s="2"/>
      <c r="BA163" s="2"/>
      <c r="BB163" s="2"/>
    </row>
    <row r="164" spans="18:54">
      <c r="W164">
        <f>10*60</f>
        <v>600</v>
      </c>
      <c r="AG164" s="6">
        <v>8.9</v>
      </c>
      <c r="AH164">
        <f t="shared" si="38"/>
        <v>9.587382393215248E-5</v>
      </c>
      <c r="AI164" s="2">
        <f t="shared" si="39"/>
        <v>9.7549999999999999E-5</v>
      </c>
      <c r="AJ164" s="2">
        <v>9.0710000000000004E-5</v>
      </c>
      <c r="AK164">
        <v>1.0119999999999999E-4</v>
      </c>
      <c r="AZ164" s="2"/>
      <c r="BA164" s="2"/>
      <c r="BB164" s="2"/>
    </row>
    <row r="165" spans="18:54">
      <c r="AG165" s="6">
        <v>9</v>
      </c>
      <c r="AH165">
        <f t="shared" si="38"/>
        <v>9.5892131591594212E-5</v>
      </c>
      <c r="AI165" s="2">
        <f t="shared" si="39"/>
        <v>9.7549999999999999E-5</v>
      </c>
      <c r="AJ165" s="2">
        <v>9.0710000000000004E-5</v>
      </c>
      <c r="AK165">
        <v>1.0119999999999999E-4</v>
      </c>
      <c r="AZ165" s="2"/>
      <c r="BA165" s="2"/>
      <c r="BB165" s="2"/>
    </row>
    <row r="166" spans="18:54">
      <c r="AG166" s="6"/>
      <c r="AZ166" s="2"/>
      <c r="BA166" s="2"/>
      <c r="BB166" s="2"/>
    </row>
    <row r="167" spans="18:54">
      <c r="AZ167" s="2"/>
      <c r="BA167" s="2"/>
      <c r="BB167" s="2"/>
    </row>
    <row r="168" spans="18:54" ht="18">
      <c r="R168">
        <f>1000/60</f>
        <v>16.666666666666668</v>
      </c>
      <c r="AG168" s="6"/>
      <c r="AP168" t="s">
        <v>46</v>
      </c>
      <c r="AQ168" t="s">
        <v>46</v>
      </c>
      <c r="AR168" t="s">
        <v>91</v>
      </c>
      <c r="AS168" t="s">
        <v>43</v>
      </c>
      <c r="AT168" t="s">
        <v>44</v>
      </c>
      <c r="AU168" t="s">
        <v>47</v>
      </c>
      <c r="AV168" t="s">
        <v>48</v>
      </c>
      <c r="AW168" t="s">
        <v>449</v>
      </c>
      <c r="AX168" t="s">
        <v>448</v>
      </c>
      <c r="AY168" t="s">
        <v>72</v>
      </c>
      <c r="AZ168" s="2"/>
      <c r="BA168" s="2"/>
      <c r="BB168" s="2"/>
    </row>
    <row r="169" spans="18:54">
      <c r="AG169" s="6"/>
      <c r="AP169" t="s">
        <v>105</v>
      </c>
      <c r="AQ169">
        <f>15+273.15</f>
        <v>288.14999999999998</v>
      </c>
      <c r="AR169" s="2">
        <v>2.2970000000000002E-6</v>
      </c>
      <c r="AS169">
        <v>4.4649999999999999</v>
      </c>
      <c r="AT169" s="2">
        <f t="shared" ref="AT169:AT174" si="45">AR169/AS169</f>
        <v>5.1444568868980969E-7</v>
      </c>
      <c r="AU169" s="2">
        <f t="shared" ref="AU169:AU174" si="46">1/AQ169</f>
        <v>3.4704147145583901E-3</v>
      </c>
      <c r="AV169" s="2">
        <f t="shared" ref="AV169:AV174" si="47">LN(AR169)</f>
        <v>-12.983906634257313</v>
      </c>
      <c r="AW169" s="11">
        <f t="shared" ref="AW169:AW174" si="48">(1.98816*LN((AR169/AQ169)*0.0000000000479924))/1000</f>
        <v>-8.4312629309505768E-2</v>
      </c>
      <c r="AX169" s="11">
        <f t="shared" ref="AX169:AX174" si="49">(1.98816*LN((AR169/(AQ169*AS169))*0.0000000000479924))/1000</f>
        <v>-8.7287451910665045E-2</v>
      </c>
      <c r="AY169">
        <f t="shared" ref="AY169:AY174" si="50">LN(AS169/AQ169)</f>
        <v>-4.1672119635542133</v>
      </c>
    </row>
    <row r="170" spans="18:54">
      <c r="U170">
        <f>16*60</f>
        <v>960</v>
      </c>
      <c r="AG170" s="6"/>
      <c r="AP170" t="s">
        <v>106</v>
      </c>
      <c r="AQ170">
        <f>20+273.15</f>
        <v>293.14999999999998</v>
      </c>
      <c r="AR170" s="2">
        <v>4.5460000000000002E-6</v>
      </c>
      <c r="AS170">
        <v>4.8150000000000004</v>
      </c>
      <c r="AT170" s="2">
        <f t="shared" si="45"/>
        <v>9.4413291796469362E-7</v>
      </c>
      <c r="AU170" s="2">
        <f t="shared" si="46"/>
        <v>3.4112229234180458E-3</v>
      </c>
      <c r="AV170" s="2">
        <f t="shared" si="47"/>
        <v>-12.301262832533922</v>
      </c>
      <c r="AW170" s="11">
        <f t="shared" si="48"/>
        <v>-8.2989627013299441E-2</v>
      </c>
      <c r="AX170" s="11">
        <f t="shared" si="49"/>
        <v>-8.6114489749023859E-2</v>
      </c>
      <c r="AY170">
        <f t="shared" si="50"/>
        <v>-4.108948378160135</v>
      </c>
    </row>
    <row r="171" spans="18:54">
      <c r="AP171" t="s">
        <v>107</v>
      </c>
      <c r="AQ171">
        <f>25+273.15</f>
        <v>298.14999999999998</v>
      </c>
      <c r="AR171" s="2">
        <v>7.1459999999999999E-6</v>
      </c>
      <c r="AS171">
        <v>3.1280000000000001</v>
      </c>
      <c r="AT171" s="2">
        <f>AR171/AS171</f>
        <v>2.2845268542199487E-6</v>
      </c>
      <c r="AU171" s="2">
        <f t="shared" si="46"/>
        <v>3.3540164346805303E-3</v>
      </c>
      <c r="AV171" s="2">
        <f>LN(AR171)</f>
        <v>-11.848957798363056</v>
      </c>
      <c r="AW171" s="11">
        <f t="shared" si="48"/>
        <v>-8.2123996579340927E-2</v>
      </c>
      <c r="AX171" s="11">
        <f t="shared" si="49"/>
        <v>-8.4391281961846476E-2</v>
      </c>
      <c r="AY171">
        <f t="shared" si="50"/>
        <v>-4.5572028928860506</v>
      </c>
    </row>
    <row r="172" spans="18:54">
      <c r="AG172" s="6"/>
      <c r="AP172" t="s">
        <v>108</v>
      </c>
      <c r="AQ172">
        <f>30+273.15</f>
        <v>303.14999999999998</v>
      </c>
      <c r="AR172" s="2">
        <v>1.1960000000000001E-5</v>
      </c>
      <c r="AS172">
        <v>2.444</v>
      </c>
      <c r="AT172" s="2">
        <f t="shared" si="45"/>
        <v>4.8936170212765959E-6</v>
      </c>
      <c r="AU172" s="2">
        <f t="shared" si="46"/>
        <v>3.298697014679202E-3</v>
      </c>
      <c r="AV172" s="2">
        <f t="shared" si="47"/>
        <v>-11.333942809441789</v>
      </c>
      <c r="AW172" s="11">
        <f t="shared" si="48"/>
        <v>-8.1133129501623796E-2</v>
      </c>
      <c r="AX172" s="11">
        <f t="shared" si="49"/>
        <v>-8.2909820933513373E-2</v>
      </c>
      <c r="AY172">
        <f t="shared" si="50"/>
        <v>-4.8205916912083904</v>
      </c>
    </row>
    <row r="173" spans="18:54">
      <c r="AG173" s="6"/>
      <c r="AP173" t="s">
        <v>109</v>
      </c>
      <c r="AQ173">
        <f>35+273.15</f>
        <v>308.14999999999998</v>
      </c>
      <c r="AR173" s="2">
        <v>2.7610000000000002E-5</v>
      </c>
      <c r="AS173">
        <v>4.4340000000000002</v>
      </c>
      <c r="AT173" s="2">
        <f>AR173/AS173</f>
        <v>6.2268831754623369E-6</v>
      </c>
      <c r="AU173" s="2">
        <f t="shared" si="46"/>
        <v>3.2451728054518907E-3</v>
      </c>
      <c r="AV173" s="2">
        <f>LN(AR173)</f>
        <v>-10.497332532022211</v>
      </c>
      <c r="AW173" s="11">
        <f t="shared" si="48"/>
        <v>-7.9502338612342793E-2</v>
      </c>
      <c r="AX173" s="11">
        <f t="shared" si="49"/>
        <v>-8.2463309497734505E-2</v>
      </c>
      <c r="AY173">
        <f t="shared" si="50"/>
        <v>-4.2412845662141327</v>
      </c>
    </row>
    <row r="174" spans="18:54">
      <c r="AP174" t="s">
        <v>110</v>
      </c>
      <c r="AQ174">
        <f>40+273.15</f>
        <v>313.14999999999998</v>
      </c>
      <c r="AR174" s="2">
        <v>3.2799999999999998E-5</v>
      </c>
      <c r="AS174">
        <v>2.56</v>
      </c>
      <c r="AT174" s="2">
        <f t="shared" si="45"/>
        <v>1.2812499999999998E-5</v>
      </c>
      <c r="AU174" s="2">
        <f t="shared" si="46"/>
        <v>3.1933578157432542E-3</v>
      </c>
      <c r="AV174" s="2">
        <f t="shared" si="47"/>
        <v>-10.325082042574175</v>
      </c>
      <c r="AW174" s="11">
        <f t="shared" si="48"/>
        <v>-7.919187777009043E-2</v>
      </c>
      <c r="AX174" s="11">
        <f t="shared" si="49"/>
        <v>-8.1060762601132819E-2</v>
      </c>
      <c r="AY174">
        <f t="shared" si="50"/>
        <v>-4.8066750504799511</v>
      </c>
    </row>
    <row r="176" spans="18:54">
      <c r="AP176" s="6"/>
      <c r="AQ176">
        <v>288.14999999999998</v>
      </c>
      <c r="AR176">
        <v>293.14999999999998</v>
      </c>
      <c r="AS176">
        <v>298.14999999999998</v>
      </c>
      <c r="AT176">
        <v>303.14999999999998</v>
      </c>
      <c r="AU176">
        <v>308.14999999999998</v>
      </c>
      <c r="AV176">
        <v>313.14999999999998</v>
      </c>
    </row>
    <row r="177" spans="7:48">
      <c r="AP177" t="s">
        <v>70</v>
      </c>
      <c r="AQ177" t="s">
        <v>75</v>
      </c>
      <c r="AR177" t="s">
        <v>75</v>
      </c>
      <c r="AS177" t="s">
        <v>75</v>
      </c>
      <c r="AT177" t="s">
        <v>75</v>
      </c>
      <c r="AU177" t="s">
        <v>75</v>
      </c>
      <c r="AV177" t="s">
        <v>75</v>
      </c>
    </row>
    <row r="178" spans="7:48">
      <c r="AP178" s="6">
        <v>0</v>
      </c>
      <c r="AQ178" s="11">
        <f>($AR$169*AP178)/($AS$169+AP178)</f>
        <v>0</v>
      </c>
      <c r="AR178" s="11">
        <f>($AR$170*AP178)/($AS$170+AP178)</f>
        <v>0</v>
      </c>
      <c r="AS178" s="11">
        <f t="shared" ref="AS178:AS209" si="51">($AR$171*AP178)/($AS$171+AP178)</f>
        <v>0</v>
      </c>
      <c r="AT178" s="11">
        <f>($AR$172*AP178)/($AS$172+AP178)</f>
        <v>0</v>
      </c>
      <c r="AU178" s="11">
        <f t="shared" ref="AU178:AU209" si="52">($AR$173*AP178)/($AS$173+AP178)</f>
        <v>0</v>
      </c>
      <c r="AV178" s="11">
        <f t="shared" ref="AV178:AV209" si="53">($AR$174*AP178)/($AS$174+AP178)</f>
        <v>0</v>
      </c>
    </row>
    <row r="179" spans="7:48">
      <c r="AP179" s="6">
        <v>0.1</v>
      </c>
      <c r="AQ179" s="11">
        <f t="shared" ref="AQ179:AQ242" si="54">($AR$169*AP179)/($AS$169+AP179)</f>
        <v>5.0317634173055869E-8</v>
      </c>
      <c r="AR179" s="11">
        <f t="shared" ref="AR179:AR242" si="55">($AR$170*AP179)/($AS$170+AP179)</f>
        <v>9.2492370295015273E-8</v>
      </c>
      <c r="AS179" s="11">
        <f t="shared" si="51"/>
        <v>2.2137546468401486E-7</v>
      </c>
      <c r="AT179" s="11">
        <f t="shared" ref="AT179:AT209" si="56">($AR$172*AP179)/($AS$172+AP179)</f>
        <v>4.7012578616352204E-7</v>
      </c>
      <c r="AU179" s="11">
        <f t="shared" si="52"/>
        <v>6.0895456550507288E-7</v>
      </c>
      <c r="AV179" s="11">
        <f t="shared" si="53"/>
        <v>1.2330827067669172E-6</v>
      </c>
    </row>
    <row r="180" spans="7:48">
      <c r="AP180" s="6">
        <v>0.2</v>
      </c>
      <c r="AQ180" s="11">
        <f t="shared" si="54"/>
        <v>9.8478027867095408E-8</v>
      </c>
      <c r="AR180" s="11">
        <f t="shared" si="55"/>
        <v>1.81296111665005E-7</v>
      </c>
      <c r="AS180" s="11">
        <f t="shared" si="51"/>
        <v>4.2944711538461536E-7</v>
      </c>
      <c r="AT180" s="11">
        <f t="shared" si="56"/>
        <v>9.0468986384266264E-7</v>
      </c>
      <c r="AU180" s="11">
        <f t="shared" si="52"/>
        <v>1.1916271040138111E-6</v>
      </c>
      <c r="AV180" s="11">
        <f t="shared" si="53"/>
        <v>2.3768115942028985E-6</v>
      </c>
    </row>
    <row r="181" spans="7:48">
      <c r="AP181" s="6">
        <v>0.3</v>
      </c>
      <c r="AQ181" s="11">
        <f t="shared" si="54"/>
        <v>1.4461699895068206E-7</v>
      </c>
      <c r="AR181" s="11">
        <f t="shared" si="55"/>
        <v>2.666275659824047E-7</v>
      </c>
      <c r="AS181" s="11">
        <f t="shared" si="51"/>
        <v>6.253792298716452E-7</v>
      </c>
      <c r="AT181" s="11">
        <f t="shared" si="56"/>
        <v>1.3075801749271138E-6</v>
      </c>
      <c r="AU181" s="11">
        <f t="shared" si="52"/>
        <v>1.749683143219265E-6</v>
      </c>
      <c r="AV181" s="11">
        <f t="shared" si="53"/>
        <v>3.4405594405594402E-6</v>
      </c>
    </row>
    <row r="182" spans="7:48">
      <c r="AP182" s="6">
        <v>0.4</v>
      </c>
      <c r="AQ182" s="11">
        <f t="shared" si="54"/>
        <v>1.8885919835560125E-7</v>
      </c>
      <c r="AR182" s="11">
        <f t="shared" si="55"/>
        <v>3.4868648130393096E-7</v>
      </c>
      <c r="AS182" s="11">
        <f t="shared" si="51"/>
        <v>8.1020408163265311E-7</v>
      </c>
      <c r="AT182" s="11">
        <f t="shared" si="56"/>
        <v>1.6821378340365683E-6</v>
      </c>
      <c r="AU182" s="11">
        <f t="shared" si="52"/>
        <v>2.2846503930492345E-6</v>
      </c>
      <c r="AV182" s="11">
        <f t="shared" si="53"/>
        <v>4.4324324324324324E-6</v>
      </c>
    </row>
    <row r="183" spans="7:48">
      <c r="AP183" s="6">
        <v>0.5</v>
      </c>
      <c r="AQ183" s="11">
        <f t="shared" si="54"/>
        <v>2.313192346424975E-7</v>
      </c>
      <c r="AR183" s="11">
        <f t="shared" si="55"/>
        <v>4.2765757290686734E-7</v>
      </c>
      <c r="AS183" s="11">
        <f t="shared" si="51"/>
        <v>9.8484013230429973E-7</v>
      </c>
      <c r="AT183" s="11">
        <f t="shared" si="56"/>
        <v>2.0312500000000002E-6</v>
      </c>
      <c r="AU183" s="11">
        <f t="shared" si="52"/>
        <v>2.7979327117957033E-6</v>
      </c>
      <c r="AV183" s="11">
        <f>($AR$174*AP183)/($AS$174+AP183)</f>
        <v>5.3594771241830063E-6</v>
      </c>
    </row>
    <row r="184" spans="7:48">
      <c r="AP184" s="6">
        <v>0.6</v>
      </c>
      <c r="AQ184" s="11">
        <f t="shared" si="54"/>
        <v>2.7210266535044425E-7</v>
      </c>
      <c r="AR184" s="11">
        <f t="shared" si="55"/>
        <v>5.037119113573407E-7</v>
      </c>
      <c r="AS184" s="11">
        <f t="shared" si="51"/>
        <v>1.1501072961373388E-6</v>
      </c>
      <c r="AT184" s="11">
        <f t="shared" si="56"/>
        <v>2.3574244415243101E-6</v>
      </c>
      <c r="AU184" s="11">
        <f t="shared" si="52"/>
        <v>3.2908224076281291E-6</v>
      </c>
      <c r="AV184" s="11">
        <f t="shared" si="53"/>
        <v>6.2278481012658216E-6</v>
      </c>
    </row>
    <row r="185" spans="7:48">
      <c r="AP185" s="6">
        <v>0.7</v>
      </c>
      <c r="AQ185" s="11">
        <f t="shared" si="54"/>
        <v>3.1130687318489838E-7</v>
      </c>
      <c r="AR185" s="11">
        <f t="shared" si="55"/>
        <v>5.7700815956482316E-7</v>
      </c>
      <c r="AS185" s="11">
        <f t="shared" si="51"/>
        <v>1.3067398119122255E-6</v>
      </c>
      <c r="AT185" s="11">
        <f t="shared" si="56"/>
        <v>2.662849872773537E-6</v>
      </c>
      <c r="AU185" s="11">
        <f t="shared" si="52"/>
        <v>3.7645111024542265E-6</v>
      </c>
      <c r="AV185" s="11">
        <f t="shared" si="53"/>
        <v>7.0429447852760735E-6</v>
      </c>
    </row>
    <row r="186" spans="7:48">
      <c r="AP186" s="6">
        <v>0.8</v>
      </c>
      <c r="AQ186" s="11">
        <f t="shared" si="54"/>
        <v>3.4902184235517573E-7</v>
      </c>
      <c r="AR186" s="11">
        <f t="shared" si="55"/>
        <v>6.4769367764915408E-7</v>
      </c>
      <c r="AS186" s="11">
        <f t="shared" si="51"/>
        <v>1.455397148676171E-6</v>
      </c>
      <c r="AT186" s="11">
        <f t="shared" si="56"/>
        <v>2.9494451294697909E-6</v>
      </c>
      <c r="AU186" s="11">
        <f t="shared" si="52"/>
        <v>4.2200993504012234E-6</v>
      </c>
      <c r="AV186" s="11">
        <f t="shared" si="53"/>
        <v>7.8095238095238092E-6</v>
      </c>
    </row>
    <row r="187" spans="7:48">
      <c r="AP187" s="6">
        <v>0.9</v>
      </c>
      <c r="AQ187" s="11">
        <f t="shared" si="54"/>
        <v>3.8533084808946878E-7</v>
      </c>
      <c r="AR187" s="11">
        <f t="shared" si="55"/>
        <v>7.1590551181102354E-7</v>
      </c>
      <c r="AS187" s="11">
        <f t="shared" si="51"/>
        <v>1.5966732869910624E-6</v>
      </c>
      <c r="AT187" s="11">
        <f t="shared" si="56"/>
        <v>3.2188995215311007E-6</v>
      </c>
      <c r="AU187" s="11">
        <f t="shared" si="52"/>
        <v>4.6586051743532061E-6</v>
      </c>
      <c r="AV187" s="11">
        <f t="shared" si="53"/>
        <v>8.5317919075144511E-6</v>
      </c>
    </row>
    <row r="188" spans="7:48">
      <c r="AP188" s="6">
        <v>1</v>
      </c>
      <c r="AQ188" s="11">
        <f t="shared" si="54"/>
        <v>4.2031107044830743E-7</v>
      </c>
      <c r="AR188" s="11">
        <f t="shared" si="55"/>
        <v>7.8177128116938952E-7</v>
      </c>
      <c r="AS188" s="11">
        <f t="shared" si="51"/>
        <v>1.7311046511627907E-6</v>
      </c>
      <c r="AT188" s="11">
        <f t="shared" si="56"/>
        <v>3.472706155632985E-6</v>
      </c>
      <c r="AU188" s="11">
        <f t="shared" si="52"/>
        <v>5.0809716599190281E-6</v>
      </c>
      <c r="AV188" s="11">
        <f t="shared" si="53"/>
        <v>9.2134831460674141E-6</v>
      </c>
    </row>
    <row r="189" spans="7:48">
      <c r="AP189" s="6">
        <v>1.1000000000000001</v>
      </c>
      <c r="AQ189" s="11">
        <f t="shared" si="54"/>
        <v>4.5403414195867034E-7</v>
      </c>
      <c r="AR189" s="11">
        <f t="shared" si="55"/>
        <v>8.4540997464074385E-7</v>
      </c>
      <c r="AS189" s="11">
        <f t="shared" si="51"/>
        <v>1.8591769157994326E-6</v>
      </c>
      <c r="AT189" s="11">
        <f t="shared" si="56"/>
        <v>3.7121896162528222E-6</v>
      </c>
      <c r="AU189" s="11">
        <f t="shared" si="52"/>
        <v>5.4880737260571017E-6</v>
      </c>
      <c r="AV189" s="11">
        <f t="shared" si="53"/>
        <v>9.8579234972677599E-6</v>
      </c>
    </row>
    <row r="190" spans="7:48">
      <c r="R190" s="13"/>
      <c r="S190" s="2"/>
      <c r="T190" s="2"/>
      <c r="U190" s="2"/>
      <c r="V190" s="15" t="s">
        <v>87</v>
      </c>
      <c r="W190" s="15" t="s">
        <v>88</v>
      </c>
      <c r="X190" s="15" t="s">
        <v>88</v>
      </c>
      <c r="AP190" s="6">
        <v>1.2</v>
      </c>
      <c r="AQ190" s="11">
        <f t="shared" si="54"/>
        <v>4.8656663724624891E-7</v>
      </c>
      <c r="AR190" s="11">
        <f t="shared" si="55"/>
        <v>9.0693266832917699E-7</v>
      </c>
      <c r="AS190" s="11">
        <f>($AR$171*AP190)/($AS$171+AP190)</f>
        <v>1.9813308687615522E-6</v>
      </c>
      <c r="AT190" s="11">
        <f t="shared" si="56"/>
        <v>3.9385290889132821E-6</v>
      </c>
      <c r="AU190" s="11">
        <f t="shared" si="52"/>
        <v>5.8807241746538867E-6</v>
      </c>
      <c r="AV190" s="11">
        <f t="shared" si="53"/>
        <v>1.0468085106382979E-5</v>
      </c>
    </row>
    <row r="191" spans="7:48">
      <c r="G191" s="66" t="s">
        <v>32</v>
      </c>
      <c r="H191" s="66" t="s">
        <v>81</v>
      </c>
      <c r="I191" s="66" t="s">
        <v>35</v>
      </c>
      <c r="J191" s="66" t="s">
        <v>83</v>
      </c>
      <c r="K191" s="66" t="s">
        <v>2</v>
      </c>
      <c r="L191" s="66" t="s">
        <v>90</v>
      </c>
      <c r="M191" s="66" t="s">
        <v>80</v>
      </c>
      <c r="N191" s="66" t="s">
        <v>95</v>
      </c>
      <c r="O191" s="66" t="s">
        <v>21</v>
      </c>
      <c r="P191" s="66" t="s">
        <v>1</v>
      </c>
      <c r="Q191" s="66" t="s">
        <v>34</v>
      </c>
      <c r="R191" s="66" t="s">
        <v>16</v>
      </c>
      <c r="S191" s="66" t="s">
        <v>17</v>
      </c>
      <c r="T191" s="66" t="s">
        <v>18</v>
      </c>
      <c r="U191" s="66" t="s">
        <v>11</v>
      </c>
      <c r="V191" s="66" t="s">
        <v>276</v>
      </c>
      <c r="W191" s="66" t="s">
        <v>103</v>
      </c>
      <c r="X191" s="15" t="s">
        <v>104</v>
      </c>
      <c r="AP191" s="6">
        <v>1.3</v>
      </c>
      <c r="AQ191" s="11">
        <f t="shared" si="54"/>
        <v>5.1797051170858639E-7</v>
      </c>
      <c r="AR191" s="11">
        <f t="shared" si="55"/>
        <v>9.66443172526574E-7</v>
      </c>
      <c r="AS191" s="11">
        <f t="shared" si="51"/>
        <v>2.0979674796747968E-6</v>
      </c>
      <c r="AT191" s="11">
        <f t="shared" si="56"/>
        <v>4.1527777777777783E-6</v>
      </c>
      <c r="AU191" s="11">
        <f t="shared" si="52"/>
        <v>6.2596791070805724E-6</v>
      </c>
      <c r="AV191" s="11">
        <f t="shared" si="53"/>
        <v>1.104663212435233E-5</v>
      </c>
    </row>
    <row r="192" spans="7:48">
      <c r="G192" s="14" t="s">
        <v>36</v>
      </c>
      <c r="H192" s="14" t="s">
        <v>82</v>
      </c>
      <c r="I192" s="14">
        <f>273.15+15</f>
        <v>288.14999999999998</v>
      </c>
      <c r="J192" s="21">
        <v>0.08</v>
      </c>
      <c r="K192" s="14">
        <v>7</v>
      </c>
      <c r="L192" s="21">
        <v>0.12620000000000001</v>
      </c>
      <c r="M192" s="21">
        <v>0.17230000000000001</v>
      </c>
      <c r="N192" s="19">
        <f t="shared" ref="N192:N215" si="57">10^(-(1.824*10^6)/(78.54*I192)^(3/2))*SQRT(M192)</f>
        <v>0.1208911881057181</v>
      </c>
      <c r="O192" s="14">
        <v>1.85</v>
      </c>
      <c r="P192" s="14">
        <v>82.5</v>
      </c>
      <c r="Q192" s="21">
        <v>0.24099999999999999</v>
      </c>
      <c r="R192" s="21">
        <v>2.8490000000000001E-2</v>
      </c>
      <c r="S192" s="21">
        <v>3911</v>
      </c>
      <c r="T192" s="2">
        <f>R192/S192</f>
        <v>7.2845819483508062E-6</v>
      </c>
      <c r="U192" s="21">
        <v>1.401E-6</v>
      </c>
      <c r="V192" s="19">
        <f>U192/($C$3*Q192)</f>
        <v>7.7201567175282273E-7</v>
      </c>
      <c r="W192" s="19">
        <f>T192/(Q192*N192*P192*$C$3)</f>
        <v>4.0247973665783732E-7</v>
      </c>
      <c r="X192" s="19">
        <f>W192*P192</f>
        <v>3.3204578274271576E-5</v>
      </c>
      <c r="AP192" s="6">
        <v>1.4</v>
      </c>
      <c r="AQ192" s="11">
        <f t="shared" si="54"/>
        <v>5.4830349531116791E-7</v>
      </c>
      <c r="AR192" s="11">
        <f t="shared" si="55"/>
        <v>1.0240386162510057E-6</v>
      </c>
      <c r="AS192" s="11">
        <f t="shared" si="51"/>
        <v>2.2094522968197876E-6</v>
      </c>
      <c r="AT192" s="11">
        <f t="shared" si="56"/>
        <v>4.3558792924037467E-6</v>
      </c>
      <c r="AU192" s="11">
        <f t="shared" si="52"/>
        <v>6.6256427836818653E-6</v>
      </c>
      <c r="AV192" s="11">
        <f t="shared" si="53"/>
        <v>1.1595959595959595E-5</v>
      </c>
    </row>
    <row r="193" spans="7:48">
      <c r="G193" s="14" t="s">
        <v>36</v>
      </c>
      <c r="H193" s="14" t="s">
        <v>82</v>
      </c>
      <c r="I193" s="14">
        <f>273.15+15</f>
        <v>288.14999999999998</v>
      </c>
      <c r="J193" s="21">
        <v>7.0000000000000007E-2</v>
      </c>
      <c r="K193" s="14">
        <v>7</v>
      </c>
      <c r="L193" s="21">
        <v>0.1104</v>
      </c>
      <c r="M193" s="21">
        <v>0.15079999999999999</v>
      </c>
      <c r="N193" s="19">
        <f t="shared" si="57"/>
        <v>0.11309741479580569</v>
      </c>
      <c r="O193" s="14">
        <v>3.7</v>
      </c>
      <c r="P193" s="14">
        <v>82.5</v>
      </c>
      <c r="Q193" s="21">
        <v>0.24099999999999999</v>
      </c>
      <c r="R193" s="21">
        <v>5.296E-2</v>
      </c>
      <c r="S193" s="21">
        <v>14140</v>
      </c>
      <c r="T193" s="2">
        <f t="shared" ref="T193:T215" si="58">R193/S193</f>
        <v>3.7454031117397453E-6</v>
      </c>
      <c r="U193" s="21">
        <v>1.7379999999999999E-6</v>
      </c>
      <c r="V193" s="19">
        <f>U193/($C$3*Q193)</f>
        <v>9.5771822805596432E-7</v>
      </c>
      <c r="W193" s="19">
        <f t="shared" ref="W193:W215" si="59">T193/(Q193*N193*P193*$C$3)</f>
        <v>2.2119735106618805E-7</v>
      </c>
      <c r="X193" s="19">
        <f t="shared" ref="X193:X215" si="60">W193*P193</f>
        <v>1.8248781462960513E-5</v>
      </c>
      <c r="AP193" s="6">
        <v>1.5</v>
      </c>
      <c r="AQ193" s="11">
        <f t="shared" si="54"/>
        <v>5.7761944677284166E-7</v>
      </c>
      <c r="AR193" s="11">
        <f t="shared" si="55"/>
        <v>1.0798099762470308E-6</v>
      </c>
      <c r="AS193" s="11">
        <f t="shared" si="51"/>
        <v>2.3161192739844425E-6</v>
      </c>
      <c r="AT193" s="11">
        <f t="shared" si="56"/>
        <v>4.5486815415821505E-6</v>
      </c>
      <c r="AU193" s="11">
        <f t="shared" si="52"/>
        <v>6.9792719919110212E-6</v>
      </c>
      <c r="AV193" s="11">
        <f t="shared" si="53"/>
        <v>1.2118226600985219E-5</v>
      </c>
    </row>
    <row r="194" spans="7:48">
      <c r="G194" s="14" t="s">
        <v>36</v>
      </c>
      <c r="H194" s="14" t="s">
        <v>82</v>
      </c>
      <c r="I194" s="14">
        <f>273.15+15</f>
        <v>288.14999999999998</v>
      </c>
      <c r="J194" s="21">
        <v>0.06</v>
      </c>
      <c r="K194" s="14">
        <v>7</v>
      </c>
      <c r="L194" s="21">
        <v>9.4630000000000006E-2</v>
      </c>
      <c r="M194" s="21">
        <v>0.1293</v>
      </c>
      <c r="N194" s="19">
        <f t="shared" si="57"/>
        <v>0.10472521714170345</v>
      </c>
      <c r="O194" s="14">
        <v>5.55</v>
      </c>
      <c r="P194" s="14">
        <v>82.5</v>
      </c>
      <c r="Q194" s="21">
        <v>0.24099999999999999</v>
      </c>
      <c r="R194" s="21">
        <v>5.534E-2</v>
      </c>
      <c r="S194" s="21">
        <v>9314</v>
      </c>
      <c r="T194" s="2">
        <f t="shared" si="58"/>
        <v>5.9415933004079877E-6</v>
      </c>
      <c r="U194" s="21">
        <v>2.159E-6</v>
      </c>
      <c r="V194" s="19">
        <f t="shared" ref="V194:V215" si="61">U194/($C$3*Q194)</f>
        <v>1.189708661894607E-6</v>
      </c>
      <c r="W194" s="19">
        <f t="shared" si="59"/>
        <v>3.7895329216752969E-7</v>
      </c>
      <c r="X194" s="19">
        <f t="shared" si="60"/>
        <v>3.1263646603821202E-5</v>
      </c>
      <c r="AP194" s="6">
        <v>1.6</v>
      </c>
      <c r="AQ194" s="11">
        <f t="shared" si="54"/>
        <v>6.0596867271228374E-7</v>
      </c>
      <c r="AR194" s="11">
        <f t="shared" si="55"/>
        <v>1.133842556508184E-6</v>
      </c>
      <c r="AS194" s="11">
        <f t="shared" si="51"/>
        <v>2.4182741116751272E-6</v>
      </c>
      <c r="AT194" s="11">
        <f t="shared" si="56"/>
        <v>4.7319485657764584E-6</v>
      </c>
      <c r="AU194" s="11">
        <f t="shared" si="52"/>
        <v>7.3211799801126945E-6</v>
      </c>
      <c r="AV194" s="11">
        <f t="shared" si="53"/>
        <v>1.2615384615384614E-5</v>
      </c>
    </row>
    <row r="195" spans="7:48" ht="15.75" thickBot="1">
      <c r="G195" s="55" t="s">
        <v>36</v>
      </c>
      <c r="H195" s="55" t="s">
        <v>82</v>
      </c>
      <c r="I195" s="55">
        <f>273.15+15</f>
        <v>288.14999999999998</v>
      </c>
      <c r="J195" s="56">
        <v>0.05</v>
      </c>
      <c r="K195" s="55">
        <v>7</v>
      </c>
      <c r="L195" s="56">
        <v>7.8850000000000003E-2</v>
      </c>
      <c r="M195" s="56">
        <v>0.1077</v>
      </c>
      <c r="N195" s="19">
        <f t="shared" si="57"/>
        <v>9.557842259127082E-2</v>
      </c>
      <c r="O195" s="55">
        <v>7.4</v>
      </c>
      <c r="P195" s="55">
        <v>82.5</v>
      </c>
      <c r="Q195" s="21">
        <v>0.24099999999999999</v>
      </c>
      <c r="R195" s="56">
        <v>8.5360000000000005E-2</v>
      </c>
      <c r="S195" s="56">
        <v>14600</v>
      </c>
      <c r="T195" s="29">
        <f t="shared" si="58"/>
        <v>5.8465753424657535E-6</v>
      </c>
      <c r="U195" s="56">
        <v>2.762E-6</v>
      </c>
      <c r="V195" s="19">
        <f t="shared" si="61"/>
        <v>1.5219894970601687E-6</v>
      </c>
      <c r="W195" s="60">
        <f t="shared" si="59"/>
        <v>4.0857870216939698E-7</v>
      </c>
      <c r="X195" s="60">
        <f t="shared" si="60"/>
        <v>3.3707742928975251E-5</v>
      </c>
      <c r="AP195" s="6">
        <v>1.7</v>
      </c>
      <c r="AQ195" s="11">
        <f t="shared" si="54"/>
        <v>6.3339821573398224E-7</v>
      </c>
      <c r="AR195" s="11">
        <f t="shared" si="55"/>
        <v>1.186216423637759E-6</v>
      </c>
      <c r="AS195" s="11">
        <f t="shared" si="51"/>
        <v>2.5161971830985914E-6</v>
      </c>
      <c r="AT195" s="11">
        <f t="shared" si="56"/>
        <v>4.9063706563706561E-6</v>
      </c>
      <c r="AU195" s="11">
        <f t="shared" si="52"/>
        <v>7.6519400065210303E-6</v>
      </c>
      <c r="AV195" s="11">
        <f t="shared" si="53"/>
        <v>1.3089201877934272E-5</v>
      </c>
    </row>
    <row r="196" spans="7:48">
      <c r="G196" s="40" t="s">
        <v>37</v>
      </c>
      <c r="H196" s="40" t="s">
        <v>82</v>
      </c>
      <c r="I196" s="40">
        <f>273.15+20</f>
        <v>293.14999999999998</v>
      </c>
      <c r="J196" s="41">
        <v>0.08</v>
      </c>
      <c r="K196" s="40">
        <v>7</v>
      </c>
      <c r="L196" s="41">
        <v>0.12620000000000001</v>
      </c>
      <c r="M196" s="41">
        <v>0.17230000000000001</v>
      </c>
      <c r="N196" s="19">
        <f t="shared" si="57"/>
        <v>0.12475061684372864</v>
      </c>
      <c r="O196" s="40">
        <v>1.85</v>
      </c>
      <c r="P196" s="40">
        <v>82.5</v>
      </c>
      <c r="Q196" s="41">
        <v>0.27300000000000002</v>
      </c>
      <c r="R196" s="41">
        <v>7.4200000000000002E-2</v>
      </c>
      <c r="S196" s="41">
        <v>21890</v>
      </c>
      <c r="T196" s="2">
        <f t="shared" si="58"/>
        <v>3.3896756509821837E-6</v>
      </c>
      <c r="U196" s="41">
        <v>2.678E-6</v>
      </c>
      <c r="V196" s="19">
        <f t="shared" si="61"/>
        <v>1.30272560551445E-6</v>
      </c>
      <c r="W196" s="45">
        <f t="shared" si="59"/>
        <v>1.6021525678949099E-7</v>
      </c>
      <c r="X196" s="45">
        <f t="shared" si="60"/>
        <v>1.3217758685133007E-5</v>
      </c>
      <c r="AP196" s="6">
        <v>1.8</v>
      </c>
      <c r="AQ196" s="11">
        <f t="shared" si="54"/>
        <v>6.5995211492418205E-7</v>
      </c>
      <c r="AR196" s="11">
        <f t="shared" si="55"/>
        <v>1.2370068027210885E-6</v>
      </c>
      <c r="AS196" s="11">
        <f t="shared" si="51"/>
        <v>2.610146103896104E-6</v>
      </c>
      <c r="AT196" s="11">
        <f t="shared" si="56"/>
        <v>5.0725730442978324E-6</v>
      </c>
      <c r="AU196" s="11">
        <f t="shared" si="52"/>
        <v>7.9720885466795009E-6</v>
      </c>
      <c r="AV196" s="11">
        <f t="shared" si="53"/>
        <v>1.3541284403669722E-5</v>
      </c>
    </row>
    <row r="197" spans="7:48">
      <c r="G197" s="14" t="s">
        <v>37</v>
      </c>
      <c r="H197" s="14" t="s">
        <v>82</v>
      </c>
      <c r="I197" s="14">
        <f>273.15+20</f>
        <v>293.14999999999998</v>
      </c>
      <c r="J197" s="21">
        <v>7.0000000000000007E-2</v>
      </c>
      <c r="K197" s="14">
        <v>7</v>
      </c>
      <c r="L197" s="21">
        <v>0.1104</v>
      </c>
      <c r="M197" s="21">
        <v>0.15079999999999999</v>
      </c>
      <c r="N197" s="19">
        <f t="shared" si="57"/>
        <v>0.11670802876773492</v>
      </c>
      <c r="O197" s="14">
        <v>3.7</v>
      </c>
      <c r="P197" s="14">
        <v>82.5</v>
      </c>
      <c r="Q197" s="41">
        <v>0.27300000000000002</v>
      </c>
      <c r="R197" s="21">
        <v>0.1065</v>
      </c>
      <c r="S197" s="21">
        <v>21790</v>
      </c>
      <c r="T197" s="2">
        <f t="shared" si="58"/>
        <v>4.8875631023405231E-6</v>
      </c>
      <c r="U197" s="21">
        <v>3.856E-6</v>
      </c>
      <c r="V197" s="19">
        <f t="shared" si="61"/>
        <v>1.8757692064464971E-6</v>
      </c>
      <c r="W197" s="19">
        <f t="shared" si="59"/>
        <v>2.4693353405554764E-7</v>
      </c>
      <c r="X197" s="19">
        <f t="shared" si="60"/>
        <v>2.0372016559582679E-5</v>
      </c>
      <c r="AP197" s="6">
        <v>1.9</v>
      </c>
      <c r="AQ197" s="11">
        <f t="shared" si="54"/>
        <v>6.856716417910447E-7</v>
      </c>
      <c r="AR197" s="11">
        <f t="shared" si="55"/>
        <v>1.2862844378257632E-6</v>
      </c>
      <c r="AS197" s="11">
        <f t="shared" si="51"/>
        <v>2.7003579952267302E-6</v>
      </c>
      <c r="AT197" s="11">
        <f t="shared" si="56"/>
        <v>5.2311233885819535E-6</v>
      </c>
      <c r="AU197" s="11">
        <f t="shared" si="52"/>
        <v>8.2821281970318912E-6</v>
      </c>
      <c r="AV197" s="11">
        <f t="shared" si="53"/>
        <v>1.3973094170403585E-5</v>
      </c>
    </row>
    <row r="198" spans="7:48">
      <c r="G198" s="14" t="s">
        <v>37</v>
      </c>
      <c r="H198" s="14" t="s">
        <v>82</v>
      </c>
      <c r="I198" s="14">
        <f>273.15+20</f>
        <v>293.14999999999998</v>
      </c>
      <c r="J198" s="21">
        <v>0.06</v>
      </c>
      <c r="K198" s="14">
        <v>7</v>
      </c>
      <c r="L198" s="21">
        <v>9.4630000000000006E-2</v>
      </c>
      <c r="M198" s="21">
        <v>0.1293</v>
      </c>
      <c r="N198" s="19">
        <f t="shared" si="57"/>
        <v>0.10806855025774192</v>
      </c>
      <c r="O198" s="14">
        <v>5.55</v>
      </c>
      <c r="P198" s="14">
        <v>82.5</v>
      </c>
      <c r="Q198" s="41">
        <v>0.27300000000000002</v>
      </c>
      <c r="R198" s="21">
        <v>0.2031</v>
      </c>
      <c r="S198" s="21">
        <v>33160</v>
      </c>
      <c r="T198" s="2">
        <f t="shared" si="58"/>
        <v>6.1248492159227989E-6</v>
      </c>
      <c r="U198" s="21">
        <v>5.2070000000000003E-6</v>
      </c>
      <c r="V198" s="19">
        <f t="shared" si="61"/>
        <v>2.5329694652403814E-6</v>
      </c>
      <c r="W198" s="19">
        <f t="shared" si="59"/>
        <v>3.3418311610326969E-7</v>
      </c>
      <c r="X198" s="19">
        <f t="shared" si="60"/>
        <v>2.7570107078519749E-5</v>
      </c>
      <c r="AP198" s="6">
        <v>2</v>
      </c>
      <c r="AQ198" s="11">
        <f t="shared" si="54"/>
        <v>7.1059551430781141E-7</v>
      </c>
      <c r="AR198" s="11">
        <f t="shared" si="55"/>
        <v>1.3341159207630227E-6</v>
      </c>
      <c r="AS198" s="11">
        <f t="shared" si="51"/>
        <v>2.7870514820592821E-6</v>
      </c>
      <c r="AT198" s="11">
        <f t="shared" si="56"/>
        <v>5.3825382538253831E-6</v>
      </c>
      <c r="AU198" s="11">
        <f t="shared" si="52"/>
        <v>8.582530307740131E-6</v>
      </c>
      <c r="AV198" s="11">
        <f t="shared" si="53"/>
        <v>1.4385964912280699E-5</v>
      </c>
    </row>
    <row r="199" spans="7:48" ht="15.75" thickBot="1">
      <c r="G199" s="55" t="s">
        <v>37</v>
      </c>
      <c r="H199" s="55" t="s">
        <v>82</v>
      </c>
      <c r="I199" s="55">
        <f>273.15+20</f>
        <v>293.14999999999998</v>
      </c>
      <c r="J199" s="56">
        <v>0.05</v>
      </c>
      <c r="K199" s="55">
        <v>7</v>
      </c>
      <c r="L199" s="56">
        <v>7.8850000000000003E-2</v>
      </c>
      <c r="M199" s="56">
        <v>0.1077</v>
      </c>
      <c r="N199" s="19">
        <f t="shared" si="57"/>
        <v>9.8629745989299508E-2</v>
      </c>
      <c r="O199" s="55">
        <v>7.4</v>
      </c>
      <c r="P199" s="55">
        <v>82.5</v>
      </c>
      <c r="Q199" s="41">
        <v>0.27300000000000002</v>
      </c>
      <c r="R199" s="56">
        <v>0.28039999999999998</v>
      </c>
      <c r="S199" s="56">
        <v>44300</v>
      </c>
      <c r="T199" s="29">
        <f t="shared" si="58"/>
        <v>6.3295711060948079E-6</v>
      </c>
      <c r="U199" s="56">
        <v>5.5940000000000001E-6</v>
      </c>
      <c r="V199" s="19">
        <f t="shared" si="61"/>
        <v>2.7212274224226411E-6</v>
      </c>
      <c r="W199" s="60">
        <f t="shared" si="59"/>
        <v>3.7840319672455458E-7</v>
      </c>
      <c r="X199" s="60">
        <f t="shared" si="60"/>
        <v>3.1218263729775755E-5</v>
      </c>
      <c r="AP199" s="6">
        <v>2.1</v>
      </c>
      <c r="AQ199" s="11">
        <f t="shared" si="54"/>
        <v>7.3476009139375492E-7</v>
      </c>
      <c r="AR199" s="11">
        <f t="shared" si="55"/>
        <v>1.3805639913232103E-6</v>
      </c>
      <c r="AS199" s="11">
        <f t="shared" si="51"/>
        <v>2.8704284621270086E-6</v>
      </c>
      <c r="AT199" s="11">
        <f t="shared" si="56"/>
        <v>5.5272887323943656E-6</v>
      </c>
      <c r="AU199" s="11">
        <f t="shared" si="52"/>
        <v>8.8737373737373729E-6</v>
      </c>
      <c r="AV199" s="11">
        <f t="shared" si="53"/>
        <v>1.4781115879828327E-5</v>
      </c>
    </row>
    <row r="200" spans="7:48">
      <c r="G200" s="40" t="s">
        <v>38</v>
      </c>
      <c r="H200" s="40" t="s">
        <v>82</v>
      </c>
      <c r="I200" s="40">
        <f>273.15+30</f>
        <v>303.14999999999998</v>
      </c>
      <c r="J200" s="41">
        <v>0.08</v>
      </c>
      <c r="K200" s="40">
        <v>7</v>
      </c>
      <c r="L200" s="41">
        <v>0.12620000000000001</v>
      </c>
      <c r="M200" s="41">
        <v>0.17230000000000001</v>
      </c>
      <c r="N200" s="19">
        <f t="shared" si="57"/>
        <v>0.13233118880827113</v>
      </c>
      <c r="O200" s="40">
        <v>1.85</v>
      </c>
      <c r="P200" s="40">
        <v>82.5</v>
      </c>
      <c r="Q200" s="41">
        <v>0.27300000000000002</v>
      </c>
      <c r="R200" s="41">
        <v>0.43540000000000001</v>
      </c>
      <c r="S200" s="41">
        <v>36250</v>
      </c>
      <c r="T200" s="2">
        <f t="shared" si="58"/>
        <v>1.2011034482758621E-5</v>
      </c>
      <c r="U200" s="41">
        <v>1.0869999999999999E-5</v>
      </c>
      <c r="V200" s="19">
        <f t="shared" si="61"/>
        <v>5.2877622598738127E-6</v>
      </c>
      <c r="W200" s="45">
        <f t="shared" si="59"/>
        <v>5.3518832146723223E-7</v>
      </c>
      <c r="X200" s="45">
        <f t="shared" si="60"/>
        <v>4.415303652104666E-5</v>
      </c>
      <c r="AG200" s="22"/>
      <c r="AH200" s="25" t="s">
        <v>2</v>
      </c>
      <c r="AI200" s="25" t="s">
        <v>43</v>
      </c>
      <c r="AJ200" s="25" t="s">
        <v>42</v>
      </c>
      <c r="AK200" s="25" t="s">
        <v>44</v>
      </c>
      <c r="AL200" s="26" t="s">
        <v>112</v>
      </c>
      <c r="AP200" s="6">
        <v>2.2000000000000002</v>
      </c>
      <c r="AQ200" s="11">
        <f t="shared" si="54"/>
        <v>7.5819954988747195E-7</v>
      </c>
      <c r="AR200" s="11">
        <f t="shared" si="55"/>
        <v>1.4256878118317892E-6</v>
      </c>
      <c r="AS200" s="11">
        <f t="shared" si="51"/>
        <v>2.9506756756756756E-6</v>
      </c>
      <c r="AT200" s="11">
        <f t="shared" si="56"/>
        <v>5.6658053402239457E-6</v>
      </c>
      <c r="AU200" s="11">
        <f t="shared" si="52"/>
        <v>9.1561652095266809E-6</v>
      </c>
      <c r="AV200" s="11">
        <f t="shared" si="53"/>
        <v>1.515966386554622E-5</v>
      </c>
    </row>
    <row r="201" spans="7:48">
      <c r="G201" s="14" t="s">
        <v>38</v>
      </c>
      <c r="H201" s="14" t="s">
        <v>82</v>
      </c>
      <c r="I201" s="14">
        <f>273.15+30</f>
        <v>303.14999999999998</v>
      </c>
      <c r="J201" s="21">
        <v>7.0000000000000007E-2</v>
      </c>
      <c r="K201" s="14">
        <v>7</v>
      </c>
      <c r="L201" s="21">
        <v>0.1104</v>
      </c>
      <c r="M201" s="21">
        <v>0.15079999999999999</v>
      </c>
      <c r="N201" s="19">
        <f t="shared" si="57"/>
        <v>0.12379988637371346</v>
      </c>
      <c r="O201" s="14">
        <v>3.7</v>
      </c>
      <c r="P201" s="14">
        <v>82.5</v>
      </c>
      <c r="Q201" s="41">
        <v>0.27300000000000002</v>
      </c>
      <c r="R201" s="21">
        <v>0.67479999999999996</v>
      </c>
      <c r="S201" s="21">
        <v>42720</v>
      </c>
      <c r="T201" s="2">
        <f t="shared" si="58"/>
        <v>1.5795880149812733E-5</v>
      </c>
      <c r="U201" s="21">
        <v>1.45E-5</v>
      </c>
      <c r="V201" s="19">
        <f t="shared" si="61"/>
        <v>7.0535927109632278E-6</v>
      </c>
      <c r="W201" s="19">
        <f t="shared" si="59"/>
        <v>7.5233629155200779E-7</v>
      </c>
      <c r="X201" s="19">
        <f t="shared" si="60"/>
        <v>6.2067744053040643E-5</v>
      </c>
      <c r="AG201" s="72" t="s">
        <v>66</v>
      </c>
      <c r="AH201" s="75">
        <v>6.5</v>
      </c>
      <c r="AI201" s="10">
        <v>2.5640000000000001</v>
      </c>
      <c r="AJ201" s="34">
        <v>2.87E-5</v>
      </c>
      <c r="AK201" s="34">
        <f t="shared" ref="AK201:AK208" si="62">AJ201/AI201</f>
        <v>1.1193447737909515E-5</v>
      </c>
      <c r="AL201" s="73">
        <f t="shared" ref="AL201:AL208" si="63">LOG(AJ201)</f>
        <v>-4.5421181032660076</v>
      </c>
      <c r="AP201" s="6">
        <v>2.2999999999999998</v>
      </c>
      <c r="AQ201" s="11">
        <f t="shared" si="54"/>
        <v>7.8094604582409473E-7</v>
      </c>
      <c r="AR201" s="11">
        <f t="shared" si="55"/>
        <v>1.4695432185523539E-6</v>
      </c>
      <c r="AS201" s="11">
        <f t="shared" si="51"/>
        <v>3.0279661016949154E-6</v>
      </c>
      <c r="AT201" s="11">
        <f t="shared" si="56"/>
        <v>5.7984822934232713E-6</v>
      </c>
      <c r="AU201" s="11">
        <f t="shared" si="52"/>
        <v>9.430204930204931E-6</v>
      </c>
      <c r="AV201" s="11">
        <f t="shared" si="53"/>
        <v>1.5522633744855966E-5</v>
      </c>
    </row>
    <row r="202" spans="7:48">
      <c r="G202" s="14" t="s">
        <v>38</v>
      </c>
      <c r="H202" s="14" t="s">
        <v>82</v>
      </c>
      <c r="I202" s="14">
        <f>273.15+30</f>
        <v>303.14999999999998</v>
      </c>
      <c r="J202" s="21">
        <v>0.06</v>
      </c>
      <c r="K202" s="14">
        <v>7</v>
      </c>
      <c r="L202" s="21">
        <v>9.4630000000000006E-2</v>
      </c>
      <c r="M202" s="21">
        <v>0.1293</v>
      </c>
      <c r="N202" s="19">
        <f t="shared" si="57"/>
        <v>0.11463542297596507</v>
      </c>
      <c r="O202" s="14">
        <v>5.55</v>
      </c>
      <c r="P202" s="14">
        <v>82.5</v>
      </c>
      <c r="Q202" s="41">
        <v>0.27300000000000002</v>
      </c>
      <c r="R202" s="21">
        <v>0.86040000000000005</v>
      </c>
      <c r="S202" s="21">
        <v>47490</v>
      </c>
      <c r="T202" s="2">
        <f t="shared" si="58"/>
        <v>1.8117498420720152E-5</v>
      </c>
      <c r="U202" s="21">
        <v>1.677E-5</v>
      </c>
      <c r="V202" s="19">
        <f t="shared" si="61"/>
        <v>8.1578448112312655E-6</v>
      </c>
      <c r="W202" s="19">
        <f t="shared" si="59"/>
        <v>9.3189680463152932E-7</v>
      </c>
      <c r="X202" s="19">
        <f t="shared" si="60"/>
        <v>7.6881486382101164E-5</v>
      </c>
      <c r="AG202" s="72" t="s">
        <v>59</v>
      </c>
      <c r="AH202" s="75">
        <v>6.71</v>
      </c>
      <c r="AI202" s="10">
        <v>13.9</v>
      </c>
      <c r="AJ202" s="34">
        <v>1.187E-4</v>
      </c>
      <c r="AK202" s="34">
        <f t="shared" si="62"/>
        <v>8.5395683453237413E-6</v>
      </c>
      <c r="AL202" s="73">
        <f t="shared" si="63"/>
        <v>-3.9255492810454089</v>
      </c>
      <c r="AP202" s="6">
        <v>2.4</v>
      </c>
      <c r="AQ202" s="11">
        <f t="shared" si="54"/>
        <v>8.0302986161689726E-7</v>
      </c>
      <c r="AR202" s="11">
        <f t="shared" si="55"/>
        <v>1.5121829521829522E-6</v>
      </c>
      <c r="AS202" s="11">
        <f t="shared" si="51"/>
        <v>3.1024602026049198E-6</v>
      </c>
      <c r="AT202" s="11">
        <f t="shared" si="56"/>
        <v>5.9256812551610254E-6</v>
      </c>
      <c r="AU202" s="11">
        <f t="shared" si="52"/>
        <v>9.6962247585601419E-6</v>
      </c>
      <c r="AV202" s="11">
        <f t="shared" si="53"/>
        <v>1.5870967741935482E-5</v>
      </c>
    </row>
    <row r="203" spans="7:48" ht="15.75" thickBot="1">
      <c r="G203" s="55" t="s">
        <v>38</v>
      </c>
      <c r="H203" s="55" t="s">
        <v>82</v>
      </c>
      <c r="I203" s="55">
        <f>273.15+30</f>
        <v>303.14999999999998</v>
      </c>
      <c r="J203" s="56">
        <v>0.05</v>
      </c>
      <c r="K203" s="55">
        <v>7</v>
      </c>
      <c r="L203" s="56">
        <v>7.8850000000000003E-2</v>
      </c>
      <c r="M203" s="56">
        <v>0.1077</v>
      </c>
      <c r="N203" s="19">
        <f t="shared" si="57"/>
        <v>0.10462306214462574</v>
      </c>
      <c r="O203" s="55">
        <v>7.4</v>
      </c>
      <c r="P203" s="55">
        <v>82.5</v>
      </c>
      <c r="Q203" s="41">
        <v>0.27300000000000002</v>
      </c>
      <c r="R203" s="56">
        <v>1.131</v>
      </c>
      <c r="S203" s="56">
        <v>56200</v>
      </c>
      <c r="T203" s="29">
        <f t="shared" si="58"/>
        <v>2.012455516014235E-5</v>
      </c>
      <c r="U203" s="56">
        <v>1.8839999999999999E-5</v>
      </c>
      <c r="V203" s="19">
        <f t="shared" si="61"/>
        <v>9.1648059775549793E-6</v>
      </c>
      <c r="W203" s="60">
        <f t="shared" si="59"/>
        <v>1.134193856647994E-6</v>
      </c>
      <c r="X203" s="60">
        <f t="shared" si="60"/>
        <v>9.3570993173459503E-5</v>
      </c>
      <c r="AG203" s="72" t="s">
        <v>60</v>
      </c>
      <c r="AH203" s="75">
        <v>6.71</v>
      </c>
      <c r="AI203" s="10">
        <v>18.329999999999998</v>
      </c>
      <c r="AJ203" s="34">
        <v>1.406E-4</v>
      </c>
      <c r="AK203" s="34">
        <f t="shared" si="62"/>
        <v>7.6704855428259697E-6</v>
      </c>
      <c r="AL203" s="73">
        <f t="shared" si="63"/>
        <v>-3.8520146793161949</v>
      </c>
      <c r="AP203" s="6">
        <v>2.5</v>
      </c>
      <c r="AQ203" s="11">
        <f t="shared" si="54"/>
        <v>8.2447954055994268E-7</v>
      </c>
      <c r="AR203" s="11">
        <f t="shared" si="55"/>
        <v>1.5536568694463431E-6</v>
      </c>
      <c r="AS203" s="11">
        <f t="shared" si="51"/>
        <v>3.1743070362473344E-6</v>
      </c>
      <c r="AT203" s="11">
        <f t="shared" si="56"/>
        <v>6.0477346278317153E-6</v>
      </c>
      <c r="AU203" s="11">
        <f t="shared" si="52"/>
        <v>9.9545716758004057E-6</v>
      </c>
      <c r="AV203" s="11">
        <f t="shared" si="53"/>
        <v>1.620553359683794E-5</v>
      </c>
    </row>
    <row r="204" spans="7:48">
      <c r="G204" s="40" t="s">
        <v>39</v>
      </c>
      <c r="H204" s="40" t="s">
        <v>82</v>
      </c>
      <c r="I204" s="40">
        <f>273.15+40</f>
        <v>313.14999999999998</v>
      </c>
      <c r="J204" s="41">
        <v>0.08</v>
      </c>
      <c r="K204" s="40">
        <v>7</v>
      </c>
      <c r="L204" s="41">
        <v>0.12620000000000001</v>
      </c>
      <c r="M204" s="41">
        <v>0.17230000000000001</v>
      </c>
      <c r="N204" s="19">
        <f t="shared" si="57"/>
        <v>0.13971818266839847</v>
      </c>
      <c r="O204" s="40">
        <v>1.85</v>
      </c>
      <c r="P204" s="40">
        <v>82.5</v>
      </c>
      <c r="Q204" s="41">
        <v>0.24099999999999999</v>
      </c>
      <c r="R204" s="41">
        <v>0.2172</v>
      </c>
      <c r="S204" s="41">
        <v>6473</v>
      </c>
      <c r="T204" s="2">
        <f t="shared" si="58"/>
        <v>3.3554765950872854E-5</v>
      </c>
      <c r="U204" s="41">
        <v>2.955E-5</v>
      </c>
      <c r="V204" s="19">
        <f t="shared" si="61"/>
        <v>1.628341406159594E-5</v>
      </c>
      <c r="W204" s="45">
        <f t="shared" si="59"/>
        <v>1.6041143299333355E-6</v>
      </c>
      <c r="X204" s="45">
        <f t="shared" si="60"/>
        <v>1.3233943221950016E-4</v>
      </c>
      <c r="AG204" s="72" t="s">
        <v>61</v>
      </c>
      <c r="AH204" s="75">
        <v>6.71</v>
      </c>
      <c r="AI204" s="10">
        <v>9.734</v>
      </c>
      <c r="AJ204" s="34">
        <v>7.4989999999999999E-5</v>
      </c>
      <c r="AK204" s="34">
        <f t="shared" si="62"/>
        <v>7.7039243887404974E-6</v>
      </c>
      <c r="AL204" s="73">
        <f t="shared" si="63"/>
        <v>-4.1249966463999588</v>
      </c>
      <c r="AP204" s="6">
        <v>2.6</v>
      </c>
      <c r="AQ204" s="11">
        <f t="shared" si="54"/>
        <v>8.4532200990799739E-7</v>
      </c>
      <c r="AR204" s="11">
        <f t="shared" si="55"/>
        <v>1.5940121375590019E-6</v>
      </c>
      <c r="AS204" s="11">
        <f t="shared" si="51"/>
        <v>3.2436452513966483E-6</v>
      </c>
      <c r="AT204" s="11">
        <f t="shared" si="56"/>
        <v>6.1649484536082471E-6</v>
      </c>
      <c r="AU204" s="11">
        <f t="shared" si="52"/>
        <v>1.0205572931475689E-5</v>
      </c>
      <c r="AV204" s="11">
        <f t="shared" si="53"/>
        <v>1.6527131782945734E-5</v>
      </c>
    </row>
    <row r="205" spans="7:48">
      <c r="G205" s="14" t="s">
        <v>39</v>
      </c>
      <c r="H205" s="14" t="s">
        <v>82</v>
      </c>
      <c r="I205" s="14">
        <f>273.15+40</f>
        <v>313.14999999999998</v>
      </c>
      <c r="J205" s="21">
        <v>7.0000000000000007E-2</v>
      </c>
      <c r="K205" s="14">
        <v>7</v>
      </c>
      <c r="L205" s="21">
        <v>0.1104</v>
      </c>
      <c r="M205" s="21">
        <v>0.15079999999999999</v>
      </c>
      <c r="N205" s="19">
        <f t="shared" si="57"/>
        <v>0.13071064572502614</v>
      </c>
      <c r="O205" s="14">
        <v>3.7</v>
      </c>
      <c r="P205" s="14">
        <v>82.5</v>
      </c>
      <c r="Q205" s="41">
        <v>0.24099999999999999</v>
      </c>
      <c r="R205" s="21">
        <v>0.8407</v>
      </c>
      <c r="S205" s="21">
        <v>24020</v>
      </c>
      <c r="T205" s="2">
        <f t="shared" si="58"/>
        <v>3.4999999999999997E-5</v>
      </c>
      <c r="U205" s="21">
        <v>2.9989999999999999E-5</v>
      </c>
      <c r="V205" s="19">
        <f t="shared" si="61"/>
        <v>1.6525874372496185E-5</v>
      </c>
      <c r="W205" s="19">
        <f t="shared" si="59"/>
        <v>1.7885089464097748E-6</v>
      </c>
      <c r="X205" s="19">
        <f t="shared" si="60"/>
        <v>1.4755198807880643E-4</v>
      </c>
      <c r="AG205" s="72" t="s">
        <v>41</v>
      </c>
      <c r="AH205" s="75">
        <v>7</v>
      </c>
      <c r="AI205" s="10">
        <v>9.8130000000000006</v>
      </c>
      <c r="AJ205" s="34">
        <v>1.1680000000000001E-4</v>
      </c>
      <c r="AK205" s="34">
        <f t="shared" si="62"/>
        <v>1.1902578212575156E-5</v>
      </c>
      <c r="AL205" s="73">
        <f t="shared" si="63"/>
        <v>-3.9325571572236191</v>
      </c>
      <c r="AP205" s="6">
        <v>2.7</v>
      </c>
      <c r="AQ205" s="11">
        <f t="shared" si="54"/>
        <v>8.6558269364968605E-7</v>
      </c>
      <c r="AR205" s="11">
        <f t="shared" si="55"/>
        <v>1.6332934131736528E-6</v>
      </c>
      <c r="AS205" s="11">
        <f t="shared" si="51"/>
        <v>3.3106039807824299E-6</v>
      </c>
      <c r="AT205" s="11">
        <f t="shared" si="56"/>
        <v>6.2776049766718505E-6</v>
      </c>
      <c r="AU205" s="11">
        <f t="shared" si="52"/>
        <v>1.0449537426408747E-5</v>
      </c>
      <c r="AV205" s="11">
        <f t="shared" si="53"/>
        <v>1.6836501901140687E-5</v>
      </c>
    </row>
    <row r="206" spans="7:48">
      <c r="G206" s="14" t="s">
        <v>39</v>
      </c>
      <c r="H206" s="14" t="s">
        <v>82</v>
      </c>
      <c r="I206" s="14">
        <f>273.15+40</f>
        <v>313.14999999999998</v>
      </c>
      <c r="J206" s="21">
        <v>0.06</v>
      </c>
      <c r="K206" s="14">
        <v>7</v>
      </c>
      <c r="L206" s="21">
        <v>9.4630000000000006E-2</v>
      </c>
      <c r="M206" s="21">
        <v>0.1293</v>
      </c>
      <c r="N206" s="19">
        <f t="shared" si="57"/>
        <v>0.1210346034964655</v>
      </c>
      <c r="O206" s="14">
        <v>5.55</v>
      </c>
      <c r="P206" s="14">
        <v>82.5</v>
      </c>
      <c r="Q206" s="41">
        <v>0.24099999999999999</v>
      </c>
      <c r="R206" s="21">
        <v>1.149</v>
      </c>
      <c r="S206" s="21">
        <v>26090</v>
      </c>
      <c r="T206" s="2">
        <f t="shared" si="58"/>
        <v>4.403986201609812E-5</v>
      </c>
      <c r="U206" s="21">
        <v>3.6779999999999997E-5</v>
      </c>
      <c r="V206" s="19">
        <f t="shared" si="61"/>
        <v>2.0267477806615858E-5</v>
      </c>
      <c r="W206" s="19">
        <f t="shared" si="59"/>
        <v>2.43035900226807E-6</v>
      </c>
      <c r="X206" s="19">
        <f t="shared" si="60"/>
        <v>2.0050461768711579E-4</v>
      </c>
      <c r="AG206" s="72" t="s">
        <v>67</v>
      </c>
      <c r="AH206" s="75">
        <v>7.5</v>
      </c>
      <c r="AI206" s="10">
        <v>6.4980000000000002</v>
      </c>
      <c r="AJ206" s="34">
        <v>2.5159999999999999E-4</v>
      </c>
      <c r="AK206" s="34">
        <f t="shared" si="62"/>
        <v>3.8719606032625423E-5</v>
      </c>
      <c r="AL206" s="73">
        <f t="shared" si="63"/>
        <v>-3.5992893632267688</v>
      </c>
      <c r="AP206" s="6">
        <v>2.8</v>
      </c>
      <c r="AQ206" s="11">
        <f t="shared" si="54"/>
        <v>8.8528561596696501E-7</v>
      </c>
      <c r="AR206" s="11">
        <f t="shared" si="55"/>
        <v>1.6715430072225868E-6</v>
      </c>
      <c r="AS206" s="11">
        <f t="shared" si="51"/>
        <v>3.3753036437246959E-6</v>
      </c>
      <c r="AT206" s="11">
        <f t="shared" si="56"/>
        <v>6.3859649122807026E-6</v>
      </c>
      <c r="AU206" s="11">
        <f t="shared" si="52"/>
        <v>1.0686756980923417E-5</v>
      </c>
      <c r="AV206" s="11">
        <f t="shared" si="53"/>
        <v>1.7134328358208956E-5</v>
      </c>
    </row>
    <row r="207" spans="7:48" ht="15.75" thickBot="1">
      <c r="G207" s="55" t="s">
        <v>39</v>
      </c>
      <c r="H207" s="55" t="s">
        <v>82</v>
      </c>
      <c r="I207" s="55">
        <f>273.15+40</f>
        <v>313.14999999999998</v>
      </c>
      <c r="J207" s="56">
        <v>0.05</v>
      </c>
      <c r="K207" s="55">
        <v>7</v>
      </c>
      <c r="L207" s="56">
        <v>7.8850000000000003E-2</v>
      </c>
      <c r="M207" s="56">
        <v>0.1077</v>
      </c>
      <c r="N207" s="19">
        <f t="shared" si="57"/>
        <v>0.11046333248943327</v>
      </c>
      <c r="O207" s="55">
        <v>7.4</v>
      </c>
      <c r="P207" s="55">
        <v>82.5</v>
      </c>
      <c r="Q207" s="41">
        <v>0.24099999999999999</v>
      </c>
      <c r="R207" s="56">
        <v>0.78890000000000005</v>
      </c>
      <c r="S207" s="56">
        <v>13640</v>
      </c>
      <c r="T207" s="29">
        <f t="shared" si="58"/>
        <v>5.7837243401759531E-5</v>
      </c>
      <c r="U207" s="56">
        <v>4.939E-5</v>
      </c>
      <c r="V207" s="19">
        <f t="shared" si="61"/>
        <v>2.7216169898552402E-5</v>
      </c>
      <c r="W207" s="60">
        <f t="shared" si="59"/>
        <v>3.4972242198304167E-6</v>
      </c>
      <c r="X207" s="60">
        <f t="shared" si="60"/>
        <v>2.885209981360094E-4</v>
      </c>
      <c r="AG207" s="72" t="s">
        <v>62</v>
      </c>
      <c r="AH207" s="75">
        <v>8.01</v>
      </c>
      <c r="AI207" s="10">
        <v>1.978</v>
      </c>
      <c r="AJ207" s="34">
        <v>6.3150000000000001E-4</v>
      </c>
      <c r="AK207" s="34">
        <f t="shared" si="62"/>
        <v>3.1926188068756318E-4</v>
      </c>
      <c r="AL207" s="73">
        <f t="shared" si="63"/>
        <v>-3.1996266451086504</v>
      </c>
      <c r="AP207" s="6">
        <v>2.9</v>
      </c>
      <c r="AQ207" s="11">
        <f t="shared" si="54"/>
        <v>9.0445349626612352E-7</v>
      </c>
      <c r="AR207" s="11">
        <f t="shared" si="55"/>
        <v>1.708801036941024E-6</v>
      </c>
      <c r="AS207" s="11">
        <f t="shared" si="51"/>
        <v>3.4378566688785664E-6</v>
      </c>
      <c r="AT207" s="11">
        <f t="shared" si="56"/>
        <v>6.4902694610778453E-6</v>
      </c>
      <c r="AU207" s="11">
        <f t="shared" si="52"/>
        <v>1.0917507499318246E-5</v>
      </c>
      <c r="AV207" s="11">
        <f t="shared" si="53"/>
        <v>1.7421245421245417E-5</v>
      </c>
    </row>
    <row r="208" spans="7:48">
      <c r="G208" s="40" t="s">
        <v>40</v>
      </c>
      <c r="H208" s="40" t="s">
        <v>82</v>
      </c>
      <c r="I208" s="40">
        <f>273.15+35</f>
        <v>308.14999999999998</v>
      </c>
      <c r="J208" s="41">
        <v>0.08</v>
      </c>
      <c r="K208" s="40">
        <v>7</v>
      </c>
      <c r="L208" s="41">
        <v>0.12620000000000001</v>
      </c>
      <c r="M208" s="41">
        <v>0.17230000000000001</v>
      </c>
      <c r="N208" s="19">
        <f t="shared" si="57"/>
        <v>0.13604945274945521</v>
      </c>
      <c r="O208" s="40">
        <v>1.85</v>
      </c>
      <c r="P208" s="40">
        <v>82.5</v>
      </c>
      <c r="Q208" s="41">
        <v>0.27300000000000002</v>
      </c>
      <c r="R208" s="41">
        <v>0.86350000000000005</v>
      </c>
      <c r="S208" s="41">
        <v>38720</v>
      </c>
      <c r="T208" s="2">
        <f t="shared" si="58"/>
        <v>2.2301136363636365E-5</v>
      </c>
      <c r="U208" s="41">
        <v>2.0659999999999999E-5</v>
      </c>
      <c r="V208" s="19">
        <f t="shared" si="61"/>
        <v>1.0050153476448295E-5</v>
      </c>
      <c r="W208" s="45">
        <f t="shared" si="59"/>
        <v>9.6653730794870644E-7</v>
      </c>
      <c r="X208" s="45">
        <f t="shared" si="60"/>
        <v>7.9739327905768283E-5</v>
      </c>
      <c r="AG208" s="72" t="s">
        <v>50</v>
      </c>
      <c r="AH208" s="75">
        <v>8.4600000000000009</v>
      </c>
      <c r="AI208" s="10">
        <v>3.5019999999999998</v>
      </c>
      <c r="AJ208" s="34">
        <v>2.1540000000000001E-3</v>
      </c>
      <c r="AK208" s="34">
        <f t="shared" si="62"/>
        <v>6.1507709880068541E-4</v>
      </c>
      <c r="AL208" s="73">
        <f t="shared" si="63"/>
        <v>-2.6667543010380372</v>
      </c>
      <c r="AP208" s="6">
        <v>3</v>
      </c>
      <c r="AQ208" s="11">
        <f t="shared" si="54"/>
        <v>9.2310783657066319E-7</v>
      </c>
      <c r="AR208" s="11">
        <f t="shared" si="55"/>
        <v>1.7451055662188099E-6</v>
      </c>
      <c r="AS208" s="11">
        <f t="shared" si="51"/>
        <v>3.4983681462140991E-6</v>
      </c>
      <c r="AT208" s="11">
        <f t="shared" si="56"/>
        <v>6.5907421013960324E-6</v>
      </c>
      <c r="AU208" s="11">
        <f t="shared" si="52"/>
        <v>1.1142050040355126E-5</v>
      </c>
      <c r="AV208" s="11">
        <f t="shared" si="53"/>
        <v>1.7697841726618704E-5</v>
      </c>
    </row>
    <row r="209" spans="7:48">
      <c r="G209" s="14" t="s">
        <v>40</v>
      </c>
      <c r="H209" s="14" t="s">
        <v>82</v>
      </c>
      <c r="I209" s="14">
        <f>273.15+35</f>
        <v>308.14999999999998</v>
      </c>
      <c r="J209" s="21">
        <v>7.0000000000000007E-2</v>
      </c>
      <c r="K209" s="14">
        <v>7</v>
      </c>
      <c r="L209" s="21">
        <v>0.1104</v>
      </c>
      <c r="M209" s="21">
        <v>0.15079999999999999</v>
      </c>
      <c r="N209" s="19">
        <f t="shared" si="57"/>
        <v>0.1272784363479981</v>
      </c>
      <c r="O209" s="14">
        <v>3.7</v>
      </c>
      <c r="P209" s="14">
        <v>82.5</v>
      </c>
      <c r="Q209" s="41">
        <v>0.27300000000000002</v>
      </c>
      <c r="R209" s="21">
        <v>1.036</v>
      </c>
      <c r="S209" s="21">
        <v>43480</v>
      </c>
      <c r="T209" s="2">
        <f t="shared" si="58"/>
        <v>2.3827046918123277E-5</v>
      </c>
      <c r="U209" s="21">
        <v>2.2240000000000001E-5</v>
      </c>
      <c r="V209" s="19">
        <f t="shared" si="61"/>
        <v>1.0818751854608427E-5</v>
      </c>
      <c r="W209" s="19">
        <f t="shared" si="59"/>
        <v>1.1038341270997171E-6</v>
      </c>
      <c r="X209" s="19">
        <f t="shared" si="60"/>
        <v>9.1066315485726666E-5</v>
      </c>
      <c r="AG209" s="72" t="s">
        <v>68</v>
      </c>
      <c r="AH209" s="75">
        <v>8.5</v>
      </c>
      <c r="AI209" s="10">
        <v>1.05</v>
      </c>
      <c r="AJ209" s="34">
        <v>1.2650000000000001E-3</v>
      </c>
      <c r="AK209" s="34">
        <f t="shared" ref="AK209:AK216" si="64">AJ209/AI209</f>
        <v>1.2047619047619049E-3</v>
      </c>
      <c r="AL209" s="73">
        <f t="shared" ref="AL209:AL216" si="65">LOG(AJ209)</f>
        <v>-2.8979094744881633</v>
      </c>
      <c r="AP209" s="6">
        <v>3.1</v>
      </c>
      <c r="AQ209" s="11">
        <f t="shared" si="54"/>
        <v>9.4126900198281581E-7</v>
      </c>
      <c r="AR209" s="11">
        <f t="shared" si="55"/>
        <v>1.7804927353126974E-6</v>
      </c>
      <c r="AS209" s="11">
        <f t="shared" si="51"/>
        <v>3.556936416184971E-6</v>
      </c>
      <c r="AT209" s="11">
        <f t="shared" si="56"/>
        <v>6.6875901875901874E-6</v>
      </c>
      <c r="AU209" s="11">
        <f t="shared" si="52"/>
        <v>1.1360631802495354E-5</v>
      </c>
      <c r="AV209" s="11">
        <f t="shared" si="53"/>
        <v>1.7964664310954065E-5</v>
      </c>
    </row>
    <row r="210" spans="7:48">
      <c r="G210" s="14" t="s">
        <v>40</v>
      </c>
      <c r="H210" s="14" t="s">
        <v>82</v>
      </c>
      <c r="I210" s="14">
        <f>273.15+35</f>
        <v>308.14999999999998</v>
      </c>
      <c r="J210" s="21">
        <v>0.06</v>
      </c>
      <c r="K210" s="14">
        <v>7</v>
      </c>
      <c r="L210" s="21">
        <v>9.4630000000000006E-2</v>
      </c>
      <c r="M210" s="21">
        <v>0.1293</v>
      </c>
      <c r="N210" s="19">
        <f t="shared" si="57"/>
        <v>0.11785646832039619</v>
      </c>
      <c r="O210" s="14">
        <v>5.55</v>
      </c>
      <c r="P210" s="14">
        <v>82.5</v>
      </c>
      <c r="Q210" s="41">
        <v>0.27300000000000002</v>
      </c>
      <c r="R210" s="21">
        <v>7.3949999999999996</v>
      </c>
      <c r="S210" s="21">
        <v>254900</v>
      </c>
      <c r="T210" s="2">
        <f t="shared" si="58"/>
        <v>2.9011377010592386E-5</v>
      </c>
      <c r="U210" s="21">
        <v>2.866E-5</v>
      </c>
      <c r="V210" s="19">
        <f t="shared" si="61"/>
        <v>1.3941790834221112E-5</v>
      </c>
      <c r="W210" s="19">
        <f t="shared" si="59"/>
        <v>1.4514542392609144E-6</v>
      </c>
      <c r="X210" s="19">
        <f t="shared" si="60"/>
        <v>1.1974497473902544E-4</v>
      </c>
      <c r="AG210" s="72" t="s">
        <v>51</v>
      </c>
      <c r="AH210" s="75">
        <v>8.98</v>
      </c>
      <c r="AI210" s="10">
        <v>5.91</v>
      </c>
      <c r="AJ210" s="34">
        <v>3.235E-3</v>
      </c>
      <c r="AK210" s="34">
        <f t="shared" si="64"/>
        <v>5.4737732656514378E-4</v>
      </c>
      <c r="AL210" s="73">
        <f t="shared" si="65"/>
        <v>-2.4901257149952807</v>
      </c>
      <c r="AP210" s="6">
        <v>3.2</v>
      </c>
      <c r="AQ210" s="11">
        <f t="shared" si="54"/>
        <v>9.589562948467059E-7</v>
      </c>
      <c r="AR210" s="11">
        <f t="shared" si="55"/>
        <v>1.8149968808484093E-6</v>
      </c>
      <c r="AS210" s="11">
        <f t="shared" ref="AS210:AS241" si="66">($AR$171*AP210)/($AS$171+AP210)</f>
        <v>3.6136536030341339E-6</v>
      </c>
      <c r="AT210" s="11">
        <f t="shared" ref="AT210:AT241" si="67">($AR$172*AP210)/($AS$172+AP210)</f>
        <v>6.7810063784549965E-6</v>
      </c>
      <c r="AU210" s="11">
        <f t="shared" ref="AU210:AU241" si="68">($AR$173*AP210)/($AS$173+AP210)</f>
        <v>1.1573487031700289E-5</v>
      </c>
      <c r="AV210" s="11">
        <f t="shared" ref="AV210:AV241" si="69">($AR$174*AP210)/($AS$174+AP210)</f>
        <v>1.8222222222222221E-5</v>
      </c>
    </row>
    <row r="211" spans="7:48" ht="15.75" thickBot="1">
      <c r="G211" s="67" t="s">
        <v>40</v>
      </c>
      <c r="H211" s="67" t="s">
        <v>82</v>
      </c>
      <c r="I211" s="67">
        <f>273.15+35</f>
        <v>308.14999999999998</v>
      </c>
      <c r="J211" s="68">
        <v>0.05</v>
      </c>
      <c r="K211" s="67">
        <v>7</v>
      </c>
      <c r="L211" s="68">
        <v>7.8850000000000003E-2</v>
      </c>
      <c r="M211" s="68">
        <v>0.1077</v>
      </c>
      <c r="N211" s="19">
        <f t="shared" si="57"/>
        <v>0.10756277849488277</v>
      </c>
      <c r="O211" s="67">
        <v>7.4</v>
      </c>
      <c r="P211" s="67">
        <v>82.5</v>
      </c>
      <c r="Q211" s="41">
        <v>0.27300000000000002</v>
      </c>
      <c r="R211" s="68">
        <v>1.099</v>
      </c>
      <c r="S211" s="68">
        <v>25280</v>
      </c>
      <c r="T211" s="69">
        <f t="shared" si="58"/>
        <v>4.3473101265822783E-5</v>
      </c>
      <c r="U211" s="68">
        <v>3.8770000000000003E-5</v>
      </c>
      <c r="V211" s="19">
        <f t="shared" si="61"/>
        <v>1.8859847545106509E-5</v>
      </c>
      <c r="W211" s="70">
        <f t="shared" si="59"/>
        <v>2.3831261868179658E-6</v>
      </c>
      <c r="X211" s="70">
        <f t="shared" si="60"/>
        <v>1.9660791041248217E-4</v>
      </c>
      <c r="AG211" s="72" t="s">
        <v>52</v>
      </c>
      <c r="AH211" s="75">
        <v>9.23</v>
      </c>
      <c r="AI211" s="10">
        <v>8.9320000000000004</v>
      </c>
      <c r="AJ211" s="34">
        <v>3.6080000000000001E-3</v>
      </c>
      <c r="AK211" s="34">
        <f t="shared" si="64"/>
        <v>4.0394088669950737E-4</v>
      </c>
      <c r="AL211" s="73">
        <f t="shared" si="65"/>
        <v>-2.4427334711300959</v>
      </c>
      <c r="AP211" s="6">
        <v>3.3</v>
      </c>
      <c r="AQ211" s="11">
        <f t="shared" si="54"/>
        <v>9.7618802318094014E-7</v>
      </c>
      <c r="AR211" s="11">
        <f t="shared" si="55"/>
        <v>1.8486506469500922E-6</v>
      </c>
      <c r="AS211" s="11">
        <f t="shared" si="66"/>
        <v>3.6686060983198504E-6</v>
      </c>
      <c r="AT211" s="11">
        <f t="shared" si="67"/>
        <v>6.8711699164345407E-6</v>
      </c>
      <c r="AU211" s="11">
        <f t="shared" si="68"/>
        <v>1.1780837858805276E-5</v>
      </c>
      <c r="AV211" s="11">
        <f t="shared" si="69"/>
        <v>1.8470989761092147E-5</v>
      </c>
    </row>
    <row r="212" spans="7:48">
      <c r="G212" s="40" t="s">
        <v>41</v>
      </c>
      <c r="H212" s="40" t="s">
        <v>82</v>
      </c>
      <c r="I212" s="40">
        <f>273.15+25</f>
        <v>298.14999999999998</v>
      </c>
      <c r="J212" s="41">
        <v>0.08</v>
      </c>
      <c r="K212" s="40">
        <v>7</v>
      </c>
      <c r="L212" s="41">
        <v>0.12620000000000001</v>
      </c>
      <c r="M212" s="41">
        <v>0.17230000000000001</v>
      </c>
      <c r="N212" s="19">
        <f t="shared" si="57"/>
        <v>0.12856447263079127</v>
      </c>
      <c r="O212" s="40">
        <v>1.85</v>
      </c>
      <c r="P212" s="40">
        <v>82.5</v>
      </c>
      <c r="Q212" s="41">
        <v>0.27300000000000002</v>
      </c>
      <c r="R212" s="41">
        <v>0.45090000000000002</v>
      </c>
      <c r="S212" s="41">
        <v>73680</v>
      </c>
      <c r="T212" s="2">
        <f t="shared" si="58"/>
        <v>6.1197068403908797E-6</v>
      </c>
      <c r="U212" s="41">
        <v>5.3809999999999998E-6</v>
      </c>
      <c r="V212" s="19">
        <f t="shared" si="61"/>
        <v>2.61761257777194E-6</v>
      </c>
      <c r="W212" s="45">
        <f t="shared" si="59"/>
        <v>2.8067134358617183E-7</v>
      </c>
      <c r="X212" s="45">
        <f t="shared" si="60"/>
        <v>2.3155385845859174E-5</v>
      </c>
      <c r="AG212" s="72" t="s">
        <v>53</v>
      </c>
      <c r="AH212" s="75">
        <v>9.4</v>
      </c>
      <c r="AI212" s="10">
        <v>10.99</v>
      </c>
      <c r="AJ212" s="34">
        <v>3.5760000000000002E-3</v>
      </c>
      <c r="AK212" s="34">
        <f t="shared" si="64"/>
        <v>3.2538671519563242E-4</v>
      </c>
      <c r="AL212" s="73">
        <f t="shared" si="65"/>
        <v>-2.4466024898761201</v>
      </c>
      <c r="AP212" s="6">
        <v>3.4</v>
      </c>
      <c r="AQ212" s="11">
        <f t="shared" si="54"/>
        <v>9.9298156389065493E-7</v>
      </c>
      <c r="AR212" s="11">
        <f t="shared" si="55"/>
        <v>1.8814850882531953E-6</v>
      </c>
      <c r="AS212" s="11">
        <f t="shared" si="66"/>
        <v>3.7218749999999998E-6</v>
      </c>
      <c r="AT212" s="11">
        <f t="shared" si="67"/>
        <v>6.9582477754962367E-6</v>
      </c>
      <c r="AU212" s="11">
        <f t="shared" si="68"/>
        <v>1.1982895072759766E-5</v>
      </c>
      <c r="AV212" s="11">
        <f t="shared" si="69"/>
        <v>1.8711409395973154E-5</v>
      </c>
    </row>
    <row r="213" spans="7:48">
      <c r="G213" s="14" t="s">
        <v>41</v>
      </c>
      <c r="H213" s="14" t="s">
        <v>82</v>
      </c>
      <c r="I213" s="14">
        <f>273.15+25</f>
        <v>298.14999999999998</v>
      </c>
      <c r="J213" s="21">
        <v>7.0000000000000007E-2</v>
      </c>
      <c r="K213" s="14">
        <v>7</v>
      </c>
      <c r="L213" s="21">
        <v>0.1104</v>
      </c>
      <c r="M213" s="21">
        <v>0.15079999999999999</v>
      </c>
      <c r="N213" s="19">
        <f t="shared" si="57"/>
        <v>0.12027600784610752</v>
      </c>
      <c r="O213" s="14">
        <v>3.7</v>
      </c>
      <c r="P213" s="14">
        <v>82.5</v>
      </c>
      <c r="Q213" s="41">
        <v>0.27300000000000002</v>
      </c>
      <c r="R213" s="21">
        <v>17.39</v>
      </c>
      <c r="S213" s="21">
        <v>2089000</v>
      </c>
      <c r="T213" s="2">
        <f t="shared" si="58"/>
        <v>8.3245572044040212E-6</v>
      </c>
      <c r="U213" s="21">
        <v>8.2910000000000007E-6</v>
      </c>
      <c r="V213" s="19">
        <f t="shared" si="61"/>
        <v>4.033195666661802E-6</v>
      </c>
      <c r="W213" s="19">
        <f t="shared" si="59"/>
        <v>4.0810373124438186E-7</v>
      </c>
      <c r="X213" s="19">
        <f t="shared" si="60"/>
        <v>3.3668557827661501E-5</v>
      </c>
      <c r="AG213" s="72" t="s">
        <v>56</v>
      </c>
      <c r="AH213" s="75">
        <v>9.5</v>
      </c>
      <c r="AI213" s="75">
        <v>5.9349999999999996</v>
      </c>
      <c r="AJ213" s="34">
        <v>2.467E-3</v>
      </c>
      <c r="AK213" s="34">
        <f t="shared" si="64"/>
        <v>4.1566975568660489E-4</v>
      </c>
      <c r="AL213" s="73">
        <f t="shared" si="65"/>
        <v>-2.6078308505102639</v>
      </c>
      <c r="AP213" s="6">
        <v>3.5</v>
      </c>
      <c r="AQ213" s="11">
        <f t="shared" si="54"/>
        <v>1.009353421217828E-6</v>
      </c>
      <c r="AR213" s="11">
        <f t="shared" si="55"/>
        <v>1.9135297654840648E-6</v>
      </c>
      <c r="AS213" s="11">
        <f t="shared" si="66"/>
        <v>3.7735365117682554E-6</v>
      </c>
      <c r="AT213" s="11">
        <f t="shared" si="67"/>
        <v>7.0423956931359361E-6</v>
      </c>
      <c r="AU213" s="11">
        <f t="shared" si="68"/>
        <v>1.2179858835391984E-5</v>
      </c>
      <c r="AV213" s="11">
        <f t="shared" si="69"/>
        <v>1.8943894389438943E-5</v>
      </c>
    </row>
    <row r="214" spans="7:48">
      <c r="G214" s="14" t="s">
        <v>41</v>
      </c>
      <c r="H214" s="14" t="s">
        <v>82</v>
      </c>
      <c r="I214" s="14">
        <f>273.15+25</f>
        <v>298.14999999999998</v>
      </c>
      <c r="J214" s="21">
        <v>0.06</v>
      </c>
      <c r="K214" s="14">
        <v>7</v>
      </c>
      <c r="L214" s="21">
        <v>9.4630000000000006E-2</v>
      </c>
      <c r="M214" s="21">
        <v>0.1293</v>
      </c>
      <c r="N214" s="19">
        <f t="shared" si="57"/>
        <v>0.11137240458910974</v>
      </c>
      <c r="O214" s="14">
        <v>5.55</v>
      </c>
      <c r="P214" s="14">
        <v>82.5</v>
      </c>
      <c r="Q214" s="41">
        <v>0.27300000000000002</v>
      </c>
      <c r="R214" s="21">
        <v>14.07</v>
      </c>
      <c r="S214" s="21">
        <v>1569000</v>
      </c>
      <c r="T214" s="2">
        <f t="shared" si="58"/>
        <v>8.9674952198852772E-6</v>
      </c>
      <c r="U214" s="21">
        <v>8.9199999999999993E-6</v>
      </c>
      <c r="V214" s="19">
        <f t="shared" si="61"/>
        <v>4.3391756539166891E-6</v>
      </c>
      <c r="W214" s="19">
        <f t="shared" si="59"/>
        <v>4.7476859733064911E-7</v>
      </c>
      <c r="X214" s="19">
        <f t="shared" si="60"/>
        <v>3.9168409279778554E-5</v>
      </c>
      <c r="AG214" s="72" t="s">
        <v>54</v>
      </c>
      <c r="AH214" s="75">
        <v>9.51</v>
      </c>
      <c r="AI214" s="75">
        <v>10.37</v>
      </c>
      <c r="AJ214" s="34">
        <v>3.042E-3</v>
      </c>
      <c r="AK214" s="34">
        <f t="shared" si="64"/>
        <v>2.9334619093539059E-4</v>
      </c>
      <c r="AL214" s="73">
        <f t="shared" si="65"/>
        <v>-2.5168407902830205</v>
      </c>
      <c r="AP214" s="6">
        <v>3.6</v>
      </c>
      <c r="AQ214" s="11">
        <f t="shared" si="54"/>
        <v>1.0253192808431495E-6</v>
      </c>
      <c r="AR214" s="11">
        <f t="shared" si="55"/>
        <v>1.944812834224599E-6</v>
      </c>
      <c r="AS214" s="11">
        <f t="shared" si="66"/>
        <v>3.8236623067776455E-6</v>
      </c>
      <c r="AT214" s="11">
        <f t="shared" si="67"/>
        <v>7.1237590999338185E-6</v>
      </c>
      <c r="AU214" s="11">
        <f t="shared" si="68"/>
        <v>1.2371919342793129E-5</v>
      </c>
      <c r="AV214" s="11">
        <f t="shared" si="69"/>
        <v>1.9168831168831166E-5</v>
      </c>
    </row>
    <row r="215" spans="7:48">
      <c r="G215" s="14" t="s">
        <v>41</v>
      </c>
      <c r="H215" s="14" t="s">
        <v>82</v>
      </c>
      <c r="I215" s="14">
        <f>273.15+25</f>
        <v>298.14999999999998</v>
      </c>
      <c r="J215" s="21">
        <v>0.05</v>
      </c>
      <c r="K215" s="14">
        <v>7</v>
      </c>
      <c r="L215" s="21">
        <v>7.8850000000000003E-2</v>
      </c>
      <c r="M215" s="21">
        <v>0.1077</v>
      </c>
      <c r="N215" s="19">
        <f t="shared" si="57"/>
        <v>0.10164503871517848</v>
      </c>
      <c r="O215" s="14">
        <v>7.4</v>
      </c>
      <c r="P215" s="14">
        <v>82.5</v>
      </c>
      <c r="Q215" s="41">
        <v>0.27300000000000002</v>
      </c>
      <c r="R215" s="21">
        <v>4.5620000000000003</v>
      </c>
      <c r="S215" s="21">
        <v>423400</v>
      </c>
      <c r="T215" s="2">
        <f t="shared" si="58"/>
        <v>1.0774681152574398E-5</v>
      </c>
      <c r="U215" s="21">
        <v>1.0550000000000001E-5</v>
      </c>
      <c r="V215" s="19">
        <f t="shared" si="61"/>
        <v>5.1320967655629004E-6</v>
      </c>
      <c r="W215" s="19">
        <f t="shared" si="59"/>
        <v>6.2503835721260957E-7</v>
      </c>
      <c r="X215" s="19">
        <f t="shared" si="60"/>
        <v>5.1565664470040288E-5</v>
      </c>
      <c r="AG215" s="72" t="s">
        <v>57</v>
      </c>
      <c r="AH215" s="75">
        <v>9.6999999999999993</v>
      </c>
      <c r="AI215" s="75">
        <v>12.47</v>
      </c>
      <c r="AJ215" s="34">
        <v>2.8349999999999998E-3</v>
      </c>
      <c r="AK215" s="34">
        <f t="shared" si="64"/>
        <v>2.2734562951082595E-4</v>
      </c>
      <c r="AL215" s="73">
        <f t="shared" si="65"/>
        <v>-2.5474469367710748</v>
      </c>
      <c r="AP215" s="6">
        <v>3.7</v>
      </c>
      <c r="AQ215" s="11">
        <f t="shared" si="54"/>
        <v>1.0408940600122476E-6</v>
      </c>
      <c r="AR215" s="11">
        <f t="shared" si="55"/>
        <v>1.9753611274221963E-6</v>
      </c>
      <c r="AS215" s="11">
        <f t="shared" si="66"/>
        <v>3.8723198594024604E-6</v>
      </c>
      <c r="AT215" s="11">
        <f t="shared" si="67"/>
        <v>7.2024739583333336E-6</v>
      </c>
      <c r="AU215" s="11">
        <f t="shared" si="68"/>
        <v>1.2559257437914925E-5</v>
      </c>
      <c r="AV215" s="11">
        <f t="shared" si="69"/>
        <v>1.9386581469648564E-5</v>
      </c>
    </row>
    <row r="216" spans="7:48">
      <c r="V216" s="15" t="s">
        <v>87</v>
      </c>
      <c r="W216" s="15" t="s">
        <v>88</v>
      </c>
      <c r="X216" s="15" t="s">
        <v>88</v>
      </c>
      <c r="AG216" s="72"/>
      <c r="AH216" s="75">
        <v>10.07</v>
      </c>
      <c r="AI216" s="75">
        <v>26.1</v>
      </c>
      <c r="AJ216" s="34">
        <v>3.4770000000000001E-3</v>
      </c>
      <c r="AK216" s="34">
        <f t="shared" si="64"/>
        <v>1.3321839080459769E-4</v>
      </c>
      <c r="AL216" s="73">
        <f t="shared" si="65"/>
        <v>-2.4587953093167414</v>
      </c>
      <c r="AP216" s="6">
        <v>3.8</v>
      </c>
      <c r="AQ216" s="11">
        <f t="shared" si="54"/>
        <v>1.0560919540229884E-6</v>
      </c>
      <c r="AR216" s="11">
        <f t="shared" si="55"/>
        <v>2.0052002321532209E-6</v>
      </c>
      <c r="AS216" s="11">
        <f t="shared" si="66"/>
        <v>3.9195727482678983E-6</v>
      </c>
      <c r="AT216" s="11">
        <f t="shared" si="67"/>
        <v>7.2786675208199882E-6</v>
      </c>
      <c r="AU216" s="11">
        <f t="shared" si="68"/>
        <v>1.2742045178528054E-5</v>
      </c>
      <c r="AV216" s="11">
        <f t="shared" si="69"/>
        <v>1.9597484276729556E-5</v>
      </c>
    </row>
    <row r="217" spans="7:48">
      <c r="G217" s="66" t="s">
        <v>32</v>
      </c>
      <c r="H217" s="66" t="s">
        <v>81</v>
      </c>
      <c r="I217" s="66" t="s">
        <v>35</v>
      </c>
      <c r="J217" s="66" t="s">
        <v>83</v>
      </c>
      <c r="K217" s="74" t="s">
        <v>2</v>
      </c>
      <c r="L217" s="66" t="s">
        <v>90</v>
      </c>
      <c r="M217" s="66" t="s">
        <v>80</v>
      </c>
      <c r="N217" s="66" t="s">
        <v>95</v>
      </c>
      <c r="O217" s="66" t="s">
        <v>21</v>
      </c>
      <c r="P217" s="66" t="s">
        <v>1</v>
      </c>
      <c r="Q217" s="66" t="s">
        <v>34</v>
      </c>
      <c r="R217" s="66" t="s">
        <v>16</v>
      </c>
      <c r="S217" s="66" t="s">
        <v>17</v>
      </c>
      <c r="T217" s="66" t="s">
        <v>18</v>
      </c>
      <c r="U217" s="66" t="s">
        <v>11</v>
      </c>
      <c r="V217" s="66" t="s">
        <v>276</v>
      </c>
      <c r="W217" s="66" t="s">
        <v>103</v>
      </c>
      <c r="X217" s="66" t="s">
        <v>104</v>
      </c>
      <c r="AG217" s="72" t="s">
        <v>113</v>
      </c>
      <c r="AH217" s="8"/>
      <c r="AI217" s="8"/>
      <c r="AJ217" s="8"/>
      <c r="AK217" s="8"/>
      <c r="AL217" s="73"/>
      <c r="AP217" s="6">
        <v>3.9</v>
      </c>
      <c r="AQ217" s="11">
        <f t="shared" si="54"/>
        <v>1.0709264793783622E-6</v>
      </c>
      <c r="AR217" s="11">
        <f t="shared" si="55"/>
        <v>2.0343545611015493E-6</v>
      </c>
      <c r="AS217" s="11">
        <f t="shared" si="66"/>
        <v>3.96548093340922E-6</v>
      </c>
      <c r="AT217" s="11">
        <f t="shared" si="67"/>
        <v>7.3524590163934433E-6</v>
      </c>
      <c r="AU217" s="11">
        <f t="shared" si="68"/>
        <v>1.2920446364290859E-5</v>
      </c>
      <c r="AV217" s="11">
        <f t="shared" si="69"/>
        <v>1.9801857585139315E-5</v>
      </c>
    </row>
    <row r="218" spans="7:48">
      <c r="G218" s="14" t="s">
        <v>50</v>
      </c>
      <c r="H218" s="14" t="s">
        <v>84</v>
      </c>
      <c r="I218" s="14">
        <f>25+273.15</f>
        <v>298.14999999999998</v>
      </c>
      <c r="J218" s="38">
        <v>8.5000000000000006E-2</v>
      </c>
      <c r="K218" s="36">
        <v>8.4600000000000009</v>
      </c>
      <c r="L218" s="21">
        <v>1.21E-2</v>
      </c>
      <c r="M218" s="38">
        <v>1.2E-2</v>
      </c>
      <c r="N218" s="19">
        <f t="shared" ref="N218:N253" si="70">10^(-(1.824*10^6)/(78.54*I218)^(3/2))*SQRT(M218)</f>
        <v>3.3928835724778589E-2</v>
      </c>
      <c r="O218" s="36">
        <v>1.528551784</v>
      </c>
      <c r="P218" s="14">
        <v>82.5</v>
      </c>
      <c r="Q218" s="21">
        <v>0.27300000000000002</v>
      </c>
      <c r="R218" s="21">
        <v>0.74539999999999995</v>
      </c>
      <c r="S218" s="21">
        <v>16060</v>
      </c>
      <c r="T218" s="19">
        <f>R218/S218</f>
        <v>4.6413449564134493E-5</v>
      </c>
      <c r="U218" s="21">
        <v>4.2219999999999999E-5</v>
      </c>
      <c r="V218" s="19">
        <f>U218/($C$3*Q218)</f>
        <v>2.0538116155646034E-5</v>
      </c>
      <c r="W218" s="19">
        <f>T218/(Q218*P218*$C$3)</f>
        <v>2.7367320337407607E-7</v>
      </c>
      <c r="X218" s="19">
        <f>W218*P218</f>
        <v>2.2578039278361277E-5</v>
      </c>
      <c r="AG218" s="72" t="s">
        <v>2</v>
      </c>
      <c r="AH218" s="8" t="s">
        <v>42</v>
      </c>
      <c r="AI218" s="8" t="s">
        <v>43</v>
      </c>
      <c r="AJ218" s="8" t="s">
        <v>122</v>
      </c>
      <c r="AK218" s="8" t="s">
        <v>44</v>
      </c>
      <c r="AL218" s="73" t="s">
        <v>123</v>
      </c>
      <c r="AP218" s="6">
        <v>4</v>
      </c>
      <c r="AQ218" s="11">
        <f t="shared" si="54"/>
        <v>1.0854105138806853E-6</v>
      </c>
      <c r="AR218" s="11">
        <f t="shared" si="55"/>
        <v>2.0628474191718661E-6</v>
      </c>
      <c r="AS218" s="11">
        <f t="shared" si="66"/>
        <v>4.0101010101010095E-6</v>
      </c>
      <c r="AT218" s="11">
        <f t="shared" si="67"/>
        <v>7.4239602731222851E-6</v>
      </c>
      <c r="AU218" s="11">
        <f t="shared" si="68"/>
        <v>1.309461702632203E-5</v>
      </c>
      <c r="AV218" s="11">
        <f t="shared" si="69"/>
        <v>1.9999999999999998E-5</v>
      </c>
    </row>
    <row r="219" spans="7:48">
      <c r="G219" s="14" t="s">
        <v>50</v>
      </c>
      <c r="H219" s="14" t="s">
        <v>84</v>
      </c>
      <c r="I219" s="14">
        <f t="shared" ref="I219:I253" si="71">25+273.15</f>
        <v>298.14999999999998</v>
      </c>
      <c r="J219" s="38">
        <v>0.08</v>
      </c>
      <c r="K219" s="36">
        <v>8.4600000000000009</v>
      </c>
      <c r="L219" s="21">
        <v>1.1390000000000001E-2</v>
      </c>
      <c r="M219" s="38">
        <v>1.0999999999999999E-2</v>
      </c>
      <c r="N219" s="19">
        <f t="shared" si="70"/>
        <v>3.2484387057514684E-2</v>
      </c>
      <c r="O219" s="36">
        <v>3.057103568</v>
      </c>
      <c r="P219" s="14">
        <v>82.5</v>
      </c>
      <c r="Q219" s="21">
        <v>0.27300000000000002</v>
      </c>
      <c r="R219" s="21">
        <v>1.427</v>
      </c>
      <c r="S219" s="21">
        <v>20750</v>
      </c>
      <c r="T219" s="19">
        <f t="shared" ref="T219:T253" si="72">R219/S219</f>
        <v>6.8771084337349397E-5</v>
      </c>
      <c r="U219" s="21">
        <v>6.3670000000000005E-5</v>
      </c>
      <c r="V219" s="19">
        <f t="shared" ref="V219:V253" si="73">U219/($C$3*Q219)</f>
        <v>3.0972568821174395E-5</v>
      </c>
      <c r="W219" s="19">
        <f>T219/(Q219*P219*$C$3)</f>
        <v>4.0550321354814226E-7</v>
      </c>
      <c r="X219" s="19">
        <f t="shared" ref="X219:X253" si="74">W219*P219</f>
        <v>3.345401511772174E-5</v>
      </c>
      <c r="AG219" s="76">
        <v>6.71</v>
      </c>
      <c r="AH219" s="34">
        <f>(AJ202+AJ203+AJ204)/3</f>
        <v>1.1143E-4</v>
      </c>
      <c r="AI219" s="10">
        <f>(AI202+AI203+AI204)/3</f>
        <v>13.988</v>
      </c>
      <c r="AJ219" s="8"/>
      <c r="AK219" s="34">
        <f t="shared" ref="AK219:AK226" si="75">AH219/AI219</f>
        <v>7.9661138118387185E-6</v>
      </c>
      <c r="AL219" s="73"/>
      <c r="AP219" s="6">
        <v>4.0999999999999996</v>
      </c>
      <c r="AQ219" s="11">
        <f t="shared" si="54"/>
        <v>1.0995563339171045E-6</v>
      </c>
      <c r="AR219" s="11">
        <f t="shared" si="55"/>
        <v>2.0907010656197419E-6</v>
      </c>
      <c r="AS219" s="11">
        <f t="shared" si="66"/>
        <v>4.0534864416159374E-6</v>
      </c>
      <c r="AT219" s="11">
        <f t="shared" si="67"/>
        <v>7.4932762836185818E-6</v>
      </c>
      <c r="AU219" s="11">
        <f t="shared" si="68"/>
        <v>1.3264705882352943E-5</v>
      </c>
      <c r="AV219" s="11">
        <f t="shared" si="69"/>
        <v>2.0192192192192187E-5</v>
      </c>
    </row>
    <row r="220" spans="7:48">
      <c r="G220" s="14" t="s">
        <v>50</v>
      </c>
      <c r="H220" s="14" t="s">
        <v>84</v>
      </c>
      <c r="I220" s="14">
        <f t="shared" si="71"/>
        <v>298.14999999999998</v>
      </c>
      <c r="J220" s="38">
        <v>7.4999999999999997E-2</v>
      </c>
      <c r="K220" s="36">
        <v>8.4600000000000009</v>
      </c>
      <c r="L220" s="21">
        <v>1.068E-2</v>
      </c>
      <c r="M220" s="38">
        <v>1.0999999999999999E-2</v>
      </c>
      <c r="N220" s="19">
        <f t="shared" si="70"/>
        <v>3.2484387057514684E-2</v>
      </c>
      <c r="O220" s="36">
        <v>4.5856553519999999</v>
      </c>
      <c r="P220" s="14">
        <v>82.5</v>
      </c>
      <c r="Q220" s="21">
        <v>0.27300000000000002</v>
      </c>
      <c r="R220" s="21">
        <v>2.984</v>
      </c>
      <c r="S220" s="21">
        <v>37960</v>
      </c>
      <c r="T220" s="19">
        <f t="shared" si="72"/>
        <v>7.8609062170706008E-5</v>
      </c>
      <c r="U220" s="21">
        <v>7.4750000000000001E-5</v>
      </c>
      <c r="V220" s="19">
        <f t="shared" si="73"/>
        <v>3.6362486561689744E-5</v>
      </c>
      <c r="W220" s="19">
        <f t="shared" ref="W220:W253" si="76">T220/(Q220*P220*$C$3)</f>
        <v>4.635120651560687E-7</v>
      </c>
      <c r="X220" s="19">
        <f t="shared" si="74"/>
        <v>3.823974537537567E-5</v>
      </c>
      <c r="AG220" s="76">
        <v>7</v>
      </c>
      <c r="AH220" s="34">
        <f>AJ205</f>
        <v>1.1680000000000001E-4</v>
      </c>
      <c r="AI220" s="10">
        <f>AI205</f>
        <v>9.8130000000000006</v>
      </c>
      <c r="AJ220" s="8"/>
      <c r="AK220" s="34">
        <f t="shared" si="75"/>
        <v>1.1902578212575156E-5</v>
      </c>
      <c r="AL220" s="73"/>
      <c r="AP220" s="6">
        <v>4.2</v>
      </c>
      <c r="AQ220" s="11">
        <f t="shared" si="54"/>
        <v>1.113375649163301E-6</v>
      </c>
      <c r="AR220" s="11">
        <f t="shared" si="55"/>
        <v>2.117936772046589E-6</v>
      </c>
      <c r="AS220" s="11">
        <f t="shared" si="66"/>
        <v>4.0956877729257635E-6</v>
      </c>
      <c r="AT220" s="11">
        <f t="shared" si="67"/>
        <v>7.560505719446117E-6</v>
      </c>
      <c r="AU220" s="11">
        <f t="shared" si="68"/>
        <v>1.3430854760250174E-5</v>
      </c>
      <c r="AV220" s="11">
        <f t="shared" si="69"/>
        <v>2.0378698224852072E-5</v>
      </c>
    </row>
    <row r="221" spans="7:48" ht="15.75" thickBot="1">
      <c r="G221" s="55" t="s">
        <v>50</v>
      </c>
      <c r="H221" s="55" t="s">
        <v>84</v>
      </c>
      <c r="I221" s="55">
        <f t="shared" si="71"/>
        <v>298.14999999999998</v>
      </c>
      <c r="J221" s="65">
        <v>7.0000000000000007E-2</v>
      </c>
      <c r="K221" s="57">
        <v>8.4600000000000009</v>
      </c>
      <c r="L221" s="56">
        <v>9.9640000000000006E-3</v>
      </c>
      <c r="M221" s="65">
        <v>0.01</v>
      </c>
      <c r="N221" s="19">
        <f t="shared" si="70"/>
        <v>3.0972647793913961E-2</v>
      </c>
      <c r="O221" s="57">
        <v>6.1142071360000001</v>
      </c>
      <c r="P221" s="55">
        <v>82.5</v>
      </c>
      <c r="Q221" s="56">
        <v>0.27300000000000002</v>
      </c>
      <c r="R221" s="56">
        <v>5.984</v>
      </c>
      <c r="S221" s="56">
        <v>67620</v>
      </c>
      <c r="T221" s="60">
        <f t="shared" si="72"/>
        <v>8.8494528246081043E-5</v>
      </c>
      <c r="U221" s="56">
        <v>8.5309999999999995E-5</v>
      </c>
      <c r="V221" s="19">
        <f t="shared" si="73"/>
        <v>4.1499447873949858E-5</v>
      </c>
      <c r="W221" s="19">
        <f t="shared" si="76"/>
        <v>5.2180092739534945E-7</v>
      </c>
      <c r="X221" s="19">
        <f t="shared" si="74"/>
        <v>4.304857651011633E-5</v>
      </c>
      <c r="AG221" s="76">
        <v>7.5</v>
      </c>
      <c r="AH221" s="34">
        <f>AJ206</f>
        <v>2.5159999999999999E-4</v>
      </c>
      <c r="AI221" s="10">
        <f>AI205</f>
        <v>9.8130000000000006</v>
      </c>
      <c r="AJ221" s="8"/>
      <c r="AK221" s="34">
        <f t="shared" si="75"/>
        <v>2.5639457862019769E-5</v>
      </c>
      <c r="AL221" s="73"/>
      <c r="AP221" s="6">
        <v>4.3</v>
      </c>
      <c r="AQ221" s="11">
        <f t="shared" si="54"/>
        <v>1.1268796349115802E-6</v>
      </c>
      <c r="AR221" s="11">
        <f t="shared" si="55"/>
        <v>2.1445748765770705E-6</v>
      </c>
      <c r="AS221" s="11">
        <f t="shared" si="66"/>
        <v>4.136752827140549E-6</v>
      </c>
      <c r="AT221" s="11">
        <f t="shared" si="67"/>
        <v>7.6257413997627528E-6</v>
      </c>
      <c r="AU221" s="11">
        <f t="shared" si="68"/>
        <v>1.3593198992443325E-5</v>
      </c>
      <c r="AV221" s="11">
        <f t="shared" si="69"/>
        <v>2.0559766763848396E-5</v>
      </c>
    </row>
    <row r="222" spans="7:48">
      <c r="G222" s="40" t="s">
        <v>51</v>
      </c>
      <c r="H222" s="40" t="s">
        <v>84</v>
      </c>
      <c r="I222" s="40">
        <f t="shared" si="71"/>
        <v>298.14999999999998</v>
      </c>
      <c r="J222" s="38">
        <v>8.5000000000000006E-2</v>
      </c>
      <c r="K222" s="42">
        <v>8.98</v>
      </c>
      <c r="L222" s="41">
        <v>3.015E-2</v>
      </c>
      <c r="M222" s="61">
        <v>0.03</v>
      </c>
      <c r="N222" s="19">
        <f t="shared" si="70"/>
        <v>5.3646199623995083E-2</v>
      </c>
      <c r="O222" s="42">
        <v>1.528551784</v>
      </c>
      <c r="P222" s="40">
        <v>82.5</v>
      </c>
      <c r="Q222" s="41">
        <v>0.27300000000000002</v>
      </c>
      <c r="R222" s="41">
        <v>1.038</v>
      </c>
      <c r="S222" s="41">
        <v>12980</v>
      </c>
      <c r="T222" s="45">
        <f t="shared" si="72"/>
        <v>7.9969183359013865E-5</v>
      </c>
      <c r="U222" s="41">
        <v>7.4530000000000006E-5</v>
      </c>
      <c r="V222" s="19">
        <f t="shared" si="73"/>
        <v>3.6255466534350998E-5</v>
      </c>
      <c r="W222" s="19">
        <f t="shared" si="76"/>
        <v>4.7153191125836753E-7</v>
      </c>
      <c r="X222" s="19">
        <f t="shared" si="74"/>
        <v>3.8901382678815318E-5</v>
      </c>
      <c r="AG222" s="76">
        <v>8.01</v>
      </c>
      <c r="AH222" s="34">
        <f>AJ207</f>
        <v>6.3150000000000001E-4</v>
      </c>
      <c r="AI222" s="10">
        <f>AI207</f>
        <v>1.978</v>
      </c>
      <c r="AJ222" s="8"/>
      <c r="AK222" s="34">
        <f t="shared" si="75"/>
        <v>3.1926188068756318E-4</v>
      </c>
      <c r="AL222" s="73"/>
      <c r="AP222" s="6">
        <v>4.4000000000000004</v>
      </c>
      <c r="AQ222" s="11">
        <f t="shared" si="54"/>
        <v>1.1400789622109419E-6</v>
      </c>
      <c r="AR222" s="11">
        <f t="shared" si="55"/>
        <v>2.1706348345089533E-6</v>
      </c>
      <c r="AS222" s="11">
        <f t="shared" si="66"/>
        <v>4.1767268862911799E-6</v>
      </c>
      <c r="AT222" s="11">
        <f t="shared" si="67"/>
        <v>7.6890707188778502E-6</v>
      </c>
      <c r="AU222" s="11">
        <f t="shared" si="68"/>
        <v>1.3751867783563507E-5</v>
      </c>
      <c r="AV222" s="11">
        <f t="shared" si="69"/>
        <v>2.0735632183908044E-5</v>
      </c>
    </row>
    <row r="223" spans="7:48">
      <c r="G223" s="14" t="s">
        <v>51</v>
      </c>
      <c r="H223" s="14" t="s">
        <v>84</v>
      </c>
      <c r="I223" s="14">
        <f t="shared" si="71"/>
        <v>298.14999999999998</v>
      </c>
      <c r="J223" s="38">
        <v>0.08</v>
      </c>
      <c r="K223" s="36">
        <v>8.98</v>
      </c>
      <c r="L223" s="21">
        <v>2.8369999999999999E-2</v>
      </c>
      <c r="M223" s="38">
        <v>2.9000000000000001E-2</v>
      </c>
      <c r="N223" s="19">
        <f t="shared" si="70"/>
        <v>5.2744518605831882E-2</v>
      </c>
      <c r="O223" s="36">
        <v>3.057103568</v>
      </c>
      <c r="P223" s="14">
        <v>82.5</v>
      </c>
      <c r="Q223" s="21">
        <v>0.27300000000000002</v>
      </c>
      <c r="R223" s="21">
        <v>9.9949999999999992</v>
      </c>
      <c r="S223" s="21">
        <v>87430</v>
      </c>
      <c r="T223" s="19">
        <f t="shared" si="72"/>
        <v>1.1432002745053184E-4</v>
      </c>
      <c r="U223" s="21">
        <v>1.131E-4</v>
      </c>
      <c r="V223" s="19">
        <f t="shared" si="73"/>
        <v>5.5018023145513176E-5</v>
      </c>
      <c r="W223" s="19">
        <f t="shared" si="76"/>
        <v>6.740789235880356E-7</v>
      </c>
      <c r="X223" s="19">
        <f t="shared" si="74"/>
        <v>5.5611511196012936E-5</v>
      </c>
      <c r="AG223" s="76">
        <f>(AH208+AH209)/2</f>
        <v>8.48</v>
      </c>
      <c r="AH223" s="34">
        <f>(AJ208+AJ209)/2</f>
        <v>1.7095000000000001E-3</v>
      </c>
      <c r="AI223" s="10">
        <f>(AI208+AI209)/2</f>
        <v>2.2759999999999998</v>
      </c>
      <c r="AJ223" s="34">
        <f>(SQRT((AJ208-AH223)^2+(AJ209-AH223)^2))/2</f>
        <v>3.1430896423742039E-4</v>
      </c>
      <c r="AK223" s="34">
        <f t="shared" si="75"/>
        <v>7.5109841827768024E-4</v>
      </c>
      <c r="AL223" s="77">
        <f>(SQRT((AK208-AK223)^2+(AK209-AK223)^2))/2</f>
        <v>2.368081281973261E-4</v>
      </c>
      <c r="AP223" s="6">
        <v>4.5</v>
      </c>
      <c r="AQ223" s="11">
        <f t="shared" si="54"/>
        <v>1.1529838259899612E-6</v>
      </c>
      <c r="AR223" s="11">
        <f t="shared" si="55"/>
        <v>2.1961352657004831E-6</v>
      </c>
      <c r="AS223" s="11">
        <f t="shared" si="66"/>
        <v>4.2156528578919762E-6</v>
      </c>
      <c r="AT223" s="11">
        <f t="shared" si="67"/>
        <v>7.7505760368663595E-6</v>
      </c>
      <c r="AU223" s="11">
        <f t="shared" si="68"/>
        <v>1.3906984553391538E-5</v>
      </c>
      <c r="AV223" s="11">
        <f t="shared" si="69"/>
        <v>2.0906515580736541E-5</v>
      </c>
    </row>
    <row r="224" spans="7:48">
      <c r="G224" s="14" t="s">
        <v>51</v>
      </c>
      <c r="H224" s="14" t="s">
        <v>84</v>
      </c>
      <c r="I224" s="14">
        <f t="shared" si="71"/>
        <v>298.14999999999998</v>
      </c>
      <c r="J224" s="38">
        <v>7.4999999999999997E-2</v>
      </c>
      <c r="K224" s="36">
        <v>8.98</v>
      </c>
      <c r="L224" s="21">
        <v>2.6599999999999999E-2</v>
      </c>
      <c r="M224" s="38">
        <v>2.7E-2</v>
      </c>
      <c r="N224" s="19">
        <f t="shared" si="70"/>
        <v>5.089325358716789E-2</v>
      </c>
      <c r="O224" s="36">
        <v>4.5856553519999999</v>
      </c>
      <c r="P224" s="14">
        <v>82.5</v>
      </c>
      <c r="Q224" s="21">
        <v>0.27300000000000002</v>
      </c>
      <c r="R224" s="21">
        <v>20.82</v>
      </c>
      <c r="S224" s="21">
        <v>147700</v>
      </c>
      <c r="T224" s="19">
        <f t="shared" si="72"/>
        <v>1.4096140825998647E-4</v>
      </c>
      <c r="U224" s="21">
        <v>1.4009999999999999E-4</v>
      </c>
      <c r="V224" s="19">
        <f t="shared" si="73"/>
        <v>6.8152299227996433E-5</v>
      </c>
      <c r="W224" s="19">
        <f t="shared" si="76"/>
        <v>8.3116770058913473E-7</v>
      </c>
      <c r="X224" s="19">
        <f t="shared" si="74"/>
        <v>6.8571335298603611E-5</v>
      </c>
      <c r="AG224" s="76">
        <v>8.98</v>
      </c>
      <c r="AH224" s="34">
        <f>AJ210</f>
        <v>3.235E-3</v>
      </c>
      <c r="AI224" s="10">
        <f>AI210</f>
        <v>5.91</v>
      </c>
      <c r="AJ224" s="8"/>
      <c r="AK224" s="34">
        <f>AH224/AI224</f>
        <v>5.4737732656514378E-4</v>
      </c>
      <c r="AL224" s="73"/>
      <c r="AP224" s="6">
        <v>4.5999999999999996</v>
      </c>
      <c r="AQ224" s="11">
        <f t="shared" si="54"/>
        <v>1.1656039713182572E-6</v>
      </c>
      <c r="AR224" s="11">
        <f t="shared" si="55"/>
        <v>2.2210939989378652E-6</v>
      </c>
      <c r="AS224" s="11">
        <f t="shared" si="66"/>
        <v>4.2535714285714283E-6</v>
      </c>
      <c r="AT224" s="11">
        <f t="shared" si="67"/>
        <v>7.8103350369108459E-6</v>
      </c>
      <c r="AU224" s="11">
        <f t="shared" si="68"/>
        <v>1.4058667257029005E-5</v>
      </c>
      <c r="AV224" s="11">
        <f t="shared" si="69"/>
        <v>2.1072625698324018E-5</v>
      </c>
    </row>
    <row r="225" spans="7:48" ht="15.75" thickBot="1">
      <c r="G225" s="55" t="s">
        <v>51</v>
      </c>
      <c r="H225" s="55" t="s">
        <v>84</v>
      </c>
      <c r="I225" s="55">
        <f t="shared" si="71"/>
        <v>298.14999999999998</v>
      </c>
      <c r="J225" s="65">
        <v>7.0000000000000007E-2</v>
      </c>
      <c r="K225" s="57">
        <v>8.98</v>
      </c>
      <c r="L225" s="56">
        <v>2.4830000000000001E-2</v>
      </c>
      <c r="M225" s="65">
        <v>2.5000000000000001E-2</v>
      </c>
      <c r="N225" s="19">
        <f t="shared" si="70"/>
        <v>4.8972056097478775E-2</v>
      </c>
      <c r="O225" s="57">
        <v>6.1142071360000001</v>
      </c>
      <c r="P225" s="55">
        <v>82.5</v>
      </c>
      <c r="Q225" s="56">
        <v>0.27300000000000002</v>
      </c>
      <c r="R225" s="56">
        <v>189.6</v>
      </c>
      <c r="S225" s="56">
        <v>1117000</v>
      </c>
      <c r="T225" s="60">
        <f t="shared" si="72"/>
        <v>1.6974037600716205E-4</v>
      </c>
      <c r="U225" s="56">
        <v>1.695E-4</v>
      </c>
      <c r="V225" s="19">
        <f t="shared" si="73"/>
        <v>8.245406651781153E-5</v>
      </c>
      <c r="W225" s="19">
        <f t="shared" si="76"/>
        <v>1.00086058847254E-6</v>
      </c>
      <c r="X225" s="19">
        <f t="shared" si="74"/>
        <v>8.2570998548984551E-5</v>
      </c>
      <c r="AG225" s="76">
        <v>9.23</v>
      </c>
      <c r="AH225" s="34">
        <f>AJ211</f>
        <v>3.6080000000000001E-3</v>
      </c>
      <c r="AI225" s="10">
        <f>AI211</f>
        <v>8.9320000000000004</v>
      </c>
      <c r="AJ225" s="8"/>
      <c r="AK225" s="34">
        <f t="shared" si="75"/>
        <v>4.0394088669950737E-4</v>
      </c>
      <c r="AL225" s="73"/>
      <c r="AP225" s="6">
        <v>4.7</v>
      </c>
      <c r="AQ225" s="11">
        <f t="shared" si="54"/>
        <v>1.1779487179487182E-6</v>
      </c>
      <c r="AR225" s="11">
        <f t="shared" si="55"/>
        <v>2.2455281135049923E-6</v>
      </c>
      <c r="AS225" s="11">
        <f t="shared" si="66"/>
        <v>4.2905212059274397E-6</v>
      </c>
      <c r="AT225" s="11">
        <f t="shared" si="67"/>
        <v>7.8684210526315796E-6</v>
      </c>
      <c r="AU225" s="11">
        <f t="shared" si="68"/>
        <v>1.4207028684037662E-5</v>
      </c>
      <c r="AV225" s="11">
        <f t="shared" si="69"/>
        <v>2.1234159779614327E-5</v>
      </c>
    </row>
    <row r="226" spans="7:48">
      <c r="G226" s="40" t="s">
        <v>52</v>
      </c>
      <c r="H226" s="40" t="s">
        <v>84</v>
      </c>
      <c r="I226" s="40">
        <f t="shared" si="71"/>
        <v>298.14999999999998</v>
      </c>
      <c r="J226" s="38">
        <v>8.5000000000000006E-2</v>
      </c>
      <c r="K226" s="42">
        <v>9.23</v>
      </c>
      <c r="L226" s="41">
        <v>4.2009999999999999E-2</v>
      </c>
      <c r="M226" s="61">
        <v>4.2000000000000003E-2</v>
      </c>
      <c r="N226" s="19">
        <f t="shared" si="70"/>
        <v>6.3475039407128703E-2</v>
      </c>
      <c r="O226" s="42">
        <v>1.528551784</v>
      </c>
      <c r="P226" s="40">
        <v>82.5</v>
      </c>
      <c r="Q226" s="41">
        <v>0.27300000000000002</v>
      </c>
      <c r="R226" s="41">
        <v>4.8010000000000002</v>
      </c>
      <c r="S226" s="41">
        <v>65660</v>
      </c>
      <c r="T226" s="45">
        <f t="shared" si="72"/>
        <v>7.3119098385622907E-5</v>
      </c>
      <c r="U226" s="41">
        <v>7.2089999999999996E-5</v>
      </c>
      <c r="V226" s="19">
        <f t="shared" si="73"/>
        <v>3.506851714023028E-5</v>
      </c>
      <c r="W226" s="19">
        <f t="shared" si="76"/>
        <v>4.311409315820547E-7</v>
      </c>
      <c r="X226" s="19">
        <f t="shared" si="74"/>
        <v>3.5569126855519515E-5</v>
      </c>
      <c r="AG226" s="132">
        <v>9.4</v>
      </c>
      <c r="AH226" s="2">
        <f>AJ212</f>
        <v>3.5760000000000002E-3</v>
      </c>
      <c r="AI226" s="1">
        <f>AI212</f>
        <v>10.99</v>
      </c>
      <c r="AK226" s="34">
        <f t="shared" si="75"/>
        <v>3.2538671519563242E-4</v>
      </c>
      <c r="AP226" s="6">
        <v>4.8</v>
      </c>
      <c r="AQ226" s="11">
        <f t="shared" si="54"/>
        <v>1.1900269832703723E-6</v>
      </c>
      <c r="AR226" s="11">
        <f t="shared" si="55"/>
        <v>2.2694539781591263E-6</v>
      </c>
      <c r="AS226" s="11">
        <f t="shared" si="66"/>
        <v>4.3265388496468212E-6</v>
      </c>
      <c r="AT226" s="11">
        <f t="shared" si="67"/>
        <v>7.9249033683048053E-6</v>
      </c>
      <c r="AU226" s="11">
        <f t="shared" si="68"/>
        <v>1.4352176738141652E-5</v>
      </c>
      <c r="AV226" s="11">
        <f t="shared" si="69"/>
        <v>2.1391304347826088E-5</v>
      </c>
    </row>
    <row r="227" spans="7:48">
      <c r="G227" s="14" t="s">
        <v>52</v>
      </c>
      <c r="H227" s="14" t="s">
        <v>84</v>
      </c>
      <c r="I227" s="14">
        <f t="shared" si="71"/>
        <v>298.14999999999998</v>
      </c>
      <c r="J227" s="38">
        <v>0.08</v>
      </c>
      <c r="K227" s="36">
        <v>9.23</v>
      </c>
      <c r="L227" s="21">
        <v>3.9539999999999999E-2</v>
      </c>
      <c r="M227" s="38">
        <v>0.04</v>
      </c>
      <c r="N227" s="19">
        <f t="shared" si="70"/>
        <v>6.1945295587827923E-2</v>
      </c>
      <c r="O227" s="36">
        <v>3.057103568</v>
      </c>
      <c r="P227" s="14">
        <v>82.5</v>
      </c>
      <c r="Q227" s="21">
        <v>0.27300000000000002</v>
      </c>
      <c r="R227" s="21">
        <v>10.84</v>
      </c>
      <c r="S227" s="21">
        <v>98810</v>
      </c>
      <c r="T227" s="19">
        <f t="shared" si="72"/>
        <v>1.0970549539520291E-4</v>
      </c>
      <c r="U227" s="21">
        <v>1.087E-4</v>
      </c>
      <c r="V227" s="19">
        <f t="shared" si="73"/>
        <v>5.2877622598738131E-5</v>
      </c>
      <c r="W227" s="19">
        <f t="shared" si="76"/>
        <v>6.4686970338325044E-7</v>
      </c>
      <c r="X227" s="19">
        <f t="shared" si="74"/>
        <v>5.336675052911816E-5</v>
      </c>
      <c r="AG227" s="76">
        <f>9.51</f>
        <v>9.51</v>
      </c>
      <c r="AH227" s="34">
        <f>(AJ214)</f>
        <v>3.042E-3</v>
      </c>
      <c r="AI227" s="10">
        <f>(AI212+AI213+AI214)/3</f>
        <v>9.0983333333333345</v>
      </c>
      <c r="AJ227" s="8"/>
      <c r="AK227" s="34">
        <f>AH227/AI227</f>
        <v>3.3434694999084078E-4</v>
      </c>
      <c r="AL227" s="73"/>
      <c r="AP227" s="6">
        <v>4.9000000000000004</v>
      </c>
      <c r="AQ227" s="11">
        <f t="shared" si="54"/>
        <v>1.2018473037907104E-6</v>
      </c>
      <c r="AR227" s="11">
        <f t="shared" si="55"/>
        <v>2.2928872876994343E-6</v>
      </c>
      <c r="AS227" s="11">
        <f t="shared" si="66"/>
        <v>4.361659192825112E-6</v>
      </c>
      <c r="AT227" s="11">
        <f t="shared" si="67"/>
        <v>7.9798474945533776E-6</v>
      </c>
      <c r="AU227" s="11">
        <f t="shared" si="68"/>
        <v>1.4494214698950078E-5</v>
      </c>
      <c r="AV227" s="11">
        <f t="shared" si="69"/>
        <v>2.1544235924932974E-5</v>
      </c>
    </row>
    <row r="228" spans="7:48" ht="15.75" thickBot="1">
      <c r="G228" s="14" t="s">
        <v>52</v>
      </c>
      <c r="H228" s="14" t="s">
        <v>84</v>
      </c>
      <c r="I228" s="14">
        <f t="shared" si="71"/>
        <v>298.14999999999998</v>
      </c>
      <c r="J228" s="38">
        <v>7.4999999999999997E-2</v>
      </c>
      <c r="K228" s="36">
        <v>9.23</v>
      </c>
      <c r="L228" s="21">
        <v>3.7069999999999999E-2</v>
      </c>
      <c r="M228" s="38">
        <v>3.6999999999999998E-2</v>
      </c>
      <c r="N228" s="19">
        <f t="shared" si="70"/>
        <v>5.9577077572281277E-2</v>
      </c>
      <c r="O228" s="36">
        <v>4.5856553519999999</v>
      </c>
      <c r="P228" s="14">
        <v>82.5</v>
      </c>
      <c r="Q228" s="21">
        <v>0.27300000000000002</v>
      </c>
      <c r="R228" s="21">
        <v>18.53</v>
      </c>
      <c r="S228" s="21">
        <v>127100</v>
      </c>
      <c r="T228" s="19">
        <f t="shared" si="72"/>
        <v>1.4579071597167585E-4</v>
      </c>
      <c r="U228" s="21">
        <v>1.4469999999999999E-4</v>
      </c>
      <c r="V228" s="19">
        <f t="shared" si="73"/>
        <v>7.0389990708715795E-5</v>
      </c>
      <c r="W228" s="19">
        <f t="shared" si="76"/>
        <v>8.5964332832093892E-7</v>
      </c>
      <c r="X228" s="19">
        <f t="shared" si="74"/>
        <v>7.0920574586477456E-5</v>
      </c>
      <c r="AG228" s="78">
        <v>9.6999999999999993</v>
      </c>
      <c r="AH228" s="29">
        <f>AJ215</f>
        <v>2.8349999999999998E-3</v>
      </c>
      <c r="AI228" s="79">
        <f>AI215</f>
        <v>12.47</v>
      </c>
      <c r="AJ228" s="28"/>
      <c r="AK228" s="29">
        <f>AH228/AI228</f>
        <v>2.2734562951082595E-4</v>
      </c>
      <c r="AL228" s="30"/>
      <c r="AP228" s="6">
        <v>5</v>
      </c>
      <c r="AQ228" s="11">
        <f t="shared" si="54"/>
        <v>1.2134178552562071E-6</v>
      </c>
      <c r="AR228" s="11">
        <f t="shared" si="55"/>
        <v>2.3158430973000507E-6</v>
      </c>
      <c r="AS228" s="11">
        <f t="shared" si="66"/>
        <v>4.3959153543307081E-6</v>
      </c>
      <c r="AT228" s="11">
        <f t="shared" si="67"/>
        <v>8.0333154218162286E-6</v>
      </c>
      <c r="AU228" s="11">
        <f t="shared" si="68"/>
        <v>1.4633241467034133E-5</v>
      </c>
      <c r="AV228" s="11">
        <f t="shared" si="69"/>
        <v>2.1693121693121689E-5</v>
      </c>
    </row>
    <row r="229" spans="7:48" ht="15.75" thickBot="1">
      <c r="G229" s="55" t="s">
        <v>52</v>
      </c>
      <c r="H229" s="55" t="s">
        <v>84</v>
      </c>
      <c r="I229" s="55">
        <f t="shared" si="71"/>
        <v>298.14999999999998</v>
      </c>
      <c r="J229" s="65">
        <v>7.0000000000000007E-2</v>
      </c>
      <c r="K229" s="57">
        <v>9.23</v>
      </c>
      <c r="L229" s="56">
        <v>3.4599999999999999E-2</v>
      </c>
      <c r="M229" s="65">
        <v>3.5000000000000003E-2</v>
      </c>
      <c r="N229" s="19">
        <f t="shared" si="70"/>
        <v>5.7944518203022898E-2</v>
      </c>
      <c r="O229" s="57">
        <v>6.1142071360000001</v>
      </c>
      <c r="P229" s="55">
        <v>82.5</v>
      </c>
      <c r="Q229" s="56">
        <v>0.27300000000000002</v>
      </c>
      <c r="R229" s="56">
        <v>20.82</v>
      </c>
      <c r="S229" s="56">
        <v>117800</v>
      </c>
      <c r="T229" s="60">
        <f t="shared" si="72"/>
        <v>1.7674023769100169E-4</v>
      </c>
      <c r="U229" s="56">
        <v>1.7540000000000001E-4</v>
      </c>
      <c r="V229" s="19">
        <f t="shared" si="73"/>
        <v>8.5324149069168981E-5</v>
      </c>
      <c r="W229" s="19">
        <f t="shared" si="76"/>
        <v>1.0421347145756807E-6</v>
      </c>
      <c r="X229" s="19">
        <f t="shared" si="74"/>
        <v>8.5976113952493659E-5</v>
      </c>
      <c r="AP229" s="6">
        <v>5.0999999999999996</v>
      </c>
      <c r="AQ229" s="11">
        <f t="shared" si="54"/>
        <v>1.2247464715107162E-6</v>
      </c>
      <c r="AR229" s="11">
        <f t="shared" si="55"/>
        <v>2.3383358547655068E-6</v>
      </c>
      <c r="AS229" s="11">
        <f t="shared" si="66"/>
        <v>4.429338842975207E-6</v>
      </c>
      <c r="AT229" s="11">
        <f t="shared" si="67"/>
        <v>8.085365853658537E-6</v>
      </c>
      <c r="AU229" s="11">
        <f t="shared" si="68"/>
        <v>1.4769351793580869E-5</v>
      </c>
      <c r="AV229" s="11">
        <f t="shared" si="69"/>
        <v>2.1838120104438639E-5</v>
      </c>
    </row>
    <row r="230" spans="7:48">
      <c r="G230" s="40" t="s">
        <v>53</v>
      </c>
      <c r="H230" s="40" t="s">
        <v>84</v>
      </c>
      <c r="I230" s="40">
        <f t="shared" si="71"/>
        <v>298.14999999999998</v>
      </c>
      <c r="J230" s="38">
        <v>8.5000000000000006E-2</v>
      </c>
      <c r="K230" s="42">
        <v>9.4</v>
      </c>
      <c r="L230" s="41">
        <v>5.024E-2</v>
      </c>
      <c r="M230" s="61">
        <v>5.0999999999999997E-2</v>
      </c>
      <c r="N230" s="19">
        <f t="shared" si="70"/>
        <v>6.9946086723746026E-2</v>
      </c>
      <c r="O230" s="42">
        <v>1.528551784</v>
      </c>
      <c r="P230" s="40">
        <v>82.5</v>
      </c>
      <c r="Q230" s="41">
        <v>0.27300000000000002</v>
      </c>
      <c r="R230" s="41">
        <v>2.5310000000000001</v>
      </c>
      <c r="S230" s="41">
        <v>38180</v>
      </c>
      <c r="T230" s="45">
        <f t="shared" si="72"/>
        <v>6.6291251964379258E-5</v>
      </c>
      <c r="U230" s="41">
        <v>6.5149999999999998E-5</v>
      </c>
      <c r="V230" s="19">
        <f t="shared" si="73"/>
        <v>3.1692521732362365E-5</v>
      </c>
      <c r="W230" s="19">
        <f t="shared" si="76"/>
        <v>3.9088107975471045E-7</v>
      </c>
      <c r="X230" s="19">
        <f t="shared" si="74"/>
        <v>3.2247689079763612E-5</v>
      </c>
      <c r="AP230" s="6">
        <v>5.2</v>
      </c>
      <c r="AQ230" s="11">
        <f t="shared" si="54"/>
        <v>1.2358406621831353E-6</v>
      </c>
      <c r="AR230" s="11">
        <f t="shared" si="55"/>
        <v>2.3603794308537194E-6</v>
      </c>
      <c r="AS230" s="11">
        <f t="shared" si="66"/>
        <v>4.461959654178675E-6</v>
      </c>
      <c r="AT230" s="11">
        <f t="shared" si="67"/>
        <v>8.1360544217687083E-6</v>
      </c>
      <c r="AU230" s="11">
        <f t="shared" si="68"/>
        <v>1.4902636495744241E-5</v>
      </c>
      <c r="AV230" s="11">
        <f t="shared" si="69"/>
        <v>2.1979381443298968E-5</v>
      </c>
    </row>
    <row r="231" spans="7:48" ht="15.75" thickBot="1">
      <c r="G231" s="14" t="s">
        <v>53</v>
      </c>
      <c r="H231" s="14" t="s">
        <v>84</v>
      </c>
      <c r="I231" s="14">
        <f t="shared" si="71"/>
        <v>298.14999999999998</v>
      </c>
      <c r="J231" s="38">
        <v>0.08</v>
      </c>
      <c r="K231" s="36">
        <v>9.4</v>
      </c>
      <c r="L231" s="21">
        <v>4.7289999999999999E-2</v>
      </c>
      <c r="M231" s="61">
        <v>4.8000000000000001E-2</v>
      </c>
      <c r="N231" s="19">
        <f t="shared" si="70"/>
        <v>6.7857671449557178E-2</v>
      </c>
      <c r="O231" s="36">
        <v>3.057103568</v>
      </c>
      <c r="P231" s="14">
        <v>82.5</v>
      </c>
      <c r="Q231" s="21">
        <v>0.27300000000000002</v>
      </c>
      <c r="R231" s="21">
        <v>5.452</v>
      </c>
      <c r="S231" s="21">
        <v>51830</v>
      </c>
      <c r="T231" s="19">
        <f t="shared" si="72"/>
        <v>1.0519004437584411E-4</v>
      </c>
      <c r="U231" s="21">
        <v>1.039E-4</v>
      </c>
      <c r="V231" s="19">
        <f t="shared" si="73"/>
        <v>5.0542640184074444E-5</v>
      </c>
      <c r="W231" s="19">
        <f t="shared" si="76"/>
        <v>6.2024470660426544E-7</v>
      </c>
      <c r="X231" s="19">
        <f t="shared" si="74"/>
        <v>5.1170188294851899E-5</v>
      </c>
      <c r="AP231" s="6">
        <v>5.3</v>
      </c>
      <c r="AQ231" s="11">
        <f t="shared" si="54"/>
        <v>1.2467076292882744E-6</v>
      </c>
      <c r="AR231" s="11">
        <f t="shared" si="55"/>
        <v>2.3819871478002965E-6</v>
      </c>
      <c r="AS231" s="11">
        <f t="shared" si="66"/>
        <v>4.4938063597532028E-6</v>
      </c>
      <c r="AT231" s="11">
        <f t="shared" si="67"/>
        <v>8.1854338842975213E-6</v>
      </c>
      <c r="AU231" s="11">
        <f t="shared" si="68"/>
        <v>1.5033182658722007E-5</v>
      </c>
      <c r="AV231" s="11">
        <f t="shared" si="69"/>
        <v>2.2117048346055978E-5</v>
      </c>
    </row>
    <row r="232" spans="7:48">
      <c r="G232" s="14" t="s">
        <v>53</v>
      </c>
      <c r="H232" s="14" t="s">
        <v>84</v>
      </c>
      <c r="I232" s="14">
        <f t="shared" si="71"/>
        <v>298.14999999999998</v>
      </c>
      <c r="J232" s="38">
        <v>7.4999999999999997E-2</v>
      </c>
      <c r="K232" s="36">
        <v>9.4</v>
      </c>
      <c r="L232" s="21">
        <v>4.4330000000000001E-2</v>
      </c>
      <c r="M232" s="61">
        <v>4.4999999999999998E-2</v>
      </c>
      <c r="N232" s="19">
        <f t="shared" si="70"/>
        <v>6.5702907859137363E-2</v>
      </c>
      <c r="O232" s="36">
        <v>4.5856553519999999</v>
      </c>
      <c r="P232" s="14">
        <v>82.5</v>
      </c>
      <c r="Q232" s="21">
        <v>0.27300000000000002</v>
      </c>
      <c r="R232" s="21">
        <v>10.99</v>
      </c>
      <c r="S232" s="21">
        <v>78650</v>
      </c>
      <c r="T232" s="19">
        <f t="shared" si="72"/>
        <v>1.3973299427844882E-4</v>
      </c>
      <c r="U232" s="21">
        <v>1.3850000000000001E-4</v>
      </c>
      <c r="V232" s="19">
        <f t="shared" si="73"/>
        <v>6.7373971756441869E-5</v>
      </c>
      <c r="W232" s="19">
        <f t="shared" si="76"/>
        <v>8.2392445552646448E-7</v>
      </c>
      <c r="X232" s="19">
        <f t="shared" si="74"/>
        <v>6.7973767580933325E-5</v>
      </c>
      <c r="AJ232" s="22" t="s">
        <v>114</v>
      </c>
      <c r="AK232" s="25" t="s">
        <v>115</v>
      </c>
      <c r="AL232" s="26" t="s">
        <v>133</v>
      </c>
      <c r="AM232" s="9" t="s">
        <v>134</v>
      </c>
      <c r="AP232" s="6">
        <v>5.4</v>
      </c>
      <c r="AQ232" s="11">
        <f t="shared" si="54"/>
        <v>1.2573542828180437E-6</v>
      </c>
      <c r="AR232" s="11">
        <f t="shared" si="55"/>
        <v>2.4031718061674014E-6</v>
      </c>
      <c r="AS232" s="11">
        <f t="shared" si="66"/>
        <v>4.524906191369606E-6</v>
      </c>
      <c r="AT232" s="11">
        <f t="shared" si="67"/>
        <v>8.2335543090260077E-6</v>
      </c>
      <c r="AU232" s="11">
        <f t="shared" si="68"/>
        <v>1.5161073825503358E-5</v>
      </c>
      <c r="AV232" s="11">
        <f t="shared" si="69"/>
        <v>2.2251256281407033E-5</v>
      </c>
    </row>
    <row r="233" spans="7:48" ht="15.75" thickBot="1">
      <c r="G233" s="55" t="s">
        <v>53</v>
      </c>
      <c r="H233" s="55" t="s">
        <v>84</v>
      </c>
      <c r="I233" s="55">
        <f t="shared" si="71"/>
        <v>298.14999999999998</v>
      </c>
      <c r="J233" s="65">
        <v>7.0000000000000007E-2</v>
      </c>
      <c r="K233" s="57">
        <v>9.4</v>
      </c>
      <c r="L233" s="56">
        <v>4.138E-2</v>
      </c>
      <c r="M233" s="65">
        <v>4.2000000000000003E-2</v>
      </c>
      <c r="N233" s="19">
        <f t="shared" si="70"/>
        <v>6.3475039407128703E-2</v>
      </c>
      <c r="O233" s="57">
        <v>6.1142071360000001</v>
      </c>
      <c r="P233" s="55">
        <v>82.5</v>
      </c>
      <c r="Q233" s="56">
        <v>0.27300000000000002</v>
      </c>
      <c r="R233" s="56">
        <v>15.95</v>
      </c>
      <c r="S233" s="56">
        <v>95500</v>
      </c>
      <c r="T233" s="60">
        <f t="shared" si="72"/>
        <v>1.670157068062827E-4</v>
      </c>
      <c r="U233" s="56">
        <v>1.6589999999999999E-4</v>
      </c>
      <c r="V233" s="19">
        <f t="shared" si="73"/>
        <v>8.0702829706813753E-5</v>
      </c>
      <c r="W233" s="19">
        <f t="shared" si="76"/>
        <v>9.8479479385175954E-7</v>
      </c>
      <c r="X233" s="19">
        <f t="shared" si="74"/>
        <v>8.1245570492770157E-5</v>
      </c>
      <c r="AJ233" s="72"/>
      <c r="AK233" s="8">
        <v>7.92E-3</v>
      </c>
      <c r="AL233" s="73">
        <v>9.4740000000000002</v>
      </c>
      <c r="AM233">
        <v>9.0419999999999998</v>
      </c>
      <c r="AP233" s="6">
        <v>5.5</v>
      </c>
      <c r="AQ233" s="11">
        <f t="shared" si="54"/>
        <v>1.2677872553938786E-6</v>
      </c>
      <c r="AR233" s="11">
        <f t="shared" si="55"/>
        <v>2.423945710130877E-6</v>
      </c>
      <c r="AS233" s="11">
        <f t="shared" si="66"/>
        <v>4.5552851182197498E-6</v>
      </c>
      <c r="AT233" s="11">
        <f t="shared" si="67"/>
        <v>8.2804632426988937E-6</v>
      </c>
      <c r="AU233" s="11">
        <f t="shared" si="68"/>
        <v>1.5286390175156028E-5</v>
      </c>
      <c r="AV233" s="11">
        <f t="shared" si="69"/>
        <v>2.2382133995037217E-5</v>
      </c>
    </row>
    <row r="234" spans="7:48">
      <c r="G234" s="40" t="s">
        <v>56</v>
      </c>
      <c r="H234" s="40" t="s">
        <v>84</v>
      </c>
      <c r="I234" s="40">
        <f t="shared" si="71"/>
        <v>298.14999999999998</v>
      </c>
      <c r="J234" s="38">
        <v>8.5000000000000006E-2</v>
      </c>
      <c r="K234" s="42">
        <v>9.5</v>
      </c>
      <c r="L234" s="41">
        <v>5.4850000000000003E-2</v>
      </c>
      <c r="M234" s="61">
        <v>5.5E-2</v>
      </c>
      <c r="N234" s="19">
        <f t="shared" si="70"/>
        <v>7.2637297668017214E-2</v>
      </c>
      <c r="O234" s="42">
        <v>1.528551784</v>
      </c>
      <c r="P234" s="40">
        <v>82.5</v>
      </c>
      <c r="Q234" s="41">
        <v>0.27300000000000002</v>
      </c>
      <c r="R234" s="41">
        <v>1.3740000000000001</v>
      </c>
      <c r="S234" s="41">
        <v>17060</v>
      </c>
      <c r="T234" s="45">
        <f t="shared" si="72"/>
        <v>8.0539273153575628E-5</v>
      </c>
      <c r="U234" s="41">
        <v>1.086E-4</v>
      </c>
      <c r="V234" s="19">
        <f t="shared" si="73"/>
        <v>5.2828977131765965E-5</v>
      </c>
      <c r="W234" s="19">
        <f t="shared" si="76"/>
        <v>4.748934002610972E-7</v>
      </c>
      <c r="X234" s="19">
        <f t="shared" si="74"/>
        <v>3.9178705521540519E-5</v>
      </c>
      <c r="Z234" s="22"/>
      <c r="AA234" s="25" t="s">
        <v>2</v>
      </c>
      <c r="AB234" s="25" t="s">
        <v>70</v>
      </c>
      <c r="AC234" s="26" t="s">
        <v>277</v>
      </c>
      <c r="AJ234" s="72" t="s">
        <v>99</v>
      </c>
      <c r="AK234" s="8" t="s">
        <v>117</v>
      </c>
      <c r="AL234" s="73" t="s">
        <v>118</v>
      </c>
      <c r="AP234" s="6">
        <v>5.6</v>
      </c>
      <c r="AQ234" s="11">
        <f t="shared" si="54"/>
        <v>1.2780129160457031E-6</v>
      </c>
      <c r="AR234" s="11">
        <f t="shared" si="55"/>
        <v>2.4443206913106098E-6</v>
      </c>
      <c r="AS234" s="11">
        <f t="shared" si="66"/>
        <v>4.5849679193400544E-6</v>
      </c>
      <c r="AT234" s="11">
        <f t="shared" si="67"/>
        <v>8.326205867727499E-6</v>
      </c>
      <c r="AU234" s="11">
        <f t="shared" si="68"/>
        <v>1.5409208690452463E-5</v>
      </c>
      <c r="AV234" s="11">
        <f t="shared" si="69"/>
        <v>2.2509803921568625E-5</v>
      </c>
    </row>
    <row r="235" spans="7:48" ht="26.25" customHeight="1">
      <c r="G235" s="14" t="s">
        <v>56</v>
      </c>
      <c r="H235" s="14" t="s">
        <v>84</v>
      </c>
      <c r="I235" s="14">
        <f t="shared" si="71"/>
        <v>298.14999999999998</v>
      </c>
      <c r="J235" s="38">
        <v>0.08</v>
      </c>
      <c r="K235" s="36">
        <v>9.5</v>
      </c>
      <c r="L235" s="21">
        <v>5.1630000000000002E-2</v>
      </c>
      <c r="M235" s="38">
        <v>5.1999999999999998E-2</v>
      </c>
      <c r="N235" s="19">
        <f t="shared" si="70"/>
        <v>7.0628503729743455E-2</v>
      </c>
      <c r="O235" s="36">
        <v>3.057103568</v>
      </c>
      <c r="P235" s="14">
        <v>82.5</v>
      </c>
      <c r="Q235" s="21">
        <v>0.27300000000000002</v>
      </c>
      <c r="R235" s="21">
        <v>1.9510000000000001</v>
      </c>
      <c r="S235" s="21">
        <v>16210</v>
      </c>
      <c r="T235" s="19">
        <f t="shared" si="72"/>
        <v>1.2035780382479951E-4</v>
      </c>
      <c r="U235" s="21">
        <v>9.8999999999999994E-5</v>
      </c>
      <c r="V235" s="19">
        <f t="shared" si="73"/>
        <v>4.8159012302438586E-5</v>
      </c>
      <c r="W235" s="19">
        <f t="shared" si="76"/>
        <v>7.0968019040012374E-7</v>
      </c>
      <c r="X235" s="19">
        <f t="shared" si="74"/>
        <v>5.8548615708010207E-5</v>
      </c>
      <c r="Z235" s="72" t="s">
        <v>59</v>
      </c>
      <c r="AA235" s="10">
        <v>6.7</v>
      </c>
      <c r="AB235" s="10">
        <f t="shared" ref="AB235:AB256" si="77">O271</f>
        <v>1.5198668310000001</v>
      </c>
      <c r="AC235" s="77">
        <f>V271</f>
        <v>1.2725008254212941E-6</v>
      </c>
      <c r="AJ235" s="72"/>
      <c r="AK235" s="8"/>
      <c r="AL235" s="73"/>
      <c r="AP235" s="6">
        <v>5.7</v>
      </c>
      <c r="AQ235" s="11">
        <f t="shared" si="54"/>
        <v>1.2880373831775703E-6</v>
      </c>
      <c r="AR235" s="11">
        <f t="shared" si="55"/>
        <v>2.4643081312410844E-6</v>
      </c>
      <c r="AS235" s="11">
        <f t="shared" si="66"/>
        <v>4.6139782510194845E-6</v>
      </c>
      <c r="AT235" s="11">
        <f t="shared" si="67"/>
        <v>8.370825147347742E-6</v>
      </c>
      <c r="AU235" s="11">
        <f t="shared" si="68"/>
        <v>1.5529603315571346E-5</v>
      </c>
      <c r="AV235" s="11">
        <f t="shared" si="69"/>
        <v>2.2634382566585955E-5</v>
      </c>
    </row>
    <row r="236" spans="7:48">
      <c r="G236" s="14" t="s">
        <v>56</v>
      </c>
      <c r="H236" s="14" t="s">
        <v>84</v>
      </c>
      <c r="I236" s="14">
        <f t="shared" si="71"/>
        <v>298.14999999999998</v>
      </c>
      <c r="J236" s="38">
        <v>7.4999999999999997E-2</v>
      </c>
      <c r="K236" s="36">
        <v>9.5</v>
      </c>
      <c r="L236" s="21">
        <v>4.8399999999999999E-2</v>
      </c>
      <c r="M236" s="38">
        <v>4.9000000000000002E-2</v>
      </c>
      <c r="N236" s="19">
        <f t="shared" si="70"/>
        <v>6.8560878536470291E-2</v>
      </c>
      <c r="O236" s="36">
        <v>4.5856553519999999</v>
      </c>
      <c r="P236" s="14">
        <v>82.5</v>
      </c>
      <c r="Q236" s="21">
        <v>0.27300000000000002</v>
      </c>
      <c r="R236" s="21">
        <v>5.3090000000000002</v>
      </c>
      <c r="S236" s="21">
        <v>37050</v>
      </c>
      <c r="T236" s="19">
        <f t="shared" si="72"/>
        <v>1.4329284750337382E-4</v>
      </c>
      <c r="U236" s="21">
        <v>1.2510000000000001E-4</v>
      </c>
      <c r="V236" s="19">
        <f t="shared" si="73"/>
        <v>6.0855479182172402E-5</v>
      </c>
      <c r="W236" s="19">
        <f t="shared" si="76"/>
        <v>8.4491484612995869E-7</v>
      </c>
      <c r="X236" s="19">
        <f t="shared" si="74"/>
        <v>6.9705474805721593E-5</v>
      </c>
      <c r="Z236" s="72" t="s">
        <v>59</v>
      </c>
      <c r="AA236" s="10">
        <v>6.7</v>
      </c>
      <c r="AB236" s="10">
        <f t="shared" si="77"/>
        <v>3.0397336610000001</v>
      </c>
      <c r="AC236" s="77">
        <f t="shared" ref="AC236:AC256" si="78">V272</f>
        <v>2.2761101073755888E-6</v>
      </c>
      <c r="AJ236" s="72" t="s">
        <v>116</v>
      </c>
      <c r="AK236" s="8" t="s">
        <v>115</v>
      </c>
      <c r="AL236" s="73" t="s">
        <v>79</v>
      </c>
      <c r="AP236" s="6">
        <v>5.8</v>
      </c>
      <c r="AQ236" s="11">
        <f t="shared" si="54"/>
        <v>1.2978665367754505E-6</v>
      </c>
      <c r="AR236" s="11">
        <f t="shared" si="55"/>
        <v>2.483918982571832E-6</v>
      </c>
      <c r="AS236" s="11">
        <f t="shared" si="66"/>
        <v>4.642338709677419E-6</v>
      </c>
      <c r="AT236" s="11">
        <f t="shared" si="67"/>
        <v>8.4143619602134899E-6</v>
      </c>
      <c r="AU236" s="11">
        <f t="shared" si="68"/>
        <v>1.564764510455345E-5</v>
      </c>
      <c r="AV236" s="11">
        <f t="shared" si="69"/>
        <v>2.2755980861244018E-5</v>
      </c>
    </row>
    <row r="237" spans="7:48" ht="15.75" thickBot="1">
      <c r="G237" s="55" t="s">
        <v>56</v>
      </c>
      <c r="H237" s="55" t="s">
        <v>84</v>
      </c>
      <c r="I237" s="55">
        <f t="shared" si="71"/>
        <v>298.14999999999998</v>
      </c>
      <c r="J237" s="65">
        <v>7.0000000000000007E-2</v>
      </c>
      <c r="K237" s="57">
        <v>9.5</v>
      </c>
      <c r="L237" s="56">
        <v>4.5170000000000002E-2</v>
      </c>
      <c r="M237" s="65">
        <v>4.5999999999999999E-2</v>
      </c>
      <c r="N237" s="19">
        <f t="shared" si="70"/>
        <v>6.6428928881044583E-2</v>
      </c>
      <c r="O237" s="57">
        <v>6.1142071360000001</v>
      </c>
      <c r="P237" s="55">
        <v>82.5</v>
      </c>
      <c r="Q237" s="56">
        <v>0.27300000000000002</v>
      </c>
      <c r="R237" s="56">
        <v>11.95</v>
      </c>
      <c r="S237" s="56">
        <v>68400</v>
      </c>
      <c r="T237" s="60">
        <f t="shared" si="72"/>
        <v>1.7470760233918127E-4</v>
      </c>
      <c r="U237" s="56">
        <v>1.595E-4</v>
      </c>
      <c r="V237" s="19">
        <f t="shared" si="73"/>
        <v>7.7589519820595509E-5</v>
      </c>
      <c r="W237" s="19">
        <f t="shared" si="76"/>
        <v>1.0301494423485988E-6</v>
      </c>
      <c r="X237" s="19">
        <f t="shared" si="74"/>
        <v>8.4987328993759405E-5</v>
      </c>
      <c r="Z237" s="23" t="s">
        <v>59</v>
      </c>
      <c r="AA237" s="79">
        <v>6.7</v>
      </c>
      <c r="AB237" s="79">
        <f t="shared" si="77"/>
        <v>6.0794673230000003</v>
      </c>
      <c r="AC237" s="77">
        <f t="shared" si="78"/>
        <v>3.6251124705156626E-6</v>
      </c>
      <c r="AJ237" s="72"/>
      <c r="AK237" s="8">
        <v>1.565E-3</v>
      </c>
      <c r="AL237" s="73">
        <v>8.6780000000000008</v>
      </c>
      <c r="AP237" s="6">
        <v>5.9</v>
      </c>
      <c r="AQ237" s="11">
        <f t="shared" si="54"/>
        <v>1.3075060299083456E-6</v>
      </c>
      <c r="AR237" s="11">
        <f t="shared" si="55"/>
        <v>2.5031637890807284E-6</v>
      </c>
      <c r="AS237" s="11">
        <f t="shared" si="66"/>
        <v>4.6700708905626938E-6</v>
      </c>
      <c r="AT237" s="11">
        <f t="shared" si="67"/>
        <v>8.4568552253116014E-6</v>
      </c>
      <c r="AU237" s="11">
        <f t="shared" si="68"/>
        <v>1.5763402361137994E-5</v>
      </c>
      <c r="AV237" s="11">
        <f t="shared" si="69"/>
        <v>2.2874704491725767E-5</v>
      </c>
    </row>
    <row r="238" spans="7:48" ht="15.75" thickBot="1">
      <c r="G238" s="40" t="s">
        <v>54</v>
      </c>
      <c r="H238" s="40" t="s">
        <v>84</v>
      </c>
      <c r="I238" s="40">
        <f t="shared" si="71"/>
        <v>298.14999999999998</v>
      </c>
      <c r="J238" s="38">
        <v>8.5000000000000006E-2</v>
      </c>
      <c r="K238" s="42">
        <v>9.51</v>
      </c>
      <c r="L238" s="41">
        <v>5.5300000000000002E-2</v>
      </c>
      <c r="M238" s="61">
        <v>5.6000000000000001E-2</v>
      </c>
      <c r="N238" s="19">
        <f t="shared" si="70"/>
        <v>7.3294662177055728E-2</v>
      </c>
      <c r="O238" s="42">
        <v>1.528551784</v>
      </c>
      <c r="P238" s="40">
        <v>82.5</v>
      </c>
      <c r="Q238" s="41">
        <v>0.27300000000000002</v>
      </c>
      <c r="R238" s="41">
        <v>3.944</v>
      </c>
      <c r="S238" s="41">
        <v>67560</v>
      </c>
      <c r="T238" s="45">
        <f t="shared" si="72"/>
        <v>5.8377738306690348E-5</v>
      </c>
      <c r="U238" s="41">
        <v>5.753E-5</v>
      </c>
      <c r="V238" s="19">
        <f t="shared" si="73"/>
        <v>2.7985737149083758E-5</v>
      </c>
      <c r="W238" s="19">
        <f t="shared" si="76"/>
        <v>3.4421967766151716E-7</v>
      </c>
      <c r="X238" s="19">
        <f t="shared" si="74"/>
        <v>2.8398123407075166E-5</v>
      </c>
      <c r="Z238" s="72" t="s">
        <v>60</v>
      </c>
      <c r="AA238" s="10">
        <v>6.7</v>
      </c>
      <c r="AB238" s="10">
        <f t="shared" si="77"/>
        <v>1.6139538250000001</v>
      </c>
      <c r="AC238" s="77">
        <f t="shared" si="78"/>
        <v>1.3081005508943898E-6</v>
      </c>
      <c r="AJ238" s="23" t="s">
        <v>99</v>
      </c>
      <c r="AK238" s="28" t="s">
        <v>119</v>
      </c>
      <c r="AL238" s="30" t="s">
        <v>120</v>
      </c>
      <c r="AP238" s="6">
        <v>6</v>
      </c>
      <c r="AQ238" s="11">
        <f t="shared" si="54"/>
        <v>1.3169612995699953E-6</v>
      </c>
      <c r="AR238" s="11">
        <f t="shared" si="55"/>
        <v>2.5220527045769763E-6</v>
      </c>
      <c r="AS238" s="11">
        <f t="shared" si="66"/>
        <v>4.6971954425942155E-6</v>
      </c>
      <c r="AT238" s="11">
        <f t="shared" si="67"/>
        <v>8.4983420180009489E-6</v>
      </c>
      <c r="AU238" s="11">
        <f t="shared" si="68"/>
        <v>1.5876940770557791E-5</v>
      </c>
      <c r="AV238" s="11">
        <f t="shared" si="69"/>
        <v>2.2990654205607474E-5</v>
      </c>
    </row>
    <row r="239" spans="7:48">
      <c r="G239" s="14" t="s">
        <v>54</v>
      </c>
      <c r="H239" s="14" t="s">
        <v>84</v>
      </c>
      <c r="I239" s="14">
        <f t="shared" si="71"/>
        <v>298.14999999999998</v>
      </c>
      <c r="J239" s="38">
        <v>0.08</v>
      </c>
      <c r="K239" s="36">
        <v>9.51</v>
      </c>
      <c r="L239" s="21">
        <v>5.2049999999999999E-2</v>
      </c>
      <c r="M239" s="38">
        <v>5.2999999999999999E-2</v>
      </c>
      <c r="N239" s="19">
        <f t="shared" si="70"/>
        <v>7.1304389978731106E-2</v>
      </c>
      <c r="O239" s="36">
        <v>3.057103568</v>
      </c>
      <c r="P239" s="14">
        <v>82.5</v>
      </c>
      <c r="Q239" s="21">
        <v>0.27300000000000002</v>
      </c>
      <c r="R239" s="21">
        <v>7.94</v>
      </c>
      <c r="S239" s="21">
        <v>78680</v>
      </c>
      <c r="T239" s="19">
        <f t="shared" si="72"/>
        <v>1.0091509913573972E-4</v>
      </c>
      <c r="U239" s="21">
        <v>9.802E-5</v>
      </c>
      <c r="V239" s="19">
        <f t="shared" si="73"/>
        <v>4.7682286726111422E-5</v>
      </c>
      <c r="W239" s="19">
        <f t="shared" si="76"/>
        <v>5.9503783296968463E-7</v>
      </c>
      <c r="X239" s="19">
        <f t="shared" si="74"/>
        <v>4.9090621219998984E-5</v>
      </c>
      <c r="Z239" s="72" t="s">
        <v>60</v>
      </c>
      <c r="AA239" s="10">
        <v>6.7</v>
      </c>
      <c r="AB239" s="10">
        <f t="shared" si="77"/>
        <v>3.2279076500000001</v>
      </c>
      <c r="AC239" s="77">
        <f t="shared" si="78"/>
        <v>1.6565233959502204E-6</v>
      </c>
      <c r="AP239" s="6">
        <v>6.1</v>
      </c>
      <c r="AQ239" s="11">
        <f t="shared" si="54"/>
        <v>1.3262375769048748E-6</v>
      </c>
      <c r="AR239" s="11">
        <f t="shared" si="55"/>
        <v>2.5405955107650023E-6</v>
      </c>
      <c r="AS239" s="11">
        <f t="shared" si="66"/>
        <v>4.72373211963589E-6</v>
      </c>
      <c r="AT239" s="11">
        <f t="shared" si="67"/>
        <v>8.5388576779026205E-6</v>
      </c>
      <c r="AU239" s="11">
        <f t="shared" si="68"/>
        <v>1.5988323523827608E-5</v>
      </c>
      <c r="AV239" s="11">
        <f t="shared" si="69"/>
        <v>2.3103926096997685E-5</v>
      </c>
    </row>
    <row r="240" spans="7:48" ht="15.75" thickBot="1">
      <c r="G240" s="14" t="s">
        <v>54</v>
      </c>
      <c r="H240" s="14" t="s">
        <v>84</v>
      </c>
      <c r="I240" s="14">
        <f t="shared" si="71"/>
        <v>298.14999999999998</v>
      </c>
      <c r="J240" s="38">
        <v>7.4999999999999997E-2</v>
      </c>
      <c r="K240" s="36">
        <v>9.51</v>
      </c>
      <c r="L240" s="21">
        <v>4.8800000000000003E-2</v>
      </c>
      <c r="M240" s="38">
        <v>4.9000000000000002E-2</v>
      </c>
      <c r="N240" s="19">
        <f t="shared" si="70"/>
        <v>6.8560878536470291E-2</v>
      </c>
      <c r="O240" s="36">
        <v>4.5856553519999999</v>
      </c>
      <c r="P240" s="14">
        <v>82.5</v>
      </c>
      <c r="Q240" s="21">
        <v>0.27300000000000002</v>
      </c>
      <c r="R240" s="21">
        <v>60.74</v>
      </c>
      <c r="S240" s="21">
        <v>463100</v>
      </c>
      <c r="T240" s="19">
        <f t="shared" si="72"/>
        <v>1.3115957676527749E-4</v>
      </c>
      <c r="U240" s="21">
        <v>1.2779999999999999E-4</v>
      </c>
      <c r="V240" s="19">
        <f t="shared" si="73"/>
        <v>6.2168906790420724E-5</v>
      </c>
      <c r="W240" s="19">
        <f t="shared" si="76"/>
        <v>7.7337198298397773E-7</v>
      </c>
      <c r="X240" s="19">
        <f t="shared" si="74"/>
        <v>6.3803188596178156E-5</v>
      </c>
      <c r="Z240" s="23" t="s">
        <v>60</v>
      </c>
      <c r="AA240" s="79">
        <v>6.7</v>
      </c>
      <c r="AB240" s="79">
        <f t="shared" si="77"/>
        <v>6.4558153000000003</v>
      </c>
      <c r="AC240" s="77">
        <f t="shared" si="78"/>
        <v>2.8919096139633931E-6</v>
      </c>
      <c r="AK240" t="s">
        <v>121</v>
      </c>
      <c r="AP240" s="6">
        <v>6.2</v>
      </c>
      <c r="AQ240" s="11">
        <f t="shared" si="54"/>
        <v>1.3353398968588845E-6</v>
      </c>
      <c r="AR240" s="11">
        <f t="shared" si="55"/>
        <v>2.5588016341352701E-6</v>
      </c>
      <c r="AS240" s="11">
        <f t="shared" si="66"/>
        <v>4.7496998284734137E-6</v>
      </c>
      <c r="AT240" s="11">
        <f t="shared" si="67"/>
        <v>8.5784359093012494E-6</v>
      </c>
      <c r="AU240" s="11">
        <f t="shared" si="68"/>
        <v>1.6097611435019747E-5</v>
      </c>
      <c r="AV240" s="11">
        <f t="shared" si="69"/>
        <v>2.3214611872146119E-5</v>
      </c>
    </row>
    <row r="241" spans="7:48" ht="15.75" thickBot="1">
      <c r="G241" s="55" t="s">
        <v>54</v>
      </c>
      <c r="H241" s="55" t="s">
        <v>84</v>
      </c>
      <c r="I241" s="55">
        <f t="shared" si="71"/>
        <v>298.14999999999998</v>
      </c>
      <c r="J241" s="65">
        <v>7.0000000000000007E-2</v>
      </c>
      <c r="K241" s="57">
        <v>9.51</v>
      </c>
      <c r="L241" s="56">
        <v>4.5539999999999997E-2</v>
      </c>
      <c r="M241" s="65">
        <v>4.5999999999999999E-2</v>
      </c>
      <c r="N241" s="19">
        <f t="shared" si="70"/>
        <v>6.6428928881044583E-2</v>
      </c>
      <c r="O241" s="57">
        <v>6.1142071360000001</v>
      </c>
      <c r="P241" s="55">
        <v>82.5</v>
      </c>
      <c r="Q241" s="56">
        <v>0.27300000000000002</v>
      </c>
      <c r="R241" s="56">
        <v>18.21</v>
      </c>
      <c r="S241" s="56">
        <v>108500</v>
      </c>
      <c r="T241" s="60">
        <f t="shared" si="72"/>
        <v>1.6783410138248848E-4</v>
      </c>
      <c r="U241" s="56">
        <v>1.6239999999999999E-4</v>
      </c>
      <c r="V241" s="19">
        <f t="shared" si="73"/>
        <v>7.9000238362788149E-5</v>
      </c>
      <c r="W241" s="19">
        <f t="shared" si="76"/>
        <v>9.8962039219442782E-7</v>
      </c>
      <c r="X241" s="19">
        <f t="shared" si="74"/>
        <v>8.1643682356040301E-5</v>
      </c>
      <c r="Z241" s="72" t="s">
        <v>61</v>
      </c>
      <c r="AA241" s="10">
        <v>6.7</v>
      </c>
      <c r="AB241" s="10">
        <f t="shared" si="77"/>
        <v>1.5053919090000001</v>
      </c>
      <c r="AC241" s="77">
        <f t="shared" si="78"/>
        <v>1.5307881953431162E-6</v>
      </c>
      <c r="AJ241" t="s">
        <v>2</v>
      </c>
      <c r="AK241" t="s">
        <v>42</v>
      </c>
      <c r="AL241" t="s">
        <v>44</v>
      </c>
      <c r="AP241" s="6">
        <v>6.3</v>
      </c>
      <c r="AQ241" s="11">
        <f t="shared" si="54"/>
        <v>1.3442731072921505E-6</v>
      </c>
      <c r="AR241" s="11">
        <f t="shared" si="55"/>
        <v>2.5766801619433196E-6</v>
      </c>
      <c r="AS241" s="11">
        <f t="shared" si="66"/>
        <v>4.7751166737378013E-6</v>
      </c>
      <c r="AT241" s="11">
        <f t="shared" si="67"/>
        <v>8.6171088746569069E-6</v>
      </c>
      <c r="AU241" s="11">
        <f t="shared" si="68"/>
        <v>1.620486305198435E-5</v>
      </c>
      <c r="AV241" s="11">
        <f t="shared" si="69"/>
        <v>2.3322799097065463E-5</v>
      </c>
    </row>
    <row r="242" spans="7:48">
      <c r="G242" s="40" t="s">
        <v>57</v>
      </c>
      <c r="H242" s="40" t="s">
        <v>84</v>
      </c>
      <c r="I242" s="40">
        <f t="shared" si="71"/>
        <v>298.14999999999998</v>
      </c>
      <c r="J242" s="38">
        <v>8.5000000000000006E-2</v>
      </c>
      <c r="K242" s="42">
        <v>9.6999999999999993</v>
      </c>
      <c r="L242" s="41">
        <v>6.3119999999999996E-2</v>
      </c>
      <c r="M242" s="61">
        <v>6.4000000000000001E-2</v>
      </c>
      <c r="N242" s="19">
        <f t="shared" si="70"/>
        <v>7.8355289755966034E-2</v>
      </c>
      <c r="O242" s="42">
        <v>1.528551784</v>
      </c>
      <c r="P242" s="40">
        <v>82.5</v>
      </c>
      <c r="Q242" s="41">
        <v>0.27300000000000002</v>
      </c>
      <c r="R242" s="41">
        <v>1.982</v>
      </c>
      <c r="S242" s="41">
        <v>37220</v>
      </c>
      <c r="T242" s="45">
        <f t="shared" si="72"/>
        <v>5.3250940354648038E-5</v>
      </c>
      <c r="U242" s="41">
        <v>5.253E-5</v>
      </c>
      <c r="V242" s="19">
        <f t="shared" si="73"/>
        <v>2.5553463800475748E-5</v>
      </c>
      <c r="W242" s="19">
        <f t="shared" si="76"/>
        <v>3.139899224555762E-7</v>
      </c>
      <c r="X242" s="19">
        <f t="shared" si="74"/>
        <v>2.5904168602585037E-5</v>
      </c>
      <c r="Z242" s="72" t="s">
        <v>61</v>
      </c>
      <c r="AA242" s="10">
        <v>6.7</v>
      </c>
      <c r="AB242" s="10">
        <f t="shared" si="77"/>
        <v>3.0107838170000001</v>
      </c>
      <c r="AC242" s="77">
        <f t="shared" si="78"/>
        <v>1.3944488211908349E-6</v>
      </c>
      <c r="AJ242">
        <v>6.5</v>
      </c>
      <c r="AK242" s="2">
        <f xml:space="preserve"> $AK$233/(10^($AM$233-AJ242)+10^(AJ242-$AL$233)+1)</f>
        <v>2.2671428413047537E-5</v>
      </c>
      <c r="AL242" s="2">
        <f t="shared" ref="AL242:AL277" si="79">$AK$237/(10^($AL$237-AJ242)+10^(AJ242-$AL$237))</f>
        <v>1.0387121442102931E-5</v>
      </c>
      <c r="AP242" s="6">
        <v>6.4</v>
      </c>
      <c r="AQ242" s="11">
        <f t="shared" si="54"/>
        <v>1.3530418775885873E-6</v>
      </c>
      <c r="AR242" s="11">
        <f t="shared" si="55"/>
        <v>2.5942398573339281E-6</v>
      </c>
      <c r="AS242" s="11">
        <f t="shared" ref="AS242:AS258" si="80">($AR$171*AP242)/($AS$171+AP242)</f>
        <v>4.7999999999999998E-6</v>
      </c>
      <c r="AT242" s="11">
        <f t="shared" ref="AT242:AT258" si="81">($AR$172*AP242)/($AS$172+AP242)</f>
        <v>8.6549072817729535E-6</v>
      </c>
      <c r="AU242" s="11">
        <f t="shared" ref="AU242:AU258" si="82">($AR$173*AP242)/($AS$173+AP242)</f>
        <v>1.6310134760937792E-5</v>
      </c>
      <c r="AV242" s="11">
        <f t="shared" ref="AV242:AV258" si="83">($AR$174*AP242)/($AS$174+AP242)</f>
        <v>2.3428571428571426E-5</v>
      </c>
    </row>
    <row r="243" spans="7:48">
      <c r="G243" s="14" t="s">
        <v>57</v>
      </c>
      <c r="H243" s="14" t="s">
        <v>84</v>
      </c>
      <c r="I243" s="14">
        <f t="shared" si="71"/>
        <v>298.14999999999998</v>
      </c>
      <c r="J243" s="38">
        <v>0.08</v>
      </c>
      <c r="K243" s="36">
        <v>9.6999999999999993</v>
      </c>
      <c r="L243" s="21">
        <v>5.9400000000000001E-2</v>
      </c>
      <c r="M243" s="38">
        <v>0.06</v>
      </c>
      <c r="N243" s="19">
        <f t="shared" si="70"/>
        <v>7.5867183078028269E-2</v>
      </c>
      <c r="O243" s="36">
        <v>3.057103568</v>
      </c>
      <c r="P243" s="14">
        <v>82.5</v>
      </c>
      <c r="Q243" s="21">
        <v>0.27300000000000002</v>
      </c>
      <c r="R243" s="21">
        <v>388.5</v>
      </c>
      <c r="S243" s="21">
        <v>4819000</v>
      </c>
      <c r="T243" s="19">
        <f t="shared" si="72"/>
        <v>8.0618385557169531E-5</v>
      </c>
      <c r="U243" s="21">
        <v>8.0599999999999994E-5</v>
      </c>
      <c r="V243" s="19">
        <f t="shared" si="73"/>
        <v>3.9208246379561116E-5</v>
      </c>
      <c r="W243" s="19">
        <f t="shared" si="76"/>
        <v>4.7535988023880816E-7</v>
      </c>
      <c r="X243" s="19">
        <f t="shared" si="74"/>
        <v>3.9217190119701673E-5</v>
      </c>
      <c r="Z243" s="72" t="s">
        <v>61</v>
      </c>
      <c r="AA243" s="10">
        <v>6.7</v>
      </c>
      <c r="AB243" s="10">
        <f t="shared" si="77"/>
        <v>4.5161757260000002</v>
      </c>
      <c r="AC243" s="77">
        <f t="shared" si="78"/>
        <v>2.1049284487177239E-6</v>
      </c>
      <c r="AJ243">
        <v>6.6</v>
      </c>
      <c r="AK243" s="2">
        <f t="shared" ref="AK243:AK277" si="84" xml:space="preserve"> $AK$233/(10^($AM$233-AJ243)+10^(AJ243-$AL$233)+1)</f>
        <v>2.8520447639885122E-5</v>
      </c>
      <c r="AL243" s="2">
        <f t="shared" si="79"/>
        <v>1.3076274207481357E-5</v>
      </c>
      <c r="AP243" s="6">
        <v>6.5</v>
      </c>
      <c r="AQ243" s="11">
        <f t="shared" ref="AQ243:AQ257" si="85">($AR$169*AP243)/($AS$169+AP243)</f>
        <v>1.3616507067943459E-6</v>
      </c>
      <c r="AR243" s="11">
        <f t="shared" ref="AR243:AR257" si="86">($AR$170*AP243)/($AS$170+AP243)</f>
        <v>2.6114891736632788E-6</v>
      </c>
      <c r="AS243" s="11">
        <f t="shared" si="80"/>
        <v>4.8243664312422106E-6</v>
      </c>
      <c r="AT243" s="11">
        <f t="shared" si="81"/>
        <v>8.6918604651162805E-6</v>
      </c>
      <c r="AU243" s="11">
        <f t="shared" si="82"/>
        <v>1.641348088531187E-5</v>
      </c>
      <c r="AV243" s="11">
        <f t="shared" si="83"/>
        <v>2.3532008830022072E-5</v>
      </c>
    </row>
    <row r="244" spans="7:48" ht="15.75" thickBot="1">
      <c r="G244" s="14" t="s">
        <v>57</v>
      </c>
      <c r="H244" s="14" t="s">
        <v>84</v>
      </c>
      <c r="I244" s="14">
        <f t="shared" si="71"/>
        <v>298.14999999999998</v>
      </c>
      <c r="J244" s="38">
        <v>7.4999999999999997E-2</v>
      </c>
      <c r="K244" s="36">
        <v>9.6999999999999993</v>
      </c>
      <c r="L244" s="21">
        <v>5.5690000000000003E-2</v>
      </c>
      <c r="M244" s="38">
        <v>5.6000000000000001E-2</v>
      </c>
      <c r="N244" s="19">
        <f t="shared" si="70"/>
        <v>7.3294662177055728E-2</v>
      </c>
      <c r="O244" s="36">
        <v>4.5856553519999999</v>
      </c>
      <c r="P244" s="14">
        <v>82.5</v>
      </c>
      <c r="Q244" s="21">
        <v>0.27300000000000002</v>
      </c>
      <c r="R244" s="14">
        <v>486.7</v>
      </c>
      <c r="S244" s="21">
        <v>4098000</v>
      </c>
      <c r="T244" s="19">
        <f t="shared" si="72"/>
        <v>1.187652513421181E-4</v>
      </c>
      <c r="U244" s="14">
        <v>1.187E-4</v>
      </c>
      <c r="V244" s="19">
        <f t="shared" si="73"/>
        <v>5.7742169295954151E-5</v>
      </c>
      <c r="W244" s="19">
        <f t="shared" si="76"/>
        <v>7.0028983170949222E-7</v>
      </c>
      <c r="X244" s="19">
        <f t="shared" si="74"/>
        <v>5.7773911116033108E-5</v>
      </c>
      <c r="Z244" s="23" t="s">
        <v>61</v>
      </c>
      <c r="AA244" s="79">
        <v>6.7</v>
      </c>
      <c r="AB244" s="79">
        <f t="shared" si="77"/>
        <v>6.0215676340000002</v>
      </c>
      <c r="AC244" s="77">
        <f t="shared" si="78"/>
        <v>2.4707724360263462E-6</v>
      </c>
      <c r="AJ244">
        <v>6.7</v>
      </c>
      <c r="AK244" s="2">
        <f t="shared" si="84"/>
        <v>3.5871568379259317E-5</v>
      </c>
      <c r="AL244" s="2">
        <f t="shared" si="79"/>
        <v>1.6461381669686128E-5</v>
      </c>
      <c r="AP244" s="6">
        <v>6.6</v>
      </c>
      <c r="AQ244" s="11">
        <f t="shared" si="85"/>
        <v>1.3701039313149571E-6</v>
      </c>
      <c r="AR244" s="11">
        <f t="shared" si="86"/>
        <v>2.6284362680683314E-6</v>
      </c>
      <c r="AS244" s="11">
        <f t="shared" si="80"/>
        <v>4.8482319078947364E-6</v>
      </c>
      <c r="AT244" s="11">
        <f t="shared" si="81"/>
        <v>8.727996461742592E-6</v>
      </c>
      <c r="AU244" s="11">
        <f t="shared" si="82"/>
        <v>1.6514953779227843E-5</v>
      </c>
      <c r="AV244" s="11">
        <f t="shared" si="83"/>
        <v>2.3633187772925761E-5</v>
      </c>
    </row>
    <row r="245" spans="7:48" ht="15.75" thickBot="1">
      <c r="G245" s="55" t="s">
        <v>57</v>
      </c>
      <c r="H245" s="55" t="s">
        <v>84</v>
      </c>
      <c r="I245" s="55">
        <f t="shared" si="71"/>
        <v>298.14999999999998</v>
      </c>
      <c r="J245" s="65">
        <v>7.0000000000000007E-2</v>
      </c>
      <c r="K245" s="57">
        <v>9.6999999999999993</v>
      </c>
      <c r="L245" s="56">
        <v>5.1979999999999998E-2</v>
      </c>
      <c r="M245" s="65">
        <v>5.2999999999999999E-2</v>
      </c>
      <c r="N245" s="19">
        <f t="shared" si="70"/>
        <v>7.1304389978731106E-2</v>
      </c>
      <c r="O245" s="57">
        <v>6.1142071360000001</v>
      </c>
      <c r="P245" s="55">
        <v>82.5</v>
      </c>
      <c r="Q245" s="56">
        <v>0.27300000000000002</v>
      </c>
      <c r="R245" s="55">
        <v>545.70000000000005</v>
      </c>
      <c r="S245" s="56">
        <v>4066000</v>
      </c>
      <c r="T245" s="60">
        <f t="shared" si="72"/>
        <v>1.3421052631578948E-4</v>
      </c>
      <c r="U245" s="55">
        <v>1.3420000000000001E-4</v>
      </c>
      <c r="V245" s="19">
        <f t="shared" si="73"/>
        <v>6.5282216676638982E-5</v>
      </c>
      <c r="W245" s="19">
        <f t="shared" si="76"/>
        <v>7.9136166366193635E-7</v>
      </c>
      <c r="X245" s="19">
        <f t="shared" si="74"/>
        <v>6.5287337252109743E-5</v>
      </c>
      <c r="Z245" s="72" t="s">
        <v>41</v>
      </c>
      <c r="AA245" s="10">
        <v>7</v>
      </c>
      <c r="AB245" s="10">
        <f t="shared" si="77"/>
        <v>1.85</v>
      </c>
      <c r="AC245" s="77">
        <f>V281</f>
        <v>2.61761257777194E-6</v>
      </c>
      <c r="AJ245">
        <v>6.8</v>
      </c>
      <c r="AK245" s="2">
        <f t="shared" si="84"/>
        <v>4.5106529923356313E-5</v>
      </c>
      <c r="AL245" s="2">
        <f t="shared" si="79"/>
        <v>2.0722310580148479E-5</v>
      </c>
      <c r="AP245" s="6">
        <v>6.7</v>
      </c>
      <c r="AQ245" s="11">
        <f t="shared" si="85"/>
        <v>1.378405732198836E-6</v>
      </c>
      <c r="AR245" s="11">
        <f t="shared" si="86"/>
        <v>2.6450890143291359E-6</v>
      </c>
      <c r="AS245" s="11">
        <f t="shared" si="80"/>
        <v>4.8716117216117218E-6</v>
      </c>
      <c r="AT245" s="11">
        <f t="shared" si="81"/>
        <v>8.7633420822397209E-6</v>
      </c>
      <c r="AU245" s="11">
        <f t="shared" si="82"/>
        <v>1.6614603915933179E-5</v>
      </c>
      <c r="AV245" s="11">
        <f t="shared" si="83"/>
        <v>2.3732181425485962E-5</v>
      </c>
    </row>
    <row r="246" spans="7:48">
      <c r="G246" s="40" t="s">
        <v>58</v>
      </c>
      <c r="H246" s="40" t="s">
        <v>84</v>
      </c>
      <c r="I246" s="40">
        <f t="shared" si="71"/>
        <v>298.14999999999998</v>
      </c>
      <c r="J246" s="38">
        <v>8.5000000000000006E-2</v>
      </c>
      <c r="K246" s="42">
        <v>10.07</v>
      </c>
      <c r="L246" s="41">
        <v>7.4050000000000005E-2</v>
      </c>
      <c r="M246" s="61">
        <v>7.5999999999999998E-2</v>
      </c>
      <c r="N246" s="19">
        <f t="shared" si="70"/>
        <v>8.538569743452594E-2</v>
      </c>
      <c r="O246" s="42">
        <v>1.528551784</v>
      </c>
      <c r="P246" s="40">
        <v>82.5</v>
      </c>
      <c r="Q246" s="41">
        <v>0.27300000000000002</v>
      </c>
      <c r="R246" s="40">
        <v>0.36630000000000001</v>
      </c>
      <c r="S246" s="41">
        <v>11850</v>
      </c>
      <c r="T246" s="45">
        <f t="shared" si="72"/>
        <v>3.0911392405063293E-5</v>
      </c>
      <c r="U246" s="41">
        <v>2.9260000000000001E-5</v>
      </c>
      <c r="V246" s="19">
        <f>U246/($C$3*Q246)</f>
        <v>1.4233663636054073E-5</v>
      </c>
      <c r="W246" s="19">
        <f t="shared" si="76"/>
        <v>1.8226655979442303E-7</v>
      </c>
      <c r="X246" s="19">
        <f t="shared" si="74"/>
        <v>1.50369911830399E-5</v>
      </c>
      <c r="Z246" s="72" t="s">
        <v>41</v>
      </c>
      <c r="AA246" s="10">
        <v>7</v>
      </c>
      <c r="AB246" s="10">
        <f t="shared" si="77"/>
        <v>3.7</v>
      </c>
      <c r="AC246" s="77">
        <f t="shared" si="78"/>
        <v>4.033195666661802E-6</v>
      </c>
      <c r="AJ246">
        <v>6.9</v>
      </c>
      <c r="AK246" s="2">
        <f t="shared" si="84"/>
        <v>5.6701741426532472E-5</v>
      </c>
      <c r="AL246" s="2">
        <f t="shared" si="79"/>
        <v>2.6085167947680511E-5</v>
      </c>
      <c r="AP246" s="6">
        <v>6.8</v>
      </c>
      <c r="AQ246" s="11">
        <f t="shared" si="85"/>
        <v>1.3865601420328452E-6</v>
      </c>
      <c r="AR246" s="11">
        <f t="shared" si="86"/>
        <v>2.661455015066724E-6</v>
      </c>
      <c r="AS246" s="11">
        <f t="shared" si="80"/>
        <v>4.8945205479452053E-6</v>
      </c>
      <c r="AT246" s="11">
        <f t="shared" si="81"/>
        <v>8.7979229770662057E-6</v>
      </c>
      <c r="AU246" s="11">
        <f t="shared" si="82"/>
        <v>1.6712479971515043E-5</v>
      </c>
      <c r="AV246" s="11">
        <f t="shared" si="83"/>
        <v>2.3829059829059829E-5</v>
      </c>
    </row>
    <row r="247" spans="7:48">
      <c r="G247" s="14" t="s">
        <v>58</v>
      </c>
      <c r="H247" s="14" t="s">
        <v>84</v>
      </c>
      <c r="I247" s="14">
        <f t="shared" si="71"/>
        <v>298.14999999999998</v>
      </c>
      <c r="J247" s="38">
        <v>0.08</v>
      </c>
      <c r="K247" s="36">
        <v>10.07</v>
      </c>
      <c r="L247" s="21">
        <v>6.9690000000000002E-2</v>
      </c>
      <c r="M247" s="38">
        <v>7.0999999999999994E-2</v>
      </c>
      <c r="N247" s="19">
        <f t="shared" si="70"/>
        <v>8.2529175875550129E-2</v>
      </c>
      <c r="O247" s="36">
        <v>3.057103568</v>
      </c>
      <c r="P247" s="14">
        <v>82.5</v>
      </c>
      <c r="Q247" s="21">
        <v>0.27300000000000002</v>
      </c>
      <c r="R247" s="14">
        <v>3.2210000000000001</v>
      </c>
      <c r="S247" s="21">
        <v>50250</v>
      </c>
      <c r="T247" s="19">
        <f t="shared" si="72"/>
        <v>6.4099502487562191E-5</v>
      </c>
      <c r="U247" s="21">
        <v>5.9700000000000001E-5</v>
      </c>
      <c r="V247" s="19">
        <f t="shared" si="73"/>
        <v>2.9041343782379638E-5</v>
      </c>
      <c r="W247" s="19">
        <f t="shared" si="76"/>
        <v>3.7795760378067963E-7</v>
      </c>
      <c r="X247" s="19">
        <f t="shared" si="74"/>
        <v>3.1181502311906071E-5</v>
      </c>
      <c r="Z247" s="72" t="s">
        <v>41</v>
      </c>
      <c r="AA247" s="10">
        <v>7</v>
      </c>
      <c r="AB247" s="10">
        <f t="shared" si="77"/>
        <v>5.55</v>
      </c>
      <c r="AC247" s="77">
        <f t="shared" si="78"/>
        <v>4.3391756539166891E-6</v>
      </c>
      <c r="AJ247">
        <v>7</v>
      </c>
      <c r="AK247" s="2">
        <f t="shared" si="84"/>
        <v>7.1250388696665075E-5</v>
      </c>
      <c r="AL247" s="2">
        <f t="shared" si="79"/>
        <v>3.2833944024979779E-5</v>
      </c>
      <c r="AP247" s="6">
        <v>6.9</v>
      </c>
      <c r="AQ247" s="11">
        <f t="shared" si="85"/>
        <v>1.3945710514738231E-6</v>
      </c>
      <c r="AR247" s="11">
        <f t="shared" si="86"/>
        <v>2.6775416133162612E-6</v>
      </c>
      <c r="AS247" s="11">
        <f t="shared" si="80"/>
        <v>4.91697247706422E-6</v>
      </c>
      <c r="AT247" s="11">
        <f t="shared" si="81"/>
        <v>8.8317636986301367E-6</v>
      </c>
      <c r="AU247" s="11">
        <f t="shared" si="82"/>
        <v>1.6808628904182111E-5</v>
      </c>
      <c r="AV247" s="11">
        <f t="shared" si="83"/>
        <v>2.3923890063424945E-5</v>
      </c>
    </row>
    <row r="248" spans="7:48" ht="15.75" thickBot="1">
      <c r="G248" s="14" t="s">
        <v>58</v>
      </c>
      <c r="H248" s="14" t="s">
        <v>84</v>
      </c>
      <c r="I248" s="14">
        <f t="shared" si="71"/>
        <v>298.14999999999998</v>
      </c>
      <c r="J248" s="38">
        <v>7.4999999999999997E-2</v>
      </c>
      <c r="K248" s="36">
        <v>10.07</v>
      </c>
      <c r="L248" s="21">
        <v>6.5339999999999995E-2</v>
      </c>
      <c r="M248" s="38">
        <v>6.7000000000000004E-2</v>
      </c>
      <c r="N248" s="19">
        <f t="shared" si="70"/>
        <v>8.0170711024358202E-2</v>
      </c>
      <c r="O248" s="36">
        <v>4.5856553519999999</v>
      </c>
      <c r="P248" s="14">
        <v>82.5</v>
      </c>
      <c r="Q248" s="21">
        <v>0.27300000000000002</v>
      </c>
      <c r="R248" s="14">
        <v>8.202</v>
      </c>
      <c r="S248" s="21">
        <v>98130</v>
      </c>
      <c r="T248" s="19">
        <f t="shared" si="72"/>
        <v>8.3583002140018349E-5</v>
      </c>
      <c r="U248" s="21">
        <v>8.017E-5</v>
      </c>
      <c r="V248" s="19">
        <f t="shared" si="73"/>
        <v>3.8999070871580825E-5</v>
      </c>
      <c r="W248" s="19">
        <f t="shared" si="76"/>
        <v>4.9284050545894039E-7</v>
      </c>
      <c r="X248" s="19">
        <f t="shared" si="74"/>
        <v>4.0659341700362583E-5</v>
      </c>
      <c r="Z248" s="23" t="s">
        <v>41</v>
      </c>
      <c r="AA248" s="79">
        <v>7</v>
      </c>
      <c r="AB248" s="79">
        <f t="shared" si="77"/>
        <v>7.4</v>
      </c>
      <c r="AC248" s="77">
        <f t="shared" si="78"/>
        <v>5.1320967655629004E-6</v>
      </c>
      <c r="AJ248">
        <v>7.1</v>
      </c>
      <c r="AK248" s="2">
        <f t="shared" si="84"/>
        <v>8.9488892115614977E-5</v>
      </c>
      <c r="AL248" s="2">
        <f t="shared" si="79"/>
        <v>4.132484270781635E-5</v>
      </c>
      <c r="AP248" s="6">
        <v>7</v>
      </c>
      <c r="AQ248" s="11">
        <f t="shared" si="85"/>
        <v>1.4024422154382905E-6</v>
      </c>
      <c r="AR248" s="11">
        <f t="shared" si="86"/>
        <v>2.6933559035124839E-6</v>
      </c>
      <c r="AS248" s="11">
        <f t="shared" si="80"/>
        <v>4.9389810426540281E-6</v>
      </c>
      <c r="AT248" s="11">
        <f t="shared" si="81"/>
        <v>8.8648877594239736E-6</v>
      </c>
      <c r="AU248" s="11">
        <f t="shared" si="82"/>
        <v>1.6903096029386039E-5</v>
      </c>
      <c r="AV248" s="11">
        <f t="shared" si="83"/>
        <v>2.4016736401673637E-5</v>
      </c>
    </row>
    <row r="249" spans="7:48" ht="15.75" thickBot="1">
      <c r="G249" s="55" t="s">
        <v>58</v>
      </c>
      <c r="H249" s="55" t="s">
        <v>84</v>
      </c>
      <c r="I249" s="55">
        <f t="shared" si="71"/>
        <v>298.14999999999998</v>
      </c>
      <c r="J249" s="65">
        <v>7.0000000000000007E-2</v>
      </c>
      <c r="K249" s="57">
        <v>10.07</v>
      </c>
      <c r="L249" s="56">
        <v>6.0979999999999999E-2</v>
      </c>
      <c r="M249" s="65">
        <v>6.3E-2</v>
      </c>
      <c r="N249" s="19">
        <f t="shared" si="70"/>
        <v>7.7740728975259882E-2</v>
      </c>
      <c r="O249" s="57">
        <v>6.1142071360000001</v>
      </c>
      <c r="P249" s="55">
        <v>82.5</v>
      </c>
      <c r="Q249" s="56">
        <v>0.27300000000000002</v>
      </c>
      <c r="R249" s="55">
        <v>10.72</v>
      </c>
      <c r="S249" s="56">
        <v>98390</v>
      </c>
      <c r="T249" s="60">
        <f t="shared" si="72"/>
        <v>1.0895416200833418E-4</v>
      </c>
      <c r="U249" s="55">
        <v>1.044E-4</v>
      </c>
      <c r="V249" s="19">
        <f t="shared" si="73"/>
        <v>5.0785867518935244E-5</v>
      </c>
      <c r="W249" s="19">
        <f t="shared" si="76"/>
        <v>6.4243952599464389E-7</v>
      </c>
      <c r="X249" s="19">
        <f t="shared" si="74"/>
        <v>5.3001260894558124E-5</v>
      </c>
      <c r="Z249" s="72" t="s">
        <v>67</v>
      </c>
      <c r="AA249" s="10">
        <v>7.5</v>
      </c>
      <c r="AB249" s="10">
        <f t="shared" si="77"/>
        <v>1.85</v>
      </c>
      <c r="AC249" s="77">
        <f t="shared" si="78"/>
        <v>8.574535882967715E-6</v>
      </c>
      <c r="AJ249">
        <v>7.2</v>
      </c>
      <c r="AK249" s="2">
        <f t="shared" si="84"/>
        <v>1.1232807288309282E-4</v>
      </c>
      <c r="AL249" s="2">
        <f t="shared" si="79"/>
        <v>5.2003671590675206E-5</v>
      </c>
      <c r="AP249" s="6">
        <v>7.1</v>
      </c>
      <c r="AQ249" s="11">
        <f t="shared" si="85"/>
        <v>1.4101772589710334E-6</v>
      </c>
      <c r="AR249" s="11">
        <f t="shared" si="86"/>
        <v>2.7089047419219477E-6</v>
      </c>
      <c r="AS249" s="11">
        <f t="shared" si="80"/>
        <v>4.9605592491200621E-6</v>
      </c>
      <c r="AT249" s="11">
        <f t="shared" si="81"/>
        <v>8.8973176865046101E-6</v>
      </c>
      <c r="AU249" s="11">
        <f t="shared" si="82"/>
        <v>1.6995925091035201E-5</v>
      </c>
      <c r="AV249" s="11">
        <f t="shared" si="83"/>
        <v>2.410766045548654E-5</v>
      </c>
    </row>
    <row r="250" spans="7:48">
      <c r="G250" s="40" t="s">
        <v>55</v>
      </c>
      <c r="H250" s="40" t="s">
        <v>84</v>
      </c>
      <c r="I250" s="40">
        <f t="shared" si="71"/>
        <v>298.14999999999998</v>
      </c>
      <c r="J250" s="38">
        <v>8.5000000000000006E-2</v>
      </c>
      <c r="K250" s="42">
        <v>10.34</v>
      </c>
      <c r="L250" s="41">
        <v>7.8750000000000001E-2</v>
      </c>
      <c r="M250" s="61">
        <v>8.2000000000000003E-2</v>
      </c>
      <c r="N250" s="19">
        <f t="shared" si="70"/>
        <v>8.8692165793828243E-2</v>
      </c>
      <c r="O250" s="42">
        <v>1.528551784</v>
      </c>
      <c r="P250" s="40">
        <v>82.5</v>
      </c>
      <c r="Q250" s="41">
        <v>0.27300000000000002</v>
      </c>
      <c r="R250" s="40">
        <v>0.49809999999999999</v>
      </c>
      <c r="S250" s="41">
        <v>13040</v>
      </c>
      <c r="T250" s="45">
        <f t="shared" si="72"/>
        <v>3.8197852760736198E-5</v>
      </c>
      <c r="U250" s="41"/>
      <c r="V250" s="19">
        <f t="shared" si="73"/>
        <v>0</v>
      </c>
      <c r="W250" s="19">
        <f t="shared" si="76"/>
        <v>2.2523059210664618E-7</v>
      </c>
      <c r="X250" s="19">
        <f t="shared" si="74"/>
        <v>1.8581523848798311E-5</v>
      </c>
      <c r="Z250" s="72" t="s">
        <v>67</v>
      </c>
      <c r="AA250" s="10">
        <v>7.5</v>
      </c>
      <c r="AB250" s="10">
        <f t="shared" si="77"/>
        <v>3.7</v>
      </c>
      <c r="AC250" s="77">
        <f t="shared" si="78"/>
        <v>1.1686529601110438E-5</v>
      </c>
      <c r="AJ250">
        <v>7.3</v>
      </c>
      <c r="AK250" s="2">
        <f t="shared" si="84"/>
        <v>1.4088905998440622E-4</v>
      </c>
      <c r="AL250" s="2">
        <f t="shared" si="79"/>
        <v>6.5426442778659691E-5</v>
      </c>
      <c r="AP250" s="6">
        <v>7.2</v>
      </c>
      <c r="AQ250" s="11">
        <f t="shared" si="85"/>
        <v>1.4177796828118305E-6</v>
      </c>
      <c r="AR250" s="11">
        <f t="shared" si="86"/>
        <v>2.7241947565543074E-6</v>
      </c>
      <c r="AS250" s="11">
        <f t="shared" si="80"/>
        <v>4.9817195972114642E-6</v>
      </c>
      <c r="AT250" s="11">
        <f t="shared" si="81"/>
        <v>8.9290750725839902E-6</v>
      </c>
      <c r="AU250" s="11">
        <f t="shared" si="82"/>
        <v>1.7087158329035586E-5</v>
      </c>
      <c r="AV250" s="11">
        <f t="shared" si="83"/>
        <v>2.419672131147541E-5</v>
      </c>
    </row>
    <row r="251" spans="7:48">
      <c r="G251" s="14" t="s">
        <v>55</v>
      </c>
      <c r="H251" s="14" t="s">
        <v>84</v>
      </c>
      <c r="I251" s="14">
        <f t="shared" si="71"/>
        <v>298.14999999999998</v>
      </c>
      <c r="J251" s="38">
        <v>0.08</v>
      </c>
      <c r="K251" s="36">
        <v>10.34</v>
      </c>
      <c r="L251" s="21">
        <v>7.4109999999999995E-2</v>
      </c>
      <c r="M251" s="38">
        <v>7.6999999999999999E-2</v>
      </c>
      <c r="N251" s="19">
        <f t="shared" si="70"/>
        <v>8.5945609646549098E-2</v>
      </c>
      <c r="O251" s="36">
        <v>3.057103568</v>
      </c>
      <c r="P251" s="14">
        <v>82.5</v>
      </c>
      <c r="Q251" s="21">
        <v>0.27300000000000002</v>
      </c>
      <c r="R251" s="14">
        <v>0.9163</v>
      </c>
      <c r="S251" s="21">
        <v>12420</v>
      </c>
      <c r="T251" s="19">
        <f t="shared" si="72"/>
        <v>7.3776167471819649E-5</v>
      </c>
      <c r="U251" s="21"/>
      <c r="V251" s="19">
        <f t="shared" si="73"/>
        <v>0</v>
      </c>
      <c r="W251" s="19">
        <f t="shared" si="76"/>
        <v>4.3501528704035905E-7</v>
      </c>
      <c r="X251" s="19">
        <f t="shared" si="74"/>
        <v>3.5888761180829623E-5</v>
      </c>
      <c r="Z251" s="72" t="s">
        <v>67</v>
      </c>
      <c r="AA251" s="10">
        <v>7.5</v>
      </c>
      <c r="AB251" s="10">
        <f t="shared" si="77"/>
        <v>5.55</v>
      </c>
      <c r="AC251" s="77">
        <f t="shared" si="78"/>
        <v>1.2729378559849756E-5</v>
      </c>
      <c r="AJ251">
        <v>7.4</v>
      </c>
      <c r="AK251" s="2">
        <f t="shared" si="84"/>
        <v>1.7654334893591581E-4</v>
      </c>
      <c r="AL251" s="2">
        <f t="shared" si="79"/>
        <v>8.2282750858402807E-5</v>
      </c>
      <c r="AP251" s="6">
        <v>7.3</v>
      </c>
      <c r="AQ251" s="11">
        <f t="shared" si="85"/>
        <v>1.4252528686782829E-6</v>
      </c>
      <c r="AR251" s="11">
        <f t="shared" si="86"/>
        <v>2.7392323565827489E-6</v>
      </c>
      <c r="AS251" s="11">
        <f t="shared" si="80"/>
        <v>5.00247410817031E-6</v>
      </c>
      <c r="AT251" s="11">
        <f t="shared" si="81"/>
        <v>8.960180623973727E-6</v>
      </c>
      <c r="AU251" s="11">
        <f t="shared" si="82"/>
        <v>1.7176836543378219E-5</v>
      </c>
      <c r="AV251" s="11">
        <f t="shared" si="83"/>
        <v>2.4283975659229207E-5</v>
      </c>
    </row>
    <row r="252" spans="7:48" ht="15.75" thickBot="1">
      <c r="G252" s="14" t="s">
        <v>55</v>
      </c>
      <c r="H252" s="14" t="s">
        <v>84</v>
      </c>
      <c r="I252" s="14">
        <f t="shared" si="71"/>
        <v>298.14999999999998</v>
      </c>
      <c r="J252" s="38">
        <v>7.4999999999999997E-2</v>
      </c>
      <c r="K252" s="36">
        <v>10.34</v>
      </c>
      <c r="L252" s="21">
        <v>6.948E-2</v>
      </c>
      <c r="M252" s="38">
        <v>7.2999999999999995E-2</v>
      </c>
      <c r="N252" s="19">
        <f t="shared" si="70"/>
        <v>8.3683486142551777E-2</v>
      </c>
      <c r="O252" s="36">
        <v>4.5856553519999999</v>
      </c>
      <c r="P252" s="14">
        <v>82.5</v>
      </c>
      <c r="Q252" s="21">
        <v>0.27300000000000002</v>
      </c>
      <c r="R252" s="14">
        <v>1.0940000000000001</v>
      </c>
      <c r="S252" s="21">
        <v>10120</v>
      </c>
      <c r="T252" s="19">
        <f t="shared" si="72"/>
        <v>1.0810276679841898E-4</v>
      </c>
      <c r="U252" s="21"/>
      <c r="V252" s="19">
        <f t="shared" si="73"/>
        <v>0</v>
      </c>
      <c r="W252" s="19">
        <f t="shared" si="76"/>
        <v>6.3741934204746994E-7</v>
      </c>
      <c r="X252" s="19">
        <f t="shared" si="74"/>
        <v>5.2587095718916269E-5</v>
      </c>
      <c r="Z252" s="23" t="s">
        <v>67</v>
      </c>
      <c r="AA252" s="79">
        <v>7.5</v>
      </c>
      <c r="AB252" s="79">
        <f t="shared" si="77"/>
        <v>7.4</v>
      </c>
      <c r="AC252" s="77">
        <f t="shared" si="78"/>
        <v>1.5604110345580887E-5</v>
      </c>
      <c r="AJ252">
        <v>7.5</v>
      </c>
      <c r="AK252" s="2">
        <f t="shared" si="84"/>
        <v>2.2095533439590639E-4</v>
      </c>
      <c r="AL252" s="2">
        <f t="shared" si="79"/>
        <v>1.0342016793820014E-4</v>
      </c>
      <c r="AP252" s="6">
        <v>7.4</v>
      </c>
      <c r="AQ252" s="11">
        <f t="shared" si="85"/>
        <v>1.4326000842815003E-6</v>
      </c>
      <c r="AR252" s="11">
        <f t="shared" si="86"/>
        <v>2.7540237413016787E-6</v>
      </c>
      <c r="AS252" s="11">
        <f t="shared" si="80"/>
        <v>5.0228343465045592E-6</v>
      </c>
      <c r="AT252" s="11">
        <f t="shared" si="81"/>
        <v>8.9906542056074759E-6</v>
      </c>
      <c r="AU252" s="11">
        <f t="shared" si="82"/>
        <v>1.7264999154977185E-5</v>
      </c>
      <c r="AV252" s="11">
        <f t="shared" si="83"/>
        <v>2.4369477911646584E-5</v>
      </c>
    </row>
    <row r="253" spans="7:48" ht="15.75" thickBot="1">
      <c r="G253" s="14" t="s">
        <v>55</v>
      </c>
      <c r="H253" s="14" t="s">
        <v>84</v>
      </c>
      <c r="I253" s="14">
        <f t="shared" si="71"/>
        <v>298.14999999999998</v>
      </c>
      <c r="J253" s="65">
        <v>7.0000000000000007E-2</v>
      </c>
      <c r="K253" s="36">
        <v>10.34</v>
      </c>
      <c r="L253" s="21">
        <v>6.4850000000000005E-2</v>
      </c>
      <c r="M253" s="38">
        <v>6.8000000000000005E-2</v>
      </c>
      <c r="N253" s="19">
        <f t="shared" si="70"/>
        <v>8.0766783997431368E-2</v>
      </c>
      <c r="O253" s="36">
        <v>6.1142071360000001</v>
      </c>
      <c r="P253" s="14">
        <v>82.5</v>
      </c>
      <c r="Q253" s="21">
        <v>0.27300000000000002</v>
      </c>
      <c r="R253" s="14">
        <v>1.0720000000000001</v>
      </c>
      <c r="S253" s="21">
        <v>7115</v>
      </c>
      <c r="T253" s="19">
        <f t="shared" si="72"/>
        <v>1.5066760365425158E-4</v>
      </c>
      <c r="U253" s="21"/>
      <c r="V253" s="19">
        <f t="shared" si="73"/>
        <v>0</v>
      </c>
      <c r="W253" s="19">
        <f t="shared" si="76"/>
        <v>8.8839950755605071E-7</v>
      </c>
      <c r="X253" s="19">
        <f t="shared" si="74"/>
        <v>7.3292959373374189E-5</v>
      </c>
      <c r="Z253" s="72" t="s">
        <v>62</v>
      </c>
      <c r="AA253" s="10">
        <v>8</v>
      </c>
      <c r="AB253" s="10">
        <f>O289</f>
        <v>1.5850039810000001</v>
      </c>
      <c r="AC253" s="77">
        <f t="shared" si="78"/>
        <v>3.0388531616608527E-5</v>
      </c>
      <c r="AJ253">
        <v>7.6</v>
      </c>
      <c r="AK253" s="2">
        <f t="shared" si="84"/>
        <v>2.7612383927709213E-4</v>
      </c>
      <c r="AL253" s="2">
        <f t="shared" si="79"/>
        <v>1.2986511205920144E-4</v>
      </c>
      <c r="AP253" s="6">
        <v>7.5</v>
      </c>
      <c r="AQ253" s="11">
        <f t="shared" si="85"/>
        <v>1.4398244880902633E-6</v>
      </c>
      <c r="AR253" s="11">
        <f t="shared" si="86"/>
        <v>2.7685749086479905E-6</v>
      </c>
      <c r="AS253" s="11">
        <f t="shared" si="80"/>
        <v>5.0428114414753478E-6</v>
      </c>
      <c r="AT253" s="11">
        <f t="shared" si="81"/>
        <v>9.0205148833467433E-6</v>
      </c>
      <c r="AU253" s="11">
        <f t="shared" si="82"/>
        <v>1.7351684263448969E-5</v>
      </c>
      <c r="AV253" s="11">
        <f t="shared" si="83"/>
        <v>2.4453280318091447E-5</v>
      </c>
    </row>
    <row r="254" spans="7:48">
      <c r="K254" s="1"/>
      <c r="M254" s="1"/>
      <c r="Z254" s="72" t="s">
        <v>62</v>
      </c>
      <c r="AA254" s="10">
        <v>8</v>
      </c>
      <c r="AB254" s="10">
        <f t="shared" si="77"/>
        <v>3.170007961</v>
      </c>
      <c r="AC254" s="77">
        <f t="shared" si="78"/>
        <v>4.0318582700699692E-5</v>
      </c>
      <c r="AJ254">
        <v>7.7</v>
      </c>
      <c r="AK254" s="2">
        <f t="shared" si="84"/>
        <v>3.4441632797198107E-4</v>
      </c>
      <c r="AL254" s="2">
        <f t="shared" si="79"/>
        <v>1.6283011645714084E-4</v>
      </c>
      <c r="AP254" s="6">
        <v>7.6</v>
      </c>
      <c r="AQ254" s="11">
        <f t="shared" si="85"/>
        <v>1.4469291338582678E-6</v>
      </c>
      <c r="AR254" s="11">
        <f t="shared" si="86"/>
        <v>2.7828916633105117E-6</v>
      </c>
      <c r="AS254" s="11">
        <f t="shared" si="80"/>
        <v>5.0624161073825507E-6</v>
      </c>
      <c r="AT254" s="11">
        <f t="shared" si="81"/>
        <v>9.0497809637594589E-6</v>
      </c>
      <c r="AU254" s="11">
        <f t="shared" si="82"/>
        <v>1.7436928702010972E-5</v>
      </c>
      <c r="AV254" s="11">
        <f t="shared" si="83"/>
        <v>2.4535433070866137E-5</v>
      </c>
    </row>
    <row r="255" spans="7:48">
      <c r="G255" s="66" t="s">
        <v>32</v>
      </c>
      <c r="H255" s="66" t="s">
        <v>81</v>
      </c>
      <c r="I255" s="66" t="s">
        <v>35</v>
      </c>
      <c r="J255" s="66" t="s">
        <v>83</v>
      </c>
      <c r="K255" s="143" t="s">
        <v>2</v>
      </c>
      <c r="L255" s="66" t="s">
        <v>90</v>
      </c>
      <c r="M255" s="143" t="s">
        <v>80</v>
      </c>
      <c r="N255" s="66" t="s">
        <v>95</v>
      </c>
      <c r="O255" s="66" t="s">
        <v>21</v>
      </c>
      <c r="P255" s="66" t="s">
        <v>1</v>
      </c>
      <c r="Q255" s="66" t="s">
        <v>34</v>
      </c>
      <c r="R255" s="66" t="s">
        <v>16</v>
      </c>
      <c r="S255" s="66" t="s">
        <v>17</v>
      </c>
      <c r="T255" s="66" t="s">
        <v>18</v>
      </c>
      <c r="U255" s="66" t="s">
        <v>11</v>
      </c>
      <c r="V255" s="66" t="s">
        <v>276</v>
      </c>
      <c r="W255" s="66" t="s">
        <v>103</v>
      </c>
      <c r="X255" s="66" t="s">
        <v>104</v>
      </c>
      <c r="Z255" s="72" t="s">
        <v>62</v>
      </c>
      <c r="AA255" s="10">
        <v>8</v>
      </c>
      <c r="AB255" s="10">
        <f t="shared" si="77"/>
        <v>4.7550119420000003</v>
      </c>
      <c r="AC255" s="77">
        <f t="shared" si="78"/>
        <v>4.6256919885999064E-5</v>
      </c>
      <c r="AJ255">
        <v>7.8</v>
      </c>
      <c r="AK255" s="2">
        <f t="shared" si="84"/>
        <v>4.2858522445712519E-4</v>
      </c>
      <c r="AL255" s="2">
        <f t="shared" si="79"/>
        <v>2.0368702327201474E-4</v>
      </c>
      <c r="AP255" s="6">
        <v>7.6999999999999904</v>
      </c>
      <c r="AQ255" s="11">
        <f t="shared" si="85"/>
        <v>1.4539169749280717E-6</v>
      </c>
      <c r="AR255" s="11">
        <f t="shared" si="86"/>
        <v>2.7969796244506582E-6</v>
      </c>
      <c r="AS255" s="11">
        <f t="shared" si="80"/>
        <v>5.0816586627262632E-6</v>
      </c>
      <c r="AT255" s="11">
        <f t="shared" si="81"/>
        <v>9.0784700315457389E-6</v>
      </c>
      <c r="AU255" s="11">
        <f t="shared" si="82"/>
        <v>1.7520768089665399E-5</v>
      </c>
      <c r="AV255" s="11">
        <f t="shared" si="83"/>
        <v>2.4615984405458079E-5</v>
      </c>
    </row>
    <row r="256" spans="7:48" ht="15.75" thickBot="1">
      <c r="G256" s="14" t="s">
        <v>63</v>
      </c>
      <c r="H256" s="14" t="s">
        <v>82</v>
      </c>
      <c r="I256" s="14">
        <f>25+273.15</f>
        <v>298.14999999999998</v>
      </c>
      <c r="J256" s="38">
        <v>0.08</v>
      </c>
      <c r="K256" s="36">
        <v>5.64</v>
      </c>
      <c r="L256" s="21">
        <v>8.4500000000000006E-2</v>
      </c>
      <c r="M256" s="36">
        <v>8.4000000000000005E-2</v>
      </c>
      <c r="N256" s="19">
        <f t="shared" ref="N256:N299" si="87">10^(-(1.824*10^6)/(78.54*I256)^(3/2))*SQRT(M256)</f>
        <v>8.9767261601728071E-2</v>
      </c>
      <c r="O256" s="36">
        <v>1.849774432</v>
      </c>
      <c r="P256" s="14">
        <v>82.5</v>
      </c>
      <c r="Q256" s="21">
        <f>0.17533</f>
        <v>0.17533000000000001</v>
      </c>
      <c r="R256" s="14">
        <v>0.1898</v>
      </c>
      <c r="S256" s="21">
        <v>124300</v>
      </c>
      <c r="T256" s="19">
        <f>R256/S256</f>
        <v>1.5269509251810136E-6</v>
      </c>
      <c r="U256" s="21">
        <v>1.437E-6</v>
      </c>
      <c r="V256" s="19">
        <f>U256/($C$3*Q256)</f>
        <v>1.088442670315714E-6</v>
      </c>
      <c r="W256" s="19">
        <f>T256/(Q256*P256*$C$3)</f>
        <v>1.4019093165011894E-8</v>
      </c>
      <c r="X256" s="19">
        <f>W256*P256</f>
        <v>1.1565751861134813E-6</v>
      </c>
      <c r="Z256" s="139" t="s">
        <v>243</v>
      </c>
      <c r="AA256" s="79">
        <v>8</v>
      </c>
      <c r="AB256" s="79">
        <f t="shared" si="77"/>
        <v>6.3400159220000001</v>
      </c>
      <c r="AC256" s="77">
        <f t="shared" si="78"/>
        <v>4.7786950640374667E-5</v>
      </c>
      <c r="AJ256">
        <v>7.9</v>
      </c>
      <c r="AK256" s="2">
        <f t="shared" si="84"/>
        <v>5.317496548343935E-4</v>
      </c>
      <c r="AL256" s="2">
        <f t="shared" si="79"/>
        <v>2.538674028837651E-4</v>
      </c>
      <c r="AP256" s="6">
        <v>7.7999999999999901</v>
      </c>
      <c r="AQ256" s="11">
        <f t="shared" si="85"/>
        <v>1.4607908683245002E-6</v>
      </c>
      <c r="AR256" s="11">
        <f t="shared" si="86"/>
        <v>2.8108442330558844E-6</v>
      </c>
      <c r="AS256" s="11">
        <f t="shared" si="80"/>
        <v>5.1005490483162497E-6</v>
      </c>
      <c r="AT256" s="11">
        <f t="shared" si="81"/>
        <v>9.1065989847715715E-6</v>
      </c>
      <c r="AU256" s="11">
        <f t="shared" si="82"/>
        <v>1.7603236880823927E-5</v>
      </c>
      <c r="AV256" s="11">
        <f t="shared" si="83"/>
        <v>2.4694980694980682E-5</v>
      </c>
    </row>
    <row r="257" spans="7:57">
      <c r="G257" s="14" t="s">
        <v>63</v>
      </c>
      <c r="H257" s="14" t="s">
        <v>82</v>
      </c>
      <c r="I257" s="14">
        <f t="shared" ref="I257:I299" si="88">25+273.15</f>
        <v>298.14999999999998</v>
      </c>
      <c r="J257" s="38">
        <v>7.0000000000000007E-2</v>
      </c>
      <c r="K257" s="36">
        <v>5.64</v>
      </c>
      <c r="L257" s="21">
        <v>7.3940000000000006E-2</v>
      </c>
      <c r="M257" s="36">
        <v>7.3999999999999996E-2</v>
      </c>
      <c r="N257" s="19">
        <f t="shared" si="87"/>
        <v>8.4254711109274127E-2</v>
      </c>
      <c r="O257" s="36">
        <v>5.5493232969999999</v>
      </c>
      <c r="P257" s="14">
        <v>82.5</v>
      </c>
      <c r="Q257" s="21">
        <f>0.17533</f>
        <v>0.17533000000000001</v>
      </c>
      <c r="R257" s="14">
        <v>0.30959999999999999</v>
      </c>
      <c r="S257" s="21">
        <v>123000</v>
      </c>
      <c r="T257" s="19">
        <f>R257/S257</f>
        <v>2.5170731707317072E-6</v>
      </c>
      <c r="U257" s="21">
        <v>2.367E-6</v>
      </c>
      <c r="V257" s="19">
        <f t="shared" ref="V257:V299" si="89">U257/($C$3*Q257)</f>
        <v>1.7928627701025019E-6</v>
      </c>
      <c r="W257" s="19">
        <f t="shared" ref="W257:W299" si="90">T257/(Q257*P257*$C$3)</f>
        <v>2.3109507124111769E-8</v>
      </c>
      <c r="X257" s="19">
        <f t="shared" ref="X257:X299" si="91">W257*P257</f>
        <v>1.9065343377392209E-6</v>
      </c>
      <c r="Z257" s="140" t="s">
        <v>50</v>
      </c>
      <c r="AA257" s="10">
        <v>8.5</v>
      </c>
      <c r="AB257" s="10">
        <f>O218</f>
        <v>1.528551784</v>
      </c>
      <c r="AC257" s="77">
        <f>V218</f>
        <v>2.0538116155646034E-5</v>
      </c>
      <c r="AJ257">
        <v>7.9999999999999902</v>
      </c>
      <c r="AK257" s="2">
        <f t="shared" si="84"/>
        <v>6.5731776791342147E-4</v>
      </c>
      <c r="AL257" s="2">
        <f t="shared" si="79"/>
        <v>3.1462321311604108E-4</v>
      </c>
      <c r="AP257" s="6">
        <v>7.8999999999999897</v>
      </c>
      <c r="AQ257" s="11">
        <f t="shared" si="85"/>
        <v>1.4675535786494133E-6</v>
      </c>
      <c r="AR257" s="11">
        <f t="shared" si="86"/>
        <v>2.8244907589461252E-6</v>
      </c>
      <c r="AS257" s="11">
        <f t="shared" si="80"/>
        <v>5.11909684439608E-6</v>
      </c>
      <c r="AT257" s="11">
        <f t="shared" si="81"/>
        <v>9.1341840680587747E-6</v>
      </c>
      <c r="AU257" s="11">
        <f t="shared" si="82"/>
        <v>1.7684368412518234E-5</v>
      </c>
      <c r="AV257" s="11">
        <f t="shared" si="83"/>
        <v>2.4772466539196926E-5</v>
      </c>
    </row>
    <row r="258" spans="7:57" ht="15.75" thickBot="1">
      <c r="G258" s="55" t="s">
        <v>63</v>
      </c>
      <c r="H258" s="55" t="s">
        <v>82</v>
      </c>
      <c r="I258" s="55">
        <f t="shared" si="88"/>
        <v>298.14999999999998</v>
      </c>
      <c r="J258" s="65">
        <v>0.06</v>
      </c>
      <c r="K258" s="57">
        <v>5.64</v>
      </c>
      <c r="L258" s="56">
        <v>6.3369999999999996E-2</v>
      </c>
      <c r="M258" s="57">
        <v>6.3E-2</v>
      </c>
      <c r="N258" s="19">
        <f t="shared" si="87"/>
        <v>7.7740728975259882E-2</v>
      </c>
      <c r="O258" s="57">
        <v>7.3990977300000003</v>
      </c>
      <c r="P258" s="55">
        <v>82.5</v>
      </c>
      <c r="Q258" s="56">
        <f>0.17533</f>
        <v>0.17533000000000001</v>
      </c>
      <c r="R258" s="55">
        <v>0.14549999999999999</v>
      </c>
      <c r="S258" s="56">
        <v>48440</v>
      </c>
      <c r="T258" s="60">
        <f>R258/S258</f>
        <v>3.0037159372419484E-6</v>
      </c>
      <c r="U258" s="56">
        <v>2.5909999999999998E-6</v>
      </c>
      <c r="V258" s="19">
        <f t="shared" si="89"/>
        <v>1.9625295468253409E-6</v>
      </c>
      <c r="W258" s="19">
        <f t="shared" si="90"/>
        <v>2.7577424310761005E-8</v>
      </c>
      <c r="X258" s="60">
        <f t="shared" si="91"/>
        <v>2.2751375056377828E-6</v>
      </c>
      <c r="Z258" s="140" t="s">
        <v>50</v>
      </c>
      <c r="AA258" s="10">
        <v>8.5</v>
      </c>
      <c r="AB258" s="10">
        <f>O219</f>
        <v>3.057103568</v>
      </c>
      <c r="AC258" s="77">
        <f>V219</f>
        <v>3.0972568821174395E-5</v>
      </c>
      <c r="AJ258">
        <v>8.0999999999999908</v>
      </c>
      <c r="AK258" s="2">
        <f t="shared" si="84"/>
        <v>8.0881488836611736E-4</v>
      </c>
      <c r="AL258" s="2">
        <f t="shared" si="79"/>
        <v>3.8654700599257357E-4</v>
      </c>
      <c r="AP258" s="6">
        <v>7.9999999999999902</v>
      </c>
      <c r="AQ258" s="11">
        <f>($AR$169*AP258)/($AS$169+AP258)</f>
        <v>1.4742077817890088E-6</v>
      </c>
      <c r="AR258" s="11">
        <f>($AR$170*AP258)/($AS$170+AP258)</f>
        <v>2.8379243074522031E-6</v>
      </c>
      <c r="AS258" s="11">
        <f t="shared" si="80"/>
        <v>5.1373112868439959E-6</v>
      </c>
      <c r="AT258" s="11">
        <f t="shared" si="81"/>
        <v>9.1612409038682472E-6</v>
      </c>
      <c r="AU258" s="11">
        <f t="shared" si="82"/>
        <v>1.7764194949332469E-5</v>
      </c>
      <c r="AV258" s="11">
        <f t="shared" si="83"/>
        <v>2.484848484848484E-5</v>
      </c>
    </row>
    <row r="259" spans="7:57">
      <c r="G259" s="40" t="s">
        <v>64</v>
      </c>
      <c r="H259" s="40" t="s">
        <v>82</v>
      </c>
      <c r="I259" s="40">
        <f t="shared" si="88"/>
        <v>298.14999999999998</v>
      </c>
      <c r="J259" s="61">
        <v>0.08</v>
      </c>
      <c r="K259" s="42">
        <v>5.64</v>
      </c>
      <c r="L259" s="21">
        <v>8.4500000000000006E-2</v>
      </c>
      <c r="M259" s="36">
        <v>8.4000000000000005E-2</v>
      </c>
      <c r="N259" s="19">
        <f t="shared" si="87"/>
        <v>8.9767261601728071E-2</v>
      </c>
      <c r="O259" s="42">
        <v>1.849774432</v>
      </c>
      <c r="P259" s="40">
        <v>82.5</v>
      </c>
      <c r="Q259" s="41">
        <f>0.272695</f>
        <v>0.27269500000000002</v>
      </c>
      <c r="R259" s="40">
        <v>0.1313</v>
      </c>
      <c r="S259" s="41">
        <v>83350</v>
      </c>
      <c r="T259" s="45">
        <f t="shared" ref="T259:T270" si="92">R259/S259</f>
        <v>1.5752849430113978E-6</v>
      </c>
      <c r="U259" s="41">
        <v>1.3650000000000001E-6</v>
      </c>
      <c r="V259" s="19">
        <f t="shared" si="89"/>
        <v>6.6475329726766661E-7</v>
      </c>
      <c r="W259" s="19">
        <f t="shared" si="90"/>
        <v>9.2989309357570001E-9</v>
      </c>
      <c r="X259" s="45">
        <f t="shared" si="91"/>
        <v>7.6716180219995247E-7</v>
      </c>
      <c r="Z259" s="140" t="s">
        <v>50</v>
      </c>
      <c r="AA259" s="10">
        <v>8.5</v>
      </c>
      <c r="AB259" s="10">
        <f>O220</f>
        <v>4.5856553519999999</v>
      </c>
      <c r="AC259" s="77">
        <f>V220</f>
        <v>3.6362486561689744E-5</v>
      </c>
      <c r="AJ259">
        <v>8.1999999999999904</v>
      </c>
      <c r="AK259" s="2">
        <f t="shared" si="84"/>
        <v>9.8957275173995195E-4</v>
      </c>
      <c r="AL259" s="2">
        <f t="shared" si="79"/>
        <v>4.6874028600494996E-4</v>
      </c>
    </row>
    <row r="260" spans="7:57" ht="15.75" thickBot="1">
      <c r="G260" s="14" t="s">
        <v>64</v>
      </c>
      <c r="H260" s="14" t="s">
        <v>82</v>
      </c>
      <c r="I260" s="14">
        <f t="shared" si="88"/>
        <v>298.14999999999998</v>
      </c>
      <c r="J260" s="38">
        <v>7.0000000000000007E-2</v>
      </c>
      <c r="K260" s="36">
        <v>5.64</v>
      </c>
      <c r="L260" s="21">
        <v>7.3940000000000006E-2</v>
      </c>
      <c r="M260" s="36">
        <v>7.3999999999999996E-2</v>
      </c>
      <c r="N260" s="19">
        <f t="shared" si="87"/>
        <v>8.4254711109274127E-2</v>
      </c>
      <c r="O260" s="36">
        <v>3.6995488650000001</v>
      </c>
      <c r="P260" s="14">
        <v>82.5</v>
      </c>
      <c r="Q260" s="21">
        <f t="shared" ref="Q260:Q266" si="93">0.272695</f>
        <v>0.27269500000000002</v>
      </c>
      <c r="R260" s="14">
        <v>0.21329999999999999</v>
      </c>
      <c r="S260" s="21">
        <v>101300</v>
      </c>
      <c r="T260" s="19">
        <f t="shared" si="92"/>
        <v>2.1056268509378082E-6</v>
      </c>
      <c r="U260" s="21">
        <v>1.8679999999999999E-6</v>
      </c>
      <c r="V260" s="19">
        <f t="shared" si="89"/>
        <v>9.0971366981392029E-7</v>
      </c>
      <c r="W260" s="19">
        <f t="shared" si="90"/>
        <v>1.2429547270296297E-8</v>
      </c>
      <c r="X260" s="19">
        <f t="shared" si="91"/>
        <v>1.0254376497994446E-6</v>
      </c>
      <c r="Z260" s="141" t="s">
        <v>50</v>
      </c>
      <c r="AA260" s="79">
        <v>8.5</v>
      </c>
      <c r="AB260" s="79">
        <f>O221</f>
        <v>6.1142071360000001</v>
      </c>
      <c r="AC260" s="77">
        <f>V221</f>
        <v>4.1499447873949858E-5</v>
      </c>
      <c r="AD260" s="11"/>
      <c r="AE260" s="11"/>
      <c r="AJ260">
        <v>8.2999999999999901</v>
      </c>
      <c r="AK260" s="2">
        <f t="shared" si="84"/>
        <v>1.2022290686272083E-3</v>
      </c>
      <c r="AL260" s="2">
        <f t="shared" si="79"/>
        <v>5.5761323190824661E-4</v>
      </c>
    </row>
    <row r="261" spans="7:57">
      <c r="G261" s="14" t="s">
        <v>64</v>
      </c>
      <c r="H261" s="14" t="s">
        <v>82</v>
      </c>
      <c r="I261" s="14">
        <f t="shared" si="88"/>
        <v>298.14999999999998</v>
      </c>
      <c r="J261" s="38">
        <v>0.06</v>
      </c>
      <c r="K261" s="36">
        <v>5.64</v>
      </c>
      <c r="L261" s="21">
        <v>6.3369999999999996E-2</v>
      </c>
      <c r="M261" s="36">
        <v>6.3E-2</v>
      </c>
      <c r="N261" s="19">
        <f t="shared" si="87"/>
        <v>7.7740728975259882E-2</v>
      </c>
      <c r="O261" s="36">
        <v>5.5493232969999999</v>
      </c>
      <c r="P261" s="14">
        <v>82.5</v>
      </c>
      <c r="Q261" s="21">
        <f t="shared" si="93"/>
        <v>0.27269500000000002</v>
      </c>
      <c r="R261" s="14">
        <v>0.24990000000000001</v>
      </c>
      <c r="S261" s="21">
        <v>101300</v>
      </c>
      <c r="T261" s="19">
        <f t="shared" si="92"/>
        <v>2.4669299111549852E-6</v>
      </c>
      <c r="U261" s="21">
        <v>2.1880000000000001E-6</v>
      </c>
      <c r="V261" s="19">
        <f t="shared" si="89"/>
        <v>1.0655532706385749E-6</v>
      </c>
      <c r="W261" s="19">
        <f t="shared" si="90"/>
        <v>1.4562324720333076E-8</v>
      </c>
      <c r="X261" s="19">
        <f t="shared" si="91"/>
        <v>1.2013917894274787E-6</v>
      </c>
      <c r="Z261" s="140" t="s">
        <v>68</v>
      </c>
      <c r="AA261" s="10">
        <v>8.5</v>
      </c>
      <c r="AB261" s="10">
        <f>O293</f>
        <v>1.85</v>
      </c>
      <c r="AC261" s="77">
        <f>V293</f>
        <v>8.2269195633879425E-5</v>
      </c>
      <c r="AD261" s="11"/>
      <c r="AE261" s="11"/>
      <c r="AJ261">
        <v>8.3999999999999897</v>
      </c>
      <c r="AK261" s="2">
        <f t="shared" si="84"/>
        <v>1.4479928008602136E-3</v>
      </c>
      <c r="AL261" s="2">
        <f t="shared" si="79"/>
        <v>6.4564416731344697E-4</v>
      </c>
    </row>
    <row r="262" spans="7:57" ht="15.75" thickBot="1">
      <c r="G262" s="55" t="s">
        <v>64</v>
      </c>
      <c r="H262" s="55" t="s">
        <v>82</v>
      </c>
      <c r="I262" s="55">
        <f t="shared" si="88"/>
        <v>298.14999999999998</v>
      </c>
      <c r="J262" s="65">
        <v>0.05</v>
      </c>
      <c r="K262" s="57">
        <v>5.64</v>
      </c>
      <c r="L262" s="56">
        <v>5.2810000000000003E-2</v>
      </c>
      <c r="M262" s="57">
        <v>5.2999999999999999E-2</v>
      </c>
      <c r="N262" s="19">
        <f t="shared" si="87"/>
        <v>7.1304389978731106E-2</v>
      </c>
      <c r="O262" s="57">
        <v>7.3990977300000003</v>
      </c>
      <c r="P262" s="55">
        <v>82.5</v>
      </c>
      <c r="Q262" s="56">
        <f t="shared" si="93"/>
        <v>0.27269500000000002</v>
      </c>
      <c r="R262" s="55">
        <v>0.2681</v>
      </c>
      <c r="S262" s="56">
        <v>101300</v>
      </c>
      <c r="T262" s="60">
        <f t="shared" si="92"/>
        <v>2.646594274432379E-6</v>
      </c>
      <c r="U262" s="56">
        <v>2.3479999999999998E-6</v>
      </c>
      <c r="V262" s="19">
        <f t="shared" si="89"/>
        <v>1.1434730710509018E-6</v>
      </c>
      <c r="W262" s="19">
        <f t="shared" si="90"/>
        <v>1.5622886184559013E-8</v>
      </c>
      <c r="X262" s="60">
        <f t="shared" si="91"/>
        <v>1.2888881102261185E-6</v>
      </c>
      <c r="Z262" s="140" t="s">
        <v>68</v>
      </c>
      <c r="AA262" s="10">
        <v>8.5</v>
      </c>
      <c r="AB262" s="10">
        <f>O294</f>
        <v>3.7</v>
      </c>
      <c r="AC262" s="77">
        <f>V294</f>
        <v>9.5401367706893055E-5</v>
      </c>
      <c r="AD262" s="11"/>
      <c r="AE262" s="11"/>
      <c r="AJ262">
        <v>8.4999999999999893</v>
      </c>
      <c r="AK262" s="2">
        <f t="shared" si="84"/>
        <v>1.725662120870528E-3</v>
      </c>
      <c r="AL262" s="2">
        <f t="shared" si="79"/>
        <v>7.2108180777680675E-4</v>
      </c>
    </row>
    <row r="263" spans="7:57">
      <c r="G263" s="40" t="s">
        <v>65</v>
      </c>
      <c r="H263" s="40" t="s">
        <v>82</v>
      </c>
      <c r="I263" s="40">
        <f t="shared" si="88"/>
        <v>298.14999999999998</v>
      </c>
      <c r="J263" s="61">
        <v>0.08</v>
      </c>
      <c r="K263" s="42">
        <v>5.87</v>
      </c>
      <c r="L263" s="41">
        <v>0.98734999999999995</v>
      </c>
      <c r="M263" s="42">
        <v>8.6999999999999994E-2</v>
      </c>
      <c r="N263" s="19">
        <f t="shared" si="87"/>
        <v>9.1356186046062771E-2</v>
      </c>
      <c r="O263" s="42">
        <v>1.849774432</v>
      </c>
      <c r="P263" s="40">
        <v>82.5</v>
      </c>
      <c r="Q263" s="41">
        <f t="shared" si="93"/>
        <v>0.27269500000000002</v>
      </c>
      <c r="R263" s="40">
        <v>0.1188</v>
      </c>
      <c r="S263" s="41">
        <v>83350</v>
      </c>
      <c r="T263" s="45">
        <f t="shared" si="92"/>
        <v>1.4253149370125975E-6</v>
      </c>
      <c r="U263" s="41">
        <v>1.2389999999999999E-6</v>
      </c>
      <c r="V263" s="19">
        <f t="shared" si="89"/>
        <v>6.0339145444295888E-7</v>
      </c>
      <c r="W263" s="19">
        <f t="shared" si="90"/>
        <v>8.4136557133886639E-9</v>
      </c>
      <c r="X263" s="45">
        <f t="shared" si="91"/>
        <v>6.9412659635456478E-7</v>
      </c>
      <c r="Z263" s="140" t="s">
        <v>68</v>
      </c>
      <c r="AA263" s="10">
        <v>8.5</v>
      </c>
      <c r="AB263" s="10">
        <f>O295</f>
        <v>5.55</v>
      </c>
      <c r="AC263" s="77">
        <f>V295</f>
        <v>1.0207780813056804E-4</v>
      </c>
      <c r="AD263" s="11"/>
      <c r="AE263" s="11"/>
      <c r="AJ263">
        <v>8.5999999999999908</v>
      </c>
      <c r="AK263" s="2">
        <f t="shared" si="84"/>
        <v>2.0304562296593999E-3</v>
      </c>
      <c r="AL263" s="2">
        <f t="shared" si="79"/>
        <v>7.7004697377831453E-4</v>
      </c>
    </row>
    <row r="264" spans="7:57" ht="15.75" thickBot="1">
      <c r="G264" s="14" t="s">
        <v>65</v>
      </c>
      <c r="H264" s="14" t="s">
        <v>82</v>
      </c>
      <c r="I264" s="14">
        <f t="shared" si="88"/>
        <v>298.14999999999998</v>
      </c>
      <c r="J264" s="38">
        <v>7.0000000000000007E-2</v>
      </c>
      <c r="K264" s="36">
        <v>5.87</v>
      </c>
      <c r="L264" s="21">
        <v>7.6429999999999998E-2</v>
      </c>
      <c r="M264" s="36">
        <v>7.5999999999999998E-2</v>
      </c>
      <c r="N264" s="19">
        <f t="shared" si="87"/>
        <v>8.538569743452594E-2</v>
      </c>
      <c r="O264" s="36">
        <v>3.6995488650000001</v>
      </c>
      <c r="P264" s="14">
        <v>82.5</v>
      </c>
      <c r="Q264" s="21">
        <f t="shared" si="93"/>
        <v>0.27269500000000002</v>
      </c>
      <c r="R264" s="14">
        <v>0.26690000000000003</v>
      </c>
      <c r="S264" s="21">
        <v>124300</v>
      </c>
      <c r="T264" s="19">
        <f t="shared" si="92"/>
        <v>2.1472244569589706E-6</v>
      </c>
      <c r="U264" s="21">
        <v>1.95E-6</v>
      </c>
      <c r="V264" s="19">
        <f t="shared" si="89"/>
        <v>9.4964756752523798E-7</v>
      </c>
      <c r="W264" s="19">
        <f t="shared" si="90"/>
        <v>1.2675098570205357E-8</v>
      </c>
      <c r="X264" s="19">
        <f t="shared" si="91"/>
        <v>1.0456956320419419E-6</v>
      </c>
      <c r="Z264" s="141" t="s">
        <v>68</v>
      </c>
      <c r="AA264" s="79">
        <v>8.5</v>
      </c>
      <c r="AB264" s="79">
        <f>O296</f>
        <v>7.4</v>
      </c>
      <c r="AC264" s="77">
        <f>V296</f>
        <v>1.0318135200224984E-4</v>
      </c>
      <c r="AD264" s="11"/>
      <c r="AE264" s="11"/>
      <c r="AJ264">
        <v>8.6999999999999904</v>
      </c>
      <c r="AK264" s="2">
        <f t="shared" si="84"/>
        <v>2.3528522078366445E-3</v>
      </c>
      <c r="AL264" s="2">
        <f t="shared" si="79"/>
        <v>7.8149707843173184E-4</v>
      </c>
    </row>
    <row r="265" spans="7:57">
      <c r="G265" s="14" t="s">
        <v>65</v>
      </c>
      <c r="H265" s="14" t="s">
        <v>82</v>
      </c>
      <c r="I265" s="14">
        <f t="shared" si="88"/>
        <v>298.14999999999998</v>
      </c>
      <c r="J265" s="38">
        <v>0.06</v>
      </c>
      <c r="K265" s="36">
        <v>5.87</v>
      </c>
      <c r="L265" s="21">
        <v>6.5509999999999999E-2</v>
      </c>
      <c r="M265" s="36">
        <v>6.5000000000000002E-2</v>
      </c>
      <c r="N265" s="19">
        <f t="shared" si="87"/>
        <v>7.8965067744401901E-2</v>
      </c>
      <c r="O265" s="36">
        <v>5.5493232969999999</v>
      </c>
      <c r="P265" s="14">
        <v>82.5</v>
      </c>
      <c r="Q265" s="21">
        <f t="shared" si="93"/>
        <v>0.27269500000000002</v>
      </c>
      <c r="R265" s="14">
        <v>0.28120000000000001</v>
      </c>
      <c r="S265" s="21">
        <v>124300</v>
      </c>
      <c r="T265" s="19">
        <f t="shared" si="92"/>
        <v>2.2622687047465811E-6</v>
      </c>
      <c r="U265" s="21">
        <v>2.0540000000000002E-6</v>
      </c>
      <c r="V265" s="19">
        <f t="shared" si="89"/>
        <v>1.0002954377932509E-6</v>
      </c>
      <c r="W265" s="19">
        <f t="shared" si="90"/>
        <v>1.3354206511583913E-8</v>
      </c>
      <c r="X265" s="19">
        <f t="shared" si="91"/>
        <v>1.1017220372056729E-6</v>
      </c>
      <c r="Z265" s="140" t="s">
        <v>51</v>
      </c>
      <c r="AA265" s="10">
        <v>9</v>
      </c>
      <c r="AB265" s="10">
        <f t="shared" ref="AB265:AB280" si="94">O222</f>
        <v>1.528551784</v>
      </c>
      <c r="AC265" s="77">
        <f t="shared" ref="AC265:AC276" si="95">V222</f>
        <v>3.6255466534350998E-5</v>
      </c>
      <c r="AD265" s="11"/>
      <c r="AE265" s="11"/>
      <c r="AJ265">
        <v>8.7999999999999901</v>
      </c>
      <c r="AK265" s="2">
        <f t="shared" si="84"/>
        <v>2.6777941487873508E-3</v>
      </c>
      <c r="AL265" s="2">
        <f t="shared" si="79"/>
        <v>7.5260872837203314E-4</v>
      </c>
    </row>
    <row r="266" spans="7:57" ht="15.75" thickBot="1">
      <c r="G266" s="55" t="s">
        <v>65</v>
      </c>
      <c r="H266" s="55" t="s">
        <v>82</v>
      </c>
      <c r="I266" s="55">
        <f t="shared" si="88"/>
        <v>298.14999999999998</v>
      </c>
      <c r="J266" s="65">
        <v>0.05</v>
      </c>
      <c r="K266" s="57">
        <v>5.87</v>
      </c>
      <c r="L266" s="56">
        <v>5.459E-2</v>
      </c>
      <c r="M266" s="57">
        <v>5.3999999999999999E-2</v>
      </c>
      <c r="N266" s="19">
        <f t="shared" si="87"/>
        <v>7.1973929456265989E-2</v>
      </c>
      <c r="O266" s="57">
        <v>7.3990977300000003</v>
      </c>
      <c r="P266" s="55">
        <v>82.5</v>
      </c>
      <c r="Q266" s="56">
        <f t="shared" si="93"/>
        <v>0.27269500000000002</v>
      </c>
      <c r="R266" s="55">
        <v>0.2384</v>
      </c>
      <c r="S266" s="56">
        <v>124300</v>
      </c>
      <c r="T266" s="60">
        <f t="shared" si="92"/>
        <v>1.9179404666130328E-6</v>
      </c>
      <c r="U266" s="56">
        <v>1.742E-6</v>
      </c>
      <c r="V266" s="19">
        <f t="shared" si="89"/>
        <v>8.4835182698921267E-7</v>
      </c>
      <c r="W266" s="19">
        <f t="shared" si="90"/>
        <v>1.132163169403131E-8</v>
      </c>
      <c r="X266" s="60">
        <f t="shared" si="91"/>
        <v>9.3403461475758305E-7</v>
      </c>
      <c r="Z266" s="140" t="s">
        <v>51</v>
      </c>
      <c r="AA266" s="10">
        <v>9</v>
      </c>
      <c r="AB266" s="10">
        <f t="shared" si="94"/>
        <v>3.057103568</v>
      </c>
      <c r="AC266" s="77">
        <f t="shared" si="95"/>
        <v>5.5018023145513176E-5</v>
      </c>
      <c r="AD266" s="11"/>
      <c r="AE266" s="11"/>
      <c r="AJ266">
        <v>8.8999999999999897</v>
      </c>
      <c r="AK266" s="2">
        <f t="shared" si="84"/>
        <v>2.9848027239327518E-3</v>
      </c>
      <c r="AL266" s="2">
        <f t="shared" si="79"/>
        <v>6.9032799654384096E-4</v>
      </c>
    </row>
    <row r="267" spans="7:57">
      <c r="G267" s="40" t="s">
        <v>66</v>
      </c>
      <c r="H267" s="40" t="s">
        <v>82</v>
      </c>
      <c r="I267" s="40">
        <f t="shared" si="88"/>
        <v>298.14999999999998</v>
      </c>
      <c r="J267" s="61">
        <v>0.08</v>
      </c>
      <c r="K267" s="42">
        <v>6.5</v>
      </c>
      <c r="L267" s="41">
        <v>0.1041</v>
      </c>
      <c r="M267" s="42">
        <v>0.107</v>
      </c>
      <c r="N267" s="19">
        <f t="shared" si="87"/>
        <v>0.10131417744627118</v>
      </c>
      <c r="O267" s="42">
        <v>1.849774432</v>
      </c>
      <c r="P267" s="40">
        <v>82.5</v>
      </c>
      <c r="Q267" s="41">
        <f>0.240683</f>
        <v>0.24068300000000001</v>
      </c>
      <c r="R267" s="40">
        <v>0.20730000000000001</v>
      </c>
      <c r="S267" s="41">
        <v>80790</v>
      </c>
      <c r="T267" s="45">
        <f t="shared" si="92"/>
        <v>2.5659116227255848E-6</v>
      </c>
      <c r="U267" s="41">
        <v>2.204E-6</v>
      </c>
      <c r="V267" s="19">
        <f t="shared" si="89"/>
        <v>1.2161053465933618E-6</v>
      </c>
      <c r="W267" s="19">
        <f t="shared" si="90"/>
        <v>1.7161188160824026E-8</v>
      </c>
      <c r="X267" s="45">
        <f t="shared" si="91"/>
        <v>1.4157980232679822E-6</v>
      </c>
      <c r="Z267" s="140" t="s">
        <v>51</v>
      </c>
      <c r="AA267" s="10">
        <v>9</v>
      </c>
      <c r="AB267" s="10">
        <f t="shared" si="94"/>
        <v>4.5856553519999999</v>
      </c>
      <c r="AC267" s="77">
        <f t="shared" si="95"/>
        <v>6.8152299227996433E-5</v>
      </c>
      <c r="AD267" s="11"/>
      <c r="AE267" s="11"/>
      <c r="AJ267">
        <v>8.9999999999999893</v>
      </c>
      <c r="AK267" s="2">
        <f t="shared" si="84"/>
        <v>3.2495281610029464E-3</v>
      </c>
      <c r="AL267" s="2">
        <f t="shared" si="79"/>
        <v>6.0767946782723688E-4</v>
      </c>
      <c r="AS267" s="1">
        <v>6.7</v>
      </c>
      <c r="AT267">
        <v>6.7</v>
      </c>
      <c r="AU267">
        <v>6.7</v>
      </c>
      <c r="AV267">
        <v>7</v>
      </c>
      <c r="AW267">
        <v>7.5</v>
      </c>
      <c r="AX267">
        <v>8.01</v>
      </c>
      <c r="AY267">
        <v>8.5</v>
      </c>
      <c r="AZ267">
        <v>8.4600000000000009</v>
      </c>
      <c r="BA267">
        <v>8.98</v>
      </c>
      <c r="BB267">
        <v>9.23</v>
      </c>
      <c r="BC267">
        <v>9.4</v>
      </c>
      <c r="BD267">
        <v>9.51</v>
      </c>
      <c r="BE267">
        <v>9.6999999999999993</v>
      </c>
    </row>
    <row r="268" spans="7:57" ht="15.75" thickBot="1">
      <c r="G268" s="14" t="s">
        <v>66</v>
      </c>
      <c r="H268" s="14" t="s">
        <v>82</v>
      </c>
      <c r="I268" s="14">
        <f t="shared" si="88"/>
        <v>298.14999999999998</v>
      </c>
      <c r="J268" s="38">
        <v>7.0000000000000007E-2</v>
      </c>
      <c r="K268" s="36">
        <v>6.5</v>
      </c>
      <c r="L268" s="21">
        <v>9.11E-2</v>
      </c>
      <c r="M268" s="36">
        <v>9.2999999999999999E-2</v>
      </c>
      <c r="N268" s="19">
        <f t="shared" si="87"/>
        <v>9.4453881210368185E-2</v>
      </c>
      <c r="O268" s="36">
        <v>3.6995488650000001</v>
      </c>
      <c r="P268" s="14">
        <v>82.5</v>
      </c>
      <c r="Q268" s="21">
        <f>0.240683</f>
        <v>0.24068300000000001</v>
      </c>
      <c r="R268" s="14">
        <v>0.26919999999999999</v>
      </c>
      <c r="S268" s="21">
        <v>92950</v>
      </c>
      <c r="T268" s="19">
        <f t="shared" si="92"/>
        <v>2.8961807423345883E-6</v>
      </c>
      <c r="U268" s="21">
        <v>2.5349999999999999E-6</v>
      </c>
      <c r="V268" s="19">
        <f t="shared" si="89"/>
        <v>1.3987418573567025E-6</v>
      </c>
      <c r="W268" s="19">
        <f t="shared" si="90"/>
        <v>1.9370075815068056E-8</v>
      </c>
      <c r="X268" s="19">
        <f t="shared" si="91"/>
        <v>1.5980312547431146E-6</v>
      </c>
      <c r="Z268" s="142" t="s">
        <v>51</v>
      </c>
      <c r="AA268" s="79">
        <v>9</v>
      </c>
      <c r="AB268" s="79">
        <f t="shared" si="94"/>
        <v>6.1142071360000001</v>
      </c>
      <c r="AC268" s="77">
        <f t="shared" si="95"/>
        <v>8.245406651781153E-5</v>
      </c>
      <c r="AD268" s="11"/>
      <c r="AE268" s="11"/>
      <c r="AJ268">
        <v>9.0999999999999908</v>
      </c>
      <c r="AK268" s="2">
        <f t="shared" si="84"/>
        <v>3.4469966110702507E-3</v>
      </c>
      <c r="AL268" s="2">
        <f t="shared" si="79"/>
        <v>5.1806587706618818E-4</v>
      </c>
      <c r="AR268">
        <v>0</v>
      </c>
      <c r="AS268">
        <f t="shared" ref="AS268:AS299" si="96">AR268*$AH$302/($AE$302+AR268)</f>
        <v>0</v>
      </c>
      <c r="AT268">
        <f t="shared" ref="AT268:AT299" si="97">AR268*$AH$303/($AE$303+AR268)</f>
        <v>0</v>
      </c>
      <c r="AU268">
        <f t="shared" ref="AU268:AU299" si="98">AR268*$AH$304/($AE$304+AR268)</f>
        <v>0</v>
      </c>
      <c r="AV268">
        <f t="shared" ref="AV268:AV299" si="99">AR268*$AH$305/($AE$305+AR268)</f>
        <v>0</v>
      </c>
      <c r="AW268">
        <f t="shared" ref="AW268:AW299" si="100">AR268*$AH$306/($AE$306+AR268)</f>
        <v>0</v>
      </c>
      <c r="AX268">
        <f t="shared" ref="AX268:AX299" si="101">AR268*$AH$307/($AE$307+AR268)</f>
        <v>0</v>
      </c>
      <c r="AY268">
        <f t="shared" ref="AY268:AY299" si="102">AR268*$AH$309/($AE$308+AR268)</f>
        <v>0</v>
      </c>
      <c r="AZ268" t="e">
        <f>AR268*#REF!/($AE$309+AR268)</f>
        <v>#REF!</v>
      </c>
      <c r="BA268">
        <f t="shared" ref="BA268:BA299" si="103">AR268*$AH$310/($AE$310+AR268)</f>
        <v>0</v>
      </c>
      <c r="BB268">
        <f t="shared" ref="BB268:BB299" si="104">AR268*$AH$311/($AE$311+AR268)</f>
        <v>0</v>
      </c>
      <c r="BC268">
        <f t="shared" ref="BC268:BC299" si="105">AR268*$AH$312/($AE$312+AR268)</f>
        <v>0</v>
      </c>
      <c r="BD268">
        <f t="shared" ref="BD268:BD299" si="106">AR268*$AH$313/($AE$313+AR268)</f>
        <v>0</v>
      </c>
      <c r="BE268">
        <f t="shared" ref="BE268:BE299" si="107">AR268*$AH$314/($AE$314+AR268)</f>
        <v>0</v>
      </c>
    </row>
    <row r="269" spans="7:57">
      <c r="G269" s="14" t="s">
        <v>66</v>
      </c>
      <c r="H269" s="14" t="s">
        <v>82</v>
      </c>
      <c r="I269" s="14">
        <f t="shared" si="88"/>
        <v>298.14999999999998</v>
      </c>
      <c r="J269" s="38">
        <v>0.06</v>
      </c>
      <c r="K269" s="36">
        <v>6.5</v>
      </c>
      <c r="L269" s="21">
        <v>7.8090000000000007E-2</v>
      </c>
      <c r="M269" s="36">
        <v>0.08</v>
      </c>
      <c r="N269" s="19">
        <f t="shared" si="87"/>
        <v>8.7603877145516484E-2</v>
      </c>
      <c r="O269" s="36">
        <v>5.5493232969999999</v>
      </c>
      <c r="P269" s="14">
        <v>82.5</v>
      </c>
      <c r="Q269" s="21">
        <f>0.240683</f>
        <v>0.24068300000000001</v>
      </c>
      <c r="R269" s="14">
        <v>0.4834</v>
      </c>
      <c r="S269" s="21">
        <v>135200</v>
      </c>
      <c r="T269" s="19">
        <f t="shared" si="92"/>
        <v>3.5754437869822485E-6</v>
      </c>
      <c r="U269" s="21">
        <v>3.2569999999999999E-6</v>
      </c>
      <c r="V269" s="19">
        <f t="shared" si="89"/>
        <v>1.7971211950338384E-6</v>
      </c>
      <c r="W269" s="19">
        <f t="shared" si="90"/>
        <v>2.3913085331315678E-8</v>
      </c>
      <c r="X269" s="19">
        <f t="shared" si="91"/>
        <v>1.9728295398335436E-6</v>
      </c>
      <c r="Z269" s="103" t="s">
        <v>52</v>
      </c>
      <c r="AA269" s="10">
        <v>9.1999999999999993</v>
      </c>
      <c r="AB269" s="10">
        <f t="shared" si="94"/>
        <v>1.528551784</v>
      </c>
      <c r="AC269" s="77">
        <f t="shared" si="95"/>
        <v>3.506851714023028E-5</v>
      </c>
      <c r="AD269" s="11"/>
      <c r="AE269" s="11"/>
      <c r="AJ269">
        <v>9.1999999999999904</v>
      </c>
      <c r="AK269" s="2">
        <f t="shared" si="84"/>
        <v>3.5561421364425257E-3</v>
      </c>
      <c r="AL269" s="2">
        <f t="shared" si="79"/>
        <v>4.3146190868948055E-4</v>
      </c>
      <c r="AR269">
        <v>0.2</v>
      </c>
      <c r="AS269">
        <f t="shared" si="96"/>
        <v>1.9288620006258476E-7</v>
      </c>
      <c r="AT269">
        <f t="shared" si="97"/>
        <v>1.6610800744878957E-7</v>
      </c>
      <c r="AU269">
        <f t="shared" si="98"/>
        <v>2.4939805825242714E-7</v>
      </c>
      <c r="AV269">
        <f t="shared" si="99"/>
        <v>4.2944711538461536E-7</v>
      </c>
      <c r="AW269">
        <f t="shared" si="100"/>
        <v>1.4012430939226518E-6</v>
      </c>
      <c r="AX269">
        <f t="shared" si="101"/>
        <v>6.8929593589009738E-6</v>
      </c>
      <c r="AY269">
        <f t="shared" si="102"/>
        <v>1.3789508705777976E-5</v>
      </c>
      <c r="AZ269" t="e">
        <f>AR269*#REF!/($AE$309+AR269)</f>
        <v>#REF!</v>
      </c>
      <c r="BA269">
        <f t="shared" si="103"/>
        <v>5.684251508662643E-6</v>
      </c>
      <c r="BB269">
        <f t="shared" si="104"/>
        <v>5.0509915014164302E-6</v>
      </c>
      <c r="BC269">
        <f t="shared" si="105"/>
        <v>4.6450939457202501E-6</v>
      </c>
      <c r="BD269">
        <f t="shared" si="106"/>
        <v>6.0197618444388152E-6</v>
      </c>
      <c r="BE269">
        <f t="shared" si="107"/>
        <v>3.6581357126085941E-6</v>
      </c>
    </row>
    <row r="270" spans="7:57" ht="15.75" thickBot="1">
      <c r="G270" s="55" t="s">
        <v>66</v>
      </c>
      <c r="H270" s="55" t="s">
        <v>82</v>
      </c>
      <c r="I270" s="55">
        <f t="shared" si="88"/>
        <v>298.14999999999998</v>
      </c>
      <c r="J270" s="65">
        <v>0.05</v>
      </c>
      <c r="K270" s="57">
        <v>6.5</v>
      </c>
      <c r="L270" s="56">
        <v>6.5070000000000003E-2</v>
      </c>
      <c r="M270" s="57">
        <v>6.7000000000000004E-2</v>
      </c>
      <c r="N270" s="19">
        <f t="shared" si="87"/>
        <v>8.0170711024358202E-2</v>
      </c>
      <c r="O270" s="57">
        <v>7.3990977300000003</v>
      </c>
      <c r="P270" s="55">
        <v>82.5</v>
      </c>
      <c r="Q270" s="56">
        <f>0.240683</f>
        <v>0.24068300000000001</v>
      </c>
      <c r="R270" s="55">
        <v>0.45579999999999998</v>
      </c>
      <c r="S270" s="56">
        <v>135200</v>
      </c>
      <c r="T270" s="60">
        <f t="shared" si="92"/>
        <v>3.3713017751479288E-6</v>
      </c>
      <c r="U270" s="56">
        <v>3.0699999999999998E-6</v>
      </c>
      <c r="V270" s="19">
        <f t="shared" si="89"/>
        <v>1.6939398430315884E-6</v>
      </c>
      <c r="W270" s="19">
        <f t="shared" si="90"/>
        <v>2.2547754021542584E-8</v>
      </c>
      <c r="X270" s="60">
        <f t="shared" si="91"/>
        <v>1.8601897067772632E-6</v>
      </c>
      <c r="Z270" s="103" t="s">
        <v>52</v>
      </c>
      <c r="AA270" s="10">
        <v>9.1999999999999993</v>
      </c>
      <c r="AB270" s="10">
        <f t="shared" si="94"/>
        <v>3.057103568</v>
      </c>
      <c r="AC270" s="77">
        <f t="shared" si="95"/>
        <v>5.2877622598738131E-5</v>
      </c>
      <c r="AD270" s="11"/>
      <c r="AE270" s="11"/>
      <c r="AJ270">
        <v>9.2999999999999901</v>
      </c>
      <c r="AK270" s="2">
        <f t="shared" si="84"/>
        <v>3.5644173151577617E-3</v>
      </c>
      <c r="AL270" s="2">
        <f t="shared" si="79"/>
        <v>3.5353515437398976E-4</v>
      </c>
      <c r="AR270">
        <v>0.4</v>
      </c>
      <c r="AS270">
        <f t="shared" si="96"/>
        <v>3.7788903647695922E-7</v>
      </c>
      <c r="AT270">
        <f>AR270*$AH$303/($AE$303+AR270)</f>
        <v>3.2296337557443253E-7</v>
      </c>
      <c r="AU270">
        <f t="shared" si="98"/>
        <v>4.6284684684684685E-7</v>
      </c>
      <c r="AV270">
        <f t="shared" si="99"/>
        <v>8.1020408163265311E-7</v>
      </c>
      <c r="AW270">
        <f t="shared" si="100"/>
        <v>2.6214470284237726E-6</v>
      </c>
      <c r="AX270">
        <f t="shared" si="101"/>
        <v>1.2369799691833591E-5</v>
      </c>
      <c r="AY270">
        <f t="shared" si="102"/>
        <v>2.2572388127439408E-5</v>
      </c>
      <c r="AZ270" t="e">
        <f>AR270*#REF!/($AE$309+AR270)</f>
        <v>#REF!</v>
      </c>
      <c r="BA270">
        <f t="shared" si="103"/>
        <v>1.0942477047030166E-5</v>
      </c>
      <c r="BB270">
        <f t="shared" si="104"/>
        <v>9.8236914600550957E-6</v>
      </c>
      <c r="BC270">
        <f t="shared" si="105"/>
        <v>9.0539165818921651E-6</v>
      </c>
      <c r="BD270">
        <f t="shared" si="106"/>
        <v>1.1458885941644563E-5</v>
      </c>
      <c r="BE270">
        <f t="shared" si="107"/>
        <v>7.1484285386556552E-6</v>
      </c>
    </row>
    <row r="271" spans="7:57">
      <c r="G271" s="40" t="s">
        <v>59</v>
      </c>
      <c r="H271" s="40" t="s">
        <v>82</v>
      </c>
      <c r="I271" s="40">
        <f t="shared" si="88"/>
        <v>298.14999999999998</v>
      </c>
      <c r="J271" s="61">
        <v>0.08</v>
      </c>
      <c r="K271" s="42">
        <v>6.71</v>
      </c>
      <c r="L271" s="41">
        <v>1.129E-2</v>
      </c>
      <c r="M271" s="42">
        <v>0.11899999999999999</v>
      </c>
      <c r="N271" s="19">
        <f t="shared" si="87"/>
        <v>0.1068444123258373</v>
      </c>
      <c r="O271" s="42">
        <v>1.5198668310000001</v>
      </c>
      <c r="P271" s="40">
        <v>82.5</v>
      </c>
      <c r="Q271" s="41">
        <f>0.17533</f>
        <v>0.17533000000000001</v>
      </c>
      <c r="R271" s="41">
        <v>0.2266</v>
      </c>
      <c r="S271" s="41">
        <v>124300</v>
      </c>
      <c r="T271" s="45">
        <f t="shared" ref="T271:T276" si="108">R271/S271</f>
        <v>1.8230088495575221E-6</v>
      </c>
      <c r="U271" s="41">
        <v>1.68E-6</v>
      </c>
      <c r="V271" s="19">
        <f t="shared" si="89"/>
        <v>1.2725008254212941E-6</v>
      </c>
      <c r="W271" s="19">
        <f t="shared" si="90"/>
        <v>1.6737231355066888E-8</v>
      </c>
      <c r="X271" s="45">
        <f t="shared" si="91"/>
        <v>1.3808215867930182E-6</v>
      </c>
      <c r="Z271" s="103" t="s">
        <v>52</v>
      </c>
      <c r="AA271" s="10">
        <v>9.1999999999999993</v>
      </c>
      <c r="AB271" s="10">
        <f t="shared" si="94"/>
        <v>4.5856553519999999</v>
      </c>
      <c r="AC271" s="77">
        <f t="shared" si="95"/>
        <v>7.0389990708715795E-5</v>
      </c>
      <c r="AD271" s="11"/>
      <c r="AE271" s="11"/>
      <c r="AJ271">
        <v>9.3999999999999897</v>
      </c>
      <c r="AK271" s="2">
        <f xml:space="preserve"> $AK$233/(10^($AM$233-AJ271)+10^(AJ271-$AL$233)+1)</f>
        <v>3.4708444272093797E-3</v>
      </c>
      <c r="AL271" s="2">
        <f t="shared" si="79"/>
        <v>2.8652669776694839E-4</v>
      </c>
      <c r="AR271">
        <v>0.6</v>
      </c>
      <c r="AS271">
        <f t="shared" si="96"/>
        <v>5.5548212676479418E-7</v>
      </c>
      <c r="AT271">
        <f t="shared" si="97"/>
        <v>4.7131824955968032E-7</v>
      </c>
      <c r="AU271">
        <f t="shared" si="98"/>
        <v>6.4759663865546208E-7</v>
      </c>
      <c r="AV271">
        <f t="shared" si="99"/>
        <v>1.1501072961373388E-6</v>
      </c>
      <c r="AW271">
        <f t="shared" si="100"/>
        <v>3.6935679611650484E-6</v>
      </c>
      <c r="AX271">
        <f t="shared" si="101"/>
        <v>1.6826269212855148E-5</v>
      </c>
      <c r="AY271">
        <f t="shared" si="102"/>
        <v>2.8656372436045171E-5</v>
      </c>
      <c r="AZ271" t="e">
        <f>AR271*#REF!/($AE$309+AR271)</f>
        <v>#REF!</v>
      </c>
      <c r="BA271">
        <f t="shared" si="103"/>
        <v>1.5820841610980675E-5</v>
      </c>
      <c r="BB271">
        <f t="shared" si="104"/>
        <v>1.434048257372654E-5</v>
      </c>
      <c r="BC271">
        <f t="shared" si="105"/>
        <v>1.3244047619047618E-5</v>
      </c>
      <c r="BD271">
        <f t="shared" si="106"/>
        <v>1.6397515527950311E-5</v>
      </c>
      <c r="BE271">
        <f t="shared" si="107"/>
        <v>1.0482170890334156E-5</v>
      </c>
    </row>
    <row r="272" spans="7:57" ht="15.75" thickBot="1">
      <c r="G272" s="14" t="s">
        <v>59</v>
      </c>
      <c r="H272" s="14" t="s">
        <v>82</v>
      </c>
      <c r="I272" s="14">
        <f t="shared" si="88"/>
        <v>298.14999999999998</v>
      </c>
      <c r="J272" s="38">
        <v>7.0000000000000007E-2</v>
      </c>
      <c r="K272" s="36">
        <v>6.71</v>
      </c>
      <c r="L272" s="21">
        <v>9.8820000000000005E-2</v>
      </c>
      <c r="M272" s="36">
        <v>0.104</v>
      </c>
      <c r="N272" s="19">
        <f t="shared" si="87"/>
        <v>9.9883787864721921E-2</v>
      </c>
      <c r="O272" s="36">
        <v>3.0397336610000001</v>
      </c>
      <c r="P272" s="14">
        <v>82.5</v>
      </c>
      <c r="Q272" s="21">
        <f t="shared" ref="Q272:Q280" si="109">0.17533</f>
        <v>0.17533000000000001</v>
      </c>
      <c r="R272" s="14">
        <v>0.76180000000000003</v>
      </c>
      <c r="S272" s="21">
        <v>244600</v>
      </c>
      <c r="T272" s="19">
        <f t="shared" si="108"/>
        <v>3.1144726083401474E-6</v>
      </c>
      <c r="U272" s="21">
        <v>3.005E-6</v>
      </c>
      <c r="V272" s="19">
        <f t="shared" si="89"/>
        <v>2.2761101073755888E-6</v>
      </c>
      <c r="W272" s="19">
        <f t="shared" si="90"/>
        <v>2.8594292675792556E-8</v>
      </c>
      <c r="X272" s="19">
        <f t="shared" si="91"/>
        <v>2.359029145752886E-6</v>
      </c>
      <c r="Z272" s="142" t="s">
        <v>52</v>
      </c>
      <c r="AA272" s="79">
        <v>9.1999999999999993</v>
      </c>
      <c r="AB272" s="79">
        <f t="shared" si="94"/>
        <v>6.1142071360000001</v>
      </c>
      <c r="AC272" s="77">
        <f t="shared" si="95"/>
        <v>8.5324149069168981E-5</v>
      </c>
      <c r="AD272" s="11"/>
      <c r="AE272" s="11"/>
      <c r="AJ272">
        <v>9.4999999999999893</v>
      </c>
      <c r="AK272" s="2">
        <f t="shared" si="84"/>
        <v>3.2862622295504748E-3</v>
      </c>
      <c r="AL272" s="2">
        <f t="shared" si="79"/>
        <v>2.3055081396627841E-4</v>
      </c>
      <c r="AR272">
        <v>0.8</v>
      </c>
      <c r="AS272">
        <f t="shared" si="96"/>
        <v>7.2610189457151262E-7</v>
      </c>
      <c r="AT272">
        <f t="shared" si="97"/>
        <v>6.1184540298113718E-7</v>
      </c>
      <c r="AU272">
        <f t="shared" si="98"/>
        <v>8.0907086614173233E-7</v>
      </c>
      <c r="AV272">
        <f t="shared" si="99"/>
        <v>1.455397148676171E-6</v>
      </c>
      <c r="AW272">
        <f t="shared" si="100"/>
        <v>4.6430205949656745E-6</v>
      </c>
      <c r="AX272">
        <f t="shared" si="101"/>
        <v>2.052322113336174E-5</v>
      </c>
      <c r="AY272">
        <f t="shared" si="102"/>
        <v>3.3119797562762205E-5</v>
      </c>
      <c r="AZ272" t="e">
        <f>AR272*#REF!/($AE$309+AR272)</f>
        <v>#REF!</v>
      </c>
      <c r="BA272">
        <f t="shared" si="103"/>
        <v>2.0359072686072862E-5</v>
      </c>
      <c r="BB272">
        <f t="shared" si="104"/>
        <v>1.862140992167102E-5</v>
      </c>
      <c r="BC272">
        <f t="shared" si="105"/>
        <v>1.7231364956437556E-5</v>
      </c>
      <c r="BD272">
        <f t="shared" si="106"/>
        <v>2.0901693424235765E-5</v>
      </c>
      <c r="BE272">
        <f t="shared" si="107"/>
        <v>1.3669664400087738E-5</v>
      </c>
    </row>
    <row r="273" spans="7:57" ht="15.75" thickBot="1">
      <c r="G273" s="55" t="s">
        <v>59</v>
      </c>
      <c r="H273" s="55" t="s">
        <v>82</v>
      </c>
      <c r="I273" s="55">
        <f t="shared" si="88"/>
        <v>298.14999999999998</v>
      </c>
      <c r="J273" s="65">
        <v>0.05</v>
      </c>
      <c r="K273" s="57">
        <v>6.71</v>
      </c>
      <c r="L273" s="56">
        <v>7.059E-2</v>
      </c>
      <c r="M273" s="57">
        <v>7.3999999999999996E-2</v>
      </c>
      <c r="N273" s="19">
        <f t="shared" si="87"/>
        <v>8.4254711109274127E-2</v>
      </c>
      <c r="O273" s="57">
        <v>6.0794673230000003</v>
      </c>
      <c r="P273" s="55">
        <v>82.5</v>
      </c>
      <c r="Q273" s="56">
        <f t="shared" si="109"/>
        <v>0.17533000000000001</v>
      </c>
      <c r="R273" s="55">
        <v>1.0720000000000001</v>
      </c>
      <c r="S273" s="56">
        <v>213300</v>
      </c>
      <c r="T273" s="60">
        <f t="shared" si="108"/>
        <v>5.025785278949836E-6</v>
      </c>
      <c r="U273" s="56">
        <v>4.7859999999999996E-6</v>
      </c>
      <c r="V273" s="19">
        <f t="shared" si="89"/>
        <v>3.6251124705156626E-6</v>
      </c>
      <c r="W273" s="19">
        <f t="shared" si="90"/>
        <v>4.6142250475136042E-8</v>
      </c>
      <c r="X273" s="60">
        <f t="shared" si="91"/>
        <v>3.8067356641987234E-6</v>
      </c>
      <c r="Z273" s="103" t="s">
        <v>53</v>
      </c>
      <c r="AA273" s="10">
        <v>9.4</v>
      </c>
      <c r="AB273" s="10">
        <f t="shared" si="94"/>
        <v>1.528551784</v>
      </c>
      <c r="AC273" s="77">
        <f t="shared" si="95"/>
        <v>3.1692521732362365E-5</v>
      </c>
      <c r="AD273" s="11"/>
      <c r="AE273" s="11"/>
      <c r="AJ273">
        <v>9.5999999999999908</v>
      </c>
      <c r="AK273" s="2">
        <f t="shared" si="84"/>
        <v>3.0306628680766617E-3</v>
      </c>
      <c r="AL273" s="2">
        <f t="shared" si="79"/>
        <v>1.8464542373430274E-4</v>
      </c>
      <c r="AR273">
        <v>1</v>
      </c>
      <c r="AS273">
        <f t="shared" si="96"/>
        <v>8.9015115047655715E-7</v>
      </c>
      <c r="AT273">
        <f t="shared" si="97"/>
        <v>7.4514843850404837E-7</v>
      </c>
      <c r="AU273">
        <f t="shared" si="98"/>
        <v>9.5140740740740737E-7</v>
      </c>
      <c r="AV273">
        <f t="shared" si="99"/>
        <v>1.7311046511627907E-6</v>
      </c>
      <c r="AW273">
        <f t="shared" si="100"/>
        <v>5.4897186147186144E-6</v>
      </c>
      <c r="AX273">
        <f t="shared" si="101"/>
        <v>2.3639575971731452E-5</v>
      </c>
      <c r="AY273">
        <f t="shared" si="102"/>
        <v>3.6534054181113006E-5</v>
      </c>
      <c r="AZ273" t="e">
        <f>AR273*#REF!/($AE$309+AR273)</f>
        <v>#REF!</v>
      </c>
      <c r="BA273">
        <f t="shared" si="103"/>
        <v>2.4591544551120093E-5</v>
      </c>
      <c r="BB273">
        <f t="shared" si="104"/>
        <v>2.2684478371501271E-5</v>
      </c>
      <c r="BC273">
        <f t="shared" si="105"/>
        <v>2.103024574669187E-5</v>
      </c>
      <c r="BD273">
        <f t="shared" si="106"/>
        <v>2.5026332420476092E-5</v>
      </c>
      <c r="BE273">
        <f t="shared" si="107"/>
        <v>1.6720326250268299E-5</v>
      </c>
    </row>
    <row r="274" spans="7:57">
      <c r="G274" s="40" t="s">
        <v>60</v>
      </c>
      <c r="H274" s="40" t="s">
        <v>82</v>
      </c>
      <c r="I274" s="40">
        <f t="shared" si="88"/>
        <v>298.14999999999998</v>
      </c>
      <c r="J274" s="61">
        <v>0.08</v>
      </c>
      <c r="K274" s="42">
        <v>6.71</v>
      </c>
      <c r="L274" s="41">
        <v>1.129E-2</v>
      </c>
      <c r="M274" s="42">
        <v>0.11899999999999999</v>
      </c>
      <c r="N274" s="19">
        <f t="shared" si="87"/>
        <v>0.1068444123258373</v>
      </c>
      <c r="O274" s="42">
        <v>1.6139538250000001</v>
      </c>
      <c r="P274" s="40">
        <v>82.5</v>
      </c>
      <c r="Q274" s="41">
        <f t="shared" si="109"/>
        <v>0.17533000000000001</v>
      </c>
      <c r="R274" s="40">
        <v>0.14480000000000001</v>
      </c>
      <c r="S274" s="41">
        <v>69910</v>
      </c>
      <c r="T274" s="45">
        <f t="shared" si="108"/>
        <v>2.07123444428551E-6</v>
      </c>
      <c r="U274" s="41">
        <v>1.7269999999999999E-6</v>
      </c>
      <c r="V274" s="19">
        <f t="shared" si="89"/>
        <v>1.3081005508943898E-6</v>
      </c>
      <c r="W274" s="19">
        <f t="shared" si="90"/>
        <v>1.9016216017275087E-8</v>
      </c>
      <c r="X274" s="45">
        <f t="shared" si="91"/>
        <v>1.5688378214251947E-6</v>
      </c>
      <c r="Z274" s="103" t="s">
        <v>53</v>
      </c>
      <c r="AA274" s="10">
        <v>9.4</v>
      </c>
      <c r="AB274" s="10">
        <f t="shared" si="94"/>
        <v>3.057103568</v>
      </c>
      <c r="AC274" s="77">
        <f t="shared" si="95"/>
        <v>5.0542640184074444E-5</v>
      </c>
      <c r="AD274" s="11"/>
      <c r="AE274" s="11"/>
      <c r="AJ274">
        <v>9.6999999999999904</v>
      </c>
      <c r="AK274" s="2">
        <f t="shared" si="84"/>
        <v>2.7287197301838293E-3</v>
      </c>
      <c r="AL274" s="2">
        <f t="shared" si="79"/>
        <v>1.4743733351879872E-4</v>
      </c>
      <c r="AR274">
        <v>1.2</v>
      </c>
      <c r="AS274">
        <f t="shared" si="96"/>
        <v>1.0480022669311418E-6</v>
      </c>
      <c r="AT274">
        <f t="shared" si="97"/>
        <v>8.7177045483022181E-7</v>
      </c>
      <c r="AU274">
        <f t="shared" si="98"/>
        <v>1.0778181818181818E-6</v>
      </c>
      <c r="AV274">
        <f t="shared" si="99"/>
        <v>1.9813308687615522E-6</v>
      </c>
      <c r="AW274">
        <f t="shared" si="100"/>
        <v>6.2494866529774128E-6</v>
      </c>
      <c r="AX274">
        <f t="shared" si="101"/>
        <v>2.6302147797597379E-5</v>
      </c>
      <c r="AY274">
        <f t="shared" si="102"/>
        <v>3.9230162486196558E-5</v>
      </c>
      <c r="AZ274" t="e">
        <f>AR274*#REF!/($AE$309+AR274)</f>
        <v>#REF!</v>
      </c>
      <c r="BA274">
        <f t="shared" si="103"/>
        <v>2.8548150562163921E-5</v>
      </c>
      <c r="BB274">
        <f t="shared" si="104"/>
        <v>2.6545905707196027E-5</v>
      </c>
      <c r="BC274">
        <f t="shared" si="105"/>
        <v>2.4653739612188364E-5</v>
      </c>
      <c r="BD274">
        <f t="shared" si="106"/>
        <v>2.8817465130382048E-5</v>
      </c>
      <c r="BE274">
        <f t="shared" si="107"/>
        <v>1.964278209707922E-5</v>
      </c>
    </row>
    <row r="275" spans="7:57">
      <c r="G275" s="14" t="s">
        <v>60</v>
      </c>
      <c r="H275" s="14" t="s">
        <v>82</v>
      </c>
      <c r="I275" s="14">
        <f t="shared" si="88"/>
        <v>298.14999999999998</v>
      </c>
      <c r="J275" s="38">
        <v>7.0000000000000007E-2</v>
      </c>
      <c r="K275" s="36">
        <v>6.71</v>
      </c>
      <c r="L275" s="21">
        <v>9.8820000000000005E-2</v>
      </c>
      <c r="M275" s="36">
        <v>0.104</v>
      </c>
      <c r="N275" s="19">
        <f t="shared" si="87"/>
        <v>9.9883787864721921E-2</v>
      </c>
      <c r="O275" s="36">
        <v>3.2279076500000001</v>
      </c>
      <c r="P275" s="14">
        <v>82.5</v>
      </c>
      <c r="Q275" s="21">
        <f t="shared" si="109"/>
        <v>0.17533000000000001</v>
      </c>
      <c r="R275" s="14">
        <v>0.19470000000000001</v>
      </c>
      <c r="S275" s="21">
        <v>75030</v>
      </c>
      <c r="T275" s="19">
        <f t="shared" si="108"/>
        <v>2.5949620151939228E-6</v>
      </c>
      <c r="U275" s="21">
        <v>2.187E-6</v>
      </c>
      <c r="V275" s="19">
        <f t="shared" si="89"/>
        <v>1.6565233959502204E-6</v>
      </c>
      <c r="W275" s="19">
        <f t="shared" si="90"/>
        <v>2.3824612599359103E-8</v>
      </c>
      <c r="X275" s="19">
        <f t="shared" si="91"/>
        <v>1.9655305394471258E-6</v>
      </c>
      <c r="Z275" s="103" t="s">
        <v>53</v>
      </c>
      <c r="AA275" s="10">
        <v>9.4</v>
      </c>
      <c r="AB275" s="10">
        <f t="shared" si="94"/>
        <v>4.5856553519999999</v>
      </c>
      <c r="AC275" s="77">
        <f t="shared" si="95"/>
        <v>6.7373971756441869E-5</v>
      </c>
      <c r="AD275" s="11"/>
      <c r="AE275" s="11"/>
      <c r="AJ275">
        <v>9.7999999999999901</v>
      </c>
      <c r="AK275" s="2">
        <f t="shared" si="84"/>
        <v>2.4051431066070428E-3</v>
      </c>
      <c r="AL275" s="2">
        <f t="shared" si="79"/>
        <v>1.1750197932431332E-4</v>
      </c>
      <c r="AR275">
        <v>1.4</v>
      </c>
      <c r="AS275">
        <f t="shared" si="96"/>
        <v>1.1999999999999997E-6</v>
      </c>
      <c r="AT275">
        <f t="shared" si="97"/>
        <v>9.9220144236645879E-7</v>
      </c>
      <c r="AU275">
        <f t="shared" si="98"/>
        <v>1.1908344370860926E-6</v>
      </c>
      <c r="AV275">
        <f t="shared" si="99"/>
        <v>2.2094522968197876E-6</v>
      </c>
      <c r="AW275">
        <f t="shared" si="100"/>
        <v>6.9350585937499993E-6</v>
      </c>
      <c r="AX275">
        <f t="shared" si="101"/>
        <v>2.860332541567696E-5</v>
      </c>
      <c r="AY275">
        <f t="shared" si="102"/>
        <v>4.1413141742399005E-5</v>
      </c>
      <c r="AZ275" t="e">
        <f>AR275*#REF!/($AE$309+AR275)</f>
        <v>#REF!</v>
      </c>
      <c r="BA275">
        <f t="shared" si="103"/>
        <v>3.2255010257219501E-5</v>
      </c>
      <c r="BB275">
        <f t="shared" si="104"/>
        <v>3.0220338983050846E-5</v>
      </c>
      <c r="BC275">
        <f t="shared" si="105"/>
        <v>2.8113718411552344E-5</v>
      </c>
      <c r="BD275">
        <f t="shared" si="106"/>
        <v>3.2313969302506309E-5</v>
      </c>
      <c r="BE275">
        <f t="shared" si="107"/>
        <v>2.2444947520065854E-5</v>
      </c>
    </row>
    <row r="276" spans="7:57" ht="15.75" thickBot="1">
      <c r="G276" s="55" t="s">
        <v>60</v>
      </c>
      <c r="H276" s="55" t="s">
        <v>82</v>
      </c>
      <c r="I276" s="55">
        <f t="shared" si="88"/>
        <v>298.14999999999998</v>
      </c>
      <c r="J276" s="65">
        <v>0.05</v>
      </c>
      <c r="K276" s="57">
        <v>6.71</v>
      </c>
      <c r="L276" s="56">
        <v>7.059E-2</v>
      </c>
      <c r="M276" s="57">
        <v>7.3999999999999996E-2</v>
      </c>
      <c r="N276" s="19">
        <f t="shared" si="87"/>
        <v>8.4254711109274127E-2</v>
      </c>
      <c r="O276" s="57">
        <v>6.4558153000000003</v>
      </c>
      <c r="P276" s="55">
        <v>82.5</v>
      </c>
      <c r="Q276" s="56">
        <f t="shared" si="109"/>
        <v>0.17533000000000001</v>
      </c>
      <c r="R276" s="55">
        <v>0.41820000000000002</v>
      </c>
      <c r="S276" s="56">
        <v>95510</v>
      </c>
      <c r="T276" s="60">
        <f t="shared" si="108"/>
        <v>4.3785990995707258E-6</v>
      </c>
      <c r="U276" s="56">
        <v>3.8179999999999997E-6</v>
      </c>
      <c r="V276" s="19">
        <f t="shared" si="89"/>
        <v>2.8919096139633931E-6</v>
      </c>
      <c r="W276" s="19">
        <f t="shared" si="90"/>
        <v>4.0200367737320949E-8</v>
      </c>
      <c r="X276" s="60">
        <f t="shared" si="91"/>
        <v>3.3165303383289784E-6</v>
      </c>
      <c r="Z276" s="142" t="s">
        <v>53</v>
      </c>
      <c r="AA276" s="79">
        <v>9.4</v>
      </c>
      <c r="AB276" s="79">
        <f t="shared" si="94"/>
        <v>6.1142071360000001</v>
      </c>
      <c r="AC276" s="77">
        <f t="shared" si="95"/>
        <v>8.0702829706813753E-5</v>
      </c>
      <c r="AD276" s="11" t="s">
        <v>56</v>
      </c>
      <c r="AE276" s="11" t="s">
        <v>54</v>
      </c>
      <c r="AJ276">
        <v>9.8999999999999897</v>
      </c>
      <c r="AK276" s="2">
        <f t="shared" si="84"/>
        <v>2.0811795361960423E-3</v>
      </c>
      <c r="AL276" s="2">
        <f t="shared" si="79"/>
        <v>9.3530826906029483E-5</v>
      </c>
      <c r="AR276">
        <v>1.6</v>
      </c>
      <c r="AS276">
        <f t="shared" si="96"/>
        <v>1.346464002912533E-6</v>
      </c>
      <c r="AT276">
        <f t="shared" si="97"/>
        <v>1.1068846199737503E-6</v>
      </c>
      <c r="AU276">
        <f t="shared" si="98"/>
        <v>1.2924779874213836E-6</v>
      </c>
      <c r="AV276">
        <f t="shared" si="99"/>
        <v>2.4182741116751272E-6</v>
      </c>
      <c r="AW276">
        <f t="shared" si="100"/>
        <v>7.5567970204841708E-6</v>
      </c>
      <c r="AX276">
        <f t="shared" si="101"/>
        <v>3.0612011439466159E-5</v>
      </c>
      <c r="AY276">
        <f t="shared" si="102"/>
        <v>4.3216752834861183E-5</v>
      </c>
      <c r="AZ276" t="e">
        <f>AR276*#REF!/($AE$309+AR276)</f>
        <v>#REF!</v>
      </c>
      <c r="BA276">
        <f t="shared" si="103"/>
        <v>3.5735046657488144E-5</v>
      </c>
      <c r="BB276">
        <f t="shared" si="104"/>
        <v>3.3721040189125293E-5</v>
      </c>
      <c r="BC276">
        <f t="shared" si="105"/>
        <v>3.1421006178287729E-5</v>
      </c>
      <c r="BD276">
        <f t="shared" si="106"/>
        <v>3.5548905928558074E-5</v>
      </c>
      <c r="BE276">
        <f t="shared" si="107"/>
        <v>2.513409961685824E-5</v>
      </c>
    </row>
    <row r="277" spans="7:57">
      <c r="G277" s="40" t="s">
        <v>61</v>
      </c>
      <c r="H277" s="40" t="s">
        <v>82</v>
      </c>
      <c r="I277" s="40">
        <f t="shared" si="88"/>
        <v>298.14999999999998</v>
      </c>
      <c r="J277" s="61">
        <v>0.08</v>
      </c>
      <c r="K277" s="42">
        <v>6.71</v>
      </c>
      <c r="L277" s="41">
        <v>1.129E-2</v>
      </c>
      <c r="M277" s="42">
        <v>0.11899999999999999</v>
      </c>
      <c r="N277" s="19">
        <f t="shared" si="87"/>
        <v>0.1068444123258373</v>
      </c>
      <c r="O277" s="42">
        <v>1.5053919090000001</v>
      </c>
      <c r="P277" s="40">
        <v>82.5</v>
      </c>
      <c r="Q277" s="41">
        <f t="shared" si="109"/>
        <v>0.17533000000000001</v>
      </c>
      <c r="R277" s="40">
        <v>0.23019999999999999</v>
      </c>
      <c r="S277" s="41">
        <v>101300</v>
      </c>
      <c r="T277" s="45">
        <f t="shared" ref="T277:T295" si="110">R277/S277</f>
        <v>2.2724580454096743E-6</v>
      </c>
      <c r="U277" s="41">
        <v>2.0209999999999998E-6</v>
      </c>
      <c r="V277" s="19">
        <f t="shared" si="89"/>
        <v>1.5307881953431162E-6</v>
      </c>
      <c r="W277" s="19">
        <f t="shared" si="90"/>
        <v>2.0863670552085651E-8</v>
      </c>
      <c r="X277" s="45">
        <f t="shared" si="91"/>
        <v>1.7212528205470663E-6</v>
      </c>
      <c r="Z277" s="103" t="s">
        <v>244</v>
      </c>
      <c r="AA277" s="10">
        <v>9.5</v>
      </c>
      <c r="AB277" s="10">
        <f t="shared" si="94"/>
        <v>1.528551784</v>
      </c>
      <c r="AC277" s="77">
        <f>(V234+V238)/2</f>
        <v>4.040735714042486E-5</v>
      </c>
      <c r="AD277" s="11">
        <f>V234</f>
        <v>5.2828977131765965E-5</v>
      </c>
      <c r="AE277" s="11">
        <f>V238</f>
        <v>2.7985737149083758E-5</v>
      </c>
      <c r="AJ277">
        <v>9.9999999999999893</v>
      </c>
      <c r="AK277" s="2">
        <f t="shared" si="84"/>
        <v>1.7727916477127529E-3</v>
      </c>
      <c r="AL277" s="2">
        <f t="shared" si="79"/>
        <v>7.4392588313595826E-5</v>
      </c>
      <c r="AR277">
        <v>1.8</v>
      </c>
      <c r="AS277">
        <f t="shared" si="96"/>
        <v>1.4876910699919546E-6</v>
      </c>
      <c r="AT277">
        <f t="shared" si="97"/>
        <v>1.2162218855611235E-6</v>
      </c>
      <c r="AU277">
        <f t="shared" si="98"/>
        <v>1.3843832335329342E-6</v>
      </c>
      <c r="AV277">
        <f t="shared" si="99"/>
        <v>2.610146103896104E-6</v>
      </c>
      <c r="AW277">
        <f t="shared" si="100"/>
        <v>8.1232206405693949E-6</v>
      </c>
      <c r="AX277">
        <f t="shared" si="101"/>
        <v>3.2380639378547955E-5</v>
      </c>
      <c r="AY277">
        <f t="shared" si="102"/>
        <v>4.4731982252068591E-5</v>
      </c>
      <c r="AZ277" t="e">
        <f>AR277*#REF!/($AE$309+AR277)</f>
        <v>#REF!</v>
      </c>
      <c r="BA277">
        <f t="shared" si="103"/>
        <v>3.9008460739201426E-5</v>
      </c>
      <c r="BB277">
        <f t="shared" si="104"/>
        <v>3.7060046189376448E-5</v>
      </c>
      <c r="BC277">
        <f t="shared" si="105"/>
        <v>3.4585492227979271E-5</v>
      </c>
      <c r="BD277">
        <f t="shared" si="106"/>
        <v>3.8550567874526776E-5</v>
      </c>
      <c r="BE277">
        <f t="shared" si="107"/>
        <v>2.7716940106740464E-5</v>
      </c>
    </row>
    <row r="278" spans="7:57">
      <c r="G278" s="14" t="s">
        <v>61</v>
      </c>
      <c r="H278" s="14" t="s">
        <v>82</v>
      </c>
      <c r="I278" s="14">
        <f t="shared" si="88"/>
        <v>298.14999999999998</v>
      </c>
      <c r="J278" s="38">
        <v>7.0000000000000007E-2</v>
      </c>
      <c r="K278" s="36">
        <v>6.71</v>
      </c>
      <c r="L278" s="21">
        <v>9.8820000000000005E-2</v>
      </c>
      <c r="M278" s="36">
        <v>0.104</v>
      </c>
      <c r="N278" s="19">
        <f t="shared" si="87"/>
        <v>9.9883787864721921E-2</v>
      </c>
      <c r="O278" s="36">
        <v>3.0107838170000001</v>
      </c>
      <c r="P278" s="14">
        <v>82.5</v>
      </c>
      <c r="Q278" s="21">
        <f t="shared" si="109"/>
        <v>0.17533000000000001</v>
      </c>
      <c r="R278" s="14">
        <v>0.25209999999999999</v>
      </c>
      <c r="S278" s="21">
        <v>124300</v>
      </c>
      <c r="T278" s="19">
        <f t="shared" si="110"/>
        <v>2.0281576830249394E-6</v>
      </c>
      <c r="U278" s="21">
        <v>1.841E-6</v>
      </c>
      <c r="V278" s="19">
        <f t="shared" si="89"/>
        <v>1.3944488211908349E-6</v>
      </c>
      <c r="W278" s="19">
        <f t="shared" si="90"/>
        <v>1.8620723850893035E-8</v>
      </c>
      <c r="X278" s="19">
        <f t="shared" si="91"/>
        <v>1.5362097176986753E-6</v>
      </c>
      <c r="Z278" s="103" t="s">
        <v>244</v>
      </c>
      <c r="AA278" s="10">
        <v>9.5</v>
      </c>
      <c r="AB278" s="10">
        <f t="shared" si="94"/>
        <v>3.057103568</v>
      </c>
      <c r="AC278" s="77">
        <f>(V235+V239)/2</f>
        <v>4.7920649514275008E-5</v>
      </c>
      <c r="AD278" s="11">
        <f>V235</f>
        <v>4.8159012302438586E-5</v>
      </c>
      <c r="AE278" s="11">
        <f>V239</f>
        <v>4.7682286726111422E-5</v>
      </c>
      <c r="AR278">
        <v>2</v>
      </c>
      <c r="AS278">
        <f t="shared" si="96"/>
        <v>1.6239571441117061E-6</v>
      </c>
      <c r="AT278">
        <f t="shared" si="97"/>
        <v>1.3205785218084502E-6</v>
      </c>
      <c r="AU278">
        <f t="shared" si="98"/>
        <v>1.4678857142857142E-6</v>
      </c>
      <c r="AV278">
        <f t="shared" si="99"/>
        <v>2.7870514820592821E-6</v>
      </c>
      <c r="AW278">
        <f t="shared" si="100"/>
        <v>8.6413969335604772E-6</v>
      </c>
      <c r="AX278">
        <f t="shared" si="101"/>
        <v>3.3949816746546381E-5</v>
      </c>
      <c r="AY278">
        <f t="shared" si="102"/>
        <v>4.6022874486434465E-5</v>
      </c>
      <c r="AZ278" t="e">
        <f>AR278*#REF!/($AE$309+AR278)</f>
        <v>#REF!</v>
      </c>
      <c r="BA278">
        <f t="shared" si="103"/>
        <v>4.209312382874441E-5</v>
      </c>
      <c r="BB278">
        <f t="shared" si="104"/>
        <v>4.0248306997742669E-5</v>
      </c>
      <c r="BC278">
        <f t="shared" si="105"/>
        <v>3.7616229923922228E-5</v>
      </c>
      <c r="BD278">
        <f t="shared" si="106"/>
        <v>4.1343309552810163E-5</v>
      </c>
      <c r="BE278">
        <f t="shared" si="107"/>
        <v>3.0199651095173483E-5</v>
      </c>
    </row>
    <row r="279" spans="7:57">
      <c r="G279" s="14" t="s">
        <v>61</v>
      </c>
      <c r="H279" s="14" t="s">
        <v>82</v>
      </c>
      <c r="I279" s="14">
        <f t="shared" si="88"/>
        <v>298.14999999999998</v>
      </c>
      <c r="J279" s="38">
        <v>0.06</v>
      </c>
      <c r="K279" s="36">
        <v>6.71</v>
      </c>
      <c r="L279" s="21">
        <v>8.4699999999999998E-2</v>
      </c>
      <c r="M279" s="36">
        <v>8.8999999999999996E-2</v>
      </c>
      <c r="N279" s="19">
        <f t="shared" si="87"/>
        <v>9.2400290644326463E-2</v>
      </c>
      <c r="O279" s="36">
        <v>4.5161757260000002</v>
      </c>
      <c r="P279" s="14">
        <v>82.5</v>
      </c>
      <c r="Q279" s="21">
        <f t="shared" si="109"/>
        <v>0.17533000000000001</v>
      </c>
      <c r="R279" s="14">
        <v>0.33069999999999999</v>
      </c>
      <c r="S279" s="21">
        <v>106400</v>
      </c>
      <c r="T279" s="19">
        <f t="shared" si="110"/>
        <v>3.1080827067669173E-6</v>
      </c>
      <c r="U279" s="21">
        <v>2.779E-6</v>
      </c>
      <c r="V279" s="19">
        <f t="shared" si="89"/>
        <v>2.1049284487177239E-6</v>
      </c>
      <c r="W279" s="19">
        <f t="shared" si="90"/>
        <v>2.8535626333611488E-8</v>
      </c>
      <c r="X279" s="19">
        <f t="shared" si="91"/>
        <v>2.3541891725229479E-6</v>
      </c>
      <c r="Z279" s="103" t="s">
        <v>244</v>
      </c>
      <c r="AA279" s="10">
        <v>9.5</v>
      </c>
      <c r="AB279" s="10">
        <f t="shared" si="94"/>
        <v>4.5856553519999999</v>
      </c>
      <c r="AC279" s="77">
        <f>(V236+V240)/2</f>
        <v>6.151219298629657E-5</v>
      </c>
      <c r="AD279" s="11">
        <f>V236</f>
        <v>6.0855479182172402E-5</v>
      </c>
      <c r="AE279" s="11">
        <f>V240</f>
        <v>6.2168906790420724E-5</v>
      </c>
      <c r="AR279">
        <v>2.2000000000000002</v>
      </c>
      <c r="AS279">
        <f t="shared" si="96"/>
        <v>1.7555191162509711E-6</v>
      </c>
      <c r="AT279">
        <f t="shared" si="97"/>
        <v>1.4202872731321681E-6</v>
      </c>
      <c r="AU279">
        <f t="shared" si="98"/>
        <v>1.5440874316939889E-6</v>
      </c>
      <c r="AV279">
        <f t="shared" si="99"/>
        <v>2.9506756756756756E-6</v>
      </c>
      <c r="AW279">
        <f t="shared" si="100"/>
        <v>9.1172385620915029E-6</v>
      </c>
      <c r="AX279">
        <f t="shared" si="101"/>
        <v>3.5351481184947967E-5</v>
      </c>
      <c r="AY279">
        <f t="shared" si="102"/>
        <v>4.7135816934900236E-5</v>
      </c>
      <c r="AZ279" t="e">
        <f>AR279*#REF!/($AE$309+AR279)</f>
        <v>#REF!</v>
      </c>
      <c r="BA279">
        <f t="shared" si="103"/>
        <v>4.5004904021297462E-5</v>
      </c>
      <c r="BB279">
        <f t="shared" si="104"/>
        <v>4.3295805739514346E-5</v>
      </c>
      <c r="BC279">
        <f t="shared" si="105"/>
        <v>4.0521523178807941E-5</v>
      </c>
      <c r="BD279">
        <f t="shared" si="106"/>
        <v>4.3948209181099722E-5</v>
      </c>
      <c r="BE279">
        <f t="shared" si="107"/>
        <v>3.2587944476136146E-5</v>
      </c>
    </row>
    <row r="280" spans="7:57" ht="15.75" thickBot="1">
      <c r="G280" s="55" t="s">
        <v>61</v>
      </c>
      <c r="H280" s="55" t="s">
        <v>82</v>
      </c>
      <c r="I280" s="55">
        <f t="shared" si="88"/>
        <v>298.14999999999998</v>
      </c>
      <c r="J280" s="65">
        <v>0.05</v>
      </c>
      <c r="K280" s="57">
        <v>6.71</v>
      </c>
      <c r="L280" s="56">
        <v>7.059E-2</v>
      </c>
      <c r="M280" s="57">
        <v>7.3999999999999996E-2</v>
      </c>
      <c r="N280" s="19">
        <f t="shared" si="87"/>
        <v>8.4254711109274127E-2</v>
      </c>
      <c r="O280" s="57">
        <v>6.0215676340000002</v>
      </c>
      <c r="P280" s="55">
        <v>82.5</v>
      </c>
      <c r="Q280" s="56">
        <f t="shared" si="109"/>
        <v>0.17533000000000001</v>
      </c>
      <c r="R280" s="55">
        <v>0.33979999999999999</v>
      </c>
      <c r="S280" s="56">
        <v>91540</v>
      </c>
      <c r="T280" s="60">
        <f t="shared" si="110"/>
        <v>3.7120384531352413E-6</v>
      </c>
      <c r="U280" s="56">
        <v>3.2619999999999999E-6</v>
      </c>
      <c r="V280" s="19">
        <f t="shared" si="89"/>
        <v>2.4707724360263462E-6</v>
      </c>
      <c r="W280" s="19">
        <f t="shared" si="90"/>
        <v>3.4080606028933467E-8</v>
      </c>
      <c r="X280" s="60">
        <f t="shared" si="91"/>
        <v>2.8116499973870109E-6</v>
      </c>
      <c r="Z280" s="142" t="s">
        <v>244</v>
      </c>
      <c r="AA280" s="79">
        <v>9.5</v>
      </c>
      <c r="AB280" s="79">
        <f t="shared" si="94"/>
        <v>6.1142071360000001</v>
      </c>
      <c r="AC280" s="77">
        <f>(V237+V241)/2</f>
        <v>7.8294879091691822E-5</v>
      </c>
      <c r="AD280" s="11">
        <f>V237</f>
        <v>7.7589519820595509E-5</v>
      </c>
      <c r="AE280" s="11">
        <f>V241</f>
        <v>7.9000238362788149E-5</v>
      </c>
      <c r="AK280">
        <v>0.1</v>
      </c>
      <c r="AR280">
        <v>2.4</v>
      </c>
      <c r="AS280">
        <f t="shared" si="96"/>
        <v>1.8826164418427076E-6</v>
      </c>
      <c r="AT280">
        <f t="shared" si="97"/>
        <v>1.5156518897723562E-6</v>
      </c>
      <c r="AU280">
        <f t="shared" si="98"/>
        <v>1.6139057591623035E-6</v>
      </c>
      <c r="AV280">
        <f t="shared" si="99"/>
        <v>3.1024602026049198E-6</v>
      </c>
      <c r="AW280">
        <f t="shared" si="100"/>
        <v>9.5557299843014126E-6</v>
      </c>
      <c r="AX280">
        <f t="shared" si="101"/>
        <v>3.6611097035723334E-5</v>
      </c>
      <c r="AY280">
        <f t="shared" si="102"/>
        <v>4.8105232614372759E-5</v>
      </c>
      <c r="AZ280" t="e">
        <f>AR280*#REF!/($AE$309+AR280)</f>
        <v>#REF!</v>
      </c>
      <c r="BA280">
        <f t="shared" si="103"/>
        <v>4.7757939212212076E-5</v>
      </c>
      <c r="BB280">
        <f t="shared" si="104"/>
        <v>4.6211663066954643E-5</v>
      </c>
      <c r="BC280">
        <f t="shared" si="105"/>
        <v>4.330900243309002E-5</v>
      </c>
      <c r="BD280">
        <f t="shared" si="106"/>
        <v>4.6383601756954609E-5</v>
      </c>
      <c r="BE280">
        <f t="shared" si="107"/>
        <v>3.4887105803321514E-5</v>
      </c>
    </row>
    <row r="281" spans="7:57">
      <c r="G281" s="40" t="s">
        <v>41</v>
      </c>
      <c r="H281" s="40" t="s">
        <v>82</v>
      </c>
      <c r="I281" s="40">
        <f t="shared" si="88"/>
        <v>298.14999999999998</v>
      </c>
      <c r="J281" s="61">
        <v>0.08</v>
      </c>
      <c r="K281" s="42">
        <v>7</v>
      </c>
      <c r="L281" s="41">
        <v>0.12620000000000001</v>
      </c>
      <c r="M281" s="42">
        <v>0.14199999999999999</v>
      </c>
      <c r="N281" s="19">
        <f t="shared" si="87"/>
        <v>0.11671387981467746</v>
      </c>
      <c r="O281" s="40">
        <v>1.85</v>
      </c>
      <c r="P281" s="40">
        <v>82.5</v>
      </c>
      <c r="Q281" s="41">
        <v>0.27300000000000002</v>
      </c>
      <c r="R281" s="41">
        <v>0.45090000000000002</v>
      </c>
      <c r="S281" s="41">
        <v>73680</v>
      </c>
      <c r="T281" s="45">
        <f t="shared" si="110"/>
        <v>6.1197068403908797E-6</v>
      </c>
      <c r="U281" s="41">
        <v>5.3809999999999998E-6</v>
      </c>
      <c r="V281" s="19">
        <f t="shared" si="89"/>
        <v>2.61761257777194E-6</v>
      </c>
      <c r="W281" s="19">
        <f t="shared" si="90"/>
        <v>3.6084363270731801E-8</v>
      </c>
      <c r="X281" s="45">
        <f t="shared" si="91"/>
        <v>2.9769599698353735E-6</v>
      </c>
      <c r="Z281" s="103" t="s">
        <v>57</v>
      </c>
      <c r="AA281" s="10" t="s">
        <v>286</v>
      </c>
      <c r="AB281" s="10">
        <f t="shared" ref="AB281:AB292" si="111">O242</f>
        <v>1.528551784</v>
      </c>
      <c r="AC281" s="77">
        <f t="shared" ref="AC281:AC292" si="112">V242</f>
        <v>2.5553463800475748E-5</v>
      </c>
      <c r="AD281" s="11"/>
      <c r="AE281" s="11"/>
      <c r="AK281">
        <f>(SQRT((AK208-AK223)^2+(AK209-AK223)^2))/2</f>
        <v>2.368081281973261E-4</v>
      </c>
      <c r="AR281">
        <v>2.6</v>
      </c>
      <c r="AS281">
        <f t="shared" si="96"/>
        <v>2.0054725953115873E-6</v>
      </c>
      <c r="AT281">
        <f t="shared" si="97"/>
        <v>1.6069502185268097E-6</v>
      </c>
      <c r="AU281">
        <f t="shared" si="98"/>
        <v>1.6781105527638192E-6</v>
      </c>
      <c r="AV281">
        <f t="shared" si="99"/>
        <v>3.2436452513966483E-6</v>
      </c>
      <c r="AW281">
        <f t="shared" si="100"/>
        <v>9.9611027190332321E-6</v>
      </c>
      <c r="AX281">
        <f t="shared" si="101"/>
        <v>3.7749216300940437E-5</v>
      </c>
      <c r="AY281">
        <f t="shared" si="102"/>
        <v>4.895720386467577E-5</v>
      </c>
      <c r="AZ281" t="e">
        <f>AR281*#REF!/($AE$309+AR281)</f>
        <v>#REF!</v>
      </c>
      <c r="BA281">
        <f t="shared" si="103"/>
        <v>5.0364866657821409E-5</v>
      </c>
      <c r="BB281">
        <f t="shared" si="104"/>
        <v>4.9004228329809724E-5</v>
      </c>
      <c r="BC281">
        <f t="shared" si="105"/>
        <v>4.5985691573926863E-5</v>
      </c>
      <c r="BD281">
        <f t="shared" si="106"/>
        <v>4.8665511265164654E-5</v>
      </c>
      <c r="BE281">
        <f t="shared" si="107"/>
        <v>3.7102033339439457E-5</v>
      </c>
    </row>
    <row r="282" spans="7:57">
      <c r="G282" s="14" t="s">
        <v>41</v>
      </c>
      <c r="H282" s="14" t="s">
        <v>82</v>
      </c>
      <c r="I282" s="14">
        <f t="shared" si="88"/>
        <v>298.14999999999998</v>
      </c>
      <c r="J282" s="38">
        <v>7.0000000000000007E-2</v>
      </c>
      <c r="K282" s="36">
        <v>7</v>
      </c>
      <c r="L282" s="21">
        <v>0.1104</v>
      </c>
      <c r="M282" s="36">
        <v>0.124</v>
      </c>
      <c r="N282" s="19">
        <f t="shared" si="87"/>
        <v>0.109065947485622</v>
      </c>
      <c r="O282" s="14">
        <v>3.7</v>
      </c>
      <c r="P282" s="14">
        <v>82.5</v>
      </c>
      <c r="Q282" s="21">
        <v>0.27300000000000002</v>
      </c>
      <c r="R282" s="21">
        <v>17.39</v>
      </c>
      <c r="S282" s="21">
        <v>2089000</v>
      </c>
      <c r="T282" s="19">
        <f t="shared" si="110"/>
        <v>8.3245572044040212E-6</v>
      </c>
      <c r="U282" s="21">
        <v>8.2910000000000007E-6</v>
      </c>
      <c r="V282" s="19">
        <f t="shared" si="89"/>
        <v>4.033195666661802E-6</v>
      </c>
      <c r="W282" s="19">
        <f t="shared" si="90"/>
        <v>4.9085087581175037E-8</v>
      </c>
      <c r="X282" s="19">
        <f t="shared" si="91"/>
        <v>4.0495197254469406E-6</v>
      </c>
      <c r="Z282" s="103" t="s">
        <v>57</v>
      </c>
      <c r="AA282" s="10">
        <v>9.6999999999999993</v>
      </c>
      <c r="AB282" s="10">
        <f t="shared" si="111"/>
        <v>3.057103568</v>
      </c>
      <c r="AC282" s="77">
        <f t="shared" si="112"/>
        <v>3.9208246379561116E-5</v>
      </c>
      <c r="AD282" s="11"/>
      <c r="AE282" s="11"/>
      <c r="AN282">
        <v>7.5</v>
      </c>
      <c r="AR282">
        <v>2.8</v>
      </c>
      <c r="AS282">
        <f t="shared" si="96"/>
        <v>2.1242963813900053E-6</v>
      </c>
      <c r="AT282">
        <f t="shared" si="97"/>
        <v>1.6944369063772048E-6</v>
      </c>
      <c r="AU282">
        <f t="shared" si="98"/>
        <v>1.7373526570048308E-6</v>
      </c>
      <c r="AV282">
        <f t="shared" si="99"/>
        <v>3.3753036437246959E-6</v>
      </c>
      <c r="AW282">
        <f t="shared" si="100"/>
        <v>1.0336972343522561E-5</v>
      </c>
      <c r="AX282">
        <f t="shared" si="101"/>
        <v>3.878260869565218E-5</v>
      </c>
      <c r="AY282">
        <f t="shared" si="102"/>
        <v>4.9711854242225207E-5</v>
      </c>
      <c r="AZ282" t="e">
        <f>AR282*#REF!/($AE$309+AR282)</f>
        <v>#REF!</v>
      </c>
      <c r="BA282">
        <f t="shared" si="103"/>
        <v>5.2837016931627239E-5</v>
      </c>
      <c r="BB282">
        <f t="shared" si="104"/>
        <v>5.1681159420289851E-5</v>
      </c>
      <c r="BC282">
        <f t="shared" si="105"/>
        <v>4.8558067030397507E-5</v>
      </c>
      <c r="BD282">
        <f t="shared" si="106"/>
        <v>5.0808003665801128E-5</v>
      </c>
      <c r="BE282">
        <f t="shared" si="107"/>
        <v>3.9237272890807699E-5</v>
      </c>
    </row>
    <row r="283" spans="7:57">
      <c r="G283" s="14" t="s">
        <v>41</v>
      </c>
      <c r="H283" s="14" t="s">
        <v>82</v>
      </c>
      <c r="I283" s="14">
        <f t="shared" si="88"/>
        <v>298.14999999999998</v>
      </c>
      <c r="J283" s="38">
        <v>0.06</v>
      </c>
      <c r="K283" s="36">
        <v>7</v>
      </c>
      <c r="L283" s="21">
        <v>9.4630000000000006E-2</v>
      </c>
      <c r="M283" s="36">
        <v>0.106</v>
      </c>
      <c r="N283" s="19">
        <f t="shared" si="87"/>
        <v>0.10083963536466173</v>
      </c>
      <c r="O283" s="14">
        <v>5.55</v>
      </c>
      <c r="P283" s="14">
        <v>82.5</v>
      </c>
      <c r="Q283" s="21">
        <v>0.27300000000000002</v>
      </c>
      <c r="R283" s="21">
        <v>14.07</v>
      </c>
      <c r="S283" s="21">
        <v>1569000</v>
      </c>
      <c r="T283" s="19">
        <f t="shared" si="110"/>
        <v>8.9674952198852772E-6</v>
      </c>
      <c r="U283" s="21">
        <v>8.9199999999999993E-6</v>
      </c>
      <c r="V283" s="19">
        <f t="shared" si="89"/>
        <v>4.3391756539166891E-6</v>
      </c>
      <c r="W283" s="19">
        <f t="shared" si="90"/>
        <v>5.2876120308113179E-8</v>
      </c>
      <c r="X283" s="19">
        <f t="shared" si="91"/>
        <v>4.3622799254193377E-6</v>
      </c>
      <c r="Z283" s="103" t="s">
        <v>57</v>
      </c>
      <c r="AA283" s="10">
        <v>9.6999999999999993</v>
      </c>
      <c r="AB283" s="10">
        <f t="shared" si="111"/>
        <v>4.5856553519999999</v>
      </c>
      <c r="AC283" s="77">
        <f t="shared" si="112"/>
        <v>5.7742169295954151E-5</v>
      </c>
      <c r="AD283" s="11"/>
      <c r="AE283" s="11"/>
      <c r="AN283">
        <v>7.6</v>
      </c>
      <c r="AR283">
        <v>3</v>
      </c>
      <c r="AS283">
        <f t="shared" si="96"/>
        <v>2.2392831193993699E-6</v>
      </c>
      <c r="AT283">
        <f t="shared" si="97"/>
        <v>1.7783457724159086E-6</v>
      </c>
      <c r="AU283">
        <f t="shared" si="98"/>
        <v>1.7921860465116278E-6</v>
      </c>
      <c r="AV283">
        <f t="shared" si="99"/>
        <v>3.4983681462140991E-6</v>
      </c>
      <c r="AW283">
        <f t="shared" si="100"/>
        <v>1.0686446629213484E-5</v>
      </c>
      <c r="AX283">
        <f t="shared" si="101"/>
        <v>3.972509346822081E-5</v>
      </c>
      <c r="AY283">
        <f t="shared" si="102"/>
        <v>5.0384958262419967E-5</v>
      </c>
      <c r="AZ283" t="e">
        <f>AR283*#REF!/($AE$309+AR283)</f>
        <v>#REF!</v>
      </c>
      <c r="BA283">
        <f t="shared" si="103"/>
        <v>5.5184578556129524E-5</v>
      </c>
      <c r="BB283">
        <f t="shared" si="104"/>
        <v>5.4249492900608528E-5</v>
      </c>
      <c r="BC283">
        <f t="shared" si="105"/>
        <v>5.1032110091743117E-5</v>
      </c>
      <c r="BD283">
        <f t="shared" si="106"/>
        <v>5.2823477100933751E-5</v>
      </c>
      <c r="BE283">
        <f t="shared" si="107"/>
        <v>4.1297048948577485E-5</v>
      </c>
    </row>
    <row r="284" spans="7:57" ht="15.75" thickBot="1">
      <c r="G284" s="55" t="s">
        <v>41</v>
      </c>
      <c r="H284" s="55" t="s">
        <v>82</v>
      </c>
      <c r="I284" s="55">
        <f t="shared" si="88"/>
        <v>298.14999999999998</v>
      </c>
      <c r="J284" s="65">
        <v>0.05</v>
      </c>
      <c r="K284" s="57">
        <v>7</v>
      </c>
      <c r="L284" s="56">
        <v>7.8799999999999995E-2</v>
      </c>
      <c r="M284" s="57">
        <v>8.8999999999999996E-2</v>
      </c>
      <c r="N284" s="19">
        <f t="shared" si="87"/>
        <v>9.2400290644326463E-2</v>
      </c>
      <c r="O284" s="55">
        <v>7.4</v>
      </c>
      <c r="P284" s="55">
        <v>82.5</v>
      </c>
      <c r="Q284" s="56">
        <v>0.27300000000000002</v>
      </c>
      <c r="R284" s="56">
        <v>4.5620000000000003</v>
      </c>
      <c r="S284" s="56">
        <v>423400</v>
      </c>
      <c r="T284" s="60">
        <f t="shared" si="110"/>
        <v>1.0774681152574398E-5</v>
      </c>
      <c r="U284" s="56">
        <v>1.0550000000000001E-5</v>
      </c>
      <c r="V284" s="19">
        <f t="shared" si="89"/>
        <v>5.1320967655629004E-6</v>
      </c>
      <c r="W284" s="19">
        <f t="shared" si="90"/>
        <v>6.3532048017347253E-8</v>
      </c>
      <c r="X284" s="60">
        <f t="shared" si="91"/>
        <v>5.2413939614311482E-6</v>
      </c>
      <c r="Z284" s="142" t="s">
        <v>57</v>
      </c>
      <c r="AA284" s="79">
        <v>9.6999999999999993</v>
      </c>
      <c r="AB284" s="79">
        <f t="shared" si="111"/>
        <v>6.1142071360000001</v>
      </c>
      <c r="AC284" s="77">
        <f t="shared" si="112"/>
        <v>6.5282216676638982E-5</v>
      </c>
      <c r="AD284" s="11"/>
      <c r="AE284" s="11"/>
      <c r="AN284">
        <f>(AN282+AN283)/2</f>
        <v>7.55</v>
      </c>
      <c r="AR284">
        <v>3.2</v>
      </c>
      <c r="AS284">
        <f t="shared" si="96"/>
        <v>2.3506157146262017E-6</v>
      </c>
      <c r="AT284">
        <f t="shared" si="97"/>
        <v>1.8588918945997397E-6</v>
      </c>
      <c r="AU284">
        <f t="shared" si="98"/>
        <v>1.8430852017937217E-6</v>
      </c>
      <c r="AV284">
        <f t="shared" si="99"/>
        <v>3.6136536030341339E-6</v>
      </c>
      <c r="AW284">
        <f t="shared" si="100"/>
        <v>1.1012211668928084E-5</v>
      </c>
      <c r="AX284">
        <f t="shared" si="101"/>
        <v>4.0588160943753955E-5</v>
      </c>
      <c r="AY284">
        <f t="shared" si="102"/>
        <v>5.0989056052489943E-5</v>
      </c>
      <c r="AZ284" t="e">
        <f>AR284*#REF!/($AE$309+AR284)</f>
        <v>#REF!</v>
      </c>
      <c r="BA284">
        <f t="shared" si="103"/>
        <v>5.7416738355659335E-5</v>
      </c>
      <c r="BB284">
        <f t="shared" si="104"/>
        <v>5.671570576540755E-5</v>
      </c>
      <c r="BC284">
        <f t="shared" si="105"/>
        <v>5.3413353338334575E-5</v>
      </c>
      <c r="BD284">
        <f t="shared" si="106"/>
        <v>5.4722901972074282E-5</v>
      </c>
      <c r="BE284">
        <f t="shared" si="107"/>
        <v>4.3285292585518317E-5</v>
      </c>
    </row>
    <row r="285" spans="7:57">
      <c r="G285" s="40" t="s">
        <v>67</v>
      </c>
      <c r="H285" s="40" t="s">
        <v>82</v>
      </c>
      <c r="I285" s="40">
        <f t="shared" si="88"/>
        <v>298.14999999999998</v>
      </c>
      <c r="J285" s="61">
        <v>0.08</v>
      </c>
      <c r="K285" s="42">
        <v>7.5</v>
      </c>
      <c r="L285" s="41">
        <v>0.1449</v>
      </c>
      <c r="M285" s="42">
        <v>0.187</v>
      </c>
      <c r="N285" s="19">
        <f t="shared" si="87"/>
        <v>0.13393655902158033</v>
      </c>
      <c r="O285" s="40">
        <v>1.85</v>
      </c>
      <c r="P285" s="40">
        <v>82.5</v>
      </c>
      <c r="Q285" s="41">
        <f>0.240683</f>
        <v>0.24068300000000001</v>
      </c>
      <c r="R285" s="40">
        <v>1.323</v>
      </c>
      <c r="S285" s="41">
        <v>83350</v>
      </c>
      <c r="T285" s="45">
        <f t="shared" si="110"/>
        <v>1.5872825434913017E-5</v>
      </c>
      <c r="U285" s="41">
        <v>1.554E-5</v>
      </c>
      <c r="V285" s="19">
        <f t="shared" si="89"/>
        <v>8.574535882967715E-6</v>
      </c>
      <c r="W285" s="19">
        <f t="shared" si="90"/>
        <v>1.0615975293923348E-7</v>
      </c>
      <c r="X285" s="45">
        <f t="shared" si="91"/>
        <v>8.7581796174867622E-6</v>
      </c>
      <c r="Z285" s="103" t="s">
        <v>58</v>
      </c>
      <c r="AA285" s="145">
        <v>10.07</v>
      </c>
      <c r="AB285" s="1">
        <f t="shared" si="111"/>
        <v>1.528551784</v>
      </c>
      <c r="AC285" s="2">
        <f>V246</f>
        <v>1.4233663636054073E-5</v>
      </c>
      <c r="AE285" s="11"/>
      <c r="AN285" s="6">
        <f>SQRT((AN282-AN284)^2+(AN283-AN284)^2)</f>
        <v>7.0710678118654502E-2</v>
      </c>
      <c r="AR285">
        <v>3.4</v>
      </c>
      <c r="AS285">
        <f t="shared" si="96"/>
        <v>2.4584656291546098E-6</v>
      </c>
      <c r="AT285">
        <f t="shared" si="97"/>
        <v>1.9362734505451331E-6</v>
      </c>
      <c r="AU285">
        <f t="shared" si="98"/>
        <v>1.8904588744588742E-6</v>
      </c>
      <c r="AV285">
        <f t="shared" si="99"/>
        <v>3.7218749999999998E-6</v>
      </c>
      <c r="AW285">
        <f t="shared" si="100"/>
        <v>1.1316601049868767E-5</v>
      </c>
      <c r="AX285">
        <f t="shared" si="101"/>
        <v>4.1381443298969068E-5</v>
      </c>
      <c r="AY285">
        <f t="shared" si="102"/>
        <v>5.1534241899700112E-5</v>
      </c>
      <c r="AZ285" t="e">
        <f>AR285*#REF!/($AE$309+AR285)</f>
        <v>#REF!</v>
      </c>
      <c r="BA285">
        <f t="shared" si="103"/>
        <v>5.9541801607292797E-5</v>
      </c>
      <c r="BB285">
        <f t="shared" si="104"/>
        <v>5.9085769980506825E-5</v>
      </c>
      <c r="BC285">
        <f t="shared" si="105"/>
        <v>5.5706921944035341E-5</v>
      </c>
      <c r="BD285">
        <f t="shared" si="106"/>
        <v>5.6516020707989365E-5</v>
      </c>
      <c r="BE285">
        <f t="shared" si="107"/>
        <v>4.5205666495989067E-5</v>
      </c>
    </row>
    <row r="286" spans="7:57">
      <c r="G286" s="14" t="s">
        <v>67</v>
      </c>
      <c r="H286" s="14" t="s">
        <v>82</v>
      </c>
      <c r="I286" s="14">
        <f t="shared" si="88"/>
        <v>298.14999999999998</v>
      </c>
      <c r="J286" s="38">
        <v>7.0000000000000007E-2</v>
      </c>
      <c r="K286" s="36">
        <v>7.5</v>
      </c>
      <c r="L286" s="21">
        <v>0.1268</v>
      </c>
      <c r="M286" s="36">
        <v>0.16300000000000001</v>
      </c>
      <c r="N286" s="19">
        <f t="shared" si="87"/>
        <v>0.12504667150813428</v>
      </c>
      <c r="O286" s="14">
        <v>3.7</v>
      </c>
      <c r="P286" s="14">
        <v>82.5</v>
      </c>
      <c r="Q286" s="21">
        <f>0.240683</f>
        <v>0.24068300000000001</v>
      </c>
      <c r="R286" s="14">
        <v>1.804</v>
      </c>
      <c r="S286" s="21">
        <v>83350</v>
      </c>
      <c r="T286" s="19">
        <f t="shared" si="110"/>
        <v>2.1643671265746851E-5</v>
      </c>
      <c r="U286" s="21">
        <v>2.1180000000000001E-5</v>
      </c>
      <c r="V286" s="19">
        <f t="shared" si="89"/>
        <v>1.1686529601110438E-5</v>
      </c>
      <c r="W286" s="19">
        <f t="shared" si="90"/>
        <v>1.447560047637016E-7</v>
      </c>
      <c r="X286" s="19">
        <f t="shared" si="91"/>
        <v>1.1942370393005382E-5</v>
      </c>
      <c r="Z286" s="103" t="s">
        <v>58</v>
      </c>
      <c r="AA286" s="145">
        <v>10.07</v>
      </c>
      <c r="AB286" s="1">
        <f t="shared" si="111"/>
        <v>3.057103568</v>
      </c>
      <c r="AC286" s="2">
        <f t="shared" si="112"/>
        <v>2.9041343782379638E-5</v>
      </c>
      <c r="AE286" s="11"/>
      <c r="AR286">
        <v>3.6</v>
      </c>
      <c r="AS286">
        <f t="shared" si="96"/>
        <v>2.5629937629937627E-6</v>
      </c>
      <c r="AT286">
        <f t="shared" si="97"/>
        <v>2.0106733455351125E-6</v>
      </c>
      <c r="AU286">
        <f t="shared" si="98"/>
        <v>1.9346610878661088E-6</v>
      </c>
      <c r="AV286">
        <f t="shared" si="99"/>
        <v>3.8236623067776455E-6</v>
      </c>
      <c r="AW286">
        <f t="shared" si="100"/>
        <v>1.1601651842439644E-5</v>
      </c>
      <c r="AX286">
        <f t="shared" si="101"/>
        <v>4.2113075578006603E-5</v>
      </c>
      <c r="AY286">
        <f t="shared" si="102"/>
        <v>5.2028732826556935E-5</v>
      </c>
      <c r="AZ286" t="e">
        <f>AR286*#REF!/($AE$309+AR286)</f>
        <v>#REF!</v>
      </c>
      <c r="BA286">
        <f t="shared" si="103"/>
        <v>6.1567295302799576E-5</v>
      </c>
      <c r="BB286">
        <f t="shared" si="104"/>
        <v>6.136520076481835E-5</v>
      </c>
      <c r="BC286">
        <f t="shared" si="105"/>
        <v>5.7917570498915397E-5</v>
      </c>
      <c r="BD286">
        <f t="shared" si="106"/>
        <v>5.8211514904042467E-5</v>
      </c>
      <c r="BE286">
        <f t="shared" si="107"/>
        <v>4.7061587514683675E-5</v>
      </c>
    </row>
    <row r="287" spans="7:57">
      <c r="G287" s="14" t="s">
        <v>67</v>
      </c>
      <c r="H287" s="14" t="s">
        <v>82</v>
      </c>
      <c r="I287" s="14">
        <f t="shared" si="88"/>
        <v>298.14999999999998</v>
      </c>
      <c r="J287" s="38">
        <v>0.06</v>
      </c>
      <c r="K287" s="36">
        <v>7.5</v>
      </c>
      <c r="L287" s="21">
        <v>0.1087</v>
      </c>
      <c r="M287" s="36">
        <v>0.14000000000000001</v>
      </c>
      <c r="N287" s="19">
        <f t="shared" si="87"/>
        <v>0.1158890364060458</v>
      </c>
      <c r="O287" s="14">
        <v>5.55</v>
      </c>
      <c r="P287" s="14">
        <v>82.5</v>
      </c>
      <c r="Q287" s="21">
        <f>0.240683</f>
        <v>0.24068300000000001</v>
      </c>
      <c r="R287" s="14">
        <v>1.9650000000000001</v>
      </c>
      <c r="S287" s="21">
        <v>83350</v>
      </c>
      <c r="T287" s="19">
        <f t="shared" si="110"/>
        <v>2.35752849430114E-5</v>
      </c>
      <c r="U287" s="21">
        <v>2.3070000000000001E-5</v>
      </c>
      <c r="V287" s="19">
        <f t="shared" si="89"/>
        <v>1.2729378559849756E-5</v>
      </c>
      <c r="W287" s="19">
        <f t="shared" si="90"/>
        <v>1.5767491649704748E-7</v>
      </c>
      <c r="X287" s="19">
        <f t="shared" si="91"/>
        <v>1.3008180611006417E-5</v>
      </c>
      <c r="Z287" s="103" t="s">
        <v>58</v>
      </c>
      <c r="AA287" s="145">
        <v>10.07</v>
      </c>
      <c r="AB287" s="1">
        <f t="shared" si="111"/>
        <v>4.5856553519999999</v>
      </c>
      <c r="AC287" s="2">
        <f t="shared" si="112"/>
        <v>3.8999070871580825E-5</v>
      </c>
      <c r="AE287" s="11"/>
      <c r="AR287">
        <v>3.8</v>
      </c>
      <c r="AS287">
        <f t="shared" si="96"/>
        <v>2.6643512550238865E-6</v>
      </c>
      <c r="AT287">
        <f t="shared" si="97"/>
        <v>2.0822606558926377E-6</v>
      </c>
      <c r="AU287">
        <f t="shared" si="98"/>
        <v>1.9759999999999998E-6</v>
      </c>
      <c r="AV287">
        <f t="shared" si="99"/>
        <v>3.9195727482678983E-6</v>
      </c>
      <c r="AW287">
        <f t="shared" si="100"/>
        <v>1.1869150246305417E-5</v>
      </c>
      <c r="AX287">
        <f t="shared" si="101"/>
        <v>4.2789975687301297E-5</v>
      </c>
      <c r="AY287">
        <f t="shared" si="102"/>
        <v>5.2479285603216556E-5</v>
      </c>
      <c r="AZ287" t="e">
        <f>AR287*#REF!/($AE$309+AR287)</f>
        <v>#REF!</v>
      </c>
      <c r="BA287">
        <f t="shared" si="103"/>
        <v>6.3500057227881422E-5</v>
      </c>
      <c r="BB287">
        <f t="shared" si="104"/>
        <v>6.3559099437148205E-5</v>
      </c>
      <c r="BC287">
        <f t="shared" si="105"/>
        <v>6.0049715909090907E-5</v>
      </c>
      <c r="BD287">
        <f t="shared" si="106"/>
        <v>5.9817145885782431E-5</v>
      </c>
      <c r="BE287">
        <f t="shared" si="107"/>
        <v>4.885624690542994E-5</v>
      </c>
    </row>
    <row r="288" spans="7:57" ht="15.75" thickBot="1">
      <c r="G288" s="55" t="s">
        <v>67</v>
      </c>
      <c r="H288" s="55" t="s">
        <v>82</v>
      </c>
      <c r="I288" s="55">
        <f t="shared" si="88"/>
        <v>298.14999999999998</v>
      </c>
      <c r="J288" s="65">
        <v>0.05</v>
      </c>
      <c r="K288" s="57">
        <v>7.5</v>
      </c>
      <c r="L288" s="56">
        <v>9.0590000000000004E-2</v>
      </c>
      <c r="M288" s="57">
        <v>0.11700000000000001</v>
      </c>
      <c r="N288" s="19">
        <f t="shared" si="87"/>
        <v>0.10594275559461519</v>
      </c>
      <c r="O288" s="55">
        <v>7.4</v>
      </c>
      <c r="P288" s="55">
        <v>82.5</v>
      </c>
      <c r="Q288" s="56">
        <f>0.240683</f>
        <v>0.24068300000000001</v>
      </c>
      <c r="R288" s="55">
        <v>3.5680000000000001</v>
      </c>
      <c r="S288" s="56">
        <v>124300</v>
      </c>
      <c r="T288" s="60">
        <f t="shared" si="110"/>
        <v>2.8704746580852775E-5</v>
      </c>
      <c r="U288" s="56">
        <v>2.828E-5</v>
      </c>
      <c r="V288" s="19">
        <f t="shared" si="89"/>
        <v>1.5604110345580887E-5</v>
      </c>
      <c r="W288" s="19">
        <f t="shared" si="90"/>
        <v>1.9198149804533125E-7</v>
      </c>
      <c r="X288" s="60">
        <f t="shared" si="91"/>
        <v>1.5838473588739829E-5</v>
      </c>
      <c r="Z288" s="142" t="s">
        <v>58</v>
      </c>
      <c r="AA288" s="146">
        <v>10.07</v>
      </c>
      <c r="AB288" s="79">
        <f t="shared" si="111"/>
        <v>6.1142071360000001</v>
      </c>
      <c r="AC288" s="29">
        <f t="shared" si="112"/>
        <v>5.0785867518935244E-5</v>
      </c>
      <c r="AE288" s="11"/>
      <c r="AR288">
        <v>4</v>
      </c>
      <c r="AS288">
        <f t="shared" si="96"/>
        <v>2.7626802121461115E-6</v>
      </c>
      <c r="AT288">
        <f t="shared" si="97"/>
        <v>2.1511919116965036E-6</v>
      </c>
      <c r="AU288">
        <f t="shared" si="98"/>
        <v>2.0147450980392158E-6</v>
      </c>
      <c r="AV288">
        <f t="shared" si="99"/>
        <v>4.0101010101010095E-6</v>
      </c>
      <c r="AW288">
        <f t="shared" si="100"/>
        <v>1.2120669056152929E-5</v>
      </c>
      <c r="AX288">
        <f t="shared" si="101"/>
        <v>4.3418063818280152E-5</v>
      </c>
      <c r="AY288">
        <f t="shared" si="102"/>
        <v>5.2891507327136992E-5</v>
      </c>
      <c r="AZ288" t="e">
        <f>AR288*#REF!/($AE$309+AR288)</f>
        <v>#REF!</v>
      </c>
      <c r="BA288">
        <f t="shared" si="103"/>
        <v>6.5346313080452047E-5</v>
      </c>
      <c r="BB288">
        <f t="shared" si="104"/>
        <v>6.5672191528545117E-5</v>
      </c>
      <c r="BC288">
        <f t="shared" si="105"/>
        <v>6.2107466852756452E-5</v>
      </c>
      <c r="BD288">
        <f t="shared" si="106"/>
        <v>6.1339873499419135E-5</v>
      </c>
      <c r="BE288">
        <f t="shared" si="107"/>
        <v>5.0592628673485956E-5</v>
      </c>
    </row>
    <row r="289" spans="1:57">
      <c r="G289" s="40" t="s">
        <v>62</v>
      </c>
      <c r="H289" s="40" t="s">
        <v>82</v>
      </c>
      <c r="I289" s="40">
        <f t="shared" si="88"/>
        <v>298.14999999999998</v>
      </c>
      <c r="J289" s="61">
        <v>0.08</v>
      </c>
      <c r="K289" s="42">
        <v>8.01</v>
      </c>
      <c r="L289" s="41">
        <v>0.1547</v>
      </c>
      <c r="M289" s="42">
        <v>0.219</v>
      </c>
      <c r="N289" s="19">
        <f t="shared" si="87"/>
        <v>0.14494404975338576</v>
      </c>
      <c r="O289" s="42">
        <v>1.5850039810000001</v>
      </c>
      <c r="P289" s="40">
        <v>82.5</v>
      </c>
      <c r="Q289" s="41">
        <f>0.17533</f>
        <v>0.17533000000000001</v>
      </c>
      <c r="R289" s="40">
        <v>0.26340000000000002</v>
      </c>
      <c r="S289" s="40">
        <v>4553</v>
      </c>
      <c r="T289" s="45">
        <f t="shared" si="110"/>
        <v>5.7851965736876792E-5</v>
      </c>
      <c r="U289" s="41">
        <v>4.0120000000000002E-5</v>
      </c>
      <c r="V289" s="19">
        <f t="shared" si="89"/>
        <v>3.0388531616608527E-5</v>
      </c>
      <c r="W289" s="19">
        <f t="shared" si="90"/>
        <v>5.3114483515454645E-7</v>
      </c>
      <c r="X289" s="45">
        <f t="shared" si="91"/>
        <v>4.3819448900250083E-5</v>
      </c>
      <c r="Z289" s="103" t="s">
        <v>55</v>
      </c>
      <c r="AA289" s="145">
        <v>10.34</v>
      </c>
      <c r="AB289" s="1">
        <f t="shared" si="111"/>
        <v>1.528551784</v>
      </c>
      <c r="AC289" s="2">
        <f>V250</f>
        <v>0</v>
      </c>
      <c r="AE289" s="11"/>
      <c r="AR289">
        <v>4.2</v>
      </c>
      <c r="AS289">
        <f t="shared" si="96"/>
        <v>2.8581143740340029E-6</v>
      </c>
      <c r="AT289">
        <f t="shared" si="97"/>
        <v>2.2176122393224665E-6</v>
      </c>
      <c r="AU289">
        <f t="shared" si="98"/>
        <v>2.0511330798479087E-6</v>
      </c>
      <c r="AV289">
        <f t="shared" si="99"/>
        <v>4.0956877729257635E-6</v>
      </c>
      <c r="AW289">
        <f t="shared" si="100"/>
        <v>1.2357598607888631E-5</v>
      </c>
      <c r="AX289">
        <f t="shared" si="101"/>
        <v>4.400243605359318E-5</v>
      </c>
      <c r="AY289">
        <f t="shared" si="102"/>
        <v>5.3270089968786344E-5</v>
      </c>
      <c r="AZ289" t="e">
        <f>AR289*#REF!/($AE$309+AR289)</f>
        <v>#REF!</v>
      </c>
      <c r="BA289">
        <f t="shared" si="103"/>
        <v>6.7111743460654478E-5</v>
      </c>
      <c r="BB289">
        <f t="shared" si="104"/>
        <v>6.770886075949368E-5</v>
      </c>
      <c r="BC289">
        <f t="shared" si="105"/>
        <v>6.4094650205761303E-5</v>
      </c>
      <c r="BD289">
        <f t="shared" si="106"/>
        <v>6.2785956964892409E-5</v>
      </c>
      <c r="BE289">
        <f t="shared" si="107"/>
        <v>5.2273526122383763E-5</v>
      </c>
    </row>
    <row r="290" spans="1:57">
      <c r="G290" s="14" t="s">
        <v>62</v>
      </c>
      <c r="H290" s="14" t="s">
        <v>82</v>
      </c>
      <c r="I290" s="14">
        <f t="shared" si="88"/>
        <v>298.14999999999998</v>
      </c>
      <c r="J290" s="38">
        <v>7.0000000000000007E-2</v>
      </c>
      <c r="K290" s="36">
        <v>8.01</v>
      </c>
      <c r="L290" s="21">
        <v>0.13500000000000001</v>
      </c>
      <c r="M290" s="36">
        <v>0.191</v>
      </c>
      <c r="N290" s="19">
        <f t="shared" si="87"/>
        <v>0.13536145613536968</v>
      </c>
      <c r="O290" s="36">
        <v>3.170007961</v>
      </c>
      <c r="P290" s="14">
        <v>82.5</v>
      </c>
      <c r="Q290" s="21">
        <f>0.17533</f>
        <v>0.17533000000000001</v>
      </c>
      <c r="R290" s="14">
        <v>0.4889</v>
      </c>
      <c r="S290" s="14">
        <v>7403</v>
      </c>
      <c r="T290" s="19">
        <f t="shared" si="110"/>
        <v>6.6040794272592194E-5</v>
      </c>
      <c r="U290" s="21">
        <v>5.3229999999999997E-5</v>
      </c>
      <c r="V290" s="19">
        <f t="shared" si="89"/>
        <v>4.0318582700699692E-5</v>
      </c>
      <c r="W290" s="19">
        <f t="shared" si="90"/>
        <v>6.0632731041379104E-7</v>
      </c>
      <c r="X290" s="19">
        <f t="shared" si="91"/>
        <v>5.0022003109137761E-5</v>
      </c>
      <c r="Z290" s="103" t="s">
        <v>55</v>
      </c>
      <c r="AA290" s="145">
        <v>10.34</v>
      </c>
      <c r="AB290" s="1">
        <f t="shared" si="111"/>
        <v>3.057103568</v>
      </c>
      <c r="AC290" s="2">
        <f t="shared" si="112"/>
        <v>0</v>
      </c>
      <c r="AE290" s="11"/>
      <c r="AM290" t="s">
        <v>397</v>
      </c>
      <c r="AR290">
        <v>4.4000000000000004</v>
      </c>
      <c r="AS290">
        <f t="shared" si="96"/>
        <v>2.9507797200261114E-6</v>
      </c>
      <c r="AT290">
        <f t="shared" si="97"/>
        <v>2.2816563813612381E-6</v>
      </c>
      <c r="AU290">
        <f t="shared" si="98"/>
        <v>2.0853726937269371E-6</v>
      </c>
      <c r="AV290">
        <f t="shared" si="99"/>
        <v>4.1767268862911799E-6</v>
      </c>
      <c r="AW290">
        <f t="shared" si="100"/>
        <v>1.2581172491544533E-5</v>
      </c>
      <c r="AX290">
        <f t="shared" si="101"/>
        <v>4.4547502942660174E-5</v>
      </c>
      <c r="AY290">
        <f t="shared" si="102"/>
        <v>5.3618989748515209E-5</v>
      </c>
      <c r="AZ290" t="e">
        <f>AR290*#REF!/($AE$309+AR290)</f>
        <v>#REF!</v>
      </c>
      <c r="BA290">
        <f t="shared" si="103"/>
        <v>6.8801542251258443E-5</v>
      </c>
      <c r="BB290">
        <f t="shared" si="104"/>
        <v>6.967317939609235E-5</v>
      </c>
      <c r="BC290">
        <f t="shared" si="105"/>
        <v>6.6014834794335812E-5</v>
      </c>
      <c r="BD290">
        <f t="shared" si="106"/>
        <v>6.4161040873941328E-5</v>
      </c>
      <c r="BE290">
        <f t="shared" si="107"/>
        <v>5.3901556848561095E-5</v>
      </c>
    </row>
    <row r="291" spans="1:57">
      <c r="G291" s="14" t="s">
        <v>62</v>
      </c>
      <c r="H291" s="14" t="s">
        <v>82</v>
      </c>
      <c r="I291" s="14">
        <f t="shared" si="88"/>
        <v>298.14999999999998</v>
      </c>
      <c r="J291" s="38">
        <v>0.06</v>
      </c>
      <c r="K291" s="36">
        <v>8.01</v>
      </c>
      <c r="L291" s="21">
        <v>0.11600000000000001</v>
      </c>
      <c r="M291" s="36">
        <v>0.16400000000000001</v>
      </c>
      <c r="N291" s="19">
        <f t="shared" si="87"/>
        <v>0.125429663741875</v>
      </c>
      <c r="O291" s="36">
        <v>4.7550119420000003</v>
      </c>
      <c r="P291" s="14">
        <v>82.5</v>
      </c>
      <c r="Q291" s="21">
        <f>0.17533</f>
        <v>0.17533000000000001</v>
      </c>
      <c r="R291" s="14">
        <v>0.48270000000000002</v>
      </c>
      <c r="S291" s="14">
        <v>6180</v>
      </c>
      <c r="T291" s="19">
        <f t="shared" si="110"/>
        <v>7.810679611650486E-5</v>
      </c>
      <c r="U291" s="21">
        <v>6.1069999999999996E-5</v>
      </c>
      <c r="V291" s="19">
        <f t="shared" si="89"/>
        <v>4.6256919885999064E-5</v>
      </c>
      <c r="W291" s="19">
        <f t="shared" si="90"/>
        <v>7.1710651175515993E-7</v>
      </c>
      <c r="X291" s="19">
        <f t="shared" si="91"/>
        <v>5.9161287219800696E-5</v>
      </c>
      <c r="Z291" s="103" t="s">
        <v>55</v>
      </c>
      <c r="AA291" s="145">
        <v>10.34</v>
      </c>
      <c r="AB291" s="1">
        <f t="shared" si="111"/>
        <v>4.5856553519999999</v>
      </c>
      <c r="AC291" s="2">
        <f t="shared" si="112"/>
        <v>0</v>
      </c>
      <c r="AE291" s="11"/>
      <c r="AR291">
        <v>4.5999999999999996</v>
      </c>
      <c r="AS291">
        <f t="shared" si="96"/>
        <v>3.0407950239508106E-6</v>
      </c>
      <c r="AT291">
        <f t="shared" si="97"/>
        <v>2.3434496089974519E-6</v>
      </c>
      <c r="AU291">
        <f t="shared" si="98"/>
        <v>2.1176487455197131E-6</v>
      </c>
      <c r="AV291">
        <f t="shared" si="99"/>
        <v>4.2535714285714283E-6</v>
      </c>
      <c r="AW291">
        <f t="shared" si="100"/>
        <v>1.279248903508772E-5</v>
      </c>
      <c r="AX291">
        <f t="shared" si="101"/>
        <v>4.5057101024890187E-5</v>
      </c>
      <c r="AY291">
        <f t="shared" si="102"/>
        <v>5.3941565912820414E-5</v>
      </c>
      <c r="AZ291" t="e">
        <f>AR291*#REF!/($AE$309+AR291)</f>
        <v>#REF!</v>
      </c>
      <c r="BA291">
        <f t="shared" si="103"/>
        <v>7.0420467652301561E-5</v>
      </c>
      <c r="BB291">
        <f t="shared" si="104"/>
        <v>7.1568935427574162E-5</v>
      </c>
      <c r="BC291">
        <f t="shared" si="105"/>
        <v>6.7871352785145878E-5</v>
      </c>
      <c r="BD291">
        <f t="shared" si="106"/>
        <v>6.5470228824727458E-5</v>
      </c>
      <c r="BE291">
        <f t="shared" si="107"/>
        <v>5.5479176343087161E-5</v>
      </c>
    </row>
    <row r="292" spans="1:57" ht="15.75" thickBot="1">
      <c r="G292" s="55" t="s">
        <v>62</v>
      </c>
      <c r="H292" s="55" t="s">
        <v>82</v>
      </c>
      <c r="I292" s="55">
        <f t="shared" si="88"/>
        <v>298.14999999999998</v>
      </c>
      <c r="J292" s="65">
        <v>0.05</v>
      </c>
      <c r="K292" s="57">
        <v>8.01</v>
      </c>
      <c r="L292" s="56">
        <v>3.6659999999999998E-2</v>
      </c>
      <c r="M292" s="57">
        <v>0.13700000000000001</v>
      </c>
      <c r="N292" s="19">
        <f t="shared" si="87"/>
        <v>0.11464064412638326</v>
      </c>
      <c r="O292" s="57">
        <v>6.3400159220000001</v>
      </c>
      <c r="P292" s="55">
        <v>82.5</v>
      </c>
      <c r="Q292" s="56">
        <f>0.17533</f>
        <v>0.17533000000000001</v>
      </c>
      <c r="R292" s="55">
        <v>0.67549999999999999</v>
      </c>
      <c r="S292" s="55">
        <v>9045</v>
      </c>
      <c r="T292" s="60">
        <f t="shared" si="110"/>
        <v>7.4682144831398557E-5</v>
      </c>
      <c r="U292" s="56">
        <v>6.3089999999999994E-5</v>
      </c>
      <c r="V292" s="19">
        <f t="shared" si="89"/>
        <v>4.7786950640374667E-5</v>
      </c>
      <c r="W292" s="19">
        <f t="shared" si="90"/>
        <v>6.8566443681231816E-7</v>
      </c>
      <c r="X292" s="60">
        <f t="shared" si="91"/>
        <v>5.6567316037016248E-5</v>
      </c>
      <c r="Z292" s="103" t="s">
        <v>55</v>
      </c>
      <c r="AA292" s="145">
        <v>10.34</v>
      </c>
      <c r="AB292" s="1">
        <f t="shared" si="111"/>
        <v>6.1142071360000001</v>
      </c>
      <c r="AC292" s="2">
        <f t="shared" si="112"/>
        <v>0</v>
      </c>
      <c r="AE292" s="11"/>
      <c r="AL292" t="s">
        <v>396</v>
      </c>
      <c r="AN292" t="s">
        <v>396</v>
      </c>
      <c r="AR292">
        <v>4.8</v>
      </c>
      <c r="AS292">
        <f t="shared" si="96"/>
        <v>3.1282723620215685E-6</v>
      </c>
      <c r="AT292">
        <f t="shared" si="97"/>
        <v>2.4031085398497541E-6</v>
      </c>
      <c r="AU292">
        <f t="shared" si="98"/>
        <v>2.1481254355400698E-6</v>
      </c>
      <c r="AV292">
        <f t="shared" si="99"/>
        <v>4.3265388496468212E-6</v>
      </c>
      <c r="AW292">
        <f t="shared" si="100"/>
        <v>1.2992529348986127E-5</v>
      </c>
      <c r="AX292">
        <f t="shared" si="101"/>
        <v>4.5534583267685521E-5</v>
      </c>
      <c r="AY292">
        <f t="shared" si="102"/>
        <v>5.4240689241507166E-5</v>
      </c>
      <c r="AZ292" t="e">
        <f>AR292*#REF!/($AE$309+AR292)</f>
        <v>#REF!</v>
      </c>
      <c r="BA292">
        <f t="shared" si="103"/>
        <v>7.1972886926157959E-5</v>
      </c>
      <c r="BB292">
        <f t="shared" si="104"/>
        <v>7.3399656946826752E-5</v>
      </c>
      <c r="BC292">
        <f t="shared" si="105"/>
        <v>6.9667318982387469E-5</v>
      </c>
      <c r="BD292">
        <f t="shared" si="106"/>
        <v>6.6718146718146713E-5</v>
      </c>
      <c r="BE292">
        <f t="shared" si="107"/>
        <v>5.7008690349138593E-5</v>
      </c>
    </row>
    <row r="293" spans="1:57">
      <c r="G293" s="40" t="s">
        <v>68</v>
      </c>
      <c r="H293" s="40" t="s">
        <v>82</v>
      </c>
      <c r="I293" s="40">
        <f t="shared" si="88"/>
        <v>298.14999999999998</v>
      </c>
      <c r="J293" s="61">
        <v>0.08</v>
      </c>
      <c r="K293" s="42">
        <v>8.5</v>
      </c>
      <c r="L293" s="41">
        <v>0.15820000000000001</v>
      </c>
      <c r="M293" s="42">
        <v>0.23200000000000001</v>
      </c>
      <c r="N293" s="19">
        <f t="shared" si="87"/>
        <v>0.14918402710641501</v>
      </c>
      <c r="O293" s="40">
        <v>1.85</v>
      </c>
      <c r="P293" s="40">
        <v>82.5</v>
      </c>
      <c r="Q293" s="41">
        <f>0.240683</f>
        <v>0.24068300000000001</v>
      </c>
      <c r="R293" s="40">
        <v>0.32150000000000001</v>
      </c>
      <c r="S293" s="40">
        <v>1453</v>
      </c>
      <c r="T293" s="45">
        <f t="shared" si="110"/>
        <v>2.2126634549208535E-4</v>
      </c>
      <c r="U293" s="41">
        <v>1.4909999999999999E-4</v>
      </c>
      <c r="V293" s="19">
        <f t="shared" si="89"/>
        <v>8.2269195633879425E-5</v>
      </c>
      <c r="W293" s="19">
        <f t="shared" si="90"/>
        <v>1.4798613307710445E-6</v>
      </c>
      <c r="X293" s="45">
        <f t="shared" si="91"/>
        <v>1.2208855978861118E-4</v>
      </c>
      <c r="AE293" s="11"/>
      <c r="AR293">
        <v>5</v>
      </c>
      <c r="AS293">
        <f t="shared" si="96"/>
        <v>3.2133175783693608E-6</v>
      </c>
      <c r="AT293">
        <f t="shared" si="97"/>
        <v>2.4607418725065789E-6</v>
      </c>
      <c r="AU293">
        <f t="shared" si="98"/>
        <v>2.1769491525423724E-6</v>
      </c>
      <c r="AV293">
        <f t="shared" si="99"/>
        <v>4.3959153543307081E-6</v>
      </c>
      <c r="AW293">
        <f t="shared" si="100"/>
        <v>1.3182172557172558E-5</v>
      </c>
      <c r="AX293">
        <f t="shared" si="101"/>
        <v>4.5982892928058657E-5</v>
      </c>
      <c r="AY293">
        <f t="shared" si="102"/>
        <v>5.4518827718049004E-5</v>
      </c>
      <c r="AZ293" t="e">
        <f>AR293*#REF!/($AE$309+AR293)</f>
        <v>#REF!</v>
      </c>
      <c r="BA293">
        <f t="shared" si="103"/>
        <v>7.3462815739156679E-5</v>
      </c>
      <c r="BB293">
        <f t="shared" si="104"/>
        <v>7.516863406408094E-5</v>
      </c>
      <c r="BC293">
        <f t="shared" si="105"/>
        <v>7.1405648267008974E-5</v>
      </c>
      <c r="BD293">
        <f t="shared" si="106"/>
        <v>6.7908997370527043E-5</v>
      </c>
      <c r="BE293">
        <f t="shared" si="107"/>
        <v>5.8492266106021924E-5</v>
      </c>
    </row>
    <row r="294" spans="1:57">
      <c r="G294" s="14" t="s">
        <v>68</v>
      </c>
      <c r="H294" s="14" t="s">
        <v>82</v>
      </c>
      <c r="I294" s="14">
        <f t="shared" si="88"/>
        <v>298.14999999999998</v>
      </c>
      <c r="J294" s="38">
        <v>7.0000000000000007E-2</v>
      </c>
      <c r="K294" s="36">
        <v>8.5</v>
      </c>
      <c r="L294" s="21">
        <v>0.1384</v>
      </c>
      <c r="M294" s="36">
        <v>0.20300000000000001</v>
      </c>
      <c r="N294" s="19">
        <f t="shared" si="87"/>
        <v>0.13954887925285039</v>
      </c>
      <c r="O294" s="14">
        <v>3.7</v>
      </c>
      <c r="P294" s="14">
        <v>82.5</v>
      </c>
      <c r="Q294" s="21">
        <f>0.240683</f>
        <v>0.24068300000000001</v>
      </c>
      <c r="R294" s="14">
        <v>0.41139999999999999</v>
      </c>
      <c r="S294" s="14">
        <v>1671</v>
      </c>
      <c r="T294" s="19">
        <f>R294/S294</f>
        <v>2.4619988031119092E-4</v>
      </c>
      <c r="U294" s="21">
        <v>1.729E-4</v>
      </c>
      <c r="V294" s="19">
        <f t="shared" si="89"/>
        <v>9.5401367706893055E-5</v>
      </c>
      <c r="W294" s="19">
        <f t="shared" si="90"/>
        <v>1.6466204189467361E-6</v>
      </c>
      <c r="X294" s="19">
        <f t="shared" si="91"/>
        <v>1.3584618456310572E-4</v>
      </c>
      <c r="AE294" s="11"/>
      <c r="AR294">
        <v>5.2</v>
      </c>
      <c r="AS294">
        <f t="shared" si="96"/>
        <v>3.2960307122780558E-6</v>
      </c>
      <c r="AT294">
        <f t="shared" si="97"/>
        <v>2.5164510474918622E-6</v>
      </c>
      <c r="AU294">
        <f t="shared" si="98"/>
        <v>2.2042508250825082E-6</v>
      </c>
      <c r="AV294">
        <f t="shared" si="99"/>
        <v>4.461959654178675E-6</v>
      </c>
      <c r="AW294">
        <f t="shared" si="100"/>
        <v>1.3362208713272542E-5</v>
      </c>
      <c r="AX294">
        <f t="shared" si="101"/>
        <v>4.6404624277456652E-5</v>
      </c>
      <c r="AY294">
        <f t="shared" si="102"/>
        <v>5.4778114780486984E-5</v>
      </c>
      <c r="AZ294" t="e">
        <f>AR294*#REF!/($AE$309+AR294)</f>
        <v>#REF!</v>
      </c>
      <c r="BA294">
        <f t="shared" si="103"/>
        <v>7.4893952846009671E-5</v>
      </c>
      <c r="BB294">
        <f t="shared" si="104"/>
        <v>7.6878938640132665E-5</v>
      </c>
      <c r="BC294">
        <f t="shared" si="105"/>
        <v>7.3089071383449137E-5</v>
      </c>
      <c r="BD294">
        <f t="shared" si="106"/>
        <v>6.904660780149772E-5</v>
      </c>
      <c r="BE294">
        <f t="shared" si="107"/>
        <v>5.9931942595058436E-5</v>
      </c>
    </row>
    <row r="295" spans="1:57">
      <c r="G295" s="14" t="s">
        <v>68</v>
      </c>
      <c r="H295" s="14" t="s">
        <v>82</v>
      </c>
      <c r="I295" s="14">
        <f t="shared" si="88"/>
        <v>298.14999999999998</v>
      </c>
      <c r="J295" s="38">
        <v>0.06</v>
      </c>
      <c r="K295" s="36">
        <v>8.5</v>
      </c>
      <c r="L295" s="21">
        <v>0.1186</v>
      </c>
      <c r="M295" s="36">
        <v>0.17399999999999999</v>
      </c>
      <c r="N295" s="19">
        <f t="shared" si="87"/>
        <v>0.12919715731302167</v>
      </c>
      <c r="O295" s="14">
        <v>5.55</v>
      </c>
      <c r="P295" s="14">
        <v>82.5</v>
      </c>
      <c r="Q295" s="21">
        <f>0.240683</f>
        <v>0.24068300000000001</v>
      </c>
      <c r="R295" s="14">
        <v>0.4541</v>
      </c>
      <c r="S295" s="14">
        <v>1744</v>
      </c>
      <c r="T295" s="19">
        <f t="shared" si="110"/>
        <v>2.6037844036697245E-4</v>
      </c>
      <c r="U295" s="21">
        <v>1.85E-4</v>
      </c>
      <c r="V295" s="19">
        <f t="shared" si="89"/>
        <v>1.0207780813056804E-4</v>
      </c>
      <c r="W295" s="19">
        <f t="shared" si="90"/>
        <v>1.7414486799093441E-6</v>
      </c>
      <c r="X295" s="19">
        <f t="shared" si="91"/>
        <v>1.436695160925209E-4</v>
      </c>
      <c r="AE295" s="11"/>
      <c r="AR295">
        <v>5.4</v>
      </c>
      <c r="AS295">
        <f t="shared" si="96"/>
        <v>3.3765063907486305E-6</v>
      </c>
      <c r="AT295">
        <f t="shared" si="97"/>
        <v>2.5703308431163285E-6</v>
      </c>
      <c r="AU295">
        <f t="shared" si="98"/>
        <v>2.2301479099678453E-6</v>
      </c>
      <c r="AV295">
        <f t="shared" si="99"/>
        <v>4.524906191369606E-6</v>
      </c>
      <c r="AW295">
        <f t="shared" si="100"/>
        <v>1.3533349802371543E-5</v>
      </c>
      <c r="AX295">
        <f t="shared" si="101"/>
        <v>4.6802072837195914E-5</v>
      </c>
      <c r="AY295">
        <f t="shared" si="102"/>
        <v>5.5020404149663204E-5</v>
      </c>
      <c r="AZ295" t="e">
        <f>AR295*#REF!/($AE$309+AR295)</f>
        <v>#REF!</v>
      </c>
      <c r="BA295">
        <f t="shared" si="103"/>
        <v>7.6269710747799182E-5</v>
      </c>
      <c r="BB295">
        <f t="shared" si="104"/>
        <v>7.8533442088091356E-5</v>
      </c>
      <c r="BC295">
        <f t="shared" si="105"/>
        <v>7.4720149253731339E-5</v>
      </c>
      <c r="BD295">
        <f t="shared" si="106"/>
        <v>7.01344703181371E-5</v>
      </c>
      <c r="BE295">
        <f t="shared" si="107"/>
        <v>6.1329639889196678E-5</v>
      </c>
    </row>
    <row r="296" spans="1:57" ht="15.75" thickBot="1">
      <c r="G296" s="67" t="s">
        <v>68</v>
      </c>
      <c r="H296" s="67" t="s">
        <v>82</v>
      </c>
      <c r="I296" s="67">
        <f t="shared" si="88"/>
        <v>298.14999999999998</v>
      </c>
      <c r="J296" s="65">
        <v>0.05</v>
      </c>
      <c r="K296" s="144">
        <v>8.5</v>
      </c>
      <c r="L296" s="68">
        <v>9.887E-2</v>
      </c>
      <c r="M296" s="144">
        <v>0.14499999999999999</v>
      </c>
      <c r="N296" s="19">
        <f t="shared" si="87"/>
        <v>0.11794032904314251</v>
      </c>
      <c r="O296" s="67">
        <v>7.4</v>
      </c>
      <c r="P296" s="67">
        <v>82.5</v>
      </c>
      <c r="Q296" s="68">
        <f>0.240683</f>
        <v>0.24068300000000001</v>
      </c>
      <c r="R296" s="67">
        <v>0.66279999999999994</v>
      </c>
      <c r="S296" s="67">
        <v>2820</v>
      </c>
      <c r="T296" s="70">
        <f>R296/S296</f>
        <v>2.3503546099290778E-4</v>
      </c>
      <c r="U296" s="68">
        <v>1.8699999999999999E-4</v>
      </c>
      <c r="V296" s="19">
        <f t="shared" si="89"/>
        <v>1.0318135200224984E-4</v>
      </c>
      <c r="W296" s="19">
        <f t="shared" si="90"/>
        <v>1.5719511673129335E-6</v>
      </c>
      <c r="X296" s="70">
        <f t="shared" si="91"/>
        <v>1.2968597130331701E-4</v>
      </c>
      <c r="AE296" s="11"/>
      <c r="AR296">
        <v>5.6</v>
      </c>
      <c r="AS296">
        <f t="shared" si="96"/>
        <v>3.4548341896310131E-6</v>
      </c>
      <c r="AT296">
        <f t="shared" si="97"/>
        <v>2.622469913577255E-6</v>
      </c>
      <c r="AU296">
        <f t="shared" si="98"/>
        <v>2.254746081504702E-6</v>
      </c>
      <c r="AV296">
        <f t="shared" si="99"/>
        <v>4.5849679193400544E-6</v>
      </c>
      <c r="AW296">
        <f t="shared" si="100"/>
        <v>1.3696239151398265E-5</v>
      </c>
      <c r="AX296">
        <f t="shared" si="101"/>
        <v>4.7177277179236051E-5</v>
      </c>
      <c r="AY296">
        <f t="shared" si="102"/>
        <v>5.5247314216798639E-5</v>
      </c>
      <c r="AZ296" t="e">
        <f>AR296*#REF!/($AE$309+AR296)</f>
        <v>#REF!</v>
      </c>
      <c r="BA296">
        <f t="shared" si="103"/>
        <v>7.7593242858498625E-5</v>
      </c>
      <c r="BB296">
        <f t="shared" si="104"/>
        <v>8.0134831460674144E-5</v>
      </c>
      <c r="BC296">
        <f t="shared" si="105"/>
        <v>7.6301285976729941E-5</v>
      </c>
      <c r="BD296">
        <f t="shared" si="106"/>
        <v>7.1175778324596134E-5</v>
      </c>
      <c r="BE296">
        <f t="shared" si="107"/>
        <v>6.268716769650812E-5</v>
      </c>
    </row>
    <row r="297" spans="1:57">
      <c r="G297" s="40" t="s">
        <v>69</v>
      </c>
      <c r="H297" s="40" t="s">
        <v>82</v>
      </c>
      <c r="I297" s="40">
        <f t="shared" si="88"/>
        <v>298.14999999999998</v>
      </c>
      <c r="J297" s="38">
        <v>7.0000000000000007E-2</v>
      </c>
      <c r="K297" s="42">
        <v>8.9499999999999993</v>
      </c>
      <c r="L297" s="41">
        <v>0.1394</v>
      </c>
      <c r="M297" s="42">
        <v>0.20799999999999999</v>
      </c>
      <c r="N297" s="19">
        <f t="shared" si="87"/>
        <v>0.14125700745948691</v>
      </c>
      <c r="O297" s="40">
        <v>3.7</v>
      </c>
      <c r="P297" s="40">
        <v>82.5</v>
      </c>
      <c r="Q297" s="41">
        <v>0.27300000000000002</v>
      </c>
      <c r="R297" s="40">
        <v>0.35639999999999999</v>
      </c>
      <c r="S297" s="40">
        <v>1227</v>
      </c>
      <c r="T297" s="45">
        <f>R297/S297</f>
        <v>2.904645476772616E-4</v>
      </c>
      <c r="U297" s="41">
        <v>2.142E-4</v>
      </c>
      <c r="V297" s="19">
        <f t="shared" si="89"/>
        <v>1.0419859025436713E-4</v>
      </c>
      <c r="W297" s="19">
        <f t="shared" si="90"/>
        <v>1.712701037650628E-6</v>
      </c>
      <c r="X297" s="45">
        <f t="shared" si="91"/>
        <v>1.4129783560617681E-4</v>
      </c>
      <c r="AE297" s="11"/>
      <c r="AR297">
        <v>5.8</v>
      </c>
      <c r="AS297">
        <f t="shared" si="96"/>
        <v>3.5310989662211093E-6</v>
      </c>
      <c r="AT297">
        <f t="shared" si="97"/>
        <v>2.6729512757332485E-6</v>
      </c>
      <c r="AU297">
        <f t="shared" si="98"/>
        <v>2.2781406727828744E-6</v>
      </c>
      <c r="AV297">
        <f t="shared" si="99"/>
        <v>4.642338709677419E-6</v>
      </c>
      <c r="AW297">
        <f t="shared" si="100"/>
        <v>1.3851459510357816E-5</v>
      </c>
      <c r="AX297">
        <f t="shared" si="101"/>
        <v>4.7532053899550836E-5</v>
      </c>
      <c r="AY297">
        <f t="shared" si="102"/>
        <v>5.5460264238583753E-5</v>
      </c>
      <c r="AZ297" t="e">
        <f>AR297*#REF!/($AE$309+AR297)</f>
        <v>#REF!</v>
      </c>
      <c r="BA297">
        <f t="shared" si="103"/>
        <v>7.8867467635279867E-5</v>
      </c>
      <c r="BB297">
        <f t="shared" si="104"/>
        <v>8.1685624012638235E-5</v>
      </c>
      <c r="BC297">
        <f t="shared" si="105"/>
        <v>7.7834740651387213E-5</v>
      </c>
      <c r="BD297">
        <f t="shared" si="106"/>
        <v>7.2173457630669323E-5</v>
      </c>
      <c r="BE297">
        <f t="shared" si="107"/>
        <v>6.40062331775039E-5</v>
      </c>
    </row>
    <row r="298" spans="1:57">
      <c r="G298" s="14" t="s">
        <v>69</v>
      </c>
      <c r="H298" s="14" t="s">
        <v>82</v>
      </c>
      <c r="I298" s="14">
        <f t="shared" si="88"/>
        <v>298.14999999999998</v>
      </c>
      <c r="J298" s="38">
        <v>0.06</v>
      </c>
      <c r="K298" s="36">
        <v>8.9499999999999993</v>
      </c>
      <c r="L298" s="21">
        <v>0.1195</v>
      </c>
      <c r="M298" s="36">
        <v>0.17799999999999999</v>
      </c>
      <c r="N298" s="19">
        <f t="shared" si="87"/>
        <v>0.1306737441964223</v>
      </c>
      <c r="O298" s="14">
        <v>5.55</v>
      </c>
      <c r="P298" s="14">
        <v>82.5</v>
      </c>
      <c r="Q298" s="21">
        <v>0.27300000000000002</v>
      </c>
      <c r="R298" s="14">
        <v>0.47060000000000002</v>
      </c>
      <c r="S298" s="14">
        <v>1660</v>
      </c>
      <c r="T298" s="19">
        <f>R298/S298</f>
        <v>2.8349397590361449E-4</v>
      </c>
      <c r="U298" s="21">
        <v>2.2379999999999999E-4</v>
      </c>
      <c r="V298" s="19">
        <f t="shared" si="89"/>
        <v>1.0886855508369451E-4</v>
      </c>
      <c r="W298" s="19">
        <f t="shared" si="90"/>
        <v>1.6715996171667465E-6</v>
      </c>
      <c r="X298" s="19">
        <f t="shared" si="91"/>
        <v>1.3790696841625659E-4</v>
      </c>
      <c r="AE298" s="11"/>
      <c r="AO298" s="13"/>
      <c r="AR298">
        <v>6</v>
      </c>
      <c r="AS298">
        <f t="shared" si="96"/>
        <v>3.6053811659192819E-6</v>
      </c>
      <c r="AT298">
        <f t="shared" si="97"/>
        <v>2.7218527501760427E-6</v>
      </c>
      <c r="AU298">
        <f t="shared" si="98"/>
        <v>2.3004179104477611E-6</v>
      </c>
      <c r="AV298">
        <f t="shared" si="99"/>
        <v>4.6971954425942155E-6</v>
      </c>
      <c r="AW298">
        <f t="shared" si="100"/>
        <v>1.3999540018399266E-5</v>
      </c>
      <c r="AX298">
        <f t="shared" si="101"/>
        <v>4.7868027030608197E-5</v>
      </c>
      <c r="AY298">
        <f t="shared" si="102"/>
        <v>5.5660504051210878E-5</v>
      </c>
      <c r="AZ298" t="e">
        <f>AR298*#REF!/($AE$309+AR298)</f>
        <v>#REF!</v>
      </c>
      <c r="BA298">
        <f t="shared" si="103"/>
        <v>8.0095090061259934E-5</v>
      </c>
      <c r="BB298">
        <f t="shared" si="104"/>
        <v>8.3188180404354599E-5</v>
      </c>
      <c r="BC298">
        <f t="shared" si="105"/>
        <v>7.9322638146167552E-5</v>
      </c>
      <c r="BD298">
        <f t="shared" si="106"/>
        <v>7.313019390581717E-5</v>
      </c>
      <c r="BE298">
        <f t="shared" si="107"/>
        <v>6.5288448107277551E-5</v>
      </c>
    </row>
    <row r="299" spans="1:57" ht="15.75" thickBot="1">
      <c r="G299" s="14" t="s">
        <v>69</v>
      </c>
      <c r="H299" s="14" t="s">
        <v>82</v>
      </c>
      <c r="I299" s="14">
        <f t="shared" si="88"/>
        <v>298.14999999999998</v>
      </c>
      <c r="J299" s="65">
        <v>0.05</v>
      </c>
      <c r="K299" s="36">
        <v>8.9499999999999993</v>
      </c>
      <c r="L299" s="21">
        <v>9.9589999999999998E-2</v>
      </c>
      <c r="M299" s="36">
        <v>0.14799999999999999</v>
      </c>
      <c r="N299" s="19">
        <f t="shared" si="87"/>
        <v>0.11915415514456255</v>
      </c>
      <c r="O299" s="14">
        <v>7.4</v>
      </c>
      <c r="P299" s="14">
        <v>82.5</v>
      </c>
      <c r="Q299" s="21">
        <v>0.27300000000000002</v>
      </c>
      <c r="R299" s="14">
        <v>0.53700000000000003</v>
      </c>
      <c r="S299" s="14">
        <v>1815</v>
      </c>
      <c r="T299" s="19">
        <f>R299/S299</f>
        <v>2.9586776859504135E-4</v>
      </c>
      <c r="U299" s="21">
        <v>2.376E-4</v>
      </c>
      <c r="V299" s="19">
        <f t="shared" si="89"/>
        <v>1.1558162952585262E-4</v>
      </c>
      <c r="W299" s="19">
        <f t="shared" si="90"/>
        <v>1.7445606988262812E-6</v>
      </c>
      <c r="X299" s="19">
        <f t="shared" si="91"/>
        <v>1.439262576531682E-4</v>
      </c>
      <c r="AR299">
        <v>6.2</v>
      </c>
      <c r="AS299">
        <f t="shared" si="96"/>
        <v>3.6777571052800409E-6</v>
      </c>
      <c r="AT299">
        <f t="shared" si="97"/>
        <v>2.7692473615283879E-6</v>
      </c>
      <c r="AU299">
        <f t="shared" si="98"/>
        <v>2.3216559766763851E-6</v>
      </c>
      <c r="AV299">
        <f t="shared" si="99"/>
        <v>4.7496998284734137E-6</v>
      </c>
      <c r="AW299">
        <f t="shared" si="100"/>
        <v>1.4140962230215828E-5</v>
      </c>
      <c r="AX299">
        <f t="shared" si="101"/>
        <v>4.818665289789596E-5</v>
      </c>
      <c r="AY299">
        <f t="shared" si="102"/>
        <v>5.5849138618021643E-5</v>
      </c>
      <c r="AZ299" t="e">
        <f>AR299*#REF!/($AE$309+AR299)</f>
        <v>#REF!</v>
      </c>
      <c r="BA299">
        <f t="shared" si="103"/>
        <v>8.127862081350453E-5</v>
      </c>
      <c r="BB299">
        <f t="shared" si="104"/>
        <v>8.4644716692189887E-5</v>
      </c>
      <c r="BC299">
        <f t="shared" si="105"/>
        <v>8.0766978922716616E-5</v>
      </c>
      <c r="BD299">
        <f t="shared" si="106"/>
        <v>7.404845682115212E-5</v>
      </c>
      <c r="BE299">
        <f t="shared" si="107"/>
        <v>6.6535335445653662E-5</v>
      </c>
    </row>
    <row r="300" spans="1:57">
      <c r="Z300" s="8"/>
      <c r="AA300" s="75"/>
      <c r="AB300" s="8"/>
      <c r="AC300" s="75"/>
      <c r="AD300" s="131"/>
      <c r="AE300" s="8"/>
      <c r="AF300" t="s">
        <v>388</v>
      </c>
      <c r="AH300" t="s">
        <v>282</v>
      </c>
      <c r="AI300" s="131"/>
      <c r="AR300">
        <v>6.4</v>
      </c>
      <c r="AS300">
        <f t="shared" ref="AS300:AS328" si="113">AR300*$AH$302/($AE$302+AR300)</f>
        <v>3.7482992335465889E-6</v>
      </c>
      <c r="AT300">
        <f t="shared" ref="AT300:AT328" si="114">AR300*$AH$303/($AE$303+AR300)</f>
        <v>2.8152037022987632E-6</v>
      </c>
      <c r="AU300">
        <f t="shared" ref="AU300:AU328" si="115">AR300*$AH$304/($AE$304+AR300)</f>
        <v>2.3419259259259259E-6</v>
      </c>
      <c r="AV300">
        <f t="shared" ref="AV300:AV328" si="116">AR300*$AH$305/($AE$305+AR300)</f>
        <v>4.7999999999999998E-6</v>
      </c>
      <c r="AW300">
        <f t="shared" ref="AW300:AW328" si="117">AR300*$AH$306/($AE$306+AR300)</f>
        <v>1.4276165347405452E-5</v>
      </c>
      <c r="AX300">
        <f t="shared" ref="AX300:AX328" si="118">AR300*$AH$307/($AE$307+AR300)</f>
        <v>4.8489241223103059E-5</v>
      </c>
      <c r="AY300">
        <f t="shared" ref="AY300:AY328" si="119">AR300*$AH$309/($AE$308+AR300)</f>
        <v>5.602714842924933E-5</v>
      </c>
      <c r="AZ300" t="e">
        <f>AR300*#REF!/($AE$309+AR300)</f>
        <v>#REF!</v>
      </c>
      <c r="BA300">
        <f t="shared" ref="BA300:BA328" si="120">AR300*$AH$310/($AE$310+AR300)</f>
        <v>8.2420393402134613E-5</v>
      </c>
      <c r="BB300">
        <f t="shared" ref="BB300:BB328" si="121">AR300*$AH$311/($AE$311+AR300)</f>
        <v>8.6057315233785818E-5</v>
      </c>
      <c r="BC300">
        <f t="shared" ref="BC300:BC328" si="122">AR300*$AH$312/($AE$312+AR300)</f>
        <v>8.2169648009232542E-5</v>
      </c>
      <c r="BD300">
        <f t="shared" ref="BD300:BD328" si="123">AR300*$AH$313/($AE$313+AR300)</f>
        <v>7.4930521336355585E-5</v>
      </c>
      <c r="BE300">
        <f t="shared" ref="BE300:BE328" si="124">AR300*$AH$314/($AE$314+AR300)</f>
        <v>6.7748335371653763E-5</v>
      </c>
    </row>
    <row r="301" spans="1:57" ht="15.75" thickBot="1">
      <c r="A301" t="s">
        <v>76</v>
      </c>
      <c r="Z301" s="28"/>
      <c r="AA301" s="109" t="s">
        <v>278</v>
      </c>
      <c r="AB301" s="28" t="s">
        <v>281</v>
      </c>
      <c r="AC301" t="s">
        <v>307</v>
      </c>
      <c r="AD301" t="s">
        <v>280</v>
      </c>
      <c r="AE301" s="109" t="s">
        <v>43</v>
      </c>
      <c r="AF301" t="s">
        <v>283</v>
      </c>
      <c r="AG301" t="s">
        <v>284</v>
      </c>
      <c r="AH301" s="130" t="s">
        <v>394</v>
      </c>
      <c r="AI301" t="s">
        <v>393</v>
      </c>
      <c r="AJ301" t="s">
        <v>283</v>
      </c>
      <c r="AK301" t="s">
        <v>395</v>
      </c>
      <c r="AL301" t="s">
        <v>389</v>
      </c>
      <c r="AM301" t="s">
        <v>284</v>
      </c>
      <c r="AN301" t="s">
        <v>398</v>
      </c>
      <c r="AO301" s="131" t="s">
        <v>279</v>
      </c>
      <c r="AP301" t="s">
        <v>306</v>
      </c>
      <c r="AR301">
        <v>6.6</v>
      </c>
      <c r="AS301">
        <f t="shared" si="113"/>
        <v>3.8170763745543249E-6</v>
      </c>
      <c r="AT301">
        <f t="shared" si="114"/>
        <v>2.8597862641058214E-6</v>
      </c>
      <c r="AU301">
        <f t="shared" si="115"/>
        <v>2.361292479108635E-6</v>
      </c>
      <c r="AV301">
        <f t="shared" si="116"/>
        <v>4.8482319078947364E-6</v>
      </c>
      <c r="AW301">
        <f t="shared" si="117"/>
        <v>1.4405550774526679E-5</v>
      </c>
      <c r="AX301">
        <f t="shared" si="118"/>
        <v>4.8776973118939489E-5</v>
      </c>
      <c r="AY301">
        <f t="shared" si="119"/>
        <v>5.6195406549159782E-5</v>
      </c>
      <c r="AZ301" t="e">
        <f>AR301*#REF!/($AE$309+AR301)</f>
        <v>#REF!</v>
      </c>
      <c r="BA301">
        <f t="shared" si="120"/>
        <v>8.352257952674005E-5</v>
      </c>
      <c r="BB301">
        <f t="shared" si="121"/>
        <v>8.7427934621099536E-5</v>
      </c>
      <c r="BC301">
        <f t="shared" si="122"/>
        <v>8.353242320819112E-5</v>
      </c>
      <c r="BD301">
        <f t="shared" si="123"/>
        <v>7.5778486517831249E-5</v>
      </c>
      <c r="BE301">
        <f t="shared" si="124"/>
        <v>6.8928810832551276E-5</v>
      </c>
    </row>
    <row r="302" spans="1:57">
      <c r="A302" t="s">
        <v>76</v>
      </c>
      <c r="Z302" s="72" t="s">
        <v>59</v>
      </c>
      <c r="AA302" s="10">
        <f>K271</f>
        <v>6.71</v>
      </c>
      <c r="AB302" s="13">
        <f>(M271+M272+M273)/3</f>
        <v>9.8999999999999991E-2</v>
      </c>
      <c r="AC302" s="153">
        <f>SQRT(AB302)</f>
        <v>0.31464265445104544</v>
      </c>
      <c r="AD302" s="13">
        <f>(N271+N272+N273)/3</f>
        <v>9.6994303766611112E-2</v>
      </c>
      <c r="AE302" s="75">
        <v>9.3870000000000005</v>
      </c>
      <c r="AF302" s="6">
        <v>1.2729999999999999</v>
      </c>
      <c r="AG302" s="6">
        <v>17.5</v>
      </c>
      <c r="AH302" s="34">
        <v>9.2459999999999992E-6</v>
      </c>
      <c r="AI302" s="6">
        <f>AH302*10^6</f>
        <v>9.2459999999999987</v>
      </c>
      <c r="AJ302" s="2">
        <v>3.8789999999999996E-6</v>
      </c>
      <c r="AK302" s="6">
        <f>AJ302*10^6</f>
        <v>3.8789999999999996</v>
      </c>
      <c r="AL302" s="2">
        <f t="shared" ref="AL302:AL315" si="125">AH302-AJ302</f>
        <v>5.3669999999999996E-6</v>
      </c>
      <c r="AM302" s="2">
        <v>1.4610000000000001E-5</v>
      </c>
      <c r="AN302" s="6">
        <f>AM302*10^6</f>
        <v>14.610000000000001</v>
      </c>
      <c r="AO302" s="10">
        <v>0.99950000000000006</v>
      </c>
      <c r="AP302" s="11">
        <f t="shared" ref="AP302:AP315" si="126">1/(AM302-AJ302)</f>
        <v>93187.960115553054</v>
      </c>
      <c r="AQ302" s="135">
        <f t="shared" ref="AQ302:AQ315" si="127">AP302/1000</f>
        <v>93.187960115553054</v>
      </c>
      <c r="AR302">
        <v>6.8</v>
      </c>
      <c r="AS302">
        <f t="shared" si="113"/>
        <v>3.884153950701179E-6</v>
      </c>
      <c r="AT302">
        <f t="shared" si="114"/>
        <v>2.9030557396362567E-6</v>
      </c>
      <c r="AU302">
        <f t="shared" si="115"/>
        <v>2.3798147138964577E-6</v>
      </c>
      <c r="AV302">
        <f t="shared" si="116"/>
        <v>4.8945205479452053E-6</v>
      </c>
      <c r="AW302">
        <f t="shared" si="117"/>
        <v>1.4529486099410279E-5</v>
      </c>
      <c r="AX302">
        <f t="shared" si="118"/>
        <v>4.9050916496945013E-5</v>
      </c>
      <c r="AY302">
        <f t="shared" si="119"/>
        <v>5.6354692936267776E-5</v>
      </c>
      <c r="AZ302" t="e">
        <f>AR302*#REF!/($AE$309+AR302)</f>
        <v>#REF!</v>
      </c>
      <c r="BA302">
        <f t="shared" si="120"/>
        <v>8.4587202862741764E-5</v>
      </c>
      <c r="BB302">
        <f t="shared" si="121"/>
        <v>8.8758418740849185E-5</v>
      </c>
      <c r="BC302">
        <f t="shared" si="122"/>
        <v>8.4856982613572623E-5</v>
      </c>
      <c r="BD302">
        <f t="shared" si="123"/>
        <v>7.6594292215795959E-5</v>
      </c>
      <c r="BE302">
        <f t="shared" si="124"/>
        <v>7.0078052652467254E-5</v>
      </c>
    </row>
    <row r="303" spans="1:57">
      <c r="A303" t="s">
        <v>76</v>
      </c>
      <c r="Z303" s="72" t="s">
        <v>60</v>
      </c>
      <c r="AA303" s="10">
        <f>K274</f>
        <v>6.71</v>
      </c>
      <c r="AB303" s="13">
        <f>(M274+M275+M276)/3</f>
        <v>9.8999999999999991E-2</v>
      </c>
      <c r="AC303" s="153">
        <f t="shared" ref="AC303:AC316" si="128">SQRT(AB303)</f>
        <v>0.31464265445104544</v>
      </c>
      <c r="AD303" s="13">
        <f>(N274+N275+N276)/3</f>
        <v>9.6994303766611112E-2</v>
      </c>
      <c r="AE303" s="75">
        <v>6.7809999999999997</v>
      </c>
      <c r="AF303" s="6">
        <v>-62.73</v>
      </c>
      <c r="AG303" s="6">
        <v>76.290000000000006</v>
      </c>
      <c r="AH303" s="34">
        <v>5.7980000000000002E-6</v>
      </c>
      <c r="AI303" s="6">
        <f t="shared" ref="AI303:AI315" si="129">AH303*10^6</f>
        <v>5.798</v>
      </c>
      <c r="AJ303" s="2">
        <v>-2.957E-5</v>
      </c>
      <c r="AK303" s="6">
        <f t="shared" ref="AK303:AK315" si="130">AJ303*10^6</f>
        <v>-29.57</v>
      </c>
      <c r="AL303" s="2">
        <f t="shared" si="125"/>
        <v>3.5367999999999997E-5</v>
      </c>
      <c r="AM303" s="2">
        <v>4.1170000000000001E-5</v>
      </c>
      <c r="AN303" s="6">
        <f t="shared" ref="AN303:AN315" si="131">AM303*10^6</f>
        <v>41.17</v>
      </c>
      <c r="AO303" s="10">
        <v>0.87339999999999995</v>
      </c>
      <c r="AP303" s="11">
        <f t="shared" si="126"/>
        <v>14136.273678258411</v>
      </c>
      <c r="AQ303" s="135">
        <f t="shared" si="127"/>
        <v>14.13627367825841</v>
      </c>
      <c r="AR303">
        <v>7</v>
      </c>
      <c r="AS303">
        <f t="shared" si="113"/>
        <v>3.9495941905168728E-6</v>
      </c>
      <c r="AT303">
        <f t="shared" si="114"/>
        <v>2.9450692983092668E-6</v>
      </c>
      <c r="AU303">
        <f t="shared" si="115"/>
        <v>2.3975466666666666E-6</v>
      </c>
      <c r="AV303">
        <f t="shared" si="116"/>
        <v>4.9389810426540281E-6</v>
      </c>
      <c r="AW303">
        <f t="shared" si="117"/>
        <v>1.4648308580858085E-5</v>
      </c>
      <c r="AX303">
        <f t="shared" si="118"/>
        <v>4.9312039312039313E-5</v>
      </c>
      <c r="AY303">
        <f t="shared" si="119"/>
        <v>5.6505706532324029E-5</v>
      </c>
      <c r="AZ303" t="e">
        <f>AR303*#REF!/($AE$309+AR303)</f>
        <v>#REF!</v>
      </c>
      <c r="BA303">
        <f t="shared" si="120"/>
        <v>8.5616151461841321E-5</v>
      </c>
      <c r="BB303">
        <f t="shared" si="121"/>
        <v>9.0050505050505059E-5</v>
      </c>
      <c r="BC303">
        <f t="shared" si="122"/>
        <v>8.6144911504424775E-5</v>
      </c>
      <c r="BD303">
        <f t="shared" si="123"/>
        <v>7.7379733879222114E-5</v>
      </c>
      <c r="BE303">
        <f t="shared" si="124"/>
        <v>7.1197284240762495E-5</v>
      </c>
    </row>
    <row r="304" spans="1:57">
      <c r="A304" t="s">
        <v>76</v>
      </c>
      <c r="Z304" s="72" t="s">
        <v>61</v>
      </c>
      <c r="AA304" s="10">
        <f>K277</f>
        <v>6.71</v>
      </c>
      <c r="AB304" s="13">
        <f>(M277+M278+M280)/3</f>
        <v>9.8999999999999991E-2</v>
      </c>
      <c r="AC304" s="153">
        <f t="shared" si="128"/>
        <v>0.31464265445104544</v>
      </c>
      <c r="AD304" s="13">
        <f>(N277+N278+N280)/3</f>
        <v>9.6994303766611112E-2</v>
      </c>
      <c r="AE304" s="75">
        <v>2.375</v>
      </c>
      <c r="AF304" s="6">
        <v>-7.3440000000000003</v>
      </c>
      <c r="AG304" s="6">
        <v>12.09</v>
      </c>
      <c r="AH304" s="34">
        <v>3.2109999999999998E-6</v>
      </c>
      <c r="AI304" s="6">
        <f t="shared" si="129"/>
        <v>3.2109999999999999</v>
      </c>
      <c r="AJ304" s="2">
        <v>-1.857E-6</v>
      </c>
      <c r="AK304" s="6">
        <f t="shared" si="130"/>
        <v>-1.857</v>
      </c>
      <c r="AL304" s="2">
        <f t="shared" si="125"/>
        <v>5.0679999999999996E-6</v>
      </c>
      <c r="AM304" s="2">
        <v>8.2789999999999998E-6</v>
      </c>
      <c r="AN304" s="6">
        <f t="shared" si="131"/>
        <v>8.2789999999999999</v>
      </c>
      <c r="AO304" s="10">
        <v>0.46350000000000002</v>
      </c>
      <c r="AP304" s="11">
        <f t="shared" si="126"/>
        <v>98658.247829518557</v>
      </c>
      <c r="AQ304" s="135">
        <f t="shared" si="127"/>
        <v>98.658247829518558</v>
      </c>
      <c r="AR304">
        <v>7.2</v>
      </c>
      <c r="AS304">
        <f t="shared" si="113"/>
        <v>4.0134563212154098E-6</v>
      </c>
      <c r="AT304">
        <f t="shared" si="114"/>
        <v>2.9858808382805236E-6</v>
      </c>
      <c r="AU304">
        <f t="shared" si="115"/>
        <v>2.4145378590078331E-6</v>
      </c>
      <c r="AV304">
        <f t="shared" si="116"/>
        <v>4.9817195972114642E-6</v>
      </c>
      <c r="AW304">
        <f t="shared" si="117"/>
        <v>1.4762328213419562E-5</v>
      </c>
      <c r="AX304">
        <f t="shared" si="118"/>
        <v>4.9561220990053732E-5</v>
      </c>
      <c r="AY304">
        <f t="shared" si="119"/>
        <v>5.6649075515395423E-5</v>
      </c>
      <c r="AZ304" t="e">
        <f>AR304*#REF!/($AE$309+AR304)</f>
        <v>#REF!</v>
      </c>
      <c r="BA304">
        <f t="shared" si="120"/>
        <v>8.6611188926423322E-5</v>
      </c>
      <c r="BB304">
        <f t="shared" si="121"/>
        <v>9.1305832147937411E-5</v>
      </c>
      <c r="BC304">
        <f t="shared" si="122"/>
        <v>8.739770867430441E-5</v>
      </c>
      <c r="BD304">
        <f t="shared" si="123"/>
        <v>7.8136475746779942E-5</v>
      </c>
      <c r="BE304">
        <f t="shared" si="124"/>
        <v>7.2287665936332006E-5</v>
      </c>
    </row>
    <row r="305" spans="1:57">
      <c r="A305" t="s">
        <v>76</v>
      </c>
      <c r="Z305" s="72" t="s">
        <v>41</v>
      </c>
      <c r="AA305" s="10">
        <f>K281</f>
        <v>7</v>
      </c>
      <c r="AB305" s="13">
        <f>(M281+M282+M283+M284)/4</f>
        <v>0.11524999999999999</v>
      </c>
      <c r="AC305" s="153">
        <f t="shared" si="128"/>
        <v>0.33948490393535907</v>
      </c>
      <c r="AD305" s="13">
        <f>(N281+N282+N283+N284)/4</f>
        <v>0.10475493832732191</v>
      </c>
      <c r="AE305" s="75">
        <v>3.1280000000000001</v>
      </c>
      <c r="AF305" s="6">
        <v>-0.2833</v>
      </c>
      <c r="AG305" s="6">
        <v>6.5389999999999997</v>
      </c>
      <c r="AH305" s="34">
        <v>7.1459999999999999E-6</v>
      </c>
      <c r="AI305" s="6">
        <f t="shared" si="129"/>
        <v>7.1459999999999999</v>
      </c>
      <c r="AJ305" s="2">
        <v>4.0339999999999998E-6</v>
      </c>
      <c r="AK305" s="6">
        <f t="shared" si="130"/>
        <v>4.0339999999999998</v>
      </c>
      <c r="AL305" s="2">
        <f t="shared" si="125"/>
        <v>3.112E-6</v>
      </c>
      <c r="AM305" s="2">
        <v>1.026E-5</v>
      </c>
      <c r="AN305" s="6">
        <f t="shared" si="131"/>
        <v>10.26</v>
      </c>
      <c r="AO305" s="10">
        <v>0.9587</v>
      </c>
      <c r="AP305" s="11">
        <f t="shared" si="126"/>
        <v>160616.76839061998</v>
      </c>
      <c r="AQ305" s="135">
        <f t="shared" si="127"/>
        <v>160.61676839062</v>
      </c>
      <c r="AR305">
        <v>7.4</v>
      </c>
      <c r="AS305">
        <f t="shared" si="113"/>
        <v>4.0757967474831715E-6</v>
      </c>
      <c r="AT305">
        <f t="shared" si="114"/>
        <v>3.0255412171215005E-6</v>
      </c>
      <c r="AU305">
        <f t="shared" si="115"/>
        <v>2.4308337595907926E-6</v>
      </c>
      <c r="AV305">
        <f t="shared" si="116"/>
        <v>5.0228343465045592E-6</v>
      </c>
      <c r="AW305">
        <f t="shared" si="117"/>
        <v>1.4871830427892235E-5</v>
      </c>
      <c r="AX305">
        <f t="shared" si="118"/>
        <v>4.9799262322566218E-5</v>
      </c>
      <c r="AY305">
        <f t="shared" si="119"/>
        <v>5.6785366034289094E-5</v>
      </c>
      <c r="AZ305" t="e">
        <f>AR305*#REF!/($AE$309+AR305)</f>
        <v>#REF!</v>
      </c>
      <c r="BA305">
        <f t="shared" si="120"/>
        <v>8.7573964497041421E-5</v>
      </c>
      <c r="BB305">
        <f t="shared" si="121"/>
        <v>9.2525946704067312E-5</v>
      </c>
      <c r="BC305">
        <f t="shared" si="122"/>
        <v>8.8616792249730886E-5</v>
      </c>
      <c r="BD305">
        <f t="shared" si="123"/>
        <v>7.8866062617744689E-5</v>
      </c>
      <c r="BE305">
        <f t="shared" si="124"/>
        <v>7.3350299020231584E-5</v>
      </c>
    </row>
    <row r="306" spans="1:57">
      <c r="Z306" s="72" t="s">
        <v>67</v>
      </c>
      <c r="AA306" s="10">
        <f>K285</f>
        <v>7.5</v>
      </c>
      <c r="AB306" s="13">
        <f>(M285+M286+M287+M288)/4</f>
        <v>0.15175</v>
      </c>
      <c r="AC306" s="153">
        <f t="shared" si="128"/>
        <v>0.38955102361564908</v>
      </c>
      <c r="AD306" s="13">
        <f>(N285+N286+N287+N288)/4</f>
        <v>0.1202037556325939</v>
      </c>
      <c r="AE306" s="75">
        <v>2.6960000000000002</v>
      </c>
      <c r="AF306" s="6">
        <v>-1.3560000000000001</v>
      </c>
      <c r="AG306" s="6">
        <v>6.7480000000000002</v>
      </c>
      <c r="AH306" s="34">
        <v>2.0290000000000001E-5</v>
      </c>
      <c r="AI306" s="6">
        <f t="shared" si="129"/>
        <v>20.29</v>
      </c>
      <c r="AJ306" s="2">
        <v>8.9959999999999999E-6</v>
      </c>
      <c r="AK306" s="6">
        <f t="shared" si="130"/>
        <v>8.9960000000000004</v>
      </c>
      <c r="AL306" s="2">
        <f t="shared" si="125"/>
        <v>1.1294000000000001E-5</v>
      </c>
      <c r="AM306" s="2">
        <v>3.1579999999999999E-5</v>
      </c>
      <c r="AN306" s="6">
        <f t="shared" si="131"/>
        <v>31.58</v>
      </c>
      <c r="AO306" s="10">
        <v>0.90820000000000001</v>
      </c>
      <c r="AP306" s="11">
        <f t="shared" si="126"/>
        <v>44279.135671271695</v>
      </c>
      <c r="AQ306" s="135">
        <f t="shared" si="127"/>
        <v>44.279135671271696</v>
      </c>
      <c r="AR306">
        <v>7.6</v>
      </c>
      <c r="AS306">
        <f t="shared" si="113"/>
        <v>4.1366692176370155E-6</v>
      </c>
      <c r="AT306">
        <f t="shared" si="114"/>
        <v>3.0640984632501217E-6</v>
      </c>
      <c r="AU306">
        <f t="shared" si="115"/>
        <v>2.4464761904761905E-6</v>
      </c>
      <c r="AV306">
        <f t="shared" si="116"/>
        <v>5.0624161073825507E-6</v>
      </c>
      <c r="AW306">
        <f t="shared" si="117"/>
        <v>1.4977078477078477E-5</v>
      </c>
      <c r="AX306">
        <f t="shared" si="118"/>
        <v>5.0026894063627418E-5</v>
      </c>
      <c r="AY306">
        <f t="shared" si="119"/>
        <v>5.6915089680426889E-5</v>
      </c>
      <c r="AZ306" t="e">
        <f>AR306*#REF!/($AE$309+AR306)</f>
        <v>#REF!</v>
      </c>
      <c r="BA306">
        <f t="shared" si="120"/>
        <v>8.8506022174363876E-5</v>
      </c>
      <c r="BB306">
        <f t="shared" si="121"/>
        <v>9.3712309820193616E-5</v>
      </c>
      <c r="BC306">
        <f t="shared" si="122"/>
        <v>8.9803505045140726E-5</v>
      </c>
      <c r="BD306">
        <f t="shared" si="123"/>
        <v>7.9569930378073502E-5</v>
      </c>
      <c r="BE306">
        <f t="shared" si="124"/>
        <v>7.4386229425807253E-5</v>
      </c>
    </row>
    <row r="307" spans="1:57">
      <c r="Z307" s="72" t="s">
        <v>62</v>
      </c>
      <c r="AA307" s="10">
        <f>K289</f>
        <v>8.01</v>
      </c>
      <c r="AB307" s="13">
        <f>(M289+M290+M291+M292)/4</f>
        <v>0.17775000000000002</v>
      </c>
      <c r="AC307" s="153">
        <f t="shared" si="128"/>
        <v>0.42160407967665592</v>
      </c>
      <c r="AD307" s="13">
        <f>(N289+N290+N291+N292)/4</f>
        <v>0.13009395343925345</v>
      </c>
      <c r="AE307" s="75">
        <v>1.5469999999999999</v>
      </c>
      <c r="AF307" s="6">
        <v>0.92449999999999999</v>
      </c>
      <c r="AG307" s="6">
        <v>2.17</v>
      </c>
      <c r="AH307" s="34">
        <v>6.0210000000000001E-5</v>
      </c>
      <c r="AI307" s="6">
        <f t="shared" si="129"/>
        <v>60.21</v>
      </c>
      <c r="AJ307" s="2">
        <v>5.3000000000000001E-5</v>
      </c>
      <c r="AK307" s="6">
        <f t="shared" si="130"/>
        <v>53</v>
      </c>
      <c r="AL307" s="2">
        <f t="shared" si="125"/>
        <v>7.2100000000000004E-6</v>
      </c>
      <c r="AM307" s="2">
        <v>6.7409999999999993E-5</v>
      </c>
      <c r="AN307" s="6">
        <f t="shared" si="131"/>
        <v>67.41</v>
      </c>
      <c r="AO307" s="10">
        <v>0.9909</v>
      </c>
      <c r="AP307" s="11">
        <f t="shared" si="126"/>
        <v>69396.252602359513</v>
      </c>
      <c r="AQ307" s="135">
        <f t="shared" si="127"/>
        <v>69.39625260235951</v>
      </c>
      <c r="AR307">
        <v>7.8</v>
      </c>
      <c r="AS307">
        <f t="shared" si="113"/>
        <v>4.196124978181183E-6</v>
      </c>
      <c r="AT307">
        <f t="shared" si="114"/>
        <v>3.1015979699609083E-6</v>
      </c>
      <c r="AU307">
        <f t="shared" si="115"/>
        <v>2.461503685503685E-6</v>
      </c>
      <c r="AV307">
        <f t="shared" si="116"/>
        <v>5.1005490483162514E-6</v>
      </c>
      <c r="AW307">
        <f t="shared" si="117"/>
        <v>1.5078315548780487E-5</v>
      </c>
      <c r="AX307">
        <f t="shared" si="118"/>
        <v>5.0244784422809459E-5</v>
      </c>
      <c r="AY307">
        <f t="shared" si="119"/>
        <v>5.7038709905077802E-5</v>
      </c>
      <c r="AZ307" t="e">
        <f>AR307*#REF!/($AE$309+AR307)</f>
        <v>#REF!</v>
      </c>
      <c r="BA307">
        <f t="shared" si="120"/>
        <v>8.9408808981706827E-5</v>
      </c>
      <c r="BB307">
        <f t="shared" si="121"/>
        <v>9.4866302864938596E-5</v>
      </c>
      <c r="BC307">
        <f t="shared" si="122"/>
        <v>9.0959119496855344E-5</v>
      </c>
      <c r="BD307">
        <f t="shared" si="123"/>
        <v>8.0249415432579881E-5</v>
      </c>
      <c r="BE307">
        <f t="shared" si="124"/>
        <v>7.5396451172602053E-5</v>
      </c>
    </row>
    <row r="308" spans="1:57">
      <c r="Z308" s="72" t="s">
        <v>68</v>
      </c>
      <c r="AA308" s="10">
        <f>K293</f>
        <v>8.5</v>
      </c>
      <c r="AB308" s="13">
        <f>(M293+M294+M296+M295)/4</f>
        <v>0.1885</v>
      </c>
      <c r="AC308" s="153">
        <f t="shared" si="128"/>
        <v>0.43416586692184822</v>
      </c>
      <c r="AD308" s="13">
        <f>(N293+N294+N296+N295)/4</f>
        <v>0.13396759817885739</v>
      </c>
      <c r="AE308" s="75">
        <v>0.70169999999999999</v>
      </c>
      <c r="AF308" s="6">
        <v>0.47210000000000002</v>
      </c>
      <c r="AG308" s="6">
        <v>0.93130000000000002</v>
      </c>
      <c r="AH308" s="2">
        <v>1.137E-4</v>
      </c>
      <c r="AI308" s="6">
        <f t="shared" si="129"/>
        <v>113.7</v>
      </c>
      <c r="AJ308" s="2">
        <v>1.077E-4</v>
      </c>
      <c r="AK308" s="6">
        <f t="shared" si="130"/>
        <v>107.7</v>
      </c>
      <c r="AL308" s="2">
        <f t="shared" si="125"/>
        <v>5.9999999999999968E-6</v>
      </c>
      <c r="AM308" s="2">
        <v>1.197E-4</v>
      </c>
      <c r="AN308" s="6">
        <f t="shared" si="131"/>
        <v>119.7</v>
      </c>
      <c r="AO308" s="1">
        <v>0.98950000000000005</v>
      </c>
      <c r="AP308" s="11">
        <f t="shared" si="126"/>
        <v>83333.333333333372</v>
      </c>
      <c r="AQ308" s="135">
        <f t="shared" si="127"/>
        <v>83.333333333333371</v>
      </c>
      <c r="AR308">
        <v>8</v>
      </c>
      <c r="AS308">
        <f t="shared" si="113"/>
        <v>4.2542129176971293E-6</v>
      </c>
      <c r="AT308">
        <f t="shared" si="114"/>
        <v>3.1380826737027267E-6</v>
      </c>
      <c r="AU308">
        <f t="shared" si="115"/>
        <v>2.4759518072289156E-6</v>
      </c>
      <c r="AV308">
        <f t="shared" si="116"/>
        <v>5.1373112868439968E-6</v>
      </c>
      <c r="AW308">
        <f t="shared" si="117"/>
        <v>1.5175766641735229E-5</v>
      </c>
      <c r="AX308">
        <f t="shared" si="118"/>
        <v>5.0453545616424003E-5</v>
      </c>
      <c r="AY308">
        <f t="shared" si="119"/>
        <v>5.7156647551627838E-5</v>
      </c>
      <c r="AZ308" t="e">
        <f>AR308*#REF!/($AE$309+AR308)</f>
        <v>#REF!</v>
      </c>
      <c r="BA308">
        <f t="shared" si="120"/>
        <v>9.0283682461157915E-5</v>
      </c>
      <c r="BB308">
        <f t="shared" si="121"/>
        <v>9.5989232839838493E-5</v>
      </c>
      <c r="BC308">
        <f t="shared" si="122"/>
        <v>9.2084842214174847E-5</v>
      </c>
      <c r="BD308">
        <f t="shared" si="123"/>
        <v>8.0905763173576227E-5</v>
      </c>
      <c r="BE308">
        <f t="shared" si="124"/>
        <v>7.6381909547738706E-5</v>
      </c>
    </row>
    <row r="309" spans="1:57">
      <c r="Z309" s="72" t="s">
        <v>50</v>
      </c>
      <c r="AA309" s="10">
        <f>K218</f>
        <v>8.4600000000000009</v>
      </c>
      <c r="AB309" s="13">
        <f>(M218+M219+M220+M221)/4</f>
        <v>1.1000000000000001E-2</v>
      </c>
      <c r="AC309" s="153">
        <f t="shared" si="128"/>
        <v>0.10488088481701516</v>
      </c>
      <c r="AD309" s="13">
        <f>(N218+N219+N220+N221)/4</f>
        <v>3.2467564408430481E-2</v>
      </c>
      <c r="AE309" s="75">
        <v>3.121</v>
      </c>
      <c r="AF309" s="6">
        <v>2.0760000000000001</v>
      </c>
      <c r="AG309" s="6">
        <v>4.1669999999999998</v>
      </c>
      <c r="AH309" s="34">
        <v>6.2169999999999996E-5</v>
      </c>
      <c r="AI309" s="6">
        <f t="shared" si="129"/>
        <v>62.169999999999995</v>
      </c>
      <c r="AJ309" s="2">
        <v>5.3059999999999997E-5</v>
      </c>
      <c r="AK309" s="6">
        <f t="shared" si="130"/>
        <v>53.059999999999995</v>
      </c>
      <c r="AL309" s="2">
        <f t="shared" si="125"/>
        <v>9.1099999999999992E-6</v>
      </c>
      <c r="AM309" s="2">
        <v>7.1279999999999995E-5</v>
      </c>
      <c r="AN309" s="6">
        <f t="shared" si="131"/>
        <v>71.28</v>
      </c>
      <c r="AO309" s="10">
        <v>0.99660000000000004</v>
      </c>
      <c r="AP309" s="11">
        <f t="shared" si="126"/>
        <v>54884.742041712409</v>
      </c>
      <c r="AQ309" s="135">
        <f t="shared" si="127"/>
        <v>54.884742041712407</v>
      </c>
      <c r="AR309">
        <v>8.1999999999999993</v>
      </c>
      <c r="AS309">
        <f t="shared" si="113"/>
        <v>4.3109797009154482E-6</v>
      </c>
      <c r="AT309">
        <f t="shared" si="114"/>
        <v>3.1735932180762302E-6</v>
      </c>
      <c r="AU309">
        <f t="shared" si="115"/>
        <v>2.4898534278959811E-6</v>
      </c>
      <c r="AV309">
        <f t="shared" si="116"/>
        <v>5.1727754237288136E-6</v>
      </c>
      <c r="AW309">
        <f t="shared" si="117"/>
        <v>1.5269640234948606E-5</v>
      </c>
      <c r="AX309">
        <f t="shared" si="118"/>
        <v>5.0653739612188359E-5</v>
      </c>
      <c r="AY309">
        <f t="shared" si="119"/>
        <v>5.7269285642068365E-5</v>
      </c>
      <c r="AZ309" t="e">
        <f>AR309*#REF!/($AE$309+AR309)</f>
        <v>#REF!</v>
      </c>
      <c r="BA309">
        <f t="shared" si="120"/>
        <v>9.1131917484966112E-5</v>
      </c>
      <c r="BB309">
        <f t="shared" si="121"/>
        <v>9.7082337317397081E-5</v>
      </c>
      <c r="BC309">
        <f t="shared" si="122"/>
        <v>9.3181818181818169E-5</v>
      </c>
      <c r="BD309">
        <f t="shared" si="123"/>
        <v>8.1540135598895118E-5</v>
      </c>
      <c r="BE309">
        <f t="shared" si="124"/>
        <v>7.734350405618112E-5</v>
      </c>
    </row>
    <row r="310" spans="1:57">
      <c r="G310" s="66" t="s">
        <v>32</v>
      </c>
      <c r="H310" s="66" t="s">
        <v>81</v>
      </c>
      <c r="I310" s="66" t="s">
        <v>35</v>
      </c>
      <c r="J310" s="66" t="s">
        <v>83</v>
      </c>
      <c r="K310" s="66" t="s">
        <v>2</v>
      </c>
      <c r="L310" s="66" t="s">
        <v>90</v>
      </c>
      <c r="M310" s="66" t="s">
        <v>80</v>
      </c>
      <c r="N310" s="66" t="s">
        <v>95</v>
      </c>
      <c r="O310" s="66" t="s">
        <v>21</v>
      </c>
      <c r="P310" s="66" t="s">
        <v>1</v>
      </c>
      <c r="Q310" s="66" t="s">
        <v>34</v>
      </c>
      <c r="R310" s="66" t="s">
        <v>16</v>
      </c>
      <c r="S310" s="66" t="s">
        <v>17</v>
      </c>
      <c r="T310" s="66" t="s">
        <v>18</v>
      </c>
      <c r="U310" s="66" t="s">
        <v>11</v>
      </c>
      <c r="V310" s="66" t="s">
        <v>111</v>
      </c>
      <c r="W310" s="66" t="s">
        <v>103</v>
      </c>
      <c r="X310" s="66" t="s">
        <v>104</v>
      </c>
      <c r="Z310" s="72" t="s">
        <v>51</v>
      </c>
      <c r="AA310" s="10">
        <f>K222</f>
        <v>8.98</v>
      </c>
      <c r="AB310" s="13">
        <f>(M222+M223+M224+M225)/4</f>
        <v>2.7749999999999997E-2</v>
      </c>
      <c r="AC310" s="153">
        <f t="shared" si="128"/>
        <v>0.16658331248957681</v>
      </c>
      <c r="AD310" s="13">
        <f>(N222+N223+N224+N225)/4</f>
        <v>5.1564006978618404E-2</v>
      </c>
      <c r="AE310" s="75">
        <v>4.9370000000000003</v>
      </c>
      <c r="AF310" s="6">
        <v>0.54679999999999995</v>
      </c>
      <c r="AG310" s="6">
        <v>9.327</v>
      </c>
      <c r="AH310" s="34">
        <v>1.46E-4</v>
      </c>
      <c r="AI310" s="6">
        <f t="shared" si="129"/>
        <v>146</v>
      </c>
      <c r="AJ310" s="2">
        <v>7.6569999999999994E-5</v>
      </c>
      <c r="AK310" s="6">
        <f t="shared" si="130"/>
        <v>76.569999999999993</v>
      </c>
      <c r="AL310" s="2">
        <f t="shared" si="125"/>
        <v>6.9430000000000004E-5</v>
      </c>
      <c r="AM310" s="2">
        <v>2.1550000000000001E-4</v>
      </c>
      <c r="AN310" s="6">
        <f t="shared" si="131"/>
        <v>215.5</v>
      </c>
      <c r="AO310" s="10">
        <v>0.98509999999999998</v>
      </c>
      <c r="AP310" s="11">
        <f t="shared" si="126"/>
        <v>7197.8694306485277</v>
      </c>
      <c r="AQ310" s="135">
        <f t="shared" si="127"/>
        <v>7.1978694306485274</v>
      </c>
      <c r="AR310">
        <v>8.4</v>
      </c>
      <c r="AS310">
        <f t="shared" si="113"/>
        <v>4.3664698937426213E-6</v>
      </c>
      <c r="AT310">
        <f t="shared" si="114"/>
        <v>3.2081681048679271E-6</v>
      </c>
      <c r="AU310">
        <f t="shared" si="115"/>
        <v>2.5032389791183293E-6</v>
      </c>
      <c r="AV310">
        <f t="shared" si="116"/>
        <v>5.2070090215128377E-6</v>
      </c>
      <c r="AW310">
        <f t="shared" si="117"/>
        <v>1.5360129776496036E-5</v>
      </c>
      <c r="AX310">
        <f t="shared" si="118"/>
        <v>5.084588318085855E-5</v>
      </c>
      <c r="AY310">
        <f t="shared" si="119"/>
        <v>5.7376973532417015E-5</v>
      </c>
      <c r="AZ310" t="e">
        <f>AR310*#REF!/($AE$309+AR310)</f>
        <v>#REF!</v>
      </c>
      <c r="BA310">
        <f t="shared" si="120"/>
        <v>9.1954712454075141E-5</v>
      </c>
      <c r="BB310">
        <f t="shared" si="121"/>
        <v>9.8146788990825681E-5</v>
      </c>
      <c r="BC310">
        <f t="shared" si="122"/>
        <v>9.4251134644478051E-5</v>
      </c>
      <c r="BD310">
        <f t="shared" si="123"/>
        <v>8.2153618177327738E-5</v>
      </c>
      <c r="BE310">
        <f t="shared" si="124"/>
        <v>7.8282091159229572E-5</v>
      </c>
    </row>
    <row r="311" spans="1:57">
      <c r="G311" s="14" t="s">
        <v>124</v>
      </c>
      <c r="H311" s="14" t="s">
        <v>82</v>
      </c>
      <c r="I311" s="14">
        <f>25+273.15</f>
        <v>298.14999999999998</v>
      </c>
      <c r="J311" s="36">
        <v>0.19364000000000001</v>
      </c>
      <c r="K311" s="33">
        <v>6.93</v>
      </c>
      <c r="L311" s="21">
        <v>0.30649999999999999</v>
      </c>
      <c r="M311" s="21">
        <v>0.42299999999999999</v>
      </c>
      <c r="N311" s="19">
        <f t="shared" ref="N311:N318" si="132">10^(-(1.824*10^6)/(78.54*I311)^(3/2))*SQRT(M311)</f>
        <v>0.20144130100546703</v>
      </c>
      <c r="O311" s="36">
        <v>9.4700000000000006</v>
      </c>
      <c r="P311" s="33">
        <v>195.88200000000001</v>
      </c>
      <c r="Q311" s="21">
        <v>32.012</v>
      </c>
      <c r="R311" s="21">
        <v>0.29709999999999998</v>
      </c>
      <c r="S311" s="21">
        <v>90300</v>
      </c>
      <c r="T311" s="19">
        <f t="shared" ref="T311:T318" si="133">R311/S311</f>
        <v>3.2901439645625691E-6</v>
      </c>
      <c r="U311" s="21"/>
      <c r="V311" s="19">
        <f t="shared" ref="V311:V318" si="134">U311/($C$3*N311*Q311)</f>
        <v>0</v>
      </c>
      <c r="W311" s="19">
        <f t="shared" ref="W311:W318" si="135">T311/(Q311*N311*P311*$C$3)</f>
        <v>3.459107586314798E-10</v>
      </c>
      <c r="X311" s="20">
        <f t="shared" ref="X311:X318" si="136">W311*P311</f>
        <v>6.7757691222251527E-8</v>
      </c>
      <c r="Z311" s="72" t="s">
        <v>52</v>
      </c>
      <c r="AA311" s="10">
        <f>K226</f>
        <v>9.23</v>
      </c>
      <c r="AB311" s="13">
        <f>(M226+M227+M228+M229)/4</f>
        <v>3.85E-2</v>
      </c>
      <c r="AC311" s="153">
        <f t="shared" si="128"/>
        <v>0.19621416870348585</v>
      </c>
      <c r="AD311" s="13">
        <f>(N226+N227+N228+N229)/4</f>
        <v>6.0735482692565207E-2</v>
      </c>
      <c r="AE311" s="75">
        <v>6.86</v>
      </c>
      <c r="AF311" s="6">
        <v>-0.53669999999999995</v>
      </c>
      <c r="AG311" s="6">
        <v>14.26</v>
      </c>
      <c r="AH311" s="34">
        <v>1.783E-4</v>
      </c>
      <c r="AI311" s="6">
        <f t="shared" si="129"/>
        <v>178.29999999999998</v>
      </c>
      <c r="AJ311" s="2">
        <v>6.1849999999999999E-5</v>
      </c>
      <c r="AK311" s="6">
        <f t="shared" si="130"/>
        <v>61.85</v>
      </c>
      <c r="AL311" s="2">
        <f t="shared" si="125"/>
        <v>1.1645E-4</v>
      </c>
      <c r="AM311" s="2">
        <v>2.9480000000000001E-4</v>
      </c>
      <c r="AN311" s="6">
        <f t="shared" si="131"/>
        <v>294.8</v>
      </c>
      <c r="AO311" s="10">
        <v>0.98519999999999996</v>
      </c>
      <c r="AP311" s="11">
        <f t="shared" si="126"/>
        <v>4292.7666881305004</v>
      </c>
      <c r="AQ311" s="135">
        <f t="shared" si="127"/>
        <v>4.2927666881305004</v>
      </c>
      <c r="AR311">
        <v>8.6</v>
      </c>
      <c r="AS311">
        <f t="shared" si="113"/>
        <v>4.4207260799466272E-6</v>
      </c>
      <c r="AT311">
        <f t="shared" si="114"/>
        <v>3.2418438333008256E-6</v>
      </c>
      <c r="AU311">
        <f t="shared" si="115"/>
        <v>2.516136674259681E-6</v>
      </c>
      <c r="AV311">
        <f t="shared" si="116"/>
        <v>5.2400750341064126E-6</v>
      </c>
      <c r="AW311">
        <f t="shared" si="117"/>
        <v>1.5447415014164307E-5</v>
      </c>
      <c r="AX311">
        <f t="shared" si="118"/>
        <v>5.1030452350448404E-5</v>
      </c>
      <c r="AY311">
        <f t="shared" si="119"/>
        <v>5.7480030532053277E-5</v>
      </c>
      <c r="AZ311" t="e">
        <f>AR311*#REF!/($AE$309+AR311)</f>
        <v>#REF!</v>
      </c>
      <c r="BA311">
        <f t="shared" si="120"/>
        <v>9.2753194947181795E-5</v>
      </c>
      <c r="BB311">
        <f t="shared" si="121"/>
        <v>9.9183699870633888E-5</v>
      </c>
      <c r="BC311">
        <f t="shared" si="122"/>
        <v>9.5293824701195217E-5</v>
      </c>
      <c r="BD311">
        <f t="shared" si="123"/>
        <v>8.2747226046812994E-5</v>
      </c>
      <c r="BE311">
        <f t="shared" si="124"/>
        <v>7.9198486818772898E-5</v>
      </c>
    </row>
    <row r="312" spans="1:57">
      <c r="G312" s="14" t="s">
        <v>124</v>
      </c>
      <c r="H312" s="14" t="s">
        <v>82</v>
      </c>
      <c r="I312" s="14">
        <f t="shared" ref="I312:I318" si="137">25+273.15</f>
        <v>298.14999999999998</v>
      </c>
      <c r="J312" s="36">
        <v>0.19364000000000001</v>
      </c>
      <c r="K312" s="33">
        <v>6.93</v>
      </c>
      <c r="L312" s="21">
        <v>0.30649999999999999</v>
      </c>
      <c r="M312" s="21">
        <v>0.42299999999999999</v>
      </c>
      <c r="N312" s="19">
        <f t="shared" si="132"/>
        <v>0.20144130100546703</v>
      </c>
      <c r="O312" s="36">
        <v>9.4700000000000006</v>
      </c>
      <c r="P312" s="33">
        <v>195.88200000000001</v>
      </c>
      <c r="Q312" s="21">
        <v>32.012</v>
      </c>
      <c r="R312" s="21">
        <v>0.32669999999999999</v>
      </c>
      <c r="S312" s="21">
        <v>90310</v>
      </c>
      <c r="T312" s="19">
        <f t="shared" si="133"/>
        <v>3.6175395858708892E-6</v>
      </c>
      <c r="U312" s="21"/>
      <c r="V312" s="19">
        <f t="shared" si="134"/>
        <v>0</v>
      </c>
      <c r="W312" s="19">
        <f t="shared" si="135"/>
        <v>3.8033164384476328E-10</v>
      </c>
      <c r="X312" s="20">
        <f t="shared" si="136"/>
        <v>7.450012305959992E-8</v>
      </c>
      <c r="Z312" s="72" t="s">
        <v>53</v>
      </c>
      <c r="AA312" s="10">
        <f>K230</f>
        <v>9.4</v>
      </c>
      <c r="AB312" s="13">
        <f>(M230+M231+M232+M233)/4</f>
        <v>4.6500000000000007E-2</v>
      </c>
      <c r="AC312" s="153">
        <f t="shared" si="128"/>
        <v>0.21563858652847825</v>
      </c>
      <c r="AD312" s="13">
        <f>(N230+N231+N232+N233)/4</f>
        <v>6.6745426359892307E-2</v>
      </c>
      <c r="AE312" s="75">
        <v>7.4640000000000004</v>
      </c>
      <c r="AF312" s="6">
        <v>2.7189999999999999</v>
      </c>
      <c r="AG312" s="6">
        <v>12.21</v>
      </c>
      <c r="AH312" s="34">
        <v>1.7799999999999999E-4</v>
      </c>
      <c r="AI312" s="6">
        <f t="shared" si="129"/>
        <v>178</v>
      </c>
      <c r="AJ312" s="2">
        <v>1.0739999999999999E-4</v>
      </c>
      <c r="AK312" s="6">
        <f t="shared" si="130"/>
        <v>107.39999999999999</v>
      </c>
      <c r="AL312" s="2">
        <f t="shared" si="125"/>
        <v>7.0599999999999995E-5</v>
      </c>
      <c r="AM312" s="2">
        <v>2.4860000000000003E-4</v>
      </c>
      <c r="AN312" s="6">
        <f t="shared" si="131"/>
        <v>248.60000000000002</v>
      </c>
      <c r="AO312" s="10">
        <v>0.99550000000000005</v>
      </c>
      <c r="AP312" s="11">
        <f t="shared" si="126"/>
        <v>7082.152974504248</v>
      </c>
      <c r="AQ312" s="135">
        <f t="shared" si="127"/>
        <v>7.0821529745042477</v>
      </c>
      <c r="AR312">
        <v>8.8000000000000007</v>
      </c>
      <c r="AS312">
        <f t="shared" si="113"/>
        <v>4.4737889701435093E-6</v>
      </c>
      <c r="AT312">
        <f t="shared" si="114"/>
        <v>3.2746550285604267E-6</v>
      </c>
      <c r="AU312">
        <f t="shared" si="115"/>
        <v>2.5285727069351228E-6</v>
      </c>
      <c r="AV312">
        <f t="shared" si="116"/>
        <v>5.2720321931589541E-6</v>
      </c>
      <c r="AW312">
        <f t="shared" si="117"/>
        <v>1.5531663187195546E-5</v>
      </c>
      <c r="AX312">
        <f t="shared" si="118"/>
        <v>5.1207886343867787E-5</v>
      </c>
      <c r="AY312">
        <f t="shared" si="119"/>
        <v>5.7578749065956618E-5</v>
      </c>
      <c r="AZ312" t="e">
        <f>AR312*#REF!/($AE$309+AR312)</f>
        <v>#REF!</v>
      </c>
      <c r="BA312">
        <f t="shared" si="120"/>
        <v>9.3528426876319411E-5</v>
      </c>
      <c r="BB312">
        <f t="shared" si="121"/>
        <v>1.001941251596424E-4</v>
      </c>
      <c r="BC312">
        <f t="shared" si="122"/>
        <v>9.6310870634530241E-5</v>
      </c>
      <c r="BD312">
        <f t="shared" si="123"/>
        <v>8.3321909619829448E-5</v>
      </c>
      <c r="BE312">
        <f t="shared" si="124"/>
        <v>8.0093468863184938E-5</v>
      </c>
    </row>
    <row r="313" spans="1:57">
      <c r="G313" s="14" t="s">
        <v>124</v>
      </c>
      <c r="H313" s="14" t="s">
        <v>82</v>
      </c>
      <c r="I313" s="14">
        <f t="shared" si="137"/>
        <v>298.14999999999998</v>
      </c>
      <c r="J313" s="36">
        <v>0.19364000000000001</v>
      </c>
      <c r="K313" s="33">
        <v>6.93</v>
      </c>
      <c r="L313" s="21">
        <v>0.30649999999999999</v>
      </c>
      <c r="M313" s="21">
        <v>0.42299999999999999</v>
      </c>
      <c r="N313" s="19">
        <f t="shared" si="132"/>
        <v>0.20144130100546703</v>
      </c>
      <c r="O313" s="36">
        <v>9.4700000000000006</v>
      </c>
      <c r="P313" s="33">
        <v>3.879</v>
      </c>
      <c r="Q313" s="21">
        <v>32.012</v>
      </c>
      <c r="R313" s="21">
        <v>0.14419999999999999</v>
      </c>
      <c r="S313" s="21">
        <v>90360</v>
      </c>
      <c r="T313" s="19">
        <f t="shared" si="133"/>
        <v>1.5958388667552014E-6</v>
      </c>
      <c r="U313" s="21"/>
      <c r="V313" s="19">
        <f t="shared" si="134"/>
        <v>0</v>
      </c>
      <c r="W313" s="19">
        <f t="shared" si="135"/>
        <v>8.472526901422202E-9</v>
      </c>
      <c r="X313" s="20">
        <f t="shared" si="136"/>
        <v>3.2864931850616722E-8</v>
      </c>
      <c r="Z313" s="72" t="s">
        <v>244</v>
      </c>
      <c r="AA313" s="10">
        <f>9.505</f>
        <v>9.5050000000000008</v>
      </c>
      <c r="AB313" s="13">
        <f>(M234+M235+M236+M237+M238+M239+M240+M241)/8</f>
        <v>5.0749999999999997E-2</v>
      </c>
      <c r="AC313" s="153">
        <f t="shared" si="128"/>
        <v>0.22527760652137618</v>
      </c>
      <c r="AD313" s="13">
        <f>(N234+N235+N236+N237+N238+N239+N240+N241)/8</f>
        <v>6.9730558548572158E-2</v>
      </c>
      <c r="AE313" s="75">
        <v>3.7469999999999999</v>
      </c>
      <c r="AF313" s="6">
        <v>-6.306</v>
      </c>
      <c r="AG313" s="6">
        <v>13.8</v>
      </c>
      <c r="AH313" s="34">
        <v>1.188E-4</v>
      </c>
      <c r="AI313" s="6">
        <f t="shared" si="129"/>
        <v>118.8</v>
      </c>
      <c r="AJ313" s="2">
        <v>-3.2839999999999997E-5</v>
      </c>
      <c r="AK313" s="6">
        <f t="shared" si="130"/>
        <v>-32.839999999999996</v>
      </c>
      <c r="AL313" s="2">
        <f t="shared" si="125"/>
        <v>1.5164000000000001E-4</v>
      </c>
      <c r="AM313" s="2">
        <v>2.7040000000000001E-4</v>
      </c>
      <c r="AN313" s="6">
        <f t="shared" si="131"/>
        <v>270.40000000000003</v>
      </c>
      <c r="AO313" s="10">
        <v>0.87660000000000005</v>
      </c>
      <c r="AP313" s="11">
        <f t="shared" si="126"/>
        <v>3297.7179791584222</v>
      </c>
      <c r="AQ313" s="135">
        <f t="shared" si="127"/>
        <v>3.2977179791584224</v>
      </c>
      <c r="AR313">
        <v>9</v>
      </c>
      <c r="AS313">
        <f t="shared" si="113"/>
        <v>4.5256975036710717E-6</v>
      </c>
      <c r="AT313">
        <f t="shared" si="114"/>
        <v>3.3066345605474944E-6</v>
      </c>
      <c r="AU313">
        <f t="shared" si="115"/>
        <v>2.5405714285714283E-6</v>
      </c>
      <c r="AV313">
        <f t="shared" si="116"/>
        <v>5.302935356200527E-6</v>
      </c>
      <c r="AW313">
        <f t="shared" si="117"/>
        <v>1.5613030095759236E-5</v>
      </c>
      <c r="AX313">
        <f t="shared" si="118"/>
        <v>5.13785910685503E-5</v>
      </c>
      <c r="AY313">
        <f t="shared" si="119"/>
        <v>5.7673397445808457E-5</v>
      </c>
      <c r="AZ313" t="e">
        <f>AR313*#REF!/($AE$309+AR313)</f>
        <v>#REF!</v>
      </c>
      <c r="BA313">
        <f t="shared" si="120"/>
        <v>9.4281409198536262E-5</v>
      </c>
      <c r="BB313">
        <f t="shared" si="121"/>
        <v>1.0117906683480454E-4</v>
      </c>
      <c r="BC313">
        <f t="shared" si="122"/>
        <v>9.7303206997084553E-5</v>
      </c>
      <c r="BD313">
        <f t="shared" si="123"/>
        <v>8.3878559661096721E-5</v>
      </c>
      <c r="BE313">
        <f t="shared" si="124"/>
        <v>8.0967779189282838E-5</v>
      </c>
    </row>
    <row r="314" spans="1:57" ht="15.75" thickBot="1">
      <c r="G314" s="55" t="s">
        <v>124</v>
      </c>
      <c r="H314" s="55" t="s">
        <v>82</v>
      </c>
      <c r="I314" s="55">
        <f t="shared" si="137"/>
        <v>298.14999999999998</v>
      </c>
      <c r="J314" s="57">
        <v>0.19364000000000001</v>
      </c>
      <c r="K314" s="63">
        <v>6.93</v>
      </c>
      <c r="L314" s="56">
        <v>0.30649999999999999</v>
      </c>
      <c r="M314" s="56">
        <v>0.42299999999999999</v>
      </c>
      <c r="N314" s="60">
        <f t="shared" si="132"/>
        <v>0.20144130100546703</v>
      </c>
      <c r="O314" s="57">
        <v>9.4700000000000006</v>
      </c>
      <c r="P314" s="63">
        <v>3.879</v>
      </c>
      <c r="Q314" s="56">
        <v>32.012</v>
      </c>
      <c r="R314" s="56">
        <v>9.6280000000000004E-2</v>
      </c>
      <c r="S314" s="56">
        <v>100300</v>
      </c>
      <c r="T314" s="60">
        <f t="shared" si="133"/>
        <v>9.5992023928215361E-7</v>
      </c>
      <c r="U314" s="56"/>
      <c r="V314" s="60">
        <f t="shared" si="134"/>
        <v>0</v>
      </c>
      <c r="W314" s="60">
        <f t="shared" si="135"/>
        <v>5.0963478957460821E-9</v>
      </c>
      <c r="X314" s="81">
        <f t="shared" si="136"/>
        <v>1.9768733487599053E-8</v>
      </c>
      <c r="Z314" s="8" t="s">
        <v>57</v>
      </c>
      <c r="AA314" s="10">
        <f>K242</f>
        <v>9.6999999999999993</v>
      </c>
      <c r="AB314" s="13">
        <f>(M242+M243+M244+M245)/4</f>
        <v>5.8249999999999996E-2</v>
      </c>
      <c r="AC314" s="153">
        <f t="shared" si="128"/>
        <v>0.24135036772294338</v>
      </c>
      <c r="AD314" s="13">
        <f>(N242+N243+N244+N245)/4</f>
        <v>7.4705381247445288E-2</v>
      </c>
      <c r="AE314" s="75">
        <v>8.3179999999999996</v>
      </c>
      <c r="AF314" s="6">
        <v>-4.6900000000000004</v>
      </c>
      <c r="AG314" s="6">
        <v>21.33</v>
      </c>
      <c r="AH314" s="34">
        <v>1.5579999999999999E-4</v>
      </c>
      <c r="AI314" s="6">
        <f t="shared" si="129"/>
        <v>155.79999999999998</v>
      </c>
      <c r="AJ314" s="2">
        <v>-1.6589999999999999E-6</v>
      </c>
      <c r="AK314" s="6">
        <f t="shared" si="130"/>
        <v>-1.6589999999999998</v>
      </c>
      <c r="AL314" s="2">
        <f t="shared" si="125"/>
        <v>1.5745899999999998E-4</v>
      </c>
      <c r="AM314" s="2">
        <v>3.1339999999999997E-4</v>
      </c>
      <c r="AN314" s="6">
        <f t="shared" si="131"/>
        <v>313.39999999999998</v>
      </c>
      <c r="AO314" s="10">
        <v>0.9768</v>
      </c>
      <c r="AP314" s="11">
        <f t="shared" si="126"/>
        <v>3174.0086777397255</v>
      </c>
      <c r="AQ314" s="135">
        <f t="shared" si="127"/>
        <v>3.1740086777397254</v>
      </c>
      <c r="AR314">
        <v>9.1999999999999993</v>
      </c>
      <c r="AS314">
        <f t="shared" si="113"/>
        <v>4.5764889438855106E-6</v>
      </c>
      <c r="AT314">
        <f t="shared" si="114"/>
        <v>3.3378136537137853E-6</v>
      </c>
      <c r="AU314">
        <f t="shared" si="115"/>
        <v>2.5521555075593953E-6</v>
      </c>
      <c r="AV314">
        <f t="shared" si="116"/>
        <v>5.3328358208955221E-6</v>
      </c>
      <c r="AW314">
        <f t="shared" si="117"/>
        <v>1.569166106254203E-5</v>
      </c>
      <c r="AX314">
        <f t="shared" si="118"/>
        <v>5.1542942216432489E-5</v>
      </c>
      <c r="AY314">
        <f t="shared" si="119"/>
        <v>5.7764222305260705E-5</v>
      </c>
      <c r="AZ314" t="e">
        <f>AR314*#REF!/($AE$309+AR314)</f>
        <v>#REF!</v>
      </c>
      <c r="BA314">
        <f t="shared" si="120"/>
        <v>9.5013086227629617E-5</v>
      </c>
      <c r="BB314">
        <f t="shared" si="121"/>
        <v>1.0213947696139477E-4</v>
      </c>
      <c r="BC314">
        <f t="shared" si="122"/>
        <v>9.8271723475756091E-5</v>
      </c>
      <c r="BD314">
        <f t="shared" si="123"/>
        <v>8.4418011894647421E-5</v>
      </c>
      <c r="BE314">
        <f t="shared" si="124"/>
        <v>8.1822125813449018E-5</v>
      </c>
    </row>
    <row r="315" spans="1:57">
      <c r="G315" s="40" t="s">
        <v>125</v>
      </c>
      <c r="H315" s="40" t="s">
        <v>82</v>
      </c>
      <c r="I315" s="40">
        <f t="shared" si="137"/>
        <v>298.14999999999998</v>
      </c>
      <c r="J315" s="36">
        <v>0.19364000000000001</v>
      </c>
      <c r="K315" s="33">
        <v>8.1</v>
      </c>
      <c r="L315" s="41">
        <v>0.37269999999999998</v>
      </c>
      <c r="M315" s="41">
        <v>0.55549999999999999</v>
      </c>
      <c r="N315" s="45">
        <f t="shared" si="132"/>
        <v>0.23084494325493163</v>
      </c>
      <c r="O315" s="36">
        <v>9.4700000000000006</v>
      </c>
      <c r="P315" s="33">
        <v>195.88200000000001</v>
      </c>
      <c r="Q315" s="21">
        <v>32.012</v>
      </c>
      <c r="R315" s="41">
        <v>1.446</v>
      </c>
      <c r="S315" s="41">
        <v>82790</v>
      </c>
      <c r="T315" s="45">
        <f t="shared" si="133"/>
        <v>1.7465877521439786E-5</v>
      </c>
      <c r="U315" s="41"/>
      <c r="V315" s="45">
        <f t="shared" si="134"/>
        <v>0</v>
      </c>
      <c r="W315" s="45">
        <f t="shared" si="135"/>
        <v>1.6023881725906662E-9</v>
      </c>
      <c r="X315" s="80">
        <f t="shared" si="136"/>
        <v>3.1387900002340487E-7</v>
      </c>
      <c r="Z315" s="103" t="s">
        <v>58</v>
      </c>
      <c r="AA315" s="1">
        <f>K246</f>
        <v>10.07</v>
      </c>
      <c r="AB315" s="13">
        <f>(M246+M247+M248+M249)/4</f>
        <v>6.9250000000000006E-2</v>
      </c>
      <c r="AC315" s="153">
        <f t="shared" si="128"/>
        <v>0.26315394733881536</v>
      </c>
      <c r="AD315" s="13">
        <f>(N246+N247+N248+N249)/4</f>
        <v>8.1456578327423534E-2</v>
      </c>
      <c r="AE315" s="6">
        <v>26.08</v>
      </c>
      <c r="AF315" s="6">
        <v>-17.61</v>
      </c>
      <c r="AG315" s="6">
        <v>69.77</v>
      </c>
      <c r="AH315" s="2">
        <v>2.6630000000000002E-4</v>
      </c>
      <c r="AI315" s="6">
        <f t="shared" si="129"/>
        <v>266.3</v>
      </c>
      <c r="AJ315" s="2">
        <v>-1.093E-4</v>
      </c>
      <c r="AK315" s="6">
        <f t="shared" si="130"/>
        <v>-109.3</v>
      </c>
      <c r="AL315" s="2">
        <f t="shared" si="125"/>
        <v>3.7560000000000002E-4</v>
      </c>
      <c r="AM315" s="2">
        <v>6.4190000000000004E-4</v>
      </c>
      <c r="AN315" s="6">
        <f t="shared" si="131"/>
        <v>641.90000000000009</v>
      </c>
      <c r="AO315" s="10">
        <v>0.99550000000000005</v>
      </c>
      <c r="AP315" s="11">
        <f t="shared" si="126"/>
        <v>1331.2034078807242</v>
      </c>
      <c r="AQ315" s="135">
        <f t="shared" si="127"/>
        <v>1.3312034078807242</v>
      </c>
      <c r="AR315">
        <v>9.4</v>
      </c>
      <c r="AS315">
        <f t="shared" si="113"/>
        <v>4.6261989673710547E-6</v>
      </c>
      <c r="AT315">
        <f t="shared" si="114"/>
        <v>3.3682219887522406E-6</v>
      </c>
      <c r="AU315">
        <f t="shared" si="115"/>
        <v>2.5633460721868363E-6</v>
      </c>
      <c r="AV315">
        <f t="shared" si="116"/>
        <v>5.3617816091954018E-6</v>
      </c>
      <c r="AW315">
        <f t="shared" si="117"/>
        <v>1.5767691798941798E-5</v>
      </c>
      <c r="AX315">
        <f t="shared" si="118"/>
        <v>5.1701288024116193E-5</v>
      </c>
      <c r="AY315">
        <f t="shared" si="119"/>
        <v>5.7851450745914042E-5</v>
      </c>
      <c r="AZ315" t="e">
        <f>AR315*#REF!/($AE$309+AR315)</f>
        <v>#REF!</v>
      </c>
      <c r="BA315">
        <f t="shared" si="120"/>
        <v>9.5724349584989883E-5</v>
      </c>
      <c r="BB315">
        <f t="shared" si="121"/>
        <v>1.0307626076260762E-4</v>
      </c>
      <c r="BC315">
        <f t="shared" si="122"/>
        <v>9.9217267552182146E-5</v>
      </c>
      <c r="BD315">
        <f t="shared" si="123"/>
        <v>8.4941051190385642E-5</v>
      </c>
      <c r="BE315">
        <f t="shared" si="124"/>
        <v>8.2657184783835644E-5</v>
      </c>
    </row>
    <row r="316" spans="1:57">
      <c r="G316" s="14" t="s">
        <v>125</v>
      </c>
      <c r="H316" s="14" t="s">
        <v>82</v>
      </c>
      <c r="I316" s="14">
        <f t="shared" si="137"/>
        <v>298.14999999999998</v>
      </c>
      <c r="J316" s="36">
        <v>0.19364000000000001</v>
      </c>
      <c r="K316" s="33">
        <v>8.1</v>
      </c>
      <c r="L316" s="21">
        <v>0.37269999999999998</v>
      </c>
      <c r="M316" s="21">
        <v>0.55549999999999999</v>
      </c>
      <c r="N316" s="19">
        <f t="shared" si="132"/>
        <v>0.23084494325493163</v>
      </c>
      <c r="O316" s="36">
        <v>9.4700000000000006</v>
      </c>
      <c r="P316" s="33">
        <v>195.88200000000001</v>
      </c>
      <c r="Q316" s="21">
        <v>32.012</v>
      </c>
      <c r="R316" s="21">
        <v>1.2250000000000001</v>
      </c>
      <c r="S316" s="21">
        <v>82790</v>
      </c>
      <c r="T316" s="19">
        <f t="shared" si="133"/>
        <v>1.4796473003985991E-5</v>
      </c>
      <c r="U316" s="21"/>
      <c r="V316" s="19">
        <f t="shared" si="134"/>
        <v>0</v>
      </c>
      <c r="W316" s="19">
        <f t="shared" si="135"/>
        <v>1.3574865224229368E-9</v>
      </c>
      <c r="X316" s="20">
        <f t="shared" si="136"/>
        <v>2.6590717498524971E-7</v>
      </c>
      <c r="Z316" s="103" t="s">
        <v>55</v>
      </c>
      <c r="AA316" s="1">
        <f>K250</f>
        <v>10.34</v>
      </c>
      <c r="AB316" s="13">
        <f>(M250+M251+M252+M253)/4</f>
        <v>7.4999999999999997E-2</v>
      </c>
      <c r="AC316" s="153">
        <f t="shared" si="128"/>
        <v>0.27386127875258304</v>
      </c>
      <c r="AD316" s="13">
        <f>(N250+N251+N252+N253)/4</f>
        <v>8.4772011395090122E-2</v>
      </c>
      <c r="AE316" s="6"/>
      <c r="AH316" s="2"/>
      <c r="AJ316" s="11"/>
      <c r="AL316" s="11"/>
      <c r="AM316" s="154"/>
      <c r="AO316" s="11" t="e">
        <f>1/(AL316-AJ316)</f>
        <v>#DIV/0!</v>
      </c>
      <c r="AQ316" s="135" t="e">
        <f>AO316/1000</f>
        <v>#DIV/0!</v>
      </c>
      <c r="AR316">
        <v>9.6</v>
      </c>
      <c r="AS316">
        <f t="shared" si="113"/>
        <v>4.6748617475114539E-6</v>
      </c>
      <c r="AT316">
        <f t="shared" si="114"/>
        <v>3.3978877968377998E-6</v>
      </c>
      <c r="AU316">
        <f t="shared" si="115"/>
        <v>2.5741628392484342E-6</v>
      </c>
      <c r="AV316">
        <f t="shared" si="116"/>
        <v>5.3898177247014449E-6</v>
      </c>
      <c r="AW316">
        <f t="shared" si="117"/>
        <v>1.5841249186727394E-5</v>
      </c>
      <c r="AX316">
        <f t="shared" si="118"/>
        <v>5.1853951735893064E-5</v>
      </c>
      <c r="AY316">
        <f t="shared" si="119"/>
        <v>5.7935292233320706E-5</v>
      </c>
      <c r="AZ316" t="e">
        <f>AR316*#REF!/($AE$309+AR316)</f>
        <v>#REF!</v>
      </c>
      <c r="BA316">
        <f t="shared" si="120"/>
        <v>9.6416041824310393E-5</v>
      </c>
      <c r="BB316">
        <f t="shared" si="121"/>
        <v>1.0399027946537059E-4</v>
      </c>
      <c r="BC316">
        <f t="shared" si="122"/>
        <v>1.0014064697609001E-4</v>
      </c>
      <c r="BD316">
        <f t="shared" si="123"/>
        <v>8.5448415374241404E-5</v>
      </c>
      <c r="BE316">
        <f t="shared" si="124"/>
        <v>8.3473601964504968E-5</v>
      </c>
    </row>
    <row r="317" spans="1:57">
      <c r="G317" s="14" t="s">
        <v>125</v>
      </c>
      <c r="H317" s="14" t="s">
        <v>82</v>
      </c>
      <c r="I317" s="14">
        <f t="shared" si="137"/>
        <v>298.14999999999998</v>
      </c>
      <c r="J317" s="36">
        <v>0.19364000000000001</v>
      </c>
      <c r="K317" s="33">
        <v>8.1</v>
      </c>
      <c r="L317" s="21">
        <v>0.37269999999999998</v>
      </c>
      <c r="M317" s="21">
        <v>0.55549999999999999</v>
      </c>
      <c r="N317" s="19">
        <f t="shared" si="132"/>
        <v>0.23084494325493163</v>
      </c>
      <c r="O317" s="36">
        <v>9.4700000000000006</v>
      </c>
      <c r="P317" s="33">
        <v>3.879</v>
      </c>
      <c r="Q317" s="21">
        <v>33.012</v>
      </c>
      <c r="R317" s="21">
        <v>4.4660000000000004E-3</v>
      </c>
      <c r="S317" s="21">
        <v>6016</v>
      </c>
      <c r="T317" s="19">
        <f t="shared" si="133"/>
        <v>7.423537234042554E-7</v>
      </c>
      <c r="U317" s="21"/>
      <c r="V317" s="19">
        <f t="shared" si="134"/>
        <v>0</v>
      </c>
      <c r="W317" s="19">
        <f t="shared" si="135"/>
        <v>3.3350621634759692E-9</v>
      </c>
      <c r="X317" s="20">
        <f t="shared" si="136"/>
        <v>1.2936706132123285E-8</v>
      </c>
      <c r="AG317" s="8"/>
      <c r="AH317" s="8"/>
      <c r="AR317">
        <v>9.8000000000000007</v>
      </c>
      <c r="AS317">
        <f t="shared" si="113"/>
        <v>4.7225100328347316E-6</v>
      </c>
      <c r="AT317">
        <f t="shared" si="114"/>
        <v>3.4268379470478265E-6</v>
      </c>
      <c r="AU317">
        <f t="shared" si="115"/>
        <v>2.5846242299794664E-6</v>
      </c>
      <c r="AV317">
        <f t="shared" si="116"/>
        <v>5.4169863861386139E-6</v>
      </c>
      <c r="AW317">
        <f t="shared" si="117"/>
        <v>1.5912451984635082E-5</v>
      </c>
      <c r="AX317">
        <f t="shared" si="118"/>
        <v>5.2001233806292414E-5</v>
      </c>
      <c r="AY317">
        <f t="shared" si="119"/>
        <v>5.8015940276336209E-5</v>
      </c>
      <c r="AZ317" t="e">
        <f>AR317*#REF!/($AE$309+AR317)</f>
        <v>#REF!</v>
      </c>
      <c r="BA317">
        <f t="shared" si="120"/>
        <v>9.7088959761145412E-5</v>
      </c>
      <c r="BB317">
        <f t="shared" si="121"/>
        <v>1.0488235294117646E-4</v>
      </c>
      <c r="BC317">
        <f t="shared" si="122"/>
        <v>1.0104263206672844E-4</v>
      </c>
      <c r="BD317">
        <f t="shared" si="123"/>
        <v>8.5940798700819384E-5</v>
      </c>
      <c r="BE317">
        <f t="shared" si="124"/>
        <v>8.4271994701401914E-5</v>
      </c>
    </row>
    <row r="318" spans="1:57">
      <c r="A318" t="s">
        <v>76</v>
      </c>
      <c r="G318" s="14" t="s">
        <v>125</v>
      </c>
      <c r="H318" s="14" t="s">
        <v>82</v>
      </c>
      <c r="I318" s="14">
        <f t="shared" si="137"/>
        <v>298.14999999999998</v>
      </c>
      <c r="J318" s="36">
        <v>0.19364000000000001</v>
      </c>
      <c r="K318" s="33">
        <v>8.1</v>
      </c>
      <c r="L318" s="21">
        <v>0.37269999999999998</v>
      </c>
      <c r="M318" s="21">
        <v>0.55549999999999999</v>
      </c>
      <c r="N318" s="19">
        <f t="shared" si="132"/>
        <v>0.23084494325493163</v>
      </c>
      <c r="O318" s="36">
        <v>9.4700000000000006</v>
      </c>
      <c r="P318" s="33">
        <v>3.879</v>
      </c>
      <c r="Q318" s="21">
        <v>34.012</v>
      </c>
      <c r="R318" s="21">
        <v>6.5009999999999998E-3</v>
      </c>
      <c r="S318" s="21">
        <v>5930</v>
      </c>
      <c r="T318" s="19">
        <f t="shared" si="133"/>
        <v>1.0962900505902192E-6</v>
      </c>
      <c r="U318" s="21"/>
      <c r="V318" s="19">
        <f t="shared" si="134"/>
        <v>0</v>
      </c>
      <c r="W318" s="19">
        <f t="shared" si="135"/>
        <v>4.780333330880999E-9</v>
      </c>
      <c r="X318" s="20">
        <f t="shared" si="136"/>
        <v>1.8542912990487395E-8</v>
      </c>
      <c r="Z318" t="s">
        <v>287</v>
      </c>
      <c r="AA318" s="6"/>
      <c r="AB318" s="6"/>
      <c r="AC318" s="11"/>
      <c r="AD318" s="11"/>
      <c r="AE318" s="11"/>
      <c r="AR318">
        <v>10</v>
      </c>
      <c r="AS318">
        <f t="shared" si="113"/>
        <v>4.7691752205085877E-6</v>
      </c>
      <c r="AT318">
        <f t="shared" si="114"/>
        <v>3.455098027531137E-6</v>
      </c>
      <c r="AU318">
        <f t="shared" si="115"/>
        <v>2.5947474747474743E-6</v>
      </c>
      <c r="AV318">
        <f t="shared" si="116"/>
        <v>5.4433272394881166E-6</v>
      </c>
      <c r="AW318">
        <f t="shared" si="117"/>
        <v>1.5981411468178955E-5</v>
      </c>
      <c r="AX318">
        <f t="shared" si="118"/>
        <v>5.214341387373344E-5</v>
      </c>
      <c r="AY318">
        <f t="shared" si="119"/>
        <v>5.8093573918162527E-5</v>
      </c>
      <c r="AZ318" t="e">
        <f>AR318*#REF!/($AE$309+AR318)</f>
        <v>#REF!</v>
      </c>
      <c r="BA318">
        <f t="shared" si="120"/>
        <v>9.7743857534980243E-5</v>
      </c>
      <c r="BB318">
        <f t="shared" si="121"/>
        <v>1.057532621589561E-4</v>
      </c>
      <c r="BC318">
        <f t="shared" si="122"/>
        <v>1.0192395785616124E-4</v>
      </c>
      <c r="BD318">
        <f t="shared" si="123"/>
        <v>8.6418855022914095E-5</v>
      </c>
      <c r="BE318">
        <f t="shared" si="124"/>
        <v>8.5052953379189869E-5</v>
      </c>
    </row>
    <row r="319" spans="1:57">
      <c r="Z319" t="s">
        <v>288</v>
      </c>
      <c r="AA319" s="6"/>
      <c r="AB319" s="6"/>
      <c r="AC319" s="11"/>
      <c r="AD319" s="11"/>
      <c r="AE319" s="11"/>
      <c r="AR319">
        <v>10.199999999999999</v>
      </c>
      <c r="AS319">
        <f t="shared" si="113"/>
        <v>4.8148874253331286E-6</v>
      </c>
      <c r="AT319">
        <f t="shared" si="114"/>
        <v>3.4826924209410521E-6</v>
      </c>
      <c r="AU319">
        <f t="shared" si="115"/>
        <v>2.604548707753479E-6</v>
      </c>
      <c r="AV319">
        <f t="shared" si="116"/>
        <v>5.4688775510204082E-6</v>
      </c>
      <c r="AW319">
        <f t="shared" si="117"/>
        <v>1.6048232009925557E-5</v>
      </c>
      <c r="AX319">
        <f t="shared" si="118"/>
        <v>5.2280752532561501E-5</v>
      </c>
      <c r="AY319">
        <f t="shared" si="119"/>
        <v>5.8168359063265356E-5</v>
      </c>
      <c r="AZ319" t="e">
        <f>AR319*#REF!/($AE$309+AR319)</f>
        <v>#REF!</v>
      </c>
      <c r="BA319">
        <f t="shared" si="120"/>
        <v>9.8381449428552539E-5</v>
      </c>
      <c r="BB319">
        <f t="shared" si="121"/>
        <v>1.0660375146541619E-4</v>
      </c>
      <c r="BC319">
        <f t="shared" si="122"/>
        <v>1.0278532608695649E-4</v>
      </c>
      <c r="BD319">
        <f t="shared" si="123"/>
        <v>8.6883200688320063E-5</v>
      </c>
      <c r="BE319">
        <f t="shared" si="124"/>
        <v>8.5817042877200551E-5</v>
      </c>
    </row>
    <row r="320" spans="1:57">
      <c r="AA320" s="6"/>
      <c r="AB320" s="6"/>
      <c r="AC320" s="11"/>
      <c r="AD320" s="11"/>
      <c r="AE320" s="11"/>
      <c r="AR320">
        <v>10.4</v>
      </c>
      <c r="AS320">
        <f t="shared" si="113"/>
        <v>4.8596755445494521E-6</v>
      </c>
      <c r="AT320">
        <f t="shared" si="114"/>
        <v>3.5096443745998489E-6</v>
      </c>
      <c r="AU320">
        <f t="shared" si="115"/>
        <v>2.6140430528375735E-6</v>
      </c>
      <c r="AV320">
        <f t="shared" si="116"/>
        <v>5.4936723832052038E-6</v>
      </c>
      <c r="AW320">
        <f t="shared" si="117"/>
        <v>1.6113011606597434E-5</v>
      </c>
      <c r="AX320">
        <f t="shared" si="118"/>
        <v>5.2413492927094664E-5</v>
      </c>
      <c r="AY320">
        <f t="shared" si="119"/>
        <v>5.8240449660862749E-5</v>
      </c>
      <c r="AZ320" t="e">
        <f>AR320*#REF!/($AE$309+AR320)</f>
        <v>#REF!</v>
      </c>
      <c r="BA320">
        <f t="shared" si="120"/>
        <v>9.9002412466584079E-5</v>
      </c>
      <c r="BB320">
        <f t="shared" si="121"/>
        <v>1.0743453070683661E-4</v>
      </c>
      <c r="BC320">
        <f t="shared" si="122"/>
        <v>1.0362740707568292E-4</v>
      </c>
      <c r="BD320">
        <f t="shared" si="123"/>
        <v>8.7334417190923884E-5</v>
      </c>
      <c r="BE320">
        <f t="shared" si="124"/>
        <v>8.6564803932044016E-5</v>
      </c>
    </row>
    <row r="321" spans="7:57">
      <c r="AA321" s="6"/>
      <c r="AB321" s="6"/>
      <c r="AC321" s="11"/>
      <c r="AD321" s="11"/>
      <c r="AE321" s="11"/>
      <c r="AR321">
        <v>10.6</v>
      </c>
      <c r="AS321">
        <f t="shared" si="113"/>
        <v>4.9035673187571909E-6</v>
      </c>
      <c r="AT321">
        <f t="shared" si="114"/>
        <v>3.5359760658189974E-6</v>
      </c>
      <c r="AU321">
        <f t="shared" si="115"/>
        <v>2.6232447013487476E-6</v>
      </c>
      <c r="AV321">
        <f t="shared" si="116"/>
        <v>5.5177447552447548E-6</v>
      </c>
      <c r="AW321">
        <f t="shared" si="117"/>
        <v>1.617584235860409E-5</v>
      </c>
      <c r="AX321">
        <f t="shared" si="118"/>
        <v>5.2541862188194616E-5</v>
      </c>
      <c r="AY321">
        <f t="shared" si="119"/>
        <v>5.8309988762752494E-5</v>
      </c>
      <c r="AZ321" t="e">
        <f>AR321*#REF!/($AE$309+AR321)</f>
        <v>#REF!</v>
      </c>
      <c r="BA321">
        <f t="shared" si="120"/>
        <v>9.9607388813799323E-5</v>
      </c>
      <c r="BB321">
        <f t="shared" si="121"/>
        <v>1.0824627720504008E-4</v>
      </c>
      <c r="BC321">
        <f t="shared" si="122"/>
        <v>1.0445084145261293E-4</v>
      </c>
      <c r="BD321">
        <f t="shared" si="123"/>
        <v>8.7773053600055765E-5</v>
      </c>
      <c r="BE321">
        <f t="shared" si="124"/>
        <v>8.7296754413785808E-5</v>
      </c>
    </row>
    <row r="322" spans="7:57">
      <c r="G322" s="66" t="s">
        <v>32</v>
      </c>
      <c r="H322" s="66" t="s">
        <v>81</v>
      </c>
      <c r="I322" s="66" t="s">
        <v>35</v>
      </c>
      <c r="J322" s="66" t="s">
        <v>83</v>
      </c>
      <c r="K322" s="66" t="s">
        <v>2</v>
      </c>
      <c r="L322" s="66" t="s">
        <v>90</v>
      </c>
      <c r="M322" s="66" t="s">
        <v>80</v>
      </c>
      <c r="N322" s="66" t="s">
        <v>95</v>
      </c>
      <c r="O322" s="66" t="s">
        <v>0</v>
      </c>
      <c r="P322" s="66" t="s">
        <v>1</v>
      </c>
      <c r="Q322" s="66" t="s">
        <v>34</v>
      </c>
      <c r="R322" s="66" t="s">
        <v>16</v>
      </c>
      <c r="S322" s="66" t="s">
        <v>17</v>
      </c>
      <c r="T322" s="66" t="s">
        <v>18</v>
      </c>
      <c r="U322" s="66" t="s">
        <v>11</v>
      </c>
      <c r="V322" s="66" t="s">
        <v>111</v>
      </c>
      <c r="W322" s="66" t="s">
        <v>103</v>
      </c>
      <c r="X322" s="66" t="s">
        <v>104</v>
      </c>
      <c r="AA322" s="6"/>
      <c r="AB322" s="6"/>
      <c r="AC322" s="11"/>
      <c r="AD322" s="11"/>
      <c r="AE322" s="11"/>
      <c r="AR322">
        <v>10.8</v>
      </c>
      <c r="AS322">
        <f t="shared" si="113"/>
        <v>4.9465893892108779E-6</v>
      </c>
      <c r="AT322">
        <f t="shared" si="114"/>
        <v>3.5617086627609354E-6</v>
      </c>
      <c r="AU322">
        <f t="shared" si="115"/>
        <v>2.6321669829222006E-6</v>
      </c>
      <c r="AV322">
        <f t="shared" si="116"/>
        <v>5.5411257897759911E-6</v>
      </c>
      <c r="AW322">
        <f t="shared" si="117"/>
        <v>1.6236810906935389E-5</v>
      </c>
      <c r="AX322">
        <f t="shared" si="118"/>
        <v>5.2666072730217865E-5</v>
      </c>
      <c r="AY322">
        <f t="shared" si="119"/>
        <v>5.8377109470773877E-5</v>
      </c>
      <c r="AZ322" t="e">
        <f>AR322*#REF!/($AE$309+AR322)</f>
        <v>#REF!</v>
      </c>
      <c r="BA322">
        <f t="shared" si="120"/>
        <v>1.0019698799008706E-4</v>
      </c>
      <c r="BB322">
        <f t="shared" si="121"/>
        <v>1.09039637599094E-4</v>
      </c>
      <c r="BC322">
        <f t="shared" si="122"/>
        <v>1.0525624178712219E-4</v>
      </c>
      <c r="BD322">
        <f t="shared" si="123"/>
        <v>8.8199628789441115E-5</v>
      </c>
      <c r="BE322">
        <f t="shared" si="124"/>
        <v>8.8013390522021119E-5</v>
      </c>
    </row>
    <row r="323" spans="7:57">
      <c r="G323" s="14" t="s">
        <v>127</v>
      </c>
      <c r="H323" s="14" t="s">
        <v>84</v>
      </c>
      <c r="I323" s="14">
        <v>298.14999999999998</v>
      </c>
      <c r="J323" s="21">
        <v>9.1999999999999998E-2</v>
      </c>
      <c r="K323" s="33">
        <v>8.51</v>
      </c>
      <c r="L323" s="21">
        <v>1.444E-2</v>
      </c>
      <c r="M323" s="21">
        <v>1.444E-2</v>
      </c>
      <c r="N323" s="19">
        <f t="shared" ref="N323:N354" si="138">10^(-(1.824*10^6)/(78.54*I323)^(3/2))*SQRT(M323)</f>
        <v>3.7218762634083871E-2</v>
      </c>
      <c r="O323" s="36">
        <v>0.59209999999999996</v>
      </c>
      <c r="P323" s="36">
        <v>122.426</v>
      </c>
      <c r="Q323" s="21">
        <v>2.7980999999999999E-2</v>
      </c>
      <c r="R323" s="21">
        <v>4.7149999999999997E-2</v>
      </c>
      <c r="S323" s="21">
        <v>2812</v>
      </c>
      <c r="T323" s="19">
        <f>R323/S323</f>
        <v>1.6767425320056898E-5</v>
      </c>
      <c r="U323" s="21"/>
      <c r="V323" s="19">
        <f t="shared" ref="V323:V354" si="139">U323/($C$2*N323*Q323)</f>
        <v>0</v>
      </c>
      <c r="W323" s="19">
        <f>T323/(Q323*P323*$C$2)</f>
        <v>3.9794621441156205E-6</v>
      </c>
      <c r="X323" s="20">
        <f>W323*P323</f>
        <v>4.8718963245549896E-4</v>
      </c>
      <c r="AA323" s="6"/>
      <c r="AB323" s="6"/>
      <c r="AC323" s="11"/>
      <c r="AD323" s="11"/>
      <c r="AE323" s="11"/>
      <c r="AR323">
        <v>11</v>
      </c>
      <c r="AS323">
        <f t="shared" si="113"/>
        <v>4.9887673517437579E-6</v>
      </c>
      <c r="AT323">
        <f t="shared" si="114"/>
        <v>3.5868623811934087E-6</v>
      </c>
      <c r="AU323">
        <f t="shared" si="115"/>
        <v>2.6408224299065418E-6</v>
      </c>
      <c r="AV323">
        <f t="shared" si="116"/>
        <v>5.5638448471121181E-6</v>
      </c>
      <c r="AW323">
        <f t="shared" si="117"/>
        <v>1.6295998831775701E-5</v>
      </c>
      <c r="AX323">
        <f t="shared" si="118"/>
        <v>5.278632342392604E-5</v>
      </c>
      <c r="AY323">
        <f t="shared" si="119"/>
        <v>5.8441935787107849E-5</v>
      </c>
      <c r="AZ323" t="e">
        <f>AR323*#REF!/($AE$309+AR323)</f>
        <v>#REF!</v>
      </c>
      <c r="BA323">
        <f t="shared" si="120"/>
        <v>1.0077178891886803E-4</v>
      </c>
      <c r="BB323">
        <f t="shared" si="121"/>
        <v>1.0981522956326989E-4</v>
      </c>
      <c r="BC323">
        <f t="shared" si="122"/>
        <v>1.0604419410745232E-4</v>
      </c>
      <c r="BD323">
        <f t="shared" si="123"/>
        <v>8.8614633484776574E-5</v>
      </c>
      <c r="BE323">
        <f t="shared" si="124"/>
        <v>8.8715187907650899E-5</v>
      </c>
    </row>
    <row r="324" spans="7:57">
      <c r="G324" s="14" t="s">
        <v>127</v>
      </c>
      <c r="H324" s="14" t="s">
        <v>84</v>
      </c>
      <c r="I324" s="14">
        <v>298.14999999999998</v>
      </c>
      <c r="J324" s="21">
        <v>8.2000000000000003E-2</v>
      </c>
      <c r="K324" s="33">
        <v>8.51</v>
      </c>
      <c r="L324" s="21">
        <v>1.2869999999999999E-2</v>
      </c>
      <c r="M324" s="21">
        <v>1.2869999999999999E-2</v>
      </c>
      <c r="N324" s="19">
        <f t="shared" si="138"/>
        <v>3.5137236956366391E-2</v>
      </c>
      <c r="O324" s="36">
        <v>2.9811000000000001</v>
      </c>
      <c r="P324" s="36">
        <v>122.426</v>
      </c>
      <c r="Q324" s="21">
        <v>2.7980999999999999E-2</v>
      </c>
      <c r="R324" s="21">
        <v>0.13880000000000001</v>
      </c>
      <c r="S324" s="21">
        <v>3371</v>
      </c>
      <c r="T324" s="19">
        <f>R324/S324</f>
        <v>4.1174725600711957E-5</v>
      </c>
      <c r="U324" s="21"/>
      <c r="V324" s="19">
        <f t="shared" si="139"/>
        <v>0</v>
      </c>
      <c r="W324" s="19">
        <f t="shared" ref="W324:W381" si="140">T324/(Q324*P324*$C$2)</f>
        <v>9.7721181812202953E-6</v>
      </c>
      <c r="X324" s="20">
        <f t="shared" ref="X324:X381" si="141">W324*P324</f>
        <v>1.1963613404540759E-3</v>
      </c>
      <c r="AA324" s="6"/>
      <c r="AB324" s="6"/>
      <c r="AC324" s="11"/>
      <c r="AD324" s="11"/>
      <c r="AE324" s="11"/>
      <c r="AR324">
        <v>11.2</v>
      </c>
      <c r="AS324">
        <f t="shared" si="113"/>
        <v>5.0301258075484518E-6</v>
      </c>
      <c r="AT324">
        <f t="shared" si="114"/>
        <v>3.6114565374562037E-6</v>
      </c>
      <c r="AU324">
        <f t="shared" si="115"/>
        <v>2.6492228360957641E-6</v>
      </c>
      <c r="AV324">
        <f t="shared" si="116"/>
        <v>5.5859296482412055E-6</v>
      </c>
      <c r="AW324">
        <f t="shared" si="117"/>
        <v>1.6353483016695452E-5</v>
      </c>
      <c r="AX324">
        <f t="shared" si="118"/>
        <v>5.2902800658978586E-5</v>
      </c>
      <c r="AY324">
        <f t="shared" si="119"/>
        <v>5.8504583378845029E-5</v>
      </c>
      <c r="AZ324" t="e">
        <f>AR324*#REF!/($AE$309+AR324)</f>
        <v>#REF!</v>
      </c>
      <c r="BA324">
        <f t="shared" si="120"/>
        <v>1.0133234182313936E-4</v>
      </c>
      <c r="BB324">
        <f t="shared" si="121"/>
        <v>1.1057364341085271E-4</v>
      </c>
      <c r="BC324">
        <f t="shared" si="122"/>
        <v>1.0681525932276038E-4</v>
      </c>
      <c r="BD324">
        <f t="shared" si="123"/>
        <v>8.9018532146919121E-5</v>
      </c>
      <c r="BE324">
        <f t="shared" si="124"/>
        <v>8.9402602725689097E-5</v>
      </c>
    </row>
    <row r="325" spans="7:57">
      <c r="G325" s="14" t="s">
        <v>127</v>
      </c>
      <c r="H325" s="14" t="s">
        <v>84</v>
      </c>
      <c r="I325" s="14">
        <v>298.14999999999998</v>
      </c>
      <c r="J325" s="21">
        <v>7.1999999999999995E-2</v>
      </c>
      <c r="K325" s="33">
        <v>8.51</v>
      </c>
      <c r="L325" s="21">
        <v>1.1299999999999999E-2</v>
      </c>
      <c r="M325" s="21">
        <v>1.1299999999999999E-2</v>
      </c>
      <c r="N325" s="19">
        <f t="shared" si="138"/>
        <v>3.2924376225577957E-2</v>
      </c>
      <c r="O325" s="36">
        <v>5.3659600000000003</v>
      </c>
      <c r="P325" s="36">
        <v>122.426</v>
      </c>
      <c r="Q325" s="21">
        <v>2.7980999999999999E-2</v>
      </c>
      <c r="R325" s="21">
        <v>0.1719</v>
      </c>
      <c r="S325" s="21">
        <v>3339</v>
      </c>
      <c r="T325" s="19">
        <f t="shared" ref="T325:T330" si="142">R325/S325</f>
        <v>5.1482479784366573E-5</v>
      </c>
      <c r="U325" s="21"/>
      <c r="V325" s="19">
        <f t="shared" si="139"/>
        <v>0</v>
      </c>
      <c r="W325" s="19">
        <f t="shared" si="140"/>
        <v>1.2218487661431213E-5</v>
      </c>
      <c r="X325" s="20">
        <f t="shared" si="141"/>
        <v>1.4958605704383776E-3</v>
      </c>
      <c r="AA325" s="6"/>
      <c r="AB325" s="6"/>
      <c r="AC325" s="11"/>
      <c r="AD325" s="11"/>
      <c r="AE325" s="11"/>
      <c r="AR325">
        <v>11.4</v>
      </c>
      <c r="AS325">
        <f t="shared" si="113"/>
        <v>5.0706884110261225E-6</v>
      </c>
      <c r="AT325">
        <f t="shared" si="114"/>
        <v>3.6355095979319066E-6</v>
      </c>
      <c r="AU325">
        <f t="shared" si="115"/>
        <v>2.6573793103448274E-6</v>
      </c>
      <c r="AV325">
        <f t="shared" si="116"/>
        <v>5.6074063876651981E-6</v>
      </c>
      <c r="AW325">
        <f t="shared" si="117"/>
        <v>1.6409335981838822E-5</v>
      </c>
      <c r="AX325">
        <f t="shared" si="118"/>
        <v>5.3015679307947783E-5</v>
      </c>
      <c r="AY325">
        <f t="shared" si="119"/>
        <v>5.8565160266739379E-5</v>
      </c>
      <c r="AZ325" t="e">
        <f>AR325*#REF!/($AE$309+AR325)</f>
        <v>#REF!</v>
      </c>
      <c r="BA325">
        <f t="shared" si="120"/>
        <v>1.0187916998224889E-4</v>
      </c>
      <c r="BB325">
        <f t="shared" si="121"/>
        <v>1.1131544359255203E-4</v>
      </c>
      <c r="BC325">
        <f t="shared" si="122"/>
        <v>1.0756997455470739E-4</v>
      </c>
      <c r="BD325">
        <f t="shared" si="123"/>
        <v>8.9411764705882345E-5</v>
      </c>
      <c r="BE325">
        <f t="shared" si="124"/>
        <v>9.0076072623998377E-5</v>
      </c>
    </row>
    <row r="326" spans="7:57" ht="15.75" thickBot="1">
      <c r="G326" s="55" t="s">
        <v>127</v>
      </c>
      <c r="H326" s="55" t="s">
        <v>84</v>
      </c>
      <c r="I326" s="55">
        <v>298.14999999999998</v>
      </c>
      <c r="J326" s="56">
        <v>6.2E-2</v>
      </c>
      <c r="K326" s="63">
        <v>8.51</v>
      </c>
      <c r="L326" s="56">
        <v>9.7330000000000003E-3</v>
      </c>
      <c r="M326" s="56">
        <v>9.7330000000000003E-3</v>
      </c>
      <c r="N326" s="60">
        <f t="shared" si="138"/>
        <v>3.0556365461755677E-2</v>
      </c>
      <c r="O326" s="57">
        <v>7.7507999999999999</v>
      </c>
      <c r="P326" s="57">
        <v>122.426</v>
      </c>
      <c r="Q326" s="56">
        <v>2.7980999999999999E-2</v>
      </c>
      <c r="R326" s="56">
        <v>0.20749999999999999</v>
      </c>
      <c r="S326" s="56">
        <v>3622</v>
      </c>
      <c r="T326" s="60">
        <f t="shared" si="142"/>
        <v>5.7288790723357259E-5</v>
      </c>
      <c r="U326" s="56"/>
      <c r="V326" s="60">
        <f t="shared" si="139"/>
        <v>0</v>
      </c>
      <c r="W326" s="19">
        <f t="shared" si="140"/>
        <v>1.359651643672797E-5</v>
      </c>
      <c r="X326" s="20">
        <f t="shared" si="141"/>
        <v>1.6645671212828584E-3</v>
      </c>
      <c r="AA326" s="6"/>
      <c r="AB326" s="6"/>
      <c r="AC326" s="11"/>
      <c r="AD326" s="11"/>
      <c r="AE326" s="11"/>
      <c r="AR326">
        <v>11.6</v>
      </c>
      <c r="AS326">
        <f t="shared" si="113"/>
        <v>5.1104779148996987E-6</v>
      </c>
      <c r="AT326">
        <f t="shared" si="114"/>
        <v>3.659039225286981E-6</v>
      </c>
      <c r="AU326">
        <f t="shared" si="115"/>
        <v>2.6653023255813954E-6</v>
      </c>
      <c r="AV326">
        <f t="shared" si="116"/>
        <v>5.6282998370450843E-6</v>
      </c>
      <c r="AW326">
        <f t="shared" si="117"/>
        <v>1.6463626189143816E-5</v>
      </c>
      <c r="AX326">
        <f t="shared" si="118"/>
        <v>5.3125123602342741E-5</v>
      </c>
      <c r="AY326">
        <f t="shared" si="119"/>
        <v>5.8623767446775642E-5</v>
      </c>
      <c r="AZ326" t="e">
        <f>AR326*#REF!/($AE$309+AR326)</f>
        <v>#REF!</v>
      </c>
      <c r="BA326">
        <f t="shared" si="120"/>
        <v>1.0241277136119006E-4</v>
      </c>
      <c r="BB326">
        <f t="shared" si="121"/>
        <v>1.1204117009750812E-4</v>
      </c>
      <c r="BC326">
        <f t="shared" si="122"/>
        <v>1.083088543852287E-4</v>
      </c>
      <c r="BD326">
        <f t="shared" si="123"/>
        <v>8.9794748159249371E-5</v>
      </c>
      <c r="BE326">
        <f t="shared" si="124"/>
        <v>9.0736017672457065E-5</v>
      </c>
    </row>
    <row r="327" spans="7:57">
      <c r="G327" s="40" t="s">
        <v>128</v>
      </c>
      <c r="H327" s="40" t="s">
        <v>84</v>
      </c>
      <c r="I327" s="40">
        <v>298.14999999999998</v>
      </c>
      <c r="J327" s="41">
        <v>0.09</v>
      </c>
      <c r="K327" s="62">
        <v>8.51</v>
      </c>
      <c r="L327" s="41">
        <v>1.413E-2</v>
      </c>
      <c r="M327" s="41">
        <v>1.413E-2</v>
      </c>
      <c r="N327" s="45">
        <f t="shared" si="138"/>
        <v>3.6817086247555447E-2</v>
      </c>
      <c r="O327" s="42">
        <v>0.59209999999999996</v>
      </c>
      <c r="P327" s="42">
        <v>122.426</v>
      </c>
      <c r="Q327" s="41">
        <v>1.3990000000000001E-2</v>
      </c>
      <c r="R327" s="41">
        <v>0.13289999999999999</v>
      </c>
      <c r="S327" s="41">
        <v>16230</v>
      </c>
      <c r="T327" s="45">
        <f t="shared" si="142"/>
        <v>8.1885397412199631E-6</v>
      </c>
      <c r="U327" s="41"/>
      <c r="V327" s="45">
        <f t="shared" si="139"/>
        <v>0</v>
      </c>
      <c r="W327" s="19">
        <f t="shared" si="140"/>
        <v>3.8869591378230421E-6</v>
      </c>
      <c r="X327" s="20">
        <f t="shared" si="141"/>
        <v>4.7586485940712375E-4</v>
      </c>
      <c r="AA327" s="6"/>
      <c r="AB327" s="6"/>
      <c r="AC327" s="11"/>
      <c r="AD327" s="11"/>
      <c r="AE327" s="11"/>
      <c r="AR327">
        <v>11.8</v>
      </c>
      <c r="AS327">
        <f t="shared" si="113"/>
        <v>5.1495162127719828E-6</v>
      </c>
      <c r="AT327">
        <f t="shared" si="114"/>
        <v>3.682062321726495E-6</v>
      </c>
      <c r="AU327">
        <f t="shared" si="115"/>
        <v>2.6730017636684299E-6</v>
      </c>
      <c r="AV327">
        <f t="shared" si="116"/>
        <v>5.6486334405144689E-6</v>
      </c>
      <c r="AW327">
        <f t="shared" si="117"/>
        <v>1.6516418322295805E-5</v>
      </c>
      <c r="AX327">
        <f t="shared" si="118"/>
        <v>5.3231287929871879E-5</v>
      </c>
      <c r="AY327">
        <f t="shared" si="119"/>
        <v>5.8680499452074514E-5</v>
      </c>
      <c r="AZ327" t="e">
        <f>AR327*#REF!/($AE$309+AR327)</f>
        <v>#REF!</v>
      </c>
      <c r="BA327">
        <f t="shared" si="120"/>
        <v>1.0293362012308058E-4</v>
      </c>
      <c r="BB327">
        <f t="shared" si="121"/>
        <v>1.1275133976420149E-4</v>
      </c>
      <c r="BC327">
        <f t="shared" si="122"/>
        <v>1.0903239202657807E-4</v>
      </c>
      <c r="BD327">
        <f t="shared" si="123"/>
        <v>9.0167878047211686E-5</v>
      </c>
      <c r="BE327">
        <f t="shared" si="124"/>
        <v>9.1382841236703439E-5</v>
      </c>
    </row>
    <row r="328" spans="7:57">
      <c r="G328" s="14" t="s">
        <v>128</v>
      </c>
      <c r="H328" s="14" t="s">
        <v>84</v>
      </c>
      <c r="I328" s="14">
        <v>298.14999999999998</v>
      </c>
      <c r="J328" s="21">
        <v>0.08</v>
      </c>
      <c r="K328" s="33">
        <v>8.51</v>
      </c>
      <c r="L328" s="21">
        <v>1.256E-2</v>
      </c>
      <c r="M328" s="21">
        <v>1.256E-2</v>
      </c>
      <c r="N328" s="19">
        <f t="shared" si="138"/>
        <v>3.4711481798901919E-2</v>
      </c>
      <c r="O328" s="36">
        <v>2.9811000000000001</v>
      </c>
      <c r="P328" s="36">
        <v>122.426</v>
      </c>
      <c r="Q328" s="21">
        <v>1.3990000000000001E-2</v>
      </c>
      <c r="R328" s="21">
        <v>0.12130000000000001</v>
      </c>
      <c r="S328" s="21">
        <v>3806</v>
      </c>
      <c r="T328" s="19">
        <f t="shared" si="142"/>
        <v>3.1870730425643721E-5</v>
      </c>
      <c r="U328" s="21"/>
      <c r="V328" s="19">
        <f t="shared" si="139"/>
        <v>0</v>
      </c>
      <c r="W328" s="19">
        <f t="shared" si="140"/>
        <v>1.5128488200827185E-5</v>
      </c>
      <c r="X328" s="20">
        <f t="shared" si="141"/>
        <v>1.852120296474469E-3</v>
      </c>
      <c r="AA328" s="6"/>
      <c r="AB328" s="6"/>
      <c r="AC328" s="11"/>
      <c r="AD328" s="11"/>
      <c r="AE328" s="11"/>
      <c r="AR328">
        <v>12</v>
      </c>
      <c r="AS328">
        <f t="shared" si="113"/>
        <v>5.1878243792958332E-6</v>
      </c>
      <c r="AT328">
        <f t="shared" si="114"/>
        <v>3.7045950694851181E-6</v>
      </c>
      <c r="AU328">
        <f t="shared" si="115"/>
        <v>2.680486956521739E-6</v>
      </c>
      <c r="AV328">
        <f t="shared" si="116"/>
        <v>5.668429402432575E-6</v>
      </c>
      <c r="AW328">
        <f t="shared" si="117"/>
        <v>1.6567773543821451E-5</v>
      </c>
      <c r="AX328">
        <f t="shared" si="118"/>
        <v>5.3334317561083638E-5</v>
      </c>
      <c r="AY328">
        <f t="shared" si="119"/>
        <v>5.8735444861711412E-5</v>
      </c>
      <c r="AZ328" t="e">
        <f>AR328*#REF!/($AE$309+AR328)</f>
        <v>#REF!</v>
      </c>
      <c r="BA328">
        <f t="shared" si="120"/>
        <v>1.0344216803448072E-4</v>
      </c>
      <c r="BB328">
        <f t="shared" si="121"/>
        <v>1.1344644750795335E-4</v>
      </c>
      <c r="BC328">
        <f t="shared" si="122"/>
        <v>1.0974106041923551E-4</v>
      </c>
      <c r="BD328">
        <f t="shared" si="123"/>
        <v>9.0531529815202891E-5</v>
      </c>
      <c r="BE328">
        <f t="shared" si="124"/>
        <v>9.2016930800275623E-5</v>
      </c>
    </row>
    <row r="329" spans="7:57">
      <c r="G329" s="14" t="s">
        <v>128</v>
      </c>
      <c r="H329" s="14" t="s">
        <v>84</v>
      </c>
      <c r="I329" s="14">
        <v>298.14999999999998</v>
      </c>
      <c r="J329" s="21">
        <v>7.0000000000000007E-2</v>
      </c>
      <c r="K329" s="33">
        <v>8.51</v>
      </c>
      <c r="L329" s="21">
        <v>1.099E-2</v>
      </c>
      <c r="M329" s="21">
        <v>1.099E-2</v>
      </c>
      <c r="N329" s="19">
        <f t="shared" si="138"/>
        <v>3.246961806968264E-2</v>
      </c>
      <c r="O329" s="36">
        <v>5.3659600000000003</v>
      </c>
      <c r="P329" s="36">
        <v>122.426</v>
      </c>
      <c r="Q329" s="21">
        <v>1.3990000000000001E-2</v>
      </c>
      <c r="R329" s="21">
        <v>0.13139999999999999</v>
      </c>
      <c r="S329" s="21">
        <v>3137</v>
      </c>
      <c r="T329" s="19">
        <f t="shared" si="142"/>
        <v>4.1887153331208157E-5</v>
      </c>
      <c r="U329" s="21"/>
      <c r="V329" s="19">
        <f t="shared" si="139"/>
        <v>0</v>
      </c>
      <c r="W329" s="19">
        <f t="shared" si="140"/>
        <v>1.9883112074128829E-5</v>
      </c>
      <c r="X329" s="20">
        <f t="shared" si="141"/>
        <v>2.4342098787872961E-3</v>
      </c>
      <c r="AA329" s="6"/>
      <c r="AB329" s="6"/>
      <c r="AC329" s="11"/>
      <c r="AD329" s="11"/>
      <c r="AE329" s="11"/>
    </row>
    <row r="330" spans="7:57" ht="15.75" thickBot="1">
      <c r="G330" s="55" t="s">
        <v>128</v>
      </c>
      <c r="H330" s="55" t="s">
        <v>84</v>
      </c>
      <c r="I330" s="55">
        <v>298.14999999999998</v>
      </c>
      <c r="J330" s="56">
        <v>0.06</v>
      </c>
      <c r="K330" s="63">
        <v>8.51</v>
      </c>
      <c r="L330" s="56">
        <v>9.4190000000000003E-3</v>
      </c>
      <c r="M330" s="56">
        <v>9.4190000000000003E-3</v>
      </c>
      <c r="N330" s="60">
        <f t="shared" si="138"/>
        <v>3.0059429402693055E-2</v>
      </c>
      <c r="O330" s="57">
        <v>7.7507999999999999</v>
      </c>
      <c r="P330" s="57">
        <v>122.426</v>
      </c>
      <c r="Q330" s="56">
        <v>1.3990000000000001E-2</v>
      </c>
      <c r="R330" s="56">
        <v>0.10349999999999999</v>
      </c>
      <c r="S330" s="56">
        <v>2042</v>
      </c>
      <c r="T330" s="60">
        <f t="shared" si="142"/>
        <v>5.0685602350636627E-5</v>
      </c>
      <c r="U330" s="56"/>
      <c r="V330" s="60">
        <f t="shared" si="139"/>
        <v>0</v>
      </c>
      <c r="W330" s="19">
        <f t="shared" si="140"/>
        <v>2.4059584668208533E-5</v>
      </c>
      <c r="X330" s="20">
        <f t="shared" si="141"/>
        <v>2.9455187125900979E-3</v>
      </c>
      <c r="AA330" s="6"/>
      <c r="AB330" s="6"/>
      <c r="AC330" s="11"/>
      <c r="AD330" s="11"/>
      <c r="AE330" s="11"/>
    </row>
    <row r="331" spans="7:57">
      <c r="G331" s="40" t="s">
        <v>130</v>
      </c>
      <c r="H331" s="40" t="s">
        <v>84</v>
      </c>
      <c r="I331" s="40">
        <f t="shared" ref="I331:I342" si="143">25+273.15</f>
        <v>298.14999999999998</v>
      </c>
      <c r="J331" s="41">
        <v>0.09</v>
      </c>
      <c r="K331" s="62">
        <v>8.75</v>
      </c>
      <c r="L331" s="41">
        <v>2.1999999999999999E-2</v>
      </c>
      <c r="M331" s="41">
        <v>2.1999999999999999E-2</v>
      </c>
      <c r="N331" s="45">
        <f t="shared" si="138"/>
        <v>4.5939860742114307E-2</v>
      </c>
      <c r="O331" s="42">
        <v>0.59209999999999996</v>
      </c>
      <c r="P331" s="42">
        <v>122.426</v>
      </c>
      <c r="Q331" s="41">
        <v>1.3990000000000001E-2</v>
      </c>
      <c r="R331" s="41">
        <v>0.23680000000000001</v>
      </c>
      <c r="S331" s="41">
        <v>21400</v>
      </c>
      <c r="T331" s="45">
        <f t="shared" ref="T331:T346" si="144">R331/S331</f>
        <v>1.1065420560747663E-5</v>
      </c>
      <c r="U331" s="41"/>
      <c r="V331" s="45">
        <f t="shared" si="139"/>
        <v>0</v>
      </c>
      <c r="W331" s="19">
        <f t="shared" si="140"/>
        <v>5.2525650386652655E-6</v>
      </c>
      <c r="X331" s="20">
        <f t="shared" si="141"/>
        <v>6.4305052742363378E-4</v>
      </c>
      <c r="AA331" s="6"/>
      <c r="AB331" s="6"/>
      <c r="AC331" s="11"/>
      <c r="AD331" s="11"/>
      <c r="AE331" s="11"/>
    </row>
    <row r="332" spans="7:57">
      <c r="G332" s="14" t="s">
        <v>130</v>
      </c>
      <c r="H332" s="14" t="s">
        <v>84</v>
      </c>
      <c r="I332" s="14">
        <f t="shared" si="143"/>
        <v>298.14999999999998</v>
      </c>
      <c r="J332" s="21">
        <v>0.08</v>
      </c>
      <c r="K332" s="33">
        <v>8.75</v>
      </c>
      <c r="L332" s="21">
        <v>1.9560000000000001E-2</v>
      </c>
      <c r="M332" s="21">
        <v>1.9560000000000001E-2</v>
      </c>
      <c r="N332" s="19">
        <f t="shared" si="138"/>
        <v>4.3317437673892831E-2</v>
      </c>
      <c r="O332" s="36">
        <v>2.9811000000000001</v>
      </c>
      <c r="P332" s="36">
        <v>122.426</v>
      </c>
      <c r="Q332" s="21">
        <v>1.3990000000000001E-2</v>
      </c>
      <c r="R332" s="21">
        <v>8.9910000000000004E-2</v>
      </c>
      <c r="S332" s="21">
        <v>1966</v>
      </c>
      <c r="T332" s="19">
        <f t="shared" si="144"/>
        <v>4.5732451678535098E-5</v>
      </c>
      <c r="U332" s="21"/>
      <c r="V332" s="19">
        <f t="shared" si="139"/>
        <v>0</v>
      </c>
      <c r="W332" s="19">
        <f t="shared" si="140"/>
        <v>2.1708409138214579E-5</v>
      </c>
      <c r="X332" s="20">
        <f t="shared" si="141"/>
        <v>2.6576736971550582E-3</v>
      </c>
      <c r="AA332" s="6"/>
      <c r="AB332" s="6"/>
      <c r="AC332" s="11"/>
      <c r="AD332" s="11"/>
      <c r="AE332" s="11"/>
    </row>
    <row r="333" spans="7:57">
      <c r="G333" s="14" t="s">
        <v>130</v>
      </c>
      <c r="H333" s="14" t="s">
        <v>84</v>
      </c>
      <c r="I333" s="14">
        <f t="shared" si="143"/>
        <v>298.14999999999998</v>
      </c>
      <c r="J333" s="21">
        <v>7.0000000000000007E-2</v>
      </c>
      <c r="K333" s="33">
        <v>8.75</v>
      </c>
      <c r="L333" s="21">
        <v>1.711E-2</v>
      </c>
      <c r="M333" s="21">
        <v>1.711E-2</v>
      </c>
      <c r="N333" s="19">
        <f t="shared" si="138"/>
        <v>4.0513833481256221E-2</v>
      </c>
      <c r="O333" s="36">
        <v>5.3659600000000003</v>
      </c>
      <c r="P333" s="36">
        <v>122.426</v>
      </c>
      <c r="Q333" s="21">
        <v>1.3990000000000001E-2</v>
      </c>
      <c r="R333" s="21">
        <v>0.1234</v>
      </c>
      <c r="S333" s="21">
        <v>2273</v>
      </c>
      <c r="T333" s="19">
        <f t="shared" si="144"/>
        <v>5.4289485261768588E-5</v>
      </c>
      <c r="U333" s="21"/>
      <c r="V333" s="19">
        <f t="shared" si="139"/>
        <v>0</v>
      </c>
      <c r="W333" s="19">
        <f t="shared" si="140"/>
        <v>2.577028597219728E-5</v>
      </c>
      <c r="X333" s="20">
        <f t="shared" si="141"/>
        <v>3.1549530304322243E-3</v>
      </c>
      <c r="AA333" s="6"/>
      <c r="AB333" s="6"/>
      <c r="AC333" s="11"/>
      <c r="AD333" s="11"/>
      <c r="AE333" s="11"/>
    </row>
    <row r="334" spans="7:57" ht="15.75" thickBot="1">
      <c r="G334" s="55" t="s">
        <v>130</v>
      </c>
      <c r="H334" s="55" t="s">
        <v>84</v>
      </c>
      <c r="I334" s="55">
        <f t="shared" si="143"/>
        <v>298.14999999999998</v>
      </c>
      <c r="J334" s="56">
        <v>0.06</v>
      </c>
      <c r="K334" s="63">
        <v>8.75</v>
      </c>
      <c r="L334" s="56">
        <v>1.4670000000000001E-2</v>
      </c>
      <c r="M334" s="56">
        <v>1.4670000000000001E-2</v>
      </c>
      <c r="N334" s="85">
        <f t="shared" si="138"/>
        <v>3.7514001452440292E-2</v>
      </c>
      <c r="O334" s="57">
        <v>7.7507999999999999</v>
      </c>
      <c r="P334" s="57">
        <v>122.426</v>
      </c>
      <c r="Q334" s="56">
        <v>1.3990000000000001E-2</v>
      </c>
      <c r="R334" s="56">
        <v>0.19289999999999999</v>
      </c>
      <c r="S334" s="56">
        <v>3356</v>
      </c>
      <c r="T334" s="60">
        <f t="shared" si="144"/>
        <v>5.7479141835518472E-5</v>
      </c>
      <c r="U334" s="56"/>
      <c r="V334" s="60">
        <f t="shared" si="139"/>
        <v>0</v>
      </c>
      <c r="W334" s="19">
        <f t="shared" si="140"/>
        <v>2.7284361150149257E-5</v>
      </c>
      <c r="X334" s="20">
        <f t="shared" si="141"/>
        <v>3.3403151981681732E-3</v>
      </c>
      <c r="AA334" s="6"/>
      <c r="AB334" s="6"/>
    </row>
    <row r="335" spans="7:57">
      <c r="G335" s="40" t="s">
        <v>131</v>
      </c>
      <c r="H335" s="40" t="s">
        <v>84</v>
      </c>
      <c r="I335" s="40">
        <f t="shared" si="143"/>
        <v>298.14999999999998</v>
      </c>
      <c r="J335" s="41">
        <v>0.09</v>
      </c>
      <c r="K335" s="62">
        <v>9</v>
      </c>
      <c r="L335" s="41">
        <v>3.2870000000000003E-2</v>
      </c>
      <c r="M335" s="41">
        <v>3.2870000000000003E-2</v>
      </c>
      <c r="N335" s="84">
        <f t="shared" si="138"/>
        <v>5.6153675246234123E-2</v>
      </c>
      <c r="O335" s="42">
        <v>0.59209999999999996</v>
      </c>
      <c r="P335" s="42">
        <v>122.426</v>
      </c>
      <c r="Q335" s="41">
        <v>1.3990000000000001E-2</v>
      </c>
      <c r="R335" s="41">
        <v>0.66420000000000001</v>
      </c>
      <c r="S335" s="41">
        <v>50420</v>
      </c>
      <c r="T335" s="45">
        <f t="shared" si="144"/>
        <v>1.3173343911146371E-5</v>
      </c>
      <c r="U335" s="41"/>
      <c r="V335" s="45">
        <f t="shared" si="139"/>
        <v>0</v>
      </c>
      <c r="W335" s="19">
        <f t="shared" si="140"/>
        <v>6.2531600394342459E-6</v>
      </c>
      <c r="X335" s="20">
        <f t="shared" si="141"/>
        <v>7.6554937098777698E-4</v>
      </c>
      <c r="AA335" s="6"/>
      <c r="AB335" s="6"/>
    </row>
    <row r="336" spans="7:57">
      <c r="G336" s="14" t="s">
        <v>131</v>
      </c>
      <c r="H336" s="14" t="s">
        <v>84</v>
      </c>
      <c r="I336" s="14">
        <f t="shared" si="143"/>
        <v>298.14999999999998</v>
      </c>
      <c r="J336" s="21">
        <v>0.08</v>
      </c>
      <c r="K336" s="33">
        <v>9</v>
      </c>
      <c r="L336" s="21">
        <v>2.9219999999999999E-2</v>
      </c>
      <c r="M336" s="21">
        <v>2.9219999999999999E-2</v>
      </c>
      <c r="N336" s="83">
        <f t="shared" si="138"/>
        <v>5.2944206019270829E-2</v>
      </c>
      <c r="O336" s="36">
        <v>2.9811000000000001</v>
      </c>
      <c r="P336" s="36">
        <v>122.426</v>
      </c>
      <c r="Q336" s="21">
        <v>1.3990000000000001E-2</v>
      </c>
      <c r="R336" s="21">
        <v>0.94179999999999997</v>
      </c>
      <c r="S336" s="21">
        <v>23670</v>
      </c>
      <c r="T336" s="19">
        <f t="shared" si="144"/>
        <v>3.9788762146176593E-5</v>
      </c>
      <c r="U336" s="21"/>
      <c r="V336" s="19">
        <f t="shared" si="139"/>
        <v>0</v>
      </c>
      <c r="W336" s="19">
        <f t="shared" si="140"/>
        <v>1.88870418284991E-5</v>
      </c>
      <c r="X336" s="20">
        <f t="shared" si="141"/>
        <v>2.3122649828958308E-3</v>
      </c>
      <c r="AA336" s="6"/>
      <c r="AB336" s="6"/>
    </row>
    <row r="337" spans="6:39">
      <c r="G337" s="14" t="s">
        <v>131</v>
      </c>
      <c r="H337" s="14" t="s">
        <v>84</v>
      </c>
      <c r="I337" s="14">
        <f t="shared" si="143"/>
        <v>298.14999999999998</v>
      </c>
      <c r="J337" s="21">
        <v>7.0000000000000007E-2</v>
      </c>
      <c r="K337" s="33">
        <v>9</v>
      </c>
      <c r="L337" s="21">
        <v>2.5569999999999999E-2</v>
      </c>
      <c r="M337" s="21">
        <v>2.5569999999999999E-2</v>
      </c>
      <c r="N337" s="19">
        <f t="shared" si="138"/>
        <v>4.9527191101075591E-2</v>
      </c>
      <c r="O337" s="36">
        <v>5.3659600000000003</v>
      </c>
      <c r="P337" s="36">
        <v>122.426</v>
      </c>
      <c r="Q337" s="21">
        <v>1.3990000000000001E-2</v>
      </c>
      <c r="R337" s="21">
        <v>9.6790000000000001E-2</v>
      </c>
      <c r="S337" s="21">
        <v>1470</v>
      </c>
      <c r="T337" s="19">
        <f t="shared" si="144"/>
        <v>6.584353741496599E-5</v>
      </c>
      <c r="U337" s="21"/>
      <c r="V337" s="19">
        <f t="shared" si="139"/>
        <v>0</v>
      </c>
      <c r="W337" s="19">
        <f t="shared" si="140"/>
        <v>3.1254796033213815E-5</v>
      </c>
      <c r="X337" s="20">
        <f t="shared" si="141"/>
        <v>3.8263996591622346E-3</v>
      </c>
    </row>
    <row r="338" spans="6:39" ht="15.75" thickBot="1">
      <c r="G338" s="55" t="s">
        <v>131</v>
      </c>
      <c r="H338" s="55" t="s">
        <v>84</v>
      </c>
      <c r="I338" s="55">
        <f t="shared" si="143"/>
        <v>298.14999999999998</v>
      </c>
      <c r="J338" s="56">
        <v>0.06</v>
      </c>
      <c r="K338" s="63">
        <v>9</v>
      </c>
      <c r="L338" s="56">
        <v>2.1919999999999999E-2</v>
      </c>
      <c r="M338" s="56">
        <v>2.1919999999999999E-2</v>
      </c>
      <c r="N338" s="60">
        <f t="shared" si="138"/>
        <v>4.5856257650553303E-2</v>
      </c>
      <c r="O338" s="57">
        <v>7.7507999999999999</v>
      </c>
      <c r="P338" s="57">
        <v>122.426</v>
      </c>
      <c r="Q338" s="56">
        <v>1.3990000000000001E-2</v>
      </c>
      <c r="R338" s="56">
        <v>7.6219999999999996E-2</v>
      </c>
      <c r="S338" s="56">
        <v>973.2</v>
      </c>
      <c r="T338" s="60">
        <f t="shared" si="144"/>
        <v>7.8318947801068632E-5</v>
      </c>
      <c r="U338" s="56"/>
      <c r="V338" s="60">
        <f t="shared" si="139"/>
        <v>0</v>
      </c>
      <c r="W338" s="19">
        <f t="shared" si="140"/>
        <v>3.7176659018656165E-5</v>
      </c>
      <c r="X338" s="20">
        <f t="shared" si="141"/>
        <v>4.5513896570180002E-3</v>
      </c>
    </row>
    <row r="339" spans="6:39">
      <c r="G339" s="40" t="s">
        <v>132</v>
      </c>
      <c r="H339" s="40" t="s">
        <v>84</v>
      </c>
      <c r="I339" s="40">
        <f t="shared" si="143"/>
        <v>298.14999999999998</v>
      </c>
      <c r="J339" s="41">
        <v>8.5000000000000006E-2</v>
      </c>
      <c r="K339" s="62">
        <v>9.6999999999999993</v>
      </c>
      <c r="L339" s="41">
        <v>6.3119999999999996E-2</v>
      </c>
      <c r="M339" s="41">
        <v>6.3119999999999996E-2</v>
      </c>
      <c r="N339" s="45">
        <f t="shared" si="138"/>
        <v>7.7814732541731463E-2</v>
      </c>
      <c r="O339" s="42">
        <v>2.06</v>
      </c>
      <c r="P339" s="42">
        <v>82.5</v>
      </c>
      <c r="Q339" s="41">
        <v>0.27980899999999997</v>
      </c>
      <c r="R339" s="41">
        <v>0.37340000000000001</v>
      </c>
      <c r="S339" s="41">
        <v>41810</v>
      </c>
      <c r="T339" s="45">
        <f t="shared" si="144"/>
        <v>8.9308777804353036E-6</v>
      </c>
      <c r="U339" s="41"/>
      <c r="V339" s="45">
        <f t="shared" si="139"/>
        <v>0</v>
      </c>
      <c r="W339" s="19">
        <f t="shared" si="140"/>
        <v>3.1453820692865904E-7</v>
      </c>
      <c r="X339" s="20">
        <f t="shared" si="141"/>
        <v>2.594940207161437E-5</v>
      </c>
    </row>
    <row r="340" spans="6:39">
      <c r="G340" s="14" t="s">
        <v>132</v>
      </c>
      <c r="H340" s="14" t="s">
        <v>84</v>
      </c>
      <c r="I340" s="14">
        <f t="shared" si="143"/>
        <v>298.14999999999998</v>
      </c>
      <c r="J340" s="21">
        <v>0.08</v>
      </c>
      <c r="K340" s="33">
        <v>9.6999999999999993</v>
      </c>
      <c r="L340" s="21">
        <v>5.9400000000000001E-2</v>
      </c>
      <c r="M340" s="21">
        <v>5.9400000000000001E-2</v>
      </c>
      <c r="N340" s="19">
        <f t="shared" si="138"/>
        <v>7.5486894051306069E-2</v>
      </c>
      <c r="O340" s="36">
        <v>4.12</v>
      </c>
      <c r="P340" s="36">
        <v>82.5</v>
      </c>
      <c r="Q340" s="41">
        <v>0.27980899999999997</v>
      </c>
      <c r="R340" s="21">
        <v>1.542</v>
      </c>
      <c r="S340" s="21">
        <v>85750</v>
      </c>
      <c r="T340" s="19">
        <f t="shared" si="144"/>
        <v>1.7982507288629738E-5</v>
      </c>
      <c r="U340" s="21"/>
      <c r="V340" s="19">
        <f t="shared" si="139"/>
        <v>0</v>
      </c>
      <c r="W340" s="19">
        <f t="shared" si="140"/>
        <v>6.33329190892975E-7</v>
      </c>
      <c r="X340" s="20">
        <f t="shared" si="141"/>
        <v>5.2249658248670436E-5</v>
      </c>
    </row>
    <row r="341" spans="6:39">
      <c r="G341" s="14" t="s">
        <v>132</v>
      </c>
      <c r="H341" s="14" t="s">
        <v>84</v>
      </c>
      <c r="I341" s="14">
        <f t="shared" si="143"/>
        <v>298.14999999999998</v>
      </c>
      <c r="J341" s="21">
        <v>7.4999999999999997E-2</v>
      </c>
      <c r="K341" s="33">
        <v>9.6999999999999993</v>
      </c>
      <c r="L341" s="21">
        <v>5.5690000000000003E-2</v>
      </c>
      <c r="M341" s="21">
        <v>5.5690000000000003E-2</v>
      </c>
      <c r="N341" s="19">
        <f t="shared" si="138"/>
        <v>7.3091511486604116E-2</v>
      </c>
      <c r="O341" s="36">
        <v>6.19</v>
      </c>
      <c r="P341" s="36">
        <v>82.5</v>
      </c>
      <c r="Q341" s="41">
        <v>0.27980899999999997</v>
      </c>
      <c r="R341" s="21">
        <v>3314</v>
      </c>
      <c r="S341" s="21">
        <v>165700000</v>
      </c>
      <c r="T341" s="19">
        <f t="shared" si="144"/>
        <v>2.0000000000000002E-5</v>
      </c>
      <c r="U341" s="21"/>
      <c r="V341" s="19">
        <f t="shared" si="139"/>
        <v>0</v>
      </c>
      <c r="W341" s="19">
        <f t="shared" si="140"/>
        <v>7.0438363319160331E-7</v>
      </c>
      <c r="X341" s="20">
        <f t="shared" si="141"/>
        <v>5.8111649738307271E-5</v>
      </c>
    </row>
    <row r="342" spans="6:39" ht="15.75" thickBot="1">
      <c r="G342" s="55" t="s">
        <v>132</v>
      </c>
      <c r="H342" s="55" t="s">
        <v>84</v>
      </c>
      <c r="I342" s="55">
        <f t="shared" si="143"/>
        <v>298.14999999999998</v>
      </c>
      <c r="J342" s="56">
        <v>7.0000000000000007E-2</v>
      </c>
      <c r="K342" s="63">
        <v>9.6999999999999993</v>
      </c>
      <c r="L342" s="56">
        <v>5.1979999999999998E-2</v>
      </c>
      <c r="M342" s="56">
        <v>5.1979999999999998E-2</v>
      </c>
      <c r="N342" s="60">
        <f t="shared" si="138"/>
        <v>7.0614920018928384E-2</v>
      </c>
      <c r="O342" s="57">
        <v>8.25</v>
      </c>
      <c r="P342" s="57">
        <v>82.5</v>
      </c>
      <c r="Q342" s="56">
        <v>0.27980899999999997</v>
      </c>
      <c r="R342" s="56">
        <v>0.78459999999999996</v>
      </c>
      <c r="S342" s="56">
        <v>19860</v>
      </c>
      <c r="T342" s="60">
        <f t="shared" si="144"/>
        <v>3.9506545820745214E-5</v>
      </c>
      <c r="U342" s="56"/>
      <c r="V342" s="60">
        <f t="shared" si="139"/>
        <v>0</v>
      </c>
      <c r="W342" s="19">
        <f t="shared" si="140"/>
        <v>1.3913882140033531E-6</v>
      </c>
      <c r="X342" s="20">
        <f t="shared" si="141"/>
        <v>1.1478952765527664E-4</v>
      </c>
    </row>
    <row r="343" spans="6:39">
      <c r="F343" s="15" t="s">
        <v>261</v>
      </c>
      <c r="G343" s="40" t="s">
        <v>129</v>
      </c>
      <c r="H343" s="40" t="s">
        <v>84</v>
      </c>
      <c r="I343" s="40">
        <v>298.14999999999998</v>
      </c>
      <c r="J343" s="41">
        <v>8.5000000000000006E-2</v>
      </c>
      <c r="K343" s="62">
        <v>8.51</v>
      </c>
      <c r="L343" s="41">
        <v>1.3339999999999999E-2</v>
      </c>
      <c r="M343" s="41">
        <v>1.3339999999999999E-2</v>
      </c>
      <c r="N343" s="45">
        <f t="shared" si="138"/>
        <v>3.5773072998584211E-2</v>
      </c>
      <c r="O343" s="62">
        <v>0.37</v>
      </c>
      <c r="P343" s="42">
        <v>122.43</v>
      </c>
      <c r="Q343" s="41">
        <v>2.7980999999999999E-2</v>
      </c>
      <c r="R343" s="53">
        <v>4.2610000000000002E-2</v>
      </c>
      <c r="S343" s="53">
        <v>2768</v>
      </c>
      <c r="T343" s="45">
        <f t="shared" si="144"/>
        <v>1.5393786127167631E-5</v>
      </c>
      <c r="U343" s="41"/>
      <c r="V343" s="45">
        <f t="shared" si="139"/>
        <v>0</v>
      </c>
      <c r="W343" s="19">
        <f t="shared" si="140"/>
        <v>3.6533329680138596E-6</v>
      </c>
      <c r="X343" s="20">
        <f t="shared" si="141"/>
        <v>4.4727755527393685E-4</v>
      </c>
    </row>
    <row r="344" spans="6:39">
      <c r="F344" s="15" t="s">
        <v>261</v>
      </c>
      <c r="G344" s="14" t="s">
        <v>129</v>
      </c>
      <c r="H344" s="14" t="s">
        <v>84</v>
      </c>
      <c r="I344" s="14">
        <v>298.14999999999998</v>
      </c>
      <c r="J344" s="21">
        <v>8.5000000000000006E-2</v>
      </c>
      <c r="K344" s="33">
        <v>8.51</v>
      </c>
      <c r="L344" s="21">
        <v>1.3339999999999999E-2</v>
      </c>
      <c r="M344" s="21">
        <v>1.3339999999999999E-2</v>
      </c>
      <c r="N344" s="19">
        <f t="shared" si="138"/>
        <v>3.5773072998584211E-2</v>
      </c>
      <c r="O344" s="33">
        <v>1.83</v>
      </c>
      <c r="P344" s="36">
        <v>122.43</v>
      </c>
      <c r="Q344" s="21">
        <v>2.7980999999999999E-2</v>
      </c>
      <c r="R344" s="35">
        <v>0.10979999999999999</v>
      </c>
      <c r="S344" s="35">
        <v>2323</v>
      </c>
      <c r="T344" s="19">
        <f t="shared" si="144"/>
        <v>4.7266465777012484E-5</v>
      </c>
      <c r="U344" s="21"/>
      <c r="V344" s="19">
        <f t="shared" si="139"/>
        <v>0</v>
      </c>
      <c r="W344" s="19">
        <f t="shared" si="140"/>
        <v>1.1217522205268593E-5</v>
      </c>
      <c r="X344" s="20">
        <f t="shared" si="141"/>
        <v>1.3733612435910339E-3</v>
      </c>
    </row>
    <row r="345" spans="6:39">
      <c r="F345" s="15" t="s">
        <v>261</v>
      </c>
      <c r="G345" s="14" t="s">
        <v>129</v>
      </c>
      <c r="H345" s="14" t="s">
        <v>84</v>
      </c>
      <c r="I345" s="14">
        <v>298.14999999999998</v>
      </c>
      <c r="J345" s="21">
        <v>8.5000000000000006E-2</v>
      </c>
      <c r="K345" s="33">
        <v>8.51</v>
      </c>
      <c r="L345" s="21">
        <v>1.3339999999999999E-2</v>
      </c>
      <c r="M345" s="21">
        <v>1.3339999999999999E-2</v>
      </c>
      <c r="N345" s="19">
        <f t="shared" si="138"/>
        <v>3.5773072998584211E-2</v>
      </c>
      <c r="O345" s="33">
        <v>3.65</v>
      </c>
      <c r="P345" s="36">
        <v>122.43</v>
      </c>
      <c r="Q345" s="21">
        <v>2.7980999999999999E-2</v>
      </c>
      <c r="R345" s="35">
        <v>9.6790000000000001E-2</v>
      </c>
      <c r="S345" s="35">
        <v>1470</v>
      </c>
      <c r="T345" s="19">
        <f t="shared" si="144"/>
        <v>6.584353741496599E-5</v>
      </c>
      <c r="U345" s="21"/>
      <c r="V345" s="19">
        <f t="shared" si="139"/>
        <v>0</v>
      </c>
      <c r="W345" s="19">
        <f t="shared" si="140"/>
        <v>1.5626328960373104E-5</v>
      </c>
      <c r="X345" s="20">
        <f t="shared" si="141"/>
        <v>1.9131314546184794E-3</v>
      </c>
    </row>
    <row r="346" spans="6:39" ht="15.75" thickBot="1">
      <c r="F346" s="15" t="s">
        <v>261</v>
      </c>
      <c r="G346" s="55" t="s">
        <v>129</v>
      </c>
      <c r="H346" s="55" t="s">
        <v>84</v>
      </c>
      <c r="I346" s="55">
        <v>298.14999999999998</v>
      </c>
      <c r="J346" s="56">
        <v>8.5000000000000006E-2</v>
      </c>
      <c r="K346" s="63">
        <v>8.51</v>
      </c>
      <c r="L346" s="56">
        <v>1.3339999999999999E-2</v>
      </c>
      <c r="M346" s="56">
        <v>1.3339999999999999E-2</v>
      </c>
      <c r="N346" s="60">
        <f t="shared" si="138"/>
        <v>3.5773072998584211E-2</v>
      </c>
      <c r="O346" s="63">
        <v>7.31</v>
      </c>
      <c r="P346" s="57">
        <v>122.43</v>
      </c>
      <c r="Q346" s="56">
        <v>2.7980999999999999E-2</v>
      </c>
      <c r="R346" s="64">
        <v>7.6219999999999996E-2</v>
      </c>
      <c r="S346" s="64">
        <v>973.2</v>
      </c>
      <c r="T346" s="60">
        <f t="shared" si="144"/>
        <v>7.8318947801068632E-5</v>
      </c>
      <c r="U346" s="56"/>
      <c r="V346" s="60">
        <f t="shared" si="139"/>
        <v>0</v>
      </c>
      <c r="W346" s="19">
        <f t="shared" si="140"/>
        <v>1.8587057898435673E-5</v>
      </c>
      <c r="X346" s="20">
        <f t="shared" si="141"/>
        <v>2.2756134985054796E-3</v>
      </c>
    </row>
    <row r="347" spans="6:39">
      <c r="F347" s="15" t="s">
        <v>261</v>
      </c>
      <c r="G347" s="40" t="s">
        <v>141</v>
      </c>
      <c r="H347" s="40" t="s">
        <v>82</v>
      </c>
      <c r="I347" s="40">
        <v>298.14999999999998</v>
      </c>
      <c r="J347" s="41">
        <v>7.4999999999999997E-2</v>
      </c>
      <c r="K347" s="62">
        <v>8</v>
      </c>
      <c r="L347" s="41">
        <v>0.14480000000000001</v>
      </c>
      <c r="M347" s="41">
        <v>0.21460000000000001</v>
      </c>
      <c r="N347" s="45">
        <f t="shared" si="138"/>
        <v>0.14348060286293404</v>
      </c>
      <c r="O347" s="62">
        <v>6.33</v>
      </c>
      <c r="P347" s="42">
        <v>122.43</v>
      </c>
      <c r="Q347" s="41">
        <v>2.7980999999999999E-2</v>
      </c>
      <c r="R347" s="53">
        <v>4.1509999999999998E-2</v>
      </c>
      <c r="S347" s="53">
        <v>938.8</v>
      </c>
      <c r="T347" s="45">
        <f t="shared" ref="T347:T360" si="145">R347/S347</f>
        <v>4.4216020451640393E-5</v>
      </c>
      <c r="U347" s="41"/>
      <c r="V347" s="45">
        <f t="shared" si="139"/>
        <v>0</v>
      </c>
      <c r="W347" s="19">
        <f t="shared" si="140"/>
        <v>1.0493574738268407E-5</v>
      </c>
      <c r="X347" s="20">
        <f t="shared" si="141"/>
        <v>1.2847283552062012E-3</v>
      </c>
      <c r="AJ347" t="s">
        <v>238</v>
      </c>
    </row>
    <row r="348" spans="6:39">
      <c r="F348" s="15" t="s">
        <v>261</v>
      </c>
      <c r="G348" s="14" t="s">
        <v>141</v>
      </c>
      <c r="H348" s="14" t="s">
        <v>82</v>
      </c>
      <c r="I348" s="14">
        <v>298.14999999999998</v>
      </c>
      <c r="J348" s="21">
        <v>7.4999999999999997E-2</v>
      </c>
      <c r="K348" s="33">
        <v>8</v>
      </c>
      <c r="L348" s="41">
        <v>0.14480000000000001</v>
      </c>
      <c r="M348" s="41">
        <v>0.21460000000000001</v>
      </c>
      <c r="N348" s="19">
        <f t="shared" si="138"/>
        <v>0.14348060286293404</v>
      </c>
      <c r="O348" s="33">
        <v>3.16</v>
      </c>
      <c r="P348" s="36">
        <v>122.43</v>
      </c>
      <c r="Q348" s="21">
        <v>2.7980999999999999E-2</v>
      </c>
      <c r="R348" s="35">
        <v>4.3709999999999999E-2</v>
      </c>
      <c r="S348" s="35">
        <v>858</v>
      </c>
      <c r="T348" s="19">
        <f t="shared" si="145"/>
        <v>5.0944055944055946E-5</v>
      </c>
      <c r="U348" s="21"/>
      <c r="V348" s="19">
        <f t="shared" si="139"/>
        <v>0</v>
      </c>
      <c r="W348" s="19">
        <f t="shared" si="140"/>
        <v>1.2090306930813921E-5</v>
      </c>
      <c r="X348" s="20">
        <f t="shared" si="141"/>
        <v>1.4802162775395485E-3</v>
      </c>
      <c r="AJ348" t="s">
        <v>135</v>
      </c>
      <c r="AM348" t="s">
        <v>9</v>
      </c>
    </row>
    <row r="349" spans="6:39">
      <c r="F349" s="15" t="s">
        <v>261</v>
      </c>
      <c r="G349" s="14" t="s">
        <v>141</v>
      </c>
      <c r="H349" s="14" t="s">
        <v>82</v>
      </c>
      <c r="I349" s="14">
        <v>298.14999999999998</v>
      </c>
      <c r="J349" s="21">
        <v>7.4999999999999997E-2</v>
      </c>
      <c r="K349" s="33">
        <v>8</v>
      </c>
      <c r="L349" s="41">
        <v>0.14480000000000001</v>
      </c>
      <c r="M349" s="41">
        <v>0.21460000000000001</v>
      </c>
      <c r="N349" s="19">
        <f t="shared" si="138"/>
        <v>0.14348060286293404</v>
      </c>
      <c r="O349" s="33">
        <v>1.27</v>
      </c>
      <c r="P349" s="36">
        <v>122.43</v>
      </c>
      <c r="Q349" s="21">
        <v>2.7980999999999999E-2</v>
      </c>
      <c r="R349" s="35">
        <v>3.0700000000000002E-2</v>
      </c>
      <c r="S349" s="35">
        <v>788.1</v>
      </c>
      <c r="T349" s="19">
        <f t="shared" si="145"/>
        <v>3.895444740515163E-5</v>
      </c>
      <c r="U349" s="21"/>
      <c r="V349" s="19">
        <f t="shared" si="139"/>
        <v>0</v>
      </c>
      <c r="W349" s="19">
        <f t="shared" si="140"/>
        <v>9.2448710005682838E-6</v>
      </c>
      <c r="X349" s="20">
        <f t="shared" si="141"/>
        <v>1.1318495565995751E-3</v>
      </c>
      <c r="AJ349" t="s">
        <v>239</v>
      </c>
    </row>
    <row r="350" spans="6:39" ht="15.75" thickBot="1">
      <c r="F350" s="15" t="s">
        <v>261</v>
      </c>
      <c r="G350" s="55" t="s">
        <v>141</v>
      </c>
      <c r="H350" s="55" t="s">
        <v>82</v>
      </c>
      <c r="I350" s="55">
        <v>298.14999999999998</v>
      </c>
      <c r="J350" s="56">
        <v>7.4999999999999997E-2</v>
      </c>
      <c r="K350" s="63">
        <v>8</v>
      </c>
      <c r="L350" s="56">
        <v>0.14480000000000001</v>
      </c>
      <c r="M350" s="56">
        <v>0.21460000000000001</v>
      </c>
      <c r="N350" s="60">
        <f t="shared" si="138"/>
        <v>0.14348060286293404</v>
      </c>
      <c r="O350" s="63">
        <v>0.32</v>
      </c>
      <c r="P350" s="57">
        <v>122.43</v>
      </c>
      <c r="Q350" s="56">
        <v>2.7980999999999999E-2</v>
      </c>
      <c r="R350" s="64">
        <v>1.7500000000000002E-2</v>
      </c>
      <c r="S350" s="64">
        <v>710.9</v>
      </c>
      <c r="T350" s="60">
        <f t="shared" si="145"/>
        <v>2.4616683077788722E-5</v>
      </c>
      <c r="U350" s="56"/>
      <c r="V350" s="60">
        <f t="shared" si="139"/>
        <v>0</v>
      </c>
      <c r="W350" s="19">
        <f t="shared" si="140"/>
        <v>5.8421585897258117E-6</v>
      </c>
      <c r="X350" s="20">
        <f t="shared" si="141"/>
        <v>7.1525547614013116E-4</v>
      </c>
      <c r="AJ350" t="s">
        <v>240</v>
      </c>
      <c r="AM350" t="s">
        <v>242</v>
      </c>
    </row>
    <row r="351" spans="6:39">
      <c r="F351" s="15" t="s">
        <v>261</v>
      </c>
      <c r="G351" s="40" t="s">
        <v>135</v>
      </c>
      <c r="H351" s="40" t="s">
        <v>82</v>
      </c>
      <c r="I351" s="40">
        <v>298.14999999999998</v>
      </c>
      <c r="J351" s="41">
        <v>8.5000000000000006E-2</v>
      </c>
      <c r="K351" s="62">
        <v>8.01</v>
      </c>
      <c r="L351" s="41">
        <v>1.6410000000000001E-2</v>
      </c>
      <c r="M351" s="41">
        <v>0.24329999999999999</v>
      </c>
      <c r="N351" s="45">
        <f t="shared" si="138"/>
        <v>0.15277397845683985</v>
      </c>
      <c r="O351" s="62">
        <v>7.31</v>
      </c>
      <c r="P351" s="42">
        <v>122.43</v>
      </c>
      <c r="Q351" s="41">
        <v>2.7980999999999999E-2</v>
      </c>
      <c r="R351" s="53">
        <v>2.8400000000000002E-2</v>
      </c>
      <c r="S351" s="53">
        <v>700.1</v>
      </c>
      <c r="T351" s="45">
        <f t="shared" si="145"/>
        <v>4.0565633480931294E-5</v>
      </c>
      <c r="U351" s="41"/>
      <c r="V351" s="45">
        <f t="shared" si="139"/>
        <v>0</v>
      </c>
      <c r="W351" s="19">
        <f t="shared" si="140"/>
        <v>9.6272460160209479E-6</v>
      </c>
      <c r="X351" s="20">
        <f t="shared" si="141"/>
        <v>1.1786637297414447E-3</v>
      </c>
      <c r="AJ351" s="2" t="s">
        <v>241</v>
      </c>
      <c r="AM351" t="s">
        <v>239</v>
      </c>
    </row>
    <row r="352" spans="6:39">
      <c r="F352" s="15" t="s">
        <v>261</v>
      </c>
      <c r="G352" s="14" t="s">
        <v>135</v>
      </c>
      <c r="H352" s="14" t="s">
        <v>82</v>
      </c>
      <c r="I352" s="14">
        <v>298.14999999999998</v>
      </c>
      <c r="J352" s="21">
        <v>8.5000000000000006E-2</v>
      </c>
      <c r="K352" s="33">
        <v>8.01</v>
      </c>
      <c r="L352" s="41">
        <v>1.6410000000000001E-2</v>
      </c>
      <c r="M352" s="41">
        <v>0.24329999999999999</v>
      </c>
      <c r="N352" s="19">
        <f t="shared" si="138"/>
        <v>0.15277397845683985</v>
      </c>
      <c r="O352" s="33">
        <v>3.65</v>
      </c>
      <c r="P352" s="36">
        <v>122.43</v>
      </c>
      <c r="Q352" s="41">
        <v>2.7980999999999999E-2</v>
      </c>
      <c r="R352" s="35">
        <v>5.258</v>
      </c>
      <c r="S352" s="35">
        <v>256900</v>
      </c>
      <c r="T352" s="19">
        <f t="shared" si="145"/>
        <v>2.0467107824056052E-5</v>
      </c>
      <c r="U352" s="21"/>
      <c r="V352" s="19">
        <f t="shared" si="139"/>
        <v>0</v>
      </c>
      <c r="W352" s="19">
        <f t="shared" si="140"/>
        <v>4.8573599214526841E-6</v>
      </c>
      <c r="X352" s="20">
        <f t="shared" si="141"/>
        <v>5.9468657518345217E-4</v>
      </c>
      <c r="AJ352" t="s">
        <v>242</v>
      </c>
      <c r="AM352" t="s">
        <v>240</v>
      </c>
    </row>
    <row r="353" spans="6:40">
      <c r="F353" s="15" t="s">
        <v>261</v>
      </c>
      <c r="G353" s="14" t="s">
        <v>135</v>
      </c>
      <c r="H353" s="14" t="s">
        <v>82</v>
      </c>
      <c r="I353" s="14">
        <v>298.14999999999998</v>
      </c>
      <c r="J353" s="21">
        <v>8.5000000000000006E-2</v>
      </c>
      <c r="K353" s="33">
        <v>8.01</v>
      </c>
      <c r="L353" s="41">
        <v>1.6410000000000001E-2</v>
      </c>
      <c r="M353" s="41">
        <v>0.24329999999999999</v>
      </c>
      <c r="N353" s="19">
        <f t="shared" si="138"/>
        <v>0.15277397845683985</v>
      </c>
      <c r="O353" s="33">
        <v>1.83</v>
      </c>
      <c r="P353" s="36">
        <v>122.43</v>
      </c>
      <c r="Q353" s="41">
        <v>2.7980999999999999E-2</v>
      </c>
      <c r="R353" s="35">
        <v>3.431E-2</v>
      </c>
      <c r="S353" s="35">
        <v>1181</v>
      </c>
      <c r="T353" s="19">
        <f t="shared" si="145"/>
        <v>2.9051651143099068E-5</v>
      </c>
      <c r="U353" s="21"/>
      <c r="V353" s="19">
        <f t="shared" si="139"/>
        <v>0</v>
      </c>
      <c r="W353" s="19">
        <f t="shared" si="140"/>
        <v>6.8946881566068407E-6</v>
      </c>
      <c r="X353" s="20">
        <f t="shared" si="141"/>
        <v>8.4411667101337551E-4</v>
      </c>
      <c r="AK353">
        <v>1E-3</v>
      </c>
    </row>
    <row r="354" spans="6:40" ht="15.75" thickBot="1">
      <c r="F354" s="15" t="s">
        <v>261</v>
      </c>
      <c r="G354" s="55" t="s">
        <v>135</v>
      </c>
      <c r="H354" s="55" t="s">
        <v>82</v>
      </c>
      <c r="I354" s="55">
        <v>298.14999999999998</v>
      </c>
      <c r="J354" s="56">
        <v>8.5000000000000006E-2</v>
      </c>
      <c r="K354" s="63">
        <v>8.01</v>
      </c>
      <c r="L354" s="56">
        <v>1.6410000000000001E-2</v>
      </c>
      <c r="M354" s="56">
        <v>0.24329999999999999</v>
      </c>
      <c r="N354" s="60">
        <f t="shared" si="138"/>
        <v>0.15277397845683985</v>
      </c>
      <c r="O354" s="63">
        <v>0.37</v>
      </c>
      <c r="P354" s="57">
        <v>122.43</v>
      </c>
      <c r="Q354" s="56">
        <v>2.7980999999999999E-2</v>
      </c>
      <c r="R354" s="64">
        <v>0.86439999999999995</v>
      </c>
      <c r="S354" s="64">
        <v>61350</v>
      </c>
      <c r="T354" s="60">
        <f t="shared" si="145"/>
        <v>1.4089649551752241E-5</v>
      </c>
      <c r="U354" s="56"/>
      <c r="V354" s="60">
        <f t="shared" si="139"/>
        <v>0</v>
      </c>
      <c r="W354" s="19">
        <f t="shared" si="140"/>
        <v>3.3438285285992286E-6</v>
      </c>
      <c r="X354" s="20">
        <f t="shared" si="141"/>
        <v>4.093849267564036E-4</v>
      </c>
      <c r="AJ354">
        <v>0</v>
      </c>
      <c r="AK354">
        <v>2E-3</v>
      </c>
      <c r="AM354">
        <v>0</v>
      </c>
      <c r="AN354">
        <v>0</v>
      </c>
    </row>
    <row r="355" spans="6:40">
      <c r="F355" s="15" t="s">
        <v>261</v>
      </c>
      <c r="G355" s="40" t="s">
        <v>139</v>
      </c>
      <c r="H355" s="40" t="s">
        <v>82</v>
      </c>
      <c r="I355" s="40">
        <v>298.14999999999998</v>
      </c>
      <c r="J355" s="41">
        <v>8.5000000000000006E-2</v>
      </c>
      <c r="K355" s="62">
        <v>8.01</v>
      </c>
      <c r="L355" s="41">
        <v>1.6410000000000001E-2</v>
      </c>
      <c r="M355" s="41">
        <v>0.24329999999999999</v>
      </c>
      <c r="N355" s="45">
        <f t="shared" ref="N355:N381" si="146">10^(-(1.824*10^6)/(78.54*I355)^(3/2))*SQRT(M355)</f>
        <v>0.15277397845683985</v>
      </c>
      <c r="O355" s="62">
        <v>2.11</v>
      </c>
      <c r="P355" s="42">
        <v>122.43</v>
      </c>
      <c r="Q355" s="41">
        <v>2.7980999999999999E-2</v>
      </c>
      <c r="R355" s="53">
        <v>7.8450000000000006E-2</v>
      </c>
      <c r="S355" s="53">
        <v>2404</v>
      </c>
      <c r="T355" s="45">
        <f t="shared" si="145"/>
        <v>3.2633111480865227E-5</v>
      </c>
      <c r="U355" s="41"/>
      <c r="V355" s="45">
        <f t="shared" ref="V355:V381" si="147">U355/($C$2*N355*Q355)</f>
        <v>0</v>
      </c>
      <c r="W355" s="19">
        <f t="shared" si="140"/>
        <v>7.7446588537119196E-6</v>
      </c>
      <c r="X355" s="20">
        <f t="shared" si="141"/>
        <v>9.4817858345995043E-4</v>
      </c>
      <c r="AJ355">
        <v>31</v>
      </c>
      <c r="AK355">
        <v>3.0000000000000001E-3</v>
      </c>
      <c r="AM355">
        <v>49</v>
      </c>
      <c r="AN355">
        <v>-1E-3</v>
      </c>
    </row>
    <row r="356" spans="6:40">
      <c r="F356" s="15" t="s">
        <v>261</v>
      </c>
      <c r="G356" s="14" t="s">
        <v>139</v>
      </c>
      <c r="H356" s="14" t="s">
        <v>82</v>
      </c>
      <c r="I356" s="14">
        <v>298.14999999999998</v>
      </c>
      <c r="J356" s="21">
        <v>8.5000000000000006E-2</v>
      </c>
      <c r="K356" s="33">
        <v>8.01</v>
      </c>
      <c r="L356" s="41">
        <v>1.6410000000000001E-2</v>
      </c>
      <c r="M356" s="41">
        <v>0.24329999999999999</v>
      </c>
      <c r="N356" s="19">
        <f t="shared" si="146"/>
        <v>0.15277397845683985</v>
      </c>
      <c r="O356" s="33">
        <v>1.05</v>
      </c>
      <c r="P356" s="42">
        <v>122.43</v>
      </c>
      <c r="Q356" s="41">
        <v>2.7980999999999999E-2</v>
      </c>
      <c r="R356" s="35">
        <v>1.9539999999999998E-2</v>
      </c>
      <c r="S356" s="35">
        <v>655.8</v>
      </c>
      <c r="T356" s="19">
        <f t="shared" si="145"/>
        <v>2.9795669411405917E-5</v>
      </c>
      <c r="U356" s="21"/>
      <c r="V356" s="19">
        <f t="shared" si="147"/>
        <v>0</v>
      </c>
      <c r="W356" s="19">
        <f t="shared" si="140"/>
        <v>7.071262421440421E-6</v>
      </c>
      <c r="X356" s="20">
        <f t="shared" si="141"/>
        <v>8.6573465825695085E-4</v>
      </c>
      <c r="AJ356">
        <v>62</v>
      </c>
      <c r="AK356">
        <v>4.0000000000000001E-3</v>
      </c>
      <c r="AM356">
        <v>98</v>
      </c>
      <c r="AN356">
        <v>-1E-3</v>
      </c>
    </row>
    <row r="357" spans="6:40" ht="15.75" thickBot="1">
      <c r="F357" s="15" t="s">
        <v>261</v>
      </c>
      <c r="G357" s="55" t="s">
        <v>139</v>
      </c>
      <c r="H357" s="55" t="s">
        <v>82</v>
      </c>
      <c r="I357" s="55">
        <v>298.14999999999998</v>
      </c>
      <c r="J357" s="56">
        <v>8.5000000000000006E-2</v>
      </c>
      <c r="K357" s="63">
        <v>8.01</v>
      </c>
      <c r="L357" s="56">
        <v>1.6410000000000001E-2</v>
      </c>
      <c r="M357" s="56">
        <v>0.24329999999999999</v>
      </c>
      <c r="N357" s="60">
        <f t="shared" si="146"/>
        <v>0.15277397845683985</v>
      </c>
      <c r="O357" s="63">
        <v>0.42</v>
      </c>
      <c r="P357" s="57">
        <v>122.43</v>
      </c>
      <c r="Q357" s="56">
        <v>2.7980999999999999E-2</v>
      </c>
      <c r="R357" s="64">
        <v>1.337E-2</v>
      </c>
      <c r="S357" s="64">
        <v>463.6</v>
      </c>
      <c r="T357" s="60">
        <f t="shared" si="145"/>
        <v>2.8839516824849006E-5</v>
      </c>
      <c r="U357" s="56"/>
      <c r="V357" s="60">
        <f t="shared" si="147"/>
        <v>0</v>
      </c>
      <c r="W357" s="19">
        <f t="shared" si="140"/>
        <v>6.8443433426599748E-6</v>
      </c>
      <c r="X357" s="20">
        <f t="shared" si="141"/>
        <v>8.3795295544186071E-4</v>
      </c>
      <c r="AJ357">
        <v>93</v>
      </c>
      <c r="AK357">
        <v>5.0000000000000001E-3</v>
      </c>
      <c r="AM357">
        <v>147</v>
      </c>
      <c r="AN357">
        <v>-1E-3</v>
      </c>
    </row>
    <row r="358" spans="6:40">
      <c r="F358" s="15" t="s">
        <v>261</v>
      </c>
      <c r="G358" s="40" t="s">
        <v>140</v>
      </c>
      <c r="H358" s="40" t="s">
        <v>82</v>
      </c>
      <c r="I358" s="40">
        <v>298.14999999999998</v>
      </c>
      <c r="J358" s="41">
        <v>7.4999999999999997E-2</v>
      </c>
      <c r="K358" s="62">
        <v>7.5</v>
      </c>
      <c r="L358" s="41">
        <v>0.1358</v>
      </c>
      <c r="M358" s="41">
        <v>0.19650000000000001</v>
      </c>
      <c r="N358" s="45">
        <f t="shared" si="146"/>
        <v>0.13729654587184204</v>
      </c>
      <c r="O358" s="62">
        <v>6.33</v>
      </c>
      <c r="P358" s="42">
        <v>122.43</v>
      </c>
      <c r="Q358" s="41">
        <v>2.7961E-2</v>
      </c>
      <c r="R358" s="53">
        <v>2.393E-2</v>
      </c>
      <c r="S358" s="53">
        <v>2319</v>
      </c>
      <c r="T358" s="45">
        <f t="shared" si="145"/>
        <v>1.0319103061664511E-5</v>
      </c>
      <c r="U358" s="41"/>
      <c r="V358" s="45">
        <f t="shared" si="147"/>
        <v>0</v>
      </c>
      <c r="W358" s="19">
        <f t="shared" si="140"/>
        <v>2.4507346409381457E-6</v>
      </c>
      <c r="X358" s="20">
        <f t="shared" si="141"/>
        <v>3.0004344209005722E-4</v>
      </c>
      <c r="AJ358">
        <v>124</v>
      </c>
      <c r="AK358">
        <v>6.0000000000000001E-3</v>
      </c>
      <c r="AM358">
        <v>196</v>
      </c>
      <c r="AN358">
        <v>0</v>
      </c>
    </row>
    <row r="359" spans="6:40">
      <c r="F359" s="15" t="s">
        <v>261</v>
      </c>
      <c r="G359" s="14" t="s">
        <v>140</v>
      </c>
      <c r="H359" s="14" t="s">
        <v>82</v>
      </c>
      <c r="I359" s="14">
        <v>298.14999999999998</v>
      </c>
      <c r="J359" s="21">
        <v>7.4999999999999997E-2</v>
      </c>
      <c r="K359" s="33">
        <v>7.5</v>
      </c>
      <c r="L359" s="41">
        <v>0.1358</v>
      </c>
      <c r="M359" s="41">
        <v>0.19650000000000001</v>
      </c>
      <c r="N359" s="19">
        <f t="shared" si="146"/>
        <v>0.13729654587184204</v>
      </c>
      <c r="O359" s="33">
        <v>3.16</v>
      </c>
      <c r="P359" s="42">
        <v>122.43</v>
      </c>
      <c r="Q359" s="41">
        <v>2.7961E-2</v>
      </c>
      <c r="R359" s="35">
        <v>3.7319999999999999E-2</v>
      </c>
      <c r="S359" s="35">
        <v>3738</v>
      </c>
      <c r="T359" s="19">
        <f t="shared" si="145"/>
        <v>9.9839486356340293E-6</v>
      </c>
      <c r="U359" s="21"/>
      <c r="V359" s="19">
        <f t="shared" si="147"/>
        <v>0</v>
      </c>
      <c r="W359" s="19">
        <f t="shared" si="140"/>
        <v>2.3711371645849878E-6</v>
      </c>
      <c r="X359" s="20">
        <f t="shared" si="141"/>
        <v>2.9029832306014009E-4</v>
      </c>
      <c r="AJ359">
        <v>155</v>
      </c>
      <c r="AK359">
        <v>6.0000000000000001E-3</v>
      </c>
      <c r="AM359">
        <v>245</v>
      </c>
      <c r="AN359">
        <v>0</v>
      </c>
    </row>
    <row r="360" spans="6:40">
      <c r="F360" s="15" t="s">
        <v>261</v>
      </c>
      <c r="G360" s="14" t="s">
        <v>140</v>
      </c>
      <c r="H360" s="14" t="s">
        <v>82</v>
      </c>
      <c r="I360" s="14">
        <v>298.14999999999998</v>
      </c>
      <c r="J360" s="21">
        <v>7.4999999999999997E-2</v>
      </c>
      <c r="K360" s="33">
        <v>7.5</v>
      </c>
      <c r="L360" s="41">
        <v>0.1358</v>
      </c>
      <c r="M360" s="41">
        <v>0.19650000000000001</v>
      </c>
      <c r="N360" s="19">
        <f t="shared" si="146"/>
        <v>0.13729654587184204</v>
      </c>
      <c r="O360" s="33">
        <v>1.27</v>
      </c>
      <c r="P360" s="42">
        <v>122.43</v>
      </c>
      <c r="Q360" s="41">
        <v>2.7961E-2</v>
      </c>
      <c r="R360" s="35">
        <v>4.8009999999999997E-2</v>
      </c>
      <c r="S360" s="35">
        <v>6295</v>
      </c>
      <c r="T360" s="19">
        <f t="shared" si="145"/>
        <v>7.6266878474980137E-6</v>
      </c>
      <c r="U360" s="21"/>
      <c r="V360" s="19">
        <f t="shared" si="147"/>
        <v>0</v>
      </c>
      <c r="W360" s="19">
        <f t="shared" si="140"/>
        <v>1.8112996829077542E-6</v>
      </c>
      <c r="X360" s="20">
        <f t="shared" si="141"/>
        <v>2.2175742017839636E-4</v>
      </c>
      <c r="AJ360">
        <v>186</v>
      </c>
      <c r="AK360">
        <v>8.0000000000000002E-3</v>
      </c>
      <c r="AM360">
        <v>294</v>
      </c>
      <c r="AN360">
        <v>0</v>
      </c>
    </row>
    <row r="361" spans="6:40" ht="15.75" thickBot="1">
      <c r="F361" s="15" t="s">
        <v>261</v>
      </c>
      <c r="G361" s="55" t="s">
        <v>140</v>
      </c>
      <c r="H361" s="55" t="s">
        <v>82</v>
      </c>
      <c r="I361" s="55">
        <v>298.14999999999998</v>
      </c>
      <c r="J361" s="56">
        <v>7.4999999999999997E-2</v>
      </c>
      <c r="K361" s="63">
        <v>7.5</v>
      </c>
      <c r="L361" s="56">
        <v>0.1358</v>
      </c>
      <c r="M361" s="56">
        <v>0.19650000000000001</v>
      </c>
      <c r="N361" s="60">
        <f t="shared" si="146"/>
        <v>0.13729654587184204</v>
      </c>
      <c r="O361" s="63">
        <v>0.32</v>
      </c>
      <c r="P361" s="57">
        <v>122.43</v>
      </c>
      <c r="Q361" s="56">
        <v>2.7961E-2</v>
      </c>
      <c r="R361" s="64">
        <v>6.5920000000000006E-2</v>
      </c>
      <c r="S361" s="64">
        <v>21260</v>
      </c>
      <c r="T361" s="60">
        <f t="shared" ref="T361:T381" si="148">R361/S361</f>
        <v>3.1006585136406398E-6</v>
      </c>
      <c r="U361" s="56"/>
      <c r="V361" s="60">
        <f t="shared" si="147"/>
        <v>0</v>
      </c>
      <c r="W361" s="19">
        <f t="shared" si="140"/>
        <v>7.3639067113582723E-7</v>
      </c>
      <c r="X361" s="20">
        <f t="shared" si="141"/>
        <v>9.0156309867159338E-5</v>
      </c>
      <c r="AJ361">
        <v>217</v>
      </c>
      <c r="AK361">
        <v>8.0000000000000002E-3</v>
      </c>
      <c r="AM361">
        <v>343</v>
      </c>
      <c r="AN361">
        <v>0</v>
      </c>
    </row>
    <row r="362" spans="6:40">
      <c r="F362" s="15" t="s">
        <v>261</v>
      </c>
      <c r="G362" s="40" t="s">
        <v>142</v>
      </c>
      <c r="H362" s="40" t="s">
        <v>82</v>
      </c>
      <c r="I362" s="40">
        <v>298.14999999999998</v>
      </c>
      <c r="J362" s="41">
        <v>8.7499999999999994E-2</v>
      </c>
      <c r="K362" s="62">
        <v>7.5</v>
      </c>
      <c r="L362" s="41">
        <v>0.15840000000000001</v>
      </c>
      <c r="M362" s="41">
        <v>0.2293</v>
      </c>
      <c r="N362" s="45">
        <f t="shared" si="146"/>
        <v>0.14831338987973672</v>
      </c>
      <c r="O362" s="62">
        <v>9.5399999999999991</v>
      </c>
      <c r="P362" s="42">
        <v>122.43</v>
      </c>
      <c r="Q362" s="41">
        <v>1.3990000000000001E-2</v>
      </c>
      <c r="R362" s="53">
        <v>2.6689999999999998E-2</v>
      </c>
      <c r="S362" s="53">
        <v>19440</v>
      </c>
      <c r="T362" s="45">
        <f t="shared" si="148"/>
        <v>1.3729423868312756E-6</v>
      </c>
      <c r="U362" s="41"/>
      <c r="V362" s="45">
        <f t="shared" si="147"/>
        <v>0</v>
      </c>
      <c r="W362" s="19">
        <f t="shared" si="140"/>
        <v>6.516908716124482E-7</v>
      </c>
      <c r="X362" s="20">
        <f t="shared" si="141"/>
        <v>7.9786513411512033E-5</v>
      </c>
      <c r="AJ362">
        <v>248</v>
      </c>
      <c r="AK362">
        <v>8.9999999999999993E-3</v>
      </c>
      <c r="AM362">
        <v>392</v>
      </c>
      <c r="AN362">
        <v>0</v>
      </c>
    </row>
    <row r="363" spans="6:40">
      <c r="F363" s="15" t="s">
        <v>261</v>
      </c>
      <c r="G363" s="40" t="s">
        <v>142</v>
      </c>
      <c r="H363" s="40" t="s">
        <v>82</v>
      </c>
      <c r="I363" s="40">
        <v>298.14999999999998</v>
      </c>
      <c r="J363" s="41">
        <v>8.7499999999999994E-2</v>
      </c>
      <c r="K363" s="62">
        <v>7.5</v>
      </c>
      <c r="L363" s="41">
        <v>0.15840000000000001</v>
      </c>
      <c r="M363" s="41">
        <v>0.2293</v>
      </c>
      <c r="N363" s="19">
        <f t="shared" si="146"/>
        <v>0.14831338987973672</v>
      </c>
      <c r="O363" s="33">
        <v>7.95</v>
      </c>
      <c r="P363" s="42">
        <v>122.43</v>
      </c>
      <c r="Q363" s="41">
        <v>1.3990000000000001E-2</v>
      </c>
      <c r="R363" s="35">
        <v>5.774E-2</v>
      </c>
      <c r="S363" s="35">
        <v>25680</v>
      </c>
      <c r="T363" s="19">
        <f t="shared" si="148"/>
        <v>2.248442367601246E-6</v>
      </c>
      <c r="U363" s="21"/>
      <c r="V363" s="19">
        <f t="shared" si="147"/>
        <v>0</v>
      </c>
      <c r="W363" s="19">
        <f t="shared" si="140"/>
        <v>1.0672620937097528E-6</v>
      </c>
      <c r="X363" s="20">
        <f t="shared" si="141"/>
        <v>1.3066489813288505E-4</v>
      </c>
      <c r="AJ363">
        <v>279</v>
      </c>
      <c r="AK363">
        <v>0.01</v>
      </c>
      <c r="AM363">
        <v>441</v>
      </c>
      <c r="AN363">
        <v>0</v>
      </c>
    </row>
    <row r="364" spans="6:40">
      <c r="F364" s="15" t="s">
        <v>261</v>
      </c>
      <c r="G364" s="40" t="s">
        <v>142</v>
      </c>
      <c r="H364" s="40" t="s">
        <v>82</v>
      </c>
      <c r="I364" s="40">
        <v>298.14999999999998</v>
      </c>
      <c r="J364" s="41">
        <v>8.7499999999999994E-2</v>
      </c>
      <c r="K364" s="62">
        <v>7.5</v>
      </c>
      <c r="L364" s="41">
        <v>0.15840000000000001</v>
      </c>
      <c r="M364" s="41">
        <v>0.2293</v>
      </c>
      <c r="N364" s="19">
        <f t="shared" si="146"/>
        <v>0.14831338987973672</v>
      </c>
      <c r="O364" s="33">
        <v>6.82</v>
      </c>
      <c r="P364" s="42">
        <v>122.43</v>
      </c>
      <c r="Q364" s="41">
        <v>1.3990000000000001E-2</v>
      </c>
      <c r="R364" s="35">
        <v>4.5370000000000001E-2</v>
      </c>
      <c r="S364" s="35">
        <v>23600</v>
      </c>
      <c r="T364" s="19">
        <f t="shared" si="148"/>
        <v>1.9224576271186443E-6</v>
      </c>
      <c r="U364" s="21"/>
      <c r="V364" s="19">
        <f t="shared" si="147"/>
        <v>0</v>
      </c>
      <c r="W364" s="19">
        <f t="shared" si="140"/>
        <v>9.1252779335227398E-7</v>
      </c>
      <c r="X364" s="20">
        <f t="shared" si="141"/>
        <v>1.1172077774011891E-4</v>
      </c>
      <c r="AJ364">
        <v>310</v>
      </c>
      <c r="AK364">
        <v>1.0999999999999999E-2</v>
      </c>
      <c r="AM364">
        <v>490</v>
      </c>
      <c r="AN364">
        <v>0</v>
      </c>
    </row>
    <row r="365" spans="6:40" ht="15.75" thickBot="1">
      <c r="F365" s="15" t="s">
        <v>261</v>
      </c>
      <c r="G365" s="55" t="s">
        <v>142</v>
      </c>
      <c r="H365" s="55" t="s">
        <v>82</v>
      </c>
      <c r="I365" s="55">
        <v>298.14999999999998</v>
      </c>
      <c r="J365" s="56">
        <v>8.7499999999999994E-2</v>
      </c>
      <c r="K365" s="63">
        <v>7.5</v>
      </c>
      <c r="L365" s="56">
        <v>0.15840000000000001</v>
      </c>
      <c r="M365" s="56">
        <v>0.2293</v>
      </c>
      <c r="N365" s="60">
        <f t="shared" si="146"/>
        <v>0.14831338987973672</v>
      </c>
      <c r="O365" s="63">
        <v>4.7699999999999996</v>
      </c>
      <c r="P365" s="57">
        <v>122.43</v>
      </c>
      <c r="Q365" s="56">
        <v>1.3990000000000001E-2</v>
      </c>
      <c r="R365" s="64">
        <v>2.5989999999999999E-2</v>
      </c>
      <c r="S365" s="64">
        <v>19310</v>
      </c>
      <c r="T365" s="60">
        <f t="shared" si="148"/>
        <v>1.3459347488348007E-6</v>
      </c>
      <c r="U365" s="56"/>
      <c r="V365" s="60">
        <f t="shared" si="147"/>
        <v>0</v>
      </c>
      <c r="W365" s="19">
        <f t="shared" si="140"/>
        <v>6.3887122869448259E-7</v>
      </c>
      <c r="X365" s="20">
        <f t="shared" si="141"/>
        <v>7.8217004529065504E-5</v>
      </c>
      <c r="AJ365">
        <v>341</v>
      </c>
      <c r="AK365">
        <v>1.2E-2</v>
      </c>
      <c r="AM365">
        <v>539</v>
      </c>
      <c r="AN365">
        <v>0</v>
      </c>
    </row>
    <row r="366" spans="6:40">
      <c r="F366" s="15" t="s">
        <v>261</v>
      </c>
      <c r="G366" s="40" t="s">
        <v>143</v>
      </c>
      <c r="H366" s="40" t="s">
        <v>82</v>
      </c>
      <c r="I366" s="40">
        <v>298.14999999999998</v>
      </c>
      <c r="J366" s="41">
        <v>7.4999999999999997E-2</v>
      </c>
      <c r="K366" s="62">
        <v>7.5</v>
      </c>
      <c r="L366" s="41">
        <v>0.1358</v>
      </c>
      <c r="M366" s="41">
        <v>0.19650000000000001</v>
      </c>
      <c r="N366" s="45">
        <f t="shared" si="146"/>
        <v>0.13729654587184204</v>
      </c>
      <c r="O366" s="62">
        <v>14.31</v>
      </c>
      <c r="P366" s="42">
        <v>122.43</v>
      </c>
      <c r="Q366" s="41">
        <v>2.7980999999999999E-2</v>
      </c>
      <c r="R366" s="53">
        <v>0.11459999999999999</v>
      </c>
      <c r="S366" s="53">
        <v>10200</v>
      </c>
      <c r="T366" s="45">
        <f t="shared" si="148"/>
        <v>1.1235294117647058E-5</v>
      </c>
      <c r="U366" s="41"/>
      <c r="V366" s="45">
        <f t="shared" si="147"/>
        <v>0</v>
      </c>
      <c r="W366" s="19">
        <f t="shared" si="140"/>
        <v>2.6664181291236677E-6</v>
      </c>
      <c r="X366" s="20">
        <f t="shared" si="141"/>
        <v>3.2644957154861066E-4</v>
      </c>
      <c r="AJ366">
        <v>372</v>
      </c>
      <c r="AK366">
        <v>1.2E-2</v>
      </c>
      <c r="AM366">
        <v>588</v>
      </c>
      <c r="AN366">
        <v>0</v>
      </c>
    </row>
    <row r="367" spans="6:40">
      <c r="F367" s="15" t="s">
        <v>261</v>
      </c>
      <c r="G367" s="14" t="s">
        <v>143</v>
      </c>
      <c r="H367" s="14" t="s">
        <v>82</v>
      </c>
      <c r="I367" s="40">
        <v>298.14999999999998</v>
      </c>
      <c r="J367" s="41">
        <v>7.4999999999999997E-2</v>
      </c>
      <c r="K367" s="62">
        <v>7.5</v>
      </c>
      <c r="L367" s="41">
        <v>0.1358</v>
      </c>
      <c r="M367" s="41">
        <v>0.19650000000000001</v>
      </c>
      <c r="N367" s="19">
        <f t="shared" si="146"/>
        <v>0.13729654587184204</v>
      </c>
      <c r="O367" s="33">
        <v>11.45</v>
      </c>
      <c r="P367" s="42">
        <v>122.43</v>
      </c>
      <c r="Q367" s="41">
        <v>2.7980999999999999E-2</v>
      </c>
      <c r="R367" s="35">
        <v>5.6840000000000002E-2</v>
      </c>
      <c r="S367" s="35">
        <v>4176</v>
      </c>
      <c r="T367" s="19">
        <f t="shared" si="148"/>
        <v>1.3611111111111111E-5</v>
      </c>
      <c r="U367" s="21"/>
      <c r="V367" s="19">
        <f t="shared" si="147"/>
        <v>0</v>
      </c>
      <c r="W367" s="19">
        <f t="shared" si="140"/>
        <v>3.2302593100058392E-6</v>
      </c>
      <c r="X367" s="20">
        <f t="shared" si="141"/>
        <v>3.9548064732401489E-4</v>
      </c>
      <c r="AJ367">
        <v>403</v>
      </c>
      <c r="AK367">
        <v>1.2999999999999999E-2</v>
      </c>
      <c r="AM367">
        <v>637</v>
      </c>
      <c r="AN367">
        <v>1E-3</v>
      </c>
    </row>
    <row r="368" spans="6:40">
      <c r="F368" s="15" t="s">
        <v>261</v>
      </c>
      <c r="G368" s="14" t="s">
        <v>143</v>
      </c>
      <c r="H368" s="14" t="s">
        <v>82</v>
      </c>
      <c r="I368" s="40">
        <v>298.14999999999998</v>
      </c>
      <c r="J368" s="41">
        <v>7.4999999999999997E-2</v>
      </c>
      <c r="K368" s="62">
        <v>7.5</v>
      </c>
      <c r="L368" s="41">
        <v>0.1358</v>
      </c>
      <c r="M368" s="41">
        <v>0.19650000000000001</v>
      </c>
      <c r="N368" s="19">
        <f t="shared" si="146"/>
        <v>0.13729654587184204</v>
      </c>
      <c r="O368" s="33">
        <v>9.5399999999999991</v>
      </c>
      <c r="P368" s="42">
        <v>122.43</v>
      </c>
      <c r="Q368" s="41">
        <v>2.7980999999999999E-2</v>
      </c>
      <c r="R368" s="35">
        <v>7.8810000000000005E-2</v>
      </c>
      <c r="S368" s="35">
        <v>5825</v>
      </c>
      <c r="T368" s="19">
        <f t="shared" si="148"/>
        <v>1.352961373390558E-5</v>
      </c>
      <c r="U368" s="21"/>
      <c r="V368" s="19">
        <f t="shared" si="147"/>
        <v>0</v>
      </c>
      <c r="W368" s="19">
        <f t="shared" si="140"/>
        <v>3.2109179307965905E-6</v>
      </c>
      <c r="X368" s="20">
        <f t="shared" si="141"/>
        <v>3.9311268226742662E-4</v>
      </c>
      <c r="AJ368">
        <v>434</v>
      </c>
      <c r="AK368">
        <v>1.4E-2</v>
      </c>
      <c r="AM368">
        <v>686</v>
      </c>
      <c r="AN368">
        <v>1E-3</v>
      </c>
    </row>
    <row r="369" spans="6:40" ht="15.75" thickBot="1">
      <c r="F369" s="15" t="s">
        <v>261</v>
      </c>
      <c r="G369" s="55" t="s">
        <v>143</v>
      </c>
      <c r="H369" s="55" t="s">
        <v>82</v>
      </c>
      <c r="I369" s="55">
        <v>298.14999999999998</v>
      </c>
      <c r="J369" s="56">
        <v>7.4999999999999997E-2</v>
      </c>
      <c r="K369" s="63">
        <v>7.5</v>
      </c>
      <c r="L369" s="56">
        <v>0.1358</v>
      </c>
      <c r="M369" s="56">
        <v>0.19650000000000001</v>
      </c>
      <c r="N369" s="60">
        <f t="shared" si="146"/>
        <v>0.13729654587184204</v>
      </c>
      <c r="O369" s="63">
        <v>6.36</v>
      </c>
      <c r="P369" s="57">
        <v>122.43</v>
      </c>
      <c r="Q369" s="56">
        <v>2.7980999999999999E-2</v>
      </c>
      <c r="R369" s="64">
        <v>5.9380000000000002E-2</v>
      </c>
      <c r="S369" s="64">
        <v>4844</v>
      </c>
      <c r="T369" s="60">
        <f t="shared" si="148"/>
        <v>1.2258464079273328E-5</v>
      </c>
      <c r="U369" s="56"/>
      <c r="V369" s="60">
        <f t="shared" si="147"/>
        <v>0</v>
      </c>
      <c r="W369" s="19">
        <f t="shared" si="140"/>
        <v>2.9092421180898242E-6</v>
      </c>
      <c r="X369" s="20">
        <f t="shared" si="141"/>
        <v>3.561785125177372E-4</v>
      </c>
      <c r="AJ369">
        <v>465</v>
      </c>
      <c r="AK369">
        <v>1.4999999999999999E-2</v>
      </c>
      <c r="AM369">
        <v>735</v>
      </c>
      <c r="AN369">
        <v>0</v>
      </c>
    </row>
    <row r="370" spans="6:40">
      <c r="G370" s="40" t="s">
        <v>131</v>
      </c>
      <c r="H370" s="40" t="s">
        <v>84</v>
      </c>
      <c r="I370" s="40">
        <v>298.14999999999998</v>
      </c>
      <c r="J370" s="41">
        <v>0.09</v>
      </c>
      <c r="K370" s="62">
        <v>9</v>
      </c>
      <c r="L370" s="41">
        <v>3.2870000000000003E-2</v>
      </c>
      <c r="M370" s="41">
        <v>3.2870000000000003E-2</v>
      </c>
      <c r="N370" s="45">
        <f t="shared" si="146"/>
        <v>5.6153675246234123E-2</v>
      </c>
      <c r="O370" s="42">
        <v>0.6</v>
      </c>
      <c r="P370" s="42">
        <v>122.43</v>
      </c>
      <c r="Q370" s="41">
        <v>1.3990000000000001E-2</v>
      </c>
      <c r="R370" s="53">
        <v>0.21540000000000001</v>
      </c>
      <c r="S370" s="53">
        <v>16000</v>
      </c>
      <c r="T370" s="45">
        <f t="shared" si="148"/>
        <v>1.34625E-5</v>
      </c>
      <c r="U370" s="41"/>
      <c r="V370" s="45">
        <f t="shared" si="147"/>
        <v>0</v>
      </c>
      <c r="W370" s="19">
        <f t="shared" si="140"/>
        <v>6.3902086811751756E-6</v>
      </c>
      <c r="X370" s="20">
        <f t="shared" si="141"/>
        <v>7.8235324883627684E-4</v>
      </c>
      <c r="AJ370">
        <v>496</v>
      </c>
      <c r="AK370">
        <v>1.4999999999999999E-2</v>
      </c>
      <c r="AM370">
        <v>784</v>
      </c>
      <c r="AN370">
        <v>0</v>
      </c>
    </row>
    <row r="371" spans="6:40">
      <c r="G371" s="14" t="s">
        <v>131</v>
      </c>
      <c r="H371" s="40" t="s">
        <v>84</v>
      </c>
      <c r="I371" s="40">
        <v>298.14999999999998</v>
      </c>
      <c r="J371" s="21">
        <v>0.08</v>
      </c>
      <c r="K371" s="33">
        <v>9</v>
      </c>
      <c r="L371" s="21">
        <v>2.9219999999999999E-2</v>
      </c>
      <c r="M371" s="21">
        <v>2.9219999999999999E-2</v>
      </c>
      <c r="N371" s="19">
        <f t="shared" si="146"/>
        <v>5.2944206019270829E-2</v>
      </c>
      <c r="O371" s="36">
        <v>2.98</v>
      </c>
      <c r="P371" s="42">
        <v>122.43</v>
      </c>
      <c r="Q371" s="41">
        <v>1.3990000000000001E-2</v>
      </c>
      <c r="R371" s="35">
        <v>0.10979999999999999</v>
      </c>
      <c r="S371" s="35">
        <v>2323</v>
      </c>
      <c r="T371" s="19">
        <f t="shared" si="148"/>
        <v>4.7266465777012484E-5</v>
      </c>
      <c r="U371" s="21"/>
      <c r="V371" s="19">
        <f t="shared" si="147"/>
        <v>0</v>
      </c>
      <c r="W371" s="19">
        <f t="shared" si="140"/>
        <v>2.243584623485493E-5</v>
      </c>
      <c r="X371" s="20">
        <f t="shared" si="141"/>
        <v>2.7468206545332892E-3</v>
      </c>
      <c r="AJ371">
        <v>527</v>
      </c>
      <c r="AK371">
        <v>1.7000000000000001E-2</v>
      </c>
      <c r="AM371">
        <v>833</v>
      </c>
      <c r="AN371">
        <v>0</v>
      </c>
    </row>
    <row r="372" spans="6:40">
      <c r="G372" s="14" t="s">
        <v>131</v>
      </c>
      <c r="H372" s="40" t="s">
        <v>84</v>
      </c>
      <c r="I372" s="40">
        <v>298.14999999999998</v>
      </c>
      <c r="J372" s="21">
        <v>7.0000000000000007E-2</v>
      </c>
      <c r="K372" s="33">
        <v>9</v>
      </c>
      <c r="L372" s="21">
        <v>2.5569999999999999E-2</v>
      </c>
      <c r="M372" s="21">
        <v>2.5569999999999999E-2</v>
      </c>
      <c r="N372" s="19">
        <f t="shared" si="146"/>
        <v>4.9527191101075591E-2</v>
      </c>
      <c r="O372" s="36">
        <v>5.37</v>
      </c>
      <c r="P372" s="42">
        <v>122.43</v>
      </c>
      <c r="Q372" s="41">
        <v>1.3990000000000001E-2</v>
      </c>
      <c r="R372" s="35">
        <v>9.6790000000000001E-2</v>
      </c>
      <c r="S372" s="35">
        <v>1470</v>
      </c>
      <c r="T372" s="19">
        <f t="shared" si="148"/>
        <v>6.584353741496599E-5</v>
      </c>
      <c r="U372" s="21"/>
      <c r="V372" s="19">
        <f t="shared" si="147"/>
        <v>0</v>
      </c>
      <c r="W372" s="19">
        <f t="shared" si="140"/>
        <v>3.1253774884932079E-5</v>
      </c>
      <c r="X372" s="20">
        <f t="shared" si="141"/>
        <v>3.8263996591622346E-3</v>
      </c>
      <c r="AJ372">
        <v>558</v>
      </c>
      <c r="AK372">
        <v>1.7000000000000001E-2</v>
      </c>
      <c r="AM372">
        <v>882</v>
      </c>
      <c r="AN372">
        <v>0</v>
      </c>
    </row>
    <row r="373" spans="6:40" ht="15.75" thickBot="1">
      <c r="G373" s="55" t="s">
        <v>131</v>
      </c>
      <c r="H373" s="55" t="s">
        <v>84</v>
      </c>
      <c r="I373" s="55">
        <v>298.14999999999998</v>
      </c>
      <c r="J373" s="56">
        <v>0.06</v>
      </c>
      <c r="K373" s="63">
        <v>9</v>
      </c>
      <c r="L373" s="56">
        <v>2.1919999999999999E-2</v>
      </c>
      <c r="M373" s="56">
        <v>2.1919999999999999E-2</v>
      </c>
      <c r="N373" s="60">
        <f t="shared" si="146"/>
        <v>4.5856257650553303E-2</v>
      </c>
      <c r="O373" s="57">
        <v>7.75</v>
      </c>
      <c r="P373" s="57">
        <v>122.43</v>
      </c>
      <c r="Q373" s="56">
        <v>1.3990000000000001E-2</v>
      </c>
      <c r="R373" s="64">
        <v>7.6219999999999996E-2</v>
      </c>
      <c r="S373" s="64">
        <v>973.2</v>
      </c>
      <c r="T373" s="60">
        <f t="shared" si="148"/>
        <v>7.8318947801068632E-5</v>
      </c>
      <c r="U373" s="56"/>
      <c r="V373" s="60">
        <f t="shared" si="147"/>
        <v>0</v>
      </c>
      <c r="W373" s="19">
        <f t="shared" si="140"/>
        <v>3.7175444392861223E-5</v>
      </c>
      <c r="X373" s="20">
        <f t="shared" si="141"/>
        <v>4.5513896570180002E-3</v>
      </c>
      <c r="AJ373">
        <v>589</v>
      </c>
      <c r="AK373">
        <v>1.7999999999999999E-2</v>
      </c>
      <c r="AM373">
        <v>931</v>
      </c>
      <c r="AN373">
        <v>1E-3</v>
      </c>
    </row>
    <row r="374" spans="6:40">
      <c r="G374" s="40" t="s">
        <v>144</v>
      </c>
      <c r="H374" s="40" t="s">
        <v>84</v>
      </c>
      <c r="I374" s="40">
        <v>298.14999999999998</v>
      </c>
      <c r="J374" s="41">
        <v>8.5000000000000006E-2</v>
      </c>
      <c r="K374" s="62">
        <v>9.01</v>
      </c>
      <c r="L374" s="41">
        <v>3.1050000000000001E-2</v>
      </c>
      <c r="M374" s="41">
        <v>3.1050000000000001E-2</v>
      </c>
      <c r="N374" s="45">
        <f t="shared" si="146"/>
        <v>5.45769342285818E-2</v>
      </c>
      <c r="O374" s="42">
        <v>2.06</v>
      </c>
      <c r="P374" s="42">
        <v>82.5</v>
      </c>
      <c r="Q374" s="41">
        <v>0.27980899999999997</v>
      </c>
      <c r="R374" s="53">
        <v>0.14230000000000001</v>
      </c>
      <c r="S374" s="53">
        <v>3969</v>
      </c>
      <c r="T374" s="45">
        <f t="shared" si="148"/>
        <v>3.5852859662383476E-5</v>
      </c>
      <c r="U374" s="41"/>
      <c r="V374" s="45">
        <f t="shared" si="147"/>
        <v>0</v>
      </c>
      <c r="W374" s="19">
        <f t="shared" si="140"/>
        <v>1.2627083774649175E-6</v>
      </c>
      <c r="X374" s="20">
        <f t="shared" si="141"/>
        <v>1.0417344114085569E-4</v>
      </c>
      <c r="AJ374">
        <v>620</v>
      </c>
      <c r="AK374">
        <v>1.9E-2</v>
      </c>
      <c r="AM374">
        <v>980</v>
      </c>
      <c r="AN374">
        <v>0</v>
      </c>
    </row>
    <row r="375" spans="6:40">
      <c r="G375" s="14" t="s">
        <v>144</v>
      </c>
      <c r="H375" s="40" t="s">
        <v>84</v>
      </c>
      <c r="I375" s="14">
        <v>298.14999999999998</v>
      </c>
      <c r="J375" s="21">
        <v>0.08</v>
      </c>
      <c r="K375" s="62">
        <v>9.01</v>
      </c>
      <c r="L375" s="21">
        <v>2.9219999999999999E-2</v>
      </c>
      <c r="M375" s="21">
        <v>2.9219999999999999E-2</v>
      </c>
      <c r="N375" s="19">
        <f t="shared" si="146"/>
        <v>5.2944206019270829E-2</v>
      </c>
      <c r="O375" s="36">
        <v>4.12</v>
      </c>
      <c r="P375" s="42">
        <v>82.5</v>
      </c>
      <c r="Q375" s="41">
        <v>0.27980899999999997</v>
      </c>
      <c r="R375" s="35">
        <v>0.8357</v>
      </c>
      <c r="S375" s="35">
        <v>19740</v>
      </c>
      <c r="T375" s="19">
        <f t="shared" si="148"/>
        <v>4.2335359675785209E-5</v>
      </c>
      <c r="U375" s="21"/>
      <c r="V375" s="19">
        <f t="shared" si="147"/>
        <v>0</v>
      </c>
      <c r="W375" s="19">
        <f t="shared" si="140"/>
        <v>1.4910167230451439E-6</v>
      </c>
      <c r="X375" s="20">
        <f t="shared" si="141"/>
        <v>1.2300887965122436E-4</v>
      </c>
      <c r="AJ375">
        <v>651</v>
      </c>
      <c r="AK375">
        <v>1.9E-2</v>
      </c>
      <c r="AM375">
        <v>1029</v>
      </c>
      <c r="AN375">
        <v>0</v>
      </c>
    </row>
    <row r="376" spans="6:40">
      <c r="G376" s="14" t="s">
        <v>144</v>
      </c>
      <c r="H376" s="40" t="s">
        <v>84</v>
      </c>
      <c r="I376" s="14">
        <v>298.14999999999998</v>
      </c>
      <c r="J376" s="21">
        <v>7.4999999999999997E-2</v>
      </c>
      <c r="K376" s="62">
        <v>9.01</v>
      </c>
      <c r="L376" s="21">
        <v>2.7390000000000001E-2</v>
      </c>
      <c r="M376" s="21">
        <v>2.7390000000000001E-2</v>
      </c>
      <c r="N376" s="19">
        <f t="shared" si="146"/>
        <v>5.1259498166008652E-2</v>
      </c>
      <c r="O376" s="36">
        <v>6.19</v>
      </c>
      <c r="P376" s="42">
        <v>82.5</v>
      </c>
      <c r="Q376" s="41">
        <v>0.27980899999999997</v>
      </c>
      <c r="R376" s="35">
        <v>0.83689999999999998</v>
      </c>
      <c r="S376" s="35">
        <v>17510</v>
      </c>
      <c r="T376" s="19">
        <f t="shared" si="148"/>
        <v>4.7795545402627072E-5</v>
      </c>
      <c r="U376" s="21"/>
      <c r="V376" s="19">
        <f t="shared" si="147"/>
        <v>0</v>
      </c>
      <c r="W376" s="19">
        <f t="shared" si="140"/>
        <v>1.6833199960538342E-6</v>
      </c>
      <c r="X376" s="20">
        <f t="shared" si="141"/>
        <v>1.3887389967444133E-4</v>
      </c>
      <c r="AJ376">
        <v>682</v>
      </c>
      <c r="AK376">
        <v>0.02</v>
      </c>
      <c r="AM376">
        <v>1078</v>
      </c>
      <c r="AN376">
        <v>0</v>
      </c>
    </row>
    <row r="377" spans="6:40" ht="15.75" thickBot="1">
      <c r="G377" s="55" t="s">
        <v>144</v>
      </c>
      <c r="H377" s="55" t="s">
        <v>84</v>
      </c>
      <c r="I377" s="55">
        <v>298.14999999999998</v>
      </c>
      <c r="J377" s="56">
        <v>7.0000000000000007E-2</v>
      </c>
      <c r="K377" s="63">
        <v>9.01</v>
      </c>
      <c r="L377" s="56">
        <v>2.5569999999999999E-2</v>
      </c>
      <c r="M377" s="56">
        <v>2.5569999999999999E-2</v>
      </c>
      <c r="N377" s="60">
        <f t="shared" si="146"/>
        <v>4.9527191101075591E-2</v>
      </c>
      <c r="O377" s="57">
        <v>8.25</v>
      </c>
      <c r="P377" s="57">
        <v>82.5</v>
      </c>
      <c r="Q377" s="56">
        <v>0.27980899999999997</v>
      </c>
      <c r="R377" s="64">
        <v>3.8889999999999998</v>
      </c>
      <c r="S377" s="64">
        <v>67190</v>
      </c>
      <c r="T377" s="60">
        <f t="shared" si="148"/>
        <v>5.7880636999553502E-5</v>
      </c>
      <c r="U377" s="56"/>
      <c r="V377" s="60">
        <f t="shared" si="147"/>
        <v>0</v>
      </c>
      <c r="W377" s="19">
        <f t="shared" si="140"/>
        <v>2.0385086690594914E-6</v>
      </c>
      <c r="X377" s="20">
        <f t="shared" si="141"/>
        <v>1.6817696519740805E-4</v>
      </c>
      <c r="AJ377">
        <v>713</v>
      </c>
      <c r="AK377">
        <v>2.1000000000000001E-2</v>
      </c>
      <c r="AM377">
        <v>1127</v>
      </c>
      <c r="AN377">
        <v>1E-3</v>
      </c>
    </row>
    <row r="378" spans="6:40">
      <c r="F378" s="15" t="s">
        <v>261</v>
      </c>
      <c r="G378" s="40" t="s">
        <v>145</v>
      </c>
      <c r="H378" s="40" t="s">
        <v>84</v>
      </c>
      <c r="I378" s="40">
        <v>298.14999999999998</v>
      </c>
      <c r="J378" s="41">
        <v>8.5000000000000006E-2</v>
      </c>
      <c r="K378" s="62">
        <v>9.6999999999999993</v>
      </c>
      <c r="L378" s="41">
        <v>6.3119999999999996E-2</v>
      </c>
      <c r="M378" s="41">
        <v>6.3119999999999996E-2</v>
      </c>
      <c r="N378" s="45">
        <f t="shared" si="146"/>
        <v>7.7814732541731463E-2</v>
      </c>
      <c r="O378" s="42">
        <v>2.06</v>
      </c>
      <c r="P378" s="42">
        <v>82.5</v>
      </c>
      <c r="Q378" s="41">
        <v>0.27980899999999997</v>
      </c>
      <c r="R378" s="53">
        <v>0.14099999999999999</v>
      </c>
      <c r="S378" s="53">
        <v>4657</v>
      </c>
      <c r="T378" s="45">
        <f t="shared" si="148"/>
        <v>3.0277002362035641E-5</v>
      </c>
      <c r="U378" s="41"/>
      <c r="V378" s="45">
        <f t="shared" si="147"/>
        <v>0</v>
      </c>
      <c r="W378" s="19">
        <f t="shared" si="140"/>
        <v>1.066331246296071E-6</v>
      </c>
      <c r="X378" s="20">
        <f t="shared" si="141"/>
        <v>8.7972327819425852E-5</v>
      </c>
      <c r="AJ378">
        <v>744</v>
      </c>
      <c r="AK378">
        <v>2.1999999999999999E-2</v>
      </c>
      <c r="AM378">
        <v>1176</v>
      </c>
      <c r="AN378">
        <v>0</v>
      </c>
    </row>
    <row r="379" spans="6:40">
      <c r="F379" s="15" t="s">
        <v>261</v>
      </c>
      <c r="G379" s="14" t="s">
        <v>145</v>
      </c>
      <c r="H379" s="40" t="s">
        <v>84</v>
      </c>
      <c r="I379" s="40">
        <v>298.14999999999998</v>
      </c>
      <c r="J379" s="21">
        <v>0.08</v>
      </c>
      <c r="K379" s="62">
        <v>9.6999999999999993</v>
      </c>
      <c r="L379" s="41">
        <v>6.3119999999999996E-2</v>
      </c>
      <c r="M379" s="41">
        <v>6.3119999999999996E-2</v>
      </c>
      <c r="N379" s="19">
        <f t="shared" si="146"/>
        <v>7.7814732541731463E-2</v>
      </c>
      <c r="O379" s="36">
        <v>4.12</v>
      </c>
      <c r="P379" s="42">
        <v>82.5</v>
      </c>
      <c r="Q379" s="41">
        <v>0.27980899999999997</v>
      </c>
      <c r="R379" s="35">
        <v>0.1242</v>
      </c>
      <c r="S379" s="35">
        <v>3708</v>
      </c>
      <c r="T379" s="19">
        <f t="shared" si="148"/>
        <v>3.3495145631067966E-5</v>
      </c>
      <c r="U379" s="21"/>
      <c r="V379" s="19">
        <f t="shared" si="147"/>
        <v>0</v>
      </c>
      <c r="W379" s="19">
        <f t="shared" si="140"/>
        <v>1.1796716186946755E-6</v>
      </c>
      <c r="X379" s="20">
        <f t="shared" si="141"/>
        <v>9.7322908542310735E-5</v>
      </c>
      <c r="AJ379">
        <v>775</v>
      </c>
      <c r="AK379">
        <v>2.1999999999999999E-2</v>
      </c>
      <c r="AM379">
        <v>1225</v>
      </c>
      <c r="AN379">
        <v>0</v>
      </c>
    </row>
    <row r="380" spans="6:40">
      <c r="F380" s="15" t="s">
        <v>261</v>
      </c>
      <c r="G380" s="14" t="s">
        <v>145</v>
      </c>
      <c r="H380" s="40" t="s">
        <v>84</v>
      </c>
      <c r="I380" s="40">
        <v>298.14999999999998</v>
      </c>
      <c r="J380" s="21">
        <v>7.4999999999999997E-2</v>
      </c>
      <c r="K380" s="62">
        <v>9.6999999999999993</v>
      </c>
      <c r="L380" s="41">
        <v>6.3119999999999996E-2</v>
      </c>
      <c r="M380" s="41">
        <v>6.3119999999999996E-2</v>
      </c>
      <c r="N380" s="19">
        <f t="shared" si="146"/>
        <v>7.7814732541731463E-2</v>
      </c>
      <c r="O380" s="36">
        <v>6.19</v>
      </c>
      <c r="P380" s="42">
        <v>82.5</v>
      </c>
      <c r="Q380" s="41">
        <v>0.27980899999999997</v>
      </c>
      <c r="R380" s="35">
        <v>0.13769999999999999</v>
      </c>
      <c r="S380" s="35">
        <v>3940</v>
      </c>
      <c r="T380" s="19">
        <f t="shared" si="148"/>
        <v>3.4949238578680202E-5</v>
      </c>
      <c r="U380" s="21"/>
      <c r="V380" s="19">
        <f t="shared" si="147"/>
        <v>0</v>
      </c>
      <c r="W380" s="19">
        <f t="shared" si="140"/>
        <v>1.2308835823665451E-6</v>
      </c>
      <c r="X380" s="20">
        <f t="shared" si="141"/>
        <v>1.0154789554523997E-4</v>
      </c>
      <c r="AJ380">
        <v>806</v>
      </c>
      <c r="AK380">
        <v>2.3E-2</v>
      </c>
      <c r="AM380">
        <v>1274</v>
      </c>
      <c r="AN380">
        <v>0</v>
      </c>
    </row>
    <row r="381" spans="6:40" ht="15.75" thickBot="1">
      <c r="F381" s="15" t="s">
        <v>261</v>
      </c>
      <c r="G381" s="14" t="s">
        <v>145</v>
      </c>
      <c r="H381" s="40" t="s">
        <v>84</v>
      </c>
      <c r="I381" s="40">
        <v>298.14999999999998</v>
      </c>
      <c r="J381" s="56">
        <v>7.0000000000000007E-2</v>
      </c>
      <c r="K381" s="63">
        <v>9.6999999999999993</v>
      </c>
      <c r="L381" s="56">
        <v>6.3119999999999996E-2</v>
      </c>
      <c r="M381" s="56">
        <v>6.3119999999999996E-2</v>
      </c>
      <c r="N381" s="19">
        <f t="shared" si="146"/>
        <v>7.7814732541731463E-2</v>
      </c>
      <c r="O381" s="57">
        <v>8.25</v>
      </c>
      <c r="P381" s="42">
        <v>82.5</v>
      </c>
      <c r="Q381" s="41">
        <v>0.27980899999999997</v>
      </c>
      <c r="R381" s="35">
        <v>6.8970000000000004E-2</v>
      </c>
      <c r="S381" s="35">
        <v>1042</v>
      </c>
      <c r="T381" s="19">
        <f t="shared" si="148"/>
        <v>6.6190019193857971E-5</v>
      </c>
      <c r="U381" s="21"/>
      <c r="V381" s="19">
        <f t="shared" si="147"/>
        <v>0</v>
      </c>
      <c r="W381" s="19">
        <f t="shared" si="140"/>
        <v>2.3311583100395814E-6</v>
      </c>
      <c r="X381" s="20">
        <f t="shared" si="141"/>
        <v>1.9232056057826548E-4</v>
      </c>
      <c r="AJ381">
        <v>837</v>
      </c>
      <c r="AK381">
        <v>2.3E-2</v>
      </c>
      <c r="AM381">
        <v>1323</v>
      </c>
      <c r="AN381">
        <v>1E-3</v>
      </c>
    </row>
    <row r="382" spans="6:40">
      <c r="AJ382">
        <v>868</v>
      </c>
      <c r="AK382">
        <v>2.4E-2</v>
      </c>
      <c r="AM382">
        <v>1372</v>
      </c>
      <c r="AN382">
        <v>1E-3</v>
      </c>
    </row>
    <row r="383" spans="6:40">
      <c r="AJ383">
        <v>899</v>
      </c>
      <c r="AK383">
        <v>2.5000000000000001E-2</v>
      </c>
      <c r="AM383">
        <v>1421</v>
      </c>
      <c r="AN383">
        <v>1E-3</v>
      </c>
    </row>
    <row r="384" spans="6:40">
      <c r="AJ384">
        <v>930</v>
      </c>
      <c r="AK384">
        <v>2.5000000000000001E-2</v>
      </c>
      <c r="AM384">
        <v>1470</v>
      </c>
      <c r="AN384">
        <v>1E-3</v>
      </c>
    </row>
    <row r="385" spans="2:40">
      <c r="AJ385">
        <v>961</v>
      </c>
      <c r="AK385">
        <v>2.5999999999999999E-2</v>
      </c>
      <c r="AM385">
        <v>1519</v>
      </c>
      <c r="AN385">
        <v>1E-3</v>
      </c>
    </row>
    <row r="386" spans="2:40">
      <c r="AJ386">
        <v>992</v>
      </c>
      <c r="AK386">
        <v>2.5999999999999999E-2</v>
      </c>
      <c r="AM386">
        <v>1568</v>
      </c>
      <c r="AN386">
        <v>1E-3</v>
      </c>
    </row>
    <row r="387" spans="2:40">
      <c r="AJ387">
        <v>1023</v>
      </c>
      <c r="AK387">
        <v>2.7E-2</v>
      </c>
      <c r="AM387">
        <v>1617</v>
      </c>
      <c r="AN387">
        <v>1E-3</v>
      </c>
    </row>
    <row r="388" spans="2:40">
      <c r="AJ388">
        <v>1054</v>
      </c>
      <c r="AK388">
        <v>2.7E-2</v>
      </c>
      <c r="AM388">
        <v>1666</v>
      </c>
      <c r="AN388">
        <v>1E-3</v>
      </c>
    </row>
    <row r="389" spans="2:40">
      <c r="AJ389">
        <v>1085</v>
      </c>
      <c r="AK389">
        <v>2.8000000000000001E-2</v>
      </c>
      <c r="AM389">
        <v>1715</v>
      </c>
      <c r="AN389">
        <v>1E-3</v>
      </c>
    </row>
    <row r="390" spans="2:40">
      <c r="AJ390">
        <v>1116</v>
      </c>
      <c r="AK390">
        <v>2.8000000000000001E-2</v>
      </c>
      <c r="AM390">
        <v>1764</v>
      </c>
      <c r="AN390">
        <v>1E-3</v>
      </c>
    </row>
    <row r="391" spans="2:40">
      <c r="G391" s="66" t="s">
        <v>32</v>
      </c>
      <c r="H391" s="66" t="s">
        <v>81</v>
      </c>
      <c r="I391" s="66" t="s">
        <v>35</v>
      </c>
      <c r="J391" s="66" t="s">
        <v>83</v>
      </c>
      <c r="K391" s="66" t="s">
        <v>2</v>
      </c>
      <c r="L391" s="66" t="s">
        <v>90</v>
      </c>
      <c r="M391" s="66" t="s">
        <v>80</v>
      </c>
      <c r="N391" s="66" t="s">
        <v>95</v>
      </c>
      <c r="O391" s="66" t="s">
        <v>21</v>
      </c>
      <c r="P391" s="66" t="s">
        <v>1</v>
      </c>
      <c r="Q391" s="66" t="s">
        <v>34</v>
      </c>
      <c r="R391" s="66" t="s">
        <v>16</v>
      </c>
      <c r="S391" s="66" t="s">
        <v>17</v>
      </c>
      <c r="T391" s="66" t="s">
        <v>18</v>
      </c>
      <c r="U391" s="66" t="s">
        <v>11</v>
      </c>
      <c r="V391" s="66" t="s">
        <v>111</v>
      </c>
      <c r="W391" s="66" t="s">
        <v>71</v>
      </c>
      <c r="X391" s="66" t="s">
        <v>146</v>
      </c>
      <c r="AJ391">
        <v>1147</v>
      </c>
      <c r="AK391">
        <v>2.9000000000000001E-2</v>
      </c>
      <c r="AM391">
        <v>1813</v>
      </c>
      <c r="AN391">
        <v>1E-3</v>
      </c>
    </row>
    <row r="392" spans="2:40">
      <c r="G392" s="14" t="s">
        <v>49</v>
      </c>
      <c r="H392" s="14" t="s">
        <v>82</v>
      </c>
      <c r="I392" s="14">
        <v>313.14999999999998</v>
      </c>
      <c r="J392" s="21">
        <f>0.00625/2</f>
        <v>3.1250000000000002E-3</v>
      </c>
      <c r="K392" s="33">
        <v>7</v>
      </c>
      <c r="L392" s="21">
        <v>4.927E-3</v>
      </c>
      <c r="M392" s="21">
        <v>6.7250000000000001E-3</v>
      </c>
      <c r="N392" s="19">
        <f t="shared" ref="N392:N403" si="149">10^(-(1.824*10^6)/(78.54*I392)^(3/2))*SQRT(M392)</f>
        <v>2.7603009423908628E-2</v>
      </c>
      <c r="O392" s="36">
        <v>8.2509999999999994</v>
      </c>
      <c r="P392" s="36">
        <v>82.5</v>
      </c>
      <c r="Q392" s="21">
        <v>0.24099999999999999</v>
      </c>
      <c r="R392" s="21">
        <v>0.1598</v>
      </c>
      <c r="S392" s="21">
        <v>10240</v>
      </c>
      <c r="T392" s="19">
        <f t="shared" ref="T392:T403" si="150">R392/S392</f>
        <v>1.5605468750000001E-5</v>
      </c>
      <c r="U392" s="21"/>
      <c r="V392" s="19">
        <f t="shared" ref="V392:V403" si="151">T392/($C$3*N392*Q392)</f>
        <v>3.115360906981847E-4</v>
      </c>
      <c r="W392" s="19">
        <f t="shared" ref="W392:W403" si="152">T392/(Q392*$C$3)</f>
        <v>8.5993336474296462E-6</v>
      </c>
      <c r="X392" s="19">
        <f t="shared" ref="X392:X403" si="153">T392/($C$3*L392*Q392)</f>
        <v>1.7453488222913835E-3</v>
      </c>
      <c r="AJ392">
        <v>1178</v>
      </c>
      <c r="AK392">
        <v>2.9000000000000001E-2</v>
      </c>
      <c r="AM392">
        <v>1862</v>
      </c>
      <c r="AN392">
        <v>1E-3</v>
      </c>
    </row>
    <row r="393" spans="2:40">
      <c r="G393" s="14" t="s">
        <v>49</v>
      </c>
      <c r="H393" s="14" t="s">
        <v>82</v>
      </c>
      <c r="I393" s="14">
        <v>313.14999999999998</v>
      </c>
      <c r="J393" s="21">
        <f>0.0125/2</f>
        <v>6.2500000000000003E-3</v>
      </c>
      <c r="K393" s="33">
        <v>7</v>
      </c>
      <c r="L393" s="21">
        <v>9.8390000000000005E-3</v>
      </c>
      <c r="M393" s="21">
        <v>1.3429999999999999E-2</v>
      </c>
      <c r="N393" s="19">
        <f t="shared" si="149"/>
        <v>3.9007516034720836E-2</v>
      </c>
      <c r="O393" s="36">
        <v>8.2509999999999994</v>
      </c>
      <c r="P393" s="36">
        <v>82.5</v>
      </c>
      <c r="Q393" s="21">
        <v>0.24099999999999999</v>
      </c>
      <c r="R393" s="21">
        <v>0.24890000000000001</v>
      </c>
      <c r="S393" s="21">
        <v>5118</v>
      </c>
      <c r="T393" s="19">
        <f t="shared" si="150"/>
        <v>4.8632278233685038E-5</v>
      </c>
      <c r="U393" s="21"/>
      <c r="V393" s="19">
        <f t="shared" si="151"/>
        <v>6.8701196467268078E-4</v>
      </c>
      <c r="W393" s="71">
        <f t="shared" si="152"/>
        <v>2.6798630228014659E-5</v>
      </c>
      <c r="X393" s="19">
        <f t="shared" si="153"/>
        <v>2.7237148315900654E-3</v>
      </c>
      <c r="AJ393">
        <v>1209</v>
      </c>
      <c r="AK393">
        <v>0.03</v>
      </c>
      <c r="AM393">
        <v>1911</v>
      </c>
      <c r="AN393">
        <v>1E-3</v>
      </c>
    </row>
    <row r="394" spans="2:40">
      <c r="G394" s="14" t="s">
        <v>49</v>
      </c>
      <c r="H394" s="14" t="s">
        <v>82</v>
      </c>
      <c r="I394" s="14">
        <v>313.14999999999998</v>
      </c>
      <c r="J394" s="21">
        <f>0.025/2</f>
        <v>1.2500000000000001E-2</v>
      </c>
      <c r="K394" s="33">
        <v>7</v>
      </c>
      <c r="L394" s="21">
        <v>1.968E-2</v>
      </c>
      <c r="M394" s="21">
        <v>2.6859999999999998E-2</v>
      </c>
      <c r="N394" s="19">
        <f t="shared" si="149"/>
        <v>5.5164958210788186E-2</v>
      </c>
      <c r="O394" s="36">
        <v>8.2509999999999994</v>
      </c>
      <c r="P394" s="36">
        <v>82.5</v>
      </c>
      <c r="Q394" s="21">
        <v>0.24099999999999999</v>
      </c>
      <c r="R394" s="21">
        <v>0.37330000000000002</v>
      </c>
      <c r="S394" s="21">
        <v>5678</v>
      </c>
      <c r="T394" s="19">
        <f t="shared" si="150"/>
        <v>6.5744980626981336E-5</v>
      </c>
      <c r="U394" s="21"/>
      <c r="V394" s="19">
        <f t="shared" si="151"/>
        <v>6.5673065590094489E-4</v>
      </c>
      <c r="W394" s="71">
        <f t="shared" si="152"/>
        <v>3.6228519188519142E-5</v>
      </c>
      <c r="X394" s="19">
        <f t="shared" si="153"/>
        <v>1.8408800400670294E-3</v>
      </c>
      <c r="AJ394">
        <v>1240</v>
      </c>
      <c r="AK394">
        <v>0.03</v>
      </c>
      <c r="AM394">
        <v>1960</v>
      </c>
      <c r="AN394">
        <v>1E-3</v>
      </c>
    </row>
    <row r="395" spans="2:40" ht="15.75" thickBot="1">
      <c r="G395" s="55" t="s">
        <v>49</v>
      </c>
      <c r="H395" s="55" t="s">
        <v>82</v>
      </c>
      <c r="I395" s="55">
        <v>313.14999999999998</v>
      </c>
      <c r="J395" s="56">
        <f>0.05/2</f>
        <v>2.5000000000000001E-2</v>
      </c>
      <c r="K395" s="63">
        <v>7</v>
      </c>
      <c r="L395" s="56">
        <v>3.9359999999999999E-2</v>
      </c>
      <c r="M395" s="56">
        <v>5.3710000000000001E-2</v>
      </c>
      <c r="N395" s="60">
        <f t="shared" si="149"/>
        <v>7.8007770466403697E-2</v>
      </c>
      <c r="O395" s="57">
        <v>8.2509999999999994</v>
      </c>
      <c r="P395" s="57">
        <v>82.5</v>
      </c>
      <c r="Q395" s="56">
        <v>0.24099999999999999</v>
      </c>
      <c r="R395" s="56">
        <v>0.43269999999999997</v>
      </c>
      <c r="S395" s="56">
        <v>4782</v>
      </c>
      <c r="T395" s="60">
        <f t="shared" si="150"/>
        <v>9.0485152655792546E-5</v>
      </c>
      <c r="U395" s="56"/>
      <c r="V395" s="19">
        <f t="shared" si="151"/>
        <v>6.3918627224882443E-4</v>
      </c>
      <c r="W395" s="71">
        <f t="shared" si="152"/>
        <v>4.9861496010862526E-5</v>
      </c>
      <c r="X395" s="19">
        <f t="shared" si="153"/>
        <v>1.266806301088987E-3</v>
      </c>
      <c r="AJ395">
        <v>1271</v>
      </c>
      <c r="AK395">
        <v>0.03</v>
      </c>
      <c r="AM395">
        <v>2009</v>
      </c>
      <c r="AN395">
        <v>1E-3</v>
      </c>
    </row>
    <row r="396" spans="2:40">
      <c r="G396" s="14" t="s">
        <v>33</v>
      </c>
      <c r="H396" s="14" t="s">
        <v>82</v>
      </c>
      <c r="I396" s="14">
        <v>313.14999999999998</v>
      </c>
      <c r="J396" s="21">
        <v>0.05</v>
      </c>
      <c r="K396" s="33">
        <v>7</v>
      </c>
      <c r="L396" s="21">
        <v>7.8710000000000002E-2</v>
      </c>
      <c r="M396" s="21">
        <v>0.1074</v>
      </c>
      <c r="N396" s="19">
        <f t="shared" si="149"/>
        <v>0.11030937655052031</v>
      </c>
      <c r="O396" s="36">
        <v>8.2509999999999994</v>
      </c>
      <c r="P396" s="36">
        <v>82.5</v>
      </c>
      <c r="Q396" s="21">
        <f t="shared" ref="Q396:Q403" si="154">0.35*0.241</f>
        <v>8.4349999999999994E-2</v>
      </c>
      <c r="R396" s="21">
        <v>1.0009999999999999</v>
      </c>
      <c r="S396" s="21">
        <v>23870</v>
      </c>
      <c r="T396" s="19">
        <f t="shared" si="150"/>
        <v>4.1935483870967739E-5</v>
      </c>
      <c r="U396" s="21"/>
      <c r="V396" s="19">
        <f t="shared" si="151"/>
        <v>5.9853446798287572E-4</v>
      </c>
      <c r="W396" s="19">
        <f t="shared" si="152"/>
        <v>6.6023964007188381E-5</v>
      </c>
      <c r="X396" s="19">
        <f t="shared" si="153"/>
        <v>8.3882561310111021E-4</v>
      </c>
      <c r="AJ396">
        <v>1302</v>
      </c>
      <c r="AK396">
        <v>3.1E-2</v>
      </c>
      <c r="AM396">
        <v>2058</v>
      </c>
      <c r="AN396">
        <v>1E-3</v>
      </c>
    </row>
    <row r="397" spans="2:40" ht="15.75" thickBot="1">
      <c r="G397" s="14" t="s">
        <v>33</v>
      </c>
      <c r="H397" s="14" t="s">
        <v>82</v>
      </c>
      <c r="I397" s="14">
        <v>313.14999999999998</v>
      </c>
      <c r="J397" s="21">
        <f>0.2/2</f>
        <v>0.1</v>
      </c>
      <c r="K397" s="33">
        <v>7</v>
      </c>
      <c r="L397" s="21">
        <v>0.15740000000000001</v>
      </c>
      <c r="M397" s="21">
        <v>0.21490000000000001</v>
      </c>
      <c r="N397" s="19">
        <f t="shared" si="149"/>
        <v>0.15603732523501493</v>
      </c>
      <c r="O397" s="36">
        <v>8.2509999999999994</v>
      </c>
      <c r="P397" s="36">
        <v>82.5</v>
      </c>
      <c r="Q397" s="21">
        <f t="shared" si="154"/>
        <v>8.4349999999999994E-2</v>
      </c>
      <c r="R397" s="21">
        <v>1.383</v>
      </c>
      <c r="S397" s="21">
        <v>24510</v>
      </c>
      <c r="T397" s="19">
        <f t="shared" si="150"/>
        <v>5.6425948592411261E-5</v>
      </c>
      <c r="U397" s="21"/>
      <c r="V397" s="19">
        <f t="shared" si="151"/>
        <v>5.6933817988788981E-4</v>
      </c>
      <c r="W397" s="71">
        <f t="shared" si="152"/>
        <v>8.8838006743878099E-5</v>
      </c>
      <c r="X397" s="19">
        <f t="shared" si="153"/>
        <v>5.644091915112966E-4</v>
      </c>
      <c r="AJ397">
        <v>1333</v>
      </c>
      <c r="AK397">
        <v>3.1E-2</v>
      </c>
      <c r="AM397">
        <v>2107</v>
      </c>
      <c r="AN397">
        <v>2E-3</v>
      </c>
    </row>
    <row r="398" spans="2:40">
      <c r="B398" s="51" t="s">
        <v>294</v>
      </c>
      <c r="C398" s="26"/>
      <c r="G398" s="14" t="s">
        <v>33</v>
      </c>
      <c r="H398" s="14" t="s">
        <v>82</v>
      </c>
      <c r="I398" s="14">
        <v>313.14999999999998</v>
      </c>
      <c r="J398" s="21">
        <f>0.3/2</f>
        <v>0.15</v>
      </c>
      <c r="K398" s="33">
        <v>7</v>
      </c>
      <c r="L398" s="21">
        <v>0.2361</v>
      </c>
      <c r="M398" s="21">
        <v>0.32229999999999998</v>
      </c>
      <c r="N398" s="19">
        <f t="shared" si="149"/>
        <v>0.19109109194690971</v>
      </c>
      <c r="O398" s="36">
        <v>8.2509999999999994</v>
      </c>
      <c r="P398" s="36">
        <v>82.5</v>
      </c>
      <c r="Q398" s="21">
        <f t="shared" si="154"/>
        <v>8.4349999999999994E-2</v>
      </c>
      <c r="R398" s="21">
        <v>1.401</v>
      </c>
      <c r="S398" s="21">
        <v>21630</v>
      </c>
      <c r="T398" s="19">
        <f t="shared" si="150"/>
        <v>6.4771151178918173E-5</v>
      </c>
      <c r="U398" s="21"/>
      <c r="V398" s="19">
        <f t="shared" si="151"/>
        <v>5.3365564851699148E-4</v>
      </c>
      <c r="W398" s="71">
        <f t="shared" si="152"/>
        <v>1.0197684059874813E-4</v>
      </c>
      <c r="X398" s="19">
        <f t="shared" si="153"/>
        <v>4.319222388765275E-4</v>
      </c>
      <c r="AJ398">
        <v>1364</v>
      </c>
      <c r="AK398">
        <v>3.1E-2</v>
      </c>
      <c r="AM398">
        <v>2156</v>
      </c>
      <c r="AN398">
        <v>2E-3</v>
      </c>
    </row>
    <row r="399" spans="2:40" ht="15.75" thickBot="1">
      <c r="B399" s="147" t="s">
        <v>2</v>
      </c>
      <c r="C399" s="148">
        <v>9.73</v>
      </c>
      <c r="G399" s="55" t="s">
        <v>33</v>
      </c>
      <c r="H399" s="55" t="s">
        <v>82</v>
      </c>
      <c r="I399" s="55">
        <v>313.14999999999998</v>
      </c>
      <c r="J399" s="56">
        <f>0.4/2</f>
        <v>0.2</v>
      </c>
      <c r="K399" s="63">
        <v>7</v>
      </c>
      <c r="L399" s="56">
        <v>0.31490000000000001</v>
      </c>
      <c r="M399" s="56">
        <v>0.42970000000000003</v>
      </c>
      <c r="N399" s="60">
        <f t="shared" si="149"/>
        <v>0.22064442883614077</v>
      </c>
      <c r="O399" s="57">
        <v>8.2509999999999994</v>
      </c>
      <c r="P399" s="57">
        <v>82.5</v>
      </c>
      <c r="Q399" s="56">
        <f t="shared" si="154"/>
        <v>8.4349999999999994E-2</v>
      </c>
      <c r="R399" s="56">
        <v>2.3069999999999999</v>
      </c>
      <c r="S399" s="56">
        <v>31550</v>
      </c>
      <c r="T399" s="60">
        <f t="shared" si="150"/>
        <v>7.3122028526148968E-5</v>
      </c>
      <c r="U399" s="56"/>
      <c r="V399" s="19">
        <f t="shared" si="151"/>
        <v>5.2176531038674971E-4</v>
      </c>
      <c r="W399" s="71">
        <f t="shared" si="152"/>
        <v>1.1512460889679609E-4</v>
      </c>
      <c r="X399" s="19">
        <f t="shared" si="153"/>
        <v>3.6559100951665956E-4</v>
      </c>
      <c r="AJ399">
        <v>1395</v>
      </c>
      <c r="AK399">
        <v>3.2000000000000001E-2</v>
      </c>
      <c r="AM399">
        <v>2205</v>
      </c>
      <c r="AN399">
        <v>2E-3</v>
      </c>
    </row>
    <row r="400" spans="2:40">
      <c r="B400" s="147" t="s">
        <v>289</v>
      </c>
      <c r="C400" s="148">
        <v>7.2</v>
      </c>
      <c r="G400" s="14" t="s">
        <v>33</v>
      </c>
      <c r="H400" s="14" t="s">
        <v>82</v>
      </c>
      <c r="I400" s="14">
        <v>313.14999999999998</v>
      </c>
      <c r="J400" s="21">
        <v>0.05</v>
      </c>
      <c r="K400" s="33">
        <v>7.5</v>
      </c>
      <c r="L400" s="21">
        <v>9.0499999999999997E-2</v>
      </c>
      <c r="M400" s="21">
        <v>0.13100000000000001</v>
      </c>
      <c r="N400" s="19">
        <f t="shared" si="149"/>
        <v>0.1218276697028117</v>
      </c>
      <c r="O400" s="36">
        <v>8.2509999999999994</v>
      </c>
      <c r="P400" s="36">
        <v>82.5</v>
      </c>
      <c r="Q400" s="21">
        <f t="shared" si="154"/>
        <v>8.4349999999999994E-2</v>
      </c>
      <c r="R400" s="21">
        <v>0.80020000000000002</v>
      </c>
      <c r="S400" s="21">
        <v>2581</v>
      </c>
      <c r="T400" s="19">
        <f t="shared" si="150"/>
        <v>3.1003487020534679E-4</v>
      </c>
      <c r="U400" s="21"/>
      <c r="V400" s="19">
        <f t="shared" si="151"/>
        <v>4.006678929859283E-3</v>
      </c>
      <c r="W400" s="19">
        <f t="shared" si="152"/>
        <v>4.8812435727211179E-4</v>
      </c>
      <c r="X400" s="19">
        <f t="shared" si="153"/>
        <v>5.3936393068741637E-3</v>
      </c>
      <c r="AJ400">
        <v>1426</v>
      </c>
      <c r="AK400">
        <v>3.2000000000000001E-2</v>
      </c>
      <c r="AM400">
        <v>2254</v>
      </c>
      <c r="AN400">
        <v>2E-3</v>
      </c>
    </row>
    <row r="401" spans="2:40">
      <c r="B401" s="147" t="s">
        <v>290</v>
      </c>
      <c r="C401" s="148">
        <v>12.37</v>
      </c>
      <c r="G401" s="14" t="s">
        <v>33</v>
      </c>
      <c r="H401" s="14" t="s">
        <v>82</v>
      </c>
      <c r="I401" s="14">
        <v>313.14999999999998</v>
      </c>
      <c r="J401" s="21">
        <f>0.2/2</f>
        <v>0.1</v>
      </c>
      <c r="K401" s="33">
        <v>7.5</v>
      </c>
      <c r="L401" s="21">
        <v>0.18099999999999999</v>
      </c>
      <c r="M401" s="21">
        <v>0.26200000000000001</v>
      </c>
      <c r="N401" s="19">
        <f t="shared" si="149"/>
        <v>0.17229034276602609</v>
      </c>
      <c r="O401" s="36">
        <v>8.2509999999999994</v>
      </c>
      <c r="P401" s="36">
        <v>82.5</v>
      </c>
      <c r="Q401" s="21">
        <f t="shared" si="154"/>
        <v>8.4349999999999994E-2</v>
      </c>
      <c r="R401" s="21">
        <v>0.46660000000000001</v>
      </c>
      <c r="S401" s="21">
        <v>2711</v>
      </c>
      <c r="T401" s="19">
        <f t="shared" si="150"/>
        <v>1.7211361121357432E-4</v>
      </c>
      <c r="U401" s="21"/>
      <c r="V401" s="19">
        <f t="shared" si="151"/>
        <v>1.5728026011375858E-3</v>
      </c>
      <c r="W401" s="71">
        <f t="shared" si="152"/>
        <v>2.7097869925329205E-4</v>
      </c>
      <c r="X401" s="19">
        <f t="shared" si="153"/>
        <v>1.4971198853773041E-3</v>
      </c>
      <c r="AJ401">
        <v>1457</v>
      </c>
      <c r="AK401">
        <v>3.3000000000000002E-2</v>
      </c>
      <c r="AM401">
        <v>2303</v>
      </c>
      <c r="AN401">
        <v>2E-3</v>
      </c>
    </row>
    <row r="402" spans="2:40">
      <c r="B402" s="147" t="s">
        <v>295</v>
      </c>
      <c r="C402" s="148">
        <v>11.75</v>
      </c>
      <c r="G402" s="14" t="s">
        <v>33</v>
      </c>
      <c r="H402" s="14" t="s">
        <v>82</v>
      </c>
      <c r="I402" s="14">
        <v>313.14999999999998</v>
      </c>
      <c r="J402" s="21">
        <f>0.3/2</f>
        <v>0.15</v>
      </c>
      <c r="K402" s="33">
        <v>7.5</v>
      </c>
      <c r="L402" s="21">
        <v>0.27150000000000002</v>
      </c>
      <c r="M402" s="21">
        <v>0.39300000000000002</v>
      </c>
      <c r="N402" s="19">
        <f t="shared" si="149"/>
        <v>0.21101171369298946</v>
      </c>
      <c r="O402" s="36">
        <v>8.2509999999999994</v>
      </c>
      <c r="P402" s="36">
        <v>82.5</v>
      </c>
      <c r="Q402" s="21">
        <f t="shared" si="154"/>
        <v>8.4349999999999994E-2</v>
      </c>
      <c r="R402" s="21">
        <v>0.60319999999999996</v>
      </c>
      <c r="S402" s="21">
        <v>1686</v>
      </c>
      <c r="T402" s="19">
        <f t="shared" si="150"/>
        <v>3.5776986951364172E-4</v>
      </c>
      <c r="U402" s="21"/>
      <c r="V402" s="19">
        <f t="shared" si="151"/>
        <v>2.66942138242467E-3</v>
      </c>
      <c r="W402" s="71">
        <f t="shared" si="152"/>
        <v>5.6327918047413853E-4</v>
      </c>
      <c r="X402" s="19">
        <f t="shared" si="153"/>
        <v>2.0746931140852246E-3</v>
      </c>
      <c r="AJ402">
        <v>1488</v>
      </c>
      <c r="AK402">
        <v>3.3000000000000002E-2</v>
      </c>
      <c r="AM402">
        <v>2352</v>
      </c>
      <c r="AN402">
        <v>2E-3</v>
      </c>
    </row>
    <row r="403" spans="2:40" ht="15.75" thickBot="1">
      <c r="B403" s="147" t="s">
        <v>296</v>
      </c>
      <c r="C403" s="148">
        <v>3.7999999999999999E-2</v>
      </c>
      <c r="G403" s="55" t="s">
        <v>33</v>
      </c>
      <c r="H403" s="55" t="s">
        <v>82</v>
      </c>
      <c r="I403" s="55">
        <v>313.14999999999998</v>
      </c>
      <c r="J403" s="56">
        <f>0.4/2</f>
        <v>0.2</v>
      </c>
      <c r="K403" s="63">
        <v>7.5</v>
      </c>
      <c r="L403" s="56">
        <v>0.36199999999999999</v>
      </c>
      <c r="M403" s="56">
        <v>0.52400000000000002</v>
      </c>
      <c r="N403" s="60">
        <f t="shared" si="149"/>
        <v>0.24365533940562339</v>
      </c>
      <c r="O403" s="57">
        <v>8.2509999999999994</v>
      </c>
      <c r="P403" s="57">
        <v>82.5</v>
      </c>
      <c r="Q403" s="56">
        <f t="shared" si="154"/>
        <v>8.4349999999999994E-2</v>
      </c>
      <c r="R403" s="56">
        <v>0.41670000000000001</v>
      </c>
      <c r="S403" s="56">
        <v>1090</v>
      </c>
      <c r="T403" s="60">
        <f t="shared" si="150"/>
        <v>3.8229357798165138E-4</v>
      </c>
      <c r="U403" s="56"/>
      <c r="V403" s="19">
        <f t="shared" si="151"/>
        <v>2.4702505606951299E-3</v>
      </c>
      <c r="W403" s="71">
        <f t="shared" si="152"/>
        <v>6.0188973878310336E-4</v>
      </c>
      <c r="X403" s="19">
        <f t="shared" si="153"/>
        <v>1.6626788364174127E-3</v>
      </c>
      <c r="AJ403">
        <v>1519</v>
      </c>
      <c r="AK403">
        <v>3.3000000000000002E-2</v>
      </c>
      <c r="AM403">
        <v>2401</v>
      </c>
      <c r="AN403">
        <v>2E-3</v>
      </c>
    </row>
    <row r="404" spans="2:40">
      <c r="B404" s="147" t="s">
        <v>297</v>
      </c>
      <c r="C404" s="148">
        <v>3.6712000000000002E-2</v>
      </c>
      <c r="AA404" s="2"/>
      <c r="AJ404">
        <v>1550</v>
      </c>
      <c r="AK404">
        <v>3.4000000000000002E-2</v>
      </c>
      <c r="AM404">
        <v>2450</v>
      </c>
      <c r="AN404">
        <v>3.0000000000000001E-3</v>
      </c>
    </row>
    <row r="405" spans="2:40">
      <c r="B405" s="149" t="s">
        <v>291</v>
      </c>
      <c r="C405" s="150">
        <f>(1/(1+10^(C399-C400)+10^(2*C399-C400-C401)))*C403</f>
        <v>1.115611385482952E-4</v>
      </c>
      <c r="AA405" s="2"/>
      <c r="AJ405">
        <v>1581</v>
      </c>
      <c r="AK405">
        <v>3.4000000000000002E-2</v>
      </c>
      <c r="AM405">
        <v>2499</v>
      </c>
      <c r="AN405">
        <v>2E-3</v>
      </c>
    </row>
    <row r="406" spans="2:40">
      <c r="B406" s="149" t="s">
        <v>292</v>
      </c>
      <c r="C406" s="150">
        <f>(10^(C399-C400)/(1+10^(C399-C400)+10^(2*C399-C400-C401)))*C403</f>
        <v>3.7801839849325773E-2</v>
      </c>
      <c r="AA406" s="2"/>
      <c r="AJ406">
        <v>1612</v>
      </c>
      <c r="AK406">
        <v>3.4000000000000002E-2</v>
      </c>
      <c r="AM406">
        <v>2548</v>
      </c>
      <c r="AN406">
        <v>2E-3</v>
      </c>
    </row>
    <row r="407" spans="2:40">
      <c r="B407" s="149" t="s">
        <v>293</v>
      </c>
      <c r="C407" s="150">
        <f>(10^(2*C399-C400-C401)/(1+10^(C399-C400)+10^(2*C399-C400-C401)))*C403</f>
        <v>8.6599012125928614E-5</v>
      </c>
      <c r="G407" s="15" t="s">
        <v>413</v>
      </c>
      <c r="AA407" s="2"/>
      <c r="AJ407">
        <v>1643</v>
      </c>
      <c r="AK407">
        <v>3.4000000000000002E-2</v>
      </c>
      <c r="AM407">
        <v>2597</v>
      </c>
      <c r="AN407">
        <v>3.0000000000000001E-3</v>
      </c>
    </row>
    <row r="408" spans="2:40">
      <c r="B408" s="149" t="s">
        <v>298</v>
      </c>
      <c r="C408" s="150">
        <f>(10^(C399-C402)/(1+10^(C399-C402)))*C404</f>
        <v>3.4728037633349756E-4</v>
      </c>
      <c r="G408" s="66" t="s">
        <v>32</v>
      </c>
      <c r="H408" s="66" t="s">
        <v>81</v>
      </c>
      <c r="I408" s="66" t="s">
        <v>35</v>
      </c>
      <c r="J408" s="66" t="s">
        <v>405</v>
      </c>
      <c r="K408" s="66" t="s">
        <v>406</v>
      </c>
      <c r="L408" s="143" t="s">
        <v>2</v>
      </c>
      <c r="M408" s="66" t="s">
        <v>90</v>
      </c>
      <c r="N408" s="143" t="s">
        <v>80</v>
      </c>
      <c r="O408" s="66" t="s">
        <v>0</v>
      </c>
      <c r="P408" s="66" t="s">
        <v>1</v>
      </c>
      <c r="Q408" s="66" t="s">
        <v>34</v>
      </c>
      <c r="R408" s="66" t="s">
        <v>16</v>
      </c>
      <c r="S408" s="66" t="s">
        <v>17</v>
      </c>
      <c r="T408" s="66" t="s">
        <v>18</v>
      </c>
      <c r="U408" s="66" t="s">
        <v>11</v>
      </c>
      <c r="V408" s="66" t="s">
        <v>276</v>
      </c>
      <c r="AA408" s="2"/>
      <c r="AJ408">
        <v>1674</v>
      </c>
      <c r="AK408">
        <v>3.5000000000000003E-2</v>
      </c>
      <c r="AM408">
        <v>2646</v>
      </c>
      <c r="AN408">
        <v>2E-3</v>
      </c>
    </row>
    <row r="409" spans="2:40">
      <c r="B409" s="147" t="s">
        <v>300</v>
      </c>
      <c r="C409" s="148">
        <v>-1</v>
      </c>
      <c r="G409" s="14" t="s">
        <v>407</v>
      </c>
      <c r="H409" s="14" t="s">
        <v>404</v>
      </c>
      <c r="I409" s="14">
        <f>25+273.15</f>
        <v>298.14999999999998</v>
      </c>
      <c r="J409" s="38">
        <f>0.075/2</f>
        <v>3.7499999999999999E-2</v>
      </c>
      <c r="K409" s="38">
        <f>0.075/2</f>
        <v>3.7499999999999999E-2</v>
      </c>
      <c r="L409" s="36">
        <v>7.53</v>
      </c>
      <c r="M409" s="21"/>
      <c r="N409" s="38">
        <f>0.09+0.218</f>
        <v>0.308</v>
      </c>
      <c r="O409" s="36">
        <v>10.816000000000001</v>
      </c>
      <c r="P409" s="14">
        <v>3.6709999999999998</v>
      </c>
      <c r="Q409" s="21">
        <v>3.4000000000000002E-2</v>
      </c>
      <c r="R409" s="14"/>
      <c r="S409" s="21"/>
      <c r="T409" s="19" t="e">
        <f t="shared" ref="T409:T434" si="155">R409/S409</f>
        <v>#DIV/0!</v>
      </c>
      <c r="U409" s="21">
        <v>4.7370000000000001E-7</v>
      </c>
      <c r="V409" s="19">
        <f t="shared" ref="V409:V454" si="156">U409/($C$2*Q409)</f>
        <v>1.1327116212338594E-5</v>
      </c>
      <c r="AA409" s="2"/>
      <c r="AJ409">
        <v>1705</v>
      </c>
      <c r="AK409">
        <v>3.5000000000000003E-2</v>
      </c>
      <c r="AM409">
        <v>2695</v>
      </c>
      <c r="AN409">
        <v>3.0000000000000001E-3</v>
      </c>
    </row>
    <row r="410" spans="2:40">
      <c r="B410" s="147" t="s">
        <v>301</v>
      </c>
      <c r="C410" s="148">
        <v>-2</v>
      </c>
      <c r="G410" s="14" t="s">
        <v>407</v>
      </c>
      <c r="H410" s="14" t="s">
        <v>404</v>
      </c>
      <c r="I410" s="14">
        <f t="shared" ref="I410:I454" si="157">25+273.15</f>
        <v>298.14999999999998</v>
      </c>
      <c r="J410" s="38">
        <f t="shared" ref="J410:K425" si="158">0.075/2</f>
        <v>3.7499999999999999E-2</v>
      </c>
      <c r="K410" s="38">
        <f t="shared" si="158"/>
        <v>3.7499999999999999E-2</v>
      </c>
      <c r="L410" s="36">
        <v>7.53</v>
      </c>
      <c r="M410" s="21"/>
      <c r="N410" s="38">
        <f>0.09+0.218</f>
        <v>0.308</v>
      </c>
      <c r="O410" s="36">
        <v>10.816000000000001</v>
      </c>
      <c r="P410" s="14">
        <v>36.712000000000003</v>
      </c>
      <c r="Q410" s="21">
        <v>3.4000000000000002E-2</v>
      </c>
      <c r="R410" s="14"/>
      <c r="S410" s="21"/>
      <c r="T410" s="19" t="e">
        <f t="shared" si="155"/>
        <v>#DIV/0!</v>
      </c>
      <c r="U410" s="21">
        <v>2.046E-6</v>
      </c>
      <c r="V410" s="19">
        <f t="shared" si="156"/>
        <v>4.8923959827833566E-5</v>
      </c>
      <c r="AA410" s="2"/>
      <c r="AJ410">
        <v>1736</v>
      </c>
      <c r="AK410">
        <v>3.5000000000000003E-2</v>
      </c>
      <c r="AM410">
        <v>2744</v>
      </c>
      <c r="AN410">
        <v>3.0000000000000001E-3</v>
      </c>
    </row>
    <row r="411" spans="2:40" ht="15.75" thickBot="1">
      <c r="B411" s="147" t="s">
        <v>302</v>
      </c>
      <c r="C411" s="148">
        <v>-3</v>
      </c>
      <c r="G411" s="55" t="s">
        <v>407</v>
      </c>
      <c r="H411" s="14" t="s">
        <v>404</v>
      </c>
      <c r="I411" s="55">
        <f t="shared" si="157"/>
        <v>298.14999999999998</v>
      </c>
      <c r="J411" s="38">
        <f t="shared" si="158"/>
        <v>3.7499999999999999E-2</v>
      </c>
      <c r="K411" s="38">
        <f t="shared" si="158"/>
        <v>3.7499999999999999E-2</v>
      </c>
      <c r="L411" s="57">
        <v>7.53</v>
      </c>
      <c r="M411" s="56"/>
      <c r="N411" s="38">
        <f>0.09+0.218</f>
        <v>0.308</v>
      </c>
      <c r="O411" s="57">
        <v>10.816000000000001</v>
      </c>
      <c r="P411" s="55">
        <v>73.424000000000007</v>
      </c>
      <c r="Q411" s="56">
        <v>3.4000000000000002E-2</v>
      </c>
      <c r="R411" s="55"/>
      <c r="S411" s="56"/>
      <c r="T411" s="60" t="e">
        <f t="shared" si="155"/>
        <v>#DIV/0!</v>
      </c>
      <c r="U411" s="56">
        <v>2.8949999999999998E-6</v>
      </c>
      <c r="V411" s="19">
        <f t="shared" si="156"/>
        <v>6.9225251076040169E-5</v>
      </c>
      <c r="AA411" s="2"/>
      <c r="AJ411">
        <v>1767</v>
      </c>
      <c r="AK411">
        <v>3.5000000000000003E-2</v>
      </c>
      <c r="AM411">
        <v>2793</v>
      </c>
      <c r="AN411">
        <v>3.0000000000000001E-3</v>
      </c>
    </row>
    <row r="412" spans="2:40" ht="15.75" thickBot="1">
      <c r="B412" s="151" t="s">
        <v>299</v>
      </c>
      <c r="C412" s="152">
        <f>0.5*((C409)^2*C405+(C410)^2*C406+(C411)^2*C407+(-1)^2*C408+ABS(C409)*C405+ABS(C410)*C406+ABS(C411)*C407+ABS(C409)*C408)</f>
        <v>0.11438395513561468</v>
      </c>
      <c r="G412" s="14" t="s">
        <v>408</v>
      </c>
      <c r="H412" s="14" t="s">
        <v>404</v>
      </c>
      <c r="I412" s="14">
        <f t="shared" si="157"/>
        <v>298.14999999999998</v>
      </c>
      <c r="J412" s="38">
        <f t="shared" si="158"/>
        <v>3.7499999999999999E-2</v>
      </c>
      <c r="K412" s="38">
        <f t="shared" si="158"/>
        <v>3.7499999999999999E-2</v>
      </c>
      <c r="L412" s="36">
        <v>7.6</v>
      </c>
      <c r="M412" s="21"/>
      <c r="N412" s="38">
        <f>0.092+0.22</f>
        <v>0.312</v>
      </c>
      <c r="O412" s="36">
        <v>10.816000000000001</v>
      </c>
      <c r="P412" s="14">
        <v>5.14</v>
      </c>
      <c r="Q412" s="21">
        <v>2.1000000000000001E-2</v>
      </c>
      <c r="R412" s="14"/>
      <c r="S412" s="21"/>
      <c r="T412" s="19" t="e">
        <f t="shared" si="155"/>
        <v>#DIV/0!</v>
      </c>
      <c r="U412" s="21">
        <v>3.2020000000000002E-7</v>
      </c>
      <c r="V412" s="19">
        <f t="shared" si="156"/>
        <v>1.2396438250096787E-5</v>
      </c>
      <c r="AJ412">
        <v>1798</v>
      </c>
      <c r="AK412">
        <v>3.5999999999999997E-2</v>
      </c>
      <c r="AM412">
        <v>2842</v>
      </c>
      <c r="AN412">
        <v>3.0000000000000001E-3</v>
      </c>
    </row>
    <row r="413" spans="2:40">
      <c r="G413" s="14" t="s">
        <v>408</v>
      </c>
      <c r="H413" s="14" t="s">
        <v>404</v>
      </c>
      <c r="I413" s="14">
        <f t="shared" si="157"/>
        <v>298.14999999999998</v>
      </c>
      <c r="J413" s="38">
        <f t="shared" si="158"/>
        <v>3.7499999999999999E-2</v>
      </c>
      <c r="K413" s="38">
        <f t="shared" si="158"/>
        <v>3.7499999999999999E-2</v>
      </c>
      <c r="L413" s="36">
        <v>7.6</v>
      </c>
      <c r="M413" s="21"/>
      <c r="N413" s="38">
        <f>0.092+0.22</f>
        <v>0.312</v>
      </c>
      <c r="O413" s="36">
        <v>10.816000000000001</v>
      </c>
      <c r="P413" s="14">
        <v>14.685</v>
      </c>
      <c r="Q413" s="21">
        <v>2.1000000000000001E-2</v>
      </c>
      <c r="R413" s="14"/>
      <c r="S413" s="21"/>
      <c r="T413" s="19" t="e">
        <f t="shared" si="155"/>
        <v>#DIV/0!</v>
      </c>
      <c r="U413" s="21">
        <v>8.1129999999999997E-7</v>
      </c>
      <c r="V413" s="19">
        <f t="shared" si="156"/>
        <v>3.1409214092140917E-5</v>
      </c>
      <c r="AJ413">
        <v>1829</v>
      </c>
      <c r="AK413">
        <v>3.6999999999999998E-2</v>
      </c>
      <c r="AM413">
        <v>2891</v>
      </c>
      <c r="AN413">
        <v>3.0000000000000001E-3</v>
      </c>
    </row>
    <row r="414" spans="2:40" ht="15.75" thickBot="1">
      <c r="G414" s="14" t="s">
        <v>408</v>
      </c>
      <c r="H414" s="14" t="s">
        <v>404</v>
      </c>
      <c r="I414" s="14">
        <f t="shared" si="157"/>
        <v>298.14999999999998</v>
      </c>
      <c r="J414" s="38">
        <f t="shared" si="158"/>
        <v>3.7499999999999999E-2</v>
      </c>
      <c r="K414" s="38">
        <f t="shared" si="158"/>
        <v>3.7499999999999999E-2</v>
      </c>
      <c r="L414" s="36">
        <v>7.6</v>
      </c>
      <c r="M414" s="21"/>
      <c r="N414" s="38">
        <f>0.092+0.22</f>
        <v>0.312</v>
      </c>
      <c r="O414" s="36">
        <v>10.816000000000001</v>
      </c>
      <c r="P414" s="14">
        <v>24.963999999999999</v>
      </c>
      <c r="Q414" s="21">
        <v>2.1000000000000001E-2</v>
      </c>
      <c r="R414" s="14"/>
      <c r="S414" s="21"/>
      <c r="T414" s="19" t="e">
        <f t="shared" si="155"/>
        <v>#DIV/0!</v>
      </c>
      <c r="U414" s="21">
        <v>1.006E-6</v>
      </c>
      <c r="V414" s="19">
        <f t="shared" si="156"/>
        <v>3.8946960898180404E-5</v>
      </c>
      <c r="AJ414">
        <v>1860</v>
      </c>
      <c r="AM414">
        <v>2940</v>
      </c>
      <c r="AN414">
        <v>3.0000000000000001E-3</v>
      </c>
    </row>
    <row r="415" spans="2:40" ht="15.75" thickBot="1">
      <c r="B415" s="51" t="s">
        <v>399</v>
      </c>
      <c r="C415" s="26"/>
      <c r="G415" s="55" t="s">
        <v>408</v>
      </c>
      <c r="H415" s="55" t="s">
        <v>404</v>
      </c>
      <c r="I415" s="55">
        <f t="shared" si="157"/>
        <v>298.14999999999998</v>
      </c>
      <c r="J415" s="65">
        <f t="shared" si="158"/>
        <v>3.7499999999999999E-2</v>
      </c>
      <c r="K415" s="65">
        <f t="shared" si="158"/>
        <v>3.7499999999999999E-2</v>
      </c>
      <c r="L415" s="57">
        <v>7.6</v>
      </c>
      <c r="M415" s="56"/>
      <c r="N415" s="65">
        <f>0.092+0.22</f>
        <v>0.312</v>
      </c>
      <c r="O415" s="57">
        <v>10.816000000000001</v>
      </c>
      <c r="P415" s="55">
        <v>35.244</v>
      </c>
      <c r="Q415" s="56">
        <v>2.1000000000000001E-2</v>
      </c>
      <c r="R415" s="55"/>
      <c r="S415" s="56"/>
      <c r="T415" s="60" t="e">
        <f t="shared" si="155"/>
        <v>#DIV/0!</v>
      </c>
      <c r="U415" s="56">
        <v>8.3720000000000001E-7</v>
      </c>
      <c r="V415" s="60">
        <f t="shared" si="156"/>
        <v>3.2411924119241191E-5</v>
      </c>
      <c r="AM415">
        <v>2989</v>
      </c>
      <c r="AN415">
        <v>3.0000000000000001E-3</v>
      </c>
    </row>
    <row r="416" spans="2:40">
      <c r="B416" s="147" t="s">
        <v>2</v>
      </c>
      <c r="C416" s="148">
        <v>9.73</v>
      </c>
      <c r="G416" s="40" t="s">
        <v>412</v>
      </c>
      <c r="H416" s="40" t="s">
        <v>404</v>
      </c>
      <c r="I416" s="40">
        <f t="shared" si="157"/>
        <v>298.14999999999998</v>
      </c>
      <c r="J416" s="61">
        <f t="shared" si="158"/>
        <v>3.7499999999999999E-2</v>
      </c>
      <c r="K416" s="61">
        <f t="shared" si="158"/>
        <v>3.7499999999999999E-2</v>
      </c>
      <c r="L416" s="42">
        <v>8.02</v>
      </c>
      <c r="M416" s="41"/>
      <c r="N416" s="61">
        <f>0.104+0.23</f>
        <v>0.33400000000000002</v>
      </c>
      <c r="O416" s="42">
        <v>10.816000000000001</v>
      </c>
      <c r="P416" s="40">
        <v>5.14</v>
      </c>
      <c r="Q416" s="41">
        <v>2.1000000000000001E-2</v>
      </c>
      <c r="R416" s="40"/>
      <c r="S416" s="41"/>
      <c r="T416" s="45" t="e">
        <f t="shared" si="155"/>
        <v>#DIV/0!</v>
      </c>
      <c r="U416" s="41">
        <v>6.0979999999999997E-7</v>
      </c>
      <c r="V416" s="45">
        <f t="shared" si="156"/>
        <v>2.3608207510646533E-5</v>
      </c>
      <c r="AM416">
        <v>3038</v>
      </c>
      <c r="AN416">
        <v>3.0000000000000001E-3</v>
      </c>
    </row>
    <row r="417" spans="2:40">
      <c r="B417" s="147" t="s">
        <v>289</v>
      </c>
      <c r="C417" s="148">
        <v>6.6</v>
      </c>
      <c r="G417" s="14" t="s">
        <v>412</v>
      </c>
      <c r="H417" s="14" t="s">
        <v>404</v>
      </c>
      <c r="I417" s="14">
        <f t="shared" si="157"/>
        <v>298.14999999999998</v>
      </c>
      <c r="J417" s="38">
        <f t="shared" si="158"/>
        <v>3.7499999999999999E-2</v>
      </c>
      <c r="K417" s="38">
        <f t="shared" si="158"/>
        <v>3.7499999999999999E-2</v>
      </c>
      <c r="L417" s="36">
        <v>8.02</v>
      </c>
      <c r="M417" s="21"/>
      <c r="N417" s="38">
        <f>0.104+0.23</f>
        <v>0.33400000000000002</v>
      </c>
      <c r="O417" s="36">
        <v>10.816000000000001</v>
      </c>
      <c r="P417" s="14">
        <v>14.685</v>
      </c>
      <c r="Q417" s="21">
        <v>2.1000000000000001E-2</v>
      </c>
      <c r="R417" s="14"/>
      <c r="S417" s="21"/>
      <c r="T417" s="19" t="e">
        <f t="shared" si="155"/>
        <v>#DIV/0!</v>
      </c>
      <c r="U417" s="21">
        <v>1.7489999999999999E-6</v>
      </c>
      <c r="V417" s="19">
        <f t="shared" si="156"/>
        <v>6.7711962833914041E-5</v>
      </c>
      <c r="AM417">
        <v>3087</v>
      </c>
      <c r="AN417">
        <v>3.0000000000000001E-3</v>
      </c>
    </row>
    <row r="418" spans="2:40">
      <c r="B418" s="147" t="s">
        <v>290</v>
      </c>
      <c r="C418" s="148">
        <v>9.4</v>
      </c>
      <c r="G418" s="14" t="s">
        <v>412</v>
      </c>
      <c r="H418" s="14" t="s">
        <v>404</v>
      </c>
      <c r="I418" s="14">
        <f t="shared" si="157"/>
        <v>298.14999999999998</v>
      </c>
      <c r="J418" s="38">
        <f t="shared" si="158"/>
        <v>3.7499999999999999E-2</v>
      </c>
      <c r="K418" s="38">
        <f t="shared" si="158"/>
        <v>3.7499999999999999E-2</v>
      </c>
      <c r="L418" s="36">
        <v>8.02</v>
      </c>
      <c r="M418" s="21"/>
      <c r="N418" s="38">
        <f>0.104+0.23</f>
        <v>0.33400000000000002</v>
      </c>
      <c r="O418" s="36">
        <v>10.816000000000001</v>
      </c>
      <c r="P418" s="14">
        <v>24.963999999999999</v>
      </c>
      <c r="Q418" s="21">
        <v>2.1000000000000001E-2</v>
      </c>
      <c r="R418" s="14"/>
      <c r="S418" s="21"/>
      <c r="T418" s="19" t="e">
        <f t="shared" si="155"/>
        <v>#DIV/0!</v>
      </c>
      <c r="U418" s="21">
        <v>2.2419999999999999E-6</v>
      </c>
      <c r="V418" s="19">
        <f t="shared" si="156"/>
        <v>8.6798296554394097E-5</v>
      </c>
      <c r="AM418">
        <v>3136</v>
      </c>
      <c r="AN418">
        <v>3.0000000000000001E-3</v>
      </c>
    </row>
    <row r="419" spans="2:40" ht="15.75" thickBot="1">
      <c r="B419" s="147" t="s">
        <v>295</v>
      </c>
      <c r="C419" s="148">
        <v>11.75</v>
      </c>
      <c r="G419" s="55" t="s">
        <v>412</v>
      </c>
      <c r="H419" s="55" t="s">
        <v>404</v>
      </c>
      <c r="I419" s="55">
        <f t="shared" si="157"/>
        <v>298.14999999999998</v>
      </c>
      <c r="J419" s="65">
        <f t="shared" si="158"/>
        <v>3.7499999999999999E-2</v>
      </c>
      <c r="K419" s="65">
        <f t="shared" si="158"/>
        <v>3.7499999999999999E-2</v>
      </c>
      <c r="L419" s="57">
        <v>8.02</v>
      </c>
      <c r="M419" s="56"/>
      <c r="N419" s="65">
        <f>0.104+0.23</f>
        <v>0.33400000000000002</v>
      </c>
      <c r="O419" s="57">
        <v>10.816000000000001</v>
      </c>
      <c r="P419" s="55">
        <v>35.244</v>
      </c>
      <c r="Q419" s="56">
        <v>2.1000000000000001E-2</v>
      </c>
      <c r="R419" s="55"/>
      <c r="S419" s="56"/>
      <c r="T419" s="60" t="e">
        <f t="shared" si="155"/>
        <v>#DIV/0!</v>
      </c>
      <c r="U419" s="56">
        <v>4.4689999999999999E-6</v>
      </c>
      <c r="V419" s="60">
        <f t="shared" si="156"/>
        <v>1.73015873015873E-4</v>
      </c>
      <c r="AM419">
        <v>3185</v>
      </c>
      <c r="AN419">
        <v>4.0000000000000001E-3</v>
      </c>
    </row>
    <row r="420" spans="2:40">
      <c r="B420" s="147" t="s">
        <v>403</v>
      </c>
      <c r="C420" s="148">
        <v>3.7999999999999999E-2</v>
      </c>
      <c r="G420" s="40" t="s">
        <v>409</v>
      </c>
      <c r="H420" s="40" t="s">
        <v>404</v>
      </c>
      <c r="I420" s="40">
        <f t="shared" si="157"/>
        <v>298.14999999999998</v>
      </c>
      <c r="J420" s="61">
        <f t="shared" si="158"/>
        <v>3.7499999999999999E-2</v>
      </c>
      <c r="K420" s="61">
        <f t="shared" si="158"/>
        <v>3.7499999999999999E-2</v>
      </c>
      <c r="L420" s="42">
        <v>8.16</v>
      </c>
      <c r="M420" s="41"/>
      <c r="N420" s="61">
        <f>0.107+0.233</f>
        <v>0.34</v>
      </c>
      <c r="O420" s="42">
        <v>10.816000000000001</v>
      </c>
      <c r="P420" s="40">
        <v>3.6709999999999998</v>
      </c>
      <c r="Q420" s="41">
        <v>3.4000000000000002E-2</v>
      </c>
      <c r="R420" s="40"/>
      <c r="S420" s="41"/>
      <c r="T420" s="45" t="e">
        <f t="shared" si="155"/>
        <v>#DIV/0!</v>
      </c>
      <c r="U420" s="41">
        <v>1.3549999999999999E-6</v>
      </c>
      <c r="V420" s="45">
        <f t="shared" si="156"/>
        <v>3.2400765184122426E-5</v>
      </c>
      <c r="AM420">
        <v>3234</v>
      </c>
      <c r="AN420">
        <v>3.0000000000000001E-3</v>
      </c>
    </row>
    <row r="421" spans="2:40">
      <c r="B421" s="147" t="s">
        <v>297</v>
      </c>
      <c r="C421" s="148">
        <v>3.6712000000000002E-2</v>
      </c>
      <c r="G421" s="14" t="s">
        <v>409</v>
      </c>
      <c r="H421" s="14" t="s">
        <v>404</v>
      </c>
      <c r="I421" s="14">
        <f t="shared" si="157"/>
        <v>298.14999999999998</v>
      </c>
      <c r="J421" s="38">
        <f t="shared" si="158"/>
        <v>3.7499999999999999E-2</v>
      </c>
      <c r="K421" s="38">
        <f t="shared" si="158"/>
        <v>3.7499999999999999E-2</v>
      </c>
      <c r="L421" s="36">
        <v>8.16</v>
      </c>
      <c r="M421" s="21"/>
      <c r="N421" s="38">
        <v>0.34</v>
      </c>
      <c r="O421" s="36">
        <v>10.816000000000001</v>
      </c>
      <c r="P421" s="14">
        <v>7.3419999999999996</v>
      </c>
      <c r="Q421" s="21">
        <v>3.4000000000000002E-2</v>
      </c>
      <c r="R421" s="14"/>
      <c r="S421" s="21"/>
      <c r="T421" s="19" t="e">
        <f t="shared" si="155"/>
        <v>#DIV/0!</v>
      </c>
      <c r="U421" s="21">
        <v>1.9829999999999999E-6</v>
      </c>
      <c r="V421" s="19">
        <f t="shared" si="156"/>
        <v>4.7417503586800566E-5</v>
      </c>
      <c r="AM421">
        <v>3283</v>
      </c>
      <c r="AN421">
        <v>3.0000000000000001E-3</v>
      </c>
    </row>
    <row r="422" spans="2:40" ht="15.75" thickBot="1">
      <c r="B422" s="149" t="s">
        <v>402</v>
      </c>
      <c r="C422" s="150">
        <f>(1/(1+10^(C416-C417)+10^(2*C416-C417-C418)))*C420</f>
        <v>8.9749764733222589E-6</v>
      </c>
      <c r="G422" s="55" t="s">
        <v>409</v>
      </c>
      <c r="H422" s="55" t="s">
        <v>404</v>
      </c>
      <c r="I422" s="55">
        <f t="shared" si="157"/>
        <v>298.14999999999998</v>
      </c>
      <c r="J422" s="65">
        <f t="shared" si="158"/>
        <v>3.7499999999999999E-2</v>
      </c>
      <c r="K422" s="65">
        <f t="shared" si="158"/>
        <v>3.7499999999999999E-2</v>
      </c>
      <c r="L422" s="57">
        <v>8.16</v>
      </c>
      <c r="M422" s="56"/>
      <c r="N422" s="65">
        <v>0.34</v>
      </c>
      <c r="O422" s="57">
        <v>10.816000000000001</v>
      </c>
      <c r="P422" s="55">
        <v>36.712000000000003</v>
      </c>
      <c r="Q422" s="56">
        <v>3.4000000000000002E-2</v>
      </c>
      <c r="R422" s="55"/>
      <c r="S422" s="56"/>
      <c r="T422" s="60" t="e">
        <f t="shared" si="155"/>
        <v>#DIV/0!</v>
      </c>
      <c r="U422" s="56">
        <v>6.2670000000000003E-6</v>
      </c>
      <c r="V422" s="60">
        <f t="shared" si="156"/>
        <v>1.4985652797704449E-4</v>
      </c>
      <c r="AM422">
        <v>3332</v>
      </c>
      <c r="AN422">
        <v>4.0000000000000001E-3</v>
      </c>
    </row>
    <row r="423" spans="2:40">
      <c r="B423" s="149" t="s">
        <v>401</v>
      </c>
      <c r="C423" s="150">
        <f>(10^(C416-C417)/(1+10^(C416-C417)+10^(2*C416-C417-C418)))*C420</f>
        <v>1.2106910134645092E-2</v>
      </c>
      <c r="G423" s="180" t="s">
        <v>410</v>
      </c>
      <c r="H423" s="40" t="s">
        <v>404</v>
      </c>
      <c r="I423" s="40">
        <f t="shared" si="157"/>
        <v>298.14999999999998</v>
      </c>
      <c r="J423" s="61">
        <f t="shared" si="158"/>
        <v>3.7499999999999999E-2</v>
      </c>
      <c r="K423" s="61">
        <f t="shared" si="158"/>
        <v>3.7499999999999999E-2</v>
      </c>
      <c r="L423" s="42">
        <v>8.51</v>
      </c>
      <c r="M423" s="41"/>
      <c r="N423" s="61">
        <f>0.11+0.244</f>
        <v>0.35399999999999998</v>
      </c>
      <c r="O423" s="42">
        <v>10.816000000000001</v>
      </c>
      <c r="P423" s="40">
        <v>3.6709999999999998</v>
      </c>
      <c r="Q423" s="41">
        <v>3.4000000000000002E-2</v>
      </c>
      <c r="R423" s="40"/>
      <c r="S423" s="41"/>
      <c r="T423" s="45" t="e">
        <f t="shared" si="155"/>
        <v>#DIV/0!</v>
      </c>
      <c r="U423" s="41">
        <v>2.931E-6</v>
      </c>
      <c r="V423" s="45">
        <f t="shared" si="156"/>
        <v>7.0086083213773308E-5</v>
      </c>
      <c r="AM423">
        <v>3381</v>
      </c>
      <c r="AN423">
        <v>3.0000000000000001E-3</v>
      </c>
    </row>
    <row r="424" spans="2:40">
      <c r="B424" s="149" t="s">
        <v>400</v>
      </c>
      <c r="C424" s="150">
        <f>(10^(2*C416-C417-C418)/(1+10^(C416-C417)+10^(2*C416-C417-C418)))*C420</f>
        <v>2.5884114888881583E-2</v>
      </c>
      <c r="G424" s="179" t="s">
        <v>410</v>
      </c>
      <c r="H424" s="14" t="s">
        <v>404</v>
      </c>
      <c r="I424" s="14">
        <f t="shared" si="157"/>
        <v>298.14999999999998</v>
      </c>
      <c r="J424" s="38">
        <f t="shared" si="158"/>
        <v>3.7499999999999999E-2</v>
      </c>
      <c r="K424" s="38">
        <f t="shared" si="158"/>
        <v>3.7499999999999999E-2</v>
      </c>
      <c r="L424" s="36">
        <v>8.51</v>
      </c>
      <c r="M424" s="21"/>
      <c r="N424" s="61">
        <f>0.11+0.244</f>
        <v>0.35399999999999998</v>
      </c>
      <c r="O424" s="36">
        <v>10.816000000000001</v>
      </c>
      <c r="P424" s="14">
        <v>7.3419999999999996</v>
      </c>
      <c r="Q424" s="21">
        <v>3.4000000000000002E-2</v>
      </c>
      <c r="R424" s="14"/>
      <c r="S424" s="21"/>
      <c r="T424" s="19" t="e">
        <f t="shared" si="155"/>
        <v>#DIV/0!</v>
      </c>
      <c r="U424" s="21">
        <v>3.242E-6</v>
      </c>
      <c r="V424" s="19">
        <f t="shared" si="156"/>
        <v>7.7522716403634624E-5</v>
      </c>
      <c r="AM424">
        <v>3430</v>
      </c>
      <c r="AN424">
        <v>4.0000000000000001E-3</v>
      </c>
    </row>
    <row r="425" spans="2:40">
      <c r="B425" s="149" t="s">
        <v>298</v>
      </c>
      <c r="C425" s="150">
        <f>(10^(C416-C419)/(1+10^(C416-C419)))*C421</f>
        <v>3.4728037633349756E-4</v>
      </c>
      <c r="G425" s="179" t="s">
        <v>410</v>
      </c>
      <c r="H425" s="14" t="s">
        <v>404</v>
      </c>
      <c r="I425" s="14">
        <f t="shared" si="157"/>
        <v>298.14999999999998</v>
      </c>
      <c r="J425" s="38">
        <f t="shared" si="158"/>
        <v>3.7499999999999999E-2</v>
      </c>
      <c r="K425" s="38">
        <f t="shared" si="158"/>
        <v>3.7499999999999999E-2</v>
      </c>
      <c r="L425" s="36">
        <v>8.51</v>
      </c>
      <c r="M425" s="21"/>
      <c r="N425" s="61">
        <f>0.11+0.244</f>
        <v>0.35399999999999998</v>
      </c>
      <c r="O425" s="36">
        <v>10.816000000000001</v>
      </c>
      <c r="P425" s="14">
        <v>36.712000000000003</v>
      </c>
      <c r="Q425" s="21">
        <v>3.4000000000000002E-2</v>
      </c>
      <c r="R425" s="14"/>
      <c r="S425" s="21"/>
      <c r="T425" s="19" t="e">
        <f t="shared" si="155"/>
        <v>#DIV/0!</v>
      </c>
      <c r="U425" s="21">
        <v>5.0429999999999998E-6</v>
      </c>
      <c r="V425" s="19">
        <f t="shared" si="156"/>
        <v>1.2058823529411764E-4</v>
      </c>
      <c r="AM425">
        <v>3479</v>
      </c>
      <c r="AN425">
        <v>4.0000000000000001E-3</v>
      </c>
    </row>
    <row r="426" spans="2:40" ht="15.75" thickBot="1">
      <c r="B426" s="147" t="s">
        <v>300</v>
      </c>
      <c r="C426" s="148">
        <v>-2</v>
      </c>
      <c r="G426" s="181" t="s">
        <v>410</v>
      </c>
      <c r="H426" s="55" t="s">
        <v>404</v>
      </c>
      <c r="I426" s="55">
        <f t="shared" si="157"/>
        <v>298.14999999999998</v>
      </c>
      <c r="J426" s="65">
        <f t="shared" ref="J426:K443" si="159">0.075/2</f>
        <v>3.7499999999999999E-2</v>
      </c>
      <c r="K426" s="65">
        <f t="shared" si="159"/>
        <v>3.7499999999999999E-2</v>
      </c>
      <c r="L426" s="57">
        <v>8.51</v>
      </c>
      <c r="M426" s="56"/>
      <c r="N426" s="61">
        <f>0.11+0.244</f>
        <v>0.35399999999999998</v>
      </c>
      <c r="O426" s="57">
        <v>10.816000000000001</v>
      </c>
      <c r="P426" s="55">
        <v>73.424000000000007</v>
      </c>
      <c r="Q426" s="56">
        <v>3.4000000000000002E-2</v>
      </c>
      <c r="R426" s="55"/>
      <c r="S426" s="56"/>
      <c r="T426" s="60" t="e">
        <f t="shared" si="155"/>
        <v>#DIV/0!</v>
      </c>
      <c r="U426" s="56">
        <v>9.8190000000000003E-6</v>
      </c>
      <c r="V426" s="60">
        <f t="shared" si="156"/>
        <v>2.3479196556671448E-4</v>
      </c>
      <c r="AM426">
        <v>3528</v>
      </c>
      <c r="AN426">
        <v>3.0000000000000001E-3</v>
      </c>
    </row>
    <row r="427" spans="2:40">
      <c r="B427" s="147" t="s">
        <v>301</v>
      </c>
      <c r="C427" s="148">
        <v>-3</v>
      </c>
      <c r="G427" s="180" t="s">
        <v>417</v>
      </c>
      <c r="H427" s="40" t="s">
        <v>404</v>
      </c>
      <c r="I427" s="40">
        <f t="shared" si="157"/>
        <v>298.14999999999998</v>
      </c>
      <c r="J427" s="61">
        <f t="shared" si="159"/>
        <v>3.7499999999999999E-2</v>
      </c>
      <c r="K427" s="61">
        <f t="shared" si="159"/>
        <v>3.7499999999999999E-2</v>
      </c>
      <c r="L427" s="42">
        <v>8.67</v>
      </c>
      <c r="M427" s="41"/>
      <c r="N427" s="61">
        <f>0.112+0.251</f>
        <v>0.36299999999999999</v>
      </c>
      <c r="O427" s="42">
        <v>10.816000000000001</v>
      </c>
      <c r="P427" s="14">
        <v>5.14</v>
      </c>
      <c r="Q427" s="41">
        <v>2.1000000000000001E-2</v>
      </c>
      <c r="R427" s="40"/>
      <c r="S427" s="41"/>
      <c r="T427" s="45" t="e">
        <f t="shared" si="155"/>
        <v>#DIV/0!</v>
      </c>
      <c r="U427" s="41">
        <v>7.9780000000000001E-7</v>
      </c>
      <c r="V427" s="45">
        <f t="shared" si="156"/>
        <v>3.0886566008517225E-5</v>
      </c>
      <c r="AM427">
        <v>3577</v>
      </c>
      <c r="AN427">
        <v>4.0000000000000001E-3</v>
      </c>
    </row>
    <row r="428" spans="2:40">
      <c r="B428" s="147" t="s">
        <v>302</v>
      </c>
      <c r="C428" s="148">
        <v>-4</v>
      </c>
      <c r="G428" s="179" t="s">
        <v>417</v>
      </c>
      <c r="H428" s="14" t="s">
        <v>404</v>
      </c>
      <c r="I428" s="14">
        <f t="shared" si="157"/>
        <v>298.14999999999998</v>
      </c>
      <c r="J428" s="38">
        <f t="shared" si="159"/>
        <v>3.7499999999999999E-2</v>
      </c>
      <c r="K428" s="38">
        <f t="shared" si="159"/>
        <v>3.7499999999999999E-2</v>
      </c>
      <c r="L428" s="36">
        <v>8.67</v>
      </c>
      <c r="M428" s="21"/>
      <c r="N428" s="61">
        <f>0.112+0.251</f>
        <v>0.36299999999999999</v>
      </c>
      <c r="O428" s="36">
        <v>10.816000000000001</v>
      </c>
      <c r="P428" s="14">
        <v>14.685</v>
      </c>
      <c r="Q428" s="21">
        <v>2.1000000000000001E-2</v>
      </c>
      <c r="R428" s="14"/>
      <c r="S428" s="21"/>
      <c r="T428" s="19" t="e">
        <f t="shared" si="155"/>
        <v>#DIV/0!</v>
      </c>
      <c r="U428" s="21">
        <v>1.477E-6</v>
      </c>
      <c r="V428" s="19">
        <f t="shared" si="156"/>
        <v>5.7181571815718155E-5</v>
      </c>
      <c r="AM428">
        <v>3626</v>
      </c>
      <c r="AN428">
        <v>4.0000000000000001E-3</v>
      </c>
    </row>
    <row r="429" spans="2:40" ht="15.75" thickBot="1">
      <c r="B429" s="151" t="s">
        <v>299</v>
      </c>
      <c r="C429" s="152">
        <f>0.5*((C426)^2*C422+(C427)^2*C423+(C428)^2*C424+(-1)^2*C425+(1)^2*ABS(C426)*C422+(1)^2*ABS(C427)*C423+(1)^2*ABS(C428)*C424+(1)^2*ABS(C426)*C425)</f>
        <v>0.33203045519060664</v>
      </c>
      <c r="G429" s="179" t="s">
        <v>417</v>
      </c>
      <c r="H429" s="14" t="s">
        <v>404</v>
      </c>
      <c r="I429" s="14">
        <f t="shared" si="157"/>
        <v>298.14999999999998</v>
      </c>
      <c r="J429" s="38">
        <f t="shared" si="159"/>
        <v>3.7499999999999999E-2</v>
      </c>
      <c r="K429" s="38">
        <f t="shared" si="159"/>
        <v>3.7499999999999999E-2</v>
      </c>
      <c r="L429" s="36">
        <v>8.67</v>
      </c>
      <c r="M429" s="21"/>
      <c r="N429" s="61">
        <f>0.112+0.251</f>
        <v>0.36299999999999999</v>
      </c>
      <c r="O429" s="36">
        <v>10.816000000000001</v>
      </c>
      <c r="P429" s="14">
        <v>24.963999999999999</v>
      </c>
      <c r="Q429" s="21">
        <v>2.1000000000000001E-2</v>
      </c>
      <c r="R429" s="14"/>
      <c r="S429" s="21"/>
      <c r="T429" s="19" t="e">
        <f t="shared" si="155"/>
        <v>#DIV/0!</v>
      </c>
      <c r="U429" s="21">
        <v>2.2400000000000002E-6</v>
      </c>
      <c r="V429" s="19">
        <f t="shared" si="156"/>
        <v>8.6720867208672084E-5</v>
      </c>
      <c r="AM429">
        <v>3675</v>
      </c>
      <c r="AN429">
        <v>4.0000000000000001E-3</v>
      </c>
    </row>
    <row r="430" spans="2:40" ht="15.75" thickBot="1">
      <c r="G430" s="181" t="s">
        <v>417</v>
      </c>
      <c r="H430" s="55" t="s">
        <v>404</v>
      </c>
      <c r="I430" s="55">
        <f t="shared" si="157"/>
        <v>298.14999999999998</v>
      </c>
      <c r="J430" s="65">
        <f t="shared" si="159"/>
        <v>3.7499999999999999E-2</v>
      </c>
      <c r="K430" s="65">
        <f t="shared" si="159"/>
        <v>3.7499999999999999E-2</v>
      </c>
      <c r="L430" s="57">
        <v>8.67</v>
      </c>
      <c r="M430" s="56"/>
      <c r="N430" s="61">
        <f>0.112+0.251</f>
        <v>0.36299999999999999</v>
      </c>
      <c r="O430" s="57">
        <v>10.816000000000001</v>
      </c>
      <c r="P430" s="55">
        <v>35.244</v>
      </c>
      <c r="Q430" s="56">
        <v>2.1000000000000001E-2</v>
      </c>
      <c r="R430" s="55"/>
      <c r="S430" s="56"/>
      <c r="T430" s="60" t="e">
        <f t="shared" si="155"/>
        <v>#DIV/0!</v>
      </c>
      <c r="U430" s="56">
        <v>3.3830000000000001E-6</v>
      </c>
      <c r="V430" s="60">
        <f t="shared" si="156"/>
        <v>1.3097173828881145E-4</v>
      </c>
      <c r="AM430">
        <v>3724</v>
      </c>
      <c r="AN430">
        <v>4.0000000000000001E-3</v>
      </c>
    </row>
    <row r="431" spans="2:40">
      <c r="G431" s="180" t="s">
        <v>418</v>
      </c>
      <c r="H431" s="40" t="s">
        <v>404</v>
      </c>
      <c r="I431" s="40">
        <f t="shared" si="157"/>
        <v>298.14999999999998</v>
      </c>
      <c r="J431" s="61">
        <f t="shared" si="159"/>
        <v>3.7499999999999999E-2</v>
      </c>
      <c r="K431" s="61">
        <f t="shared" si="159"/>
        <v>3.7499999999999999E-2</v>
      </c>
      <c r="L431" s="42">
        <v>9.0399999999999991</v>
      </c>
      <c r="M431" s="41"/>
      <c r="N431" s="61">
        <f>0.113+0.274</f>
        <v>0.38700000000000001</v>
      </c>
      <c r="O431" s="42">
        <v>10.816000000000001</v>
      </c>
      <c r="P431" s="40">
        <v>5.14</v>
      </c>
      <c r="Q431" s="41">
        <v>2.1000000000000001E-2</v>
      </c>
      <c r="R431" s="40"/>
      <c r="S431" s="41"/>
      <c r="T431" s="45" t="e">
        <f t="shared" si="155"/>
        <v>#DIV/0!</v>
      </c>
      <c r="U431" s="41">
        <v>1.88E-6</v>
      </c>
      <c r="V431" s="45">
        <f t="shared" si="156"/>
        <v>7.2783584978706924E-5</v>
      </c>
      <c r="AM431">
        <v>3773</v>
      </c>
      <c r="AN431">
        <v>4.0000000000000001E-3</v>
      </c>
    </row>
    <row r="432" spans="2:40">
      <c r="G432" s="179" t="s">
        <v>418</v>
      </c>
      <c r="H432" s="14" t="s">
        <v>404</v>
      </c>
      <c r="I432" s="14">
        <f t="shared" si="157"/>
        <v>298.14999999999998</v>
      </c>
      <c r="J432" s="38">
        <f t="shared" si="159"/>
        <v>3.7499999999999999E-2</v>
      </c>
      <c r="K432" s="38">
        <f t="shared" si="159"/>
        <v>3.7499999999999999E-2</v>
      </c>
      <c r="L432" s="36">
        <v>9.0399999999999991</v>
      </c>
      <c r="M432" s="21"/>
      <c r="N432" s="61">
        <f>0.113+0.274</f>
        <v>0.38700000000000001</v>
      </c>
      <c r="O432" s="36">
        <v>10.816000000000001</v>
      </c>
      <c r="P432" s="14">
        <v>14.685</v>
      </c>
      <c r="Q432" s="21">
        <v>2.1000000000000001E-2</v>
      </c>
      <c r="R432" s="14"/>
      <c r="S432" s="21"/>
      <c r="T432" s="19" t="e">
        <f t="shared" si="155"/>
        <v>#DIV/0!</v>
      </c>
      <c r="U432" s="21">
        <v>3.8260000000000003E-6</v>
      </c>
      <c r="V432" s="19">
        <f t="shared" si="156"/>
        <v>1.481223383662408E-4</v>
      </c>
      <c r="AM432">
        <v>3822</v>
      </c>
      <c r="AN432">
        <v>4.0000000000000001E-3</v>
      </c>
    </row>
    <row r="433" spans="7:40">
      <c r="G433" s="179" t="s">
        <v>418</v>
      </c>
      <c r="H433" s="14" t="s">
        <v>404</v>
      </c>
      <c r="I433" s="14">
        <f t="shared" si="157"/>
        <v>298.14999999999998</v>
      </c>
      <c r="J433" s="38">
        <f t="shared" si="159"/>
        <v>3.7499999999999999E-2</v>
      </c>
      <c r="K433" s="38">
        <f t="shared" si="159"/>
        <v>3.7499999999999999E-2</v>
      </c>
      <c r="L433" s="36">
        <v>9.0399999999999991</v>
      </c>
      <c r="M433" s="21"/>
      <c r="N433" s="61">
        <f>0.113+0.274</f>
        <v>0.38700000000000001</v>
      </c>
      <c r="O433" s="36">
        <v>10.816000000000001</v>
      </c>
      <c r="P433" s="14">
        <v>24.963999999999999</v>
      </c>
      <c r="Q433" s="21">
        <v>2.1000000000000001E-2</v>
      </c>
      <c r="R433" s="14"/>
      <c r="S433" s="21"/>
      <c r="T433" s="19" t="e">
        <f t="shared" si="155"/>
        <v>#DIV/0!</v>
      </c>
      <c r="U433" s="21">
        <v>5.5500000000000002E-6</v>
      </c>
      <c r="V433" s="19">
        <f t="shared" si="156"/>
        <v>2.148664343786295E-4</v>
      </c>
      <c r="AM433">
        <v>3871</v>
      </c>
      <c r="AN433">
        <v>4.0000000000000001E-3</v>
      </c>
    </row>
    <row r="434" spans="7:40" ht="15.75" thickBot="1">
      <c r="G434" s="181" t="s">
        <v>418</v>
      </c>
      <c r="H434" s="55" t="s">
        <v>404</v>
      </c>
      <c r="I434" s="55">
        <f t="shared" si="157"/>
        <v>298.14999999999998</v>
      </c>
      <c r="J434" s="65">
        <f t="shared" si="159"/>
        <v>3.7499999999999999E-2</v>
      </c>
      <c r="K434" s="65">
        <f t="shared" si="159"/>
        <v>3.7499999999999999E-2</v>
      </c>
      <c r="L434" s="57">
        <v>9.0399999999999991</v>
      </c>
      <c r="M434" s="56"/>
      <c r="N434" s="61">
        <f>0.113+0.274</f>
        <v>0.38700000000000001</v>
      </c>
      <c r="O434" s="57">
        <v>10.816000000000001</v>
      </c>
      <c r="P434" s="55">
        <v>35.244</v>
      </c>
      <c r="Q434" s="56">
        <v>2.1000000000000001E-2</v>
      </c>
      <c r="R434" s="55"/>
      <c r="S434" s="56"/>
      <c r="T434" s="60" t="e">
        <f t="shared" si="155"/>
        <v>#DIV/0!</v>
      </c>
      <c r="U434" s="56">
        <v>7.1180000000000003E-6</v>
      </c>
      <c r="V434" s="60">
        <f t="shared" si="156"/>
        <v>2.7557104142469994E-4</v>
      </c>
      <c r="AM434">
        <v>3920</v>
      </c>
      <c r="AN434">
        <v>4.0000000000000001E-3</v>
      </c>
    </row>
    <row r="435" spans="7:40">
      <c r="G435" s="180" t="s">
        <v>414</v>
      </c>
      <c r="H435" s="40" t="s">
        <v>404</v>
      </c>
      <c r="I435" s="40">
        <f t="shared" si="157"/>
        <v>298.14999999999998</v>
      </c>
      <c r="J435" s="61">
        <f t="shared" si="159"/>
        <v>3.7499999999999999E-2</v>
      </c>
      <c r="K435" s="61">
        <f t="shared" si="159"/>
        <v>3.7499999999999999E-2</v>
      </c>
      <c r="L435" s="42">
        <v>9.15</v>
      </c>
      <c r="M435" s="41"/>
      <c r="N435" s="61">
        <f>0.113+0.283</f>
        <v>0.39599999999999996</v>
      </c>
      <c r="O435" s="42">
        <v>10.816000000000001</v>
      </c>
      <c r="P435" s="40">
        <v>3.6709999999999998</v>
      </c>
      <c r="Q435" s="41">
        <v>1.4E-2</v>
      </c>
      <c r="R435" s="40"/>
      <c r="S435" s="41"/>
      <c r="T435" s="45" t="e">
        <f t="shared" ref="T435:T442" si="160">R435/S435</f>
        <v>#DIV/0!</v>
      </c>
      <c r="U435" s="41">
        <v>1.3710000000000001E-6</v>
      </c>
      <c r="V435" s="45">
        <f t="shared" si="156"/>
        <v>7.9616724738675965E-5</v>
      </c>
      <c r="AM435">
        <v>3969</v>
      </c>
      <c r="AN435">
        <v>5.0000000000000001E-3</v>
      </c>
    </row>
    <row r="436" spans="7:40">
      <c r="G436" s="179" t="s">
        <v>414</v>
      </c>
      <c r="H436" s="14" t="s">
        <v>404</v>
      </c>
      <c r="I436" s="14">
        <f t="shared" si="157"/>
        <v>298.14999999999998</v>
      </c>
      <c r="J436" s="38">
        <f t="shared" si="159"/>
        <v>3.7499999999999999E-2</v>
      </c>
      <c r="K436" s="38">
        <f t="shared" si="159"/>
        <v>3.7499999999999999E-2</v>
      </c>
      <c r="L436" s="36">
        <v>9.15</v>
      </c>
      <c r="M436" s="21"/>
      <c r="N436" s="61">
        <f>0.113+0.283</f>
        <v>0.39599999999999996</v>
      </c>
      <c r="O436" s="36">
        <v>10.816000000000001</v>
      </c>
      <c r="P436" s="14">
        <v>7.3419999999999996</v>
      </c>
      <c r="Q436" s="21">
        <v>1.4E-2</v>
      </c>
      <c r="R436" s="14"/>
      <c r="S436" s="21"/>
      <c r="T436" s="19" t="e">
        <f t="shared" si="160"/>
        <v>#DIV/0!</v>
      </c>
      <c r="U436" s="21">
        <v>4.1540000000000004E-6</v>
      </c>
      <c r="V436" s="19">
        <f t="shared" si="156"/>
        <v>2.4123112659698028E-4</v>
      </c>
      <c r="AM436">
        <v>4018</v>
      </c>
      <c r="AN436">
        <v>4.0000000000000001E-3</v>
      </c>
    </row>
    <row r="437" spans="7:40">
      <c r="G437" s="179" t="s">
        <v>414</v>
      </c>
      <c r="H437" s="14" t="s">
        <v>404</v>
      </c>
      <c r="I437" s="14">
        <f t="shared" si="157"/>
        <v>298.14999999999998</v>
      </c>
      <c r="J437" s="38">
        <f t="shared" si="159"/>
        <v>3.7499999999999999E-2</v>
      </c>
      <c r="K437" s="38">
        <f t="shared" si="159"/>
        <v>3.7499999999999999E-2</v>
      </c>
      <c r="L437" s="36">
        <v>9.15</v>
      </c>
      <c r="M437" s="21"/>
      <c r="N437" s="61">
        <f>0.113+0.283</f>
        <v>0.39599999999999996</v>
      </c>
      <c r="O437" s="36">
        <v>10.816000000000001</v>
      </c>
      <c r="P437" s="14">
        <v>36.712000000000003</v>
      </c>
      <c r="Q437" s="21">
        <v>1.4E-2</v>
      </c>
      <c r="R437" s="14"/>
      <c r="S437" s="21"/>
      <c r="T437" s="19" t="e">
        <f t="shared" si="160"/>
        <v>#DIV/0!</v>
      </c>
      <c r="U437" s="21">
        <v>3.4649999999999999E-6</v>
      </c>
      <c r="V437" s="19">
        <f t="shared" si="156"/>
        <v>2.0121951219512194E-4</v>
      </c>
      <c r="AM437">
        <v>4067</v>
      </c>
      <c r="AN437">
        <v>4.0000000000000001E-3</v>
      </c>
    </row>
    <row r="438" spans="7:40" ht="15.75" thickBot="1">
      <c r="G438" s="181" t="s">
        <v>414</v>
      </c>
      <c r="H438" s="55" t="s">
        <v>404</v>
      </c>
      <c r="I438" s="55">
        <f t="shared" si="157"/>
        <v>298.14999999999998</v>
      </c>
      <c r="J438" s="65">
        <f t="shared" si="159"/>
        <v>3.7499999999999999E-2</v>
      </c>
      <c r="K438" s="65">
        <f t="shared" si="159"/>
        <v>3.7499999999999999E-2</v>
      </c>
      <c r="L438" s="57">
        <v>9.15</v>
      </c>
      <c r="M438" s="56"/>
      <c r="N438" s="61">
        <f>0.113+0.283</f>
        <v>0.39599999999999996</v>
      </c>
      <c r="O438" s="57">
        <v>10.816000000000001</v>
      </c>
      <c r="P438" s="55">
        <v>73.424000000000007</v>
      </c>
      <c r="Q438" s="56">
        <v>1.4E-2</v>
      </c>
      <c r="R438" s="55"/>
      <c r="S438" s="56"/>
      <c r="T438" s="60" t="e">
        <f t="shared" si="160"/>
        <v>#DIV/0!</v>
      </c>
      <c r="U438" s="56">
        <v>6.9290000000000001E-6</v>
      </c>
      <c r="V438" s="60">
        <f t="shared" si="156"/>
        <v>4.023809523809524E-4</v>
      </c>
      <c r="AM438">
        <v>4116</v>
      </c>
      <c r="AN438">
        <v>5.0000000000000001E-3</v>
      </c>
    </row>
    <row r="439" spans="7:40">
      <c r="G439" s="180" t="s">
        <v>411</v>
      </c>
      <c r="H439" s="40" t="s">
        <v>404</v>
      </c>
      <c r="I439" s="40">
        <f t="shared" si="157"/>
        <v>298.14999999999998</v>
      </c>
      <c r="J439" s="61">
        <f t="shared" si="159"/>
        <v>3.7499999999999999E-2</v>
      </c>
      <c r="K439" s="61">
        <f t="shared" si="159"/>
        <v>3.7499999999999999E-2</v>
      </c>
      <c r="L439" s="42">
        <v>9.23</v>
      </c>
      <c r="M439" s="41"/>
      <c r="N439" s="61">
        <f>0.113+0.289</f>
        <v>0.40199999999999997</v>
      </c>
      <c r="O439" s="42">
        <v>10.816000000000001</v>
      </c>
      <c r="P439" s="40">
        <v>3.6709999999999998</v>
      </c>
      <c r="Q439" s="41">
        <v>3.4000000000000002E-2</v>
      </c>
      <c r="R439" s="40"/>
      <c r="S439" s="41"/>
      <c r="T439" s="45" t="e">
        <f t="shared" si="160"/>
        <v>#DIV/0!</v>
      </c>
      <c r="U439" s="41">
        <v>4.7879999999999997E-6</v>
      </c>
      <c r="V439" s="45">
        <f t="shared" si="156"/>
        <v>1.1449067431850787E-4</v>
      </c>
      <c r="AM439">
        <v>4165</v>
      </c>
      <c r="AN439">
        <v>5.0000000000000001E-3</v>
      </c>
    </row>
    <row r="440" spans="7:40">
      <c r="G440" s="179" t="s">
        <v>411</v>
      </c>
      <c r="H440" s="14" t="s">
        <v>404</v>
      </c>
      <c r="I440" s="14">
        <f t="shared" si="157"/>
        <v>298.14999999999998</v>
      </c>
      <c r="J440" s="38">
        <f t="shared" si="159"/>
        <v>3.7499999999999999E-2</v>
      </c>
      <c r="K440" s="38">
        <f t="shared" si="159"/>
        <v>3.7499999999999999E-2</v>
      </c>
      <c r="L440" s="36">
        <v>9.23</v>
      </c>
      <c r="M440" s="21"/>
      <c r="N440" s="61">
        <f>0.113+0.289</f>
        <v>0.40199999999999997</v>
      </c>
      <c r="O440" s="36">
        <v>10.816000000000001</v>
      </c>
      <c r="P440" s="14">
        <v>7.3419999999999996</v>
      </c>
      <c r="Q440" s="21">
        <v>3.4000000000000002E-2</v>
      </c>
      <c r="R440" s="14"/>
      <c r="S440" s="21"/>
      <c r="T440" s="19" t="e">
        <f t="shared" si="160"/>
        <v>#DIV/0!</v>
      </c>
      <c r="U440" s="21">
        <v>5.7309999999999998E-6</v>
      </c>
      <c r="V440" s="19">
        <f t="shared" si="156"/>
        <v>1.3703969392635102E-4</v>
      </c>
      <c r="AM440">
        <v>4214</v>
      </c>
      <c r="AN440">
        <v>5.0000000000000001E-3</v>
      </c>
    </row>
    <row r="441" spans="7:40">
      <c r="G441" s="179" t="s">
        <v>411</v>
      </c>
      <c r="H441" s="14" t="s">
        <v>404</v>
      </c>
      <c r="I441" s="14">
        <f t="shared" si="157"/>
        <v>298.14999999999998</v>
      </c>
      <c r="J441" s="38">
        <f t="shared" si="159"/>
        <v>3.7499999999999999E-2</v>
      </c>
      <c r="K441" s="38">
        <f t="shared" si="159"/>
        <v>3.7499999999999999E-2</v>
      </c>
      <c r="L441" s="36">
        <v>9.23</v>
      </c>
      <c r="M441" s="21"/>
      <c r="N441" s="61">
        <f>0.113+0.289</f>
        <v>0.40199999999999997</v>
      </c>
      <c r="O441" s="36">
        <v>10.816000000000001</v>
      </c>
      <c r="P441" s="14">
        <v>36.712000000000003</v>
      </c>
      <c r="Q441" s="21">
        <v>3.4000000000000002E-2</v>
      </c>
      <c r="R441" s="14"/>
      <c r="S441" s="21"/>
      <c r="T441" s="19" t="e">
        <f t="shared" si="160"/>
        <v>#DIV/0!</v>
      </c>
      <c r="U441" s="21">
        <v>9.9259999999999995E-6</v>
      </c>
      <c r="V441" s="19">
        <f t="shared" si="156"/>
        <v>2.3735054997608797E-4</v>
      </c>
      <c r="AM441">
        <v>4263</v>
      </c>
      <c r="AN441">
        <v>4.0000000000000001E-3</v>
      </c>
    </row>
    <row r="442" spans="7:40" ht="15.75" thickBot="1">
      <c r="G442" s="181" t="s">
        <v>411</v>
      </c>
      <c r="H442" s="55" t="s">
        <v>404</v>
      </c>
      <c r="I442" s="55">
        <f t="shared" si="157"/>
        <v>298.14999999999998</v>
      </c>
      <c r="J442" s="65">
        <f>0.075/2</f>
        <v>3.7499999999999999E-2</v>
      </c>
      <c r="K442" s="65">
        <f>0.075/2</f>
        <v>3.7499999999999999E-2</v>
      </c>
      <c r="L442" s="57">
        <v>9.23</v>
      </c>
      <c r="M442" s="56"/>
      <c r="N442" s="61">
        <f>0.113+0.289</f>
        <v>0.40199999999999997</v>
      </c>
      <c r="O442" s="57">
        <v>10.816000000000001</v>
      </c>
      <c r="P442" s="55">
        <v>73.424000000000007</v>
      </c>
      <c r="Q442" s="56">
        <v>3.4000000000000002E-2</v>
      </c>
      <c r="R442" s="55"/>
      <c r="S442" s="56"/>
      <c r="T442" s="60" t="e">
        <f t="shared" si="160"/>
        <v>#DIV/0!</v>
      </c>
      <c r="U442" s="56">
        <v>1.0169999999999999E-5</v>
      </c>
      <c r="V442" s="60">
        <f t="shared" si="156"/>
        <v>2.4318507890961258E-4</v>
      </c>
      <c r="AM442">
        <v>4312</v>
      </c>
      <c r="AN442">
        <v>5.0000000000000001E-3</v>
      </c>
    </row>
    <row r="443" spans="7:40">
      <c r="G443" s="180" t="s">
        <v>419</v>
      </c>
      <c r="H443" s="40" t="s">
        <v>404</v>
      </c>
      <c r="I443" s="40">
        <f t="shared" si="157"/>
        <v>298.14999999999998</v>
      </c>
      <c r="J443" s="61">
        <f t="shared" si="159"/>
        <v>3.7499999999999999E-2</v>
      </c>
      <c r="K443" s="61">
        <f t="shared" si="159"/>
        <v>3.7499999999999999E-2</v>
      </c>
      <c r="L443" s="42">
        <v>9.32</v>
      </c>
      <c r="M443" s="41"/>
      <c r="N443" s="61">
        <f>0.114+0.297</f>
        <v>0.41099999999999998</v>
      </c>
      <c r="O443" s="42">
        <v>10.816000000000001</v>
      </c>
      <c r="P443" s="14">
        <v>5.14</v>
      </c>
      <c r="Q443" s="41">
        <v>2.1000000000000001E-2</v>
      </c>
      <c r="R443" s="40"/>
      <c r="S443" s="41"/>
      <c r="T443" s="45" t="e">
        <f t="shared" ref="T443:T454" si="161">R443/S443</f>
        <v>#DIV/0!</v>
      </c>
      <c r="U443" s="41">
        <v>2.4499999999999998E-6</v>
      </c>
      <c r="V443" s="45">
        <f t="shared" si="156"/>
        <v>9.4850948509485081E-5</v>
      </c>
      <c r="AM443">
        <v>4361</v>
      </c>
      <c r="AN443">
        <v>5.0000000000000001E-3</v>
      </c>
    </row>
    <row r="444" spans="7:40">
      <c r="G444" s="179" t="s">
        <v>419</v>
      </c>
      <c r="H444" s="14" t="s">
        <v>404</v>
      </c>
      <c r="I444" s="14">
        <f t="shared" si="157"/>
        <v>298.14999999999998</v>
      </c>
      <c r="J444" s="38">
        <f t="shared" ref="J444:K454" si="162">0.075/2</f>
        <v>3.7499999999999999E-2</v>
      </c>
      <c r="K444" s="38">
        <f t="shared" si="162"/>
        <v>3.7499999999999999E-2</v>
      </c>
      <c r="L444" s="36">
        <v>9.32</v>
      </c>
      <c r="M444" s="21"/>
      <c r="N444" s="61">
        <f>0.114+0.297</f>
        <v>0.41099999999999998</v>
      </c>
      <c r="O444" s="36">
        <v>10.816000000000001</v>
      </c>
      <c r="P444" s="14">
        <v>14.685</v>
      </c>
      <c r="Q444" s="21">
        <v>2.1000000000000001E-2</v>
      </c>
      <c r="R444" s="14"/>
      <c r="S444" s="21"/>
      <c r="T444" s="19" t="e">
        <f t="shared" si="161"/>
        <v>#DIV/0!</v>
      </c>
      <c r="U444" s="21">
        <v>4.2629999999999997E-6</v>
      </c>
      <c r="V444" s="19">
        <f t="shared" si="156"/>
        <v>1.6504065040650405E-4</v>
      </c>
      <c r="AM444">
        <v>4410</v>
      </c>
      <c r="AN444">
        <v>5.0000000000000001E-3</v>
      </c>
    </row>
    <row r="445" spans="7:40">
      <c r="G445" s="179" t="s">
        <v>419</v>
      </c>
      <c r="H445" s="14" t="s">
        <v>404</v>
      </c>
      <c r="I445" s="14">
        <f t="shared" si="157"/>
        <v>298.14999999999998</v>
      </c>
      <c r="J445" s="38">
        <f t="shared" si="162"/>
        <v>3.7499999999999999E-2</v>
      </c>
      <c r="K445" s="38">
        <f t="shared" si="162"/>
        <v>3.7499999999999999E-2</v>
      </c>
      <c r="L445" s="36">
        <v>9.32</v>
      </c>
      <c r="M445" s="21"/>
      <c r="N445" s="61">
        <f>0.114+0.297</f>
        <v>0.41099999999999998</v>
      </c>
      <c r="O445" s="36">
        <v>10.816000000000001</v>
      </c>
      <c r="P445" s="14">
        <v>24.963999999999999</v>
      </c>
      <c r="Q445" s="21">
        <v>2.1000000000000001E-2</v>
      </c>
      <c r="R445" s="14"/>
      <c r="S445" s="21"/>
      <c r="T445" s="19" t="e">
        <f t="shared" si="161"/>
        <v>#DIV/0!</v>
      </c>
      <c r="U445" s="21">
        <v>5.0529999999999997E-6</v>
      </c>
      <c r="V445" s="19">
        <f t="shared" si="156"/>
        <v>1.9562524196670535E-4</v>
      </c>
      <c r="AM445">
        <v>4459</v>
      </c>
      <c r="AN445">
        <v>5.0000000000000001E-3</v>
      </c>
    </row>
    <row r="446" spans="7:40" ht="15.75" thickBot="1">
      <c r="G446" s="181" t="s">
        <v>419</v>
      </c>
      <c r="H446" s="55" t="s">
        <v>404</v>
      </c>
      <c r="I446" s="55">
        <f t="shared" si="157"/>
        <v>298.14999999999998</v>
      </c>
      <c r="J446" s="65">
        <f t="shared" si="162"/>
        <v>3.7499999999999999E-2</v>
      </c>
      <c r="K446" s="65">
        <f t="shared" si="162"/>
        <v>3.7499999999999999E-2</v>
      </c>
      <c r="L446" s="57">
        <v>9.32</v>
      </c>
      <c r="M446" s="56"/>
      <c r="N446" s="61">
        <f>0.114+0.297</f>
        <v>0.41099999999999998</v>
      </c>
      <c r="O446" s="57">
        <v>10.816000000000001</v>
      </c>
      <c r="P446" s="55">
        <v>35.244</v>
      </c>
      <c r="Q446" s="56">
        <v>2.1000000000000001E-2</v>
      </c>
      <c r="R446" s="55"/>
      <c r="S446" s="56"/>
      <c r="T446" s="60" t="e">
        <f t="shared" si="161"/>
        <v>#DIV/0!</v>
      </c>
      <c r="U446" s="56">
        <v>1.1919999999999999E-5</v>
      </c>
      <c r="V446" s="60">
        <f t="shared" si="156"/>
        <v>4.6147890050329067E-4</v>
      </c>
      <c r="AM446">
        <v>4508</v>
      </c>
      <c r="AN446">
        <v>5.0000000000000001E-3</v>
      </c>
    </row>
    <row r="447" spans="7:40">
      <c r="G447" s="180" t="s">
        <v>415</v>
      </c>
      <c r="H447" s="40" t="s">
        <v>404</v>
      </c>
      <c r="I447" s="40">
        <f t="shared" si="157"/>
        <v>298.14999999999998</v>
      </c>
      <c r="J447" s="61">
        <f t="shared" si="162"/>
        <v>3.7499999999999999E-2</v>
      </c>
      <c r="K447" s="61">
        <f t="shared" si="162"/>
        <v>3.7499999999999999E-2</v>
      </c>
      <c r="L447" s="42">
        <v>9.43</v>
      </c>
      <c r="M447" s="41"/>
      <c r="N447" s="61">
        <f>0.114+0.307</f>
        <v>0.42099999999999999</v>
      </c>
      <c r="O447" s="42">
        <v>10.816000000000001</v>
      </c>
      <c r="P447" s="40">
        <v>3.6709999999999998</v>
      </c>
      <c r="Q447" s="41">
        <v>1.4E-2</v>
      </c>
      <c r="R447" s="40"/>
      <c r="S447" s="41"/>
      <c r="T447" s="45" t="e">
        <f t="shared" si="161"/>
        <v>#DIV/0!</v>
      </c>
      <c r="U447" s="41">
        <v>1.4649999999999999E-6</v>
      </c>
      <c r="V447" s="45">
        <f t="shared" si="156"/>
        <v>8.5075493612078981E-5</v>
      </c>
      <c r="AM447">
        <v>4557</v>
      </c>
      <c r="AN447">
        <v>6.0000000000000001E-3</v>
      </c>
    </row>
    <row r="448" spans="7:40">
      <c r="G448" s="179" t="s">
        <v>415</v>
      </c>
      <c r="H448" s="14" t="s">
        <v>404</v>
      </c>
      <c r="I448" s="14">
        <f t="shared" si="157"/>
        <v>298.14999999999998</v>
      </c>
      <c r="J448" s="38">
        <f t="shared" si="162"/>
        <v>3.7499999999999999E-2</v>
      </c>
      <c r="K448" s="38">
        <f t="shared" si="162"/>
        <v>3.7499999999999999E-2</v>
      </c>
      <c r="L448" s="36">
        <v>9.43</v>
      </c>
      <c r="M448" s="21"/>
      <c r="N448" s="61">
        <f>0.114+0.307</f>
        <v>0.42099999999999999</v>
      </c>
      <c r="O448" s="36">
        <v>10.816000000000001</v>
      </c>
      <c r="P448" s="14">
        <v>7.3419999999999996</v>
      </c>
      <c r="Q448" s="21">
        <v>1.4E-2</v>
      </c>
      <c r="R448" s="14"/>
      <c r="S448" s="21"/>
      <c r="T448" s="19" t="e">
        <f t="shared" si="161"/>
        <v>#DIV/0!</v>
      </c>
      <c r="U448" s="21">
        <v>3.0400000000000001E-6</v>
      </c>
      <c r="V448" s="19">
        <f t="shared" si="156"/>
        <v>1.7653890824622534E-4</v>
      </c>
      <c r="AM448">
        <v>4606</v>
      </c>
      <c r="AN448">
        <v>5.0000000000000001E-3</v>
      </c>
    </row>
    <row r="449" spans="7:40">
      <c r="G449" s="179" t="s">
        <v>415</v>
      </c>
      <c r="H449" s="14" t="s">
        <v>404</v>
      </c>
      <c r="I449" s="14">
        <f t="shared" si="157"/>
        <v>298.14999999999998</v>
      </c>
      <c r="J449" s="38">
        <f t="shared" si="162"/>
        <v>3.7499999999999999E-2</v>
      </c>
      <c r="K449" s="38">
        <f t="shared" si="162"/>
        <v>3.7499999999999999E-2</v>
      </c>
      <c r="L449" s="36">
        <v>9.43</v>
      </c>
      <c r="M449" s="21"/>
      <c r="N449" s="61">
        <f>0.114+0.307</f>
        <v>0.42099999999999999</v>
      </c>
      <c r="O449" s="36">
        <v>10.816000000000001</v>
      </c>
      <c r="P449" s="14">
        <v>36.712000000000003</v>
      </c>
      <c r="Q449" s="21">
        <v>1.4E-2</v>
      </c>
      <c r="R449" s="14"/>
      <c r="S449" s="21"/>
      <c r="T449" s="19" t="e">
        <f t="shared" si="161"/>
        <v>#DIV/0!</v>
      </c>
      <c r="U449" s="21">
        <v>2.7650000000000002E-6</v>
      </c>
      <c r="V449" s="19">
        <f t="shared" si="156"/>
        <v>1.6056910569105693E-4</v>
      </c>
      <c r="AM449">
        <v>4655</v>
      </c>
      <c r="AN449">
        <v>6.0000000000000001E-3</v>
      </c>
    </row>
    <row r="450" spans="7:40" ht="15.75" thickBot="1">
      <c r="G450" s="181" t="s">
        <v>415</v>
      </c>
      <c r="H450" s="55" t="s">
        <v>404</v>
      </c>
      <c r="I450" s="55">
        <f t="shared" si="157"/>
        <v>298.14999999999998</v>
      </c>
      <c r="J450" s="65">
        <f t="shared" si="162"/>
        <v>3.7499999999999999E-2</v>
      </c>
      <c r="K450" s="65">
        <f t="shared" si="162"/>
        <v>3.7499999999999999E-2</v>
      </c>
      <c r="L450" s="57">
        <v>9.43</v>
      </c>
      <c r="M450" s="56"/>
      <c r="N450" s="61">
        <f>0.114+0.307</f>
        <v>0.42099999999999999</v>
      </c>
      <c r="O450" s="57">
        <v>10.816000000000001</v>
      </c>
      <c r="P450" s="55">
        <v>73.424000000000007</v>
      </c>
      <c r="Q450" s="56">
        <v>1.4E-2</v>
      </c>
      <c r="R450" s="55"/>
      <c r="S450" s="56"/>
      <c r="T450" s="60" t="e">
        <f t="shared" si="161"/>
        <v>#DIV/0!</v>
      </c>
      <c r="U450" s="56">
        <v>6.6059999999999999E-6</v>
      </c>
      <c r="V450" s="60">
        <f t="shared" si="156"/>
        <v>3.8362369337979096E-4</v>
      </c>
      <c r="AM450">
        <v>4704</v>
      </c>
      <c r="AN450">
        <v>6.0000000000000001E-3</v>
      </c>
    </row>
    <row r="451" spans="7:40">
      <c r="G451" s="180" t="s">
        <v>416</v>
      </c>
      <c r="H451" s="40" t="s">
        <v>404</v>
      </c>
      <c r="I451" s="40">
        <f t="shared" si="157"/>
        <v>298.14999999999998</v>
      </c>
      <c r="J451" s="61">
        <f t="shared" si="162"/>
        <v>3.7499999999999999E-2</v>
      </c>
      <c r="K451" s="61">
        <f t="shared" si="162"/>
        <v>3.7499999999999999E-2</v>
      </c>
      <c r="L451" s="42">
        <v>9.73</v>
      </c>
      <c r="M451" s="41"/>
      <c r="N451" s="61">
        <f>0.114+0.332</f>
        <v>0.44600000000000001</v>
      </c>
      <c r="O451" s="42">
        <v>10.816000000000001</v>
      </c>
      <c r="P451" s="14">
        <v>5.14</v>
      </c>
      <c r="Q451" s="41">
        <v>2.1000000000000001E-2</v>
      </c>
      <c r="R451" s="40"/>
      <c r="S451" s="41"/>
      <c r="T451" s="45" t="e">
        <f t="shared" si="161"/>
        <v>#DIV/0!</v>
      </c>
      <c r="U451" s="41">
        <v>1.451E-6</v>
      </c>
      <c r="V451" s="45">
        <f t="shared" si="156"/>
        <v>5.6174990321331777E-5</v>
      </c>
      <c r="AM451">
        <v>4753</v>
      </c>
      <c r="AN451">
        <v>6.0000000000000001E-3</v>
      </c>
    </row>
    <row r="452" spans="7:40">
      <c r="G452" s="179" t="s">
        <v>416</v>
      </c>
      <c r="H452" s="14" t="s">
        <v>404</v>
      </c>
      <c r="I452" s="14">
        <f t="shared" si="157"/>
        <v>298.14999999999998</v>
      </c>
      <c r="J452" s="38">
        <f t="shared" si="162"/>
        <v>3.7499999999999999E-2</v>
      </c>
      <c r="K452" s="38">
        <f t="shared" si="162"/>
        <v>3.7499999999999999E-2</v>
      </c>
      <c r="L452" s="36">
        <v>9.73</v>
      </c>
      <c r="M452" s="21"/>
      <c r="N452" s="61">
        <f>0.114+0.332</f>
        <v>0.44600000000000001</v>
      </c>
      <c r="O452" s="36">
        <v>10.816000000000001</v>
      </c>
      <c r="P452" s="14">
        <v>14.685</v>
      </c>
      <c r="Q452" s="21">
        <v>2.1000000000000001E-2</v>
      </c>
      <c r="R452" s="14"/>
      <c r="S452" s="21"/>
      <c r="T452" s="19" t="e">
        <f t="shared" si="161"/>
        <v>#DIV/0!</v>
      </c>
      <c r="U452" s="21">
        <v>3.0639999999999998E-6</v>
      </c>
      <c r="V452" s="19">
        <f t="shared" si="156"/>
        <v>1.1862175764614787E-4</v>
      </c>
      <c r="AM452">
        <v>4802</v>
      </c>
      <c r="AN452">
        <v>6.0000000000000001E-3</v>
      </c>
    </row>
    <row r="453" spans="7:40">
      <c r="G453" s="179" t="s">
        <v>416</v>
      </c>
      <c r="H453" s="14" t="s">
        <v>404</v>
      </c>
      <c r="I453" s="14">
        <f t="shared" si="157"/>
        <v>298.14999999999998</v>
      </c>
      <c r="J453" s="38">
        <f t="shared" si="162"/>
        <v>3.7499999999999999E-2</v>
      </c>
      <c r="K453" s="38">
        <f t="shared" si="162"/>
        <v>3.7499999999999999E-2</v>
      </c>
      <c r="L453" s="36">
        <v>9.73</v>
      </c>
      <c r="M453" s="21"/>
      <c r="N453" s="61">
        <f>0.114+0.332</f>
        <v>0.44600000000000001</v>
      </c>
      <c r="O453" s="36">
        <v>10.816000000000001</v>
      </c>
      <c r="P453" s="14">
        <v>24.963999999999999</v>
      </c>
      <c r="Q453" s="21">
        <v>2.1000000000000001E-2</v>
      </c>
      <c r="R453" s="14"/>
      <c r="S453" s="21"/>
      <c r="T453" s="19" t="e">
        <f t="shared" si="161"/>
        <v>#DIV/0!</v>
      </c>
      <c r="U453" s="21">
        <v>2.8030000000000001E-6</v>
      </c>
      <c r="V453" s="19">
        <f t="shared" si="156"/>
        <v>1.0851722802942315E-4</v>
      </c>
      <c r="AM453">
        <v>4851</v>
      </c>
      <c r="AN453">
        <v>6.0000000000000001E-3</v>
      </c>
    </row>
    <row r="454" spans="7:40" ht="15.75" thickBot="1">
      <c r="G454" s="181" t="s">
        <v>416</v>
      </c>
      <c r="H454" s="55" t="s">
        <v>404</v>
      </c>
      <c r="I454" s="55">
        <f t="shared" si="157"/>
        <v>298.14999999999998</v>
      </c>
      <c r="J454" s="65">
        <f t="shared" si="162"/>
        <v>3.7499999999999999E-2</v>
      </c>
      <c r="K454" s="65">
        <f t="shared" si="162"/>
        <v>3.7499999999999999E-2</v>
      </c>
      <c r="L454" s="57">
        <v>9.73</v>
      </c>
      <c r="M454" s="56"/>
      <c r="N454" s="61">
        <f>0.114+0.332</f>
        <v>0.44600000000000001</v>
      </c>
      <c r="O454" s="57">
        <v>10.816000000000001</v>
      </c>
      <c r="P454" s="55">
        <v>35.244</v>
      </c>
      <c r="Q454" s="56">
        <v>2.1000000000000001E-2</v>
      </c>
      <c r="R454" s="55"/>
      <c r="S454" s="56"/>
      <c r="T454" s="60" t="e">
        <f t="shared" si="161"/>
        <v>#DIV/0!</v>
      </c>
      <c r="U454" s="56">
        <v>7.2119999999999997E-6</v>
      </c>
      <c r="V454" s="60">
        <f t="shared" si="156"/>
        <v>2.7921022067363529E-4</v>
      </c>
      <c r="AM454">
        <v>4900</v>
      </c>
      <c r="AN454">
        <v>6.0000000000000001E-3</v>
      </c>
    </row>
    <row r="455" spans="7:40">
      <c r="AM455">
        <v>4949</v>
      </c>
      <c r="AN455">
        <v>6.0000000000000001E-3</v>
      </c>
    </row>
    <row r="456" spans="7:40">
      <c r="AM456">
        <v>4998</v>
      </c>
      <c r="AN456">
        <v>6.0000000000000001E-3</v>
      </c>
    </row>
    <row r="457" spans="7:40">
      <c r="AM457">
        <v>5047</v>
      </c>
      <c r="AN457">
        <v>6.0000000000000001E-3</v>
      </c>
    </row>
    <row r="458" spans="7:40">
      <c r="AM458">
        <v>5096</v>
      </c>
      <c r="AN458">
        <v>6.0000000000000001E-3</v>
      </c>
    </row>
    <row r="459" spans="7:40">
      <c r="AM459">
        <v>5145</v>
      </c>
      <c r="AN459">
        <v>6.0000000000000001E-3</v>
      </c>
    </row>
    <row r="460" spans="7:40" ht="15.75" thickBot="1">
      <c r="G460" s="28"/>
      <c r="H460" s="109" t="s">
        <v>278</v>
      </c>
      <c r="I460" s="28" t="s">
        <v>281</v>
      </c>
      <c r="J460" t="s">
        <v>307</v>
      </c>
      <c r="K460" s="109" t="s">
        <v>43</v>
      </c>
      <c r="L460" t="s">
        <v>283</v>
      </c>
      <c r="M460" t="s">
        <v>284</v>
      </c>
      <c r="N460" s="130" t="s">
        <v>394</v>
      </c>
      <c r="O460" t="s">
        <v>393</v>
      </c>
      <c r="P460" t="s">
        <v>283</v>
      </c>
      <c r="Q460" t="s">
        <v>395</v>
      </c>
      <c r="R460" t="s">
        <v>389</v>
      </c>
      <c r="S460" t="s">
        <v>284</v>
      </c>
      <c r="T460" t="s">
        <v>398</v>
      </c>
      <c r="U460" s="131" t="s">
        <v>279</v>
      </c>
      <c r="V460" t="s">
        <v>306</v>
      </c>
      <c r="AM460">
        <v>5194</v>
      </c>
      <c r="AN460">
        <v>6.0000000000000001E-3</v>
      </c>
    </row>
    <row r="461" spans="7:40">
      <c r="G461" s="72" t="s">
        <v>407</v>
      </c>
      <c r="H461" s="10">
        <f>L409</f>
        <v>7.53</v>
      </c>
      <c r="I461" s="13">
        <f>N409</f>
        <v>0.308</v>
      </c>
      <c r="J461" s="153">
        <f>SQRT(I461)</f>
        <v>0.55497747702046429</v>
      </c>
      <c r="K461" s="75">
        <v>41.15</v>
      </c>
      <c r="L461" s="6">
        <v>-154</v>
      </c>
      <c r="M461" s="6">
        <v>236.3</v>
      </c>
      <c r="N461" s="34">
        <v>1.0679999999999999E-4</v>
      </c>
      <c r="O461" s="6">
        <f t="shared" ref="O461:O472" si="163">N461*10^6</f>
        <v>106.8</v>
      </c>
      <c r="P461" s="2">
        <v>-1.133E-4</v>
      </c>
      <c r="Q461" s="6">
        <f t="shared" ref="Q461:Q472" si="164">P461*10^6</f>
        <v>-113.3</v>
      </c>
      <c r="R461" s="2">
        <f t="shared" ref="R461:R472" si="165">N461-P461</f>
        <v>2.2009999999999998E-4</v>
      </c>
      <c r="S461" s="2">
        <v>3.2689999999999998E-4</v>
      </c>
      <c r="T461" s="6">
        <f t="shared" ref="T461:T472" si="166">S461*10^6</f>
        <v>326.89999999999998</v>
      </c>
      <c r="U461" s="10">
        <v>0.98929999999999996</v>
      </c>
      <c r="V461" s="11">
        <f t="shared" ref="V461:V472" si="167">1/(S461-P461)</f>
        <v>2271.6946842344391</v>
      </c>
      <c r="W461" s="135">
        <f t="shared" ref="W461:W472" si="168">V461/1000</f>
        <v>2.271694684234439</v>
      </c>
      <c r="AM461">
        <v>5243</v>
      </c>
      <c r="AN461">
        <v>7.0000000000000001E-3</v>
      </c>
    </row>
    <row r="462" spans="7:40">
      <c r="G462" s="72" t="s">
        <v>408</v>
      </c>
      <c r="H462" s="10">
        <f>L412</f>
        <v>7.6</v>
      </c>
      <c r="I462" s="13">
        <f>N412</f>
        <v>0.312</v>
      </c>
      <c r="J462" s="153">
        <f t="shared" ref="J462:J472" si="169">SQRT(I462)</f>
        <v>0.55856960175075765</v>
      </c>
      <c r="K462" s="75">
        <v>23.4</v>
      </c>
      <c r="L462" s="6">
        <v>-121</v>
      </c>
      <c r="M462" s="6">
        <v>167.8</v>
      </c>
      <c r="N462" s="34">
        <v>7.6899999999999999E-5</v>
      </c>
      <c r="O462" s="6">
        <f t="shared" si="163"/>
        <v>76.900000000000006</v>
      </c>
      <c r="P462" s="2">
        <v>-1.8890000000000001E-4</v>
      </c>
      <c r="Q462" s="6">
        <f t="shared" si="164"/>
        <v>-188.9</v>
      </c>
      <c r="R462" s="2">
        <f t="shared" si="165"/>
        <v>2.6580000000000001E-4</v>
      </c>
      <c r="S462" s="2">
        <v>3.4269999999999998E-4</v>
      </c>
      <c r="T462" s="6">
        <f t="shared" si="166"/>
        <v>342.7</v>
      </c>
      <c r="U462" s="10">
        <v>0.96899999999999997</v>
      </c>
      <c r="V462" s="11">
        <f t="shared" si="167"/>
        <v>1881.1136192626034</v>
      </c>
      <c r="W462" s="135">
        <f t="shared" si="168"/>
        <v>1.8811136192626035</v>
      </c>
      <c r="AM462">
        <v>5292</v>
      </c>
      <c r="AN462">
        <v>6.0000000000000001E-3</v>
      </c>
    </row>
    <row r="463" spans="7:40">
      <c r="G463" s="72" t="s">
        <v>412</v>
      </c>
      <c r="H463" s="10">
        <f>L416</f>
        <v>8.02</v>
      </c>
      <c r="I463" s="13">
        <f>N416</f>
        <v>0.33400000000000002</v>
      </c>
      <c r="J463" s="153">
        <f t="shared" si="169"/>
        <v>0.57792733107199556</v>
      </c>
      <c r="K463" s="75">
        <v>33.04</v>
      </c>
      <c r="L463" s="6">
        <v>-249.2</v>
      </c>
      <c r="M463" s="6">
        <v>315.3</v>
      </c>
      <c r="N463" s="34">
        <v>2.0589999999999999E-4</v>
      </c>
      <c r="O463" s="6">
        <f t="shared" si="163"/>
        <v>205.89999999999998</v>
      </c>
      <c r="P463" s="2">
        <v>-9.0569999999999995E-4</v>
      </c>
      <c r="Q463" s="6">
        <f t="shared" si="164"/>
        <v>-905.69999999999993</v>
      </c>
      <c r="R463" s="2">
        <f t="shared" si="165"/>
        <v>1.1115999999999999E-3</v>
      </c>
      <c r="S463" s="2">
        <v>1.3179999999999999E-3</v>
      </c>
      <c r="T463" s="6">
        <f t="shared" si="166"/>
        <v>1318</v>
      </c>
      <c r="U463" s="10">
        <v>0.9627</v>
      </c>
      <c r="V463" s="11">
        <f t="shared" si="167"/>
        <v>449.70094886900216</v>
      </c>
      <c r="W463" s="135">
        <f t="shared" si="168"/>
        <v>0.44970094886900214</v>
      </c>
      <c r="AM463">
        <v>5341</v>
      </c>
      <c r="AN463">
        <v>6.0000000000000001E-3</v>
      </c>
    </row>
    <row r="464" spans="7:40">
      <c r="G464" s="72" t="s">
        <v>409</v>
      </c>
      <c r="H464" s="10">
        <f>L420</f>
        <v>8.16</v>
      </c>
      <c r="I464" s="13">
        <f>N420</f>
        <v>0.34</v>
      </c>
      <c r="J464" s="153">
        <f t="shared" si="169"/>
        <v>0.5830951894845301</v>
      </c>
      <c r="K464" s="75">
        <v>35.32</v>
      </c>
      <c r="L464" s="6">
        <v>-97.8</v>
      </c>
      <c r="M464" s="6">
        <v>168.4</v>
      </c>
      <c r="N464" s="34">
        <v>2.9389999999999999E-4</v>
      </c>
      <c r="O464" s="6">
        <f t="shared" si="163"/>
        <v>293.89999999999998</v>
      </c>
      <c r="P464" s="2">
        <v>-3.1470000000000001E-4</v>
      </c>
      <c r="Q464" s="6">
        <f t="shared" si="164"/>
        <v>-314.7</v>
      </c>
      <c r="R464" s="2">
        <f t="shared" si="165"/>
        <v>6.0859999999999994E-4</v>
      </c>
      <c r="S464" s="2">
        <v>9.0249999999999998E-4</v>
      </c>
      <c r="T464" s="6">
        <f t="shared" si="166"/>
        <v>902.5</v>
      </c>
      <c r="U464" s="10">
        <v>0.99209999999999998</v>
      </c>
      <c r="V464" s="11">
        <f t="shared" si="167"/>
        <v>821.55767334866914</v>
      </c>
      <c r="W464" s="135">
        <f t="shared" si="168"/>
        <v>0.82155767334866914</v>
      </c>
      <c r="AM464">
        <v>5390</v>
      </c>
      <c r="AN464">
        <v>7.0000000000000001E-3</v>
      </c>
    </row>
    <row r="465" spans="7:40">
      <c r="G465" s="72" t="s">
        <v>410</v>
      </c>
      <c r="H465" s="10">
        <f>L423</f>
        <v>8.51</v>
      </c>
      <c r="I465" s="13">
        <f>N423</f>
        <v>0.35399999999999998</v>
      </c>
      <c r="J465" s="153">
        <f t="shared" si="169"/>
        <v>0.59497899122574061</v>
      </c>
      <c r="K465" s="75">
        <v>22.12</v>
      </c>
      <c r="L465" s="6">
        <v>-83.43</v>
      </c>
      <c r="M465" s="6">
        <v>127.7</v>
      </c>
      <c r="N465" s="34">
        <v>2.6860000000000002E-4</v>
      </c>
      <c r="O465" s="6">
        <f t="shared" si="163"/>
        <v>268.60000000000002</v>
      </c>
      <c r="P465" s="2">
        <v>-1.9110000000000001E-4</v>
      </c>
      <c r="Q465" s="6">
        <f t="shared" si="164"/>
        <v>-191.10000000000002</v>
      </c>
      <c r="R465" s="2">
        <f t="shared" si="165"/>
        <v>4.5970000000000006E-4</v>
      </c>
      <c r="S465" s="2">
        <v>7.2829999999999998E-4</v>
      </c>
      <c r="T465" s="6">
        <f t="shared" si="166"/>
        <v>728.3</v>
      </c>
      <c r="U465" s="10">
        <v>0.64480000000000004</v>
      </c>
      <c r="V465" s="11">
        <f t="shared" si="167"/>
        <v>1087.6658690450292</v>
      </c>
      <c r="W465" s="135">
        <f t="shared" si="168"/>
        <v>1.0876658690450292</v>
      </c>
      <c r="AM465">
        <v>5439</v>
      </c>
      <c r="AN465">
        <v>6.0000000000000001E-3</v>
      </c>
    </row>
    <row r="466" spans="7:40">
      <c r="G466" s="72" t="s">
        <v>417</v>
      </c>
      <c r="H466" s="10">
        <f>L427</f>
        <v>8.67</v>
      </c>
      <c r="I466" s="13">
        <f>N427</f>
        <v>0.36299999999999999</v>
      </c>
      <c r="J466" s="153">
        <f t="shared" si="169"/>
        <v>0.60249481325568277</v>
      </c>
      <c r="K466" s="75">
        <v>30.84</v>
      </c>
      <c r="L466" s="6">
        <v>-214.9</v>
      </c>
      <c r="M466" s="6">
        <v>276.5</v>
      </c>
      <c r="N466" s="34">
        <v>1.8990000000000001E-4</v>
      </c>
      <c r="O466" s="6">
        <f t="shared" si="163"/>
        <v>189.9</v>
      </c>
      <c r="P466" s="2">
        <v>-7.4489999999999995E-4</v>
      </c>
      <c r="Q466" s="6">
        <f t="shared" si="164"/>
        <v>-744.9</v>
      </c>
      <c r="R466" s="2">
        <f t="shared" si="165"/>
        <v>9.3479999999999995E-4</v>
      </c>
      <c r="S466" s="2">
        <v>1.1249999999999999E-3</v>
      </c>
      <c r="T466" s="6">
        <f t="shared" si="166"/>
        <v>1125</v>
      </c>
      <c r="U466" s="10">
        <v>0.95669999999999999</v>
      </c>
      <c r="V466" s="11">
        <f t="shared" si="167"/>
        <v>534.787956575218</v>
      </c>
      <c r="W466" s="135">
        <f t="shared" si="168"/>
        <v>0.53478795657521805</v>
      </c>
      <c r="AM466">
        <v>5488</v>
      </c>
      <c r="AN466">
        <v>6.0000000000000001E-3</v>
      </c>
    </row>
    <row r="467" spans="7:40">
      <c r="G467" s="72" t="s">
        <v>418</v>
      </c>
      <c r="H467" s="10">
        <f>L431</f>
        <v>9.0399999999999991</v>
      </c>
      <c r="I467" s="13">
        <f>N431</f>
        <v>0.38700000000000001</v>
      </c>
      <c r="J467" s="153">
        <f t="shared" si="169"/>
        <v>0.62209324059983162</v>
      </c>
      <c r="K467" s="75">
        <v>45.9</v>
      </c>
      <c r="L467" s="6">
        <v>-9.81</v>
      </c>
      <c r="M467" s="6">
        <v>101.6</v>
      </c>
      <c r="N467" s="2">
        <v>6.2580000000000003E-4</v>
      </c>
      <c r="O467" s="6">
        <f t="shared" si="163"/>
        <v>625.80000000000007</v>
      </c>
      <c r="P467" s="2">
        <v>1.428E-4</v>
      </c>
      <c r="Q467" s="6">
        <f t="shared" si="164"/>
        <v>142.80000000000001</v>
      </c>
      <c r="R467" s="2">
        <f t="shared" si="165"/>
        <v>4.8300000000000003E-4</v>
      </c>
      <c r="S467" s="2">
        <v>1.109E-3</v>
      </c>
      <c r="T467" s="6">
        <f t="shared" si="166"/>
        <v>1109</v>
      </c>
      <c r="U467" s="1">
        <v>0.98980000000000001</v>
      </c>
      <c r="V467" s="11">
        <f t="shared" si="167"/>
        <v>1034.98240529911</v>
      </c>
      <c r="W467" s="135">
        <f t="shared" si="168"/>
        <v>1.0349824052991101</v>
      </c>
      <c r="AM467">
        <v>5537</v>
      </c>
      <c r="AN467">
        <v>7.0000000000000001E-3</v>
      </c>
    </row>
    <row r="468" spans="7:40">
      <c r="G468" s="72" t="s">
        <v>414</v>
      </c>
      <c r="H468" s="10">
        <f>L435</f>
        <v>9.15</v>
      </c>
      <c r="I468" s="13">
        <f>N435</f>
        <v>0.39599999999999996</v>
      </c>
      <c r="J468" s="153">
        <f t="shared" si="169"/>
        <v>0.62928530890209089</v>
      </c>
      <c r="K468" s="75">
        <v>8.1</v>
      </c>
      <c r="L468" s="6">
        <v>-32.83</v>
      </c>
      <c r="M468" s="6">
        <v>49.03</v>
      </c>
      <c r="N468" s="34">
        <v>3.6890000000000002E-4</v>
      </c>
      <c r="O468" s="6">
        <f t="shared" si="163"/>
        <v>368.90000000000003</v>
      </c>
      <c r="P468" s="2">
        <v>-1.4679999999999999E-4</v>
      </c>
      <c r="Q468" s="6">
        <f t="shared" si="164"/>
        <v>-146.79999999999998</v>
      </c>
      <c r="R468" s="2">
        <f t="shared" si="165"/>
        <v>5.1570000000000001E-4</v>
      </c>
      <c r="S468" s="2">
        <v>8.8460000000000003E-4</v>
      </c>
      <c r="T468" s="6">
        <f t="shared" si="166"/>
        <v>884.6</v>
      </c>
      <c r="U468" s="10"/>
      <c r="V468" s="11">
        <f t="shared" si="167"/>
        <v>969.55594337793286</v>
      </c>
      <c r="W468" s="135">
        <f t="shared" si="168"/>
        <v>0.96955594337793283</v>
      </c>
      <c r="AM468">
        <v>5586</v>
      </c>
      <c r="AN468">
        <v>7.0000000000000001E-3</v>
      </c>
    </row>
    <row r="469" spans="7:40">
      <c r="G469" s="72" t="s">
        <v>411</v>
      </c>
      <c r="H469" s="10">
        <f>L439</f>
        <v>9.23</v>
      </c>
      <c r="I469" s="13">
        <f>N439</f>
        <v>0.40199999999999997</v>
      </c>
      <c r="J469" s="153">
        <f t="shared" si="169"/>
        <v>0.63403469936589429</v>
      </c>
      <c r="K469" s="75">
        <v>5.7270000000000003</v>
      </c>
      <c r="L469" s="6">
        <v>0.97089999999999999</v>
      </c>
      <c r="M469" s="6">
        <v>10.48</v>
      </c>
      <c r="N469" s="34">
        <v>2.6570000000000001E-4</v>
      </c>
      <c r="O469" s="6">
        <f t="shared" si="163"/>
        <v>265.7</v>
      </c>
      <c r="P469" s="2">
        <v>2.0939999999999999E-4</v>
      </c>
      <c r="Q469" s="6">
        <f t="shared" si="164"/>
        <v>209.4</v>
      </c>
      <c r="R469" s="2">
        <f t="shared" si="165"/>
        <v>5.6300000000000013E-5</v>
      </c>
      <c r="S469" s="2">
        <v>3.2210000000000002E-4</v>
      </c>
      <c r="T469" s="6">
        <f t="shared" si="166"/>
        <v>322.10000000000002</v>
      </c>
      <c r="U469" s="10">
        <v>0.96440000000000003</v>
      </c>
      <c r="V469" s="11">
        <f t="shared" si="167"/>
        <v>8873.1144631765728</v>
      </c>
      <c r="W469" s="135">
        <f t="shared" si="168"/>
        <v>8.8731144631765737</v>
      </c>
      <c r="AM469">
        <v>5635</v>
      </c>
      <c r="AN469">
        <v>7.0000000000000001E-3</v>
      </c>
    </row>
    <row r="470" spans="7:40">
      <c r="G470" s="72" t="s">
        <v>419</v>
      </c>
      <c r="H470" s="10">
        <f>L443</f>
        <v>9.32</v>
      </c>
      <c r="I470" s="13">
        <f>N443</f>
        <v>0.41099999999999998</v>
      </c>
      <c r="J470" s="153">
        <f t="shared" si="169"/>
        <v>0.64109281699298426</v>
      </c>
      <c r="K470" s="75">
        <v>9.4939999999999998</v>
      </c>
      <c r="L470" s="6">
        <v>7.2960000000000003</v>
      </c>
      <c r="M470" s="6">
        <v>11.69</v>
      </c>
      <c r="N470" s="34">
        <v>2.7090000000000003E-4</v>
      </c>
      <c r="O470" s="6">
        <f t="shared" si="163"/>
        <v>270.90000000000003</v>
      </c>
      <c r="P470" s="2">
        <v>2.4689999999999998E-4</v>
      </c>
      <c r="Q470" s="6">
        <f t="shared" si="164"/>
        <v>246.89999999999998</v>
      </c>
      <c r="R470" s="2">
        <f t="shared" si="165"/>
        <v>2.4000000000000041E-5</v>
      </c>
      <c r="S470" s="2">
        <v>2.9490000000000001E-4</v>
      </c>
      <c r="T470" s="6">
        <f t="shared" si="166"/>
        <v>294.90000000000003</v>
      </c>
      <c r="U470" s="10">
        <v>0.99990000000000001</v>
      </c>
      <c r="V470" s="11">
        <f t="shared" si="167"/>
        <v>20833.333333333321</v>
      </c>
      <c r="W470" s="135">
        <f t="shared" si="168"/>
        <v>20.833333333333321</v>
      </c>
      <c r="AM470">
        <v>5684</v>
      </c>
      <c r="AN470">
        <v>7.0000000000000001E-3</v>
      </c>
    </row>
    <row r="471" spans="7:40">
      <c r="G471" s="72" t="s">
        <v>415</v>
      </c>
      <c r="H471" s="10">
        <f>L447</f>
        <v>9.43</v>
      </c>
      <c r="I471" s="13">
        <f>N447</f>
        <v>0.42099999999999999</v>
      </c>
      <c r="J471" s="153">
        <f t="shared" si="169"/>
        <v>0.64884512790033333</v>
      </c>
      <c r="K471" s="75">
        <v>13.46</v>
      </c>
      <c r="L471" s="6">
        <v>-64.510000000000005</v>
      </c>
      <c r="M471" s="6">
        <v>91.43</v>
      </c>
      <c r="N471" s="34">
        <v>3.6830000000000001E-4</v>
      </c>
      <c r="O471" s="6">
        <f t="shared" si="163"/>
        <v>368.3</v>
      </c>
      <c r="P471" s="2">
        <v>-2.9240000000000001E-4</v>
      </c>
      <c r="Q471" s="6">
        <f t="shared" si="164"/>
        <v>-292.40000000000003</v>
      </c>
      <c r="R471" s="2">
        <f t="shared" si="165"/>
        <v>6.6069999999999996E-4</v>
      </c>
      <c r="S471" s="2">
        <v>1.029E-3</v>
      </c>
      <c r="T471" s="6">
        <f t="shared" si="166"/>
        <v>1029</v>
      </c>
      <c r="U471" s="10">
        <v>0.41</v>
      </c>
      <c r="V471" s="11">
        <f t="shared" si="167"/>
        <v>756.77311941879827</v>
      </c>
      <c r="W471" s="135">
        <f t="shared" si="168"/>
        <v>0.75677311941879832</v>
      </c>
      <c r="AM471">
        <v>5733</v>
      </c>
      <c r="AN471">
        <v>7.0000000000000001E-3</v>
      </c>
    </row>
    <row r="472" spans="7:40">
      <c r="G472" s="72" t="s">
        <v>416</v>
      </c>
      <c r="H472" s="10">
        <f>L451</f>
        <v>9.73</v>
      </c>
      <c r="I472" s="13">
        <f>N451</f>
        <v>0.44600000000000001</v>
      </c>
      <c r="J472" s="153">
        <f t="shared" si="169"/>
        <v>0.66783231428255996</v>
      </c>
      <c r="K472" s="75">
        <v>7.1959999999999997</v>
      </c>
      <c r="L472" s="6">
        <v>-84.86</v>
      </c>
      <c r="M472" s="6">
        <v>99.25</v>
      </c>
      <c r="N472" s="34">
        <v>1.5320000000000001E-4</v>
      </c>
      <c r="O472" s="6">
        <f t="shared" si="163"/>
        <v>153.20000000000002</v>
      </c>
      <c r="P472" s="2">
        <v>-5.04E-4</v>
      </c>
      <c r="Q472" s="6">
        <f t="shared" si="164"/>
        <v>-504</v>
      </c>
      <c r="R472" s="2">
        <f t="shared" si="165"/>
        <v>6.5720000000000004E-4</v>
      </c>
      <c r="S472" s="2">
        <v>8.1039999999999997E-4</v>
      </c>
      <c r="T472" s="6">
        <f t="shared" si="166"/>
        <v>810.4</v>
      </c>
      <c r="U472" s="10">
        <v>0.63239999999999996</v>
      </c>
      <c r="V472" s="11">
        <f t="shared" si="167"/>
        <v>760.80340839926976</v>
      </c>
      <c r="W472" s="135">
        <f t="shared" si="168"/>
        <v>0.76080340839926974</v>
      </c>
      <c r="AM472">
        <v>5782</v>
      </c>
      <c r="AN472">
        <v>7.0000000000000001E-3</v>
      </c>
    </row>
    <row r="473" spans="7:40">
      <c r="G473" s="8"/>
      <c r="H473" s="10"/>
      <c r="I473" s="13"/>
      <c r="J473" s="153"/>
      <c r="K473" s="13"/>
      <c r="L473" s="75"/>
      <c r="M473" s="6"/>
      <c r="N473" s="6"/>
      <c r="O473" s="34"/>
      <c r="P473" s="6"/>
      <c r="Q473" s="2"/>
      <c r="R473" s="6"/>
      <c r="S473" s="2"/>
      <c r="T473" s="2"/>
      <c r="U473" s="6"/>
      <c r="V473" s="10"/>
      <c r="W473" s="11"/>
      <c r="X473" s="135"/>
      <c r="AM473">
        <v>5831</v>
      </c>
      <c r="AN473">
        <v>7.0000000000000001E-3</v>
      </c>
    </row>
    <row r="474" spans="7:40">
      <c r="G474" s="9"/>
      <c r="H474" s="10"/>
      <c r="I474" s="13"/>
      <c r="J474" s="153"/>
      <c r="K474" s="13"/>
      <c r="L474" s="6"/>
      <c r="M474" s="6"/>
      <c r="N474" s="6"/>
      <c r="O474" s="2"/>
      <c r="P474" s="6"/>
      <c r="Q474" s="2"/>
      <c r="R474" s="6"/>
      <c r="S474" s="2"/>
      <c r="T474" s="2"/>
      <c r="U474" s="6"/>
      <c r="V474" s="10"/>
      <c r="W474" s="11"/>
      <c r="X474" s="135"/>
      <c r="AM474">
        <v>5880</v>
      </c>
      <c r="AN474">
        <v>7.0000000000000001E-3</v>
      </c>
    </row>
    <row r="475" spans="7:40">
      <c r="G475" s="9"/>
      <c r="H475" s="10"/>
      <c r="I475" s="13"/>
      <c r="J475" s="153"/>
      <c r="K475" s="13"/>
      <c r="L475" s="6"/>
      <c r="O475" s="2"/>
      <c r="Q475" s="11"/>
      <c r="S475" s="11"/>
      <c r="T475" s="154"/>
      <c r="V475" s="11"/>
      <c r="X475" s="135"/>
      <c r="AM475">
        <v>5929</v>
      </c>
      <c r="AN475">
        <v>7.0000000000000001E-3</v>
      </c>
    </row>
    <row r="476" spans="7:40">
      <c r="G476" s="8"/>
      <c r="H476" s="8"/>
      <c r="AM476">
        <v>5978</v>
      </c>
      <c r="AN476">
        <v>7.0000000000000001E-3</v>
      </c>
    </row>
    <row r="477" spans="7:40">
      <c r="AM477">
        <v>6027</v>
      </c>
      <c r="AN477">
        <v>8.0000000000000002E-3</v>
      </c>
    </row>
    <row r="478" spans="7:40">
      <c r="AM478">
        <v>6076</v>
      </c>
      <c r="AN478">
        <v>8.0000000000000002E-3</v>
      </c>
    </row>
    <row r="479" spans="7:40">
      <c r="AM479">
        <v>6125</v>
      </c>
      <c r="AN479">
        <v>8.0000000000000002E-3</v>
      </c>
    </row>
    <row r="480" spans="7:40">
      <c r="AM480">
        <v>6174</v>
      </c>
      <c r="AN480">
        <v>8.9999999999999993E-3</v>
      </c>
    </row>
    <row r="481" spans="39:40">
      <c r="AM481">
        <v>6223</v>
      </c>
      <c r="AN481">
        <v>7.0000000000000001E-3</v>
      </c>
    </row>
    <row r="482" spans="39:40">
      <c r="AM482">
        <v>6272</v>
      </c>
      <c r="AN482">
        <v>8.0000000000000002E-3</v>
      </c>
    </row>
    <row r="483" spans="39:40">
      <c r="AM483">
        <v>6321</v>
      </c>
      <c r="AN483">
        <v>8.9999999999999993E-3</v>
      </c>
    </row>
    <row r="484" spans="39:40">
      <c r="AM484">
        <v>6370</v>
      </c>
      <c r="AN484">
        <v>8.0000000000000002E-3</v>
      </c>
    </row>
    <row r="485" spans="39:40">
      <c r="AM485">
        <v>6419</v>
      </c>
      <c r="AN485">
        <v>8.0000000000000002E-3</v>
      </c>
    </row>
    <row r="486" spans="39:40">
      <c r="AM486">
        <v>6468</v>
      </c>
      <c r="AN486">
        <v>8.9999999999999993E-3</v>
      </c>
    </row>
    <row r="487" spans="39:40">
      <c r="AM487">
        <v>6517</v>
      </c>
      <c r="AN487">
        <v>8.0000000000000002E-3</v>
      </c>
    </row>
    <row r="488" spans="39:40">
      <c r="AM488">
        <v>6566</v>
      </c>
      <c r="AN488">
        <v>8.9999999999999993E-3</v>
      </c>
    </row>
    <row r="489" spans="39:40">
      <c r="AM489">
        <v>6615</v>
      </c>
      <c r="AN489">
        <v>8.0000000000000002E-3</v>
      </c>
    </row>
    <row r="490" spans="39:40">
      <c r="AM490">
        <v>6664</v>
      </c>
      <c r="AN490">
        <v>8.0000000000000002E-3</v>
      </c>
    </row>
    <row r="491" spans="39:40">
      <c r="AM491">
        <v>6713</v>
      </c>
      <c r="AN491">
        <v>8.9999999999999993E-3</v>
      </c>
    </row>
    <row r="492" spans="39:40">
      <c r="AM492">
        <v>6762</v>
      </c>
      <c r="AN492">
        <v>8.9999999999999993E-3</v>
      </c>
    </row>
    <row r="493" spans="39:40">
      <c r="AM493">
        <v>6811</v>
      </c>
      <c r="AN493">
        <v>8.0000000000000002E-3</v>
      </c>
    </row>
    <row r="494" spans="39:40">
      <c r="AM494">
        <v>6860</v>
      </c>
      <c r="AN494">
        <v>0.01</v>
      </c>
    </row>
    <row r="495" spans="39:40">
      <c r="AM495">
        <v>6909</v>
      </c>
      <c r="AN495">
        <v>8.9999999999999993E-3</v>
      </c>
    </row>
    <row r="496" spans="39:40">
      <c r="AM496">
        <v>6958</v>
      </c>
      <c r="AN496">
        <v>8.9999999999999993E-3</v>
      </c>
    </row>
    <row r="497" spans="39:40">
      <c r="AM497">
        <v>7007</v>
      </c>
      <c r="AN497">
        <v>8.9999999999999993E-3</v>
      </c>
    </row>
    <row r="498" spans="39:40">
      <c r="AM498">
        <v>7056</v>
      </c>
      <c r="AN498">
        <v>8.9999999999999993E-3</v>
      </c>
    </row>
    <row r="499" spans="39:40">
      <c r="AM499">
        <v>7105</v>
      </c>
      <c r="AN499">
        <v>8.9999999999999993E-3</v>
      </c>
    </row>
    <row r="500" spans="39:40">
      <c r="AM500">
        <v>7154</v>
      </c>
      <c r="AN500">
        <v>0.01</v>
      </c>
    </row>
    <row r="501" spans="39:40">
      <c r="AM501">
        <v>7203</v>
      </c>
      <c r="AN501">
        <v>8.9999999999999993E-3</v>
      </c>
    </row>
    <row r="502" spans="39:40">
      <c r="AM502">
        <v>7252</v>
      </c>
      <c r="AN502">
        <v>8.9999999999999993E-3</v>
      </c>
    </row>
    <row r="503" spans="39:40">
      <c r="AM503">
        <v>7301</v>
      </c>
      <c r="AN503">
        <v>1.0999999999999999E-2</v>
      </c>
    </row>
    <row r="504" spans="39:40">
      <c r="AM504">
        <v>7350</v>
      </c>
      <c r="AN504">
        <v>8.9999999999999993E-3</v>
      </c>
    </row>
    <row r="505" spans="39:40">
      <c r="AM505">
        <v>7399</v>
      </c>
      <c r="AN505">
        <v>0.01</v>
      </c>
    </row>
    <row r="506" spans="39:40">
      <c r="AM506">
        <v>7448</v>
      </c>
      <c r="AN506">
        <v>0.01</v>
      </c>
    </row>
    <row r="507" spans="39:40">
      <c r="AM507">
        <v>7497</v>
      </c>
      <c r="AN507">
        <v>1.0999999999999999E-2</v>
      </c>
    </row>
    <row r="508" spans="39:40">
      <c r="AM508">
        <v>7546</v>
      </c>
      <c r="AN508">
        <v>0.01</v>
      </c>
    </row>
    <row r="509" spans="39:40">
      <c r="AM509">
        <v>7595</v>
      </c>
      <c r="AN509">
        <v>0.01</v>
      </c>
    </row>
    <row r="510" spans="39:40">
      <c r="AM510">
        <v>7644</v>
      </c>
      <c r="AN510">
        <v>1.0999999999999999E-2</v>
      </c>
    </row>
    <row r="511" spans="39:40">
      <c r="AM511">
        <v>7693</v>
      </c>
      <c r="AN511">
        <v>1.0999999999999999E-2</v>
      </c>
    </row>
    <row r="512" spans="39:40">
      <c r="AM512">
        <v>7742</v>
      </c>
      <c r="AN512">
        <v>1.0999999999999999E-2</v>
      </c>
    </row>
    <row r="513" spans="5:40">
      <c r="AM513">
        <v>7791</v>
      </c>
      <c r="AN513">
        <v>1.0999999999999999E-2</v>
      </c>
    </row>
    <row r="514" spans="5:40">
      <c r="AM514">
        <v>7840</v>
      </c>
      <c r="AN514">
        <v>0.01</v>
      </c>
    </row>
    <row r="515" spans="5:40">
      <c r="E515" s="11"/>
      <c r="F515" s="11"/>
      <c r="G515" s="1"/>
      <c r="H515" s="1"/>
      <c r="I515" s="6"/>
      <c r="J515" s="2"/>
      <c r="K515" s="2"/>
      <c r="L515" s="2"/>
      <c r="M515" s="11"/>
      <c r="N515" s="11"/>
      <c r="O515" s="11"/>
      <c r="AM515">
        <v>7889</v>
      </c>
      <c r="AN515">
        <v>1.0999999999999999E-2</v>
      </c>
    </row>
    <row r="516" spans="5:40">
      <c r="E516" s="11"/>
      <c r="F516" s="11"/>
      <c r="G516" s="1"/>
      <c r="H516" s="1"/>
      <c r="I516" s="6"/>
      <c r="J516" s="2"/>
      <c r="K516" s="2"/>
      <c r="L516" s="2"/>
      <c r="M516" s="11"/>
      <c r="N516" s="11"/>
      <c r="O516" s="11"/>
      <c r="AM516">
        <v>7938</v>
      </c>
      <c r="AN516">
        <v>1.0999999999999999E-2</v>
      </c>
    </row>
    <row r="517" spans="5:40">
      <c r="E517" s="11"/>
      <c r="F517" s="11"/>
      <c r="G517" s="1"/>
      <c r="H517" s="1"/>
      <c r="I517" s="6"/>
      <c r="J517" s="2"/>
      <c r="K517" s="2"/>
      <c r="L517" s="2"/>
      <c r="M517" s="11"/>
      <c r="N517" s="11"/>
      <c r="O517" s="11"/>
      <c r="AM517">
        <v>7987</v>
      </c>
      <c r="AN517">
        <v>1.0999999999999999E-2</v>
      </c>
    </row>
    <row r="518" spans="5:40">
      <c r="E518" s="11"/>
      <c r="F518" s="11"/>
      <c r="G518" s="1"/>
      <c r="H518" s="1"/>
      <c r="I518" s="6"/>
      <c r="J518" s="2"/>
      <c r="K518" s="2"/>
      <c r="L518" s="2"/>
      <c r="M518" s="11"/>
      <c r="N518" s="11"/>
      <c r="O518" s="11"/>
      <c r="AM518">
        <v>8036</v>
      </c>
      <c r="AN518">
        <v>1.2E-2</v>
      </c>
    </row>
    <row r="519" spans="5:40">
      <c r="E519" s="11"/>
      <c r="F519" s="11"/>
      <c r="G519" s="1"/>
      <c r="H519" s="1"/>
      <c r="I519" s="6"/>
      <c r="J519" s="2"/>
      <c r="K519" s="2"/>
      <c r="L519" s="2"/>
      <c r="M519" s="11"/>
      <c r="N519" s="11"/>
      <c r="O519" s="11"/>
      <c r="AM519">
        <v>8085</v>
      </c>
      <c r="AN519">
        <v>1.0999999999999999E-2</v>
      </c>
    </row>
    <row r="520" spans="5:40">
      <c r="E520" s="11"/>
      <c r="F520" s="11"/>
      <c r="G520" s="1"/>
      <c r="H520" s="1"/>
      <c r="I520" s="6"/>
      <c r="J520" s="2"/>
      <c r="K520" s="2"/>
      <c r="L520" s="2"/>
      <c r="M520" s="11"/>
      <c r="N520" s="11"/>
      <c r="O520" s="11"/>
      <c r="AM520">
        <v>8134</v>
      </c>
      <c r="AN520">
        <v>1.2E-2</v>
      </c>
    </row>
    <row r="521" spans="5:40">
      <c r="E521" s="11"/>
      <c r="F521" s="11"/>
      <c r="G521" s="1"/>
      <c r="H521" s="12"/>
      <c r="I521" s="6"/>
      <c r="J521" s="2"/>
      <c r="K521" s="2"/>
      <c r="L521" s="2"/>
      <c r="M521" s="11"/>
      <c r="N521" s="11"/>
      <c r="O521" s="11"/>
      <c r="AM521">
        <v>8183</v>
      </c>
      <c r="AN521">
        <v>1.2E-2</v>
      </c>
    </row>
    <row r="522" spans="5:40">
      <c r="E522" s="11"/>
      <c r="F522" s="11"/>
      <c r="G522" s="1"/>
      <c r="H522" s="12"/>
      <c r="I522" s="6"/>
      <c r="J522" s="2"/>
      <c r="K522" s="2"/>
      <c r="L522" s="2"/>
      <c r="M522" s="11"/>
      <c r="N522" s="11"/>
      <c r="O522" s="11"/>
      <c r="AM522">
        <v>8232</v>
      </c>
      <c r="AN522">
        <v>1.2E-2</v>
      </c>
    </row>
    <row r="523" spans="5:40">
      <c r="E523" s="11"/>
      <c r="F523" s="11"/>
      <c r="G523" s="1"/>
      <c r="H523" s="12"/>
      <c r="I523" s="6"/>
      <c r="J523" s="2"/>
      <c r="K523" s="2"/>
      <c r="L523" s="2"/>
      <c r="M523" s="11"/>
      <c r="N523" s="11"/>
      <c r="O523" s="11"/>
      <c r="AM523">
        <v>8281</v>
      </c>
      <c r="AN523">
        <v>1.2E-2</v>
      </c>
    </row>
    <row r="524" spans="5:40">
      <c r="E524" s="11"/>
      <c r="F524" s="11"/>
      <c r="G524" s="1"/>
      <c r="H524" s="1"/>
      <c r="I524" s="6"/>
      <c r="J524" s="2"/>
      <c r="K524" s="2"/>
      <c r="L524" s="2"/>
      <c r="M524" s="11"/>
      <c r="N524" s="11"/>
      <c r="O524" s="11"/>
      <c r="AM524">
        <v>8330</v>
      </c>
      <c r="AN524">
        <v>1.2E-2</v>
      </c>
    </row>
    <row r="525" spans="5:40">
      <c r="E525" s="11"/>
      <c r="F525" s="11"/>
      <c r="G525" s="1"/>
      <c r="H525" s="1"/>
      <c r="I525" s="6"/>
      <c r="J525" s="2"/>
      <c r="K525" s="2"/>
      <c r="L525" s="2"/>
      <c r="M525" s="11"/>
      <c r="N525" s="11"/>
      <c r="O525" s="11"/>
      <c r="AM525">
        <v>8379</v>
      </c>
      <c r="AN525">
        <v>1.2999999999999999E-2</v>
      </c>
    </row>
    <row r="526" spans="5:40">
      <c r="E526" s="11"/>
      <c r="F526" s="11"/>
      <c r="G526" s="1"/>
      <c r="H526" s="12"/>
      <c r="I526" s="6"/>
      <c r="J526" s="2"/>
      <c r="K526" s="2"/>
      <c r="L526" s="2"/>
      <c r="M526" s="2"/>
      <c r="N526" s="11"/>
      <c r="O526" s="11"/>
      <c r="AM526">
        <v>8428</v>
      </c>
      <c r="AN526">
        <v>1.0999999999999999E-2</v>
      </c>
    </row>
    <row r="527" spans="5:40">
      <c r="E527" s="11"/>
      <c r="F527" s="11"/>
      <c r="G527" s="1"/>
      <c r="H527" s="12"/>
      <c r="I527" s="6"/>
      <c r="J527" s="2"/>
      <c r="K527" s="2"/>
      <c r="L527" s="2"/>
      <c r="M527" s="2"/>
      <c r="N527" s="11"/>
      <c r="O527" s="11"/>
      <c r="AM527">
        <v>8477</v>
      </c>
      <c r="AN527">
        <v>1.2E-2</v>
      </c>
    </row>
    <row r="528" spans="5:40">
      <c r="E528" s="11"/>
      <c r="F528" s="11"/>
      <c r="G528" s="1"/>
      <c r="H528" s="12"/>
      <c r="I528" s="6"/>
      <c r="J528" s="2"/>
      <c r="K528" s="2"/>
      <c r="L528" s="2"/>
      <c r="M528" s="2"/>
      <c r="N528" s="11"/>
      <c r="O528" s="11"/>
      <c r="AM528">
        <v>8526</v>
      </c>
      <c r="AN528">
        <v>1.2E-2</v>
      </c>
    </row>
    <row r="529" spans="5:40">
      <c r="E529" s="11"/>
      <c r="F529" s="11"/>
      <c r="G529" s="1"/>
      <c r="H529" s="12"/>
      <c r="I529" s="6"/>
      <c r="J529" s="2"/>
      <c r="K529" s="2"/>
      <c r="L529" s="2"/>
      <c r="M529" s="2"/>
      <c r="N529" s="11"/>
      <c r="O529" s="11"/>
      <c r="AM529">
        <v>8575</v>
      </c>
      <c r="AN529">
        <v>1.2E-2</v>
      </c>
    </row>
    <row r="530" spans="5:40">
      <c r="E530" s="11"/>
      <c r="F530" s="11"/>
      <c r="G530" s="1"/>
      <c r="H530" s="1"/>
      <c r="I530" s="6"/>
      <c r="J530" s="2"/>
      <c r="K530" s="2"/>
      <c r="L530" s="2"/>
      <c r="M530" s="2"/>
      <c r="N530" s="11"/>
      <c r="O530" s="11"/>
      <c r="AM530">
        <v>8624</v>
      </c>
      <c r="AN530">
        <v>1.2E-2</v>
      </c>
    </row>
    <row r="531" spans="5:40">
      <c r="E531" s="11"/>
      <c r="F531" s="11"/>
      <c r="G531" s="1"/>
      <c r="H531" s="1"/>
      <c r="I531" s="6"/>
      <c r="J531" s="2"/>
      <c r="K531" s="2"/>
      <c r="L531" s="2"/>
      <c r="M531" s="2"/>
      <c r="N531" s="11"/>
      <c r="O531" s="11"/>
      <c r="AM531">
        <v>8673</v>
      </c>
      <c r="AN531">
        <v>1.2999999999999999E-2</v>
      </c>
    </row>
    <row r="532" spans="5:40">
      <c r="E532" s="11"/>
      <c r="F532" s="11"/>
      <c r="G532" s="1"/>
      <c r="H532" s="1"/>
      <c r="I532" s="6"/>
      <c r="J532" s="2"/>
      <c r="K532" s="2"/>
      <c r="L532" s="2"/>
      <c r="M532" s="2"/>
      <c r="N532" s="11"/>
      <c r="O532" s="11"/>
      <c r="AM532">
        <v>8722</v>
      </c>
      <c r="AN532">
        <v>1.2E-2</v>
      </c>
    </row>
    <row r="533" spans="5:40">
      <c r="E533" s="11"/>
      <c r="F533" s="11"/>
      <c r="G533" s="1"/>
      <c r="H533" s="1"/>
      <c r="I533" s="6"/>
      <c r="J533" s="2"/>
      <c r="K533" s="2"/>
      <c r="L533" s="2"/>
      <c r="M533" s="2"/>
      <c r="N533" s="11"/>
      <c r="O533" s="11"/>
      <c r="P533" s="2"/>
      <c r="Q533" s="5"/>
      <c r="R533" s="7"/>
      <c r="AM533">
        <v>8771</v>
      </c>
      <c r="AN533">
        <v>1.2E-2</v>
      </c>
    </row>
    <row r="534" spans="5:40">
      <c r="E534" s="11"/>
      <c r="F534" s="11"/>
      <c r="G534" s="1"/>
      <c r="H534" s="1"/>
      <c r="I534" s="6"/>
      <c r="J534" s="2"/>
      <c r="K534" s="2"/>
      <c r="L534" s="2"/>
      <c r="M534" s="2"/>
      <c r="N534" s="11"/>
      <c r="O534" s="11"/>
      <c r="P534" s="2"/>
      <c r="Q534" s="5"/>
      <c r="R534" s="7"/>
      <c r="AM534">
        <v>8820</v>
      </c>
      <c r="AN534">
        <v>1.2999999999999999E-2</v>
      </c>
    </row>
    <row r="535" spans="5:40">
      <c r="E535" s="11"/>
      <c r="F535" s="11"/>
      <c r="G535" s="1"/>
      <c r="H535" s="1"/>
      <c r="I535" s="6"/>
      <c r="J535" s="2"/>
      <c r="K535" s="2"/>
      <c r="L535" s="2"/>
      <c r="M535" s="2"/>
      <c r="N535" s="11"/>
      <c r="O535" s="11"/>
      <c r="P535" s="2"/>
      <c r="Q535" s="5"/>
      <c r="R535" s="7"/>
      <c r="AM535">
        <v>8869</v>
      </c>
      <c r="AN535">
        <v>1.2999999999999999E-2</v>
      </c>
    </row>
    <row r="536" spans="5:40">
      <c r="E536" s="11"/>
      <c r="F536" s="11"/>
      <c r="G536" s="1"/>
      <c r="H536" s="1"/>
      <c r="I536" s="6"/>
      <c r="J536" s="2"/>
      <c r="K536" s="2"/>
      <c r="L536" s="2"/>
      <c r="M536" s="2"/>
      <c r="N536" s="11"/>
      <c r="O536" s="11"/>
      <c r="P536" s="2"/>
      <c r="Q536" s="5"/>
      <c r="R536" s="7"/>
      <c r="AM536">
        <v>8918</v>
      </c>
      <c r="AN536">
        <v>1.2999999999999999E-2</v>
      </c>
    </row>
    <row r="537" spans="5:40">
      <c r="E537" s="11"/>
      <c r="F537" s="11"/>
      <c r="G537" s="1"/>
      <c r="H537" s="1"/>
      <c r="I537" s="6"/>
      <c r="J537" s="2"/>
      <c r="K537" s="2"/>
      <c r="L537" s="2"/>
      <c r="M537" s="2"/>
      <c r="N537" s="11"/>
      <c r="O537" s="11"/>
      <c r="P537" s="2"/>
      <c r="Q537" s="5"/>
      <c r="R537" s="7"/>
      <c r="AM537">
        <v>8967</v>
      </c>
      <c r="AN537">
        <v>1.2999999999999999E-2</v>
      </c>
    </row>
    <row r="538" spans="5:40">
      <c r="E538" s="11"/>
      <c r="F538" s="11"/>
      <c r="G538" s="1"/>
      <c r="H538" s="1"/>
      <c r="I538" s="6"/>
      <c r="J538" s="2"/>
      <c r="K538" s="2"/>
      <c r="L538" s="2"/>
      <c r="M538" s="2"/>
      <c r="N538" s="11"/>
      <c r="O538" s="11"/>
      <c r="P538" s="2"/>
      <c r="Q538" s="5"/>
      <c r="R538" s="7"/>
      <c r="AM538">
        <v>9016</v>
      </c>
      <c r="AN538">
        <v>1.2E-2</v>
      </c>
    </row>
    <row r="539" spans="5:40">
      <c r="E539" s="11"/>
      <c r="F539" s="11"/>
      <c r="G539" s="1"/>
      <c r="H539" s="1"/>
      <c r="I539" s="6"/>
      <c r="J539" s="2"/>
      <c r="K539" s="2"/>
      <c r="L539" s="2"/>
      <c r="M539" s="2"/>
      <c r="N539" s="11"/>
      <c r="O539" s="11"/>
      <c r="P539" s="2"/>
      <c r="Q539" s="5"/>
      <c r="R539" s="7"/>
      <c r="AM539">
        <v>9065</v>
      </c>
      <c r="AN539">
        <v>1.2999999999999999E-2</v>
      </c>
    </row>
    <row r="540" spans="5:40">
      <c r="J540" s="1"/>
      <c r="L540" s="1"/>
      <c r="M540" s="2"/>
      <c r="N540" s="2"/>
      <c r="O540" s="5"/>
      <c r="P540" s="2"/>
      <c r="Q540" s="5"/>
      <c r="R540" s="7"/>
      <c r="AM540">
        <v>9114</v>
      </c>
      <c r="AN540">
        <v>1.2999999999999999E-2</v>
      </c>
    </row>
    <row r="541" spans="5:40">
      <c r="J541" s="1"/>
      <c r="L541" s="1"/>
      <c r="M541" s="2"/>
      <c r="N541" s="2"/>
      <c r="O541" s="5"/>
      <c r="P541" s="2"/>
      <c r="Q541" s="5"/>
      <c r="R541" s="7"/>
      <c r="AM541">
        <v>9163</v>
      </c>
      <c r="AN541">
        <v>1.2999999999999999E-2</v>
      </c>
    </row>
    <row r="542" spans="5:40">
      <c r="J542" s="1"/>
      <c r="L542" s="1"/>
      <c r="M542" s="2"/>
      <c r="N542" s="2"/>
      <c r="O542" s="5"/>
      <c r="P542" s="2"/>
      <c r="Q542" s="5"/>
      <c r="R542" s="7"/>
      <c r="AM542">
        <v>9212</v>
      </c>
      <c r="AN542">
        <v>1.2999999999999999E-2</v>
      </c>
    </row>
    <row r="543" spans="5:40">
      <c r="J543" s="1"/>
      <c r="L543" s="1"/>
      <c r="M543" s="2"/>
      <c r="N543" s="2"/>
      <c r="O543" s="5"/>
      <c r="P543" s="2"/>
      <c r="Q543" s="5"/>
      <c r="R543" s="7"/>
      <c r="AM543">
        <v>9261</v>
      </c>
      <c r="AN543">
        <v>1.2999999999999999E-2</v>
      </c>
    </row>
    <row r="544" spans="5:40">
      <c r="J544" s="1"/>
      <c r="L544" s="1"/>
      <c r="M544" s="2"/>
      <c r="N544" s="2"/>
      <c r="O544" s="5"/>
      <c r="P544" s="2"/>
      <c r="Q544" s="5"/>
      <c r="R544" s="7"/>
      <c r="AM544">
        <v>9310</v>
      </c>
      <c r="AN544">
        <v>1.2999999999999999E-2</v>
      </c>
    </row>
    <row r="545" spans="10:40">
      <c r="J545" s="1"/>
      <c r="L545" s="1"/>
      <c r="M545" s="2"/>
      <c r="N545" s="2"/>
      <c r="O545" s="5"/>
      <c r="P545" s="2"/>
      <c r="Q545" s="5"/>
      <c r="R545" s="7"/>
      <c r="AM545">
        <v>9359</v>
      </c>
      <c r="AN545">
        <v>1.2999999999999999E-2</v>
      </c>
    </row>
    <row r="546" spans="10:40">
      <c r="J546" s="1"/>
      <c r="L546" s="1"/>
      <c r="M546" s="2"/>
      <c r="N546" s="2"/>
      <c r="O546" s="5"/>
      <c r="P546" s="2"/>
      <c r="Q546" s="5"/>
      <c r="R546" s="7"/>
      <c r="AM546">
        <v>9408</v>
      </c>
      <c r="AN546">
        <v>1.2999999999999999E-2</v>
      </c>
    </row>
    <row r="547" spans="10:40">
      <c r="J547" s="1"/>
      <c r="L547" s="1"/>
      <c r="M547" s="2"/>
      <c r="N547" s="2"/>
      <c r="O547" s="5"/>
      <c r="P547" s="2"/>
      <c r="Q547" s="5"/>
      <c r="R547" s="7"/>
      <c r="AM547">
        <v>9457</v>
      </c>
      <c r="AN547">
        <v>1.2999999999999999E-2</v>
      </c>
    </row>
    <row r="548" spans="10:40">
      <c r="J548" s="1"/>
      <c r="L548" s="1"/>
      <c r="M548" s="2"/>
      <c r="N548" s="2"/>
      <c r="O548" s="5"/>
      <c r="P548" s="2"/>
      <c r="Q548" s="5"/>
      <c r="R548" s="7"/>
      <c r="AM548">
        <v>9506</v>
      </c>
      <c r="AN548">
        <v>1.4E-2</v>
      </c>
    </row>
    <row r="549" spans="10:40">
      <c r="AM549">
        <v>9555</v>
      </c>
      <c r="AN549">
        <v>1.4E-2</v>
      </c>
    </row>
    <row r="550" spans="10:40">
      <c r="AM550">
        <v>9604</v>
      </c>
      <c r="AN550">
        <v>1.4E-2</v>
      </c>
    </row>
    <row r="551" spans="10:40">
      <c r="AM551">
        <v>9653</v>
      </c>
      <c r="AN551">
        <v>1.4E-2</v>
      </c>
    </row>
    <row r="552" spans="10:40">
      <c r="AM552">
        <v>9702</v>
      </c>
      <c r="AN552">
        <v>1.4E-2</v>
      </c>
    </row>
    <row r="553" spans="10:40">
      <c r="AM553">
        <v>9751</v>
      </c>
      <c r="AN553">
        <v>1.4E-2</v>
      </c>
    </row>
    <row r="554" spans="10:40">
      <c r="AM554">
        <v>9800</v>
      </c>
      <c r="AN554">
        <v>1.4E-2</v>
      </c>
    </row>
    <row r="555" spans="10:40">
      <c r="AM555">
        <v>9849</v>
      </c>
      <c r="AN555">
        <v>1.4E-2</v>
      </c>
    </row>
    <row r="556" spans="10:40">
      <c r="AM556">
        <v>9898</v>
      </c>
      <c r="AN556">
        <v>1.4E-2</v>
      </c>
    </row>
    <row r="557" spans="10:40">
      <c r="AM557">
        <v>9947</v>
      </c>
      <c r="AN557">
        <v>1.4E-2</v>
      </c>
    </row>
    <row r="558" spans="10:40">
      <c r="AM558">
        <v>9996</v>
      </c>
      <c r="AN558">
        <v>1.4E-2</v>
      </c>
    </row>
    <row r="559" spans="10:40">
      <c r="AM559">
        <v>10045</v>
      </c>
      <c r="AN559">
        <v>1.4E-2</v>
      </c>
    </row>
    <row r="560" spans="10:40">
      <c r="AM560">
        <v>10094</v>
      </c>
      <c r="AN560">
        <v>1.4999999999999999E-2</v>
      </c>
    </row>
    <row r="561" spans="39:40">
      <c r="AM561">
        <v>10143</v>
      </c>
      <c r="AN561">
        <v>1.4999999999999999E-2</v>
      </c>
    </row>
    <row r="562" spans="39:40">
      <c r="AM562">
        <v>10192</v>
      </c>
      <c r="AN562">
        <v>1.4999999999999999E-2</v>
      </c>
    </row>
    <row r="563" spans="39:40">
      <c r="AM563">
        <v>10241</v>
      </c>
      <c r="AN563">
        <v>1.4E-2</v>
      </c>
    </row>
    <row r="564" spans="39:40">
      <c r="AM564">
        <v>10290</v>
      </c>
      <c r="AN564">
        <v>1.4999999999999999E-2</v>
      </c>
    </row>
    <row r="565" spans="39:40">
      <c r="AM565">
        <v>10339</v>
      </c>
      <c r="AN565">
        <v>1.4999999999999999E-2</v>
      </c>
    </row>
    <row r="566" spans="39:40">
      <c r="AM566">
        <v>10388</v>
      </c>
      <c r="AN566">
        <v>1.4999999999999999E-2</v>
      </c>
    </row>
    <row r="567" spans="39:40">
      <c r="AM567">
        <v>10437</v>
      </c>
      <c r="AN567">
        <v>1.4999999999999999E-2</v>
      </c>
    </row>
    <row r="568" spans="39:40">
      <c r="AM568">
        <v>10486</v>
      </c>
      <c r="AN568">
        <v>1.4999999999999999E-2</v>
      </c>
    </row>
    <row r="569" spans="39:40">
      <c r="AM569">
        <v>10535</v>
      </c>
      <c r="AN569">
        <v>1.6E-2</v>
      </c>
    </row>
    <row r="570" spans="39:40">
      <c r="AM570">
        <v>10584</v>
      </c>
      <c r="AN570">
        <v>1.4999999999999999E-2</v>
      </c>
    </row>
    <row r="571" spans="39:40">
      <c r="AM571">
        <v>10633</v>
      </c>
      <c r="AN571">
        <v>1.4999999999999999E-2</v>
      </c>
    </row>
    <row r="572" spans="39:40">
      <c r="AM572">
        <v>10682</v>
      </c>
      <c r="AN572">
        <v>1.6E-2</v>
      </c>
    </row>
    <row r="573" spans="39:40">
      <c r="AM573">
        <v>10731</v>
      </c>
      <c r="AN573">
        <v>1.4999999999999999E-2</v>
      </c>
    </row>
    <row r="574" spans="39:40">
      <c r="AM574">
        <v>10780</v>
      </c>
      <c r="AN574">
        <v>1.6E-2</v>
      </c>
    </row>
    <row r="575" spans="39:40">
      <c r="AM575">
        <v>10829</v>
      </c>
      <c r="AN575">
        <v>1.4999999999999999E-2</v>
      </c>
    </row>
    <row r="576" spans="39:40">
      <c r="AM576">
        <v>10878</v>
      </c>
      <c r="AN576">
        <v>1.4999999999999999E-2</v>
      </c>
    </row>
    <row r="577" spans="39:40">
      <c r="AM577">
        <v>10927</v>
      </c>
      <c r="AN577">
        <v>1.4999999999999999E-2</v>
      </c>
    </row>
    <row r="578" spans="39:40">
      <c r="AM578">
        <v>10976</v>
      </c>
      <c r="AN578">
        <v>1.6E-2</v>
      </c>
    </row>
    <row r="579" spans="39:40">
      <c r="AM579">
        <v>11025</v>
      </c>
      <c r="AN579">
        <v>1.6E-2</v>
      </c>
    </row>
    <row r="580" spans="39:40">
      <c r="AM580">
        <v>11074</v>
      </c>
      <c r="AN580">
        <v>1.6E-2</v>
      </c>
    </row>
    <row r="581" spans="39:40">
      <c r="AM581">
        <v>11123</v>
      </c>
      <c r="AN581">
        <v>1.6E-2</v>
      </c>
    </row>
    <row r="582" spans="39:40">
      <c r="AM582">
        <v>11172</v>
      </c>
      <c r="AN582">
        <v>1.7000000000000001E-2</v>
      </c>
    </row>
    <row r="583" spans="39:40">
      <c r="AM583">
        <v>11221</v>
      </c>
      <c r="AN583">
        <v>1.6E-2</v>
      </c>
    </row>
    <row r="584" spans="39:40">
      <c r="AM584">
        <v>11270</v>
      </c>
      <c r="AN584">
        <v>1.6E-2</v>
      </c>
    </row>
    <row r="585" spans="39:40">
      <c r="AM585">
        <v>11319</v>
      </c>
      <c r="AN585">
        <v>1.6E-2</v>
      </c>
    </row>
    <row r="586" spans="39:40">
      <c r="AM586">
        <v>11368</v>
      </c>
      <c r="AN586">
        <v>1.6E-2</v>
      </c>
    </row>
    <row r="587" spans="39:40">
      <c r="AM587">
        <v>11417</v>
      </c>
      <c r="AN587">
        <v>1.7000000000000001E-2</v>
      </c>
    </row>
    <row r="588" spans="39:40">
      <c r="AM588">
        <v>11466</v>
      </c>
      <c r="AN588">
        <v>1.7000000000000001E-2</v>
      </c>
    </row>
    <row r="589" spans="39:40">
      <c r="AM589">
        <v>11515</v>
      </c>
      <c r="AN589">
        <v>1.7000000000000001E-2</v>
      </c>
    </row>
    <row r="590" spans="39:40">
      <c r="AM590">
        <v>11564</v>
      </c>
      <c r="AN590">
        <v>1.7000000000000001E-2</v>
      </c>
    </row>
    <row r="591" spans="39:40">
      <c r="AM591">
        <v>11613</v>
      </c>
      <c r="AN591">
        <v>1.7000000000000001E-2</v>
      </c>
    </row>
    <row r="592" spans="39:40">
      <c r="AM592">
        <v>11662</v>
      </c>
      <c r="AN592">
        <v>1.7000000000000001E-2</v>
      </c>
    </row>
    <row r="593" spans="39:40">
      <c r="AM593">
        <v>11711</v>
      </c>
      <c r="AN593">
        <v>1.7000000000000001E-2</v>
      </c>
    </row>
    <row r="594" spans="39:40">
      <c r="AM594">
        <v>11760</v>
      </c>
      <c r="AN594">
        <v>1.7000000000000001E-2</v>
      </c>
    </row>
    <row r="595" spans="39:40">
      <c r="AM595">
        <v>11809</v>
      </c>
      <c r="AN595">
        <v>1.7000000000000001E-2</v>
      </c>
    </row>
    <row r="596" spans="39:40">
      <c r="AM596">
        <v>11858</v>
      </c>
      <c r="AN596">
        <v>1.7999999999999999E-2</v>
      </c>
    </row>
    <row r="597" spans="39:40">
      <c r="AM597">
        <v>11907</v>
      </c>
      <c r="AN597">
        <v>1.7999999999999999E-2</v>
      </c>
    </row>
    <row r="598" spans="39:40">
      <c r="AM598">
        <v>11956</v>
      </c>
      <c r="AN598">
        <v>1.7999999999999999E-2</v>
      </c>
    </row>
    <row r="599" spans="39:40">
      <c r="AM599">
        <v>12005</v>
      </c>
      <c r="AN599">
        <v>1.7000000000000001E-2</v>
      </c>
    </row>
    <row r="600" spans="39:40">
      <c r="AM600">
        <v>12054</v>
      </c>
      <c r="AN600">
        <v>1.7000000000000001E-2</v>
      </c>
    </row>
    <row r="601" spans="39:40">
      <c r="AM601">
        <v>12103</v>
      </c>
      <c r="AN601">
        <v>1.7000000000000001E-2</v>
      </c>
    </row>
    <row r="602" spans="39:40">
      <c r="AM602">
        <v>12152</v>
      </c>
      <c r="AN602">
        <v>1.7999999999999999E-2</v>
      </c>
    </row>
    <row r="603" spans="39:40">
      <c r="AM603">
        <v>12201</v>
      </c>
      <c r="AN603">
        <v>1.7000000000000001E-2</v>
      </c>
    </row>
    <row r="604" spans="39:40">
      <c r="AM604">
        <v>12250</v>
      </c>
      <c r="AN604">
        <v>1.7999999999999999E-2</v>
      </c>
    </row>
    <row r="605" spans="39:40">
      <c r="AM605">
        <v>12299</v>
      </c>
      <c r="AN605">
        <v>1.7999999999999999E-2</v>
      </c>
    </row>
    <row r="606" spans="39:40">
      <c r="AM606">
        <v>12348</v>
      </c>
      <c r="AN606">
        <v>1.7000000000000001E-2</v>
      </c>
    </row>
    <row r="607" spans="39:40">
      <c r="AM607">
        <v>12397</v>
      </c>
      <c r="AN607">
        <v>1.7999999999999999E-2</v>
      </c>
    </row>
    <row r="608" spans="39:40">
      <c r="AM608">
        <v>12446</v>
      </c>
      <c r="AN608">
        <v>1.7999999999999999E-2</v>
      </c>
    </row>
    <row r="609" spans="39:40">
      <c r="AM609">
        <v>12495</v>
      </c>
      <c r="AN609">
        <v>1.7999999999999999E-2</v>
      </c>
    </row>
    <row r="610" spans="39:40">
      <c r="AM610">
        <v>12544</v>
      </c>
      <c r="AN610">
        <v>1.7999999999999999E-2</v>
      </c>
    </row>
    <row r="611" spans="39:40">
      <c r="AM611">
        <v>12593</v>
      </c>
      <c r="AN611">
        <v>1.7999999999999999E-2</v>
      </c>
    </row>
    <row r="612" spans="39:40">
      <c r="AM612">
        <v>12642</v>
      </c>
      <c r="AN612">
        <v>1.7999999999999999E-2</v>
      </c>
    </row>
    <row r="613" spans="39:40">
      <c r="AM613">
        <v>12691</v>
      </c>
      <c r="AN613">
        <v>1.7999999999999999E-2</v>
      </c>
    </row>
    <row r="614" spans="39:40">
      <c r="AM614">
        <v>12740</v>
      </c>
      <c r="AN614">
        <v>1.7999999999999999E-2</v>
      </c>
    </row>
    <row r="615" spans="39:40">
      <c r="AM615">
        <v>12789</v>
      </c>
      <c r="AN615">
        <v>1.7999999999999999E-2</v>
      </c>
    </row>
    <row r="616" spans="39:40">
      <c r="AM616">
        <v>12838</v>
      </c>
      <c r="AN616">
        <v>1.7999999999999999E-2</v>
      </c>
    </row>
    <row r="617" spans="39:40">
      <c r="AM617">
        <v>12887</v>
      </c>
      <c r="AN617">
        <v>1.9E-2</v>
      </c>
    </row>
    <row r="618" spans="39:40">
      <c r="AM618">
        <v>12936</v>
      </c>
      <c r="AN618">
        <v>1.9E-2</v>
      </c>
    </row>
    <row r="619" spans="39:40">
      <c r="AM619">
        <v>12985</v>
      </c>
      <c r="AN619">
        <v>1.9E-2</v>
      </c>
    </row>
    <row r="620" spans="39:40">
      <c r="AM620">
        <v>13034</v>
      </c>
      <c r="AN620">
        <v>1.7999999999999999E-2</v>
      </c>
    </row>
    <row r="621" spans="39:40">
      <c r="AM621">
        <v>13083</v>
      </c>
      <c r="AN621">
        <v>0.02</v>
      </c>
    </row>
    <row r="622" spans="39:40">
      <c r="AM622">
        <v>13132</v>
      </c>
      <c r="AN622">
        <v>1.9E-2</v>
      </c>
    </row>
    <row r="623" spans="39:40">
      <c r="AM623">
        <v>13181</v>
      </c>
      <c r="AN623">
        <v>1.9E-2</v>
      </c>
    </row>
    <row r="624" spans="39:40">
      <c r="AM624">
        <v>13230</v>
      </c>
      <c r="AN624">
        <v>1.9E-2</v>
      </c>
    </row>
    <row r="625" spans="39:40">
      <c r="AM625">
        <v>13279</v>
      </c>
      <c r="AN625">
        <v>1.9E-2</v>
      </c>
    </row>
    <row r="626" spans="39:40">
      <c r="AM626">
        <v>13328</v>
      </c>
      <c r="AN626">
        <v>0.02</v>
      </c>
    </row>
    <row r="627" spans="39:40">
      <c r="AM627">
        <v>13377</v>
      </c>
      <c r="AN627">
        <v>0.02</v>
      </c>
    </row>
    <row r="628" spans="39:40">
      <c r="AM628">
        <v>13426</v>
      </c>
      <c r="AN628">
        <v>1.9E-2</v>
      </c>
    </row>
    <row r="629" spans="39:40">
      <c r="AM629">
        <v>13475</v>
      </c>
      <c r="AN629">
        <v>0.02</v>
      </c>
    </row>
    <row r="630" spans="39:40">
      <c r="AM630">
        <v>13524</v>
      </c>
      <c r="AN630">
        <v>1.9E-2</v>
      </c>
    </row>
    <row r="631" spans="39:40">
      <c r="AM631">
        <v>13573</v>
      </c>
      <c r="AN631">
        <v>1.9E-2</v>
      </c>
    </row>
    <row r="632" spans="39:40">
      <c r="AM632">
        <v>13622</v>
      </c>
      <c r="AN632">
        <v>1.9E-2</v>
      </c>
    </row>
    <row r="633" spans="39:40">
      <c r="AM633">
        <v>13671</v>
      </c>
      <c r="AN633">
        <v>0.02</v>
      </c>
    </row>
    <row r="634" spans="39:40">
      <c r="AM634">
        <v>13720</v>
      </c>
      <c r="AN634">
        <v>0.02</v>
      </c>
    </row>
    <row r="635" spans="39:40">
      <c r="AM635">
        <v>13769</v>
      </c>
      <c r="AN635">
        <v>0.02</v>
      </c>
    </row>
    <row r="636" spans="39:40">
      <c r="AM636">
        <v>13818</v>
      </c>
      <c r="AN636">
        <v>2.1000000000000001E-2</v>
      </c>
    </row>
    <row r="637" spans="39:40">
      <c r="AM637">
        <v>13867</v>
      </c>
      <c r="AN637">
        <v>1.9E-2</v>
      </c>
    </row>
    <row r="638" spans="39:40">
      <c r="AM638">
        <v>13916</v>
      </c>
      <c r="AN638">
        <v>0.02</v>
      </c>
    </row>
    <row r="639" spans="39:40">
      <c r="AM639">
        <v>13965</v>
      </c>
      <c r="AN639">
        <v>0.02</v>
      </c>
    </row>
    <row r="640" spans="39:40">
      <c r="AM640">
        <v>14014</v>
      </c>
      <c r="AN640">
        <v>2.1000000000000001E-2</v>
      </c>
    </row>
    <row r="641" spans="39:40">
      <c r="AM641">
        <v>14063</v>
      </c>
      <c r="AN641">
        <v>2.1000000000000001E-2</v>
      </c>
    </row>
    <row r="642" spans="39:40">
      <c r="AM642">
        <v>14112</v>
      </c>
      <c r="AN642">
        <v>0.02</v>
      </c>
    </row>
    <row r="643" spans="39:40">
      <c r="AM643">
        <v>14161</v>
      </c>
      <c r="AN643">
        <v>2.1000000000000001E-2</v>
      </c>
    </row>
    <row r="644" spans="39:40">
      <c r="AM644">
        <v>14210</v>
      </c>
      <c r="AN644">
        <v>2.1000000000000001E-2</v>
      </c>
    </row>
    <row r="645" spans="39:40">
      <c r="AM645">
        <v>14259</v>
      </c>
      <c r="AN645">
        <v>0.02</v>
      </c>
    </row>
    <row r="646" spans="39:40">
      <c r="AM646">
        <v>14308</v>
      </c>
      <c r="AN646">
        <v>2.1000000000000001E-2</v>
      </c>
    </row>
    <row r="647" spans="39:40">
      <c r="AM647">
        <v>14357</v>
      </c>
      <c r="AN647">
        <v>2.1000000000000001E-2</v>
      </c>
    </row>
    <row r="648" spans="39:40">
      <c r="AM648">
        <v>14406</v>
      </c>
      <c r="AN648">
        <v>2.1000000000000001E-2</v>
      </c>
    </row>
    <row r="649" spans="39:40">
      <c r="AM649">
        <v>14455</v>
      </c>
      <c r="AN649">
        <v>2.1999999999999999E-2</v>
      </c>
    </row>
    <row r="650" spans="39:40">
      <c r="AM650">
        <v>14504</v>
      </c>
      <c r="AN650">
        <v>2.1000000000000001E-2</v>
      </c>
    </row>
    <row r="651" spans="39:40">
      <c r="AM651">
        <v>14553</v>
      </c>
      <c r="AN651">
        <v>2.1000000000000001E-2</v>
      </c>
    </row>
    <row r="652" spans="39:40">
      <c r="AM652">
        <v>14602</v>
      </c>
      <c r="AN652">
        <v>2.1000000000000001E-2</v>
      </c>
    </row>
    <row r="653" spans="39:40">
      <c r="AM653">
        <v>14651</v>
      </c>
      <c r="AN653">
        <v>2.1000000000000001E-2</v>
      </c>
    </row>
    <row r="654" spans="39:40">
      <c r="AM654">
        <v>14700</v>
      </c>
      <c r="AN654">
        <v>2.1999999999999999E-2</v>
      </c>
    </row>
    <row r="655" spans="39:40">
      <c r="AM655">
        <v>14749</v>
      </c>
      <c r="AN655">
        <v>2.1000000000000001E-2</v>
      </c>
    </row>
    <row r="656" spans="39:40">
      <c r="AM656">
        <v>14798</v>
      </c>
      <c r="AN656">
        <v>2.1999999999999999E-2</v>
      </c>
    </row>
    <row r="657" spans="39:40">
      <c r="AM657">
        <v>14847</v>
      </c>
      <c r="AN657">
        <v>2.1000000000000001E-2</v>
      </c>
    </row>
    <row r="658" spans="39:40">
      <c r="AM658">
        <v>14896</v>
      </c>
      <c r="AN658">
        <v>2.1999999999999999E-2</v>
      </c>
    </row>
    <row r="659" spans="39:40">
      <c r="AM659">
        <v>14945</v>
      </c>
      <c r="AN659">
        <v>2.1999999999999999E-2</v>
      </c>
    </row>
    <row r="660" spans="39:40">
      <c r="AM660">
        <v>14994</v>
      </c>
      <c r="AN660">
        <v>2.1999999999999999E-2</v>
      </c>
    </row>
    <row r="661" spans="39:40">
      <c r="AM661">
        <v>15043</v>
      </c>
      <c r="AN661">
        <v>2.1999999999999999E-2</v>
      </c>
    </row>
    <row r="662" spans="39:40">
      <c r="AM662">
        <v>15092</v>
      </c>
      <c r="AN662">
        <v>2.1999999999999999E-2</v>
      </c>
    </row>
    <row r="663" spans="39:40">
      <c r="AM663">
        <v>15141</v>
      </c>
      <c r="AN663">
        <v>2.1000000000000001E-2</v>
      </c>
    </row>
    <row r="664" spans="39:40">
      <c r="AM664">
        <v>15190</v>
      </c>
      <c r="AN664">
        <v>2.1999999999999999E-2</v>
      </c>
    </row>
    <row r="665" spans="39:40">
      <c r="AM665">
        <v>15239</v>
      </c>
      <c r="AN665">
        <v>2.1999999999999999E-2</v>
      </c>
    </row>
    <row r="666" spans="39:40">
      <c r="AM666">
        <v>15288</v>
      </c>
      <c r="AN666">
        <v>2.3E-2</v>
      </c>
    </row>
    <row r="667" spans="39:40">
      <c r="AM667">
        <v>15337</v>
      </c>
      <c r="AN667">
        <v>2.1999999999999999E-2</v>
      </c>
    </row>
    <row r="668" spans="39:40">
      <c r="AM668">
        <v>15386</v>
      </c>
      <c r="AN668">
        <v>2.3E-2</v>
      </c>
    </row>
    <row r="669" spans="39:40">
      <c r="AM669">
        <v>15435</v>
      </c>
      <c r="AN669">
        <v>2.1999999999999999E-2</v>
      </c>
    </row>
    <row r="670" spans="39:40">
      <c r="AM670">
        <v>15484</v>
      </c>
      <c r="AN670">
        <v>2.3E-2</v>
      </c>
    </row>
    <row r="671" spans="39:40">
      <c r="AM671">
        <v>15533</v>
      </c>
      <c r="AN671">
        <v>2.3E-2</v>
      </c>
    </row>
    <row r="672" spans="39:40">
      <c r="AM672">
        <v>15582</v>
      </c>
      <c r="AN672">
        <v>2.3E-2</v>
      </c>
    </row>
    <row r="673" spans="39:40">
      <c r="AM673">
        <v>15631</v>
      </c>
      <c r="AN673">
        <v>2.3E-2</v>
      </c>
    </row>
    <row r="674" spans="39:40">
      <c r="AM674">
        <v>15680</v>
      </c>
      <c r="AN674">
        <v>2.1999999999999999E-2</v>
      </c>
    </row>
    <row r="675" spans="39:40">
      <c r="AM675">
        <v>15729</v>
      </c>
      <c r="AN675">
        <v>2.3E-2</v>
      </c>
    </row>
    <row r="676" spans="39:40">
      <c r="AM676">
        <v>15778</v>
      </c>
      <c r="AN676">
        <v>2.3E-2</v>
      </c>
    </row>
    <row r="677" spans="39:40">
      <c r="AM677">
        <v>15827</v>
      </c>
      <c r="AN677">
        <v>2.3E-2</v>
      </c>
    </row>
    <row r="678" spans="39:40">
      <c r="AM678">
        <v>15876</v>
      </c>
      <c r="AN678">
        <v>2.4E-2</v>
      </c>
    </row>
    <row r="679" spans="39:40">
      <c r="AM679">
        <v>15925</v>
      </c>
      <c r="AN679">
        <v>2.3E-2</v>
      </c>
    </row>
    <row r="680" spans="39:40">
      <c r="AM680">
        <v>15974</v>
      </c>
      <c r="AN680">
        <v>2.3E-2</v>
      </c>
    </row>
    <row r="681" spans="39:40">
      <c r="AM681">
        <v>16023</v>
      </c>
      <c r="AN681">
        <v>2.3E-2</v>
      </c>
    </row>
    <row r="682" spans="39:40">
      <c r="AM682">
        <v>16072</v>
      </c>
      <c r="AN682">
        <v>2.3E-2</v>
      </c>
    </row>
    <row r="683" spans="39:40">
      <c r="AM683">
        <v>16121</v>
      </c>
      <c r="AN683">
        <v>2.3E-2</v>
      </c>
    </row>
    <row r="684" spans="39:40">
      <c r="AM684">
        <v>16170</v>
      </c>
      <c r="AN684">
        <v>2.3E-2</v>
      </c>
    </row>
    <row r="685" spans="39:40">
      <c r="AM685">
        <v>16219</v>
      </c>
      <c r="AN685">
        <v>2.3E-2</v>
      </c>
    </row>
    <row r="686" spans="39:40">
      <c r="AM686">
        <v>16268</v>
      </c>
      <c r="AN686">
        <v>2.3E-2</v>
      </c>
    </row>
    <row r="687" spans="39:40">
      <c r="AM687">
        <v>16317</v>
      </c>
      <c r="AN687">
        <v>2.3E-2</v>
      </c>
    </row>
    <row r="688" spans="39:40">
      <c r="AM688">
        <v>16366</v>
      </c>
      <c r="AN688">
        <v>2.3E-2</v>
      </c>
    </row>
    <row r="689" spans="39:40">
      <c r="AM689">
        <v>16415</v>
      </c>
      <c r="AN689">
        <v>2.4E-2</v>
      </c>
    </row>
    <row r="690" spans="39:40">
      <c r="AM690">
        <v>16464</v>
      </c>
      <c r="AN690">
        <v>2.4E-2</v>
      </c>
    </row>
    <row r="691" spans="39:40">
      <c r="AM691">
        <v>16513</v>
      </c>
      <c r="AN691">
        <v>2.4E-2</v>
      </c>
    </row>
    <row r="692" spans="39:40">
      <c r="AM692">
        <v>16562</v>
      </c>
      <c r="AN692">
        <v>2.4E-2</v>
      </c>
    </row>
    <row r="693" spans="39:40">
      <c r="AM693">
        <v>16611</v>
      </c>
      <c r="AN693">
        <v>2.5000000000000001E-2</v>
      </c>
    </row>
    <row r="694" spans="39:40">
      <c r="AM694">
        <v>16660</v>
      </c>
      <c r="AN694">
        <v>2.4E-2</v>
      </c>
    </row>
    <row r="695" spans="39:40">
      <c r="AM695">
        <v>16709</v>
      </c>
      <c r="AN695">
        <v>2.4E-2</v>
      </c>
    </row>
    <row r="696" spans="39:40">
      <c r="AM696">
        <v>16758</v>
      </c>
      <c r="AN696">
        <v>2.4E-2</v>
      </c>
    </row>
    <row r="697" spans="39:40">
      <c r="AM697">
        <v>16807</v>
      </c>
      <c r="AN697">
        <v>2.4E-2</v>
      </c>
    </row>
    <row r="698" spans="39:40">
      <c r="AM698">
        <v>16856</v>
      </c>
      <c r="AN698">
        <v>2.4E-2</v>
      </c>
    </row>
    <row r="699" spans="39:40">
      <c r="AM699">
        <v>16905</v>
      </c>
      <c r="AN699">
        <v>2.4E-2</v>
      </c>
    </row>
    <row r="700" spans="39:40">
      <c r="AM700">
        <v>16954</v>
      </c>
      <c r="AN700">
        <v>2.5000000000000001E-2</v>
      </c>
    </row>
    <row r="701" spans="39:40">
      <c r="AM701">
        <v>17003</v>
      </c>
      <c r="AN701">
        <v>2.5000000000000001E-2</v>
      </c>
    </row>
    <row r="702" spans="39:40">
      <c r="AM702">
        <v>17052</v>
      </c>
      <c r="AN702">
        <v>2.5000000000000001E-2</v>
      </c>
    </row>
    <row r="703" spans="39:40">
      <c r="AM703">
        <v>17101</v>
      </c>
      <c r="AN703">
        <v>2.4E-2</v>
      </c>
    </row>
    <row r="704" spans="39:40">
      <c r="AM704">
        <v>17150</v>
      </c>
      <c r="AN704">
        <v>2.5000000000000001E-2</v>
      </c>
    </row>
    <row r="705" spans="39:40">
      <c r="AM705">
        <v>17199</v>
      </c>
      <c r="AN705">
        <v>2.5000000000000001E-2</v>
      </c>
    </row>
    <row r="706" spans="39:40">
      <c r="AM706">
        <v>17248</v>
      </c>
      <c r="AN706">
        <v>2.5999999999999999E-2</v>
      </c>
    </row>
    <row r="707" spans="39:40">
      <c r="AM707">
        <v>17297</v>
      </c>
      <c r="AN707">
        <v>2.5000000000000001E-2</v>
      </c>
    </row>
    <row r="708" spans="39:40">
      <c r="AM708">
        <v>17346</v>
      </c>
      <c r="AN708">
        <v>2.5999999999999999E-2</v>
      </c>
    </row>
    <row r="709" spans="39:40">
      <c r="AM709">
        <v>17395</v>
      </c>
      <c r="AN709">
        <v>2.5000000000000001E-2</v>
      </c>
    </row>
    <row r="710" spans="39:40">
      <c r="AM710">
        <v>17444</v>
      </c>
      <c r="AN710">
        <v>2.5999999999999999E-2</v>
      </c>
    </row>
    <row r="711" spans="39:40">
      <c r="AM711">
        <v>17493</v>
      </c>
      <c r="AN711">
        <v>2.5000000000000001E-2</v>
      </c>
    </row>
    <row r="712" spans="39:40">
      <c r="AM712">
        <v>17542</v>
      </c>
      <c r="AN712">
        <v>2.5999999999999999E-2</v>
      </c>
    </row>
    <row r="713" spans="39:40">
      <c r="AM713">
        <v>17591</v>
      </c>
      <c r="AN713">
        <v>2.5999999999999999E-2</v>
      </c>
    </row>
    <row r="714" spans="39:40">
      <c r="AM714">
        <v>17640</v>
      </c>
      <c r="AN714">
        <v>2.5000000000000001E-2</v>
      </c>
    </row>
    <row r="715" spans="39:40">
      <c r="AM715">
        <v>17689</v>
      </c>
      <c r="AN715">
        <v>2.5999999999999999E-2</v>
      </c>
    </row>
    <row r="716" spans="39:40">
      <c r="AM716">
        <v>17738</v>
      </c>
      <c r="AN716">
        <v>2.5000000000000001E-2</v>
      </c>
    </row>
    <row r="717" spans="39:40">
      <c r="AM717">
        <v>17787</v>
      </c>
      <c r="AN717">
        <v>2.5000000000000001E-2</v>
      </c>
    </row>
    <row r="718" spans="39:40">
      <c r="AM718">
        <v>17836</v>
      </c>
      <c r="AN718">
        <v>2.5999999999999999E-2</v>
      </c>
    </row>
    <row r="719" spans="39:40">
      <c r="AM719">
        <v>17885</v>
      </c>
      <c r="AN719">
        <v>2.5999999999999999E-2</v>
      </c>
    </row>
  </sheetData>
  <sortState ref="AA13:AA20">
    <sortCondition ref="AA13"/>
  </sortState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154"/>
  <sheetViews>
    <sheetView topLeftCell="AK1" zoomScale="70" zoomScaleNormal="70" workbookViewId="0">
      <selection activeCell="BK35" sqref="BK35"/>
    </sheetView>
  </sheetViews>
  <sheetFormatPr defaultRowHeight="15"/>
  <cols>
    <col min="1" max="1" width="25.42578125" customWidth="1"/>
    <col min="2" max="2" width="13.140625" customWidth="1"/>
    <col min="3" max="3" width="13.85546875" customWidth="1"/>
    <col min="4" max="4" width="12.42578125" customWidth="1"/>
    <col min="5" max="5" width="14" customWidth="1"/>
    <col min="6" max="6" width="14.42578125" customWidth="1"/>
    <col min="7" max="7" width="14.7109375" customWidth="1"/>
    <col min="8" max="8" width="13.28515625" customWidth="1"/>
    <col min="9" max="9" width="12.5703125" customWidth="1"/>
    <col min="10" max="10" width="12.140625" customWidth="1"/>
    <col min="11" max="11" width="11.5703125" customWidth="1"/>
    <col min="12" max="12" width="12.5703125" customWidth="1"/>
    <col min="13" max="13" width="11.7109375" customWidth="1"/>
    <col min="14" max="14" width="12.42578125" customWidth="1"/>
    <col min="15" max="15" width="12.5703125" customWidth="1"/>
    <col min="16" max="16" width="10.7109375" customWidth="1"/>
    <col min="17" max="17" width="10.5703125" customWidth="1"/>
    <col min="18" max="18" width="10.85546875" customWidth="1"/>
    <col min="19" max="19" width="11" customWidth="1"/>
    <col min="20" max="20" width="11.5703125" customWidth="1"/>
    <col min="21" max="21" width="10.85546875" customWidth="1"/>
    <col min="22" max="22" width="14.7109375" customWidth="1"/>
    <col min="23" max="23" width="14" customWidth="1"/>
    <col min="24" max="24" width="16.28515625" customWidth="1"/>
    <col min="25" max="25" width="14.5703125" customWidth="1"/>
    <col min="26" max="26" width="15.42578125" customWidth="1"/>
    <col min="27" max="27" width="14.7109375" customWidth="1"/>
    <col min="28" max="28" width="11.140625" bestFit="1" customWidth="1"/>
    <col min="30" max="30" width="14" customWidth="1"/>
    <col min="31" max="31" width="19.140625" customWidth="1"/>
    <col min="32" max="32" width="20.85546875" customWidth="1"/>
    <col min="33" max="33" width="34.5703125" customWidth="1"/>
    <col min="34" max="34" width="14.85546875" customWidth="1"/>
    <col min="36" max="36" width="18.85546875" customWidth="1"/>
    <col min="37" max="37" width="11.7109375" customWidth="1"/>
    <col min="38" max="38" width="9.7109375" customWidth="1"/>
    <col min="39" max="39" width="7.5703125" customWidth="1"/>
    <col min="42" max="42" width="22" customWidth="1"/>
    <col min="43" max="43" width="14.85546875" customWidth="1"/>
    <col min="44" max="44" width="27.140625" customWidth="1"/>
    <col min="45" max="45" width="15.85546875" customWidth="1"/>
    <col min="46" max="46" width="13.85546875" customWidth="1"/>
    <col min="47" max="47" width="14.85546875" bestFit="1" customWidth="1"/>
    <col min="50" max="50" width="19" customWidth="1"/>
    <col min="52" max="52" width="14.42578125" customWidth="1"/>
    <col min="53" max="53" width="14.85546875" bestFit="1" customWidth="1"/>
    <col min="56" max="56" width="15.7109375" customWidth="1"/>
    <col min="62" max="62" width="16.140625" customWidth="1"/>
  </cols>
  <sheetData>
    <row r="1" spans="1:66" ht="18" customHeight="1">
      <c r="A1" s="15" t="s">
        <v>310</v>
      </c>
    </row>
    <row r="2" spans="1:66" ht="60.75" thickBot="1">
      <c r="A2" s="111" t="s">
        <v>162</v>
      </c>
      <c r="B2" s="111" t="s">
        <v>162</v>
      </c>
      <c r="C2" s="111" t="s">
        <v>163</v>
      </c>
      <c r="D2" s="111" t="s">
        <v>246</v>
      </c>
      <c r="E2" s="111" t="s">
        <v>312</v>
      </c>
      <c r="F2" s="111" t="s">
        <v>317</v>
      </c>
      <c r="G2" s="111" t="s">
        <v>311</v>
      </c>
      <c r="H2" s="111" t="s">
        <v>313</v>
      </c>
      <c r="I2" s="111" t="s">
        <v>314</v>
      </c>
      <c r="J2" s="111" t="s">
        <v>315</v>
      </c>
      <c r="K2" s="178" t="s">
        <v>164</v>
      </c>
      <c r="L2" s="111" t="s">
        <v>316</v>
      </c>
      <c r="M2" s="108" t="s">
        <v>342</v>
      </c>
      <c r="N2" s="108" t="s">
        <v>343</v>
      </c>
      <c r="O2" s="108" t="s">
        <v>344</v>
      </c>
      <c r="P2" s="108" t="s">
        <v>345</v>
      </c>
      <c r="Q2" s="108" t="s">
        <v>350</v>
      </c>
      <c r="R2" s="108" t="s">
        <v>352</v>
      </c>
      <c r="S2" s="108" t="s">
        <v>351</v>
      </c>
      <c r="T2" s="108" t="s">
        <v>353</v>
      </c>
      <c r="U2" s="108" t="s">
        <v>354</v>
      </c>
      <c r="V2" s="108" t="s">
        <v>355</v>
      </c>
      <c r="W2" s="108" t="s">
        <v>356</v>
      </c>
      <c r="X2" s="111" t="s">
        <v>357</v>
      </c>
      <c r="Y2" s="111" t="s">
        <v>359</v>
      </c>
      <c r="Z2" s="111" t="s">
        <v>360</v>
      </c>
      <c r="AA2" s="111" t="s">
        <v>361</v>
      </c>
      <c r="AB2" s="111" t="s">
        <v>358</v>
      </c>
      <c r="AF2" s="137"/>
      <c r="AG2" s="137"/>
      <c r="AH2" s="137" t="s">
        <v>366</v>
      </c>
      <c r="AI2" s="137" t="s">
        <v>367</v>
      </c>
      <c r="AJ2" s="137" t="s">
        <v>368</v>
      </c>
      <c r="AK2" t="s">
        <v>375</v>
      </c>
      <c r="AL2" t="s">
        <v>376</v>
      </c>
      <c r="AN2" s="137" t="s">
        <v>369</v>
      </c>
      <c r="AO2" s="137" t="s">
        <v>370</v>
      </c>
      <c r="AP2" s="137" t="s">
        <v>371</v>
      </c>
      <c r="AQ2" t="s">
        <v>375</v>
      </c>
      <c r="AR2" s="137" t="s">
        <v>377</v>
      </c>
      <c r="AS2" s="137" t="s">
        <v>378</v>
      </c>
      <c r="AT2" s="137" t="s">
        <v>379</v>
      </c>
      <c r="AU2" t="s">
        <v>375</v>
      </c>
    </row>
    <row r="3" spans="1:66">
      <c r="A3" s="17" t="s">
        <v>73</v>
      </c>
      <c r="B3" s="17">
        <v>-346.53390714300002</v>
      </c>
      <c r="C3" s="17">
        <v>-346.54976438300002</v>
      </c>
      <c r="D3" s="14"/>
      <c r="E3" s="14">
        <v>-346.60330969900002</v>
      </c>
      <c r="F3" s="14"/>
      <c r="G3" s="17">
        <v>-346.615318699</v>
      </c>
      <c r="H3" s="17"/>
      <c r="I3" s="17">
        <v>-6.93</v>
      </c>
      <c r="J3" s="17">
        <v>-5.05</v>
      </c>
      <c r="K3" s="14">
        <v>-4.2300000000000004</v>
      </c>
      <c r="L3" s="17">
        <v>-4.4000000000000004</v>
      </c>
      <c r="M3" s="17"/>
      <c r="N3" s="17">
        <v>0.13431000000000001</v>
      </c>
      <c r="O3" s="17">
        <v>0.142321</v>
      </c>
      <c r="P3" s="17">
        <v>0.102271</v>
      </c>
      <c r="Q3" s="16">
        <f t="shared" ref="Q3:Q8" si="0">O3-P3</f>
        <v>4.0050000000000002E-2</v>
      </c>
      <c r="R3" s="87">
        <f t="shared" ref="R3:R8" si="1">((B3+N3)*$BJ$3*$BJ$4*10^-3)/$BJ$5</f>
        <v>-217368.96258724225</v>
      </c>
      <c r="S3" s="87">
        <f t="shared" ref="S3:S8" si="2">((C3+N3)*$BJ$3*$BJ$4*10^-3)/$BJ$5</f>
        <v>-217378.91315253367</v>
      </c>
      <c r="T3" s="87">
        <f t="shared" ref="T3:T8" si="3">((G3+N3)*$BJ$3*$BJ$4*10^-3)/$BJ$5</f>
        <v>-217420.04909431754</v>
      </c>
      <c r="U3" s="87">
        <f t="shared" ref="U3:U8" si="4">((G3+N3)*$BJ$3*$BJ$4*10^-3)/$BJ$5</f>
        <v>-217420.04909431754</v>
      </c>
      <c r="V3" s="87">
        <f t="shared" ref="V3:V8" si="5">((G3+P3)*$BJ$3*$BJ$4*10^-3)/$BJ$5</f>
        <v>-217440.15386421271</v>
      </c>
      <c r="W3" s="87">
        <f t="shared" ref="W3:W8" si="6">((G3+P3)*$BJ$3*$BJ$4*10^-3)/$BJ$5+I3</f>
        <v>-217447.08386421271</v>
      </c>
      <c r="X3" s="87">
        <f t="shared" ref="X3:X8" si="7">((G3+P3)*$BJ$3*$BJ$4*10^-3)/$BJ$5+J3</f>
        <v>-217445.2038642127</v>
      </c>
      <c r="Y3" s="87"/>
      <c r="Z3" s="87"/>
      <c r="AA3" s="160"/>
      <c r="AB3" s="87">
        <f t="shared" ref="AB3:AB8" si="8">((G3+P3)*$BJ$3*$BJ$4*10^-3)/$BJ$5+L3</f>
        <v>-217444.55386421271</v>
      </c>
      <c r="AF3" s="155" t="s">
        <v>330</v>
      </c>
      <c r="AG3" s="155" t="s">
        <v>275</v>
      </c>
      <c r="AH3" s="156">
        <f>S93-(S81+S83)-2.3</f>
        <v>1.8916057557682509</v>
      </c>
      <c r="AI3" s="156">
        <f>S91-(S93)-0.6</f>
        <v>31.251636982988565</v>
      </c>
      <c r="AJ3" s="156">
        <f t="shared" ref="AJ3:AJ8" si="9">AH3+AI3</f>
        <v>33.143242738756818</v>
      </c>
      <c r="AK3" s="155"/>
      <c r="AL3" s="156">
        <f t="shared" ref="AL3:AL29" si="10">ABS($AJ$29-AJ3)</f>
        <v>3.443242738756819</v>
      </c>
      <c r="AN3" s="6"/>
      <c r="AO3" s="6"/>
      <c r="AP3" s="6"/>
      <c r="AQ3" s="6"/>
      <c r="AR3" s="6"/>
      <c r="AS3" s="6"/>
      <c r="AT3" s="6"/>
      <c r="AU3" s="6"/>
      <c r="AZ3" s="22" t="s">
        <v>250</v>
      </c>
      <c r="BA3" s="25" t="s">
        <v>259</v>
      </c>
      <c r="BB3" s="25" t="s">
        <v>251</v>
      </c>
      <c r="BC3" s="25" t="s">
        <v>252</v>
      </c>
      <c r="BD3" s="26" t="s">
        <v>253</v>
      </c>
      <c r="BI3" s="22" t="s">
        <v>147</v>
      </c>
      <c r="BJ3" s="88">
        <v>4.35974394E-18</v>
      </c>
    </row>
    <row r="4" spans="1:66">
      <c r="A4" s="17" t="s">
        <v>348</v>
      </c>
      <c r="B4" s="17">
        <v>-115.61156208</v>
      </c>
      <c r="C4" s="17">
        <v>-346.54908264800002</v>
      </c>
      <c r="D4" s="14"/>
      <c r="E4" s="14">
        <v>-346.602799017</v>
      </c>
      <c r="F4" s="14"/>
      <c r="G4" s="17">
        <v>-346.61467487099998</v>
      </c>
      <c r="H4" s="17"/>
      <c r="I4" s="17">
        <v>-7.02</v>
      </c>
      <c r="J4" s="17">
        <v>-5.38</v>
      </c>
      <c r="K4" s="14">
        <v>-4.54</v>
      </c>
      <c r="L4" s="17">
        <v>-4.4800000000000004</v>
      </c>
      <c r="M4" s="17"/>
      <c r="N4" s="17">
        <v>0.13239600000000001</v>
      </c>
      <c r="O4" s="17">
        <v>0.140518</v>
      </c>
      <c r="P4" s="17">
        <v>9.9672999999999998E-2</v>
      </c>
      <c r="Q4" s="16">
        <f t="shared" si="0"/>
        <v>4.0845000000000006E-2</v>
      </c>
      <c r="R4" s="87">
        <f t="shared" si="1"/>
        <v>-72464.248625806184</v>
      </c>
      <c r="S4" s="87">
        <f t="shared" si="2"/>
        <v>-217379.6864102594</v>
      </c>
      <c r="T4" s="87">
        <f t="shared" si="3"/>
        <v>-217420.84613903763</v>
      </c>
      <c r="U4" s="87">
        <f t="shared" si="4"/>
        <v>-217420.84613903763</v>
      </c>
      <c r="V4" s="87">
        <f t="shared" si="5"/>
        <v>-217441.3801252819</v>
      </c>
      <c r="W4" s="87">
        <f t="shared" si="6"/>
        <v>-217448.40012528189</v>
      </c>
      <c r="X4" s="87">
        <f t="shared" si="7"/>
        <v>-217446.7601252819</v>
      </c>
      <c r="Y4" s="87">
        <f>((G4+P4)*$BJ$3*$BJ$4*10^-3)/$BJ$5+K4</f>
        <v>-217445.9201252819</v>
      </c>
      <c r="Z4" s="87">
        <f>((E4+P4)*$BJ$3*$BJ$4*10^-3)/$BJ$5+K4</f>
        <v>-217438.46791666182</v>
      </c>
      <c r="AA4" s="87">
        <f>((C4+P4)*$BJ$3*$BJ$4*10^-3)/$BJ$5+K4</f>
        <v>-217404.76039650367</v>
      </c>
      <c r="AB4" s="87">
        <f t="shared" si="8"/>
        <v>-217445.86012528191</v>
      </c>
      <c r="AF4" s="155" t="s">
        <v>329</v>
      </c>
      <c r="AG4" s="155" t="s">
        <v>275</v>
      </c>
      <c r="AH4" s="156">
        <f>S93-(S81+S83)-2.3</f>
        <v>1.8916057557682509</v>
      </c>
      <c r="AI4" s="156">
        <f>-312722.33-(S93)-0.6</f>
        <v>25.353979739919303</v>
      </c>
      <c r="AJ4" s="156">
        <f t="shared" si="9"/>
        <v>27.245585495687553</v>
      </c>
      <c r="AK4" s="155"/>
      <c r="AL4" s="156">
        <f t="shared" si="10"/>
        <v>2.4544145043124459</v>
      </c>
      <c r="AN4" s="6"/>
      <c r="AO4" s="6"/>
      <c r="AP4" s="6"/>
      <c r="AQ4" s="6"/>
      <c r="AR4" s="6"/>
      <c r="AS4" s="6"/>
      <c r="AT4" s="6"/>
      <c r="AU4" s="6"/>
      <c r="AZ4" s="72" t="s">
        <v>254</v>
      </c>
      <c r="BA4" s="133">
        <f>X40</f>
        <v>-414294.45035255665</v>
      </c>
      <c r="BB4" s="133">
        <f>H40</f>
        <v>0.68469999999999998</v>
      </c>
      <c r="BC4" s="133">
        <f>(BB4-BB6)/(BB5-BB4)</f>
        <v>0.5205656504219569</v>
      </c>
      <c r="BD4" s="82">
        <f>BA4+BC4*(BA4-BA5)</f>
        <v>-414300.36544898665</v>
      </c>
      <c r="BI4" s="72" t="s">
        <v>148</v>
      </c>
      <c r="BJ4" s="89">
        <v>6.0221399999999997E+23</v>
      </c>
    </row>
    <row r="5" spans="1:66" ht="15.75" thickBot="1">
      <c r="A5" s="17" t="s">
        <v>349</v>
      </c>
      <c r="B5" s="17"/>
      <c r="C5" s="17">
        <v>-346.54911248600001</v>
      </c>
      <c r="D5" s="14"/>
      <c r="E5" s="14">
        <v>-346.60285969300003</v>
      </c>
      <c r="F5" s="14"/>
      <c r="G5" s="17">
        <v>-346.61473471099998</v>
      </c>
      <c r="H5" s="17"/>
      <c r="I5" s="17">
        <v>-7</v>
      </c>
      <c r="J5" s="17">
        <v>-5.3</v>
      </c>
      <c r="K5" s="14">
        <v>-4.49</v>
      </c>
      <c r="L5" s="17">
        <v>-4.3099999999999996</v>
      </c>
      <c r="M5" s="17"/>
      <c r="N5" s="17">
        <v>0.13256399999999999</v>
      </c>
      <c r="O5" s="17">
        <v>0.14066600000000001</v>
      </c>
      <c r="P5" s="17">
        <v>0.100018</v>
      </c>
      <c r="Q5" s="16">
        <f t="shared" si="0"/>
        <v>4.0648000000000017E-2</v>
      </c>
      <c r="R5" s="87">
        <f t="shared" si="1"/>
        <v>83.185140496914912</v>
      </c>
      <c r="S5" s="87">
        <f t="shared" si="2"/>
        <v>-217379.59971232197</v>
      </c>
      <c r="T5" s="87">
        <f t="shared" si="3"/>
        <v>-217420.77826763366</v>
      </c>
      <c r="U5" s="87">
        <f t="shared" si="4"/>
        <v>-217420.77826763366</v>
      </c>
      <c r="V5" s="87">
        <f t="shared" si="5"/>
        <v>-217441.20118473496</v>
      </c>
      <c r="W5" s="87">
        <f t="shared" si="6"/>
        <v>-217448.20118473496</v>
      </c>
      <c r="X5" s="87">
        <f t="shared" si="7"/>
        <v>-217446.50118473495</v>
      </c>
      <c r="Y5" s="87">
        <f>((G5+P5)*$BJ$3*$BJ$4*10^-3)/$BJ$5+K5</f>
        <v>-217445.69118473495</v>
      </c>
      <c r="Z5" s="87">
        <f>((E5+P5)*$BJ$3*$BJ$4*10^-3)/$BJ$5+K5</f>
        <v>-217438.23950071269</v>
      </c>
      <c r="AA5" s="87">
        <f>((C5+P5)*$BJ$3*$BJ$4*10^-3)/$BJ$5+K5</f>
        <v>-217404.5126294232</v>
      </c>
      <c r="AB5" s="87">
        <f t="shared" si="8"/>
        <v>-217445.51118473496</v>
      </c>
      <c r="AF5" s="155" t="s">
        <v>330</v>
      </c>
      <c r="AG5" s="155" t="s">
        <v>331</v>
      </c>
      <c r="AH5" s="156">
        <f>U93-(U81+U83)-2.3</f>
        <v>8.9316057557472952</v>
      </c>
      <c r="AI5" s="156">
        <f>U91-U93-0.6</f>
        <v>23.481636983028146</v>
      </c>
      <c r="AJ5" s="156">
        <f t="shared" si="9"/>
        <v>32.413242738775438</v>
      </c>
      <c r="AK5" s="155"/>
      <c r="AL5" s="156">
        <f t="shared" si="10"/>
        <v>2.7132427387754383</v>
      </c>
      <c r="AN5" s="6"/>
      <c r="AO5" s="6"/>
      <c r="AP5" s="6"/>
      <c r="AQ5" s="6"/>
      <c r="AR5" s="6"/>
      <c r="AS5" s="6"/>
      <c r="AT5" s="6"/>
      <c r="AU5" s="6"/>
      <c r="AZ5" s="72" t="s">
        <v>255</v>
      </c>
      <c r="BA5" s="133">
        <f>X41</f>
        <v>-414283.08752747357</v>
      </c>
      <c r="BB5" s="133">
        <v>2</v>
      </c>
      <c r="BC5" s="133"/>
      <c r="BD5" s="73" t="s">
        <v>256</v>
      </c>
      <c r="BI5" s="23" t="s">
        <v>149</v>
      </c>
      <c r="BJ5" s="90">
        <v>4.1840000000000002</v>
      </c>
    </row>
    <row r="6" spans="1:66" ht="43.5" customHeight="1" thickBot="1">
      <c r="A6" s="17" t="s">
        <v>19</v>
      </c>
      <c r="B6" s="17">
        <v>-461.001865845</v>
      </c>
      <c r="C6" s="17">
        <v>-461.02010343199998</v>
      </c>
      <c r="D6" s="14"/>
      <c r="E6" s="14"/>
      <c r="F6" s="14"/>
      <c r="G6" s="17">
        <v>-461.11334474699999</v>
      </c>
      <c r="H6" s="17"/>
      <c r="I6" s="17">
        <v>-8.3699999999999992</v>
      </c>
      <c r="J6" s="17">
        <v>-6.77</v>
      </c>
      <c r="K6" s="14"/>
      <c r="L6" s="17">
        <v>-4.42</v>
      </c>
      <c r="M6" s="17"/>
      <c r="N6" s="17">
        <v>0.167382</v>
      </c>
      <c r="O6" s="17">
        <v>0.17796200000000001</v>
      </c>
      <c r="P6" s="17">
        <v>0.13172</v>
      </c>
      <c r="Q6" s="16">
        <f t="shared" si="0"/>
        <v>4.6242000000000005E-2</v>
      </c>
      <c r="R6" s="87">
        <f t="shared" si="1"/>
        <v>-289177.91621005401</v>
      </c>
      <c r="S6" s="87">
        <f t="shared" si="2"/>
        <v>-289189.36046518292</v>
      </c>
      <c r="T6" s="87">
        <f t="shared" si="3"/>
        <v>-289247.87025583797</v>
      </c>
      <c r="U6" s="87">
        <f t="shared" si="4"/>
        <v>-289247.87025583797</v>
      </c>
      <c r="V6" s="87">
        <f t="shared" si="5"/>
        <v>-289270.24849186279</v>
      </c>
      <c r="W6" s="87">
        <f t="shared" si="6"/>
        <v>-289278.61849186278</v>
      </c>
      <c r="X6" s="87">
        <f t="shared" si="7"/>
        <v>-289277.01849186281</v>
      </c>
      <c r="Y6" s="87"/>
      <c r="Z6" s="87"/>
      <c r="AA6" s="87"/>
      <c r="AB6" s="87">
        <f t="shared" si="8"/>
        <v>-289274.66849186277</v>
      </c>
      <c r="AF6" s="169" t="s">
        <v>329</v>
      </c>
      <c r="AG6" s="169" t="s">
        <v>332</v>
      </c>
      <c r="AH6" s="170">
        <f>T93-(T81+T83)-2.3</f>
        <v>11.25160575575428</v>
      </c>
      <c r="AI6" s="170">
        <f>-312736.8-T93-0.6</f>
        <v>20.503979739942586</v>
      </c>
      <c r="AJ6" s="170">
        <f t="shared" si="9"/>
        <v>31.755585495696867</v>
      </c>
      <c r="AK6" s="155"/>
      <c r="AL6" s="156">
        <f t="shared" si="10"/>
        <v>2.0555854956968673</v>
      </c>
      <c r="AN6" s="6"/>
      <c r="AO6" s="6"/>
      <c r="AP6" s="6"/>
      <c r="AQ6" s="6"/>
      <c r="AR6" s="6"/>
      <c r="AS6" s="6"/>
      <c r="AT6" s="6"/>
      <c r="AU6" s="6"/>
      <c r="AZ6" s="23" t="s">
        <v>257</v>
      </c>
      <c r="BA6" s="134"/>
      <c r="BB6" s="134">
        <v>0</v>
      </c>
      <c r="BC6" s="134"/>
      <c r="BD6" s="110">
        <f>(BA4-BD4)</f>
        <v>5.9150964299915358</v>
      </c>
    </row>
    <row r="7" spans="1:66" ht="33.75" customHeight="1" thickBot="1">
      <c r="A7" s="17" t="s">
        <v>362</v>
      </c>
      <c r="B7" s="17">
        <v>-150.87591878999999</v>
      </c>
      <c r="C7" s="17">
        <v>-150.88124489500001</v>
      </c>
      <c r="D7" s="14"/>
      <c r="E7" s="14">
        <v>-150.91664757699999</v>
      </c>
      <c r="F7" s="14"/>
      <c r="G7" s="17">
        <v>-150.92076219500001</v>
      </c>
      <c r="H7" s="17"/>
      <c r="I7" s="17"/>
      <c r="J7" s="17">
        <v>-89.26</v>
      </c>
      <c r="K7" s="14">
        <v>-96.33</v>
      </c>
      <c r="L7" s="17"/>
      <c r="M7" s="17"/>
      <c r="N7" s="17">
        <v>1.3388000000000001E-2</v>
      </c>
      <c r="O7" s="17">
        <v>1.7243999999999999E-2</v>
      </c>
      <c r="P7" s="17">
        <v>-8.3459999999999993E-3</v>
      </c>
      <c r="Q7" s="16">
        <f t="shared" si="0"/>
        <v>2.5589999999999998E-2</v>
      </c>
      <c r="R7" s="87">
        <f t="shared" si="1"/>
        <v>-94667.638419829687</v>
      </c>
      <c r="S7" s="87">
        <f t="shared" si="2"/>
        <v>-94670.980600155614</v>
      </c>
      <c r="T7" s="87">
        <f t="shared" si="3"/>
        <v>-94695.778072716494</v>
      </c>
      <c r="U7" s="87">
        <f t="shared" si="4"/>
        <v>-94695.778072716494</v>
      </c>
      <c r="V7" s="87">
        <f t="shared" si="5"/>
        <v>-94709.416359457668</v>
      </c>
      <c r="W7" s="87">
        <f t="shared" si="6"/>
        <v>-94709.416359457668</v>
      </c>
      <c r="X7" s="87">
        <f t="shared" si="7"/>
        <v>-94798.676359457662</v>
      </c>
      <c r="Y7" s="87">
        <f>((G7+P7)*$BJ$3*$BJ$4*10^-3)/$BJ$5+K7</f>
        <v>-94805.746359457669</v>
      </c>
      <c r="Z7" s="87">
        <f>((E7+P7)*$BJ$3*$BJ$4*10^-3)/$BJ$5+K7</f>
        <v>-94803.164398469598</v>
      </c>
      <c r="AA7" s="87">
        <f>((C7+P7)*$BJ$3*$BJ$4*10^-3)/$BJ$5+K7</f>
        <v>-94780.948886896804</v>
      </c>
      <c r="AB7" s="87">
        <f t="shared" si="8"/>
        <v>-94709.416359457668</v>
      </c>
      <c r="AF7" s="155" t="s">
        <v>329</v>
      </c>
      <c r="AG7" s="155" t="s">
        <v>331</v>
      </c>
      <c r="AH7" s="156">
        <f>U93-(U81+U83)-2.3</f>
        <v>8.9316057557472952</v>
      </c>
      <c r="AI7" s="156">
        <f>-312738.27-U93-0.6</f>
        <v>17.443979739944915</v>
      </c>
      <c r="AJ7" s="156">
        <f t="shared" si="9"/>
        <v>26.37558549569221</v>
      </c>
      <c r="AK7" s="155"/>
      <c r="AL7" s="156">
        <f t="shared" si="10"/>
        <v>3.3244145043077893</v>
      </c>
      <c r="AN7" s="6"/>
      <c r="AO7" s="6"/>
      <c r="AP7" s="6"/>
      <c r="AQ7" s="6"/>
      <c r="AR7" s="6"/>
      <c r="AS7" s="6"/>
      <c r="AT7" s="6"/>
      <c r="AU7" s="6"/>
      <c r="AZ7" s="9" t="s">
        <v>258</v>
      </c>
      <c r="BA7" s="135">
        <f>(BA5-BA4)</f>
        <v>11.362825083080679</v>
      </c>
      <c r="BI7" s="91" t="s">
        <v>150</v>
      </c>
      <c r="BJ7" s="32"/>
    </row>
    <row r="8" spans="1:66">
      <c r="A8" s="17" t="s">
        <v>175</v>
      </c>
      <c r="B8" s="17">
        <v>-151.47880612</v>
      </c>
      <c r="C8" s="17">
        <v>-151.48877311499999</v>
      </c>
      <c r="D8" s="14"/>
      <c r="E8" s="14">
        <v>-151.526562867</v>
      </c>
      <c r="F8" s="14"/>
      <c r="G8" s="17">
        <v>-151.53157458999999</v>
      </c>
      <c r="H8" s="17"/>
      <c r="I8" s="17">
        <v>-12.15</v>
      </c>
      <c r="J8" s="17">
        <v>-10</v>
      </c>
      <c r="K8" s="14">
        <v>-9.18</v>
      </c>
      <c r="L8" s="17">
        <v>-10.51</v>
      </c>
      <c r="M8" s="17"/>
      <c r="N8" s="17">
        <v>2.7012000000000001E-2</v>
      </c>
      <c r="O8" s="17">
        <v>3.1109999999999999E-2</v>
      </c>
      <c r="P8" s="17">
        <v>4.8009999999999997E-3</v>
      </c>
      <c r="Q8" s="16">
        <f t="shared" si="0"/>
        <v>2.6308999999999999E-2</v>
      </c>
      <c r="R8" s="87">
        <f t="shared" si="1"/>
        <v>-95037.406629115227</v>
      </c>
      <c r="S8" s="87">
        <f t="shared" si="2"/>
        <v>-95043.661010994212</v>
      </c>
      <c r="T8" s="87">
        <f t="shared" si="3"/>
        <v>-95070.519333852237</v>
      </c>
      <c r="U8" s="87">
        <f t="shared" si="4"/>
        <v>-95070.519333852237</v>
      </c>
      <c r="V8" s="87">
        <f t="shared" si="5"/>
        <v>-95084.456942521108</v>
      </c>
      <c r="W8" s="87">
        <f t="shared" si="6"/>
        <v>-95096.606942521103</v>
      </c>
      <c r="X8" s="87">
        <f t="shared" si="7"/>
        <v>-95094.456942521108</v>
      </c>
      <c r="Y8" s="87">
        <f>((G8+P8)*$BJ$3*$BJ$4*10^-3)/$BJ$5+K8</f>
        <v>-95093.636942521101</v>
      </c>
      <c r="Z8" s="87">
        <f>((E8+P8)*$BJ$3*$BJ$4*10^-3)/$BJ$5+K8</f>
        <v>-95090.492039818346</v>
      </c>
      <c r="AA8" s="87">
        <f>((C8+P8)*$BJ$3*$BJ$4*10^-3)/$BJ$5+K8</f>
        <v>-95066.778619663062</v>
      </c>
      <c r="AB8" s="87">
        <f t="shared" si="8"/>
        <v>-95094.966942521103</v>
      </c>
      <c r="AF8" s="171" t="s">
        <v>329</v>
      </c>
      <c r="AG8" s="171" t="s">
        <v>333</v>
      </c>
      <c r="AH8" s="172">
        <f>V93-(V81+V83)-2.3</f>
        <v>9.1616057557868764</v>
      </c>
      <c r="AI8" s="172">
        <f>-312738.15-V93-0.6</f>
        <v>17.053979739930945</v>
      </c>
      <c r="AJ8" s="172">
        <f t="shared" si="9"/>
        <v>26.215585495717821</v>
      </c>
      <c r="AK8" s="176"/>
      <c r="AL8" s="177">
        <f t="shared" si="10"/>
        <v>3.4844145042821779</v>
      </c>
      <c r="AN8" s="6"/>
      <c r="AO8" s="6"/>
      <c r="AP8" s="6"/>
      <c r="AQ8" s="6"/>
      <c r="AR8" s="6"/>
      <c r="AS8" s="6"/>
      <c r="AT8" s="6"/>
      <c r="AU8" s="6"/>
      <c r="BI8" s="92" t="s">
        <v>151</v>
      </c>
      <c r="BJ8" s="112">
        <v>2000</v>
      </c>
    </row>
    <row r="9" spans="1:66">
      <c r="A9" s="17" t="s">
        <v>433</v>
      </c>
      <c r="B9" s="17">
        <v>-151.40366030000001</v>
      </c>
      <c r="C9" s="17">
        <v>-151.41275962099999</v>
      </c>
      <c r="D9" s="14"/>
      <c r="E9" s="14">
        <v>-151.450711888</v>
      </c>
      <c r="F9" s="14"/>
      <c r="G9" s="17">
        <v>-151.45574039100001</v>
      </c>
      <c r="H9" s="17"/>
      <c r="I9" s="17"/>
      <c r="J9" s="17">
        <v>-26.73</v>
      </c>
      <c r="K9" s="14">
        <v>-25.25</v>
      </c>
      <c r="L9" s="17"/>
      <c r="M9" s="17"/>
      <c r="N9" s="17">
        <v>2.6577E-2</v>
      </c>
      <c r="O9" s="17">
        <v>3.0581000000000001E-2</v>
      </c>
      <c r="P9" s="17">
        <v>4.3039999999999997E-3</v>
      </c>
      <c r="Q9" s="16">
        <f>O9-P9</f>
        <v>2.6277000000000002E-2</v>
      </c>
      <c r="R9" s="87">
        <f>((B9+N9)*$BJ$3*$BJ$4*10^-3)/$BJ$5</f>
        <v>-94990.524896078059</v>
      </c>
      <c r="S9" s="87">
        <f>((C9+N9)*$BJ$3*$BJ$4*10^-3)/$BJ$5</f>
        <v>-94996.234804468069</v>
      </c>
      <c r="T9" s="87">
        <f>((G9+N9)*$BJ$3*$BJ$4*10^-3)/$BJ$5</f>
        <v>-95023.205636602856</v>
      </c>
      <c r="U9" s="87">
        <f>((G9+N9)*$BJ$3*$BJ$4*10^-3)/$BJ$5</f>
        <v>-95023.205636602856</v>
      </c>
      <c r="V9" s="87">
        <f>((G9+P9)*$BJ$3*$BJ$4*10^-3)/$BJ$5</f>
        <v>-95037.182150847191</v>
      </c>
      <c r="W9" s="87">
        <f>((G9+P9)*$BJ$3*$BJ$4*10^-3)/$BJ$5+I9</f>
        <v>-95037.182150847191</v>
      </c>
      <c r="X9" s="87">
        <f>((G9+P9)*$BJ$3*$BJ$4*10^-3)/$BJ$5+J9</f>
        <v>-95063.912150847187</v>
      </c>
      <c r="Y9" s="87">
        <f>((G9+P9)*$BJ$3*$BJ$4*10^-3)/$BJ$5+K9</f>
        <v>-95062.432150847191</v>
      </c>
      <c r="Z9" s="87">
        <f>((E9+P9)*$BJ$3*$BJ$4*10^-3)/$BJ$5+K9</f>
        <v>-95059.276718538706</v>
      </c>
      <c r="AA9" s="87">
        <f>((C9+P9)*$BJ$3*$BJ$4*10^-3)/$BJ$5+K9</f>
        <v>-95035.461318712405</v>
      </c>
      <c r="AB9" s="87">
        <f>((G9+P9)*$BJ$3*$BJ$4*10^-3)/$BJ$5+L9</f>
        <v>-95037.182150847191</v>
      </c>
      <c r="AF9" s="155" t="s">
        <v>328</v>
      </c>
      <c r="AG9" s="155" t="s">
        <v>318</v>
      </c>
      <c r="AH9" s="156">
        <f>S76-(S66+S68)-2.3</f>
        <v>0.59043764863163251</v>
      </c>
      <c r="AI9" s="156">
        <f>S74-S76-0.7</f>
        <v>43.481826031941452</v>
      </c>
      <c r="AJ9" s="156">
        <f t="shared" ref="AJ9:AJ28" si="11">AH9+AI9</f>
        <v>44.072263680573087</v>
      </c>
      <c r="AK9" s="155"/>
      <c r="AL9" s="156">
        <f t="shared" si="10"/>
        <v>14.372263680573088</v>
      </c>
      <c r="AN9" s="6"/>
      <c r="AO9" s="6"/>
      <c r="AP9" s="6"/>
      <c r="AQ9" s="6"/>
      <c r="AR9" s="6"/>
      <c r="AS9" s="6"/>
      <c r="AT9" s="6"/>
      <c r="AU9" s="6"/>
      <c r="BI9" s="93" t="s">
        <v>152</v>
      </c>
      <c r="BJ9" s="94">
        <v>100</v>
      </c>
    </row>
    <row r="10" spans="1:66">
      <c r="A10" s="17" t="s">
        <v>428</v>
      </c>
      <c r="B10" s="17"/>
      <c r="C10" s="17">
        <v>-313.61187275999998</v>
      </c>
      <c r="D10" s="14"/>
      <c r="E10" s="14">
        <v>-313.65340435500002</v>
      </c>
      <c r="F10" s="14"/>
      <c r="G10" s="17">
        <v>-313.657854117</v>
      </c>
      <c r="H10" s="17"/>
      <c r="I10" s="17"/>
      <c r="J10" s="17">
        <v>-62.52</v>
      </c>
      <c r="K10" s="14">
        <v>-61.77</v>
      </c>
      <c r="L10" s="17"/>
      <c r="M10" s="17"/>
      <c r="N10" s="17">
        <v>2.8972999999999999E-2</v>
      </c>
      <c r="O10" s="17">
        <v>3.4321999999999998E-2</v>
      </c>
      <c r="P10" s="17">
        <v>2.6440000000000001E-3</v>
      </c>
      <c r="Q10" s="16">
        <f t="shared" ref="Q10:Q19" si="12">O10-P10</f>
        <v>3.1677999999999998E-2</v>
      </c>
      <c r="R10" s="87">
        <f t="shared" ref="R10:R32" si="13">((B10+N10)*$BJ$3*$BJ$4*10^-3)/$BJ$5</f>
        <v>18.180826435662141</v>
      </c>
      <c r="S10" s="87">
        <f t="shared" ref="S10:S32" si="14">((C10+N10)*$BJ$3*$BJ$4*10^-3)/$BJ$5</f>
        <v>-196776.18036545053</v>
      </c>
      <c r="T10" s="87">
        <f t="shared" ref="T10:T38" si="15">((G10+N10)*$BJ$3*$BJ$4*10^-3)/$BJ$5</f>
        <v>-196805.03409378015</v>
      </c>
      <c r="U10" s="87">
        <f t="shared" ref="U10:U38" si="16">((G10+N10)*$BJ$3*$BJ$4*10^-3)/$BJ$5</f>
        <v>-196805.03409378015</v>
      </c>
      <c r="V10" s="87">
        <f t="shared" ref="V10:V38" si="17">((G10+P10)*$BJ$3*$BJ$4*10^-3)/$BJ$5</f>
        <v>-196821.55578567344</v>
      </c>
      <c r="W10" s="87">
        <f t="shared" ref="W10:W38" si="18">((G10+P10)*$BJ$3*$BJ$4*10^-3)/$BJ$5+I10</f>
        <v>-196821.55578567344</v>
      </c>
      <c r="X10" s="87">
        <f t="shared" ref="X10:X38" si="19">((G10+P10)*$BJ$3*$BJ$4*10^-3)/$BJ$5+J10</f>
        <v>-196884.07578567343</v>
      </c>
      <c r="Y10" s="87">
        <f t="shared" ref="Y10:Y38" si="20">((G10+P10)*$BJ$3*$BJ$4*10^-3)/$BJ$5+K10</f>
        <v>-196883.32578567343</v>
      </c>
      <c r="Z10" s="87">
        <f t="shared" ref="Z10:Z19" si="21">((E10+P10)*$BJ$3*$BJ$4*10^-3)/$BJ$5+K10</f>
        <v>-196880.53351871448</v>
      </c>
      <c r="AA10" s="87">
        <f t="shared" ref="AA10:AA19" si="22">((C10+P10)*$BJ$3*$BJ$4*10^-3)/$BJ$5+K10</f>
        <v>-196854.47205734384</v>
      </c>
      <c r="AB10" s="87">
        <f t="shared" ref="AB10:AB38" si="23">((G10+P10)*$BJ$3*$BJ$4*10^-3)/$BJ$5+L10</f>
        <v>-196821.55578567344</v>
      </c>
      <c r="AF10" s="155" t="s">
        <v>327</v>
      </c>
      <c r="AG10" s="155" t="s">
        <v>318</v>
      </c>
      <c r="AH10" s="156">
        <f>S76-(S66+S68)-2.3</f>
        <v>0.59043764863163251</v>
      </c>
      <c r="AI10" s="156">
        <f>-312665.13-S76-0.7</f>
        <v>34.395164163503793</v>
      </c>
      <c r="AJ10" s="156">
        <f t="shared" si="11"/>
        <v>34.985601812135428</v>
      </c>
      <c r="AK10" s="155"/>
      <c r="AL10" s="156">
        <f t="shared" si="10"/>
        <v>5.2856018121354289</v>
      </c>
      <c r="AN10" s="6"/>
      <c r="AO10" s="6"/>
      <c r="AP10" s="6"/>
      <c r="AQ10" s="6"/>
      <c r="AR10" s="6"/>
      <c r="AS10" s="6"/>
      <c r="AT10" s="6"/>
      <c r="AU10" s="6"/>
      <c r="BI10" s="93" t="s">
        <v>153</v>
      </c>
      <c r="BJ10" s="113">
        <v>6</v>
      </c>
    </row>
    <row r="11" spans="1:66">
      <c r="A11" s="17" t="s">
        <v>429</v>
      </c>
      <c r="B11" s="17"/>
      <c r="C11" s="17">
        <v>-313.55656729499998</v>
      </c>
      <c r="D11" s="14"/>
      <c r="E11" s="14">
        <v>-313.59854094999997</v>
      </c>
      <c r="F11" s="14"/>
      <c r="G11" s="17">
        <v>-313.60320017700002</v>
      </c>
      <c r="H11" s="17"/>
      <c r="I11" s="17"/>
      <c r="J11" s="17">
        <v>-68.73</v>
      </c>
      <c r="K11" s="14">
        <v>-67.2</v>
      </c>
      <c r="L11" s="17"/>
      <c r="M11" s="17"/>
      <c r="N11" s="17">
        <v>2.8555000000000001E-2</v>
      </c>
      <c r="O11" s="17">
        <v>3.4098999999999997E-2</v>
      </c>
      <c r="P11" s="17">
        <v>1.817E-3</v>
      </c>
      <c r="Q11" s="16">
        <f t="shared" si="12"/>
        <v>3.2281999999999998E-2</v>
      </c>
      <c r="R11" s="87">
        <f t="shared" si="13"/>
        <v>17.918527555666738</v>
      </c>
      <c r="S11" s="87">
        <f t="shared" si="14"/>
        <v>-196741.7379716819</v>
      </c>
      <c r="T11" s="87">
        <f t="shared" si="15"/>
        <v>-196771.00053799668</v>
      </c>
      <c r="U11" s="87">
        <f t="shared" si="16"/>
        <v>-196771.00053799668</v>
      </c>
      <c r="V11" s="87">
        <f t="shared" si="17"/>
        <v>-196787.77888118639</v>
      </c>
      <c r="W11" s="87">
        <f t="shared" si="18"/>
        <v>-196787.77888118639</v>
      </c>
      <c r="X11" s="87">
        <f t="shared" si="19"/>
        <v>-196856.5088811864</v>
      </c>
      <c r="Y11" s="87">
        <f t="shared" si="20"/>
        <v>-196854.9788811864</v>
      </c>
      <c r="Z11" s="87">
        <f t="shared" si="21"/>
        <v>-196852.05517299561</v>
      </c>
      <c r="AA11" s="87">
        <f t="shared" si="22"/>
        <v>-196825.71631487165</v>
      </c>
      <c r="AB11" s="87">
        <f t="shared" si="23"/>
        <v>-196787.77888118639</v>
      </c>
      <c r="AF11" s="155" t="s">
        <v>328</v>
      </c>
      <c r="AG11" s="155" t="s">
        <v>320</v>
      </c>
      <c r="AH11" s="156">
        <f>U76-(U66+U68)-2.3</f>
        <v>8.9304376485990353</v>
      </c>
      <c r="AI11" s="156">
        <f>U74-U76-0.7</f>
        <v>37.881826031964735</v>
      </c>
      <c r="AJ11" s="156">
        <f t="shared" si="11"/>
        <v>46.812263680563774</v>
      </c>
      <c r="AK11" s="155"/>
      <c r="AL11" s="156">
        <f t="shared" si="10"/>
        <v>17.112263680563775</v>
      </c>
      <c r="AN11" s="6"/>
      <c r="AO11" s="6"/>
      <c r="AP11" s="6"/>
      <c r="AQ11" s="6"/>
      <c r="AR11" s="6"/>
      <c r="AS11" s="6"/>
      <c r="AT11" s="6"/>
      <c r="AU11" s="6"/>
      <c r="BI11" s="93" t="s">
        <v>165</v>
      </c>
      <c r="BJ11" s="114">
        <f>6.62606896E-34/(2*BJ14)</f>
        <v>1.0545716294567979E-34</v>
      </c>
      <c r="BN11" s="2">
        <f>BJ10*BJ13/BJ12</f>
        <v>125019854909.5692</v>
      </c>
    </row>
    <row r="12" spans="1:66">
      <c r="A12" s="17" t="s">
        <v>383</v>
      </c>
      <c r="B12" s="17">
        <v>-304.28985757999999</v>
      </c>
      <c r="C12" s="17">
        <v>-304.31996411799997</v>
      </c>
      <c r="D12" s="14"/>
      <c r="E12" s="14">
        <v>-304.394552535</v>
      </c>
      <c r="F12" s="14"/>
      <c r="G12" s="17">
        <v>-304.40421965799999</v>
      </c>
      <c r="H12" s="17"/>
      <c r="I12" s="17"/>
      <c r="J12" s="17">
        <v>-15.46</v>
      </c>
      <c r="K12" s="14">
        <v>-14.27</v>
      </c>
      <c r="L12" s="17"/>
      <c r="M12" s="17"/>
      <c r="N12" s="17">
        <v>7.8830999999999998E-2</v>
      </c>
      <c r="O12" s="17">
        <v>8.7912000000000004E-2</v>
      </c>
      <c r="P12" s="17">
        <v>4.7461999999999997E-2</v>
      </c>
      <c r="Q12" s="16">
        <f t="shared" si="12"/>
        <v>4.0450000000000007E-2</v>
      </c>
      <c r="R12" s="87">
        <f t="shared" si="13"/>
        <v>-190895.2429525966</v>
      </c>
      <c r="S12" s="87">
        <f t="shared" si="14"/>
        <v>-190914.13508464908</v>
      </c>
      <c r="T12" s="87">
        <f t="shared" si="15"/>
        <v>-190967.00621808312</v>
      </c>
      <c r="U12" s="87">
        <f t="shared" si="16"/>
        <v>-190967.00621808312</v>
      </c>
      <c r="V12" s="87">
        <f t="shared" si="17"/>
        <v>-190986.69055675907</v>
      </c>
      <c r="W12" s="87">
        <f t="shared" si="18"/>
        <v>-190986.69055675907</v>
      </c>
      <c r="X12" s="87">
        <f t="shared" si="19"/>
        <v>-191002.15055675906</v>
      </c>
      <c r="Y12" s="87">
        <f t="shared" si="20"/>
        <v>-191000.96055675906</v>
      </c>
      <c r="Z12" s="87">
        <f t="shared" si="21"/>
        <v>-190994.89434734362</v>
      </c>
      <c r="AA12" s="87">
        <f t="shared" si="22"/>
        <v>-190948.08942332512</v>
      </c>
      <c r="AB12" s="87">
        <f t="shared" si="23"/>
        <v>-190986.69055675907</v>
      </c>
      <c r="AF12" s="169" t="s">
        <v>327</v>
      </c>
      <c r="AG12" s="169" t="s">
        <v>319</v>
      </c>
      <c r="AH12" s="170">
        <f>T76-(T66+T68)-2.3</f>
        <v>13.230437648587394</v>
      </c>
      <c r="AI12" s="170">
        <f>-312677.43-U76-0.7</f>
        <v>30.125164163543378</v>
      </c>
      <c r="AJ12" s="170">
        <f t="shared" si="11"/>
        <v>43.355601812130772</v>
      </c>
      <c r="AK12" s="155"/>
      <c r="AL12" s="156">
        <f t="shared" si="10"/>
        <v>13.655601812130772</v>
      </c>
      <c r="AN12" s="6"/>
      <c r="AO12" s="6"/>
      <c r="AP12" s="6"/>
      <c r="AQ12" s="6"/>
      <c r="AR12" s="6"/>
      <c r="AS12" s="6"/>
      <c r="AT12" s="6"/>
      <c r="AU12" s="6"/>
      <c r="BA12" s="6">
        <f>-414300.37-X39</f>
        <v>29.974539370392449</v>
      </c>
      <c r="BI12" s="93" t="s">
        <v>154</v>
      </c>
      <c r="BJ12" s="115">
        <v>6.6260689599999996E-34</v>
      </c>
    </row>
    <row r="13" spans="1:66">
      <c r="A13" s="17" t="s">
        <v>384</v>
      </c>
      <c r="B13" s="17">
        <v>-304.23209408999998</v>
      </c>
      <c r="C13" s="17">
        <v>-304.26507660599998</v>
      </c>
      <c r="D13" s="14"/>
      <c r="E13" s="14">
        <v>-304.33947788799998</v>
      </c>
      <c r="F13" s="14"/>
      <c r="G13" s="17">
        <v>-304.34760781300002</v>
      </c>
      <c r="H13" s="17"/>
      <c r="I13" s="17"/>
      <c r="J13" s="17">
        <v>-23.32</v>
      </c>
      <c r="K13" s="14">
        <v>-21.54</v>
      </c>
      <c r="L13" s="17"/>
      <c r="M13" s="17">
        <v>953.33</v>
      </c>
      <c r="N13" s="17">
        <v>7.2533E-2</v>
      </c>
      <c r="O13" s="17">
        <v>7.9238000000000003E-2</v>
      </c>
      <c r="P13" s="17">
        <v>4.3482E-2</v>
      </c>
      <c r="Q13" s="16">
        <f t="shared" si="12"/>
        <v>3.5756000000000003E-2</v>
      </c>
      <c r="R13" s="87">
        <f t="shared" si="13"/>
        <v>-190862.94787990418</v>
      </c>
      <c r="S13" s="87">
        <f t="shared" si="14"/>
        <v>-190883.64471484729</v>
      </c>
      <c r="T13" s="87">
        <f t="shared" si="15"/>
        <v>-190935.43381331812</v>
      </c>
      <c r="U13" s="87">
        <f t="shared" si="16"/>
        <v>-190935.43381331812</v>
      </c>
      <c r="V13" s="87">
        <f t="shared" si="17"/>
        <v>-190953.6635854778</v>
      </c>
      <c r="W13" s="87">
        <f t="shared" si="18"/>
        <v>-190953.6635854778</v>
      </c>
      <c r="X13" s="87">
        <f t="shared" si="19"/>
        <v>-190976.98358547781</v>
      </c>
      <c r="Y13" s="87">
        <f t="shared" si="20"/>
        <v>-190975.20358547781</v>
      </c>
      <c r="Z13" s="87">
        <f t="shared" si="21"/>
        <v>-190970.10198207598</v>
      </c>
      <c r="AA13" s="87">
        <f t="shared" si="22"/>
        <v>-190923.41448700704</v>
      </c>
      <c r="AB13" s="87">
        <f t="shared" si="23"/>
        <v>-190953.6635854778</v>
      </c>
      <c r="AF13" s="155" t="s">
        <v>327</v>
      </c>
      <c r="AG13" s="155" t="s">
        <v>320</v>
      </c>
      <c r="AH13" s="156">
        <f>U76-(U66+U68)-2.3</f>
        <v>8.9304376485990353</v>
      </c>
      <c r="AI13" s="156">
        <f>-312678.34-U76-0.7</f>
        <v>29.215164163510781</v>
      </c>
      <c r="AJ13" s="156">
        <f t="shared" si="11"/>
        <v>38.145601812109817</v>
      </c>
      <c r="AK13" s="155"/>
      <c r="AL13" s="156">
        <f t="shared" si="10"/>
        <v>8.4456018121098175</v>
      </c>
      <c r="AN13" s="6"/>
      <c r="AO13" s="6"/>
      <c r="AP13" s="6"/>
      <c r="AQ13" s="6"/>
      <c r="AR13" s="6"/>
      <c r="AS13" s="6"/>
      <c r="AT13" s="6"/>
      <c r="AU13" s="6"/>
      <c r="AZ13" s="136"/>
      <c r="BE13">
        <f>1.89+0.4</f>
        <v>2.29</v>
      </c>
      <c r="BI13" s="93" t="s">
        <v>155</v>
      </c>
      <c r="BJ13" s="116">
        <v>1.3806503000000001E-23</v>
      </c>
    </row>
    <row r="14" spans="1:66">
      <c r="A14" s="17" t="s">
        <v>385</v>
      </c>
      <c r="B14" s="17">
        <v>-304.23834049999999</v>
      </c>
      <c r="C14" s="17">
        <v>-304.2677458</v>
      </c>
      <c r="D14" s="14"/>
      <c r="E14" s="14">
        <v>-304.342777646</v>
      </c>
      <c r="F14" s="14"/>
      <c r="G14" s="17">
        <v>-304.35177378200001</v>
      </c>
      <c r="H14" s="17"/>
      <c r="I14" s="17"/>
      <c r="J14" s="17">
        <v>-23.99</v>
      </c>
      <c r="K14" s="14">
        <v>-22.01</v>
      </c>
      <c r="L14" s="17"/>
      <c r="M14" s="17"/>
      <c r="N14" s="17">
        <v>7.8827999999999995E-2</v>
      </c>
      <c r="O14" s="17">
        <v>8.6980000000000002E-2</v>
      </c>
      <c r="P14" s="17">
        <v>4.8176999999999998E-2</v>
      </c>
      <c r="Q14" s="16">
        <f t="shared" si="12"/>
        <v>3.8803000000000004E-2</v>
      </c>
      <c r="R14" s="87">
        <f t="shared" si="13"/>
        <v>-190862.91738922818</v>
      </c>
      <c r="S14" s="87">
        <f t="shared" si="14"/>
        <v>-190881.3694879266</v>
      </c>
      <c r="T14" s="87">
        <f t="shared" si="15"/>
        <v>-190934.09782660333</v>
      </c>
      <c r="U14" s="87">
        <f t="shared" si="16"/>
        <v>-190934.09782660333</v>
      </c>
      <c r="V14" s="87">
        <f t="shared" si="17"/>
        <v>-190953.33161361469</v>
      </c>
      <c r="W14" s="87">
        <f t="shared" si="18"/>
        <v>-190953.33161361469</v>
      </c>
      <c r="X14" s="87">
        <f t="shared" si="19"/>
        <v>-190977.32161361468</v>
      </c>
      <c r="Y14" s="87">
        <f t="shared" si="20"/>
        <v>-190975.3416136147</v>
      </c>
      <c r="Z14" s="87">
        <f t="shared" si="21"/>
        <v>-190969.69645476996</v>
      </c>
      <c r="AA14" s="87">
        <f t="shared" si="22"/>
        <v>-190922.61327493793</v>
      </c>
      <c r="AB14" s="87">
        <f t="shared" si="23"/>
        <v>-190953.33161361469</v>
      </c>
      <c r="AF14" s="171" t="s">
        <v>327</v>
      </c>
      <c r="AG14" s="171" t="s">
        <v>334</v>
      </c>
      <c r="AH14" s="172">
        <f>V76-(V66+V68)-2.3</f>
        <v>8.6404376486199901</v>
      </c>
      <c r="AI14" s="172">
        <f>-312677.79-V76-0.7</f>
        <v>29.205164163501468</v>
      </c>
      <c r="AJ14" s="172">
        <f t="shared" si="11"/>
        <v>37.845601812121458</v>
      </c>
      <c r="AK14" s="176"/>
      <c r="AL14" s="177">
        <f t="shared" si="10"/>
        <v>8.1456018121214591</v>
      </c>
      <c r="AN14" s="6"/>
      <c r="AO14" s="6"/>
      <c r="AP14" s="6"/>
      <c r="AQ14" s="6"/>
      <c r="AR14" s="6"/>
      <c r="AS14" s="6"/>
      <c r="AT14" s="6"/>
      <c r="AU14" s="6"/>
      <c r="BA14" s="135">
        <f>BD4-(X3+X8)-2.89</f>
        <v>-101763.59464225282</v>
      </c>
      <c r="BI14" s="96" t="s">
        <v>156</v>
      </c>
      <c r="BJ14" s="116">
        <v>3.1415926500000002</v>
      </c>
      <c r="BM14" s="18"/>
    </row>
    <row r="15" spans="1:66">
      <c r="A15" s="17" t="s">
        <v>390</v>
      </c>
      <c r="B15" s="17">
        <v>-457.10375650999998</v>
      </c>
      <c r="C15" s="17">
        <v>-457.15388792099998</v>
      </c>
      <c r="D15" s="14"/>
      <c r="E15" s="14">
        <v>-457.26536118899998</v>
      </c>
      <c r="F15" s="14"/>
      <c r="G15" s="17">
        <v>-457.27953860000002</v>
      </c>
      <c r="H15" s="17"/>
      <c r="I15" s="17"/>
      <c r="J15" s="17">
        <v>-19.12</v>
      </c>
      <c r="K15" s="14">
        <v>-17.5</v>
      </c>
      <c r="L15" s="17"/>
      <c r="M15" s="17"/>
      <c r="N15" s="17">
        <v>0.13046199999999999</v>
      </c>
      <c r="O15" s="17">
        <v>0.144709</v>
      </c>
      <c r="P15" s="17">
        <v>9.0952000000000005E-2</v>
      </c>
      <c r="Q15" s="16">
        <f t="shared" si="12"/>
        <v>5.3756999999999999E-2</v>
      </c>
      <c r="R15" s="87">
        <f t="shared" si="13"/>
        <v>-286754.98406167905</v>
      </c>
      <c r="S15" s="87">
        <f t="shared" si="14"/>
        <v>-286786.4419874156</v>
      </c>
      <c r="T15" s="87">
        <f t="shared" si="15"/>
        <v>-286865.28895481367</v>
      </c>
      <c r="U15" s="87">
        <f t="shared" si="16"/>
        <v>-286865.28895481367</v>
      </c>
      <c r="V15" s="87">
        <f t="shared" si="17"/>
        <v>-286890.08184655674</v>
      </c>
      <c r="W15" s="87">
        <f t="shared" si="18"/>
        <v>-286890.08184655674</v>
      </c>
      <c r="X15" s="87">
        <f t="shared" si="19"/>
        <v>-286909.20184655674</v>
      </c>
      <c r="Y15" s="87">
        <f t="shared" si="20"/>
        <v>-286907.58184655674</v>
      </c>
      <c r="Z15" s="87">
        <f t="shared" si="21"/>
        <v>-286898.68538955547</v>
      </c>
      <c r="AA15" s="87">
        <f t="shared" si="22"/>
        <v>-286828.73487915873</v>
      </c>
      <c r="AB15" s="87">
        <f t="shared" si="23"/>
        <v>-286890.08184655674</v>
      </c>
      <c r="AF15" s="155" t="s">
        <v>308</v>
      </c>
      <c r="AG15" s="155" t="s">
        <v>318</v>
      </c>
      <c r="AH15" s="156">
        <f>V27-(V3+V8)-2.3</f>
        <v>2.7524932703701781</v>
      </c>
      <c r="AI15" s="156">
        <f>V25-V27-0.6</f>
        <v>33.414478246273937</v>
      </c>
      <c r="AJ15" s="156">
        <f t="shared" si="11"/>
        <v>36.166971516644118</v>
      </c>
      <c r="AK15" s="155"/>
      <c r="AL15" s="156">
        <f t="shared" si="10"/>
        <v>6.4669715166441186</v>
      </c>
      <c r="AN15" s="6"/>
      <c r="AO15" s="6"/>
      <c r="AP15" s="6"/>
      <c r="AQ15" s="6"/>
      <c r="AR15" s="6"/>
      <c r="AS15" s="6"/>
      <c r="AT15" s="6"/>
      <c r="AU15" s="6"/>
      <c r="BC15" s="1"/>
      <c r="BI15" s="97" t="s">
        <v>157</v>
      </c>
      <c r="BJ15" s="117">
        <v>8.3144720000000003</v>
      </c>
    </row>
    <row r="16" spans="1:66">
      <c r="A16" s="17" t="s">
        <v>424</v>
      </c>
      <c r="B16" s="17">
        <v>-533.50813094</v>
      </c>
      <c r="C16" s="17">
        <v>-533.56792271100005</v>
      </c>
      <c r="D16" s="14"/>
      <c r="E16" s="14">
        <v>-533.698060725</v>
      </c>
      <c r="F16" s="14"/>
      <c r="G16" s="17">
        <v>-533.71446119699999</v>
      </c>
      <c r="H16" s="17"/>
      <c r="I16" s="17"/>
      <c r="J16" s="17">
        <v>-20.47</v>
      </c>
      <c r="K16" s="14">
        <v>-18.37</v>
      </c>
      <c r="L16" s="17"/>
      <c r="M16" s="17"/>
      <c r="N16" s="17">
        <v>0.15590000000000001</v>
      </c>
      <c r="O16" s="17">
        <v>0.17299100000000001</v>
      </c>
      <c r="P16" s="17">
        <v>0.112566</v>
      </c>
      <c r="Q16" s="16">
        <f t="shared" si="12"/>
        <v>6.0425000000000006E-2</v>
      </c>
      <c r="R16" s="87">
        <f t="shared" si="13"/>
        <v>-334683.47564260964</v>
      </c>
      <c r="S16" s="87">
        <f t="shared" si="14"/>
        <v>-334720.99553391658</v>
      </c>
      <c r="T16" s="87">
        <f t="shared" si="15"/>
        <v>-334812.94979409355</v>
      </c>
      <c r="U16" s="87">
        <f t="shared" si="16"/>
        <v>-334812.94979409355</v>
      </c>
      <c r="V16" s="87">
        <f t="shared" si="17"/>
        <v>-334840.14228133217</v>
      </c>
      <c r="W16" s="87">
        <f t="shared" si="18"/>
        <v>-334840.14228133217</v>
      </c>
      <c r="X16" s="87">
        <f t="shared" si="19"/>
        <v>-334860.61228133214</v>
      </c>
      <c r="Y16" s="87">
        <f t="shared" si="20"/>
        <v>-334858.51228133217</v>
      </c>
      <c r="Z16" s="87">
        <f t="shared" si="21"/>
        <v>-334848.22083291819</v>
      </c>
      <c r="AA16" s="87">
        <f t="shared" si="22"/>
        <v>-334766.55802115507</v>
      </c>
      <c r="AB16" s="87">
        <f t="shared" si="23"/>
        <v>-334840.14228133217</v>
      </c>
      <c r="AF16" s="173" t="s">
        <v>285</v>
      </c>
      <c r="AG16" s="173" t="s">
        <v>318</v>
      </c>
      <c r="AH16" s="159">
        <f>V27-(V3+V8)-2.3</f>
        <v>2.7524932703701781</v>
      </c>
      <c r="AI16" s="159">
        <f>-312493.14-V27-0.6</f>
        <v>25.818313463451339</v>
      </c>
      <c r="AJ16" s="159">
        <f t="shared" si="11"/>
        <v>28.570806733821517</v>
      </c>
      <c r="AK16" s="173"/>
      <c r="AL16" s="159">
        <f t="shared" si="10"/>
        <v>1.1291932661784827</v>
      </c>
      <c r="AN16" s="6"/>
      <c r="AO16" s="6"/>
      <c r="AP16" s="6"/>
      <c r="AQ16" s="6"/>
      <c r="AR16" s="6"/>
      <c r="AS16" s="6"/>
      <c r="AT16" s="6"/>
      <c r="AU16" s="6"/>
      <c r="BI16" s="93" t="s">
        <v>158</v>
      </c>
      <c r="BJ16" s="116">
        <v>6.0221399999999997E+23</v>
      </c>
    </row>
    <row r="17" spans="1:62" ht="15.75" thickBot="1">
      <c r="A17" s="17" t="s">
        <v>391</v>
      </c>
      <c r="B17" s="17">
        <v>-457.05612854999998</v>
      </c>
      <c r="C17" s="17">
        <v>-457.10979098400003</v>
      </c>
      <c r="D17" s="14"/>
      <c r="E17" s="14">
        <v>-457.22086782299999</v>
      </c>
      <c r="F17" s="14"/>
      <c r="G17" s="17">
        <v>-457.23319800000002</v>
      </c>
      <c r="H17" s="17"/>
      <c r="I17" s="17"/>
      <c r="J17" s="17">
        <v>-22.47</v>
      </c>
      <c r="K17" s="14">
        <v>-20.78</v>
      </c>
      <c r="L17" s="17"/>
      <c r="M17" s="17">
        <v>1119.76</v>
      </c>
      <c r="N17" s="17">
        <v>0.123908</v>
      </c>
      <c r="O17" s="17">
        <v>0.135634</v>
      </c>
      <c r="P17" s="17">
        <v>8.7053000000000005E-2</v>
      </c>
      <c r="Q17" s="16">
        <f t="shared" si="12"/>
        <v>4.8580999999999999E-2</v>
      </c>
      <c r="R17" s="87">
        <f t="shared" si="13"/>
        <v>-286729.20977051888</v>
      </c>
      <c r="S17" s="87">
        <f t="shared" si="14"/>
        <v>-286762.8834459639</v>
      </c>
      <c r="T17" s="87">
        <f t="shared" si="15"/>
        <v>-286840.32249400311</v>
      </c>
      <c r="U17" s="87">
        <f t="shared" si="16"/>
        <v>-286840.32249400311</v>
      </c>
      <c r="V17" s="87">
        <f t="shared" si="17"/>
        <v>-286863.44934860169</v>
      </c>
      <c r="W17" s="87">
        <f t="shared" si="18"/>
        <v>-286863.44934860169</v>
      </c>
      <c r="X17" s="87">
        <f t="shared" si="19"/>
        <v>-286885.91934860166</v>
      </c>
      <c r="Y17" s="87">
        <f t="shared" si="20"/>
        <v>-286884.22934860172</v>
      </c>
      <c r="Z17" s="87">
        <f t="shared" si="21"/>
        <v>-286876.49204808206</v>
      </c>
      <c r="AA17" s="87">
        <f t="shared" si="22"/>
        <v>-286806.79030056257</v>
      </c>
      <c r="AB17" s="87">
        <f t="shared" si="23"/>
        <v>-286863.44934860169</v>
      </c>
      <c r="AF17" s="155" t="s">
        <v>308</v>
      </c>
      <c r="AG17" s="155" t="s">
        <v>320</v>
      </c>
      <c r="AH17" s="156">
        <f>X27-(X3+X8)-2.3</f>
        <v>9.3324932703864754</v>
      </c>
      <c r="AI17" s="156">
        <f>X25-X27-0.6</f>
        <v>27.304478246229699</v>
      </c>
      <c r="AJ17" s="156">
        <f t="shared" si="11"/>
        <v>36.636971516616171</v>
      </c>
      <c r="AK17" s="155"/>
      <c r="AL17" s="156">
        <f t="shared" si="10"/>
        <v>6.9369715166161718</v>
      </c>
      <c r="AN17" s="6"/>
      <c r="AO17" s="6"/>
      <c r="AP17" s="6"/>
      <c r="AQ17" s="6"/>
      <c r="AU17" s="6"/>
      <c r="BA17" t="s">
        <v>267</v>
      </c>
      <c r="BB17" t="s">
        <v>181</v>
      </c>
      <c r="BC17" t="s">
        <v>97</v>
      </c>
      <c r="BI17" s="95" t="s">
        <v>166</v>
      </c>
      <c r="BJ17" s="118">
        <v>29979245800</v>
      </c>
    </row>
    <row r="18" spans="1:62">
      <c r="A18" s="17" t="s">
        <v>392</v>
      </c>
      <c r="B18" s="17">
        <v>-457.06760642</v>
      </c>
      <c r="C18" s="17">
        <v>-457.11700935699997</v>
      </c>
      <c r="D18" s="14"/>
      <c r="E18" s="14">
        <v>-457.22893715700002</v>
      </c>
      <c r="F18" s="14"/>
      <c r="G18" s="17">
        <v>-457.242186301</v>
      </c>
      <c r="H18" s="17"/>
      <c r="I18" s="17"/>
      <c r="J18" s="17">
        <v>-22.43</v>
      </c>
      <c r="K18" s="14">
        <v>-20.52</v>
      </c>
      <c r="L18" s="17"/>
      <c r="M18" s="17"/>
      <c r="N18" s="17">
        <v>0.130855</v>
      </c>
      <c r="O18" s="17">
        <v>0.14394100000000001</v>
      </c>
      <c r="P18" s="17">
        <v>9.1984999999999997E-2</v>
      </c>
      <c r="Q18" s="16">
        <f t="shared" si="12"/>
        <v>5.1956000000000016E-2</v>
      </c>
      <c r="R18" s="87">
        <f t="shared" si="13"/>
        <v>-286732.05293350067</v>
      </c>
      <c r="S18" s="87">
        <f t="shared" si="14"/>
        <v>-286763.0537350403</v>
      </c>
      <c r="T18" s="87">
        <f t="shared" si="15"/>
        <v>-286841.60342932853</v>
      </c>
      <c r="U18" s="87">
        <f t="shared" si="16"/>
        <v>-286841.60342932853</v>
      </c>
      <c r="V18" s="87">
        <f t="shared" si="17"/>
        <v>-286865.99471513095</v>
      </c>
      <c r="W18" s="87">
        <f t="shared" si="18"/>
        <v>-286865.99471513095</v>
      </c>
      <c r="X18" s="87">
        <f t="shared" si="19"/>
        <v>-286888.42471513094</v>
      </c>
      <c r="Y18" s="87">
        <f t="shared" si="20"/>
        <v>-286886.51471513096</v>
      </c>
      <c r="Z18" s="87">
        <f t="shared" si="21"/>
        <v>-286878.20075428864</v>
      </c>
      <c r="AA18" s="87">
        <f t="shared" si="22"/>
        <v>-286807.96502084273</v>
      </c>
      <c r="AB18" s="87">
        <f t="shared" si="23"/>
        <v>-286865.99471513095</v>
      </c>
      <c r="AF18" s="157" t="s">
        <v>285</v>
      </c>
      <c r="AG18" s="157" t="s">
        <v>320</v>
      </c>
      <c r="AH18" s="158">
        <f>X27-(X3+X8)-2.3</f>
        <v>9.3324932703864754</v>
      </c>
      <c r="AI18" s="158">
        <f>-312507.3-X27-0.6</f>
        <v>20.128313463449011</v>
      </c>
      <c r="AJ18" s="158">
        <f t="shared" si="11"/>
        <v>29.460806733835486</v>
      </c>
      <c r="AK18" s="157"/>
      <c r="AL18" s="158">
        <f t="shared" si="10"/>
        <v>0.23919326616451286</v>
      </c>
      <c r="AM18" s="157"/>
      <c r="AN18" s="158">
        <f>X30-(X3+X7)-1.9</f>
        <v>9.5194904175819826</v>
      </c>
      <c r="AO18" s="158">
        <f>-312210.94-X30-0.2</f>
        <v>21.320733252807987</v>
      </c>
      <c r="AP18" s="158">
        <f>AN18+AO18</f>
        <v>30.840223670389967</v>
      </c>
      <c r="AQ18" s="158"/>
      <c r="AR18" s="158">
        <f>X21-(X3+X20)-1.9</f>
        <v>-0.49738848812412462</v>
      </c>
      <c r="AS18" s="158">
        <f>X22-X21-0.1</f>
        <v>28.359468196262604</v>
      </c>
      <c r="AT18" s="158">
        <f>AR18+AS18</f>
        <v>27.862079708138481</v>
      </c>
      <c r="AU18" s="158"/>
      <c r="AZ18" t="s">
        <v>264</v>
      </c>
      <c r="BA18" s="6">
        <f>X27-(X3+X8)-1.89+0.4</f>
        <v>10.142493270386476</v>
      </c>
      <c r="BB18" s="6">
        <f>-312507.3-X27</f>
        <v>20.728313463449012</v>
      </c>
      <c r="BC18" s="6">
        <f>BB18+BA18-0.6</f>
        <v>30.270806733835485</v>
      </c>
      <c r="BI18" s="92" t="s">
        <v>167</v>
      </c>
      <c r="BJ18" s="98">
        <f>((2*BJ14)/(BJ12*BJ8*BJ17))</f>
        <v>1.5815146448134986E+20</v>
      </c>
    </row>
    <row r="19" spans="1:62" ht="15.75" thickBot="1">
      <c r="A19" s="17" t="s">
        <v>425</v>
      </c>
      <c r="B19" s="17">
        <v>-533.47366899999997</v>
      </c>
      <c r="C19" s="17">
        <v>-533.53327192899997</v>
      </c>
      <c r="D19" s="14"/>
      <c r="E19" s="14">
        <v>-533.66372247100003</v>
      </c>
      <c r="F19" s="14"/>
      <c r="G19" s="17">
        <v>-533.67931252799997</v>
      </c>
      <c r="H19" s="17"/>
      <c r="I19" s="17"/>
      <c r="J19" s="17">
        <v>-22.86</v>
      </c>
      <c r="K19" s="14">
        <v>-20.83</v>
      </c>
      <c r="L19" s="17"/>
      <c r="M19" s="17"/>
      <c r="N19" s="17">
        <v>0.155833</v>
      </c>
      <c r="O19" s="17">
        <v>0.17193800000000001</v>
      </c>
      <c r="P19" s="17">
        <v>0.113207</v>
      </c>
      <c r="Q19" s="16">
        <f t="shared" si="12"/>
        <v>5.8731000000000005E-2</v>
      </c>
      <c r="R19" s="87">
        <f t="shared" si="13"/>
        <v>-334661.89249849599</v>
      </c>
      <c r="S19" s="87">
        <f t="shared" si="14"/>
        <v>-334699.29388969491</v>
      </c>
      <c r="T19" s="87">
        <f t="shared" si="15"/>
        <v>-334790.93572115793</v>
      </c>
      <c r="U19" s="87">
        <f t="shared" si="16"/>
        <v>-334790.93572115793</v>
      </c>
      <c r="V19" s="87">
        <f t="shared" si="17"/>
        <v>-334817.68393182469</v>
      </c>
      <c r="W19" s="87">
        <f t="shared" si="18"/>
        <v>-334817.68393182469</v>
      </c>
      <c r="X19" s="87">
        <f t="shared" si="19"/>
        <v>-334840.54393182468</v>
      </c>
      <c r="Y19" s="87">
        <f t="shared" si="20"/>
        <v>-334838.51393182471</v>
      </c>
      <c r="Z19" s="87">
        <f t="shared" si="21"/>
        <v>-334828.73102634586</v>
      </c>
      <c r="AA19" s="87">
        <f t="shared" si="22"/>
        <v>-334746.87210036156</v>
      </c>
      <c r="AB19" s="87">
        <f t="shared" si="23"/>
        <v>-334817.68393182469</v>
      </c>
      <c r="AF19" s="169" t="s">
        <v>285</v>
      </c>
      <c r="AG19" s="169" t="s">
        <v>319</v>
      </c>
      <c r="AH19" s="170">
        <f>W27-(W3+W8)-2.3</f>
        <v>11.222493270342238</v>
      </c>
      <c r="AI19" s="170">
        <f>-312506.46-W27-0.6</f>
        <v>23.108313463430385</v>
      </c>
      <c r="AJ19" s="170">
        <f t="shared" si="11"/>
        <v>34.330806733772619</v>
      </c>
      <c r="AK19" s="155"/>
      <c r="AL19" s="156">
        <f t="shared" si="10"/>
        <v>4.6308067337726193</v>
      </c>
      <c r="AN19" s="6"/>
      <c r="AO19" s="6"/>
      <c r="AP19" s="6"/>
      <c r="AQ19" s="6"/>
      <c r="AR19" s="6"/>
      <c r="AS19" s="6"/>
      <c r="AT19" s="6"/>
      <c r="AU19" s="6"/>
      <c r="AZ19" t="s">
        <v>265</v>
      </c>
      <c r="BA19" s="6">
        <f>X48-(X4+X8)-1.89+0.4</f>
        <v>9.0425075477012431</v>
      </c>
      <c r="BB19" s="6">
        <f>-312509.16-X48</f>
        <v>21.524560255347751</v>
      </c>
      <c r="BC19" s="6">
        <f>BB19+BA19-0.7</f>
        <v>29.867067803048993</v>
      </c>
      <c r="BI19" s="95" t="s">
        <v>168</v>
      </c>
      <c r="BJ19" s="99">
        <f>(1/(BJ13*BJ10))</f>
        <v>1.2071606160275825E+22</v>
      </c>
    </row>
    <row r="20" spans="1:62">
      <c r="A20" s="17" t="s">
        <v>176</v>
      </c>
      <c r="B20" s="17">
        <v>-313.203128789</v>
      </c>
      <c r="C20" s="17">
        <v>-313.20815126100001</v>
      </c>
      <c r="D20" s="14"/>
      <c r="E20" s="14"/>
      <c r="F20" s="14"/>
      <c r="G20" s="17">
        <v>-313.25238997899999</v>
      </c>
      <c r="H20" s="17"/>
      <c r="I20" s="17">
        <v>-32.659999999999997</v>
      </c>
      <c r="J20" s="17">
        <v>-22.81</v>
      </c>
      <c r="K20" s="14"/>
      <c r="L20" s="17">
        <v>-43.76</v>
      </c>
      <c r="M20" s="17"/>
      <c r="N20" s="17">
        <v>1.5633000000000001E-2</v>
      </c>
      <c r="O20" s="17">
        <v>2.0764999999999999E-2</v>
      </c>
      <c r="P20" s="17">
        <v>-1.0347E-2</v>
      </c>
      <c r="Q20" s="16">
        <f t="shared" ref="Q20:Q26" si="24">O20-P20</f>
        <v>3.1112000000000001E-2</v>
      </c>
      <c r="R20" s="87">
        <f t="shared" si="13"/>
        <v>-196528.06070339543</v>
      </c>
      <c r="S20" s="87">
        <f t="shared" si="14"/>
        <v>-196531.21235119549</v>
      </c>
      <c r="T20" s="87">
        <f t="shared" si="15"/>
        <v>-196558.9725573769</v>
      </c>
      <c r="U20" s="87">
        <f t="shared" si="16"/>
        <v>-196558.9725573769</v>
      </c>
      <c r="V20" s="87">
        <f t="shared" si="17"/>
        <v>-196575.27524853064</v>
      </c>
      <c r="W20" s="87">
        <f t="shared" si="18"/>
        <v>-196607.93524853064</v>
      </c>
      <c r="X20" s="87">
        <f t="shared" si="19"/>
        <v>-196598.08524853064</v>
      </c>
      <c r="Y20" s="87">
        <f t="shared" si="20"/>
        <v>-196575.27524853064</v>
      </c>
      <c r="Z20" s="87"/>
      <c r="AA20" s="87"/>
      <c r="AB20" s="87">
        <f t="shared" si="23"/>
        <v>-196619.03524853065</v>
      </c>
      <c r="AF20" s="174" t="s">
        <v>285</v>
      </c>
      <c r="AG20" s="174" t="s">
        <v>321</v>
      </c>
      <c r="AH20" s="175">
        <f>AB27-(AB3+AB8)-2.3</f>
        <v>9.9324932703631923</v>
      </c>
      <c r="AI20" s="175">
        <f>-312506.87-AB27-0.6</f>
        <v>19.818313463451339</v>
      </c>
      <c r="AJ20" s="175">
        <f t="shared" si="11"/>
        <v>29.750806733814532</v>
      </c>
      <c r="AK20" s="168"/>
      <c r="AL20" s="168">
        <f t="shared" si="10"/>
        <v>5.0806733814532379E-2</v>
      </c>
      <c r="AM20" s="137"/>
      <c r="AN20" s="138"/>
      <c r="AO20" s="138"/>
      <c r="AP20" s="138"/>
      <c r="AQ20" s="138"/>
      <c r="AR20" s="138"/>
      <c r="AS20" s="138"/>
      <c r="AT20" s="138"/>
      <c r="AU20" s="138"/>
      <c r="AZ20" t="s">
        <v>266</v>
      </c>
      <c r="BA20" s="6">
        <f>X51-(X5+X8)-1.89+0.4</f>
        <v>10.539945185175165</v>
      </c>
      <c r="BB20" s="6">
        <f>-312507.36-X51</f>
        <v>21.56818207091419</v>
      </c>
      <c r="BC20" s="6">
        <f>BB20+BA20-0.8</f>
        <v>31.308127256089353</v>
      </c>
      <c r="BI20" s="22" t="s">
        <v>159</v>
      </c>
      <c r="BJ20" s="214" t="e">
        <f>((BJ19*BJ14)/BJ18)/SIN((BJ19*BJ14)/BJ18)-(BJ19/(BJ18-BJ19))*EXP((BJ19-BJ18)*((BJ9*1000/BJ16)))</f>
        <v>#NUM!</v>
      </c>
    </row>
    <row r="21" spans="1:62" ht="15.75" thickBot="1">
      <c r="A21" s="17" t="s">
        <v>177</v>
      </c>
      <c r="B21" s="17">
        <v>-659.77672956000004</v>
      </c>
      <c r="C21" s="17">
        <v>-659.79723243599994</v>
      </c>
      <c r="D21" s="14"/>
      <c r="E21" s="14"/>
      <c r="F21" s="14"/>
      <c r="G21" s="17">
        <v>-659.90536134599995</v>
      </c>
      <c r="H21" s="17"/>
      <c r="I21" s="17">
        <v>-20.27</v>
      </c>
      <c r="J21" s="17">
        <v>-15.18</v>
      </c>
      <c r="K21" s="14"/>
      <c r="L21" s="17">
        <v>-26.66</v>
      </c>
      <c r="M21" s="17"/>
      <c r="N21" s="17">
        <v>0.15182599999999999</v>
      </c>
      <c r="O21" s="17">
        <v>0.16505500000000001</v>
      </c>
      <c r="P21" s="17">
        <v>0.111605</v>
      </c>
      <c r="Q21" s="16">
        <f t="shared" si="24"/>
        <v>5.3450000000000011E-2</v>
      </c>
      <c r="R21" s="87">
        <f t="shared" si="13"/>
        <v>-413920.74981067673</v>
      </c>
      <c r="S21" s="87">
        <f t="shared" si="14"/>
        <v>-413933.61555568024</v>
      </c>
      <c r="T21" s="87">
        <f t="shared" si="15"/>
        <v>-414001.46745038871</v>
      </c>
      <c r="U21" s="87">
        <f t="shared" si="16"/>
        <v>-414001.46745038871</v>
      </c>
      <c r="V21" s="87">
        <f t="shared" si="17"/>
        <v>-414026.70650123147</v>
      </c>
      <c r="W21" s="87">
        <f t="shared" si="18"/>
        <v>-414046.97650123149</v>
      </c>
      <c r="X21" s="87">
        <f t="shared" si="19"/>
        <v>-414041.88650123146</v>
      </c>
      <c r="Y21" s="87">
        <f t="shared" si="20"/>
        <v>-414026.70650123147</v>
      </c>
      <c r="Z21" s="87"/>
      <c r="AA21" s="87"/>
      <c r="AB21" s="87">
        <f t="shared" si="23"/>
        <v>-414053.36650123144</v>
      </c>
      <c r="AF21" s="161" t="s">
        <v>285</v>
      </c>
      <c r="AG21" s="161" t="s">
        <v>341</v>
      </c>
      <c r="AH21" s="162">
        <f>X48-(X4+X8)-2.3</f>
        <v>8.2325075477012426</v>
      </c>
      <c r="AI21" s="162">
        <f>-312509.68-X48-0.7</f>
        <v>20.304560255329125</v>
      </c>
      <c r="AJ21" s="162">
        <f t="shared" si="11"/>
        <v>28.537067803030368</v>
      </c>
      <c r="AK21" s="158">
        <f>ABS($AI$18-AI21)</f>
        <v>0.17624679188011427</v>
      </c>
      <c r="AL21" s="159">
        <f t="shared" si="10"/>
        <v>1.1629321969696313</v>
      </c>
      <c r="AN21" s="6">
        <f>X54-(X4+X7)-1.9</f>
        <v>9.8240116329630833</v>
      </c>
      <c r="AO21" s="6">
        <f>-312213.33-X54-0.1</f>
        <v>20.282473106554242</v>
      </c>
      <c r="AP21" s="6">
        <f t="shared" ref="AP21:AP28" si="25">AN21+AO21</f>
        <v>30.106484739517327</v>
      </c>
      <c r="AQ21" s="6">
        <f>ABS($AO$18-AO21)</f>
        <v>1.0382601462537444</v>
      </c>
      <c r="AR21" s="6"/>
      <c r="AS21" s="6"/>
      <c r="AT21" s="6"/>
      <c r="AU21" s="6"/>
      <c r="BI21" s="72" t="s">
        <v>169</v>
      </c>
      <c r="BJ21" s="215" t="e">
        <f>(BJ15*BJ10*LN(BJ20)/1000)/BJ5</f>
        <v>#NUM!</v>
      </c>
    </row>
    <row r="22" spans="1:62">
      <c r="A22" s="17" t="s">
        <v>178</v>
      </c>
      <c r="B22" s="17">
        <v>-659.73065785999995</v>
      </c>
      <c r="C22" s="17">
        <v>-659.75134695999998</v>
      </c>
      <c r="D22" s="14"/>
      <c r="E22" s="14"/>
      <c r="F22" s="14"/>
      <c r="G22" s="17">
        <v>-659.85949968800003</v>
      </c>
      <c r="H22" s="17"/>
      <c r="I22" s="17">
        <v>-21.75</v>
      </c>
      <c r="J22" s="17">
        <v>-12.43</v>
      </c>
      <c r="K22" s="14"/>
      <c r="L22" s="17">
        <v>-25.08</v>
      </c>
      <c r="M22" s="17">
        <v>504.28</v>
      </c>
      <c r="N22" s="17">
        <v>0.146509</v>
      </c>
      <c r="O22" s="17">
        <v>0.159354</v>
      </c>
      <c r="P22" s="17">
        <v>0.106714</v>
      </c>
      <c r="Q22" s="16">
        <f t="shared" si="24"/>
        <v>5.2639999999999992E-2</v>
      </c>
      <c r="R22" s="87">
        <f t="shared" si="13"/>
        <v>-413895.17585812992</v>
      </c>
      <c r="S22" s="87">
        <f t="shared" si="14"/>
        <v>-413908.15846042207</v>
      </c>
      <c r="T22" s="87">
        <f t="shared" si="15"/>
        <v>-413976.02530114661</v>
      </c>
      <c r="U22" s="87">
        <f t="shared" si="16"/>
        <v>-413976.02530114661</v>
      </c>
      <c r="V22" s="87">
        <f t="shared" si="17"/>
        <v>-414000.99703303521</v>
      </c>
      <c r="W22" s="87">
        <f t="shared" si="18"/>
        <v>-414022.74703303521</v>
      </c>
      <c r="X22" s="87">
        <f t="shared" si="19"/>
        <v>-414013.4270330352</v>
      </c>
      <c r="Y22" s="87">
        <f t="shared" si="20"/>
        <v>-414000.99703303521</v>
      </c>
      <c r="Z22" s="87"/>
      <c r="AA22" s="87"/>
      <c r="AB22" s="87">
        <f t="shared" si="23"/>
        <v>-414026.07703303522</v>
      </c>
      <c r="AF22" s="157" t="s">
        <v>285</v>
      </c>
      <c r="AG22" s="158" t="s">
        <v>335</v>
      </c>
      <c r="AH22" s="158">
        <f>Y48-(Y4+Y8)-2.3</f>
        <v>7.5525075476500207</v>
      </c>
      <c r="AI22" s="158">
        <f>-312507.68-Y48-0.7</f>
        <v>21.324560255347752</v>
      </c>
      <c r="AJ22" s="164">
        <f t="shared" si="11"/>
        <v>28.877067802997772</v>
      </c>
      <c r="AK22" s="159">
        <f t="shared" ref="AK22:AK28" si="26">ABS($AI$18-AI22)</f>
        <v>1.1962467918987407</v>
      </c>
      <c r="AL22" s="158">
        <f t="shared" si="10"/>
        <v>0.82293219700222764</v>
      </c>
      <c r="AN22" s="6">
        <f>Y54-(Y4+Y7)-1.9</f>
        <v>14.404011633037589</v>
      </c>
      <c r="AO22" s="6">
        <f>-312214.28-Y54-0.1</f>
        <v>20.982473106507676</v>
      </c>
      <c r="AP22" s="6">
        <f t="shared" si="25"/>
        <v>35.386484739545267</v>
      </c>
      <c r="AQ22" s="6">
        <f t="shared" ref="AQ22:AQ28" si="27">ABS($AO$18-AO22)</f>
        <v>0.33826014630031054</v>
      </c>
      <c r="AR22" s="6"/>
      <c r="AS22" s="6"/>
      <c r="AT22" s="6"/>
      <c r="AU22" s="6"/>
      <c r="BI22" s="22" t="s">
        <v>160</v>
      </c>
      <c r="BJ22" s="214" t="e">
        <f>(BJ19/(BJ19-BJ18))*(EXP((BJ19-BJ18)*((BJ9)*1000/BJ16))-1)</f>
        <v>#NUM!</v>
      </c>
    </row>
    <row r="23" spans="1:62" ht="15.75" thickBot="1">
      <c r="A23" s="17" t="s">
        <v>179</v>
      </c>
      <c r="B23" s="17">
        <v>-774.24477835000005</v>
      </c>
      <c r="C23" s="17">
        <v>-774.26770668300003</v>
      </c>
      <c r="D23" s="14"/>
      <c r="E23" s="14"/>
      <c r="F23" s="14"/>
      <c r="G23" s="17">
        <v>-774.40352731600001</v>
      </c>
      <c r="H23" s="17"/>
      <c r="I23" s="17">
        <v>-21.67</v>
      </c>
      <c r="J23" s="17">
        <v>-16.38</v>
      </c>
      <c r="K23" s="14"/>
      <c r="L23" s="17">
        <v>-28.18</v>
      </c>
      <c r="M23" s="17"/>
      <c r="N23" s="17">
        <v>0.18504899999999999</v>
      </c>
      <c r="O23" s="17">
        <v>0.200798</v>
      </c>
      <c r="P23" s="17">
        <v>0.14147799999999999</v>
      </c>
      <c r="Q23" s="16">
        <f t="shared" si="24"/>
        <v>5.9320000000000012E-2</v>
      </c>
      <c r="R23" s="87">
        <f t="shared" si="13"/>
        <v>-485729.66521064297</v>
      </c>
      <c r="S23" s="87">
        <f t="shared" si="14"/>
        <v>-485744.05295242777</v>
      </c>
      <c r="T23" s="87">
        <f t="shared" si="15"/>
        <v>-485829.28166036122</v>
      </c>
      <c r="U23" s="87">
        <f t="shared" si="16"/>
        <v>-485829.28166036122</v>
      </c>
      <c r="V23" s="87">
        <f t="shared" si="17"/>
        <v>-485856.62286729977</v>
      </c>
      <c r="W23" s="87">
        <f t="shared" si="18"/>
        <v>-485878.29286729975</v>
      </c>
      <c r="X23" s="87">
        <f t="shared" si="19"/>
        <v>-485873.00286729977</v>
      </c>
      <c r="Y23" s="87">
        <f t="shared" si="20"/>
        <v>-485856.62286729977</v>
      </c>
      <c r="Z23" s="87"/>
      <c r="AA23" s="87"/>
      <c r="AB23" s="87">
        <f t="shared" si="23"/>
        <v>-485884.80286729976</v>
      </c>
      <c r="AF23" s="161" t="s">
        <v>285</v>
      </c>
      <c r="AG23" s="162" t="s">
        <v>346</v>
      </c>
      <c r="AH23" s="159">
        <f>Z48-(Z4+Z8)-2.3</f>
        <v>7.3208901064237581</v>
      </c>
      <c r="AI23" s="159">
        <f>-312497.81-Z48-0.7</f>
        <v>20.829066373768729</v>
      </c>
      <c r="AJ23" s="162">
        <f t="shared" si="11"/>
        <v>28.149956480192486</v>
      </c>
      <c r="AK23" s="158">
        <f t="shared" si="26"/>
        <v>0.70075291031971787</v>
      </c>
      <c r="AL23" s="159">
        <f t="shared" si="10"/>
        <v>1.5500435198075131</v>
      </c>
      <c r="AN23" s="6">
        <f>Z54-(Z4+Z7)-1.9</f>
        <v>14.063132275617681</v>
      </c>
      <c r="AO23" s="6">
        <f>-312205.07-Z54-0.1</f>
        <v>20.499182855803518</v>
      </c>
      <c r="AP23" s="6">
        <f t="shared" si="25"/>
        <v>34.562315131421201</v>
      </c>
      <c r="AQ23" s="6">
        <f t="shared" si="27"/>
        <v>0.82155039700446864</v>
      </c>
      <c r="AR23" s="6"/>
      <c r="AS23" s="6"/>
      <c r="AT23" s="6"/>
      <c r="AU23" s="6"/>
      <c r="BI23" s="72" t="s">
        <v>170</v>
      </c>
      <c r="BJ23" s="216" t="e">
        <f>(BJ15*BJ10*LN(BJ22)/1000)/BJ5</f>
        <v>#NUM!</v>
      </c>
    </row>
    <row r="24" spans="1:62" ht="15.75" thickBot="1">
      <c r="A24" s="17" t="s">
        <v>180</v>
      </c>
      <c r="B24" s="17">
        <v>-774.19798085000002</v>
      </c>
      <c r="C24" s="17">
        <v>-774.22102494000001</v>
      </c>
      <c r="D24" s="14"/>
      <c r="E24" s="14"/>
      <c r="F24" s="14"/>
      <c r="G24" s="17">
        <v>-774.35691378900003</v>
      </c>
      <c r="H24" s="17"/>
      <c r="I24" s="17">
        <v>-23.71</v>
      </c>
      <c r="J24" s="17">
        <v>-14.32</v>
      </c>
      <c r="K24" s="14"/>
      <c r="L24" s="17">
        <v>-27.08</v>
      </c>
      <c r="M24" s="17">
        <v>500.6</v>
      </c>
      <c r="N24" s="17">
        <v>0.179645</v>
      </c>
      <c r="O24" s="17">
        <v>0.19514599999999999</v>
      </c>
      <c r="P24" s="17">
        <v>0.13614699999999999</v>
      </c>
      <c r="Q24" s="16">
        <f t="shared" si="24"/>
        <v>5.8998999999999996E-2</v>
      </c>
      <c r="R24" s="87">
        <f t="shared" si="13"/>
        <v>-485703.69040516677</v>
      </c>
      <c r="S24" s="87">
        <f t="shared" si="14"/>
        <v>-485718.15078554355</v>
      </c>
      <c r="T24" s="87">
        <f t="shared" si="15"/>
        <v>-485803.42229965021</v>
      </c>
      <c r="U24" s="87">
        <f t="shared" si="16"/>
        <v>-485803.42229965021</v>
      </c>
      <c r="V24" s="87">
        <f t="shared" si="17"/>
        <v>-485830.71769841103</v>
      </c>
      <c r="W24" s="87">
        <f t="shared" si="18"/>
        <v>-485854.42769841105</v>
      </c>
      <c r="X24" s="87">
        <f t="shared" si="19"/>
        <v>-485845.03769841103</v>
      </c>
      <c r="Y24" s="87">
        <f t="shared" si="20"/>
        <v>-485830.71769841103</v>
      </c>
      <c r="Z24" s="87"/>
      <c r="AA24" s="87"/>
      <c r="AB24" s="87">
        <f t="shared" si="23"/>
        <v>-485857.79769841104</v>
      </c>
      <c r="AF24" s="165" t="s">
        <v>285</v>
      </c>
      <c r="AG24" s="166" t="s">
        <v>347</v>
      </c>
      <c r="AH24" s="166">
        <f>AA48-(AA4+AA8)-2.3</f>
        <v>6.7834265236626381</v>
      </c>
      <c r="AI24" s="166">
        <f>-312440.82-AA48-0.7</f>
        <v>20.935589643032291</v>
      </c>
      <c r="AJ24" s="166">
        <f t="shared" si="11"/>
        <v>27.719016166694928</v>
      </c>
      <c r="AK24" s="158">
        <f t="shared" si="26"/>
        <v>0.80727617958327968</v>
      </c>
      <c r="AL24" s="166">
        <f t="shared" si="10"/>
        <v>1.9809838333050713</v>
      </c>
      <c r="AM24" s="137"/>
      <c r="AN24" s="138">
        <f>AA54-(AA4+AA7)-1.9</f>
        <v>14.925309321749955</v>
      </c>
      <c r="AO24" s="138">
        <f>-312148.72-AA54-0.1</f>
        <v>20.063974078721365</v>
      </c>
      <c r="AP24" s="138">
        <f t="shared" si="25"/>
        <v>34.989283400471322</v>
      </c>
      <c r="AQ24" s="138">
        <f t="shared" si="27"/>
        <v>1.2567591740866213</v>
      </c>
      <c r="AR24" s="138"/>
      <c r="AS24" s="138"/>
      <c r="AT24" s="138"/>
      <c r="AU24" s="138"/>
      <c r="BI24" s="101" t="s">
        <v>171</v>
      </c>
      <c r="BJ24" s="102"/>
    </row>
    <row r="25" spans="1:62">
      <c r="A25" s="17" t="s">
        <v>245</v>
      </c>
      <c r="B25" s="17"/>
      <c r="C25" s="17">
        <v>-497.985519684</v>
      </c>
      <c r="D25" s="14">
        <v>0.57630000000000003</v>
      </c>
      <c r="E25" s="14"/>
      <c r="F25" s="14"/>
      <c r="G25" s="17">
        <v>-498.09183608799998</v>
      </c>
      <c r="H25" s="17">
        <v>0.58040000000000003</v>
      </c>
      <c r="I25" s="17">
        <v>-13.43</v>
      </c>
      <c r="J25" s="17">
        <v>-14.58</v>
      </c>
      <c r="K25" s="14"/>
      <c r="L25" s="17">
        <v>-14.34</v>
      </c>
      <c r="M25" s="17">
        <v>1391.38</v>
      </c>
      <c r="N25" s="17">
        <v>0.15327399999999999</v>
      </c>
      <c r="O25" s="17">
        <v>0.16583600000000001</v>
      </c>
      <c r="P25" s="17">
        <v>0.114272</v>
      </c>
      <c r="Q25" s="16">
        <f t="shared" si="24"/>
        <v>5.1564000000000013E-2</v>
      </c>
      <c r="R25" s="87">
        <f t="shared" si="13"/>
        <v>96.180857733050729</v>
      </c>
      <c r="S25" s="87">
        <f t="shared" si="14"/>
        <v>-312394.35518782027</v>
      </c>
      <c r="T25" s="87">
        <f t="shared" si="15"/>
        <v>-312461.06971818954</v>
      </c>
      <c r="U25" s="87">
        <f t="shared" si="16"/>
        <v>-312461.06971818954</v>
      </c>
      <c r="V25" s="87">
        <f t="shared" si="17"/>
        <v>-312485.54383521719</v>
      </c>
      <c r="W25" s="87">
        <f t="shared" si="18"/>
        <v>-312498.97383521718</v>
      </c>
      <c r="X25" s="87">
        <f t="shared" si="19"/>
        <v>-312500.12383521721</v>
      </c>
      <c r="Y25" s="87">
        <f t="shared" si="20"/>
        <v>-312485.54383521719</v>
      </c>
      <c r="Z25" s="87"/>
      <c r="AA25" s="87"/>
      <c r="AB25" s="87">
        <f t="shared" si="23"/>
        <v>-312499.88383521722</v>
      </c>
      <c r="AF25" s="157" t="s">
        <v>285</v>
      </c>
      <c r="AG25" s="158" t="s">
        <v>339</v>
      </c>
      <c r="AH25" s="158">
        <f>X51-(X5+X8)-2.3</f>
        <v>9.7299451851751648</v>
      </c>
      <c r="AI25" s="158">
        <f>-312508.25-X51-0.8</f>
        <v>19.87818207090022</v>
      </c>
      <c r="AJ25" s="158">
        <f t="shared" si="11"/>
        <v>29.608127256075385</v>
      </c>
      <c r="AK25" s="158">
        <f t="shared" si="26"/>
        <v>0.25013139254879135</v>
      </c>
      <c r="AL25" s="158">
        <f t="shared" si="10"/>
        <v>9.1872743924614753E-2</v>
      </c>
      <c r="AN25" s="6">
        <f>X57-(X5+X7)-1.9</f>
        <v>10.509689541265834</v>
      </c>
      <c r="AO25" s="6">
        <f>-312213.97-X57-0.1</f>
        <v>18.69785465140594</v>
      </c>
      <c r="AP25" s="6">
        <f t="shared" si="25"/>
        <v>29.207544192671776</v>
      </c>
      <c r="AQ25" s="6">
        <f t="shared" si="27"/>
        <v>2.6228786014020464</v>
      </c>
      <c r="AR25" s="6"/>
      <c r="AS25" s="6"/>
      <c r="AT25" s="6"/>
      <c r="AU25" s="6"/>
      <c r="BI25" s="103" t="s">
        <v>161</v>
      </c>
      <c r="BJ25" s="104">
        <f>1+(1/24)*(BJ12*BJ8*BJ17/(BJ10*BJ13))^2</f>
        <v>9584.6771360446601</v>
      </c>
    </row>
    <row r="26" spans="1:62">
      <c r="A26" s="17" t="s">
        <v>263</v>
      </c>
      <c r="B26" s="17"/>
      <c r="C26" s="17">
        <v>-497.95624104299998</v>
      </c>
      <c r="D26" s="14"/>
      <c r="E26" s="14">
        <v>-498.04654894399999</v>
      </c>
      <c r="F26" s="14"/>
      <c r="G26" s="17">
        <v>-498.06222511999999</v>
      </c>
      <c r="H26" s="17"/>
      <c r="I26" s="17">
        <v>-13.69</v>
      </c>
      <c r="J26" s="17">
        <v>-15.61</v>
      </c>
      <c r="K26" s="14">
        <v>-12.83</v>
      </c>
      <c r="L26" s="17">
        <v>-15.83</v>
      </c>
      <c r="M26" s="17"/>
      <c r="N26" s="17">
        <v>0.15327399999999999</v>
      </c>
      <c r="O26" s="17">
        <v>0.16583600000000001</v>
      </c>
      <c r="P26" s="17">
        <v>0.114272</v>
      </c>
      <c r="Q26" s="16">
        <f t="shared" si="24"/>
        <v>5.1564000000000013E-2</v>
      </c>
      <c r="R26" s="87">
        <f t="shared" si="13"/>
        <v>96.180857733050729</v>
      </c>
      <c r="S26" s="87">
        <f t="shared" si="14"/>
        <v>-312375.98256881995</v>
      </c>
      <c r="T26" s="87">
        <f t="shared" si="15"/>
        <v>-312442.48856091202</v>
      </c>
      <c r="U26" s="87">
        <f t="shared" si="16"/>
        <v>-312442.48856091202</v>
      </c>
      <c r="V26" s="87">
        <f t="shared" si="17"/>
        <v>-312466.96267793968</v>
      </c>
      <c r="W26" s="87">
        <f t="shared" si="18"/>
        <v>-312480.65267793968</v>
      </c>
      <c r="X26" s="87">
        <f t="shared" si="19"/>
        <v>-312482.57267793966</v>
      </c>
      <c r="Y26" s="87">
        <f t="shared" si="20"/>
        <v>-312479.79267793969</v>
      </c>
      <c r="Z26" s="87"/>
      <c r="AA26" s="87"/>
      <c r="AB26" s="87">
        <f t="shared" si="23"/>
        <v>-312482.79267793969</v>
      </c>
      <c r="AF26" s="157" t="s">
        <v>285</v>
      </c>
      <c r="AG26" s="158" t="s">
        <v>340</v>
      </c>
      <c r="AH26" s="158">
        <f>Y51-(Y5+Y8)-2.3</f>
        <v>9.2199451851658516</v>
      </c>
      <c r="AI26" s="158">
        <f>-312506-Y51-0.8</f>
        <v>21.008182070904876</v>
      </c>
      <c r="AJ26" s="158">
        <f t="shared" si="11"/>
        <v>30.228127256070728</v>
      </c>
      <c r="AK26" s="158">
        <f t="shared" si="26"/>
        <v>0.87986860745586526</v>
      </c>
      <c r="AL26" s="158">
        <f t="shared" si="10"/>
        <v>0.52812725607072863</v>
      </c>
      <c r="AN26" s="6">
        <f>Y57-(Y5+Y7)-1.9</f>
        <v>15.149689541279804</v>
      </c>
      <c r="AO26" s="6">
        <f>-312215.05-Y57-0.1</f>
        <v>19.237854651384986</v>
      </c>
      <c r="AP26" s="6">
        <f t="shared" si="25"/>
        <v>34.387544192664791</v>
      </c>
      <c r="AQ26" s="6">
        <f t="shared" si="27"/>
        <v>2.0828786014230012</v>
      </c>
      <c r="AR26" s="6"/>
      <c r="AS26" s="6"/>
      <c r="AT26" s="6"/>
      <c r="AU26" s="6"/>
      <c r="BI26" s="103" t="s">
        <v>172</v>
      </c>
      <c r="BJ26" s="104">
        <f>(BJ10*BJ13)/(BJ8*BJ12*BJ17)</f>
        <v>2.0851067392357349E-3</v>
      </c>
    </row>
    <row r="27" spans="1:62" ht="25.5" customHeight="1" thickBot="1">
      <c r="A27" s="17" t="s">
        <v>262</v>
      </c>
      <c r="B27" s="17">
        <v>-498.02731131000002</v>
      </c>
      <c r="C27" s="17">
        <v>-498.05064853699997</v>
      </c>
      <c r="D27" s="14"/>
      <c r="E27" s="14"/>
      <c r="F27" s="14"/>
      <c r="G27" s="17">
        <v>-498.157816626</v>
      </c>
      <c r="H27" s="17"/>
      <c r="I27" s="17">
        <v>-10.61</v>
      </c>
      <c r="J27" s="17">
        <v>-8.4700000000000006</v>
      </c>
      <c r="K27" s="14"/>
      <c r="L27" s="17">
        <v>-7.73</v>
      </c>
      <c r="M27" s="17"/>
      <c r="N27" s="17">
        <v>0.164328</v>
      </c>
      <c r="O27" s="17">
        <v>0.17624699999999999</v>
      </c>
      <c r="P27" s="17">
        <v>0.12604699999999999</v>
      </c>
      <c r="Q27" s="16">
        <f t="shared" ref="Q27:Q38" si="28">O27-P27</f>
        <v>5.0199999999999995E-2</v>
      </c>
      <c r="R27" s="87">
        <f t="shared" si="13"/>
        <v>-312413.64333345072</v>
      </c>
      <c r="S27" s="87">
        <f t="shared" si="14"/>
        <v>-312428.28766001598</v>
      </c>
      <c r="T27" s="87">
        <f t="shared" si="15"/>
        <v>-312495.53663062822</v>
      </c>
      <c r="U27" s="87">
        <f t="shared" si="16"/>
        <v>-312495.53663062822</v>
      </c>
      <c r="V27" s="87">
        <f t="shared" si="17"/>
        <v>-312519.55831346347</v>
      </c>
      <c r="W27" s="87">
        <f t="shared" si="18"/>
        <v>-312530.16831346345</v>
      </c>
      <c r="X27" s="87">
        <f t="shared" si="19"/>
        <v>-312528.02831346344</v>
      </c>
      <c r="Y27" s="87">
        <f t="shared" si="20"/>
        <v>-312519.55831346347</v>
      </c>
      <c r="Z27" s="87"/>
      <c r="AA27" s="87"/>
      <c r="AB27" s="87">
        <f t="shared" si="23"/>
        <v>-312527.28831346345</v>
      </c>
      <c r="AF27" s="163" t="s">
        <v>285</v>
      </c>
      <c r="AG27" s="164" t="s">
        <v>336</v>
      </c>
      <c r="AH27" s="158">
        <f>Z51-(Z5+Z8)-2.3</f>
        <v>8.9327875248738557</v>
      </c>
      <c r="AI27" s="158">
        <f>-312496.19-Z51-0.8</f>
        <v>20.508753006160259</v>
      </c>
      <c r="AJ27" s="158">
        <f t="shared" si="11"/>
        <v>29.441540531034114</v>
      </c>
      <c r="AK27" s="158">
        <f t="shared" si="26"/>
        <v>0.38043954271124747</v>
      </c>
      <c r="AL27" s="158">
        <f t="shared" si="10"/>
        <v>0.25845946896588501</v>
      </c>
      <c r="AN27" s="6">
        <f>Z57-(Z5+Z7)-1.9</f>
        <v>14.696363658027257</v>
      </c>
      <c r="AO27" s="6">
        <f>-312205.87-Z57-0.1</f>
        <v>18.837535524251869</v>
      </c>
      <c r="AP27" s="6">
        <f t="shared" si="25"/>
        <v>33.533899182279129</v>
      </c>
      <c r="AQ27" s="6">
        <f t="shared" si="27"/>
        <v>2.4831977285561173</v>
      </c>
      <c r="AR27" s="6"/>
      <c r="AS27" s="6"/>
      <c r="AT27" s="6"/>
      <c r="AU27" s="6"/>
      <c r="AX27" s="136">
        <f>X39</f>
        <v>-414330.34453937039</v>
      </c>
      <c r="BI27" s="103" t="s">
        <v>260</v>
      </c>
      <c r="BJ27" s="121">
        <f>(BJ15*BJ10*LN(BJ25)/1000)/BJ5</f>
        <v>0.10931131291838712</v>
      </c>
    </row>
    <row r="28" spans="1:62">
      <c r="A28" s="17" t="s">
        <v>372</v>
      </c>
      <c r="B28" s="17">
        <v>-497.41632369000001</v>
      </c>
      <c r="C28" s="17">
        <v>-497.43781628400001</v>
      </c>
      <c r="D28" s="14">
        <v>0.16850000000000001</v>
      </c>
      <c r="E28" s="14">
        <v>-497.52800655700003</v>
      </c>
      <c r="F28" s="14">
        <v>0.15379999999999999</v>
      </c>
      <c r="G28" s="17">
        <v>-497.54288994199999</v>
      </c>
      <c r="H28" s="17">
        <v>0.1482</v>
      </c>
      <c r="I28" s="17"/>
      <c r="J28" s="17">
        <v>-61.91</v>
      </c>
      <c r="K28" s="14">
        <v>-62.96</v>
      </c>
      <c r="L28" s="17"/>
      <c r="M28" s="17">
        <v>720.41</v>
      </c>
      <c r="N28" s="17">
        <v>0.143397</v>
      </c>
      <c r="O28" s="17">
        <v>0.15520600000000001</v>
      </c>
      <c r="P28" s="17">
        <v>0.104862</v>
      </c>
      <c r="Q28" s="16">
        <f t="shared" si="28"/>
        <v>5.0344000000000014E-2</v>
      </c>
      <c r="R28" s="87">
        <f t="shared" si="13"/>
        <v>-312043.37732732657</v>
      </c>
      <c r="S28" s="87">
        <f t="shared" si="14"/>
        <v>-312056.86412956199</v>
      </c>
      <c r="T28" s="87">
        <f t="shared" si="15"/>
        <v>-312122.79882528062</v>
      </c>
      <c r="U28" s="87">
        <f t="shared" si="16"/>
        <v>-312122.79882528062</v>
      </c>
      <c r="V28" s="87">
        <f t="shared" si="17"/>
        <v>-312146.97989547357</v>
      </c>
      <c r="W28" s="87">
        <f t="shared" si="18"/>
        <v>-312146.97989547357</v>
      </c>
      <c r="X28" s="87">
        <f t="shared" si="19"/>
        <v>-312208.88989547355</v>
      </c>
      <c r="Y28" s="87">
        <f t="shared" si="20"/>
        <v>-312209.9398954736</v>
      </c>
      <c r="Z28" s="87"/>
      <c r="AA28" s="87"/>
      <c r="AB28" s="87">
        <f t="shared" si="23"/>
        <v>-312146.97989547357</v>
      </c>
      <c r="AF28" s="167" t="s">
        <v>285</v>
      </c>
      <c r="AG28" s="168" t="s">
        <v>337</v>
      </c>
      <c r="AH28" s="168">
        <f>AA51-(AA5+AA8)-2.3</f>
        <v>8.5947288217023008</v>
      </c>
      <c r="AI28" s="168">
        <f>-312439.23-AA51-0.8</f>
        <v>20.366520264581776</v>
      </c>
      <c r="AJ28" s="168">
        <f t="shared" si="11"/>
        <v>28.961249086284077</v>
      </c>
      <c r="AK28" s="158">
        <f t="shared" si="26"/>
        <v>0.23820680113276538</v>
      </c>
      <c r="AL28" s="168">
        <f t="shared" si="10"/>
        <v>0.73875091371592205</v>
      </c>
      <c r="AM28" s="137"/>
      <c r="AN28" s="138"/>
      <c r="AO28" s="138"/>
      <c r="AP28" s="138">
        <f t="shared" si="25"/>
        <v>0</v>
      </c>
      <c r="AQ28" s="138">
        <f t="shared" si="27"/>
        <v>21.320733252807987</v>
      </c>
      <c r="AR28" s="138"/>
      <c r="AS28" s="138"/>
      <c r="AT28" s="138"/>
      <c r="AU28" s="138"/>
      <c r="BI28" s="122" t="s">
        <v>173</v>
      </c>
      <c r="BJ28" s="26">
        <v>2</v>
      </c>
    </row>
    <row r="29" spans="1:62" ht="18" customHeight="1" thickBot="1">
      <c r="A29" s="17" t="s">
        <v>373</v>
      </c>
      <c r="B29" s="17"/>
      <c r="C29" s="17">
        <v>-497.392326465</v>
      </c>
      <c r="D29" s="14"/>
      <c r="E29" s="14">
        <v>-497.48223919600002</v>
      </c>
      <c r="F29" s="14"/>
      <c r="G29" s="17">
        <v>-497.49723480199998</v>
      </c>
      <c r="H29" s="17"/>
      <c r="I29" s="17"/>
      <c r="J29" s="17">
        <v>-64.95</v>
      </c>
      <c r="K29" s="14">
        <v>-65.81</v>
      </c>
      <c r="L29" s="17"/>
      <c r="M29" s="17"/>
      <c r="N29" s="17">
        <v>0.143397</v>
      </c>
      <c r="O29" s="17">
        <v>0.15520600000000001</v>
      </c>
      <c r="P29" s="17">
        <v>0.104862</v>
      </c>
      <c r="Q29" s="16">
        <f t="shared" si="28"/>
        <v>5.0344000000000014E-2</v>
      </c>
      <c r="R29" s="87">
        <f t="shared" si="13"/>
        <v>89.982948551915371</v>
      </c>
      <c r="S29" s="87">
        <f t="shared" si="14"/>
        <v>-312028.31884588994</v>
      </c>
      <c r="T29" s="87">
        <f t="shared" si="15"/>
        <v>-312094.14980114653</v>
      </c>
      <c r="U29" s="87">
        <f t="shared" si="16"/>
        <v>-312094.14980114653</v>
      </c>
      <c r="V29" s="87">
        <f t="shared" si="17"/>
        <v>-312118.33087133948</v>
      </c>
      <c r="W29" s="87">
        <f t="shared" si="18"/>
        <v>-312118.33087133948</v>
      </c>
      <c r="X29" s="87">
        <f t="shared" si="19"/>
        <v>-312183.28087133949</v>
      </c>
      <c r="Y29" s="87">
        <f t="shared" si="20"/>
        <v>-312184.14087133948</v>
      </c>
      <c r="Z29" s="87"/>
      <c r="AA29" s="87"/>
      <c r="AB29" s="87">
        <f t="shared" si="23"/>
        <v>-312118.33087133948</v>
      </c>
      <c r="AF29" s="167" t="s">
        <v>274</v>
      </c>
      <c r="AG29" s="168"/>
      <c r="AH29" s="168"/>
      <c r="AI29" s="168"/>
      <c r="AJ29" s="168">
        <v>29.7</v>
      </c>
      <c r="AK29" s="6"/>
      <c r="AL29" s="6">
        <f t="shared" si="10"/>
        <v>0</v>
      </c>
      <c r="AM29" s="6"/>
      <c r="AN29" s="6"/>
      <c r="AO29" s="6"/>
      <c r="BI29" s="107" t="s">
        <v>174</v>
      </c>
      <c r="BJ29" s="110">
        <f>($BJ$10*$BJ$15*LN(BJ28)*10^-3)/BJ5</f>
        <v>8.2645594999683682E-3</v>
      </c>
    </row>
    <row r="30" spans="1:62">
      <c r="A30" s="17" t="s">
        <v>374</v>
      </c>
      <c r="B30" s="17">
        <v>-497.47013283000001</v>
      </c>
      <c r="C30" s="17">
        <v>-497.49097494799997</v>
      </c>
      <c r="D30" s="14"/>
      <c r="E30" s="14">
        <v>-497.58132351500001</v>
      </c>
      <c r="F30" s="14"/>
      <c r="G30" s="17">
        <v>-497.59686475900003</v>
      </c>
      <c r="H30" s="17"/>
      <c r="I30" s="17"/>
      <c r="J30" s="17">
        <v>-55.39</v>
      </c>
      <c r="K30" s="14">
        <v>-57.24</v>
      </c>
      <c r="L30" s="17"/>
      <c r="M30" s="17"/>
      <c r="N30" s="17">
        <v>0.149286</v>
      </c>
      <c r="O30" s="17">
        <v>0.16062299999999999</v>
      </c>
      <c r="P30" s="17">
        <v>0.110884</v>
      </c>
      <c r="Q30" s="16">
        <f t="shared" si="28"/>
        <v>4.9738999999999992E-2</v>
      </c>
      <c r="R30" s="87">
        <f t="shared" si="13"/>
        <v>-312073.44765998499</v>
      </c>
      <c r="S30" s="87">
        <f t="shared" si="14"/>
        <v>-312086.5262824925</v>
      </c>
      <c r="T30" s="87">
        <f t="shared" si="15"/>
        <v>-312152.97312179446</v>
      </c>
      <c r="U30" s="87">
        <f t="shared" si="16"/>
        <v>-312152.97312179446</v>
      </c>
      <c r="V30" s="87">
        <f t="shared" si="17"/>
        <v>-312177.0707332528</v>
      </c>
      <c r="W30" s="87">
        <f t="shared" si="18"/>
        <v>-312177.0707332528</v>
      </c>
      <c r="X30" s="87">
        <f t="shared" si="19"/>
        <v>-312232.46073325281</v>
      </c>
      <c r="Y30" s="87">
        <f t="shared" si="20"/>
        <v>-312234.31073325279</v>
      </c>
      <c r="Z30" s="87"/>
      <c r="AA30" s="87"/>
      <c r="AB30" s="87">
        <f t="shared" si="23"/>
        <v>-312177.0707332528</v>
      </c>
    </row>
    <row r="31" spans="1:62">
      <c r="A31" s="17" t="s">
        <v>386</v>
      </c>
      <c r="B31" s="17">
        <v>-497.97003182999998</v>
      </c>
      <c r="C31" s="17">
        <v>-497.99430292400001</v>
      </c>
      <c r="D31" s="14"/>
      <c r="E31" s="14">
        <v>-498.08540839800003</v>
      </c>
      <c r="F31" s="14"/>
      <c r="G31" s="17">
        <v>-498.10115978499999</v>
      </c>
      <c r="H31" s="17"/>
      <c r="I31" s="17"/>
      <c r="J31" s="17">
        <v>-13.7</v>
      </c>
      <c r="K31" s="14">
        <v>-11.83</v>
      </c>
      <c r="L31" s="17"/>
      <c r="M31" s="17"/>
      <c r="N31" s="17">
        <v>0.164436</v>
      </c>
      <c r="O31" s="17">
        <v>0.175654</v>
      </c>
      <c r="P31" s="17">
        <v>0.12742800000000001</v>
      </c>
      <c r="Q31" s="16">
        <f t="shared" si="28"/>
        <v>4.8225999999999991E-2</v>
      </c>
      <c r="R31" s="87">
        <f t="shared" si="13"/>
        <v>-312377.63215706364</v>
      </c>
      <c r="S31" s="87">
        <f t="shared" si="14"/>
        <v>-312392.86249383993</v>
      </c>
      <c r="T31" s="87">
        <f t="shared" si="15"/>
        <v>-312459.91616599332</v>
      </c>
      <c r="U31" s="87">
        <f t="shared" si="16"/>
        <v>-312459.91616599332</v>
      </c>
      <c r="V31" s="87">
        <f t="shared" si="17"/>
        <v>-312483.13902951207</v>
      </c>
      <c r="W31" s="87">
        <f t="shared" si="18"/>
        <v>-312483.13902951207</v>
      </c>
      <c r="X31" s="87">
        <f t="shared" si="19"/>
        <v>-312496.83902951208</v>
      </c>
      <c r="Y31" s="87">
        <f t="shared" si="20"/>
        <v>-312494.96902951208</v>
      </c>
      <c r="Z31" s="87"/>
      <c r="AA31" s="87"/>
      <c r="AB31" s="87">
        <f t="shared" si="23"/>
        <v>-312483.13902951207</v>
      </c>
    </row>
    <row r="32" spans="1:62">
      <c r="A32" s="17" t="s">
        <v>422</v>
      </c>
      <c r="B32" s="17">
        <v>-497.90859790000002</v>
      </c>
      <c r="C32" s="17">
        <v>-497.966005107</v>
      </c>
      <c r="D32" s="14">
        <v>0.76049999999999995</v>
      </c>
      <c r="E32" s="14">
        <v>-498.05736907199997</v>
      </c>
      <c r="F32" s="14">
        <v>0.76519999999999999</v>
      </c>
      <c r="G32" s="17">
        <v>-498.07267802199999</v>
      </c>
      <c r="H32" s="17">
        <v>0.76390000000000002</v>
      </c>
      <c r="I32" s="17"/>
      <c r="J32" s="17">
        <v>-14.46</v>
      </c>
      <c r="K32" s="14">
        <v>-13.38</v>
      </c>
      <c r="L32" s="17"/>
      <c r="M32" s="17">
        <v>52.45</v>
      </c>
      <c r="N32" s="17">
        <v>0.15897900000000001</v>
      </c>
      <c r="O32" s="17">
        <v>0.17168</v>
      </c>
      <c r="P32" s="17">
        <v>0.11858399999999999</v>
      </c>
      <c r="Q32" s="16">
        <f t="shared" si="28"/>
        <v>5.3096000000000004E-2</v>
      </c>
      <c r="R32" s="87">
        <f t="shared" si="13"/>
        <v>-312342.50611389487</v>
      </c>
      <c r="S32" s="87">
        <f t="shared" si="14"/>
        <v>-312378.5296691574</v>
      </c>
      <c r="T32" s="87">
        <f t="shared" si="15"/>
        <v>-312445.46791348839</v>
      </c>
      <c r="U32" s="87">
        <f t="shared" si="16"/>
        <v>-312445.46791348839</v>
      </c>
      <c r="V32" s="87">
        <f t="shared" si="17"/>
        <v>-312470.81615094631</v>
      </c>
      <c r="W32" s="87">
        <f t="shared" si="18"/>
        <v>-312470.81615094631</v>
      </c>
      <c r="X32" s="87">
        <f t="shared" si="19"/>
        <v>-312485.27615094633</v>
      </c>
      <c r="Y32" s="87">
        <f t="shared" si="20"/>
        <v>-312484.19615094631</v>
      </c>
      <c r="Z32" s="87"/>
      <c r="AA32" s="87"/>
      <c r="AB32" s="87">
        <f t="shared" si="23"/>
        <v>-312470.81615094631</v>
      </c>
    </row>
    <row r="33" spans="1:28">
      <c r="A33" s="17" t="s">
        <v>423</v>
      </c>
      <c r="B33" s="14"/>
      <c r="C33" s="17">
        <v>-497.98397428800001</v>
      </c>
      <c r="D33" s="14"/>
      <c r="E33" s="14">
        <v>-498.07535865699998</v>
      </c>
      <c r="F33" s="14"/>
      <c r="G33" s="17">
        <v>-498.09053268500003</v>
      </c>
      <c r="H33" s="17"/>
      <c r="I33" s="17"/>
      <c r="J33" s="17">
        <v>-12.28</v>
      </c>
      <c r="K33" s="14">
        <v>-11.28</v>
      </c>
      <c r="L33" s="17"/>
      <c r="M33" s="17"/>
      <c r="N33" s="17">
        <v>0.15897900000000001</v>
      </c>
      <c r="O33" s="17">
        <v>0.17168</v>
      </c>
      <c r="P33" s="17">
        <v>0.11858399999999999</v>
      </c>
      <c r="Q33" s="16">
        <f t="shared" si="28"/>
        <v>5.3096000000000004E-2</v>
      </c>
      <c r="R33" s="87">
        <f>((C33+N33)*$BJ$3*$BJ$4*10^-3)/$BJ$5</f>
        <v>-312389.80549703003</v>
      </c>
      <c r="S33" s="87" t="e">
        <f>((#REF!+N33)*$BJ$3*$BJ$4*10^-3)/$BJ$5</f>
        <v>#REF!</v>
      </c>
      <c r="T33" s="87">
        <f t="shared" si="15"/>
        <v>-312456.67188025295</v>
      </c>
      <c r="U33" s="87">
        <f t="shared" si="16"/>
        <v>-312456.67188025295</v>
      </c>
      <c r="V33" s="87">
        <f t="shared" si="17"/>
        <v>-312482.02011771093</v>
      </c>
      <c r="W33" s="87">
        <f t="shared" si="18"/>
        <v>-312482.02011771093</v>
      </c>
      <c r="X33" s="87">
        <f t="shared" si="19"/>
        <v>-312494.30011771095</v>
      </c>
      <c r="Y33" s="87">
        <f t="shared" si="20"/>
        <v>-312493.30011771095</v>
      </c>
      <c r="Z33" s="87"/>
      <c r="AA33" s="87"/>
      <c r="AB33" s="87">
        <f t="shared" si="23"/>
        <v>-312482.02011771093</v>
      </c>
    </row>
    <row r="34" spans="1:28">
      <c r="A34" s="17" t="s">
        <v>387</v>
      </c>
      <c r="B34" s="14">
        <v>-497.94102548000001</v>
      </c>
      <c r="C34" s="17">
        <v>-497.96676215100001</v>
      </c>
      <c r="D34" s="14"/>
      <c r="E34" s="14">
        <v>-498.05747670900001</v>
      </c>
      <c r="F34" s="14"/>
      <c r="G34" s="17">
        <v>-498.07350501100001</v>
      </c>
      <c r="H34" s="17"/>
      <c r="I34" s="17"/>
      <c r="J34" s="17">
        <v>-18.649999999999999</v>
      </c>
      <c r="K34" s="14">
        <v>-18.02</v>
      </c>
      <c r="L34" s="17"/>
      <c r="M34" s="17">
        <v>376.29</v>
      </c>
      <c r="N34" s="17">
        <v>0.159914</v>
      </c>
      <c r="O34" s="17">
        <v>0.17179900000000001</v>
      </c>
      <c r="P34" s="17">
        <v>0.121721</v>
      </c>
      <c r="Q34" s="16">
        <f t="shared" si="28"/>
        <v>5.0078000000000011E-2</v>
      </c>
      <c r="R34" s="87">
        <f>((C34+N34)*$BJ$3*$BJ$4*10^-3)/$BJ$5</f>
        <v>-312378.41800011561</v>
      </c>
      <c r="S34" s="87" t="e">
        <f>((#REF!+N34)*$BJ$3*$BJ$4*10^-3)/$BJ$5</f>
        <v>#REF!</v>
      </c>
      <c r="T34" s="87">
        <f t="shared" si="15"/>
        <v>-312445.4001355833</v>
      </c>
      <c r="U34" s="87">
        <f t="shared" si="16"/>
        <v>-312445.4001355833</v>
      </c>
      <c r="V34" s="87">
        <f t="shared" si="17"/>
        <v>-312469.36659760168</v>
      </c>
      <c r="W34" s="87">
        <f t="shared" si="18"/>
        <v>-312469.36659760168</v>
      </c>
      <c r="X34" s="87">
        <f t="shared" si="19"/>
        <v>-312488.0165976017</v>
      </c>
      <c r="Y34" s="87">
        <f t="shared" si="20"/>
        <v>-312487.3865976017</v>
      </c>
      <c r="Z34" s="87"/>
      <c r="AA34" s="87"/>
      <c r="AB34" s="87">
        <f t="shared" si="23"/>
        <v>-312469.36659760168</v>
      </c>
    </row>
    <row r="35" spans="1:28">
      <c r="A35" s="17" t="s">
        <v>421</v>
      </c>
      <c r="B35" s="17"/>
      <c r="C35" s="17">
        <v>-574.41517697300003</v>
      </c>
      <c r="D35" s="14"/>
      <c r="E35" s="14">
        <v>-574.52567152100005</v>
      </c>
      <c r="F35" s="14"/>
      <c r="G35" s="17">
        <v>-574.543446324</v>
      </c>
      <c r="H35" s="17"/>
      <c r="I35" s="17"/>
      <c r="J35" s="17">
        <v>-14.97</v>
      </c>
      <c r="K35" s="14">
        <v>-13.1</v>
      </c>
      <c r="L35" s="17"/>
      <c r="M35" s="17"/>
      <c r="N35" s="17">
        <v>0.19095000000000001</v>
      </c>
      <c r="O35" s="17">
        <v>0.204397</v>
      </c>
      <c r="P35" s="17">
        <v>0.14924799999999999</v>
      </c>
      <c r="Q35" s="16">
        <f t="shared" si="28"/>
        <v>5.5149000000000004E-2</v>
      </c>
      <c r="R35" s="87">
        <f t="shared" ref="R35:R43" si="29">((B35+N35)*$BJ$3*$BJ$4*10^-3)/$BJ$5</f>
        <v>119.82289745244488</v>
      </c>
      <c r="S35" s="87">
        <f t="shared" ref="S35:S43" si="30">((C35+N35)*$BJ$3*$BJ$4*10^-3)/$BJ$5</f>
        <v>-360331.03253885941</v>
      </c>
      <c r="T35" s="87">
        <f t="shared" si="15"/>
        <v>-360411.52274724463</v>
      </c>
      <c r="U35" s="87">
        <f t="shared" si="16"/>
        <v>-360411.52274724463</v>
      </c>
      <c r="V35" s="87">
        <f t="shared" si="17"/>
        <v>-360437.69113933458</v>
      </c>
      <c r="W35" s="87">
        <f t="shared" si="18"/>
        <v>-360437.69113933458</v>
      </c>
      <c r="X35" s="87">
        <f t="shared" si="19"/>
        <v>-360452.66113933455</v>
      </c>
      <c r="Y35" s="87">
        <f t="shared" si="20"/>
        <v>-360450.79113933456</v>
      </c>
      <c r="Z35" s="87"/>
      <c r="AA35" s="87"/>
      <c r="AB35" s="87">
        <f t="shared" si="23"/>
        <v>-360437.69113933458</v>
      </c>
    </row>
    <row r="36" spans="1:28">
      <c r="A36" s="17" t="s">
        <v>420</v>
      </c>
      <c r="B36" s="17"/>
      <c r="C36" s="17">
        <v>-574.38721546900001</v>
      </c>
      <c r="D36" s="14"/>
      <c r="E36" s="14">
        <v>-574.49700384100004</v>
      </c>
      <c r="F36" s="14"/>
      <c r="G36" s="17">
        <v>-574.51491758400005</v>
      </c>
      <c r="H36" s="17"/>
      <c r="I36" s="17"/>
      <c r="J36" s="17">
        <v>-14.94</v>
      </c>
      <c r="K36" s="14">
        <v>-13.2</v>
      </c>
      <c r="L36" s="17"/>
      <c r="M36" s="17">
        <v>539.04999999999995</v>
      </c>
      <c r="N36" s="17">
        <v>0.18590400000000001</v>
      </c>
      <c r="O36" s="17">
        <v>0.19881399999999999</v>
      </c>
      <c r="P36" s="17">
        <v>0.146866</v>
      </c>
      <c r="Q36" s="16">
        <f t="shared" si="28"/>
        <v>5.1947999999999994E-2</v>
      </c>
      <c r="R36" s="87">
        <f t="shared" si="29"/>
        <v>116.6564856140315</v>
      </c>
      <c r="S36" s="87">
        <f t="shared" si="30"/>
        <v>-360316.65284739115</v>
      </c>
      <c r="T36" s="87">
        <f t="shared" si="15"/>
        <v>-360396.78710992116</v>
      </c>
      <c r="U36" s="87">
        <f t="shared" si="16"/>
        <v>-360396.78710992116</v>
      </c>
      <c r="V36" s="87">
        <f t="shared" si="17"/>
        <v>-360421.28381728311</v>
      </c>
      <c r="W36" s="87">
        <f t="shared" si="18"/>
        <v>-360421.28381728311</v>
      </c>
      <c r="X36" s="87">
        <f t="shared" si="19"/>
        <v>-360436.22381728311</v>
      </c>
      <c r="Y36" s="87">
        <f t="shared" si="20"/>
        <v>-360434.48381728312</v>
      </c>
      <c r="Z36" s="87"/>
      <c r="AA36" s="87"/>
      <c r="AB36" s="87">
        <f t="shared" si="23"/>
        <v>-360421.28381728311</v>
      </c>
    </row>
    <row r="37" spans="1:28">
      <c r="A37" s="17" t="s">
        <v>426</v>
      </c>
      <c r="B37" s="17"/>
      <c r="C37" s="17">
        <v>-660.13177097000005</v>
      </c>
      <c r="D37" s="14"/>
      <c r="E37" s="14">
        <v>-660.22542696100004</v>
      </c>
      <c r="F37" s="14"/>
      <c r="G37" s="17">
        <v>-660.24103022199995</v>
      </c>
      <c r="H37" s="17"/>
      <c r="I37" s="17"/>
      <c r="J37" s="17">
        <v>-54.17</v>
      </c>
      <c r="K37" s="14">
        <v>-52.86</v>
      </c>
      <c r="L37" s="17"/>
      <c r="M37" s="17">
        <v>413.1</v>
      </c>
      <c r="N37" s="17">
        <v>0.16136500000000001</v>
      </c>
      <c r="O37" s="17">
        <v>0.17473</v>
      </c>
      <c r="P37" s="17">
        <v>0.12148100000000001</v>
      </c>
      <c r="Q37" s="16">
        <f t="shared" si="28"/>
        <v>5.3248999999999991E-2</v>
      </c>
      <c r="R37" s="87">
        <f t="shared" si="29"/>
        <v>101.25803533602392</v>
      </c>
      <c r="S37" s="87">
        <f t="shared" si="30"/>
        <v>-414137.55578000384</v>
      </c>
      <c r="T37" s="87">
        <f t="shared" si="15"/>
        <v>-414206.11697480932</v>
      </c>
      <c r="U37" s="87">
        <f t="shared" si="16"/>
        <v>-414206.11697480932</v>
      </c>
      <c r="V37" s="87">
        <f t="shared" si="17"/>
        <v>-414231.14455502405</v>
      </c>
      <c r="W37" s="87">
        <f t="shared" si="18"/>
        <v>-414231.14455502405</v>
      </c>
      <c r="X37" s="87">
        <f t="shared" si="19"/>
        <v>-414285.31455502403</v>
      </c>
      <c r="Y37" s="87">
        <f t="shared" si="20"/>
        <v>-414284.00455502403</v>
      </c>
      <c r="Z37" s="87"/>
      <c r="AA37" s="87"/>
      <c r="AB37" s="87">
        <f t="shared" si="23"/>
        <v>-414231.14455502405</v>
      </c>
    </row>
    <row r="38" spans="1:28">
      <c r="A38" s="17" t="s">
        <v>427</v>
      </c>
      <c r="B38" s="17"/>
      <c r="C38" s="17">
        <v>-660.15656700299996</v>
      </c>
      <c r="D38" s="14"/>
      <c r="E38" s="14">
        <v>-660.25072278499999</v>
      </c>
      <c r="F38" s="14"/>
      <c r="G38" s="17">
        <v>-660.26695736399995</v>
      </c>
      <c r="H38" s="17"/>
      <c r="I38" s="17"/>
      <c r="J38" s="17">
        <v>-55.92</v>
      </c>
      <c r="K38" s="14">
        <v>-53.99</v>
      </c>
      <c r="L38" s="17"/>
      <c r="M38" s="17"/>
      <c r="N38" s="17">
        <v>0.16511300000000001</v>
      </c>
      <c r="O38" s="17">
        <v>0.17881</v>
      </c>
      <c r="P38" s="17">
        <v>0.124292</v>
      </c>
      <c r="Q38" s="16">
        <f t="shared" si="28"/>
        <v>5.4517999999999997E-2</v>
      </c>
      <c r="R38" s="87">
        <f t="shared" si="29"/>
        <v>103.60994012603054</v>
      </c>
      <c r="S38" s="87">
        <f t="shared" si="30"/>
        <v>-414150.76361608505</v>
      </c>
      <c r="T38" s="87">
        <f t="shared" si="15"/>
        <v>-414220.0345922875</v>
      </c>
      <c r="U38" s="87">
        <f t="shared" si="16"/>
        <v>-414220.0345922875</v>
      </c>
      <c r="V38" s="87">
        <f t="shared" si="17"/>
        <v>-414245.65014869964</v>
      </c>
      <c r="W38" s="87">
        <f t="shared" si="18"/>
        <v>-414245.65014869964</v>
      </c>
      <c r="X38" s="87">
        <f t="shared" si="19"/>
        <v>-414301.57014869963</v>
      </c>
      <c r="Y38" s="87">
        <f t="shared" si="20"/>
        <v>-414299.64014869963</v>
      </c>
      <c r="Z38" s="87"/>
      <c r="AA38" s="87"/>
      <c r="AB38" s="87">
        <f t="shared" si="23"/>
        <v>-414245.65014869964</v>
      </c>
    </row>
    <row r="39" spans="1:28">
      <c r="A39" s="17" t="s">
        <v>430</v>
      </c>
      <c r="B39" s="17"/>
      <c r="C39" s="17">
        <v>-660.21467233500005</v>
      </c>
      <c r="D39" s="14"/>
      <c r="E39" s="14">
        <v>-660.30832335900004</v>
      </c>
      <c r="F39" s="14"/>
      <c r="G39" s="17">
        <v>-660.32441392600003</v>
      </c>
      <c r="H39" s="17"/>
      <c r="I39" s="17"/>
      <c r="J39" s="17">
        <v>-48.83</v>
      </c>
      <c r="K39" s="14">
        <v>-47.54</v>
      </c>
      <c r="L39" s="17"/>
      <c r="M39" s="17"/>
      <c r="N39" s="17">
        <v>0.165524</v>
      </c>
      <c r="O39" s="17">
        <v>0.17936199999999999</v>
      </c>
      <c r="P39" s="17">
        <v>0.124595</v>
      </c>
      <c r="Q39" s="16">
        <f t="shared" ref="Q39:Q45" si="31">O39-P39</f>
        <v>5.4766999999999996E-2</v>
      </c>
      <c r="R39" s="87">
        <f t="shared" si="29"/>
        <v>103.86784644104995</v>
      </c>
      <c r="S39" s="87">
        <f t="shared" si="30"/>
        <v>-414186.96734495042</v>
      </c>
      <c r="T39" s="87">
        <f t="shared" ref="T39:T45" si="32">((G39+N39)*$BJ$3*$BJ$4*10^-3)/$BJ$5</f>
        <v>-414255.83121195581</v>
      </c>
      <c r="U39" s="87">
        <f t="shared" ref="U39:U45" si="33">((G39+N39)*$BJ$3*$BJ$4*10^-3)/$BJ$5</f>
        <v>-414255.83121195581</v>
      </c>
      <c r="V39" s="87">
        <f t="shared" ref="V39:V45" si="34">((G39+P39)*$BJ$3*$BJ$4*10^-3)/$BJ$5</f>
        <v>-414281.51453937037</v>
      </c>
      <c r="W39" s="87">
        <f t="shared" ref="W39:W45" si="35">((G39+P39)*$BJ$3*$BJ$4*10^-3)/$BJ$5+I39</f>
        <v>-414281.51453937037</v>
      </c>
      <c r="X39" s="87">
        <f t="shared" ref="X39:X45" si="36">((G39+P39)*$BJ$3*$BJ$4*10^-3)/$BJ$5+J39</f>
        <v>-414330.34453937039</v>
      </c>
      <c r="Y39" s="87">
        <f t="shared" ref="Y39:Y45" si="37">((G39+P39)*$BJ$3*$BJ$4*10^-3)/$BJ$5+K39</f>
        <v>-414329.05453937035</v>
      </c>
      <c r="Z39" s="87"/>
      <c r="AA39" s="87"/>
      <c r="AB39" s="87">
        <f t="shared" ref="AB39:AB45" si="38">((G39+P39)*$BJ$3*$BJ$4*10^-3)/$BJ$5+L39</f>
        <v>-414281.51453937037</v>
      </c>
    </row>
    <row r="40" spans="1:28">
      <c r="A40" s="17" t="s">
        <v>431</v>
      </c>
      <c r="B40" s="17"/>
      <c r="C40" s="17">
        <v>-660.14878958899999</v>
      </c>
      <c r="D40" s="14">
        <v>0.67879999999999996</v>
      </c>
      <c r="E40" s="14">
        <v>-660.24200560899999</v>
      </c>
      <c r="F40" s="14">
        <v>0.68489999999999995</v>
      </c>
      <c r="G40" s="17">
        <v>-660.25706389499999</v>
      </c>
      <c r="H40" s="17">
        <v>0.68469999999999998</v>
      </c>
      <c r="I40" s="17"/>
      <c r="J40" s="17">
        <v>-49.77</v>
      </c>
      <c r="K40" s="14">
        <v>-49.77</v>
      </c>
      <c r="L40" s="17"/>
      <c r="M40" s="17">
        <v>870.67</v>
      </c>
      <c r="N40" s="17">
        <v>0.15590699999999999</v>
      </c>
      <c r="O40" s="17">
        <v>0.16966600000000001</v>
      </c>
      <c r="P40" s="17">
        <v>0.11594400000000001</v>
      </c>
      <c r="Q40" s="16">
        <f t="shared" si="31"/>
        <v>5.3722000000000006E-2</v>
      </c>
      <c r="R40" s="87">
        <f t="shared" si="29"/>
        <v>97.833089673308834</v>
      </c>
      <c r="S40" s="87">
        <f t="shared" si="30"/>
        <v>-414151.66006706073</v>
      </c>
      <c r="T40" s="87">
        <f t="shared" si="32"/>
        <v>-414219.60319910874</v>
      </c>
      <c r="U40" s="87">
        <f t="shared" si="33"/>
        <v>-414219.60319910874</v>
      </c>
      <c r="V40" s="87">
        <f t="shared" si="34"/>
        <v>-414244.68035255664</v>
      </c>
      <c r="W40" s="87">
        <f t="shared" si="35"/>
        <v>-414244.68035255664</v>
      </c>
      <c r="X40" s="87">
        <f t="shared" si="36"/>
        <v>-414294.45035255665</v>
      </c>
      <c r="Y40" s="87">
        <f t="shared" si="37"/>
        <v>-414294.45035255665</v>
      </c>
      <c r="Z40" s="87"/>
      <c r="AA40" s="87"/>
      <c r="AB40" s="87">
        <f t="shared" si="38"/>
        <v>-414244.68035255664</v>
      </c>
    </row>
    <row r="41" spans="1:28">
      <c r="A41" s="17" t="s">
        <v>432</v>
      </c>
      <c r="B41" s="17"/>
      <c r="C41" s="17">
        <v>-660.12986678599998</v>
      </c>
      <c r="D41" s="14"/>
      <c r="E41" s="14">
        <v>-660.22297659699996</v>
      </c>
      <c r="F41" s="14"/>
      <c r="G41" s="17">
        <v>-660.23806365799999</v>
      </c>
      <c r="H41" s="17"/>
      <c r="I41" s="17"/>
      <c r="J41" s="17">
        <v>-50.33</v>
      </c>
      <c r="K41" s="14"/>
      <c r="L41" s="17"/>
      <c r="M41" s="17">
        <v>870.67</v>
      </c>
      <c r="N41" s="17">
        <v>0.15590699999999999</v>
      </c>
      <c r="O41" s="17">
        <v>0.16966600000000001</v>
      </c>
      <c r="P41" s="17">
        <v>0.11594400000000001</v>
      </c>
      <c r="Q41" s="16">
        <f t="shared" si="31"/>
        <v>5.3722000000000006E-2</v>
      </c>
      <c r="R41" s="87">
        <f t="shared" si="29"/>
        <v>97.833089673308834</v>
      </c>
      <c r="S41" s="87">
        <f t="shared" si="30"/>
        <v>-414139.78583253128</v>
      </c>
      <c r="T41" s="87">
        <f t="shared" si="32"/>
        <v>-414207.6803740256</v>
      </c>
      <c r="U41" s="87">
        <f t="shared" si="33"/>
        <v>-414207.6803740256</v>
      </c>
      <c r="V41" s="87">
        <f t="shared" si="34"/>
        <v>-414232.75752747356</v>
      </c>
      <c r="W41" s="87">
        <f t="shared" si="35"/>
        <v>-414232.75752747356</v>
      </c>
      <c r="X41" s="87">
        <f t="shared" si="36"/>
        <v>-414283.08752747357</v>
      </c>
      <c r="Y41" s="87">
        <f t="shared" si="37"/>
        <v>-414232.75752747356</v>
      </c>
      <c r="Z41" s="87"/>
      <c r="AA41" s="87"/>
      <c r="AB41" s="87">
        <f t="shared" si="38"/>
        <v>-414232.75752747356</v>
      </c>
    </row>
    <row r="42" spans="1:28" ht="24.75" customHeight="1">
      <c r="A42" s="17" t="s">
        <v>434</v>
      </c>
      <c r="B42" s="17"/>
      <c r="C42" s="17">
        <v>-496.74304516799998</v>
      </c>
      <c r="D42" s="14"/>
      <c r="E42" s="14">
        <v>-496.83328055999999</v>
      </c>
      <c r="F42" s="14"/>
      <c r="G42" s="17">
        <v>-496.84897980800002</v>
      </c>
      <c r="H42" s="17"/>
      <c r="I42" s="17"/>
      <c r="J42" s="17">
        <v>-5.45</v>
      </c>
      <c r="K42" s="14">
        <v>-4.3499999999999996</v>
      </c>
      <c r="L42" s="17"/>
      <c r="M42" s="17">
        <v>78.33</v>
      </c>
      <c r="N42" s="17">
        <v>0.13541600000000001</v>
      </c>
      <c r="O42" s="17">
        <v>0.146203</v>
      </c>
      <c r="P42" s="17">
        <v>9.6892000000000006E-2</v>
      </c>
      <c r="Q42" s="16">
        <f t="shared" si="31"/>
        <v>4.9310999999999994E-2</v>
      </c>
      <c r="R42" s="87">
        <f t="shared" si="29"/>
        <v>84.974796969993605</v>
      </c>
      <c r="S42" s="87">
        <f t="shared" si="30"/>
        <v>-311625.89695678989</v>
      </c>
      <c r="T42" s="87">
        <f t="shared" si="32"/>
        <v>-311692.37192670553</v>
      </c>
      <c r="U42" s="87">
        <f t="shared" si="33"/>
        <v>-311692.37192670553</v>
      </c>
      <c r="V42" s="87">
        <f t="shared" si="34"/>
        <v>-311716.54609429627</v>
      </c>
      <c r="W42" s="87">
        <f t="shared" si="35"/>
        <v>-311716.54609429627</v>
      </c>
      <c r="X42" s="87">
        <f t="shared" si="36"/>
        <v>-311721.99609429628</v>
      </c>
      <c r="Y42" s="87">
        <f t="shared" si="37"/>
        <v>-311720.89609429624</v>
      </c>
      <c r="Z42" s="87"/>
      <c r="AA42" s="87"/>
      <c r="AB42" s="87">
        <f t="shared" si="38"/>
        <v>-311716.54609429627</v>
      </c>
    </row>
    <row r="43" spans="1:28">
      <c r="A43" s="17" t="s">
        <v>435</v>
      </c>
      <c r="B43" s="17"/>
      <c r="C43" s="17">
        <v>-496.82315331299998</v>
      </c>
      <c r="D43" s="14"/>
      <c r="E43" s="14">
        <v>-496.91411506600002</v>
      </c>
      <c r="F43" s="14"/>
      <c r="G43" s="17">
        <v>-496.93069436000002</v>
      </c>
      <c r="H43" s="17"/>
      <c r="I43" s="17"/>
      <c r="J43" s="17">
        <v>-0.83</v>
      </c>
      <c r="K43" s="14">
        <v>0.02</v>
      </c>
      <c r="L43" s="17"/>
      <c r="M43" s="17"/>
      <c r="N43" s="17">
        <v>0.13964399999999999</v>
      </c>
      <c r="O43" s="17">
        <v>0.15146200000000001</v>
      </c>
      <c r="P43" s="17">
        <v>9.9681000000000006E-2</v>
      </c>
      <c r="Q43" s="16">
        <f t="shared" si="31"/>
        <v>5.1781000000000008E-2</v>
      </c>
      <c r="R43" s="87">
        <f t="shared" si="29"/>
        <v>87.627906215497305</v>
      </c>
      <c r="S43" s="87">
        <f t="shared" si="30"/>
        <v>-311673.51245211862</v>
      </c>
      <c r="T43" s="87">
        <f t="shared" si="32"/>
        <v>-311740.99545733782</v>
      </c>
      <c r="U43" s="87">
        <f t="shared" si="33"/>
        <v>-311740.99545733782</v>
      </c>
      <c r="V43" s="87">
        <f t="shared" si="34"/>
        <v>-311766.07261078578</v>
      </c>
      <c r="W43" s="87">
        <f t="shared" si="35"/>
        <v>-311766.07261078578</v>
      </c>
      <c r="X43" s="87">
        <f t="shared" si="36"/>
        <v>-311766.90261078579</v>
      </c>
      <c r="Y43" s="87">
        <f t="shared" si="37"/>
        <v>-311766.05261078576</v>
      </c>
      <c r="Z43" s="87"/>
      <c r="AA43" s="87"/>
      <c r="AB43" s="87">
        <f t="shared" si="38"/>
        <v>-311766.07261078578</v>
      </c>
    </row>
    <row r="44" spans="1:28">
      <c r="A44" s="17" t="s">
        <v>446</v>
      </c>
      <c r="B44" s="17"/>
      <c r="C44" s="17">
        <v>-821.54502449400002</v>
      </c>
      <c r="D44" s="14"/>
      <c r="E44" s="14">
        <v>-821.64201970600004</v>
      </c>
      <c r="F44" s="14"/>
      <c r="G44" s="17">
        <v>-821.65687987599995</v>
      </c>
      <c r="H44" s="17"/>
      <c r="I44" s="17"/>
      <c r="J44" s="17">
        <v>-13.95</v>
      </c>
      <c r="K44" s="14">
        <v>-12.06</v>
      </c>
      <c r="L44" s="17"/>
      <c r="M44" s="17"/>
      <c r="N44" s="17">
        <v>0.14208599999999999</v>
      </c>
      <c r="O44" s="17">
        <v>0.15629599999999999</v>
      </c>
      <c r="P44" s="17">
        <v>9.9802000000000002E-2</v>
      </c>
      <c r="Q44" s="16">
        <f t="shared" si="31"/>
        <v>5.6493999999999989E-2</v>
      </c>
      <c r="R44" s="87">
        <f>((B44+N44)*$BJ$3*$BJ$4*10^-3)/$BJ$5</f>
        <v>89.160283882838868</v>
      </c>
      <c r="S44" s="87">
        <f>((C44+N44)*$BJ$3*$BJ$4*10^-3)/$BJ$5</f>
        <v>-515437.96840169397</v>
      </c>
      <c r="T44" s="87">
        <f t="shared" si="32"/>
        <v>-515508.15869217255</v>
      </c>
      <c r="U44" s="87">
        <f t="shared" si="33"/>
        <v>-515508.15869217255</v>
      </c>
      <c r="V44" s="87">
        <f t="shared" si="34"/>
        <v>-515534.69229466456</v>
      </c>
      <c r="W44" s="87">
        <f t="shared" si="35"/>
        <v>-515534.69229466456</v>
      </c>
      <c r="X44" s="87">
        <f t="shared" si="36"/>
        <v>-515548.64229466458</v>
      </c>
      <c r="Y44" s="87">
        <f t="shared" si="37"/>
        <v>-515546.75229466456</v>
      </c>
      <c r="Z44" s="87"/>
      <c r="AA44" s="87"/>
      <c r="AB44" s="87">
        <f t="shared" si="38"/>
        <v>-515534.69229466456</v>
      </c>
    </row>
    <row r="45" spans="1:28">
      <c r="A45" s="17" t="s">
        <v>447</v>
      </c>
      <c r="B45" s="17"/>
      <c r="C45" s="17">
        <v>-821.50437053799999</v>
      </c>
      <c r="D45" s="14"/>
      <c r="E45" s="14">
        <v>-821.60098106999999</v>
      </c>
      <c r="F45" s="14"/>
      <c r="G45" s="17">
        <v>-821.61445409099997</v>
      </c>
      <c r="H45" s="17"/>
      <c r="I45" s="17"/>
      <c r="J45" s="17">
        <v>-15.52</v>
      </c>
      <c r="K45" s="14">
        <v>-13.08</v>
      </c>
      <c r="L45" s="17"/>
      <c r="M45" s="17">
        <v>787.59</v>
      </c>
      <c r="N45" s="17">
        <v>0.13600499999999999</v>
      </c>
      <c r="O45" s="17">
        <v>0.14948800000000001</v>
      </c>
      <c r="P45" s="17">
        <v>9.7185999999999995E-2</v>
      </c>
      <c r="Q45" s="16">
        <f t="shared" si="31"/>
        <v>5.2302000000000015E-2</v>
      </c>
      <c r="R45" s="87">
        <f>((B45+N45)*$BJ$3*$BJ$4*10^-3)/$BJ$5</f>
        <v>85.344399937259837</v>
      </c>
      <c r="S45" s="87">
        <f>((C45+N45)*$BJ$3*$BJ$4*10^-3)/$BJ$5</f>
        <v>-515416.27355088788</v>
      </c>
      <c r="T45" s="87">
        <f t="shared" si="32"/>
        <v>-515485.35200222238</v>
      </c>
      <c r="U45" s="87">
        <f t="shared" si="33"/>
        <v>-515485.35200222238</v>
      </c>
      <c r="V45" s="87">
        <f t="shared" si="34"/>
        <v>-515509.71128505137</v>
      </c>
      <c r="W45" s="87">
        <f t="shared" si="35"/>
        <v>-515509.71128505137</v>
      </c>
      <c r="X45" s="87">
        <f t="shared" si="36"/>
        <v>-515525.23128505138</v>
      </c>
      <c r="Y45" s="87">
        <f t="shared" si="37"/>
        <v>-515522.79128505138</v>
      </c>
      <c r="Z45" s="87"/>
      <c r="AA45" s="87"/>
      <c r="AB45" s="87">
        <f t="shared" si="38"/>
        <v>-515509.71128505137</v>
      </c>
    </row>
    <row r="46" spans="1:28">
      <c r="A46" s="17" t="s">
        <v>324</v>
      </c>
      <c r="B46" s="17">
        <v>-267.02857684999998</v>
      </c>
      <c r="C46" s="17">
        <v>-497.98408333999998</v>
      </c>
      <c r="D46" s="14">
        <v>0.61160000000000003</v>
      </c>
      <c r="E46" s="14">
        <v>-498.07470655899999</v>
      </c>
      <c r="F46" s="14">
        <v>0.61539999999999995</v>
      </c>
      <c r="G46" s="17">
        <v>-498.09039031200001</v>
      </c>
      <c r="H46" s="17">
        <v>0.61580000000000001</v>
      </c>
      <c r="I46" s="17">
        <v>-14.68</v>
      </c>
      <c r="J46" s="17">
        <v>-15.9</v>
      </c>
      <c r="K46" s="14">
        <v>-13.66</v>
      </c>
      <c r="L46" s="17">
        <v>-15.62</v>
      </c>
      <c r="M46" s="17">
        <v>1571.2</v>
      </c>
      <c r="N46" s="17">
        <v>0.15118400000000001</v>
      </c>
      <c r="O46" s="17">
        <v>0.16402600000000001</v>
      </c>
      <c r="P46" s="17">
        <v>0.111217</v>
      </c>
      <c r="Q46" s="16">
        <f t="shared" ref="Q46:Q57" si="39">O46-P46</f>
        <v>5.2809000000000009E-2</v>
      </c>
      <c r="R46" s="87">
        <f t="shared" ref="R46:R57" si="40">((B46+N46)*$BJ$3*$BJ$4*10^-3)/$BJ$5</f>
        <v>-167468.04124556892</v>
      </c>
      <c r="S46" s="87">
        <f t="shared" ref="S46:S57" si="41">((C46+N46)*$BJ$3*$BJ$4*10^-3)/$BJ$5</f>
        <v>-312394.76536302769</v>
      </c>
      <c r="T46" s="87">
        <f t="shared" ref="T46:T57" si="42">((G46+N46)*$BJ$3*$BJ$4*10^-3)/$BJ$5</f>
        <v>-312461.47397472936</v>
      </c>
      <c r="U46" s="87">
        <f t="shared" ref="U46:U57" si="43">((G46+N46)*$BJ$3*$BJ$4*10^-3)/$BJ$5</f>
        <v>-312461.47397472936</v>
      </c>
      <c r="V46" s="87">
        <f t="shared" ref="V46:V57" si="44">((G46+P46)*$BJ$3*$BJ$4*10^-3)/$BJ$5</f>
        <v>-312486.55363821448</v>
      </c>
      <c r="W46" s="87">
        <f t="shared" ref="W46:W57" si="45">((G46+P46)*$BJ$3*$BJ$4*10^-3)/$BJ$5+I46</f>
        <v>-312501.23363821447</v>
      </c>
      <c r="X46" s="87">
        <f t="shared" ref="X46:X57" si="46">((G46+P46)*$BJ$3*$BJ$4*10^-3)/$BJ$5+J46</f>
        <v>-312502.4536382145</v>
      </c>
      <c r="Y46" s="87">
        <f t="shared" ref="Y46:Y57" si="47">((G46+P46)*$BJ$3*$BJ$4*10^-3)/$BJ$5+K46</f>
        <v>-312500.21363821445</v>
      </c>
      <c r="Z46" s="87">
        <f t="shared" ref="Z46:Z57" si="48">((E46+P46)*$BJ$3*$BJ$4*10^-3)/$BJ$5+K46</f>
        <v>-312490.37193762587</v>
      </c>
      <c r="AA46" s="87">
        <f t="shared" ref="AA46:AA57" si="49">((C46+P46)*$BJ$3*$BJ$4*10^-3)/$BJ$5+K46</f>
        <v>-312433.50502651278</v>
      </c>
      <c r="AB46" s="87">
        <f t="shared" ref="AB46:AB57" si="50">((G46+P46)*$BJ$3*$BJ$4*10^-3)/$BJ$5+L46</f>
        <v>-312502.17363821447</v>
      </c>
    </row>
    <row r="47" spans="1:28">
      <c r="A47" s="17" t="s">
        <v>325</v>
      </c>
      <c r="B47" s="17"/>
      <c r="C47" s="17">
        <v>-497.95754721499998</v>
      </c>
      <c r="D47" s="14"/>
      <c r="E47" s="14">
        <v>-498.04795637000001</v>
      </c>
      <c r="F47" s="14"/>
      <c r="G47" s="17">
        <v>-498.06356076700001</v>
      </c>
      <c r="H47" s="17"/>
      <c r="I47" s="17">
        <v>-14.7</v>
      </c>
      <c r="J47" s="17">
        <v>-16.329999999999998</v>
      </c>
      <c r="K47" s="14">
        <v>-13.71</v>
      </c>
      <c r="L47" s="17">
        <v>-16.3</v>
      </c>
      <c r="M47" s="17"/>
      <c r="N47" s="17">
        <v>0.15118400000000001</v>
      </c>
      <c r="O47" s="17">
        <v>0.16402600000000001</v>
      </c>
      <c r="P47" s="17">
        <v>0.111217</v>
      </c>
      <c r="Q47" s="16">
        <f t="shared" si="39"/>
        <v>5.2809000000000009E-2</v>
      </c>
      <c r="R47" s="87">
        <f t="shared" si="40"/>
        <v>94.869363333073721</v>
      </c>
      <c r="S47" s="87">
        <f t="shared" si="41"/>
        <v>-312378.11369827425</v>
      </c>
      <c r="T47" s="87">
        <f t="shared" si="42"/>
        <v>-312444.63818620233</v>
      </c>
      <c r="U47" s="87">
        <f t="shared" si="43"/>
        <v>-312444.63818620233</v>
      </c>
      <c r="V47" s="87">
        <f t="shared" si="44"/>
        <v>-312469.71784968744</v>
      </c>
      <c r="W47" s="87">
        <f t="shared" si="45"/>
        <v>-312484.41784968745</v>
      </c>
      <c r="X47" s="87">
        <f t="shared" si="46"/>
        <v>-312486.04784968746</v>
      </c>
      <c r="Y47" s="87">
        <f t="shared" si="47"/>
        <v>-312483.42784968746</v>
      </c>
      <c r="Z47" s="87">
        <f t="shared" si="48"/>
        <v>-312473.63594572549</v>
      </c>
      <c r="AA47" s="87">
        <f t="shared" si="49"/>
        <v>-312416.90336175944</v>
      </c>
      <c r="AB47" s="87">
        <f t="shared" si="50"/>
        <v>-312486.01784968743</v>
      </c>
    </row>
    <row r="48" spans="1:28">
      <c r="A48" s="17" t="s">
        <v>326</v>
      </c>
      <c r="B48" s="17">
        <v>-267.10437729</v>
      </c>
      <c r="C48" s="17">
        <v>-498.05064853699997</v>
      </c>
      <c r="D48" s="14"/>
      <c r="E48" s="14">
        <v>-498.14129815500002</v>
      </c>
      <c r="F48" s="14"/>
      <c r="G48" s="17">
        <v>-498.157816626</v>
      </c>
      <c r="H48" s="17"/>
      <c r="I48" s="17">
        <v>-10.61</v>
      </c>
      <c r="J48" s="17">
        <v>-8.4700000000000006</v>
      </c>
      <c r="K48" s="14">
        <v>-7.49</v>
      </c>
      <c r="L48" s="17">
        <v>-7.73</v>
      </c>
      <c r="M48" s="17"/>
      <c r="N48" s="17">
        <v>0.16209100000000001</v>
      </c>
      <c r="O48" s="17">
        <v>0.174342</v>
      </c>
      <c r="P48" s="17">
        <v>0.12181400000000001</v>
      </c>
      <c r="Q48" s="16">
        <f t="shared" si="39"/>
        <v>5.2527999999999991E-2</v>
      </c>
      <c r="R48" s="87">
        <f t="shared" si="40"/>
        <v>-167508.76248152842</v>
      </c>
      <c r="S48" s="87">
        <f t="shared" si="41"/>
        <v>-312429.69139828038</v>
      </c>
      <c r="T48" s="87">
        <f t="shared" si="42"/>
        <v>-312496.94036889274</v>
      </c>
      <c r="U48" s="87">
        <f t="shared" si="43"/>
        <v>-312496.94036889274</v>
      </c>
      <c r="V48" s="87">
        <f t="shared" si="44"/>
        <v>-312522.21456025535</v>
      </c>
      <c r="W48" s="87">
        <f t="shared" si="45"/>
        <v>-312532.82456025534</v>
      </c>
      <c r="X48" s="87">
        <f t="shared" si="46"/>
        <v>-312530.68456025532</v>
      </c>
      <c r="Y48" s="87">
        <f t="shared" si="47"/>
        <v>-312529.70456025534</v>
      </c>
      <c r="Z48" s="87">
        <f t="shared" si="48"/>
        <v>-312519.33906637377</v>
      </c>
      <c r="AA48" s="87">
        <f t="shared" si="49"/>
        <v>-312462.45558964304</v>
      </c>
      <c r="AB48" s="87">
        <f t="shared" si="50"/>
        <v>-312529.94456025533</v>
      </c>
    </row>
    <row r="49" spans="1:28">
      <c r="A49" s="17" t="s">
        <v>322</v>
      </c>
      <c r="B49" s="17"/>
      <c r="C49" s="17">
        <v>-497.98453322099999</v>
      </c>
      <c r="D49" s="14">
        <v>0.62760000000000005</v>
      </c>
      <c r="E49" s="14">
        <v>-498.07514156000002</v>
      </c>
      <c r="F49" s="14">
        <v>0.63139999999999996</v>
      </c>
      <c r="G49" s="17">
        <v>-498.09073168399999</v>
      </c>
      <c r="H49" s="17">
        <v>0.63249999999999995</v>
      </c>
      <c r="I49" s="17">
        <v>-13.41</v>
      </c>
      <c r="J49" s="17">
        <v>-14.79</v>
      </c>
      <c r="K49" s="14">
        <v>-12.56</v>
      </c>
      <c r="L49" s="17">
        <v>-14.68</v>
      </c>
      <c r="M49" s="17">
        <v>1772.93</v>
      </c>
      <c r="N49" s="17">
        <v>0.15193899999999999</v>
      </c>
      <c r="O49" s="17">
        <v>0.164573</v>
      </c>
      <c r="P49" s="17">
        <v>0.112749</v>
      </c>
      <c r="Q49" s="16">
        <f t="shared" si="39"/>
        <v>5.1823999999999995E-2</v>
      </c>
      <c r="R49" s="87">
        <f t="shared" si="40"/>
        <v>95.343132841199377</v>
      </c>
      <c r="S49" s="87">
        <f t="shared" si="41"/>
        <v>-312394.57389802294</v>
      </c>
      <c r="T49" s="87">
        <f t="shared" si="42"/>
        <v>-312461.21441931993</v>
      </c>
      <c r="U49" s="87">
        <f t="shared" si="43"/>
        <v>-312461.21441931993</v>
      </c>
      <c r="V49" s="87">
        <f t="shared" si="44"/>
        <v>-312485.80650809268</v>
      </c>
      <c r="W49" s="87">
        <f t="shared" si="45"/>
        <v>-312499.21650809265</v>
      </c>
      <c r="X49" s="87">
        <f t="shared" si="46"/>
        <v>-312500.59650809265</v>
      </c>
      <c r="Y49" s="87">
        <f t="shared" si="47"/>
        <v>-312498.36650809267</v>
      </c>
      <c r="Z49" s="87">
        <f t="shared" si="48"/>
        <v>-312488.58356057078</v>
      </c>
      <c r="AA49" s="87">
        <f t="shared" si="49"/>
        <v>-312431.72598679567</v>
      </c>
      <c r="AB49" s="87">
        <f t="shared" si="50"/>
        <v>-312500.48650809267</v>
      </c>
    </row>
    <row r="50" spans="1:28">
      <c r="A50" s="17" t="s">
        <v>338</v>
      </c>
      <c r="B50" s="17"/>
      <c r="C50" s="17">
        <v>-497.95840930600002</v>
      </c>
      <c r="D50" s="14"/>
      <c r="E50" s="14">
        <v>-498.04889819300001</v>
      </c>
      <c r="F50" s="14"/>
      <c r="G50" s="17">
        <v>-498.06445269800003</v>
      </c>
      <c r="H50" s="17"/>
      <c r="I50" s="17">
        <v>-13.2</v>
      </c>
      <c r="J50" s="17">
        <v>-14.74</v>
      </c>
      <c r="K50" s="14">
        <v>-12.55</v>
      </c>
      <c r="L50" s="17">
        <v>-14.79</v>
      </c>
      <c r="M50" s="17"/>
      <c r="N50" s="17">
        <v>0.15193899999999999</v>
      </c>
      <c r="O50" s="17">
        <v>0.164573</v>
      </c>
      <c r="P50" s="17">
        <v>0.112749</v>
      </c>
      <c r="Q50" s="16">
        <f t="shared" si="39"/>
        <v>5.1823999999999995E-2</v>
      </c>
      <c r="R50" s="87">
        <f t="shared" si="40"/>
        <v>95.343132841199377</v>
      </c>
      <c r="S50" s="87">
        <f t="shared" si="41"/>
        <v>-312378.18089887081</v>
      </c>
      <c r="T50" s="87">
        <f t="shared" si="42"/>
        <v>-312444.72411167587</v>
      </c>
      <c r="U50" s="87">
        <f t="shared" si="43"/>
        <v>-312444.72411167587</v>
      </c>
      <c r="V50" s="87">
        <f t="shared" si="44"/>
        <v>-312469.31620044867</v>
      </c>
      <c r="W50" s="87">
        <f t="shared" si="45"/>
        <v>-312482.51620044868</v>
      </c>
      <c r="X50" s="87">
        <f t="shared" si="46"/>
        <v>-312484.05620044866</v>
      </c>
      <c r="Y50" s="87">
        <f t="shared" si="47"/>
        <v>-312481.86620044865</v>
      </c>
      <c r="Z50" s="87">
        <f t="shared" si="48"/>
        <v>-312472.10560417984</v>
      </c>
      <c r="AA50" s="87">
        <f t="shared" si="49"/>
        <v>-312415.32298764365</v>
      </c>
      <c r="AB50" s="87">
        <f t="shared" si="50"/>
        <v>-312484.10620044864</v>
      </c>
    </row>
    <row r="51" spans="1:28">
      <c r="A51" s="17" t="s">
        <v>323</v>
      </c>
      <c r="B51" s="17"/>
      <c r="C51" s="17">
        <v>-498.05046880200001</v>
      </c>
      <c r="D51" s="14"/>
      <c r="E51" s="14">
        <v>-498.14146703</v>
      </c>
      <c r="F51" s="14"/>
      <c r="G51" s="17">
        <v>-498.15789615599999</v>
      </c>
      <c r="H51" s="17"/>
      <c r="I51" s="17">
        <v>-8.8800000000000008</v>
      </c>
      <c r="J51" s="17">
        <v>-7.61</v>
      </c>
      <c r="K51" s="14">
        <v>-6.49</v>
      </c>
      <c r="L51" s="17">
        <v>-7.04</v>
      </c>
      <c r="M51" s="17"/>
      <c r="N51" s="17">
        <v>0.16272500000000001</v>
      </c>
      <c r="O51" s="17">
        <v>0.174675</v>
      </c>
      <c r="P51" s="17">
        <v>0.123322</v>
      </c>
      <c r="Q51" s="16">
        <f t="shared" si="39"/>
        <v>5.1352999999999996E-2</v>
      </c>
      <c r="R51" s="87">
        <f t="shared" si="40"/>
        <v>102.11144795993241</v>
      </c>
      <c r="S51" s="87">
        <f t="shared" si="41"/>
        <v>-312429.18077201466</v>
      </c>
      <c r="T51" s="87">
        <f t="shared" si="42"/>
        <v>-312496.592433821</v>
      </c>
      <c r="U51" s="87">
        <f t="shared" si="43"/>
        <v>-312496.592433821</v>
      </c>
      <c r="V51" s="87">
        <f t="shared" si="44"/>
        <v>-312521.31818207091</v>
      </c>
      <c r="W51" s="87">
        <f t="shared" si="45"/>
        <v>-312530.19818207092</v>
      </c>
      <c r="X51" s="87">
        <f t="shared" si="46"/>
        <v>-312528.9281820709</v>
      </c>
      <c r="Y51" s="87">
        <f t="shared" si="47"/>
        <v>-312527.8081820709</v>
      </c>
      <c r="Z51" s="87">
        <f t="shared" si="48"/>
        <v>-312517.49875300616</v>
      </c>
      <c r="AA51" s="87">
        <f t="shared" si="49"/>
        <v>-312460.39652026456</v>
      </c>
      <c r="AB51" s="87">
        <f t="shared" si="50"/>
        <v>-312528.35818207089</v>
      </c>
    </row>
    <row r="52" spans="1:28">
      <c r="A52" s="17" t="s">
        <v>363</v>
      </c>
      <c r="B52" s="17"/>
      <c r="C52" s="17">
        <v>-497.43550554900003</v>
      </c>
      <c r="D52" s="14">
        <v>0.23139999999999999</v>
      </c>
      <c r="E52" s="14">
        <v>-497.52566592699998</v>
      </c>
      <c r="F52" s="14">
        <v>0.21390000000000001</v>
      </c>
      <c r="G52" s="17">
        <v>-497.54040276799998</v>
      </c>
      <c r="H52" s="17">
        <v>0.21199999999999999</v>
      </c>
      <c r="I52" s="17"/>
      <c r="J52" s="17">
        <v>-62.83</v>
      </c>
      <c r="K52" s="14">
        <v>-63.67</v>
      </c>
      <c r="L52" s="17"/>
      <c r="M52" s="17">
        <v>415.74</v>
      </c>
      <c r="N52" s="17">
        <v>0.14141000000000001</v>
      </c>
      <c r="O52" s="17">
        <v>0.15376899999999999</v>
      </c>
      <c r="P52" s="17">
        <v>0.100935</v>
      </c>
      <c r="Q52" s="16">
        <f t="shared" si="39"/>
        <v>5.2833999999999992E-2</v>
      </c>
      <c r="R52" s="87">
        <f t="shared" si="40"/>
        <v>88.73608760801379</v>
      </c>
      <c r="S52" s="87">
        <f t="shared" si="41"/>
        <v>-312056.66098284448</v>
      </c>
      <c r="T52" s="87">
        <f t="shared" si="42"/>
        <v>-312122.48496145289</v>
      </c>
      <c r="U52" s="87">
        <f t="shared" si="43"/>
        <v>-312122.48496145289</v>
      </c>
      <c r="V52" s="87">
        <f t="shared" si="44"/>
        <v>-312147.88339965342</v>
      </c>
      <c r="W52" s="87">
        <f t="shared" si="45"/>
        <v>-312147.88339965342</v>
      </c>
      <c r="X52" s="87">
        <f t="shared" si="46"/>
        <v>-312210.71339965344</v>
      </c>
      <c r="Y52" s="87">
        <f t="shared" si="47"/>
        <v>-312211.55339965341</v>
      </c>
      <c r="Z52" s="87">
        <f t="shared" si="48"/>
        <v>-312202.30589513434</v>
      </c>
      <c r="AA52" s="87">
        <f t="shared" si="49"/>
        <v>-312145.72942104505</v>
      </c>
      <c r="AB52" s="87">
        <f t="shared" si="50"/>
        <v>-312147.88339965342</v>
      </c>
    </row>
    <row r="53" spans="1:28">
      <c r="A53" s="17" t="s">
        <v>364</v>
      </c>
      <c r="B53" s="17"/>
      <c r="C53" s="17">
        <v>-497.39300837399998</v>
      </c>
      <c r="D53" s="14"/>
      <c r="E53" s="14">
        <v>-497.48275593800003</v>
      </c>
      <c r="F53" s="14"/>
      <c r="G53" s="17">
        <v>-497.49761985399999</v>
      </c>
      <c r="H53" s="17"/>
      <c r="I53" s="17"/>
      <c r="J53" s="17">
        <v>-67.59</v>
      </c>
      <c r="K53" s="14">
        <v>-67.510000000000005</v>
      </c>
      <c r="L53" s="17"/>
      <c r="M53" s="17"/>
      <c r="N53" s="17">
        <v>0.14141000000000001</v>
      </c>
      <c r="O53" s="17">
        <v>0.15376899999999999</v>
      </c>
      <c r="P53" s="17">
        <v>0.100935</v>
      </c>
      <c r="Q53" s="16">
        <f t="shared" si="39"/>
        <v>5.2833999999999992E-2</v>
      </c>
      <c r="R53" s="87">
        <f t="shared" si="40"/>
        <v>88.73608760801379</v>
      </c>
      <c r="S53" s="87">
        <f t="shared" si="41"/>
        <v>-312029.99361106101</v>
      </c>
      <c r="T53" s="87">
        <f t="shared" si="42"/>
        <v>-312095.6382857947</v>
      </c>
      <c r="U53" s="87">
        <f t="shared" si="43"/>
        <v>-312095.6382857947</v>
      </c>
      <c r="V53" s="87">
        <f t="shared" si="44"/>
        <v>-312121.03672399517</v>
      </c>
      <c r="W53" s="87">
        <f t="shared" si="45"/>
        <v>-312121.03672399517</v>
      </c>
      <c r="X53" s="87">
        <f t="shared" si="46"/>
        <v>-312188.6267239952</v>
      </c>
      <c r="Y53" s="87">
        <f t="shared" si="47"/>
        <v>-312188.54672399518</v>
      </c>
      <c r="Z53" s="87">
        <f t="shared" si="48"/>
        <v>-312179.21947873419</v>
      </c>
      <c r="AA53" s="87">
        <f t="shared" si="49"/>
        <v>-312122.90204926161</v>
      </c>
      <c r="AB53" s="87">
        <f t="shared" si="50"/>
        <v>-312121.03672399517</v>
      </c>
    </row>
    <row r="54" spans="1:28">
      <c r="A54" s="17" t="s">
        <v>365</v>
      </c>
      <c r="B54" s="17"/>
      <c r="C54" s="17">
        <v>-497.48911705199998</v>
      </c>
      <c r="D54" s="14"/>
      <c r="E54" s="14">
        <v>-497.57961007</v>
      </c>
      <c r="F54" s="14"/>
      <c r="G54" s="17">
        <v>-497.59505731600001</v>
      </c>
      <c r="H54" s="17"/>
      <c r="I54" s="17"/>
      <c r="J54" s="17">
        <v>-56.45</v>
      </c>
      <c r="K54" s="14">
        <v>-58.1</v>
      </c>
      <c r="L54" s="17"/>
      <c r="M54" s="17"/>
      <c r="N54" s="17">
        <v>0.14744299999999999</v>
      </c>
      <c r="O54" s="17">
        <v>0.15886700000000001</v>
      </c>
      <c r="P54" s="17">
        <v>0.10877100000000001</v>
      </c>
      <c r="Q54" s="16">
        <f t="shared" si="39"/>
        <v>5.0096000000000002E-2</v>
      </c>
      <c r="R54" s="87">
        <f t="shared" si="40"/>
        <v>92.521851108043109</v>
      </c>
      <c r="S54" s="87">
        <f t="shared" si="41"/>
        <v>-312086.51693511422</v>
      </c>
      <c r="T54" s="87">
        <f t="shared" si="42"/>
        <v>-312152.99543414207</v>
      </c>
      <c r="U54" s="87">
        <f t="shared" si="43"/>
        <v>-312152.99543414207</v>
      </c>
      <c r="V54" s="87">
        <f t="shared" si="44"/>
        <v>-312177.26247310656</v>
      </c>
      <c r="W54" s="87">
        <f t="shared" si="45"/>
        <v>-312177.26247310656</v>
      </c>
      <c r="X54" s="87">
        <f t="shared" si="46"/>
        <v>-312233.71247310657</v>
      </c>
      <c r="Y54" s="87">
        <f t="shared" si="47"/>
        <v>-312235.36247310654</v>
      </c>
      <c r="Z54" s="87">
        <f t="shared" si="48"/>
        <v>-312225.66918285581</v>
      </c>
      <c r="AA54" s="87">
        <f t="shared" si="49"/>
        <v>-312168.88397407869</v>
      </c>
      <c r="AB54" s="87">
        <f t="shared" si="50"/>
        <v>-312177.26247310656</v>
      </c>
    </row>
    <row r="55" spans="1:28">
      <c r="A55" s="17" t="s">
        <v>380</v>
      </c>
      <c r="B55" s="17"/>
      <c r="C55" s="17">
        <v>-497.43690715100001</v>
      </c>
      <c r="D55" s="14">
        <v>0.35930000000000001</v>
      </c>
      <c r="E55" s="14">
        <v>-497.527050879</v>
      </c>
      <c r="F55" s="14">
        <v>0.35120000000000001</v>
      </c>
      <c r="G55" s="17">
        <v>-497.54170676699999</v>
      </c>
      <c r="H55" s="17">
        <v>0.35089999999999999</v>
      </c>
      <c r="I55" s="17"/>
      <c r="J55" s="17">
        <v>-61.2</v>
      </c>
      <c r="K55" s="14">
        <v>-62.27</v>
      </c>
      <c r="L55" s="17"/>
      <c r="M55" s="17">
        <v>412.27</v>
      </c>
      <c r="N55" s="17">
        <v>0.140926</v>
      </c>
      <c r="O55" s="17">
        <v>0.153309</v>
      </c>
      <c r="P55" s="17">
        <v>0.10009700000000001</v>
      </c>
      <c r="Q55" s="16">
        <f t="shared" si="39"/>
        <v>5.3211999999999995E-2</v>
      </c>
      <c r="R55" s="87">
        <f t="shared" si="40"/>
        <v>88.43237311538752</v>
      </c>
      <c r="S55" s="87">
        <f t="shared" si="41"/>
        <v>-312057.84421560215</v>
      </c>
      <c r="T55" s="87">
        <f t="shared" si="42"/>
        <v>-312123.60694742214</v>
      </c>
      <c r="U55" s="87">
        <f t="shared" si="43"/>
        <v>-312123.60694742214</v>
      </c>
      <c r="V55" s="87">
        <f t="shared" si="44"/>
        <v>-312149.22752390854</v>
      </c>
      <c r="W55" s="87">
        <f t="shared" si="45"/>
        <v>-312149.22752390854</v>
      </c>
      <c r="X55" s="87">
        <f t="shared" si="46"/>
        <v>-312210.42752390855</v>
      </c>
      <c r="Y55" s="87">
        <f t="shared" si="47"/>
        <v>-312211.49752390856</v>
      </c>
      <c r="Z55" s="87">
        <f t="shared" si="48"/>
        <v>-312202.30081814848</v>
      </c>
      <c r="AA55" s="87">
        <f t="shared" si="49"/>
        <v>-312145.73479208862</v>
      </c>
      <c r="AB55" s="87">
        <f t="shared" si="50"/>
        <v>-312149.22752390854</v>
      </c>
    </row>
    <row r="56" spans="1:28">
      <c r="A56" s="17" t="s">
        <v>381</v>
      </c>
      <c r="B56" s="17"/>
      <c r="C56" s="17">
        <v>-497.40327380399998</v>
      </c>
      <c r="D56" s="14"/>
      <c r="E56" s="14">
        <v>-497.49325764899999</v>
      </c>
      <c r="F56" s="14"/>
      <c r="G56" s="17">
        <v>-497.50806891600001</v>
      </c>
      <c r="H56" s="17"/>
      <c r="I56" s="17"/>
      <c r="J56" s="17">
        <v>-65.66</v>
      </c>
      <c r="K56" s="14">
        <v>-66.7</v>
      </c>
      <c r="L56" s="17"/>
      <c r="M56" s="17"/>
      <c r="N56" s="17">
        <v>0.140926</v>
      </c>
      <c r="O56" s="17">
        <v>0.153309</v>
      </c>
      <c r="P56" s="17">
        <v>0.10009700000000001</v>
      </c>
      <c r="Q56" s="16">
        <f t="shared" si="39"/>
        <v>5.3211999999999995E-2</v>
      </c>
      <c r="R56" s="87">
        <f t="shared" si="40"/>
        <v>88.43237311538752</v>
      </c>
      <c r="S56" s="87">
        <f t="shared" si="41"/>
        <v>-312036.73897816532</v>
      </c>
      <c r="T56" s="87">
        <f t="shared" si="42"/>
        <v>-312102.49888368353</v>
      </c>
      <c r="U56" s="87">
        <f t="shared" si="43"/>
        <v>-312102.49888368353</v>
      </c>
      <c r="V56" s="87">
        <f t="shared" si="44"/>
        <v>-312128.11946016992</v>
      </c>
      <c r="W56" s="87">
        <f t="shared" si="45"/>
        <v>-312128.11946016992</v>
      </c>
      <c r="X56" s="87">
        <f t="shared" si="46"/>
        <v>-312193.7794601699</v>
      </c>
      <c r="Y56" s="87">
        <f t="shared" si="47"/>
        <v>-312194.81946016994</v>
      </c>
      <c r="Z56" s="87">
        <f t="shared" si="48"/>
        <v>-312185.52525264502</v>
      </c>
      <c r="AA56" s="87">
        <f t="shared" si="49"/>
        <v>-312129.05955465173</v>
      </c>
      <c r="AB56" s="87">
        <f t="shared" si="50"/>
        <v>-312128.11946016992</v>
      </c>
    </row>
    <row r="57" spans="1:28">
      <c r="A57" s="17" t="s">
        <v>382</v>
      </c>
      <c r="B57" s="17"/>
      <c r="C57" s="17"/>
      <c r="D57" s="14"/>
      <c r="E57" s="14">
        <v>-497.57952445900003</v>
      </c>
      <c r="F57" s="14"/>
      <c r="G57" s="17">
        <v>-497.59479167400002</v>
      </c>
      <c r="H57" s="17"/>
      <c r="I57" s="17"/>
      <c r="J57" s="17">
        <v>-56.56</v>
      </c>
      <c r="K57" s="14">
        <v>-58.18</v>
      </c>
      <c r="L57" s="17"/>
      <c r="M57" s="17"/>
      <c r="N57" s="17">
        <v>0.14823900000000001</v>
      </c>
      <c r="O57" s="17">
        <v>0.15945300000000001</v>
      </c>
      <c r="P57" s="17">
        <v>0.11018600000000001</v>
      </c>
      <c r="Q57" s="16">
        <f t="shared" si="39"/>
        <v>4.9267000000000005E-2</v>
      </c>
      <c r="R57" s="87">
        <f t="shared" si="40"/>
        <v>93.021348496742476</v>
      </c>
      <c r="S57" s="87">
        <f t="shared" si="41"/>
        <v>93.021348496742476</v>
      </c>
      <c r="T57" s="87">
        <f t="shared" si="42"/>
        <v>-312152.32924393256</v>
      </c>
      <c r="U57" s="87">
        <f t="shared" si="43"/>
        <v>-312152.32924393256</v>
      </c>
      <c r="V57" s="87">
        <f t="shared" si="44"/>
        <v>-312176.20785465138</v>
      </c>
      <c r="W57" s="87">
        <f t="shared" si="45"/>
        <v>-312176.20785465138</v>
      </c>
      <c r="X57" s="87">
        <f t="shared" si="46"/>
        <v>-312232.76785465138</v>
      </c>
      <c r="Y57" s="87">
        <f t="shared" si="47"/>
        <v>-312234.38785465137</v>
      </c>
      <c r="Z57" s="87">
        <f t="shared" si="48"/>
        <v>-312224.80753552425</v>
      </c>
      <c r="AA57" s="87">
        <f t="shared" si="49"/>
        <v>10.962737777926641</v>
      </c>
      <c r="AB57" s="87">
        <f t="shared" si="50"/>
        <v>-312176.20785465138</v>
      </c>
    </row>
    <row r="60" spans="1:28">
      <c r="D60" s="6">
        <f>X18-X15</f>
        <v>20.777131425798871</v>
      </c>
    </row>
    <row r="61" spans="1:28">
      <c r="D61" s="6">
        <f>X45-X44</f>
        <v>23.411009613191709</v>
      </c>
    </row>
    <row r="62" spans="1:28" ht="19.5" customHeight="1">
      <c r="D62" s="6">
        <f>D60+D61</f>
        <v>44.18814103899058</v>
      </c>
    </row>
    <row r="65" spans="1:22" ht="45">
      <c r="A65" s="111" t="s">
        <v>187</v>
      </c>
      <c r="B65" s="111" t="s">
        <v>187</v>
      </c>
      <c r="C65" s="111" t="s">
        <v>188</v>
      </c>
      <c r="E65" s="111" t="s">
        <v>309</v>
      </c>
      <c r="F65" s="111" t="s">
        <v>247</v>
      </c>
      <c r="G65" s="111" t="s">
        <v>189</v>
      </c>
      <c r="H65" s="111" t="s">
        <v>190</v>
      </c>
      <c r="I65" s="111" t="s">
        <v>191</v>
      </c>
      <c r="J65" s="108" t="s">
        <v>192</v>
      </c>
      <c r="K65" s="108" t="s">
        <v>193</v>
      </c>
      <c r="L65" s="108" t="s">
        <v>194</v>
      </c>
      <c r="M65" s="108" t="s">
        <v>195</v>
      </c>
      <c r="N65" s="108" t="s">
        <v>196</v>
      </c>
      <c r="O65" s="108" t="s">
        <v>197</v>
      </c>
      <c r="P65" s="108" t="s">
        <v>198</v>
      </c>
      <c r="Q65" s="108" t="s">
        <v>199</v>
      </c>
      <c r="R65" s="108" t="s">
        <v>200</v>
      </c>
      <c r="S65" s="108" t="s">
        <v>201</v>
      </c>
      <c r="T65" s="108" t="s">
        <v>202</v>
      </c>
      <c r="U65" s="111" t="s">
        <v>203</v>
      </c>
      <c r="V65" s="111" t="s">
        <v>204</v>
      </c>
    </row>
    <row r="66" spans="1:22">
      <c r="A66" s="17" t="s">
        <v>73</v>
      </c>
      <c r="B66" s="17">
        <v>-346.74015428000001</v>
      </c>
      <c r="C66" s="17">
        <v>-346.75649944899999</v>
      </c>
      <c r="E66" s="17">
        <v>-346.85367013799998</v>
      </c>
      <c r="F66" s="17"/>
      <c r="G66" s="17">
        <v>-7.36</v>
      </c>
      <c r="H66" s="17">
        <v>-5.91</v>
      </c>
      <c r="I66" s="17">
        <v>-4.49</v>
      </c>
      <c r="J66" s="17"/>
      <c r="K66" s="17">
        <v>0.136019</v>
      </c>
      <c r="L66" s="17">
        <v>0.14393400000000001</v>
      </c>
      <c r="M66" s="17">
        <v>0.104296</v>
      </c>
      <c r="N66" s="16">
        <f t="shared" ref="N66:N77" si="51">L66-M66</f>
        <v>3.9638000000000007E-2</v>
      </c>
      <c r="O66" s="87">
        <f t="shared" ref="O66:O77" si="52">((B66+K66)*$BJ$3*$BJ$4*10^-3)/$BJ$5</f>
        <v>-217497.31216679118</v>
      </c>
      <c r="P66" s="87">
        <f t="shared" ref="P66:P77" si="53">((C66+K66)*$BJ$3*$BJ$4*10^-3)/$BJ$5</f>
        <v>-217507.56891205921</v>
      </c>
      <c r="Q66" s="87">
        <f t="shared" ref="Q66:Q77" si="54">((E66+K66)*$BJ$3*$BJ$4*10^-3)/$BJ$5</f>
        <v>-217568.54442137282</v>
      </c>
      <c r="R66" s="87">
        <f t="shared" ref="R66:R77" si="55">((E66+K66)*$BJ$3*$BJ$4*10^-3)/$BJ$5</f>
        <v>-217568.54442137282</v>
      </c>
      <c r="S66" s="87">
        <f t="shared" ref="S66:S77" si="56">((E66+M66)*$BJ$3*$BJ$4*10^-3)/$BJ$5</f>
        <v>-217588.45089833473</v>
      </c>
      <c r="T66" s="87">
        <f t="shared" ref="T66:T77" si="57">((E66+M66)*$BJ$3*$BJ$4*10^-3)/$BJ$5+G66</f>
        <v>-217595.81089833472</v>
      </c>
      <c r="U66" s="87">
        <f t="shared" ref="U66:U77" si="58">((E66+M66)*$BJ$3*$BJ$4*10^-3)/$BJ$5+H66</f>
        <v>-217594.36089833474</v>
      </c>
      <c r="V66" s="87">
        <f t="shared" ref="V66:V77" si="59">((E66+M66)*$BJ$3*$BJ$4*10^-3)/$BJ$5+I66</f>
        <v>-217592.94089833472</v>
      </c>
    </row>
    <row r="67" spans="1:22">
      <c r="A67" s="17" t="s">
        <v>19</v>
      </c>
      <c r="B67" s="17">
        <v>-461.25090009000002</v>
      </c>
      <c r="C67" s="17">
        <v>-461.26974491599998</v>
      </c>
      <c r="E67" s="17">
        <v>-461.40416655299998</v>
      </c>
      <c r="F67" s="17"/>
      <c r="G67" s="17">
        <v>-8.9499999999999993</v>
      </c>
      <c r="H67" s="17">
        <v>-7.72</v>
      </c>
      <c r="I67" s="17">
        <v>-6.77</v>
      </c>
      <c r="J67" s="17"/>
      <c r="K67" s="17">
        <v>0.169512</v>
      </c>
      <c r="L67" s="17">
        <v>0.17993400000000001</v>
      </c>
      <c r="M67" s="17">
        <v>0.134183</v>
      </c>
      <c r="N67" s="16">
        <f t="shared" si="51"/>
        <v>4.5751000000000014E-2</v>
      </c>
      <c r="O67" s="87">
        <f t="shared" si="52"/>
        <v>-289332.8509156272</v>
      </c>
      <c r="P67" s="87">
        <f t="shared" si="53"/>
        <v>-289344.67621886521</v>
      </c>
      <c r="Q67" s="87">
        <f t="shared" si="54"/>
        <v>-289429.02704382275</v>
      </c>
      <c r="R67" s="87">
        <f t="shared" si="55"/>
        <v>-289429.02704382275</v>
      </c>
      <c r="S67" s="87">
        <f t="shared" si="56"/>
        <v>-289451.19631925668</v>
      </c>
      <c r="T67" s="87">
        <f t="shared" si="57"/>
        <v>-289460.14631925669</v>
      </c>
      <c r="U67" s="87">
        <f t="shared" si="58"/>
        <v>-289458.91631925665</v>
      </c>
      <c r="V67" s="87">
        <f t="shared" si="59"/>
        <v>-289457.96631925669</v>
      </c>
    </row>
    <row r="68" spans="1:22">
      <c r="A68" s="17" t="s">
        <v>175</v>
      </c>
      <c r="B68" s="17">
        <v>-151.51446021000001</v>
      </c>
      <c r="C68" s="17">
        <v>-151.525123963</v>
      </c>
      <c r="E68" s="17">
        <v>-151.57980773599999</v>
      </c>
      <c r="F68" s="17"/>
      <c r="G68" s="17">
        <v>-12.47</v>
      </c>
      <c r="H68" s="17">
        <v>-10.46</v>
      </c>
      <c r="I68" s="17">
        <v>-11.03</v>
      </c>
      <c r="J68" s="17"/>
      <c r="K68" s="17">
        <v>2.7146E-2</v>
      </c>
      <c r="L68" s="17">
        <v>3.1281000000000003E-2</v>
      </c>
      <c r="M68" s="17">
        <v>4.895E-3</v>
      </c>
      <c r="N68" s="16">
        <f t="shared" si="51"/>
        <v>2.6386000000000003E-2</v>
      </c>
      <c r="O68" s="87">
        <f t="shared" si="52"/>
        <v>-95059.695815297862</v>
      </c>
      <c r="P68" s="87">
        <f t="shared" si="53"/>
        <v>-95066.387419289371</v>
      </c>
      <c r="Q68" s="87">
        <f t="shared" si="54"/>
        <v>-95100.701994437259</v>
      </c>
      <c r="R68" s="87">
        <f t="shared" si="55"/>
        <v>-95100.701994437259</v>
      </c>
      <c r="S68" s="87">
        <f t="shared" si="56"/>
        <v>-95114.664703477392</v>
      </c>
      <c r="T68" s="87">
        <f t="shared" si="57"/>
        <v>-95127.134703477393</v>
      </c>
      <c r="U68" s="87">
        <f t="shared" si="58"/>
        <v>-95125.124703477399</v>
      </c>
      <c r="V68" s="87">
        <f t="shared" si="59"/>
        <v>-95125.694703477391</v>
      </c>
    </row>
    <row r="69" spans="1:22">
      <c r="A69" s="17" t="s">
        <v>176</v>
      </c>
      <c r="B69" s="17">
        <v>-313.22887709000003</v>
      </c>
      <c r="C69" s="17">
        <v>-313.23422031600001</v>
      </c>
      <c r="E69" s="17">
        <v>-313.29321393700002</v>
      </c>
      <c r="F69" s="17"/>
      <c r="G69" s="17">
        <v>-32.700000000000003</v>
      </c>
      <c r="H69" s="17">
        <v>-23.2</v>
      </c>
      <c r="I69" s="17">
        <v>-44.28</v>
      </c>
      <c r="J69" s="17"/>
      <c r="K69" s="17">
        <v>1.5762000000000002E-2</v>
      </c>
      <c r="L69" s="17">
        <v>2.0944000000000001E-2</v>
      </c>
      <c r="M69" s="17">
        <v>-1.0392999999999999E-2</v>
      </c>
      <c r="N69" s="16">
        <f t="shared" si="51"/>
        <v>3.1337000000000004E-2</v>
      </c>
      <c r="O69" s="87">
        <f t="shared" si="52"/>
        <v>-196544.13705257865</v>
      </c>
      <c r="P69" s="87">
        <f t="shared" si="53"/>
        <v>-196547.48997649094</v>
      </c>
      <c r="Q69" s="87">
        <f t="shared" si="54"/>
        <v>-196584.50902126412</v>
      </c>
      <c r="R69" s="87">
        <f t="shared" si="55"/>
        <v>-196584.50902126412</v>
      </c>
      <c r="S69" s="87">
        <f t="shared" si="56"/>
        <v>-196600.92152654231</v>
      </c>
      <c r="T69" s="87">
        <f t="shared" si="57"/>
        <v>-196633.62152654232</v>
      </c>
      <c r="U69" s="87">
        <f t="shared" si="58"/>
        <v>-196624.12152654232</v>
      </c>
      <c r="V69" s="87">
        <f t="shared" si="59"/>
        <v>-196645.20152654231</v>
      </c>
    </row>
    <row r="70" spans="1:22">
      <c r="A70" s="17" t="s">
        <v>177</v>
      </c>
      <c r="B70" s="17">
        <v>-660.01521366999998</v>
      </c>
      <c r="C70" s="17">
        <v>-660.037535187</v>
      </c>
      <c r="E70" s="17">
        <v>-660.191891854</v>
      </c>
      <c r="F70" s="17"/>
      <c r="G70" s="17">
        <v>-19.100000000000001</v>
      </c>
      <c r="H70" s="17">
        <v>-15.52</v>
      </c>
      <c r="I70" s="17">
        <v>-25.84</v>
      </c>
      <c r="J70" s="17"/>
      <c r="K70" s="17">
        <v>0.153082</v>
      </c>
      <c r="L70" s="17">
        <v>0.16601099999999999</v>
      </c>
      <c r="M70" s="17">
        <v>0.11379400000000001</v>
      </c>
      <c r="N70" s="16">
        <f t="shared" si="51"/>
        <v>5.2216999999999986E-2</v>
      </c>
      <c r="O70" s="87">
        <f t="shared" si="52"/>
        <v>-414069.61265172076</v>
      </c>
      <c r="P70" s="87">
        <f t="shared" si="53"/>
        <v>-414083.619610833</v>
      </c>
      <c r="Q70" s="87">
        <f t="shared" si="54"/>
        <v>-414180.47985215817</v>
      </c>
      <c r="R70" s="87">
        <f t="shared" si="55"/>
        <v>-414180.47985215817</v>
      </c>
      <c r="S70" s="87">
        <f t="shared" si="56"/>
        <v>-414205.13343684061</v>
      </c>
      <c r="T70" s="87">
        <f t="shared" si="57"/>
        <v>-414224.23343684059</v>
      </c>
      <c r="U70" s="87">
        <f t="shared" si="58"/>
        <v>-414220.65343684063</v>
      </c>
      <c r="V70" s="87">
        <f t="shared" si="59"/>
        <v>-414230.97343684064</v>
      </c>
    </row>
    <row r="71" spans="1:22">
      <c r="A71" s="17" t="s">
        <v>178</v>
      </c>
      <c r="B71" s="17">
        <v>-659.94791452000004</v>
      </c>
      <c r="C71" s="17">
        <v>-659.96977538299996</v>
      </c>
      <c r="E71" s="17">
        <v>-660.12392160299999</v>
      </c>
      <c r="F71" s="17"/>
      <c r="G71" s="17">
        <v>-20.059999999999999</v>
      </c>
      <c r="H71" s="17">
        <v>-12.88</v>
      </c>
      <c r="I71" s="17">
        <v>-25.38</v>
      </c>
      <c r="J71" s="17">
        <v>965.95</v>
      </c>
      <c r="K71" s="17">
        <v>0.14796999999999999</v>
      </c>
      <c r="L71" s="17">
        <v>0.16037299999999999</v>
      </c>
      <c r="M71" s="17">
        <v>0.108864</v>
      </c>
      <c r="N71" s="16">
        <f t="shared" si="51"/>
        <v>5.1508999999999985E-2</v>
      </c>
      <c r="O71" s="87">
        <f t="shared" si="52"/>
        <v>-414030.58963785693</v>
      </c>
      <c r="P71" s="87">
        <f t="shared" si="53"/>
        <v>-414044.30753230816</v>
      </c>
      <c r="Q71" s="87">
        <f t="shared" si="54"/>
        <v>-414141.0357161875</v>
      </c>
      <c r="R71" s="87">
        <f t="shared" si="55"/>
        <v>-414141.0357161875</v>
      </c>
      <c r="S71" s="87">
        <f t="shared" si="56"/>
        <v>-414165.57509418053</v>
      </c>
      <c r="T71" s="87">
        <f t="shared" si="57"/>
        <v>-414185.63509418053</v>
      </c>
      <c r="U71" s="87">
        <f t="shared" si="58"/>
        <v>-414178.45509418054</v>
      </c>
      <c r="V71" s="87">
        <f t="shared" si="59"/>
        <v>-414190.95509418054</v>
      </c>
    </row>
    <row r="72" spans="1:22">
      <c r="A72" s="17" t="s">
        <v>179</v>
      </c>
      <c r="B72" s="17">
        <v>-774.52590012999997</v>
      </c>
      <c r="C72" s="17">
        <v>-774.55067758300004</v>
      </c>
      <c r="E72" s="17">
        <v>-774.74228565500005</v>
      </c>
      <c r="F72" s="17"/>
      <c r="G72" s="17">
        <v>-20.34</v>
      </c>
      <c r="H72" s="17">
        <v>-17</v>
      </c>
      <c r="I72" s="17">
        <v>-28.05</v>
      </c>
      <c r="J72" s="17"/>
      <c r="K72" s="17">
        <v>0.18654499999999999</v>
      </c>
      <c r="L72" s="17">
        <v>0.20199700000000001</v>
      </c>
      <c r="M72" s="17">
        <v>0.14353299999999999</v>
      </c>
      <c r="N72" s="16">
        <f t="shared" si="51"/>
        <v>5.8464000000000016E-2</v>
      </c>
      <c r="O72" s="87">
        <f t="shared" si="52"/>
        <v>-485905.13298315939</v>
      </c>
      <c r="P72" s="87">
        <f t="shared" si="53"/>
        <v>-485920.68106490833</v>
      </c>
      <c r="Q72" s="87">
        <f t="shared" si="54"/>
        <v>-486040.91690864915</v>
      </c>
      <c r="R72" s="87">
        <f t="shared" si="55"/>
        <v>-486040.91690864915</v>
      </c>
      <c r="S72" s="87">
        <f t="shared" si="56"/>
        <v>-486067.90733789885</v>
      </c>
      <c r="T72" s="87">
        <f t="shared" si="57"/>
        <v>-486088.24733789888</v>
      </c>
      <c r="U72" s="87">
        <f t="shared" si="58"/>
        <v>-486084.90733789885</v>
      </c>
      <c r="V72" s="87">
        <f t="shared" si="59"/>
        <v>-486095.95733789884</v>
      </c>
    </row>
    <row r="73" spans="1:22">
      <c r="A73" s="17" t="s">
        <v>180</v>
      </c>
      <c r="B73" s="17">
        <v>-774.45812461000003</v>
      </c>
      <c r="C73" s="17">
        <v>-774.48242773200002</v>
      </c>
      <c r="E73" s="17">
        <v>-774.67385624099995</v>
      </c>
      <c r="F73" s="17"/>
      <c r="G73" s="17">
        <v>-21.94</v>
      </c>
      <c r="H73" s="17">
        <v>-14.77</v>
      </c>
      <c r="I73" s="17">
        <v>-27.62</v>
      </c>
      <c r="J73" s="17">
        <v>925.28</v>
      </c>
      <c r="K73" s="17">
        <v>0.18141699999999999</v>
      </c>
      <c r="L73" s="17">
        <v>0.19638</v>
      </c>
      <c r="M73" s="17">
        <v>0.138713</v>
      </c>
      <c r="N73" s="16">
        <f t="shared" si="51"/>
        <v>5.7666999999999996E-2</v>
      </c>
      <c r="O73" s="87">
        <f t="shared" si="52"/>
        <v>-485865.82108284725</v>
      </c>
      <c r="P73" s="87">
        <f t="shared" si="53"/>
        <v>-485881.07151749078</v>
      </c>
      <c r="Q73" s="87">
        <f t="shared" si="54"/>
        <v>-486001.19468378229</v>
      </c>
      <c r="R73" s="87">
        <f t="shared" si="55"/>
        <v>-486001.19468378229</v>
      </c>
      <c r="S73" s="87">
        <f t="shared" si="56"/>
        <v>-486027.99184017302</v>
      </c>
      <c r="T73" s="87">
        <f t="shared" si="57"/>
        <v>-486049.93184017303</v>
      </c>
      <c r="U73" s="87">
        <f t="shared" si="58"/>
        <v>-486042.76184017304</v>
      </c>
      <c r="V73" s="87">
        <f t="shared" si="59"/>
        <v>-486055.61184017302</v>
      </c>
    </row>
    <row r="74" spans="1:22">
      <c r="A74" s="17" t="s">
        <v>245</v>
      </c>
      <c r="B74" s="17">
        <v>-498.18744139400002</v>
      </c>
      <c r="C74" s="17">
        <v>-498.21695654000001</v>
      </c>
      <c r="E74" s="17">
        <v>-498.36641042399998</v>
      </c>
      <c r="F74" s="17">
        <v>0.60699999999999998</v>
      </c>
      <c r="G74" s="17">
        <v>-12.36</v>
      </c>
      <c r="H74" s="17">
        <v>-13.63</v>
      </c>
      <c r="I74" s="17">
        <v>-13.3</v>
      </c>
      <c r="J74" s="17">
        <v>1533.55</v>
      </c>
      <c r="K74" s="17">
        <v>0.155614</v>
      </c>
      <c r="L74" s="17">
        <v>0.16791200000000001</v>
      </c>
      <c r="M74" s="17">
        <v>0.11713800000000001</v>
      </c>
      <c r="N74" s="16">
        <f t="shared" si="51"/>
        <v>5.0774E-2</v>
      </c>
      <c r="O74" s="87">
        <f t="shared" si="52"/>
        <v>-312519.59456341964</v>
      </c>
      <c r="P74" s="87">
        <f t="shared" si="53"/>
        <v>-312538.11559150275</v>
      </c>
      <c r="Q74" s="87">
        <f t="shared" si="54"/>
        <v>-312631.8992909863</v>
      </c>
      <c r="R74" s="87">
        <f t="shared" si="55"/>
        <v>-312631.8992909863</v>
      </c>
      <c r="S74" s="87">
        <f t="shared" si="56"/>
        <v>-312656.04333813157</v>
      </c>
      <c r="T74" s="87">
        <f t="shared" si="57"/>
        <v>-312668.40333813155</v>
      </c>
      <c r="U74" s="87">
        <f t="shared" si="58"/>
        <v>-312669.67333813157</v>
      </c>
      <c r="V74" s="87">
        <f t="shared" si="59"/>
        <v>-312669.34333813156</v>
      </c>
    </row>
    <row r="75" spans="1:22">
      <c r="A75" s="17" t="s">
        <v>249</v>
      </c>
      <c r="B75" s="17"/>
      <c r="C75" s="17">
        <v>-498.18377544200001</v>
      </c>
      <c r="E75" s="17">
        <v>-498.33318923500002</v>
      </c>
      <c r="F75" s="17"/>
      <c r="G75" s="17">
        <v>-12.49</v>
      </c>
      <c r="H75" s="17">
        <v>-14.59</v>
      </c>
      <c r="I75" s="17">
        <v>-14.77</v>
      </c>
      <c r="J75" s="17"/>
      <c r="K75" s="17">
        <v>0.155614</v>
      </c>
      <c r="L75" s="17">
        <v>0.16791200000000001</v>
      </c>
      <c r="M75" s="17">
        <v>0.11713800000000001</v>
      </c>
      <c r="N75" s="16">
        <f t="shared" si="51"/>
        <v>5.0774E-2</v>
      </c>
      <c r="O75" s="87">
        <f t="shared" si="52"/>
        <v>97.649229453599148</v>
      </c>
      <c r="P75" s="87">
        <f t="shared" si="53"/>
        <v>-312517.29414451128</v>
      </c>
      <c r="Q75" s="87">
        <f t="shared" si="54"/>
        <v>-312611.05268652027</v>
      </c>
      <c r="R75" s="87">
        <f t="shared" si="55"/>
        <v>-312611.05268652027</v>
      </c>
      <c r="S75" s="87">
        <f t="shared" si="56"/>
        <v>-312635.19673366554</v>
      </c>
      <c r="T75" s="87">
        <f t="shared" si="57"/>
        <v>-312647.68673366553</v>
      </c>
      <c r="U75" s="87">
        <f t="shared" si="58"/>
        <v>-312649.78673366556</v>
      </c>
      <c r="V75" s="87">
        <f t="shared" si="59"/>
        <v>-312649.96673366555</v>
      </c>
    </row>
    <row r="76" spans="1:22">
      <c r="A76" s="17" t="s">
        <v>262</v>
      </c>
      <c r="B76" s="17">
        <v>-498.27191464999999</v>
      </c>
      <c r="C76" s="17">
        <v>-498.29800123699999</v>
      </c>
      <c r="E76" s="17">
        <v>-498.44904366700001</v>
      </c>
      <c r="F76" s="17"/>
      <c r="G76" s="17">
        <v>-7.19</v>
      </c>
      <c r="H76" s="17">
        <v>-8.0299999999999994</v>
      </c>
      <c r="I76" s="17">
        <v>-7.47</v>
      </c>
      <c r="J76" s="17"/>
      <c r="K76" s="17">
        <v>0.166602</v>
      </c>
      <c r="L76" s="17">
        <v>0.17816799999999999</v>
      </c>
      <c r="M76" s="17">
        <v>0.12936300000000001</v>
      </c>
      <c r="N76" s="16">
        <f t="shared" si="51"/>
        <v>4.8804999999999987E-2</v>
      </c>
      <c r="O76" s="87">
        <f t="shared" si="52"/>
        <v>-312565.70724367077</v>
      </c>
      <c r="P76" s="87">
        <f t="shared" si="53"/>
        <v>-312582.07681915647</v>
      </c>
      <c r="Q76" s="87">
        <f t="shared" si="54"/>
        <v>-312676.85734600044</v>
      </c>
      <c r="R76" s="87">
        <f t="shared" si="55"/>
        <v>-312676.85734600044</v>
      </c>
      <c r="S76" s="87">
        <f t="shared" si="56"/>
        <v>-312700.22516416351</v>
      </c>
      <c r="T76" s="87">
        <f t="shared" si="57"/>
        <v>-312707.41516416351</v>
      </c>
      <c r="U76" s="87">
        <f t="shared" si="58"/>
        <v>-312708.25516416354</v>
      </c>
      <c r="V76" s="87">
        <f t="shared" si="59"/>
        <v>-312707.69516416348</v>
      </c>
    </row>
    <row r="77" spans="1:22">
      <c r="A77" s="17"/>
      <c r="B77" s="17"/>
      <c r="C77" s="17"/>
      <c r="E77" s="17"/>
      <c r="F77" s="17"/>
      <c r="G77" s="17"/>
      <c r="H77" s="17"/>
      <c r="I77" s="17"/>
      <c r="J77" s="17"/>
      <c r="K77" s="17"/>
      <c r="L77" s="17"/>
      <c r="M77" s="17"/>
      <c r="N77" s="16">
        <f t="shared" si="51"/>
        <v>0</v>
      </c>
      <c r="O77" s="87">
        <f t="shared" si="52"/>
        <v>0</v>
      </c>
      <c r="P77" s="87">
        <f t="shared" si="53"/>
        <v>0</v>
      </c>
      <c r="Q77" s="87">
        <f t="shared" si="54"/>
        <v>0</v>
      </c>
      <c r="R77" s="87">
        <f t="shared" si="55"/>
        <v>0</v>
      </c>
      <c r="S77" s="87">
        <f t="shared" si="56"/>
        <v>0</v>
      </c>
      <c r="T77" s="87">
        <f t="shared" si="57"/>
        <v>0</v>
      </c>
      <c r="U77" s="87">
        <f t="shared" si="58"/>
        <v>0</v>
      </c>
      <c r="V77" s="87">
        <f t="shared" si="59"/>
        <v>0</v>
      </c>
    </row>
    <row r="80" spans="1:22" ht="45">
      <c r="A80" s="111" t="s">
        <v>206</v>
      </c>
      <c r="B80" s="111" t="s">
        <v>206</v>
      </c>
      <c r="C80" s="111" t="s">
        <v>207</v>
      </c>
      <c r="E80" s="111" t="s">
        <v>208</v>
      </c>
      <c r="F80" s="111" t="s">
        <v>248</v>
      </c>
      <c r="G80" s="111" t="s">
        <v>209</v>
      </c>
      <c r="H80" s="111" t="s">
        <v>210</v>
      </c>
      <c r="I80" s="111" t="s">
        <v>211</v>
      </c>
      <c r="J80" s="108" t="s">
        <v>212</v>
      </c>
      <c r="K80" s="108" t="s">
        <v>213</v>
      </c>
      <c r="L80" s="108" t="s">
        <v>214</v>
      </c>
      <c r="M80" s="108" t="s">
        <v>215</v>
      </c>
      <c r="N80" s="108" t="s">
        <v>216</v>
      </c>
      <c r="O80" s="108" t="s">
        <v>217</v>
      </c>
      <c r="P80" s="108" t="s">
        <v>218</v>
      </c>
      <c r="Q80" s="108" t="s">
        <v>219</v>
      </c>
      <c r="R80" s="108" t="s">
        <v>220</v>
      </c>
      <c r="S80" s="108" t="s">
        <v>221</v>
      </c>
      <c r="T80" s="108" t="s">
        <v>222</v>
      </c>
      <c r="U80" s="111" t="s">
        <v>223</v>
      </c>
      <c r="V80" s="111" t="s">
        <v>224</v>
      </c>
    </row>
    <row r="81" spans="1:22">
      <c r="A81" s="17" t="s">
        <v>73</v>
      </c>
      <c r="B81" s="17">
        <v>-346.78830988999999</v>
      </c>
      <c r="C81" s="17">
        <v>-346.80434987699999</v>
      </c>
      <c r="E81" s="17">
        <v>-346.89741061000001</v>
      </c>
      <c r="F81" s="17"/>
      <c r="G81" s="17">
        <v>-6.77</v>
      </c>
      <c r="H81" s="17">
        <v>-5.12</v>
      </c>
      <c r="I81" s="17">
        <v>-4.34</v>
      </c>
      <c r="J81" s="17"/>
      <c r="K81" s="17">
        <v>0.133352</v>
      </c>
      <c r="L81" s="17">
        <v>0.14136799999999999</v>
      </c>
      <c r="M81" s="17">
        <v>0.10131800000000001</v>
      </c>
      <c r="N81" s="16">
        <f t="shared" ref="N81:N92" si="60">L81-M81</f>
        <v>4.0049999999999988E-2</v>
      </c>
      <c r="O81" s="87">
        <f t="shared" ref="O81:O97" si="61">((B81+K81)*$BJ$3*$BJ$4*10^-3)/$BJ$5</f>
        <v>-217529.20382631614</v>
      </c>
      <c r="P81" s="87">
        <f t="shared" ref="P81:P97" si="62">((C81+K81)*$BJ$3*$BJ$4*10^-3)/$BJ$5</f>
        <v>-217539.26906704638</v>
      </c>
      <c r="Q81" s="87">
        <f t="shared" ref="Q81:Q97" si="63">((E81+K81)*$BJ$3*$BJ$4*10^-3)/$BJ$5</f>
        <v>-217597.66554082022</v>
      </c>
      <c r="R81" s="87">
        <f t="shared" ref="R81:R97" si="64">((E81+K81)*$BJ$3*$BJ$4*10^-3)/$BJ$5</f>
        <v>-217597.66554082022</v>
      </c>
      <c r="S81" s="87">
        <f t="shared" ref="S81:S97" si="65">((E81+M81)*$BJ$3*$BJ$4*10^-3)/$BJ$5</f>
        <v>-217617.76717316892</v>
      </c>
      <c r="T81" s="87">
        <f t="shared" ref="T81:T97" si="66">((E81+M81)*$BJ$3*$BJ$4*10^-3)/$BJ$5+G81</f>
        <v>-217624.53717316891</v>
      </c>
      <c r="U81" s="87">
        <f t="shared" ref="U81:U97" si="67">((E81+M81)*$BJ$3*$BJ$4*10^-3)/$BJ$5+H81</f>
        <v>-217622.88717316891</v>
      </c>
      <c r="V81" s="87">
        <f t="shared" ref="V81:V97" si="68">((E81+M81)*$BJ$3*$BJ$4*10^-3)/$BJ$5+I81</f>
        <v>-217622.10717316892</v>
      </c>
    </row>
    <row r="82" spans="1:22">
      <c r="A82" s="17" t="s">
        <v>19</v>
      </c>
      <c r="B82" s="17">
        <v>-461.31496469000001</v>
      </c>
      <c r="C82" s="17">
        <v>-461.33330791899999</v>
      </c>
      <c r="E82" s="17">
        <v>-461.46155297899998</v>
      </c>
      <c r="F82" s="17"/>
      <c r="G82" s="17">
        <v>-8.25</v>
      </c>
      <c r="H82" s="17">
        <v>-6.57</v>
      </c>
      <c r="I82" s="17">
        <v>-5.43</v>
      </c>
      <c r="J82" s="17"/>
      <c r="K82" s="17">
        <v>0.16597999999999999</v>
      </c>
      <c r="L82" s="17">
        <v>0.17658199999999999</v>
      </c>
      <c r="M82" s="17">
        <v>0.130407</v>
      </c>
      <c r="N82" s="16">
        <f t="shared" si="60"/>
        <v>4.6174999999999994E-2</v>
      </c>
      <c r="O82" s="87">
        <f t="shared" si="61"/>
        <v>-289375.26840957813</v>
      </c>
      <c r="P82" s="87">
        <f t="shared" si="62"/>
        <v>-289386.77895604278</v>
      </c>
      <c r="Q82" s="87">
        <f t="shared" si="63"/>
        <v>-289467.25392159994</v>
      </c>
      <c r="R82" s="87">
        <f t="shared" si="64"/>
        <v>-289467.25392159994</v>
      </c>
      <c r="S82" s="87">
        <f t="shared" si="65"/>
        <v>-289489.57630929875</v>
      </c>
      <c r="T82" s="87">
        <f t="shared" si="66"/>
        <v>-289497.82630929875</v>
      </c>
      <c r="U82" s="87">
        <f t="shared" si="67"/>
        <v>-289496.14630929875</v>
      </c>
      <c r="V82" s="87">
        <f t="shared" si="68"/>
        <v>-289495.00630929874</v>
      </c>
    </row>
    <row r="83" spans="1:22">
      <c r="A83" s="17" t="s">
        <v>175</v>
      </c>
      <c r="B83" s="17">
        <v>-151.54770732</v>
      </c>
      <c r="C83" s="17">
        <v>-151.55838919199999</v>
      </c>
      <c r="E83" s="17">
        <v>-151.61080342899999</v>
      </c>
      <c r="F83" s="17"/>
      <c r="G83" s="17">
        <v>-12.21</v>
      </c>
      <c r="H83" s="17">
        <v>-9.9499999999999993</v>
      </c>
      <c r="I83" s="17">
        <v>-10.45</v>
      </c>
      <c r="J83" s="17"/>
      <c r="K83" s="17">
        <v>2.6259999999999999E-2</v>
      </c>
      <c r="L83" s="17">
        <v>3.0426999999999999E-2</v>
      </c>
      <c r="M83" s="17">
        <v>3.9490000000000003E-3</v>
      </c>
      <c r="N83" s="16">
        <f t="shared" si="60"/>
        <v>2.6477999999999998E-2</v>
      </c>
      <c r="O83" s="87">
        <f t="shared" si="61"/>
        <v>-95081.114658656123</v>
      </c>
      <c r="P83" s="87">
        <f t="shared" si="62"/>
        <v>-95087.81763248831</v>
      </c>
      <c r="Q83" s="87">
        <f t="shared" si="63"/>
        <v>-95120.708052729722</v>
      </c>
      <c r="R83" s="87">
        <f t="shared" si="64"/>
        <v>-95120.708052729722</v>
      </c>
      <c r="S83" s="87">
        <f t="shared" si="65"/>
        <v>-95134.7084123268</v>
      </c>
      <c r="T83" s="87">
        <f t="shared" si="66"/>
        <v>-95146.918412326806</v>
      </c>
      <c r="U83" s="87">
        <f t="shared" si="67"/>
        <v>-95144.658412326797</v>
      </c>
      <c r="V83" s="87">
        <f t="shared" si="68"/>
        <v>-95145.158412326797</v>
      </c>
    </row>
    <row r="84" spans="1:22">
      <c r="A84" s="17" t="s">
        <v>176</v>
      </c>
      <c r="B84" s="17">
        <v>-313.27290899000002</v>
      </c>
      <c r="C84" s="17">
        <v>-313.27827540499999</v>
      </c>
      <c r="E84" s="17">
        <v>-313.33522212700001</v>
      </c>
      <c r="F84" s="17"/>
      <c r="G84" s="17">
        <v>-31.86</v>
      </c>
      <c r="H84" s="17">
        <v>-21.98</v>
      </c>
      <c r="I84" s="17">
        <v>-42.59</v>
      </c>
      <c r="J84" s="17"/>
      <c r="K84" s="17">
        <v>1.5302E-2</v>
      </c>
      <c r="L84" s="17">
        <v>2.0419E-2</v>
      </c>
      <c r="M84" s="17">
        <v>-1.0652999999999999E-2</v>
      </c>
      <c r="N84" s="16">
        <f t="shared" si="60"/>
        <v>3.1071999999999999E-2</v>
      </c>
      <c r="O84" s="87">
        <f t="shared" si="61"/>
        <v>-196572.05613281514</v>
      </c>
      <c r="P84" s="87">
        <f t="shared" si="62"/>
        <v>-196575.4236080402</v>
      </c>
      <c r="Q84" s="87">
        <f t="shared" si="63"/>
        <v>-196611.15820469096</v>
      </c>
      <c r="R84" s="87">
        <f t="shared" si="64"/>
        <v>-196611.15820469096</v>
      </c>
      <c r="S84" s="87">
        <f t="shared" si="65"/>
        <v>-196627.44520811268</v>
      </c>
      <c r="T84" s="87">
        <f t="shared" si="66"/>
        <v>-196659.30520811267</v>
      </c>
      <c r="U84" s="87">
        <f t="shared" si="67"/>
        <v>-196649.42520811269</v>
      </c>
      <c r="V84" s="87">
        <f t="shared" si="68"/>
        <v>-196670.03520811268</v>
      </c>
    </row>
    <row r="85" spans="1:22">
      <c r="A85" s="17" t="s">
        <v>177</v>
      </c>
      <c r="B85" s="17">
        <v>-660.09834707000005</v>
      </c>
      <c r="C85" s="17">
        <v>-660.11973605200001</v>
      </c>
      <c r="E85" s="17">
        <v>-660.26798325000004</v>
      </c>
      <c r="F85" s="17"/>
      <c r="G85" s="17">
        <v>-19.440000000000001</v>
      </c>
      <c r="H85" s="17">
        <v>-13.94</v>
      </c>
      <c r="I85" s="17">
        <v>-25.35</v>
      </c>
      <c r="J85" s="17"/>
      <c r="K85" s="17">
        <v>0.15035100000000001</v>
      </c>
      <c r="L85" s="17">
        <v>0.16354199999999999</v>
      </c>
      <c r="M85" s="17">
        <v>0.109648</v>
      </c>
      <c r="N85" s="16">
        <f t="shared" si="60"/>
        <v>5.3893999999999997E-2</v>
      </c>
      <c r="O85" s="87">
        <f t="shared" si="61"/>
        <v>-414123.49335973873</v>
      </c>
      <c r="P85" s="87">
        <f t="shared" si="62"/>
        <v>-414136.91514448239</v>
      </c>
      <c r="Q85" s="87">
        <f t="shared" si="63"/>
        <v>-414229.94163730013</v>
      </c>
      <c r="R85" s="87">
        <f t="shared" si="64"/>
        <v>-414229.94163730013</v>
      </c>
      <c r="S85" s="87">
        <f t="shared" si="65"/>
        <v>-414255.48314761708</v>
      </c>
      <c r="T85" s="87">
        <f t="shared" si="66"/>
        <v>-414274.92314761708</v>
      </c>
      <c r="U85" s="87">
        <f t="shared" si="67"/>
        <v>-414269.42314761708</v>
      </c>
      <c r="V85" s="87">
        <f t="shared" si="68"/>
        <v>-414280.83314761706</v>
      </c>
    </row>
    <row r="86" spans="1:22">
      <c r="A86" s="17" t="s">
        <v>178</v>
      </c>
      <c r="B86" s="17">
        <v>-660.05850132</v>
      </c>
      <c r="C86" s="17">
        <v>-660.07970405000003</v>
      </c>
      <c r="E86" s="17">
        <v>-660.22833550799999</v>
      </c>
      <c r="F86" s="17"/>
      <c r="G86" s="17">
        <v>-22.95</v>
      </c>
      <c r="H86" s="17">
        <v>-13.27</v>
      </c>
      <c r="I86" s="17">
        <v>-26.04</v>
      </c>
      <c r="J86" s="17">
        <v>351.68</v>
      </c>
      <c r="K86" s="17">
        <v>0.14586199999999999</v>
      </c>
      <c r="L86" s="17">
        <v>0.158692</v>
      </c>
      <c r="M86" s="17">
        <v>0.10604</v>
      </c>
      <c r="N86" s="16">
        <f t="shared" si="60"/>
        <v>5.2652000000000004E-2</v>
      </c>
      <c r="O86" s="87">
        <f t="shared" si="61"/>
        <v>-414101.30667092226</v>
      </c>
      <c r="P86" s="87">
        <f t="shared" si="62"/>
        <v>-414114.61158080708</v>
      </c>
      <c r="Q86" s="87">
        <f t="shared" si="63"/>
        <v>-414207.8792003417</v>
      </c>
      <c r="R86" s="87">
        <f t="shared" si="64"/>
        <v>-414207.8792003417</v>
      </c>
      <c r="S86" s="87">
        <f t="shared" si="65"/>
        <v>-414232.8678749809</v>
      </c>
      <c r="T86" s="87">
        <f t="shared" si="66"/>
        <v>-414255.81787498092</v>
      </c>
      <c r="U86" s="87">
        <f t="shared" si="67"/>
        <v>-414246.13787498092</v>
      </c>
      <c r="V86" s="87">
        <f t="shared" si="68"/>
        <v>-414258.90787498088</v>
      </c>
    </row>
    <row r="87" spans="1:22">
      <c r="A87" s="17" t="s">
        <v>179</v>
      </c>
      <c r="B87" s="17">
        <v>-774.62502807999999</v>
      </c>
      <c r="C87" s="17">
        <v>-774.64871204600001</v>
      </c>
      <c r="E87" s="17">
        <v>-774.83215088199995</v>
      </c>
      <c r="F87" s="17"/>
      <c r="G87" s="17">
        <v>-21.14</v>
      </c>
      <c r="H87" s="17">
        <v>-15.52</v>
      </c>
      <c r="I87" s="17">
        <v>-27.13</v>
      </c>
      <c r="J87" s="17"/>
      <c r="K87" s="17">
        <v>0.18305099999999999</v>
      </c>
      <c r="L87" s="17">
        <v>0.19880900000000001</v>
      </c>
      <c r="M87" s="17">
        <v>0.139293</v>
      </c>
      <c r="N87" s="16">
        <f t="shared" si="60"/>
        <v>5.9516000000000013E-2</v>
      </c>
      <c r="O87" s="87">
        <f t="shared" si="61"/>
        <v>-485969.52920935064</v>
      </c>
      <c r="P87" s="87">
        <f t="shared" si="62"/>
        <v>-485984.39111785701</v>
      </c>
      <c r="Q87" s="87">
        <f t="shared" si="63"/>
        <v>-486099.50069017865</v>
      </c>
      <c r="R87" s="87">
        <f t="shared" si="64"/>
        <v>-486099.50069017865</v>
      </c>
      <c r="S87" s="87">
        <f t="shared" si="65"/>
        <v>-486126.95924135298</v>
      </c>
      <c r="T87" s="87">
        <f t="shared" si="66"/>
        <v>-486148.09924135299</v>
      </c>
      <c r="U87" s="87">
        <f t="shared" si="67"/>
        <v>-486142.47924135299</v>
      </c>
      <c r="V87" s="87">
        <f t="shared" si="68"/>
        <v>-486154.08924135298</v>
      </c>
    </row>
    <row r="88" spans="1:22">
      <c r="A88" s="17" t="s">
        <v>180</v>
      </c>
      <c r="B88" s="17">
        <v>-774.58430555999996</v>
      </c>
      <c r="C88" s="17">
        <v>-774.60775967899997</v>
      </c>
      <c r="E88" s="17">
        <v>-774.791625318</v>
      </c>
      <c r="F88" s="17"/>
      <c r="G88" s="17">
        <v>-25.03</v>
      </c>
      <c r="H88" s="17">
        <v>-15.39</v>
      </c>
      <c r="I88" s="17">
        <v>-28.38</v>
      </c>
      <c r="J88" s="17">
        <v>344.14</v>
      </c>
      <c r="K88" s="17">
        <v>0.17854200000000001</v>
      </c>
      <c r="L88" s="17">
        <v>0.19403000000000001</v>
      </c>
      <c r="M88" s="17">
        <v>0.13500799999999999</v>
      </c>
      <c r="N88" s="16">
        <f t="shared" si="60"/>
        <v>5.9022000000000019E-2</v>
      </c>
      <c r="O88" s="87">
        <f t="shared" si="61"/>
        <v>-485946.80488940637</v>
      </c>
      <c r="P88" s="87">
        <f t="shared" si="62"/>
        <v>-485961.52256678673</v>
      </c>
      <c r="Q88" s="87">
        <f t="shared" si="63"/>
        <v>-486076.89996195264</v>
      </c>
      <c r="R88" s="87">
        <f t="shared" si="64"/>
        <v>-486076.89996195264</v>
      </c>
      <c r="S88" s="87">
        <f t="shared" si="65"/>
        <v>-486104.2179510477</v>
      </c>
      <c r="T88" s="87">
        <f t="shared" si="66"/>
        <v>-486129.24795104773</v>
      </c>
      <c r="U88" s="87">
        <f t="shared" si="67"/>
        <v>-486119.60795104771</v>
      </c>
      <c r="V88" s="87">
        <f t="shared" si="68"/>
        <v>-486132.5979510477</v>
      </c>
    </row>
    <row r="89" spans="1:22">
      <c r="A89" s="17" t="s">
        <v>230</v>
      </c>
      <c r="B89" s="17">
        <v>-429.03459566999999</v>
      </c>
      <c r="C89" s="17">
        <v>-429.04936297099999</v>
      </c>
      <c r="E89" s="17">
        <v>-429.14111861399999</v>
      </c>
      <c r="F89" s="17"/>
      <c r="G89" s="17"/>
      <c r="H89" s="17"/>
      <c r="I89" s="17"/>
      <c r="J89" s="17"/>
      <c r="K89" s="17">
        <v>6.8901000000000004E-2</v>
      </c>
      <c r="L89" s="17">
        <v>7.7970999999999999E-2</v>
      </c>
      <c r="M89" s="17">
        <v>3.5984000000000002E-2</v>
      </c>
      <c r="N89" s="16">
        <f t="shared" si="60"/>
        <v>4.1986999999999997E-2</v>
      </c>
      <c r="O89" s="87">
        <f t="shared" si="61"/>
        <v>-269179.95518753701</v>
      </c>
      <c r="P89" s="87">
        <f t="shared" si="62"/>
        <v>-269189.22180598881</v>
      </c>
      <c r="Q89" s="87">
        <f t="shared" si="63"/>
        <v>-269246.79932367342</v>
      </c>
      <c r="R89" s="87">
        <f t="shared" si="64"/>
        <v>-269246.79932367342</v>
      </c>
      <c r="S89" s="87">
        <f t="shared" si="65"/>
        <v>-269267.45504671836</v>
      </c>
      <c r="T89" s="87">
        <f t="shared" si="66"/>
        <v>-269267.45504671836</v>
      </c>
      <c r="U89" s="87">
        <f t="shared" si="67"/>
        <v>-269267.45504671836</v>
      </c>
      <c r="V89" s="87">
        <f t="shared" si="68"/>
        <v>-269267.45504671836</v>
      </c>
    </row>
    <row r="90" spans="1:22">
      <c r="A90" s="17" t="s">
        <v>231</v>
      </c>
      <c r="B90" s="17">
        <v>-428.99043564999999</v>
      </c>
      <c r="C90" s="17">
        <v>-429.00493200400001</v>
      </c>
      <c r="E90" s="17">
        <v>-429.09734561800002</v>
      </c>
      <c r="F90" s="17"/>
      <c r="G90" s="17"/>
      <c r="H90" s="17"/>
      <c r="I90" s="17"/>
      <c r="J90" s="17">
        <v>288.17</v>
      </c>
      <c r="K90" s="17">
        <v>6.4393000000000006E-2</v>
      </c>
      <c r="L90" s="17">
        <v>7.2940000000000005E-2</v>
      </c>
      <c r="M90" s="17">
        <v>3.2847000000000001E-2</v>
      </c>
      <c r="N90" s="16">
        <f t="shared" si="60"/>
        <v>4.0093000000000004E-2</v>
      </c>
      <c r="O90" s="87">
        <f t="shared" si="61"/>
        <v>-269155.07317692565</v>
      </c>
      <c r="P90" s="87">
        <f t="shared" si="62"/>
        <v>-269164.16977361991</v>
      </c>
      <c r="Q90" s="87">
        <f t="shared" si="63"/>
        <v>-269222.16017421451</v>
      </c>
      <c r="R90" s="87">
        <f t="shared" si="64"/>
        <v>-269222.16017421451</v>
      </c>
      <c r="S90" s="87">
        <f t="shared" si="65"/>
        <v>-269241.95558203349</v>
      </c>
      <c r="T90" s="87">
        <f t="shared" si="66"/>
        <v>-269241.95558203349</v>
      </c>
      <c r="U90" s="87">
        <f t="shared" si="67"/>
        <v>-269241.95558203349</v>
      </c>
      <c r="V90" s="87">
        <f t="shared" si="68"/>
        <v>-269241.95558203349</v>
      </c>
    </row>
    <row r="91" spans="1:22">
      <c r="A91" s="17" t="s">
        <v>245</v>
      </c>
      <c r="B91" s="17">
        <v>-498.28538361400001</v>
      </c>
      <c r="C91" s="17">
        <v>-498.31520640000002</v>
      </c>
      <c r="E91" s="17">
        <v>-498.45917945799999</v>
      </c>
      <c r="F91" s="17">
        <v>0.48149999999999998</v>
      </c>
      <c r="G91" s="17">
        <v>-14.34</v>
      </c>
      <c r="H91" s="17">
        <v>-15.8</v>
      </c>
      <c r="I91" s="17">
        <v>-15.72</v>
      </c>
      <c r="J91" s="17">
        <v>1315.44</v>
      </c>
      <c r="K91" s="17">
        <v>0.15239</v>
      </c>
      <c r="L91" s="17">
        <v>0.1648</v>
      </c>
      <c r="M91" s="17">
        <v>0.11367099999999999</v>
      </c>
      <c r="N91" s="16">
        <f t="shared" si="60"/>
        <v>5.1129000000000008E-2</v>
      </c>
      <c r="O91" s="87">
        <f t="shared" si="61"/>
        <v>-312583.07730552345</v>
      </c>
      <c r="P91" s="87">
        <f t="shared" si="62"/>
        <v>-312601.79138056206</v>
      </c>
      <c r="Q91" s="87">
        <f t="shared" si="63"/>
        <v>-312692.13581085613</v>
      </c>
      <c r="R91" s="87">
        <f t="shared" si="64"/>
        <v>-312692.13581085613</v>
      </c>
      <c r="S91" s="87">
        <f t="shared" si="65"/>
        <v>-312716.43234275695</v>
      </c>
      <c r="T91" s="87">
        <f t="shared" si="66"/>
        <v>-312730.77234275697</v>
      </c>
      <c r="U91" s="87">
        <f t="shared" si="67"/>
        <v>-312732.23234275694</v>
      </c>
      <c r="V91" s="87">
        <f t="shared" si="68"/>
        <v>-312732.15234275692</v>
      </c>
    </row>
    <row r="92" spans="1:22">
      <c r="A92" s="17" t="s">
        <v>249</v>
      </c>
      <c r="B92" s="17"/>
      <c r="C92" s="17">
        <v>-498.28560178599997</v>
      </c>
      <c r="E92" s="17">
        <v>-498.42954473899999</v>
      </c>
      <c r="F92" s="17"/>
      <c r="G92" s="17">
        <v>-13.93</v>
      </c>
      <c r="H92" s="17">
        <v>-15.36</v>
      </c>
      <c r="I92" s="17">
        <v>-15.39</v>
      </c>
      <c r="J92" s="17"/>
      <c r="K92" s="17">
        <v>0.15239</v>
      </c>
      <c r="L92" s="17">
        <v>0.1648</v>
      </c>
      <c r="M92" s="17">
        <v>0.11367099999999999</v>
      </c>
      <c r="N92" s="16">
        <f t="shared" si="60"/>
        <v>5.1129000000000008E-2</v>
      </c>
      <c r="O92" s="87">
        <f t="shared" si="61"/>
        <v>95.626139527510219</v>
      </c>
      <c r="P92" s="87">
        <f t="shared" si="62"/>
        <v>-312583.21421047847</v>
      </c>
      <c r="Q92" s="87">
        <f t="shared" si="63"/>
        <v>-312673.5397496057</v>
      </c>
      <c r="R92" s="87">
        <f t="shared" si="64"/>
        <v>-312673.5397496057</v>
      </c>
      <c r="S92" s="87">
        <f t="shared" si="65"/>
        <v>-312697.83628150652</v>
      </c>
      <c r="T92" s="87">
        <f t="shared" si="66"/>
        <v>-312711.76628150651</v>
      </c>
      <c r="U92" s="87">
        <f t="shared" si="67"/>
        <v>-312713.19628150651</v>
      </c>
      <c r="V92" s="87">
        <f t="shared" si="68"/>
        <v>-312713.22628150653</v>
      </c>
    </row>
    <row r="93" spans="1:22">
      <c r="A93" s="17" t="s">
        <v>262</v>
      </c>
      <c r="B93" s="17">
        <v>-498.34794699999998</v>
      </c>
      <c r="C93" s="17">
        <v>-498.37392245000001</v>
      </c>
      <c r="E93" s="17">
        <v>-498.51808328800001</v>
      </c>
      <c r="F93" s="17"/>
      <c r="G93" s="17">
        <v>-9.6199999999999992</v>
      </c>
      <c r="H93" s="17">
        <v>-8.0299999999999994</v>
      </c>
      <c r="I93" s="17">
        <v>-7.52</v>
      </c>
      <c r="J93" s="17"/>
      <c r="K93" s="17">
        <v>0.16231899999999999</v>
      </c>
      <c r="L93" s="17">
        <v>0.174572</v>
      </c>
      <c r="M93" s="17">
        <v>0.12181599999999999</v>
      </c>
      <c r="N93" s="16">
        <f>L93-M93</f>
        <v>5.2756000000000011E-2</v>
      </c>
      <c r="O93" s="87">
        <f t="shared" si="61"/>
        <v>-312616.1058713058</v>
      </c>
      <c r="P93" s="87">
        <f t="shared" si="62"/>
        <v>-312632.40570729238</v>
      </c>
      <c r="Q93" s="87">
        <f t="shared" si="63"/>
        <v>-312722.86797127948</v>
      </c>
      <c r="R93" s="87">
        <f t="shared" si="64"/>
        <v>-312722.86797127948</v>
      </c>
      <c r="S93" s="87">
        <f t="shared" si="65"/>
        <v>-312748.28397973994</v>
      </c>
      <c r="T93" s="87">
        <f t="shared" si="66"/>
        <v>-312757.90397973993</v>
      </c>
      <c r="U93" s="87">
        <f t="shared" si="67"/>
        <v>-312756.31397973996</v>
      </c>
      <c r="V93" s="87">
        <f t="shared" si="68"/>
        <v>-312755.80397973995</v>
      </c>
    </row>
    <row r="94" spans="1:22">
      <c r="A94" s="17"/>
      <c r="B94" s="17"/>
      <c r="C94" s="17"/>
      <c r="E94" s="17"/>
      <c r="F94" s="17"/>
      <c r="G94" s="17"/>
      <c r="H94" s="17"/>
      <c r="I94" s="17"/>
      <c r="J94" s="17"/>
      <c r="K94" s="17"/>
      <c r="L94" s="17"/>
      <c r="M94" s="17"/>
      <c r="N94" s="16">
        <f>L94-M94</f>
        <v>0</v>
      </c>
      <c r="O94" s="87">
        <f t="shared" si="61"/>
        <v>0</v>
      </c>
      <c r="P94" s="87">
        <f t="shared" si="62"/>
        <v>0</v>
      </c>
      <c r="Q94" s="87">
        <f t="shared" si="63"/>
        <v>0</v>
      </c>
      <c r="R94" s="87">
        <f t="shared" si="64"/>
        <v>0</v>
      </c>
      <c r="S94" s="87">
        <f t="shared" si="65"/>
        <v>0</v>
      </c>
      <c r="T94" s="87">
        <f t="shared" si="66"/>
        <v>0</v>
      </c>
      <c r="U94" s="87">
        <f t="shared" si="67"/>
        <v>0</v>
      </c>
      <c r="V94" s="87">
        <f t="shared" si="68"/>
        <v>0</v>
      </c>
    </row>
    <row r="95" spans="1:22">
      <c r="A95" s="17"/>
      <c r="B95" s="17"/>
      <c r="C95" s="17"/>
      <c r="E95" s="17"/>
      <c r="F95" s="17"/>
      <c r="G95" s="17"/>
      <c r="H95" s="17"/>
      <c r="I95" s="17"/>
      <c r="J95" s="17"/>
      <c r="K95" s="17"/>
      <c r="L95" s="17"/>
      <c r="M95" s="17"/>
      <c r="N95" s="16">
        <f>L95-M95</f>
        <v>0</v>
      </c>
      <c r="O95" s="87">
        <f t="shared" si="61"/>
        <v>0</v>
      </c>
      <c r="P95" s="87">
        <f t="shared" si="62"/>
        <v>0</v>
      </c>
      <c r="Q95" s="87">
        <f t="shared" si="63"/>
        <v>0</v>
      </c>
      <c r="R95" s="87">
        <f t="shared" si="64"/>
        <v>0</v>
      </c>
      <c r="S95" s="87">
        <f t="shared" si="65"/>
        <v>0</v>
      </c>
      <c r="T95" s="87">
        <f t="shared" si="66"/>
        <v>0</v>
      </c>
      <c r="U95" s="87">
        <f t="shared" si="67"/>
        <v>0</v>
      </c>
      <c r="V95" s="87">
        <f t="shared" si="68"/>
        <v>0</v>
      </c>
    </row>
    <row r="96" spans="1:22">
      <c r="A96" s="17"/>
      <c r="B96" s="17"/>
      <c r="C96" s="17"/>
      <c r="E96" s="17"/>
      <c r="F96" s="17"/>
      <c r="G96" s="17"/>
      <c r="H96" s="17"/>
      <c r="I96" s="17"/>
      <c r="J96" s="17"/>
      <c r="K96" s="17"/>
      <c r="L96" s="17"/>
      <c r="M96" s="17"/>
      <c r="N96" s="16">
        <f>L96-M96</f>
        <v>0</v>
      </c>
      <c r="O96" s="87">
        <f t="shared" si="61"/>
        <v>0</v>
      </c>
      <c r="P96" s="87">
        <f t="shared" si="62"/>
        <v>0</v>
      </c>
      <c r="Q96" s="87">
        <f t="shared" si="63"/>
        <v>0</v>
      </c>
      <c r="R96" s="87">
        <f t="shared" si="64"/>
        <v>0</v>
      </c>
      <c r="S96" s="87">
        <f t="shared" si="65"/>
        <v>0</v>
      </c>
      <c r="T96" s="87">
        <f t="shared" si="66"/>
        <v>0</v>
      </c>
      <c r="U96" s="87">
        <f t="shared" si="67"/>
        <v>0</v>
      </c>
      <c r="V96" s="87">
        <f t="shared" si="68"/>
        <v>0</v>
      </c>
    </row>
    <row r="97" spans="1:22">
      <c r="A97" s="17"/>
      <c r="B97" s="17"/>
      <c r="C97" s="17"/>
      <c r="E97" s="17"/>
      <c r="F97" s="17"/>
      <c r="G97" s="17"/>
      <c r="H97" s="17"/>
      <c r="I97" s="17"/>
      <c r="J97" s="17"/>
      <c r="K97" s="17"/>
      <c r="L97" s="17"/>
      <c r="M97" s="17"/>
      <c r="N97" s="16">
        <f>L97-M97</f>
        <v>0</v>
      </c>
      <c r="O97" s="87">
        <f t="shared" si="61"/>
        <v>0</v>
      </c>
      <c r="P97" s="87">
        <f t="shared" si="62"/>
        <v>0</v>
      </c>
      <c r="Q97" s="87">
        <f t="shared" si="63"/>
        <v>0</v>
      </c>
      <c r="R97" s="87">
        <f t="shared" si="64"/>
        <v>0</v>
      </c>
      <c r="S97" s="87">
        <f t="shared" si="65"/>
        <v>0</v>
      </c>
      <c r="T97" s="87">
        <f t="shared" si="66"/>
        <v>0</v>
      </c>
      <c r="U97" s="87">
        <f t="shared" si="67"/>
        <v>0</v>
      </c>
      <c r="V97" s="87">
        <f t="shared" si="68"/>
        <v>0</v>
      </c>
    </row>
    <row r="100" spans="1:22" ht="30">
      <c r="A100" s="111" t="s">
        <v>226</v>
      </c>
      <c r="B100" s="111" t="s">
        <v>233</v>
      </c>
      <c r="C100" s="111" t="s">
        <v>234</v>
      </c>
      <c r="D100" s="111" t="s">
        <v>235</v>
      </c>
      <c r="E100" s="111" t="s">
        <v>229</v>
      </c>
      <c r="F100" s="111" t="s">
        <v>227</v>
      </c>
      <c r="G100" s="111" t="s">
        <v>228</v>
      </c>
    </row>
    <row r="101" spans="1:22">
      <c r="A101" s="17" t="s">
        <v>232</v>
      </c>
      <c r="B101" s="17"/>
      <c r="C101" s="17"/>
      <c r="D101" s="17"/>
      <c r="E101" s="86">
        <f t="shared" ref="E101:E112" si="69">((B101*$BJ$3*$BJ$4*10^-3)/$BJ$5)</f>
        <v>0</v>
      </c>
      <c r="F101" s="86">
        <f t="shared" ref="F101:F112" si="70">((C101*$BJ$3*$BJ$4*10^-3)/$BJ$5)</f>
        <v>0</v>
      </c>
      <c r="G101" s="86">
        <f t="shared" ref="G101:G112" si="71">((D101*$BJ$3*$BJ$4*10^-3)/$BJ$5)</f>
        <v>0</v>
      </c>
    </row>
    <row r="102" spans="1:22">
      <c r="A102" s="17" t="s">
        <v>176</v>
      </c>
      <c r="B102" s="17"/>
      <c r="C102" s="17"/>
      <c r="D102" s="17"/>
      <c r="E102" s="86">
        <f t="shared" si="69"/>
        <v>0</v>
      </c>
      <c r="F102" s="86">
        <f t="shared" si="70"/>
        <v>0</v>
      </c>
      <c r="G102" s="86">
        <f t="shared" si="71"/>
        <v>0</v>
      </c>
    </row>
    <row r="103" spans="1:22">
      <c r="A103" s="17" t="s">
        <v>230</v>
      </c>
      <c r="B103" s="17">
        <v>-428.25103999999999</v>
      </c>
      <c r="C103" s="17">
        <v>-428.24203399999999</v>
      </c>
      <c r="D103" s="17">
        <v>-428.28377799999998</v>
      </c>
      <c r="E103" s="86">
        <f t="shared" si="69"/>
        <v>-268731.50274848327</v>
      </c>
      <c r="F103" s="86">
        <f t="shared" si="70"/>
        <v>-268725.85139988695</v>
      </c>
      <c r="G103" s="86">
        <f t="shared" si="71"/>
        <v>-268752.04614736669</v>
      </c>
    </row>
    <row r="104" spans="1:22">
      <c r="A104" s="17" t="s">
        <v>231</v>
      </c>
      <c r="B104" s="17">
        <v>-428.19074000000001</v>
      </c>
      <c r="C104" s="17">
        <v>-428.18213900000001</v>
      </c>
      <c r="D104" s="17">
        <v>-428.222352</v>
      </c>
      <c r="E104" s="86">
        <f t="shared" si="69"/>
        <v>-268693.66393876146</v>
      </c>
      <c r="F104" s="86">
        <f t="shared" si="70"/>
        <v>-268688.26673142449</v>
      </c>
      <c r="G104" s="86">
        <f t="shared" si="71"/>
        <v>-268713.500762193</v>
      </c>
    </row>
    <row r="105" spans="1:22">
      <c r="A105" s="17"/>
      <c r="B105" s="17"/>
      <c r="C105" s="17"/>
      <c r="D105" s="17"/>
      <c r="E105" s="86">
        <f t="shared" si="69"/>
        <v>0</v>
      </c>
      <c r="F105" s="86">
        <f t="shared" si="70"/>
        <v>0</v>
      </c>
      <c r="G105" s="86">
        <f t="shared" si="71"/>
        <v>0</v>
      </c>
    </row>
    <row r="106" spans="1:22">
      <c r="A106" s="17"/>
      <c r="B106" s="17"/>
      <c r="C106" s="17"/>
      <c r="D106" s="17"/>
      <c r="E106" s="86">
        <f t="shared" si="69"/>
        <v>0</v>
      </c>
      <c r="F106" s="86">
        <f t="shared" si="70"/>
        <v>0</v>
      </c>
      <c r="G106" s="86">
        <f t="shared" si="71"/>
        <v>0</v>
      </c>
    </row>
    <row r="107" spans="1:22">
      <c r="A107" s="17"/>
      <c r="B107" s="17"/>
      <c r="C107" s="17"/>
      <c r="D107" s="17"/>
      <c r="E107" s="86">
        <f t="shared" si="69"/>
        <v>0</v>
      </c>
      <c r="F107" s="86">
        <f t="shared" si="70"/>
        <v>0</v>
      </c>
      <c r="G107" s="86">
        <f t="shared" si="71"/>
        <v>0</v>
      </c>
    </row>
    <row r="108" spans="1:22">
      <c r="A108" s="17"/>
      <c r="B108" s="17"/>
      <c r="C108" s="17"/>
      <c r="D108" s="17"/>
      <c r="E108" s="86">
        <f t="shared" si="69"/>
        <v>0</v>
      </c>
      <c r="F108" s="86">
        <f t="shared" si="70"/>
        <v>0</v>
      </c>
      <c r="G108" s="86">
        <f t="shared" si="71"/>
        <v>0</v>
      </c>
    </row>
    <row r="109" spans="1:22">
      <c r="A109" s="17"/>
      <c r="B109" s="17"/>
      <c r="C109" s="17"/>
      <c r="D109" s="17"/>
      <c r="E109" s="86">
        <f t="shared" si="69"/>
        <v>0</v>
      </c>
      <c r="F109" s="86">
        <f t="shared" si="70"/>
        <v>0</v>
      </c>
      <c r="G109" s="86">
        <f t="shared" si="71"/>
        <v>0</v>
      </c>
    </row>
    <row r="110" spans="1:22">
      <c r="A110" s="17"/>
      <c r="B110" s="17"/>
      <c r="C110" s="17"/>
      <c r="D110" s="17"/>
      <c r="E110" s="86">
        <f t="shared" si="69"/>
        <v>0</v>
      </c>
      <c r="F110" s="86">
        <f t="shared" si="70"/>
        <v>0</v>
      </c>
      <c r="G110" s="86">
        <f t="shared" si="71"/>
        <v>0</v>
      </c>
    </row>
    <row r="111" spans="1:22">
      <c r="A111" s="17"/>
      <c r="B111" s="17"/>
      <c r="C111" s="17"/>
      <c r="D111" s="17"/>
      <c r="E111" s="86">
        <f t="shared" si="69"/>
        <v>0</v>
      </c>
      <c r="F111" s="86">
        <f t="shared" si="70"/>
        <v>0</v>
      </c>
      <c r="G111" s="86">
        <f t="shared" si="71"/>
        <v>0</v>
      </c>
    </row>
    <row r="112" spans="1:22">
      <c r="A112" s="17"/>
      <c r="B112" s="17"/>
      <c r="C112" s="17"/>
      <c r="D112" s="17"/>
      <c r="E112" s="86">
        <f t="shared" si="69"/>
        <v>0</v>
      </c>
      <c r="F112" s="86">
        <f t="shared" si="70"/>
        <v>0</v>
      </c>
      <c r="G112" s="86">
        <f t="shared" si="71"/>
        <v>0</v>
      </c>
    </row>
    <row r="117" spans="7:27">
      <c r="Z117" s="105" t="e">
        <f>(ABS(ABS(#REF!-#REF!)-ABS($C$155-$D$155))+ABS(ABS(#REF!-#REF!)-ABS($C$155-$E$155))+ABS(ABS(#REF!-#REF!)-ABS($C$155-#REF!))+ABS(ABS(#REF!-W147)-ABS($C$155-$G$155))/4)</f>
        <v>#REF!</v>
      </c>
      <c r="AA117" s="106" t="e">
        <f>(X118+Z117)</f>
        <v>#REF!</v>
      </c>
    </row>
    <row r="121" spans="7:27">
      <c r="G121" s="123" t="s">
        <v>182</v>
      </c>
      <c r="H121" s="124" t="s">
        <v>183</v>
      </c>
      <c r="I121" s="124" t="s">
        <v>183</v>
      </c>
      <c r="J121" s="124" t="s">
        <v>183</v>
      </c>
      <c r="K121" s="125" t="s">
        <v>184</v>
      </c>
      <c r="L121" s="125" t="s">
        <v>184</v>
      </c>
      <c r="M121" s="125" t="s">
        <v>184</v>
      </c>
      <c r="N121" s="126" t="s">
        <v>185</v>
      </c>
      <c r="O121" s="126" t="s">
        <v>185</v>
      </c>
      <c r="P121" s="126" t="s">
        <v>185</v>
      </c>
    </row>
    <row r="122" spans="7:27">
      <c r="G122" s="123"/>
      <c r="H122" s="124" t="s">
        <v>186</v>
      </c>
      <c r="I122" s="124" t="s">
        <v>181</v>
      </c>
      <c r="J122" s="124" t="s">
        <v>97</v>
      </c>
      <c r="K122" s="125" t="s">
        <v>186</v>
      </c>
      <c r="L122" s="125" t="s">
        <v>181</v>
      </c>
      <c r="M122" s="125" t="s">
        <v>97</v>
      </c>
      <c r="N122" s="126" t="s">
        <v>186</v>
      </c>
      <c r="O122" s="126" t="s">
        <v>181</v>
      </c>
      <c r="P122" s="126" t="s">
        <v>97</v>
      </c>
    </row>
    <row r="123" spans="7:27">
      <c r="G123" s="123" t="s">
        <v>73</v>
      </c>
      <c r="H123" s="127">
        <f>W21-(W3+W20)-$BJ$10*$BJ$15*LN(24.5)*10^-3/$BJ$5</f>
        <v>8.0044729677498569</v>
      </c>
      <c r="I123" s="127">
        <f>W22-W21</f>
        <v>24.229468196281232</v>
      </c>
      <c r="J123" s="127">
        <f>H123+I123</f>
        <v>32.233941164031087</v>
      </c>
      <c r="K123" s="128">
        <f>X21-(X3+X20)-$BJ$10*$BJ$15*LN(24.5)*10^-3/$BJ$5</f>
        <v>1.3644729677940954</v>
      </c>
      <c r="L123" s="128">
        <f>X22-X21</f>
        <v>28.459468196262605</v>
      </c>
      <c r="M123" s="128">
        <f>K123+L123</f>
        <v>29.823941164056702</v>
      </c>
      <c r="N123" s="129">
        <f>AB21-(AB3+AB20)-$BJ$10*$BJ$15*LN(24.5)*10^-3/$BJ$5</f>
        <v>10.184472967859287</v>
      </c>
      <c r="O123" s="129">
        <f>AB22-AB21</f>
        <v>27.289468196220696</v>
      </c>
      <c r="P123" s="129">
        <f>N123+O123</f>
        <v>37.473941164079982</v>
      </c>
    </row>
    <row r="124" spans="7:27">
      <c r="G124" s="123" t="s">
        <v>19</v>
      </c>
      <c r="H124" s="127">
        <f>W23-(W6+W20)-$BJ$10*$BJ$15*LN(24.5)*10^-3/$BJ$5</f>
        <v>8.2227345495954385</v>
      </c>
      <c r="I124" s="127">
        <f>W24-W23</f>
        <v>23.86516888870392</v>
      </c>
      <c r="J124" s="127">
        <f>H124+I124</f>
        <v>32.087903438299357</v>
      </c>
      <c r="K124" s="128">
        <f>X23-(X6+X20)-$BJ$10*$BJ$15*LN(24.5)*10^-3/$BJ$5</f>
        <v>2.0627345495628426</v>
      </c>
      <c r="L124" s="128">
        <f>X24-X23</f>
        <v>27.965168888738845</v>
      </c>
      <c r="M124" s="128">
        <f>K124+L124</f>
        <v>30.027903438301689</v>
      </c>
      <c r="N124" s="129">
        <f>AB23-(AB6+AB20)-$BJ$10*$BJ$15*LN(24.5)*10^-3/$BJ$5</f>
        <v>8.8627345495512007</v>
      </c>
      <c r="O124" s="129">
        <f>AB24-AB23</f>
        <v>27.00516888871789</v>
      </c>
      <c r="P124" s="129">
        <f>N124+O124</f>
        <v>35.867903438269089</v>
      </c>
    </row>
    <row r="127" spans="7:27">
      <c r="G127" s="123" t="s">
        <v>205</v>
      </c>
      <c r="H127" s="124" t="s">
        <v>183</v>
      </c>
      <c r="I127" s="124" t="s">
        <v>183</v>
      </c>
      <c r="J127" s="124" t="s">
        <v>183</v>
      </c>
      <c r="K127" s="125" t="s">
        <v>184</v>
      </c>
      <c r="L127" s="125" t="s">
        <v>184</v>
      </c>
      <c r="M127" s="125" t="s">
        <v>184</v>
      </c>
      <c r="N127" s="126" t="s">
        <v>185</v>
      </c>
      <c r="O127" s="126" t="s">
        <v>185</v>
      </c>
      <c r="P127" s="126" t="s">
        <v>185</v>
      </c>
    </row>
    <row r="128" spans="7:27">
      <c r="G128" s="123"/>
      <c r="H128" s="124" t="s">
        <v>186</v>
      </c>
      <c r="I128" s="124" t="s">
        <v>181</v>
      </c>
      <c r="J128" s="124" t="s">
        <v>97</v>
      </c>
      <c r="K128" s="125" t="s">
        <v>186</v>
      </c>
      <c r="L128" s="125" t="s">
        <v>181</v>
      </c>
      <c r="M128" s="125" t="s">
        <v>97</v>
      </c>
      <c r="N128" s="126" t="s">
        <v>186</v>
      </c>
      <c r="O128" s="126" t="s">
        <v>181</v>
      </c>
      <c r="P128" s="126" t="s">
        <v>97</v>
      </c>
    </row>
    <row r="129" spans="7:28">
      <c r="G129" s="123" t="s">
        <v>73</v>
      </c>
      <c r="H129" s="127">
        <f>T70-(T66+T69)-$BJ$10*$BJ$15*LN(24.5)*10^-3/$BJ$5</f>
        <v>5.1608494924036092</v>
      </c>
      <c r="I129" s="127">
        <f>T71-T70</f>
        <v>38.598342660057824</v>
      </c>
      <c r="J129" s="127">
        <f>H129+I129</f>
        <v>43.759192152461431</v>
      </c>
      <c r="K129" s="128">
        <f>U70-(U66+U69)-$BJ$10*$BJ$15*LN(24.5)*10^-3/$BJ$5</f>
        <v>-2.2091505076499423</v>
      </c>
      <c r="L129" s="128">
        <f>U71-U70</f>
        <v>42.198342660092749</v>
      </c>
      <c r="M129" s="128">
        <f>K129+L129</f>
        <v>39.989192152442804</v>
      </c>
      <c r="N129" s="129">
        <f>V70-(V66+V69)-$BJ$10*$BJ$15*LN(24.5)*10^-3/$BJ$5</f>
        <v>7.1308494923174619</v>
      </c>
      <c r="O129" s="129">
        <f>V71-V70</f>
        <v>40.018342660099734</v>
      </c>
      <c r="P129" s="129">
        <f>N129+O129</f>
        <v>47.149192152417193</v>
      </c>
    </row>
    <row r="130" spans="7:28">
      <c r="G130" s="123" t="s">
        <v>19</v>
      </c>
      <c r="H130" s="127">
        <f>T72-(T67+T69)-$BJ$10*$BJ$15*LN(24.5)*10^-3/$BJ$5</f>
        <v>5.48236935602075</v>
      </c>
      <c r="I130" s="127">
        <f>T73-T72</f>
        <v>38.315497725852765</v>
      </c>
      <c r="J130" s="127">
        <f>H130+I130</f>
        <v>43.797867081873513</v>
      </c>
      <c r="K130" s="128">
        <f>U72-(U67+U69)-$BJ$10*$BJ$15*LN(24.5)*10^-3/$BJ$5</f>
        <v>-1.9076306439350124</v>
      </c>
      <c r="L130" s="128">
        <f>U73-U72</f>
        <v>42.145497725810856</v>
      </c>
      <c r="M130" s="128">
        <f>K130+L130</f>
        <v>40.237867081875841</v>
      </c>
      <c r="N130" s="129">
        <f>V72-(V67+V69)-$BJ$10*$BJ$15*LN(24.5)*10^-3/$BJ$5</f>
        <v>7.172369356081286</v>
      </c>
      <c r="O130" s="129">
        <f>V73-V72</f>
        <v>40.345497725822497</v>
      </c>
      <c r="P130" s="129">
        <f>N130+O130</f>
        <v>47.517867081903781</v>
      </c>
    </row>
    <row r="133" spans="7:28">
      <c r="G133" s="123" t="s">
        <v>225</v>
      </c>
      <c r="H133" s="124" t="s">
        <v>183</v>
      </c>
      <c r="I133" s="124" t="s">
        <v>183</v>
      </c>
      <c r="J133" s="124" t="s">
        <v>183</v>
      </c>
      <c r="K133" s="125" t="s">
        <v>184</v>
      </c>
      <c r="L133" s="125" t="s">
        <v>184</v>
      </c>
      <c r="M133" s="125" t="s">
        <v>184</v>
      </c>
      <c r="N133" s="126" t="s">
        <v>185</v>
      </c>
      <c r="O133" s="126" t="s">
        <v>185</v>
      </c>
      <c r="P133" s="126" t="s">
        <v>185</v>
      </c>
    </row>
    <row r="134" spans="7:28">
      <c r="G134" s="123"/>
      <c r="H134" s="124" t="s">
        <v>186</v>
      </c>
      <c r="I134" s="124" t="s">
        <v>181</v>
      </c>
      <c r="J134" s="124" t="s">
        <v>97</v>
      </c>
      <c r="K134" s="125" t="s">
        <v>186</v>
      </c>
      <c r="L134" s="125" t="s">
        <v>181</v>
      </c>
      <c r="M134" s="125" t="s">
        <v>97</v>
      </c>
      <c r="N134" s="126" t="s">
        <v>186</v>
      </c>
      <c r="O134" s="126" t="s">
        <v>181</v>
      </c>
      <c r="P134" s="126" t="s">
        <v>97</v>
      </c>
    </row>
    <row r="135" spans="7:28">
      <c r="G135" s="123" t="s">
        <v>73</v>
      </c>
      <c r="H135" s="127">
        <f>T85-(T81+T84)-$BJ$10*$BJ$15*LN(24.5)*10^-3/$BJ$5</f>
        <v>8.881095120381028</v>
      </c>
      <c r="I135" s="127">
        <f>T86-T85</f>
        <v>19.105272636166774</v>
      </c>
      <c r="J135" s="127">
        <f>H135+I135</f>
        <v>27.9863677565478</v>
      </c>
      <c r="K135" s="128">
        <f>U85-(U81+U84)-$BJ$10*$BJ$15*LN(24.5)*10^-3/$BJ$5</f>
        <v>2.8510951204695041</v>
      </c>
      <c r="L135" s="128">
        <f>U86-U85</f>
        <v>23.285272636159789</v>
      </c>
      <c r="M135" s="128">
        <f>K135+L135</f>
        <v>26.136367756629294</v>
      </c>
      <c r="N135" s="129">
        <f>V85-(V81+V84)-$BJ$10*$BJ$15*LN(24.5)*10^-3/$BJ$5</f>
        <v>11.271095120453205</v>
      </c>
      <c r="O135" s="129">
        <f>V88-V87</f>
        <v>21.49129030527547</v>
      </c>
      <c r="P135" s="129">
        <f>N135+O135</f>
        <v>32.762385425728674</v>
      </c>
    </row>
    <row r="136" spans="7:28">
      <c r="G136" s="123" t="s">
        <v>19</v>
      </c>
      <c r="H136" s="127">
        <f>T87-(T82+T84)-$BJ$10*$BJ$15*LN(24.5)*10^-3/$BJ$5</f>
        <v>8.9941375143713547</v>
      </c>
      <c r="I136" s="127">
        <f>T88-T87</f>
        <v>18.8512903052615</v>
      </c>
      <c r="J136" s="127">
        <f>H136+I136</f>
        <v>27.845427819632853</v>
      </c>
      <c r="K136" s="128">
        <f>U87-(U82+U84)-$BJ$10*$BJ$15*LN(24.5)*10^-3/$BJ$5</f>
        <v>3.0541375143690268</v>
      </c>
      <c r="L136" s="128">
        <f>U88-U87</f>
        <v>22.871290305280127</v>
      </c>
      <c r="M136" s="128">
        <f>K136+L136</f>
        <v>25.925427819649155</v>
      </c>
      <c r="N136" s="129">
        <f>V87-(V82+V84)-$BJ$10*$BJ$15*LN(24.5)*10^-3/$BJ$5</f>
        <v>10.914137514355057</v>
      </c>
      <c r="O136" s="129">
        <f>V79-V78</f>
        <v>0</v>
      </c>
      <c r="P136" s="129">
        <f>N136+O136</f>
        <v>10.914137514355057</v>
      </c>
    </row>
    <row r="139" spans="7:28">
      <c r="G139" s="123" t="s">
        <v>225</v>
      </c>
      <c r="H139" s="124" t="s">
        <v>236</v>
      </c>
      <c r="I139" s="124" t="s">
        <v>236</v>
      </c>
      <c r="J139" s="124" t="s">
        <v>236</v>
      </c>
    </row>
    <row r="140" spans="7:28">
      <c r="G140" s="123"/>
      <c r="H140" s="124" t="s">
        <v>186</v>
      </c>
      <c r="I140" s="124" t="s">
        <v>181</v>
      </c>
      <c r="J140" s="124" t="s">
        <v>97</v>
      </c>
    </row>
    <row r="141" spans="7:28">
      <c r="G141" s="123" t="s">
        <v>232</v>
      </c>
      <c r="H141" s="127"/>
      <c r="I141" s="127">
        <f>S90-S89</f>
        <v>25.499464684864506</v>
      </c>
      <c r="J141" s="127">
        <f>H141+I141</f>
        <v>25.499464684864506</v>
      </c>
    </row>
    <row r="142" spans="7:28">
      <c r="AB142">
        <f>8*4.2</f>
        <v>33.6</v>
      </c>
    </row>
    <row r="147" spans="7:13">
      <c r="M147">
        <f>42-23+25</f>
        <v>44</v>
      </c>
    </row>
    <row r="152" spans="7:13">
      <c r="G152" s="123" t="s">
        <v>237</v>
      </c>
      <c r="H152" s="124" t="s">
        <v>236</v>
      </c>
      <c r="I152" s="124" t="s">
        <v>236</v>
      </c>
      <c r="J152" s="124" t="s">
        <v>236</v>
      </c>
    </row>
    <row r="153" spans="7:13">
      <c r="G153" s="123"/>
      <c r="H153" s="124" t="s">
        <v>186</v>
      </c>
      <c r="I153" s="124" t="s">
        <v>181</v>
      </c>
      <c r="J153" s="124" t="s">
        <v>97</v>
      </c>
    </row>
    <row r="154" spans="7:13">
      <c r="G154" s="123" t="s">
        <v>232</v>
      </c>
      <c r="H154" s="127">
        <f>S95-(T91+S94)-$BJ$10*$BJ$15*LN(24.5)*10^-3/$BJ$5</f>
        <v>312730.7342042129</v>
      </c>
      <c r="I154" s="127">
        <f>G104-G103</f>
        <v>38.545385173696559</v>
      </c>
      <c r="J154" s="127">
        <f>H154+I154</f>
        <v>312769.2795893866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37"/>
  <sheetViews>
    <sheetView topLeftCell="AJ1" workbookViewId="0">
      <selection activeCell="BB31" sqref="BA31:BB33"/>
    </sheetView>
  </sheetViews>
  <sheetFormatPr defaultRowHeight="15"/>
  <cols>
    <col min="1" max="1" width="13.85546875" customWidth="1"/>
    <col min="3" max="3" width="11.7109375" customWidth="1"/>
    <col min="6" max="6" width="9.5703125" bestFit="1" customWidth="1"/>
    <col min="46" max="46" width="13.42578125" bestFit="1" customWidth="1"/>
    <col min="49" max="49" width="16.5703125" customWidth="1"/>
    <col min="51" max="51" width="12" bestFit="1" customWidth="1"/>
    <col min="55" max="55" width="11.42578125" customWidth="1"/>
  </cols>
  <sheetData>
    <row r="1" spans="1:62">
      <c r="A1" s="15" t="s">
        <v>437</v>
      </c>
    </row>
    <row r="2" spans="1:62" ht="75.75" thickBot="1">
      <c r="A2" s="111" t="s">
        <v>436</v>
      </c>
      <c r="B2" s="111" t="s">
        <v>436</v>
      </c>
      <c r="C2" s="111" t="s">
        <v>162</v>
      </c>
      <c r="D2" s="111" t="s">
        <v>438</v>
      </c>
      <c r="E2" s="111" t="s">
        <v>164</v>
      </c>
      <c r="F2" s="108" t="s">
        <v>342</v>
      </c>
      <c r="G2" s="108" t="s">
        <v>343</v>
      </c>
      <c r="H2" s="108" t="s">
        <v>344</v>
      </c>
      <c r="I2" s="108" t="s">
        <v>345</v>
      </c>
      <c r="J2" s="108" t="s">
        <v>350</v>
      </c>
      <c r="K2" s="108" t="s">
        <v>352</v>
      </c>
      <c r="L2" s="108" t="s">
        <v>443</v>
      </c>
      <c r="M2" s="108" t="s">
        <v>439</v>
      </c>
      <c r="N2" s="111" t="s">
        <v>440</v>
      </c>
    </row>
    <row r="3" spans="1:62">
      <c r="A3" s="17" t="s">
        <v>441</v>
      </c>
      <c r="B3" s="17"/>
      <c r="C3" s="17">
        <v>-1606.8802618939601</v>
      </c>
      <c r="D3" s="14">
        <v>4.9099999999999998E-2</v>
      </c>
      <c r="E3" s="17">
        <v>-16.18</v>
      </c>
      <c r="F3" s="17">
        <v>985.15</v>
      </c>
      <c r="G3" s="17">
        <v>1.209017</v>
      </c>
      <c r="H3" s="17">
        <v>1.286206</v>
      </c>
      <c r="I3" s="17">
        <v>1.1055250000000001</v>
      </c>
      <c r="J3" s="16">
        <f>H3-I3</f>
        <v>0.18068099999999987</v>
      </c>
      <c r="K3" s="87">
        <f>((C3+G3)*$BJ$3*$BJ$4*10^-3)/$BJ$5</f>
        <v>-1007573.6104701151</v>
      </c>
      <c r="L3" s="87">
        <f>((C3+H3)*$BJ$3*$BJ$4*10^-3)/$BJ$5+E3</f>
        <v>-1007541.3536561249</v>
      </c>
      <c r="M3" s="87">
        <f>((C3+I3)*$BJ$3*$BJ$4*10^-3)/$BJ$5</f>
        <v>-1007638.5526607576</v>
      </c>
      <c r="N3" s="87">
        <f>M3+E3</f>
        <v>-1007654.7326607576</v>
      </c>
      <c r="AS3" s="22" t="s">
        <v>250</v>
      </c>
      <c r="AT3" s="25" t="s">
        <v>259</v>
      </c>
      <c r="AU3" s="25" t="s">
        <v>251</v>
      </c>
      <c r="AV3" s="25" t="s">
        <v>252</v>
      </c>
      <c r="AW3" s="26" t="s">
        <v>253</v>
      </c>
      <c r="BI3" s="22" t="s">
        <v>147</v>
      </c>
      <c r="BJ3" s="88">
        <v>4.35974394E-18</v>
      </c>
    </row>
    <row r="4" spans="1:62">
      <c r="A4" s="17" t="s">
        <v>442</v>
      </c>
      <c r="B4" s="17"/>
      <c r="C4" s="17">
        <v>-1606.8375450726801</v>
      </c>
      <c r="D4" s="14"/>
      <c r="E4" s="17">
        <v>-15.37</v>
      </c>
      <c r="F4" s="17"/>
      <c r="G4" s="17">
        <v>1.209017</v>
      </c>
      <c r="H4" s="17">
        <v>1.286206</v>
      </c>
      <c r="I4" s="17">
        <v>1.1055250000000001</v>
      </c>
      <c r="J4" s="16">
        <f>H4-I4</f>
        <v>0.18068099999999987</v>
      </c>
      <c r="K4" s="87">
        <f>((C4+G4)*$BJ$3*$BJ$4*10^-3)/$BJ$5</f>
        <v>-1007546.8052682524</v>
      </c>
      <c r="L4" s="87">
        <f>((C4+H4)*$BJ$3*$BJ$4*10^-3)/$BJ$5+E4</f>
        <v>-1007513.7384542619</v>
      </c>
      <c r="M4" s="87">
        <f>((C4+I4)*$BJ$3*$BJ$4*10^-3)/$BJ$5</f>
        <v>-1007611.7474588945</v>
      </c>
      <c r="N4" s="87">
        <f>M4+E4</f>
        <v>-1007627.1174588945</v>
      </c>
      <c r="AS4" s="72" t="s">
        <v>254</v>
      </c>
      <c r="AT4" s="133">
        <f>N3</f>
        <v>-1007654.7326607576</v>
      </c>
      <c r="AU4" s="133">
        <v>0.05</v>
      </c>
      <c r="AV4" s="133">
        <f>(AU4-AU6)/(AU5-AU4)</f>
        <v>2.5641025641025644E-2</v>
      </c>
      <c r="AW4" s="82">
        <f>AT4+AV4*(AT4-AT5)</f>
        <v>-1007655.4407428567</v>
      </c>
      <c r="BI4" s="72" t="s">
        <v>148</v>
      </c>
      <c r="BJ4" s="89">
        <v>6.0221399999999997E+23</v>
      </c>
    </row>
    <row r="5" spans="1:62" ht="15.75" thickBot="1">
      <c r="A5" s="17" t="s">
        <v>444</v>
      </c>
      <c r="B5" s="17"/>
      <c r="C5" s="17">
        <v>-1606.91886141739</v>
      </c>
      <c r="D5" s="14"/>
      <c r="E5" s="17">
        <v>-25.8</v>
      </c>
      <c r="F5" s="17"/>
      <c r="G5" s="17">
        <v>1.2169319999999999</v>
      </c>
      <c r="H5" s="17">
        <v>1.2939780000000001</v>
      </c>
      <c r="I5" s="17">
        <v>1.113804</v>
      </c>
      <c r="J5" s="16">
        <f>H5-I5</f>
        <v>0.18017400000000006</v>
      </c>
      <c r="K5" s="87">
        <f>((C5+G5)*$BJ$3*$BJ$4*10^-3)/$BJ$5</f>
        <v>-1007592.8652933899</v>
      </c>
      <c r="L5" s="87">
        <f>((C5+H5)*$BJ$3*$BJ$4*10^-3)/$BJ$5+E5</f>
        <v>-1007570.318213227</v>
      </c>
      <c r="M5" s="87">
        <f>((C5+I5)*$BJ$3*$BJ$4*10^-3)/$BJ$5</f>
        <v>-1007657.5790706534</v>
      </c>
      <c r="N5" s="87">
        <f>M5+E5</f>
        <v>-1007683.3790706535</v>
      </c>
      <c r="AS5" s="72" t="s">
        <v>255</v>
      </c>
      <c r="AT5" s="133">
        <f>N4</f>
        <v>-1007627.1174588945</v>
      </c>
      <c r="AU5" s="133">
        <v>2</v>
      </c>
      <c r="AV5" s="133"/>
      <c r="AW5" s="73" t="s">
        <v>256</v>
      </c>
      <c r="BI5" s="23" t="s">
        <v>149</v>
      </c>
      <c r="BJ5" s="90">
        <v>4.1840000000000002</v>
      </c>
    </row>
    <row r="6" spans="1:62" ht="15.75" thickBot="1">
      <c r="A6" s="17" t="s">
        <v>445</v>
      </c>
      <c r="B6" s="17"/>
      <c r="C6" s="14">
        <v>-1606.9309690248199</v>
      </c>
      <c r="D6" s="14"/>
      <c r="E6" s="17">
        <v>-12.57</v>
      </c>
      <c r="F6" s="17"/>
      <c r="G6" s="17">
        <v>1.2126950000000001</v>
      </c>
      <c r="H6" s="17">
        <v>1.2899750000000001</v>
      </c>
      <c r="I6" s="17">
        <v>1.108114</v>
      </c>
      <c r="J6" s="16">
        <f>H6-I6</f>
        <v>0.18186100000000005</v>
      </c>
      <c r="K6" s="87">
        <f>((C6+G6)*$BJ$3*$BJ$4*10^-3)/$BJ$5</f>
        <v>-1007603.1216862676</v>
      </c>
      <c r="L6" s="87">
        <f>((C6+H6)*$BJ$3*$BJ$4*10^-3)/$BJ$5+E6</f>
        <v>-1007567.1977689326</v>
      </c>
      <c r="M6" s="87">
        <f>((C6+I6)*$BJ$3*$BJ$4*10^-3)/$BJ$5</f>
        <v>-1007668.7472345183</v>
      </c>
      <c r="N6" s="87">
        <f>M6+E6</f>
        <v>-1007681.3172345182</v>
      </c>
      <c r="AS6" s="23" t="s">
        <v>257</v>
      </c>
      <c r="AT6" s="134"/>
      <c r="AU6" s="134">
        <v>0</v>
      </c>
      <c r="AV6" s="134"/>
      <c r="AW6" s="110">
        <f>(AT4-AW4)</f>
        <v>0.70808209909591824</v>
      </c>
    </row>
    <row r="7" spans="1:62" ht="15.75" thickBot="1">
      <c r="BI7" s="91" t="s">
        <v>150</v>
      </c>
      <c r="BJ7" s="32"/>
    </row>
    <row r="8" spans="1:62">
      <c r="BI8" s="92" t="s">
        <v>151</v>
      </c>
      <c r="BJ8" s="112">
        <v>1000</v>
      </c>
    </row>
    <row r="9" spans="1:62">
      <c r="BI9" s="93" t="s">
        <v>152</v>
      </c>
      <c r="BJ9" s="94">
        <v>100</v>
      </c>
    </row>
    <row r="10" spans="1:62">
      <c r="BI10" s="93" t="s">
        <v>153</v>
      </c>
      <c r="BJ10" s="113">
        <v>298.14999999999998</v>
      </c>
    </row>
    <row r="11" spans="1:62">
      <c r="AY11" s="6">
        <f>BJ15*298.15*LN(5.5*BJ12/(BJ13*298.15))/(1000*BJ5)</f>
        <v>-16.443151192396861</v>
      </c>
      <c r="BI11" s="93" t="s">
        <v>165</v>
      </c>
      <c r="BJ11" s="114">
        <f>6.62606896E-34/(2*BJ14)</f>
        <v>1.0545716294567979E-34</v>
      </c>
    </row>
    <row r="12" spans="1:62">
      <c r="BI12" s="93" t="s">
        <v>154</v>
      </c>
      <c r="BJ12" s="115">
        <v>6.6260689599999996E-34</v>
      </c>
    </row>
    <row r="13" spans="1:62">
      <c r="BI13" s="93" t="s">
        <v>155</v>
      </c>
      <c r="BJ13" s="116">
        <v>1.3806503000000001E-23</v>
      </c>
    </row>
    <row r="14" spans="1:62">
      <c r="BI14" s="96" t="s">
        <v>156</v>
      </c>
      <c r="BJ14" s="116">
        <v>3.1415926500000002</v>
      </c>
    </row>
    <row r="15" spans="1:62">
      <c r="C15" s="153">
        <f>M6-M5</f>
        <v>-11.16816386487335</v>
      </c>
      <c r="H15" s="6">
        <f>L3-L6-0.7-0.8-0.4</f>
        <v>23.944112807651983</v>
      </c>
      <c r="BI15" s="97" t="s">
        <v>157</v>
      </c>
      <c r="BJ15" s="117">
        <v>8.3144720000000003</v>
      </c>
    </row>
    <row r="16" spans="1:62">
      <c r="K16" s="11">
        <f>((0.0023)*$BJ$3*$BJ$4*10^-3)/$BJ$5</f>
        <v>1.4432713492569951</v>
      </c>
      <c r="BI16" s="93" t="s">
        <v>158</v>
      </c>
      <c r="BJ16" s="116">
        <v>6.0221399999999997E+23</v>
      </c>
    </row>
    <row r="17" spans="18:62" ht="15.75" thickBot="1">
      <c r="BC17">
        <v>50</v>
      </c>
      <c r="BI17" s="95" t="s">
        <v>166</v>
      </c>
      <c r="BJ17" s="118">
        <v>29979245800</v>
      </c>
    </row>
    <row r="18" spans="18:62">
      <c r="BC18">
        <v>20</v>
      </c>
      <c r="BI18" s="92" t="s">
        <v>167</v>
      </c>
      <c r="BJ18" s="98">
        <f>((2*BJ14)/(BJ12*BJ8*BJ17))</f>
        <v>3.1630292896269972E+20</v>
      </c>
    </row>
    <row r="19" spans="18:62" ht="15.75" thickBot="1">
      <c r="AT19">
        <f>-227.054216-(  -151.401151-75.666678)</f>
        <v>1.3613000000020747E-2</v>
      </c>
      <c r="BC19">
        <v>20</v>
      </c>
      <c r="BI19" s="95" t="s">
        <v>168</v>
      </c>
      <c r="BJ19" s="99">
        <f>(1/(BJ13*BJ10))</f>
        <v>2.4293019272733508E+20</v>
      </c>
    </row>
    <row r="20" spans="18:62">
      <c r="BC20">
        <v>50</v>
      </c>
      <c r="BI20" s="22" t="s">
        <v>159</v>
      </c>
      <c r="BJ20" s="100">
        <f>((BJ19*BJ14)/BJ18)/SIN((BJ19*BJ14)/BJ18)-(BJ19/(BJ18-BJ19))*EXP((BJ19-BJ18)*((BJ9*1000/BJ16)))</f>
        <v>3.6231829594744518</v>
      </c>
    </row>
    <row r="21" spans="18:62" ht="15.75" thickBot="1">
      <c r="AY21" s="18" t="b">
        <f>AY13=(BJ13*298.15/BJ12)*EXP(-84000/(298.15*BJ15))</f>
        <v>0</v>
      </c>
      <c r="BC21">
        <v>20</v>
      </c>
      <c r="BI21" s="72" t="s">
        <v>169</v>
      </c>
      <c r="BJ21" s="119">
        <f>(BJ15*BJ10*LN(BJ20)/1000)/BJ5</f>
        <v>0.76273808484690064</v>
      </c>
    </row>
    <row r="22" spans="18:62">
      <c r="R22">
        <f>0.5015-0.4992</f>
        <v>2.2999999999999687E-3</v>
      </c>
      <c r="AY22">
        <f>SQRT(0.122*1.9*10^-2/(2.7*10^7))</f>
        <v>9.2656274397286152E-6</v>
      </c>
      <c r="BC22">
        <v>20</v>
      </c>
      <c r="BI22" s="22" t="s">
        <v>160</v>
      </c>
      <c r="BJ22" s="100">
        <f>(BJ19/(BJ19-BJ18))*(EXP((BJ19-BJ18)*((BJ9)*1000/BJ16))-1)</f>
        <v>3.3108885292029417</v>
      </c>
    </row>
    <row r="23" spans="18:62" ht="15.75" thickBot="1">
      <c r="BC23">
        <v>50</v>
      </c>
      <c r="BI23" s="72" t="s">
        <v>170</v>
      </c>
      <c r="BJ23" s="120">
        <f>(BJ15*BJ10*LN(BJ22)/1000)/BJ5</f>
        <v>0.70933361222335833</v>
      </c>
    </row>
    <row r="24" spans="18:62" ht="15.75" thickBot="1">
      <c r="BC24">
        <v>20</v>
      </c>
      <c r="BI24" s="101" t="s">
        <v>171</v>
      </c>
      <c r="BJ24" s="102"/>
    </row>
    <row r="25" spans="18:62">
      <c r="BC25">
        <v>50</v>
      </c>
      <c r="BI25" s="103" t="s">
        <v>161</v>
      </c>
      <c r="BJ25" s="104">
        <f>1+(1/24)*(BJ12*BJ8*BJ17/(BJ10*BJ13))^2</f>
        <v>1.9702978218034295</v>
      </c>
    </row>
    <row r="26" spans="18:62">
      <c r="BC26">
        <v>50</v>
      </c>
      <c r="BI26" s="103" t="s">
        <v>172</v>
      </c>
      <c r="BJ26" s="104">
        <f>(BJ10*BJ13)/(BJ8*BJ12*BJ17)</f>
        <v>0.20722485810104477</v>
      </c>
    </row>
    <row r="27" spans="18:62" ht="15.75" thickBot="1">
      <c r="BC27">
        <v>20</v>
      </c>
      <c r="BI27" s="103" t="s">
        <v>260</v>
      </c>
      <c r="BJ27" s="121">
        <f>(BJ15*BJ10*LN(BJ25)/1000)/BJ5</f>
        <v>0.40181468714196911</v>
      </c>
    </row>
    <row r="28" spans="18:62">
      <c r="BC28">
        <v>50</v>
      </c>
      <c r="BI28" s="122" t="s">
        <v>173</v>
      </c>
      <c r="BJ28" s="26">
        <v>2</v>
      </c>
    </row>
    <row r="29" spans="18:62" ht="30.75" thickBot="1">
      <c r="BC29">
        <v>50</v>
      </c>
      <c r="BI29" s="107" t="s">
        <v>174</v>
      </c>
      <c r="BJ29" s="110">
        <f>($BJ$10*$BJ$15*LN(BJ28)*10^-3)/BJ5</f>
        <v>0.41067973581926154</v>
      </c>
    </row>
    <row r="30" spans="18:62">
      <c r="BC30">
        <v>20</v>
      </c>
    </row>
    <row r="31" spans="18:62">
      <c r="BC31">
        <v>20</v>
      </c>
    </row>
    <row r="32" spans="18:62">
      <c r="BC32">
        <v>20</v>
      </c>
    </row>
    <row r="33" spans="55:55">
      <c r="BC33">
        <v>20</v>
      </c>
    </row>
    <row r="34" spans="55:55">
      <c r="BC34">
        <v>50</v>
      </c>
    </row>
    <row r="35" spans="55:55">
      <c r="BC35">
        <v>50</v>
      </c>
    </row>
    <row r="36" spans="55:55">
      <c r="BC36">
        <v>50</v>
      </c>
    </row>
    <row r="37" spans="55:55">
      <c r="BC37">
        <f>-SUM(BC17:BC36)+595+800</f>
        <v>695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155"/>
  <sheetViews>
    <sheetView zoomScale="85" zoomScaleNormal="85" workbookViewId="0">
      <selection activeCell="AT29" sqref="AT29"/>
    </sheetView>
  </sheetViews>
  <sheetFormatPr defaultRowHeight="15"/>
  <cols>
    <col min="1" max="1" width="21" customWidth="1"/>
    <col min="2" max="2" width="9.28515625" bestFit="1" customWidth="1"/>
    <col min="3" max="4" width="9.42578125" bestFit="1" customWidth="1"/>
    <col min="6" max="6" width="9.28515625" bestFit="1" customWidth="1"/>
    <col min="7" max="7" width="9.42578125" bestFit="1" customWidth="1"/>
    <col min="9" max="10" width="9.42578125" bestFit="1" customWidth="1"/>
    <col min="11" max="11" width="8.5703125" customWidth="1"/>
    <col min="12" max="12" width="9.7109375" customWidth="1"/>
    <col min="15" max="15" width="12.140625" customWidth="1"/>
    <col min="16" max="16" width="10.28515625" bestFit="1" customWidth="1"/>
    <col min="17" max="17" width="9.42578125" bestFit="1" customWidth="1"/>
    <col min="18" max="18" width="13.28515625" customWidth="1"/>
    <col min="19" max="20" width="9.28515625" bestFit="1" customWidth="1"/>
    <col min="21" max="21" width="10.42578125" customWidth="1"/>
    <col min="22" max="22" width="10.140625" customWidth="1"/>
    <col min="23" max="23" width="12.42578125" customWidth="1"/>
    <col min="24" max="24" width="15.42578125" customWidth="1"/>
    <col min="25" max="25" width="9.42578125" bestFit="1" customWidth="1"/>
    <col min="26" max="26" width="9.42578125" customWidth="1"/>
    <col min="27" max="27" width="9.42578125" bestFit="1" customWidth="1"/>
    <col min="28" max="28" width="9.5703125" bestFit="1" customWidth="1"/>
    <col min="29" max="29" width="10.140625" customWidth="1"/>
    <col min="30" max="31" width="9.42578125" bestFit="1" customWidth="1"/>
    <col min="32" max="32" width="11.42578125" customWidth="1"/>
    <col min="33" max="33" width="18.140625" bestFit="1" customWidth="1"/>
    <col min="34" max="34" width="10.7109375" bestFit="1" customWidth="1"/>
    <col min="35" max="35" width="9.28515625" bestFit="1" customWidth="1"/>
    <col min="38" max="38" width="9.42578125" bestFit="1" customWidth="1"/>
    <col min="39" max="39" width="15.140625" customWidth="1"/>
    <col min="40" max="40" width="12.28515625" customWidth="1"/>
    <col min="43" max="43" width="10.5703125" bestFit="1" customWidth="1"/>
    <col min="48" max="48" width="15.85546875" customWidth="1"/>
    <col min="49" max="49" width="18.140625" customWidth="1"/>
  </cols>
  <sheetData>
    <row r="1" spans="1:49">
      <c r="A1" s="15" t="s">
        <v>552</v>
      </c>
      <c r="B1" s="15"/>
      <c r="C1" s="15"/>
      <c r="D1" s="15"/>
      <c r="E1" s="15"/>
      <c r="F1" s="15"/>
      <c r="G1" s="15"/>
    </row>
    <row r="2" spans="1:49" ht="75.75" thickBot="1">
      <c r="A2" s="178" t="s">
        <v>524</v>
      </c>
      <c r="B2" s="190" t="s">
        <v>475</v>
      </c>
      <c r="C2" s="190" t="s">
        <v>488</v>
      </c>
      <c r="D2" s="190" t="s">
        <v>489</v>
      </c>
      <c r="E2" s="178" t="s">
        <v>476</v>
      </c>
      <c r="F2" s="190" t="s">
        <v>490</v>
      </c>
      <c r="G2" s="190" t="s">
        <v>491</v>
      </c>
      <c r="H2" s="178" t="s">
        <v>492</v>
      </c>
      <c r="I2" s="190" t="s">
        <v>493</v>
      </c>
      <c r="J2" s="190" t="s">
        <v>494</v>
      </c>
      <c r="K2" s="178" t="s">
        <v>495</v>
      </c>
      <c r="L2" s="190" t="s">
        <v>496</v>
      </c>
      <c r="M2" s="190" t="s">
        <v>497</v>
      </c>
      <c r="N2" s="178" t="s">
        <v>498</v>
      </c>
      <c r="O2" s="190" t="s">
        <v>484</v>
      </c>
      <c r="P2" s="190" t="s">
        <v>485</v>
      </c>
      <c r="Q2" s="195" t="s">
        <v>486</v>
      </c>
      <c r="R2" s="190" t="s">
        <v>477</v>
      </c>
      <c r="S2" s="190" t="s">
        <v>478</v>
      </c>
      <c r="T2" s="190" t="s">
        <v>479</v>
      </c>
      <c r="U2" s="190" t="s">
        <v>480</v>
      </c>
      <c r="V2" s="190" t="s">
        <v>481</v>
      </c>
      <c r="W2" s="190" t="s">
        <v>543</v>
      </c>
      <c r="X2" s="202" t="s">
        <v>507</v>
      </c>
      <c r="Y2" s="202" t="s">
        <v>508</v>
      </c>
      <c r="Z2" s="203" t="s">
        <v>500</v>
      </c>
      <c r="AA2" s="203" t="s">
        <v>499</v>
      </c>
      <c r="AB2" s="204" t="s">
        <v>501</v>
      </c>
      <c r="AC2" s="204" t="s">
        <v>502</v>
      </c>
      <c r="AD2" s="205" t="s">
        <v>503</v>
      </c>
      <c r="AE2" s="205" t="s">
        <v>504</v>
      </c>
      <c r="AF2" s="206" t="s">
        <v>505</v>
      </c>
      <c r="AG2" s="206" t="s">
        <v>506</v>
      </c>
    </row>
    <row r="3" spans="1:49">
      <c r="A3" s="191" t="s">
        <v>175</v>
      </c>
      <c r="B3" s="17">
        <v>-151.53321384</v>
      </c>
      <c r="C3" s="17">
        <v>-151.55835734199999</v>
      </c>
      <c r="D3" s="17"/>
      <c r="E3" s="17"/>
      <c r="F3" s="17">
        <v>-151.60650998899999</v>
      </c>
      <c r="G3" s="17"/>
      <c r="H3" s="17"/>
      <c r="I3" s="17">
        <v>-151.61078092700001</v>
      </c>
      <c r="J3" s="17"/>
      <c r="K3" s="17"/>
      <c r="L3" s="17">
        <v>-151.61296965099999</v>
      </c>
      <c r="M3" s="17"/>
      <c r="N3" s="17"/>
      <c r="O3" s="17">
        <v>-9.0299999999999994</v>
      </c>
      <c r="P3" s="17"/>
      <c r="Q3" s="17"/>
      <c r="R3" s="33"/>
      <c r="S3" s="17"/>
      <c r="T3" s="17">
        <v>2.6254E-2</v>
      </c>
      <c r="U3" s="17">
        <v>3.0450999999999999E-2</v>
      </c>
      <c r="V3" s="17">
        <v>3.9160000000000002E-3</v>
      </c>
      <c r="W3" s="196">
        <f>(U3-V3)*($AW$3*$AW$4*10^-3/$AW$5)</f>
        <v>16.650958805449726</v>
      </c>
      <c r="X3" s="197">
        <f>O3</f>
        <v>-9.0299999999999994</v>
      </c>
      <c r="Y3" s="197">
        <f>((((2-0)/(2-Q3))*O3+(1-((2-0)/(2-Q3)))*P3))</f>
        <v>-9.0299999999999994</v>
      </c>
      <c r="Z3" s="198">
        <f>(C3+U3)*($AW$3*$AW$4*10^-3/$AW$5)</f>
        <v>-95085.16775491563</v>
      </c>
      <c r="AA3" s="198">
        <f>((((2-0)/(2-E3))*C3+(1-((2-0)/(2-E3)))*D3)+U3)*($AW$3*$AW$4*10^-3/$AW$5)</f>
        <v>-95085.16775491563</v>
      </c>
      <c r="AB3" s="199">
        <f>(F3+U3)*($AW$3*$AW$4*10^-3/$AW$5)</f>
        <v>-95115.383987874739</v>
      </c>
      <c r="AC3" s="199">
        <f>((((2-0)/(2-H3))*F3+(1-((2-0)/(2-H3)))*G3)+U3)*($AW$3*$AW$4*10^-3/$AW$5)</f>
        <v>-95115.383987874739</v>
      </c>
      <c r="AD3" s="200">
        <f>(I3+U3)*($AW$3*$AW$4*10^-3/$AW$5)</f>
        <v>-95118.06404111383</v>
      </c>
      <c r="AE3" s="200">
        <f>((((2-0)/(2-K3))*I3+(1-((2-0)/(2-K3)))*J3)+U3)*($AW$3*$AW$4*10^-3/$AW$5)</f>
        <v>-95118.06404111383</v>
      </c>
      <c r="AF3" s="201">
        <f>(L3+U3)*($AW$3*$AW$4*10^-3/$AW$5)</f>
        <v>-95119.437485740171</v>
      </c>
      <c r="AG3" s="201">
        <f>((((2-0)/(2-N3))*L3+(1-((2-0)/(2-N3)))*M3)+U3)*($AW$3*$AW$4*10^-3/$AW$5)</f>
        <v>-95119.437485740171</v>
      </c>
      <c r="AV3" s="22" t="s">
        <v>147</v>
      </c>
      <c r="AW3" s="88">
        <v>4.35974394E-18</v>
      </c>
    </row>
    <row r="4" spans="1:49">
      <c r="A4" s="191" t="s">
        <v>482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33"/>
      <c r="S4" s="17"/>
      <c r="T4" s="17"/>
      <c r="U4" s="17"/>
      <c r="V4" s="17"/>
      <c r="W4" s="196">
        <f t="shared" ref="W4:W27" si="0">(U4-V4)*($AW$3*$AW$4*10^-3/$AW$5)</f>
        <v>0</v>
      </c>
      <c r="X4" s="197">
        <f t="shared" ref="X4:X27" si="1">O4</f>
        <v>0</v>
      </c>
      <c r="Y4" s="197">
        <f t="shared" ref="Y4:Y27" si="2">((((2-0)/(2-Q4))*O4+(1-((2-0)/(2-Q4)))*P4))</f>
        <v>0</v>
      </c>
      <c r="Z4" s="198">
        <f t="shared" ref="Z4:Z27" si="3">(C4+U4)*($AW$3*$AW$4*10^-3/$AW$5)</f>
        <v>0</v>
      </c>
      <c r="AA4" s="198">
        <f t="shared" ref="AA4:AA27" si="4">((((2-0)/(2-E4))*C4+(1-((2-0)/(2-E4)))*D4)+U4)*($AW$3*$AW$4*10^-3/$AW$5)</f>
        <v>0</v>
      </c>
      <c r="AB4" s="199">
        <f t="shared" ref="AB4:AB27" si="5">(F4+U4)*($AW$3*$AW$4*10^-3/$AW$5)</f>
        <v>0</v>
      </c>
      <c r="AC4" s="199">
        <f t="shared" ref="AC4:AC27" si="6">((((2-0)/(2-H4))*F4+(1-((2-0)/(2-H4)))*G4)+U4)*($AW$3*$AW$4*10^-3/$AW$5)</f>
        <v>0</v>
      </c>
      <c r="AD4" s="200">
        <f t="shared" ref="AD4:AD27" si="7">(I4+U4)*($AW$3*$AW$4*10^-3/$AW$5)</f>
        <v>0</v>
      </c>
      <c r="AE4" s="200">
        <f t="shared" ref="AE4:AE27" si="8">((((2-0)/(2-K4))*I4+(1-((2-0)/(2-K4)))*J4)+U4)*($AW$3*$AW$4*10^-3/$AW$5)</f>
        <v>0</v>
      </c>
      <c r="AF4" s="201">
        <f t="shared" ref="AF4:AF27" si="9">(L4+U4)*($AW$3*$AW$4*10^-3/$AW$5)</f>
        <v>0</v>
      </c>
      <c r="AG4" s="201">
        <f t="shared" ref="AG4:AG27" si="10">((((2-0)/(2-N4))*L4+(1-((2-0)/(2-N4)))*M4)+U4)*($AW$3*$AW$4*10^-3/$AW$5)</f>
        <v>0</v>
      </c>
      <c r="AV4" s="72" t="s">
        <v>148</v>
      </c>
      <c r="AW4" s="89">
        <v>6.0221399999999997E+23</v>
      </c>
    </row>
    <row r="5" spans="1:49" ht="15.75" thickBot="1">
      <c r="A5" s="191" t="s">
        <v>362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33"/>
      <c r="S5" s="17"/>
      <c r="T5" s="17"/>
      <c r="U5" s="17"/>
      <c r="V5" s="17"/>
      <c r="W5" s="196">
        <f t="shared" si="0"/>
        <v>0</v>
      </c>
      <c r="X5" s="197">
        <f t="shared" si="1"/>
        <v>0</v>
      </c>
      <c r="Y5" s="197">
        <f t="shared" si="2"/>
        <v>0</v>
      </c>
      <c r="Z5" s="198">
        <f t="shared" si="3"/>
        <v>0</v>
      </c>
      <c r="AA5" s="198">
        <f t="shared" si="4"/>
        <v>0</v>
      </c>
      <c r="AB5" s="199">
        <f t="shared" si="5"/>
        <v>0</v>
      </c>
      <c r="AC5" s="199">
        <f t="shared" si="6"/>
        <v>0</v>
      </c>
      <c r="AD5" s="200">
        <f t="shared" si="7"/>
        <v>0</v>
      </c>
      <c r="AE5" s="200">
        <f t="shared" si="8"/>
        <v>0</v>
      </c>
      <c r="AF5" s="201">
        <f t="shared" si="9"/>
        <v>0</v>
      </c>
      <c r="AG5" s="201">
        <f t="shared" si="10"/>
        <v>0</v>
      </c>
      <c r="AV5" s="23" t="s">
        <v>149</v>
      </c>
      <c r="AW5" s="90">
        <v>4.1840000000000002</v>
      </c>
    </row>
    <row r="6" spans="1:49" ht="15.75" thickBot="1">
      <c r="A6" s="191" t="s">
        <v>509</v>
      </c>
      <c r="B6" s="17">
        <v>-151.45610545</v>
      </c>
      <c r="C6" s="17">
        <v>-151.44234535000001</v>
      </c>
      <c r="D6" s="17">
        <v>-151.48407053899999</v>
      </c>
      <c r="E6" s="17">
        <v>0.97340000000000004</v>
      </c>
      <c r="F6" s="17">
        <v>-151.49052658100001</v>
      </c>
      <c r="G6" s="17">
        <v>-151.53219092000001</v>
      </c>
      <c r="H6" s="17">
        <v>0.97319999999999995</v>
      </c>
      <c r="I6" s="17">
        <v>-151.49374765300001</v>
      </c>
      <c r="J6" s="17">
        <v>-151.535627229</v>
      </c>
      <c r="K6" s="17">
        <v>0.97360000000000002</v>
      </c>
      <c r="L6" s="17">
        <v>-151.49610899199999</v>
      </c>
      <c r="M6" s="17">
        <v>-151.537936352</v>
      </c>
      <c r="N6" s="17">
        <v>0.9738</v>
      </c>
      <c r="O6" s="17">
        <v>-5</v>
      </c>
      <c r="P6" s="17">
        <v>-6.02</v>
      </c>
      <c r="Q6" s="17">
        <v>0.96750000000000003</v>
      </c>
      <c r="R6" s="33">
        <v>176.4</v>
      </c>
      <c r="S6" s="17"/>
      <c r="T6" s="17">
        <v>1.8755999999999998E-2</v>
      </c>
      <c r="U6" s="17">
        <v>2.3736E-2</v>
      </c>
      <c r="V6" s="17">
        <v>-5.1359999999999999E-3</v>
      </c>
      <c r="W6" s="196">
        <f t="shared" si="0"/>
        <v>18.117447998151292</v>
      </c>
      <c r="X6" s="197">
        <f t="shared" si="1"/>
        <v>-5</v>
      </c>
      <c r="Y6" s="197">
        <f t="shared" si="2"/>
        <v>-4.044213075060533</v>
      </c>
      <c r="Z6" s="198">
        <f t="shared" si="3"/>
        <v>-95016.582877909721</v>
      </c>
      <c r="AA6" s="198">
        <f t="shared" si="4"/>
        <v>-94991.756775135407</v>
      </c>
      <c r="AB6" s="199">
        <f t="shared" si="5"/>
        <v>-95046.817047594173</v>
      </c>
      <c r="AC6" s="199">
        <f t="shared" si="6"/>
        <v>-95022.037071056198</v>
      </c>
      <c r="AD6" s="200">
        <f t="shared" si="7"/>
        <v>-95048.838300173084</v>
      </c>
      <c r="AE6" s="200">
        <f t="shared" si="8"/>
        <v>-95023.910362371578</v>
      </c>
      <c r="AF6" s="201">
        <f t="shared" si="9"/>
        <v>-95050.320062314189</v>
      </c>
      <c r="AG6" s="201">
        <f t="shared" si="10"/>
        <v>-95025.413237358836</v>
      </c>
    </row>
    <row r="7" spans="1:49" ht="21.75" customHeight="1" thickBot="1">
      <c r="A7" s="191" t="s">
        <v>512</v>
      </c>
      <c r="B7" s="17">
        <v>-302.49907732000003</v>
      </c>
      <c r="C7" s="17">
        <v>-302.56801787900002</v>
      </c>
      <c r="D7" s="17"/>
      <c r="E7" s="17"/>
      <c r="F7" s="17">
        <v>-302.66177507399999</v>
      </c>
      <c r="G7" s="17"/>
      <c r="H7" s="17"/>
      <c r="I7" s="17">
        <v>-302.668578502</v>
      </c>
      <c r="J7" s="17"/>
      <c r="K7" s="17"/>
      <c r="L7" s="17">
        <v>-302.672459296</v>
      </c>
      <c r="M7" s="17"/>
      <c r="N7" s="17"/>
      <c r="O7" s="17">
        <v>-74.959999999999994</v>
      </c>
      <c r="P7" s="17"/>
      <c r="Q7" s="17"/>
      <c r="R7" s="33"/>
      <c r="S7" s="17"/>
      <c r="T7" s="17">
        <v>4.2469E-2</v>
      </c>
      <c r="U7" s="17">
        <v>4.9090000000000002E-2</v>
      </c>
      <c r="V7" s="17">
        <v>1.3691E-2</v>
      </c>
      <c r="W7" s="196">
        <f t="shared" si="0"/>
        <v>22.213201083629727</v>
      </c>
      <c r="X7" s="197">
        <f t="shared" si="1"/>
        <v>-74.959999999999994</v>
      </c>
      <c r="Y7" s="197">
        <f t="shared" si="2"/>
        <v>-74.959999999999994</v>
      </c>
      <c r="Z7" s="198">
        <f t="shared" si="3"/>
        <v>-189833.43531117565</v>
      </c>
      <c r="AA7" s="198">
        <f t="shared" si="4"/>
        <v>-189833.43531117565</v>
      </c>
      <c r="AB7" s="199">
        <f t="shared" si="5"/>
        <v>-189892.26882131922</v>
      </c>
      <c r="AC7" s="199">
        <f t="shared" si="6"/>
        <v>-189892.26882131922</v>
      </c>
      <c r="AD7" s="200">
        <f t="shared" si="7"/>
        <v>-189896.53803554058</v>
      </c>
      <c r="AE7" s="200">
        <f t="shared" si="8"/>
        <v>-189896.53803554058</v>
      </c>
      <c r="AF7" s="201">
        <f t="shared" si="9"/>
        <v>-189898.97326979821</v>
      </c>
      <c r="AG7" s="201">
        <f t="shared" si="10"/>
        <v>-189898.97326979821</v>
      </c>
      <c r="AV7" s="91" t="s">
        <v>150</v>
      </c>
      <c r="AW7" s="32"/>
    </row>
    <row r="8" spans="1:49" ht="18.75" customHeight="1">
      <c r="A8" s="191" t="s">
        <v>510</v>
      </c>
      <c r="B8" s="17">
        <v>-302.45276544000001</v>
      </c>
      <c r="C8" s="17">
        <v>-302.51241350399999</v>
      </c>
      <c r="D8" s="17">
        <v>-302.528857254</v>
      </c>
      <c r="E8" s="17">
        <v>0.86699999999999999</v>
      </c>
      <c r="F8" s="17">
        <v>-302.60614048899998</v>
      </c>
      <c r="G8" s="17">
        <v>-302.62240936000001</v>
      </c>
      <c r="H8" s="17">
        <v>0.8679</v>
      </c>
      <c r="I8" s="17">
        <v>-302.61193876800002</v>
      </c>
      <c r="J8" s="17">
        <v>-302.62803358799999</v>
      </c>
      <c r="K8" s="17">
        <v>0.87109999999999999</v>
      </c>
      <c r="L8" s="17">
        <v>-302.61593697900003</v>
      </c>
      <c r="M8" s="17">
        <v>-302.63204927300001</v>
      </c>
      <c r="N8" s="17">
        <v>0.871</v>
      </c>
      <c r="O8" s="17">
        <v>-64.16</v>
      </c>
      <c r="P8" s="17">
        <v>-64.290000000000006</v>
      </c>
      <c r="Q8" s="17">
        <v>0.84089999999999998</v>
      </c>
      <c r="R8" s="33">
        <v>388.16</v>
      </c>
      <c r="S8" s="17"/>
      <c r="T8" s="17">
        <v>3.8772000000000001E-2</v>
      </c>
      <c r="U8" s="17">
        <v>4.5539999999999997E-2</v>
      </c>
      <c r="V8" s="17">
        <v>9.8069999999999997E-3</v>
      </c>
      <c r="W8" s="196">
        <f t="shared" si="0"/>
        <v>22.422789183913135</v>
      </c>
      <c r="X8" s="197">
        <f t="shared" si="1"/>
        <v>-64.16</v>
      </c>
      <c r="Y8" s="197">
        <f t="shared" si="2"/>
        <v>-64.065688033819328</v>
      </c>
      <c r="Z8" s="198">
        <f t="shared" si="3"/>
        <v>-189800.77070767953</v>
      </c>
      <c r="AA8" s="198">
        <f t="shared" si="4"/>
        <v>-189792.87465190334</v>
      </c>
      <c r="AB8" s="199">
        <f t="shared" si="5"/>
        <v>-189859.58526076769</v>
      </c>
      <c r="AC8" s="199">
        <f t="shared" si="6"/>
        <v>-189851.75885306566</v>
      </c>
      <c r="AD8" s="200">
        <f t="shared" si="7"/>
        <v>-189863.2237346615</v>
      </c>
      <c r="AE8" s="200">
        <f t="shared" si="8"/>
        <v>-189855.43048087685</v>
      </c>
      <c r="AF8" s="201">
        <f t="shared" si="9"/>
        <v>-189865.73264917653</v>
      </c>
      <c r="AG8" s="201">
        <f t="shared" si="10"/>
        <v>-189857.93252089288</v>
      </c>
      <c r="AV8" s="92" t="s">
        <v>151</v>
      </c>
      <c r="AW8" s="112">
        <v>200</v>
      </c>
    </row>
    <row r="9" spans="1:49">
      <c r="A9" s="191" t="s">
        <v>511</v>
      </c>
      <c r="B9" s="17">
        <v>-302.45827691</v>
      </c>
      <c r="C9" s="17">
        <v>-302.52499940400003</v>
      </c>
      <c r="D9" s="17">
        <v>-302.52362340600001</v>
      </c>
      <c r="E9" s="17">
        <v>0.9919</v>
      </c>
      <c r="F9" s="17">
        <v>-302.61788301199999</v>
      </c>
      <c r="G9" s="17">
        <v>-302.61655225800001</v>
      </c>
      <c r="H9" s="17">
        <v>0.9919</v>
      </c>
      <c r="I9" s="17">
        <v>-302.62364695899998</v>
      </c>
      <c r="J9" s="17">
        <v>-302.622359227</v>
      </c>
      <c r="K9" s="17">
        <v>0.99219999999999997</v>
      </c>
      <c r="L9" s="17">
        <v>-302.62785336500002</v>
      </c>
      <c r="M9" s="17">
        <v>-302.62654233299997</v>
      </c>
      <c r="N9" s="17">
        <v>0.99239999999999995</v>
      </c>
      <c r="O9" s="17">
        <v>-62.18</v>
      </c>
      <c r="P9" s="17">
        <v>-62.19</v>
      </c>
      <c r="Q9" s="17">
        <v>0.99639999999999995</v>
      </c>
      <c r="R9" s="33"/>
      <c r="S9" s="17"/>
      <c r="T9" s="17">
        <v>3.6290000000000003E-2</v>
      </c>
      <c r="U9" s="17">
        <v>4.3267E-2</v>
      </c>
      <c r="V9" s="17">
        <v>6.4980000000000003E-3</v>
      </c>
      <c r="W9" s="196">
        <f t="shared" si="0"/>
        <v>23.072888800361067</v>
      </c>
      <c r="X9" s="197">
        <f t="shared" si="1"/>
        <v>-62.18</v>
      </c>
      <c r="Y9" s="197">
        <f t="shared" si="2"/>
        <v>-62.170071741729778</v>
      </c>
      <c r="Z9" s="198">
        <f t="shared" si="3"/>
        <v>-189810.09480535411</v>
      </c>
      <c r="AA9" s="198">
        <f t="shared" si="4"/>
        <v>-189810.94438134864</v>
      </c>
      <c r="AB9" s="199">
        <f t="shared" si="5"/>
        <v>-189868.38013154629</v>
      </c>
      <c r="AC9" s="199">
        <f t="shared" si="6"/>
        <v>-189869.20177275001</v>
      </c>
      <c r="AD9" s="200">
        <f t="shared" si="7"/>
        <v>-189871.99706179136</v>
      </c>
      <c r="AE9" s="200">
        <f t="shared" si="8"/>
        <v>-189872.79261734363</v>
      </c>
      <c r="AF9" s="201">
        <f t="shared" si="9"/>
        <v>-189874.63662060146</v>
      </c>
      <c r="AG9" s="201">
        <f t="shared" si="10"/>
        <v>-189875.44689486243</v>
      </c>
      <c r="AV9" s="93" t="s">
        <v>152</v>
      </c>
      <c r="AW9" s="94">
        <v>100</v>
      </c>
    </row>
    <row r="10" spans="1:49">
      <c r="A10" s="191" t="s">
        <v>513</v>
      </c>
      <c r="B10" s="17">
        <v>-313.25386291000001</v>
      </c>
      <c r="C10" s="17">
        <v>-313.27763418199999</v>
      </c>
      <c r="D10" s="17"/>
      <c r="E10" s="17"/>
      <c r="F10" s="17">
        <v>-313.33170085699999</v>
      </c>
      <c r="G10" s="17"/>
      <c r="H10" s="17"/>
      <c r="I10" s="17">
        <v>-313.33482979500002</v>
      </c>
      <c r="J10" s="17"/>
      <c r="K10" s="17"/>
      <c r="L10" s="17">
        <v>-313.33746437399998</v>
      </c>
      <c r="M10" s="17"/>
      <c r="N10" s="17"/>
      <c r="O10" s="17">
        <v>-20.11</v>
      </c>
      <c r="P10" s="17"/>
      <c r="Q10" s="17"/>
      <c r="R10" s="33"/>
      <c r="S10" s="17"/>
      <c r="T10" s="17">
        <v>1.5775999999999998E-2</v>
      </c>
      <c r="U10" s="17">
        <v>2.0625000000000001E-2</v>
      </c>
      <c r="V10" s="17">
        <v>-9.8600000000000007E-3</v>
      </c>
      <c r="W10" s="196">
        <f t="shared" si="0"/>
        <v>19.129620470478045</v>
      </c>
      <c r="X10" s="197">
        <f t="shared" si="1"/>
        <v>-20.11</v>
      </c>
      <c r="Y10" s="197">
        <f t="shared" si="2"/>
        <v>-20.11</v>
      </c>
      <c r="Z10" s="198">
        <f t="shared" si="3"/>
        <v>-196571.6810027461</v>
      </c>
      <c r="AA10" s="198">
        <f t="shared" si="4"/>
        <v>-196571.6810027461</v>
      </c>
      <c r="AB10" s="199">
        <f t="shared" si="5"/>
        <v>-196605.60834317093</v>
      </c>
      <c r="AC10" s="199">
        <f t="shared" si="6"/>
        <v>-196605.60834317093</v>
      </c>
      <c r="AD10" s="200">
        <f t="shared" si="7"/>
        <v>-196607.57178080967</v>
      </c>
      <c r="AE10" s="200">
        <f t="shared" si="8"/>
        <v>-196607.57178080967</v>
      </c>
      <c r="AF10" s="201">
        <f t="shared" si="9"/>
        <v>-196609.22500358705</v>
      </c>
      <c r="AG10" s="201">
        <f t="shared" si="10"/>
        <v>-196609.22500358705</v>
      </c>
      <c r="AQ10" s="6"/>
      <c r="AV10" s="93" t="s">
        <v>153</v>
      </c>
      <c r="AW10" s="113">
        <v>1</v>
      </c>
    </row>
    <row r="11" spans="1:49">
      <c r="A11" s="191" t="s">
        <v>514</v>
      </c>
      <c r="B11" s="17">
        <v>-313.18221094</v>
      </c>
      <c r="C11" s="17">
        <v>-313.22138572</v>
      </c>
      <c r="D11" s="17">
        <v>-313.227487037</v>
      </c>
      <c r="E11" s="17">
        <v>1.0105999999999999</v>
      </c>
      <c r="F11" s="17">
        <v>-313.27494082200002</v>
      </c>
      <c r="G11" s="17">
        <v>-313.28094982300001</v>
      </c>
      <c r="H11" s="17">
        <v>1.0108999999999999</v>
      </c>
      <c r="I11" s="17">
        <v>-313.27743941799997</v>
      </c>
      <c r="J11" s="17">
        <v>-313.28301415099997</v>
      </c>
      <c r="K11" s="17">
        <v>1.0113000000000001</v>
      </c>
      <c r="L11" s="17">
        <v>-313.27947000099999</v>
      </c>
      <c r="M11" s="17">
        <v>-313.285166162</v>
      </c>
      <c r="N11" s="17">
        <v>1.0115000000000001</v>
      </c>
      <c r="O11" s="17">
        <v>-7.86</v>
      </c>
      <c r="P11" s="17">
        <v>-7.51</v>
      </c>
      <c r="Q11" s="17">
        <v>1.0056</v>
      </c>
      <c r="R11" s="33">
        <v>56.54</v>
      </c>
      <c r="S11" s="17"/>
      <c r="T11" s="17">
        <v>1.1328E-2</v>
      </c>
      <c r="U11" s="17">
        <v>1.6910000000000001E-2</v>
      </c>
      <c r="V11" s="17">
        <v>-1.5633999999999999E-2</v>
      </c>
      <c r="W11" s="196">
        <f t="shared" si="0"/>
        <v>20.421662082704199</v>
      </c>
      <c r="X11" s="197">
        <f t="shared" si="1"/>
        <v>-7.86</v>
      </c>
      <c r="Y11" s="197">
        <f t="shared" si="2"/>
        <v>-8.2139420756234927</v>
      </c>
      <c r="Z11" s="198">
        <f t="shared" si="3"/>
        <v>-196538.71576771053</v>
      </c>
      <c r="AA11" s="198">
        <f t="shared" si="4"/>
        <v>-196534.8050980501</v>
      </c>
      <c r="AB11" s="199">
        <f t="shared" si="5"/>
        <v>-196572.32209132929</v>
      </c>
      <c r="AC11" s="199">
        <f t="shared" si="6"/>
        <v>-196568.46828021077</v>
      </c>
      <c r="AD11" s="200">
        <f t="shared" si="7"/>
        <v>-196573.88998351194</v>
      </c>
      <c r="AE11" s="200">
        <f t="shared" si="8"/>
        <v>-196570.31182398272</v>
      </c>
      <c r="AF11" s="201">
        <f t="shared" si="9"/>
        <v>-196575.1641931929</v>
      </c>
      <c r="AG11" s="201">
        <f t="shared" si="10"/>
        <v>-196571.50663180623</v>
      </c>
      <c r="AV11" s="93" t="s">
        <v>165</v>
      </c>
      <c r="AW11" s="114">
        <f>6.62606896E-34/(2*AW14)</f>
        <v>1.0545716294567979E-34</v>
      </c>
    </row>
    <row r="12" spans="1:49">
      <c r="A12" s="191" t="s">
        <v>515</v>
      </c>
      <c r="B12" s="17">
        <v>-313.19796167999999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33"/>
      <c r="S12" s="17"/>
      <c r="T12" s="17">
        <v>1.1022000000000001E-2</v>
      </c>
      <c r="U12" s="17">
        <v>1.6757000000000001E-2</v>
      </c>
      <c r="V12" s="17">
        <v>-1.5743E-2</v>
      </c>
      <c r="W12" s="196">
        <f t="shared" si="0"/>
        <v>20.394051674283627</v>
      </c>
      <c r="X12" s="197">
        <f t="shared" si="1"/>
        <v>0</v>
      </c>
      <c r="Y12" s="197">
        <f t="shared" si="2"/>
        <v>0</v>
      </c>
      <c r="Z12" s="198">
        <f t="shared" si="3"/>
        <v>10.51517304326064</v>
      </c>
      <c r="AA12" s="198">
        <f t="shared" si="4"/>
        <v>10.51517304326064</v>
      </c>
      <c r="AB12" s="199">
        <f t="shared" si="5"/>
        <v>10.51517304326064</v>
      </c>
      <c r="AC12" s="199">
        <f t="shared" si="6"/>
        <v>10.51517304326064</v>
      </c>
      <c r="AD12" s="200">
        <f t="shared" si="7"/>
        <v>10.51517304326064</v>
      </c>
      <c r="AE12" s="200">
        <f t="shared" si="8"/>
        <v>10.51517304326064</v>
      </c>
      <c r="AF12" s="201">
        <f t="shared" si="9"/>
        <v>10.51517304326064</v>
      </c>
      <c r="AG12" s="201">
        <f t="shared" si="10"/>
        <v>10.51517304326064</v>
      </c>
      <c r="AV12" s="93" t="s">
        <v>154</v>
      </c>
      <c r="AW12" s="115">
        <v>6.6260695699999996E-34</v>
      </c>
    </row>
    <row r="13" spans="1:49">
      <c r="A13" s="191" t="s">
        <v>517</v>
      </c>
      <c r="B13" s="17">
        <v>-303.80646519999999</v>
      </c>
      <c r="C13" s="17">
        <v>-303.892820073</v>
      </c>
      <c r="D13" s="17"/>
      <c r="E13" s="17"/>
      <c r="F13" s="17">
        <v>-303.98866478799999</v>
      </c>
      <c r="G13" s="17"/>
      <c r="H13" s="17"/>
      <c r="I13" s="17">
        <v>-303.99574992800001</v>
      </c>
      <c r="J13" s="17"/>
      <c r="K13" s="17"/>
      <c r="L13" s="17">
        <v>-304.00155814700003</v>
      </c>
      <c r="M13" s="17"/>
      <c r="N13" s="17"/>
      <c r="O13" s="17">
        <v>-71.53</v>
      </c>
      <c r="P13" s="17"/>
      <c r="Q13" s="17"/>
      <c r="R13" s="33"/>
      <c r="S13" s="17"/>
      <c r="T13" s="17">
        <v>6.3392000000000004E-2</v>
      </c>
      <c r="U13" s="17">
        <v>7.1728E-2</v>
      </c>
      <c r="V13" s="17">
        <v>3.2301000000000003E-2</v>
      </c>
      <c r="W13" s="196">
        <f t="shared" si="0"/>
        <v>24.740808472676324</v>
      </c>
      <c r="X13" s="197">
        <f t="shared" si="1"/>
        <v>-71.53</v>
      </c>
      <c r="Y13" s="197">
        <f t="shared" si="2"/>
        <v>-71.53</v>
      </c>
      <c r="Z13" s="198">
        <f t="shared" si="3"/>
        <v>-190650.55542997064</v>
      </c>
      <c r="AA13" s="198">
        <f t="shared" si="4"/>
        <v>-190650.55542997064</v>
      </c>
      <c r="AB13" s="199">
        <f t="shared" si="5"/>
        <v>-190710.69887829115</v>
      </c>
      <c r="AC13" s="199">
        <f t="shared" si="6"/>
        <v>-190710.69887829115</v>
      </c>
      <c r="AD13" s="200">
        <f t="shared" si="7"/>
        <v>-190715.14486940746</v>
      </c>
      <c r="AE13" s="200">
        <f t="shared" si="8"/>
        <v>-190715.14486940746</v>
      </c>
      <c r="AF13" s="201">
        <f t="shared" si="9"/>
        <v>-190718.78958074353</v>
      </c>
      <c r="AG13" s="201">
        <f t="shared" si="10"/>
        <v>-190718.78958074353</v>
      </c>
      <c r="AV13" s="93" t="s">
        <v>155</v>
      </c>
      <c r="AW13" s="116">
        <v>1.3806488E-23</v>
      </c>
    </row>
    <row r="14" spans="1:49">
      <c r="A14" s="191" t="s">
        <v>516</v>
      </c>
      <c r="B14" s="17">
        <v>-303.75569187999997</v>
      </c>
      <c r="C14" s="17">
        <v>-303.82776085699999</v>
      </c>
      <c r="D14" s="17">
        <v>-303.84693695800001</v>
      </c>
      <c r="E14" s="17">
        <v>0.7742</v>
      </c>
      <c r="F14" s="17">
        <v>-303.92356675799999</v>
      </c>
      <c r="G14" s="17">
        <v>-303.942551874</v>
      </c>
      <c r="H14" s="17">
        <v>0.7752</v>
      </c>
      <c r="I14" s="17">
        <v>-303.92973604500003</v>
      </c>
      <c r="J14" s="17">
        <v>-303.94859658199999</v>
      </c>
      <c r="K14" s="17">
        <v>0.77880000000000005</v>
      </c>
      <c r="L14" s="17">
        <v>-303.93486845000001</v>
      </c>
      <c r="M14" s="17">
        <v>-303.95372224099998</v>
      </c>
      <c r="N14" s="17">
        <v>0.78010000000000002</v>
      </c>
      <c r="O14" s="17">
        <v>-61.61</v>
      </c>
      <c r="P14" s="17">
        <v>-61.55</v>
      </c>
      <c r="Q14" s="17">
        <v>0.78349999999999997</v>
      </c>
      <c r="R14" s="33">
        <v>414.52</v>
      </c>
      <c r="S14" s="17"/>
      <c r="T14" s="17">
        <v>5.9853000000000003E-2</v>
      </c>
      <c r="U14" s="17">
        <v>6.8648000000000001E-2</v>
      </c>
      <c r="V14" s="17">
        <v>2.8312E-2</v>
      </c>
      <c r="W14" s="196">
        <f t="shared" si="0"/>
        <v>25.31121441027398</v>
      </c>
      <c r="X14" s="197">
        <f t="shared" si="1"/>
        <v>-61.61</v>
      </c>
      <c r="Y14" s="197">
        <f t="shared" si="2"/>
        <v>-61.648643649815035</v>
      </c>
      <c r="Z14" s="198">
        <f t="shared" si="3"/>
        <v>-190611.66289662186</v>
      </c>
      <c r="AA14" s="198">
        <f t="shared" si="4"/>
        <v>-190604.0628892626</v>
      </c>
      <c r="AB14" s="199">
        <f t="shared" si="5"/>
        <v>-190671.7819887971</v>
      </c>
      <c r="AC14" s="199">
        <f t="shared" si="6"/>
        <v>-190664.24180389621</v>
      </c>
      <c r="AD14" s="200">
        <f t="shared" si="7"/>
        <v>-190675.65327365469</v>
      </c>
      <c r="AE14" s="200">
        <f t="shared" si="8"/>
        <v>-190668.10559580181</v>
      </c>
      <c r="AF14" s="201">
        <f t="shared" si="9"/>
        <v>-190678.87390543264</v>
      </c>
      <c r="AG14" s="201">
        <f t="shared" si="10"/>
        <v>-190671.30827906757</v>
      </c>
      <c r="AV14" s="96" t="s">
        <v>156</v>
      </c>
      <c r="AW14" s="116">
        <v>3.1415926500000002</v>
      </c>
    </row>
    <row r="15" spans="1:49">
      <c r="A15" s="191" t="s">
        <v>518</v>
      </c>
      <c r="B15" s="17">
        <v>-303.76098242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33"/>
      <c r="S15" s="17"/>
      <c r="T15" s="17">
        <v>5.9499000000000003E-2</v>
      </c>
      <c r="U15" s="17">
        <v>6.8345000000000003E-2</v>
      </c>
      <c r="V15" s="17">
        <v>2.7417E-2</v>
      </c>
      <c r="W15" s="196">
        <f t="shared" si="0"/>
        <v>25.682699905387093</v>
      </c>
      <c r="X15" s="197">
        <f t="shared" si="1"/>
        <v>0</v>
      </c>
      <c r="Y15" s="197">
        <f t="shared" si="2"/>
        <v>0</v>
      </c>
      <c r="Z15" s="198">
        <f t="shared" si="3"/>
        <v>42.887121897812762</v>
      </c>
      <c r="AA15" s="198">
        <f t="shared" si="4"/>
        <v>42.887121897812762</v>
      </c>
      <c r="AB15" s="199">
        <f t="shared" si="5"/>
        <v>42.887121897812762</v>
      </c>
      <c r="AC15" s="199">
        <f t="shared" si="6"/>
        <v>42.887121897812762</v>
      </c>
      <c r="AD15" s="200">
        <f t="shared" si="7"/>
        <v>42.887121897812762</v>
      </c>
      <c r="AE15" s="200">
        <f t="shared" si="8"/>
        <v>42.887121897812762</v>
      </c>
      <c r="AF15" s="201">
        <f t="shared" si="9"/>
        <v>42.887121897812762</v>
      </c>
      <c r="AG15" s="201">
        <f t="shared" si="10"/>
        <v>42.887121897812762</v>
      </c>
      <c r="AV15" s="97" t="s">
        <v>157</v>
      </c>
      <c r="AW15" s="117">
        <f>AW13*AW16</f>
        <v>8.3144603644319997</v>
      </c>
    </row>
    <row r="16" spans="1:49">
      <c r="A16" s="191" t="s">
        <v>522</v>
      </c>
      <c r="B16" s="17">
        <v>-303.08562038999997</v>
      </c>
      <c r="C16" s="17">
        <v>-303.13078127900002</v>
      </c>
      <c r="D16" s="17"/>
      <c r="E16" s="17"/>
      <c r="F16" s="17">
        <v>-303.22612958500002</v>
      </c>
      <c r="G16" s="17"/>
      <c r="H16" s="17"/>
      <c r="I16" s="17">
        <v>-303.23400095</v>
      </c>
      <c r="J16" s="17"/>
      <c r="K16" s="17"/>
      <c r="L16" s="17">
        <v>-303.23880119900002</v>
      </c>
      <c r="M16" s="17"/>
      <c r="N16" s="17"/>
      <c r="O16" s="17">
        <v>-13.21</v>
      </c>
      <c r="P16" s="17"/>
      <c r="Q16" s="17"/>
      <c r="R16" s="33"/>
      <c r="S16" s="17"/>
      <c r="T16" s="17">
        <v>5.6616E-2</v>
      </c>
      <c r="U16" s="17">
        <v>6.3929E-2</v>
      </c>
      <c r="V16" s="17">
        <v>2.7130000000000001E-2</v>
      </c>
      <c r="W16" s="196">
        <f t="shared" si="0"/>
        <v>23.091714078829636</v>
      </c>
      <c r="X16" s="197">
        <f t="shared" si="1"/>
        <v>-13.21</v>
      </c>
      <c r="Y16" s="197">
        <f t="shared" si="2"/>
        <v>-13.21</v>
      </c>
      <c r="Z16" s="198">
        <f t="shared" si="3"/>
        <v>-190177.26295816645</v>
      </c>
      <c r="AA16" s="198">
        <f t="shared" si="4"/>
        <v>-190177.26295816645</v>
      </c>
      <c r="AB16" s="199">
        <f t="shared" si="5"/>
        <v>-190237.09490523167</v>
      </c>
      <c r="AC16" s="199">
        <f t="shared" si="6"/>
        <v>-190237.09490523167</v>
      </c>
      <c r="AD16" s="200">
        <f t="shared" si="7"/>
        <v>-190242.03425983342</v>
      </c>
      <c r="AE16" s="200">
        <f t="shared" si="8"/>
        <v>-190242.03425983342</v>
      </c>
      <c r="AF16" s="201">
        <f t="shared" si="9"/>
        <v>-190245.0464606382</v>
      </c>
      <c r="AG16" s="201">
        <f t="shared" si="10"/>
        <v>-190245.0464606382</v>
      </c>
      <c r="AV16" s="93" t="s">
        <v>158</v>
      </c>
      <c r="AW16" s="116">
        <v>6.0221399999999997E+23</v>
      </c>
    </row>
    <row r="17" spans="1:49" ht="15.75" thickBot="1">
      <c r="A17" s="191" t="s">
        <v>521</v>
      </c>
      <c r="B17" s="17">
        <v>-303.01286253000001</v>
      </c>
      <c r="C17" s="17">
        <v>-303.05887949999999</v>
      </c>
      <c r="D17" s="17"/>
      <c r="E17" s="17">
        <v>0.94689999999999996</v>
      </c>
      <c r="F17" s="17">
        <v>-303.15421695399999</v>
      </c>
      <c r="G17" s="17"/>
      <c r="H17" s="17">
        <v>0.94650000000000001</v>
      </c>
      <c r="I17" s="17">
        <v>-303.16145224100001</v>
      </c>
      <c r="J17" s="17"/>
      <c r="K17" s="17">
        <v>0.94620000000000004</v>
      </c>
      <c r="L17" s="17"/>
      <c r="M17" s="17"/>
      <c r="N17" s="17"/>
      <c r="O17" s="17"/>
      <c r="P17" s="17"/>
      <c r="Q17" s="17"/>
      <c r="R17" s="33">
        <v>332.5</v>
      </c>
      <c r="S17" s="17"/>
      <c r="T17" s="17">
        <v>4.9614999999999999E-2</v>
      </c>
      <c r="U17" s="17">
        <v>5.7388000000000002E-2</v>
      </c>
      <c r="V17" s="17">
        <v>1.9285E-2</v>
      </c>
      <c r="W17" s="196">
        <f t="shared" si="0"/>
        <v>23.909986182930126</v>
      </c>
      <c r="X17" s="197">
        <f t="shared" si="1"/>
        <v>0</v>
      </c>
      <c r="Y17" s="197">
        <f t="shared" si="2"/>
        <v>0</v>
      </c>
      <c r="Z17" s="198">
        <f t="shared" si="3"/>
        <v>-190136.2484626465</v>
      </c>
      <c r="AA17" s="198">
        <f t="shared" si="4"/>
        <v>-361130.56330566126</v>
      </c>
      <c r="AB17" s="199">
        <f t="shared" si="5"/>
        <v>-190196.07359998097</v>
      </c>
      <c r="AC17" s="199">
        <f t="shared" si="6"/>
        <v>-361107.00720195519</v>
      </c>
      <c r="AD17" s="200">
        <f t="shared" si="7"/>
        <v>-190200.61380973351</v>
      </c>
      <c r="AE17" s="200">
        <f t="shared" si="8"/>
        <v>-361012.81239638838</v>
      </c>
      <c r="AF17" s="201">
        <f t="shared" si="9"/>
        <v>36.011502691808886</v>
      </c>
      <c r="AG17" s="201">
        <f t="shared" si="10"/>
        <v>36.011502691808886</v>
      </c>
      <c r="AV17" s="95" t="s">
        <v>166</v>
      </c>
      <c r="AW17" s="118">
        <v>29979245800</v>
      </c>
    </row>
    <row r="18" spans="1:49">
      <c r="A18" s="191" t="s">
        <v>523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33"/>
      <c r="S18" s="17"/>
      <c r="T18" s="17"/>
      <c r="U18" s="17"/>
      <c r="V18" s="17"/>
      <c r="W18" s="196">
        <f t="shared" si="0"/>
        <v>0</v>
      </c>
      <c r="X18" s="197">
        <f t="shared" si="1"/>
        <v>0</v>
      </c>
      <c r="Y18" s="197">
        <f t="shared" si="2"/>
        <v>0</v>
      </c>
      <c r="Z18" s="198">
        <f t="shared" si="3"/>
        <v>0</v>
      </c>
      <c r="AA18" s="198">
        <f t="shared" si="4"/>
        <v>0</v>
      </c>
      <c r="AB18" s="199">
        <f t="shared" si="5"/>
        <v>0</v>
      </c>
      <c r="AC18" s="199">
        <f t="shared" si="6"/>
        <v>0</v>
      </c>
      <c r="AD18" s="200">
        <f t="shared" si="7"/>
        <v>0</v>
      </c>
      <c r="AE18" s="200">
        <f t="shared" si="8"/>
        <v>0</v>
      </c>
      <c r="AF18" s="201">
        <f t="shared" si="9"/>
        <v>0</v>
      </c>
      <c r="AG18" s="201">
        <f t="shared" si="10"/>
        <v>0</v>
      </c>
      <c r="AV18" s="92" t="s">
        <v>167</v>
      </c>
      <c r="AW18" s="98">
        <f>((2*AW14)/(AW12*AW8*AW17))</f>
        <v>1.5815144992182973E+21</v>
      </c>
    </row>
    <row r="19" spans="1:49" ht="15.75" thickBot="1">
      <c r="A19" s="191" t="s">
        <v>548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33"/>
      <c r="S19" s="17"/>
      <c r="T19" s="17"/>
      <c r="U19" s="17"/>
      <c r="V19" s="17"/>
      <c r="W19" s="196">
        <f t="shared" si="0"/>
        <v>0</v>
      </c>
      <c r="X19" s="197">
        <f t="shared" si="1"/>
        <v>0</v>
      </c>
      <c r="Y19" s="197">
        <f t="shared" si="2"/>
        <v>0</v>
      </c>
      <c r="Z19" s="198">
        <f t="shared" si="3"/>
        <v>0</v>
      </c>
      <c r="AA19" s="198">
        <f t="shared" si="4"/>
        <v>0</v>
      </c>
      <c r="AB19" s="199">
        <f t="shared" si="5"/>
        <v>0</v>
      </c>
      <c r="AC19" s="199">
        <f t="shared" si="6"/>
        <v>0</v>
      </c>
      <c r="AD19" s="200">
        <f t="shared" si="7"/>
        <v>0</v>
      </c>
      <c r="AE19" s="200">
        <f t="shared" si="8"/>
        <v>0</v>
      </c>
      <c r="AF19" s="201">
        <f t="shared" si="9"/>
        <v>0</v>
      </c>
      <c r="AG19" s="201">
        <f t="shared" si="10"/>
        <v>0</v>
      </c>
      <c r="AV19" s="95" t="s">
        <v>168</v>
      </c>
      <c r="AW19" s="99">
        <f>(1/(AW13*AW10))</f>
        <v>7.2429715652525104E+22</v>
      </c>
    </row>
    <row r="20" spans="1:49">
      <c r="A20" s="191" t="s">
        <v>549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33"/>
      <c r="S20" s="17"/>
      <c r="T20" s="17"/>
      <c r="U20" s="17"/>
      <c r="V20" s="17"/>
      <c r="W20" s="196">
        <f t="shared" si="0"/>
        <v>0</v>
      </c>
      <c r="X20" s="197">
        <f t="shared" si="1"/>
        <v>0</v>
      </c>
      <c r="Y20" s="197">
        <f t="shared" si="2"/>
        <v>0</v>
      </c>
      <c r="Z20" s="198">
        <f t="shared" si="3"/>
        <v>0</v>
      </c>
      <c r="AA20" s="198">
        <f t="shared" si="4"/>
        <v>0</v>
      </c>
      <c r="AB20" s="199">
        <f t="shared" si="5"/>
        <v>0</v>
      </c>
      <c r="AC20" s="199">
        <f t="shared" si="6"/>
        <v>0</v>
      </c>
      <c r="AD20" s="200">
        <f t="shared" si="7"/>
        <v>0</v>
      </c>
      <c r="AE20" s="200">
        <f t="shared" si="8"/>
        <v>0</v>
      </c>
      <c r="AF20" s="201">
        <f t="shared" si="9"/>
        <v>0</v>
      </c>
      <c r="AG20" s="201">
        <f t="shared" si="10"/>
        <v>0</v>
      </c>
      <c r="AV20" s="22" t="s">
        <v>159</v>
      </c>
      <c r="AW20" s="100" t="e">
        <f>((AW19*AW14)/AW18)/SIN((AW19*AW14)/AW18)-(AW19/(AW18-AW19))*EXP((AW19-AW18)*((AW9*1000/AW16)))</f>
        <v>#NUM!</v>
      </c>
    </row>
    <row r="21" spans="1:49" ht="15.75" thickBot="1">
      <c r="A21" s="191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33"/>
      <c r="S21" s="17"/>
      <c r="T21" s="17"/>
      <c r="U21" s="17"/>
      <c r="V21" s="17"/>
      <c r="W21" s="196">
        <f t="shared" si="0"/>
        <v>0</v>
      </c>
      <c r="X21" s="197">
        <f t="shared" si="1"/>
        <v>0</v>
      </c>
      <c r="Y21" s="197">
        <f t="shared" si="2"/>
        <v>0</v>
      </c>
      <c r="Z21" s="198">
        <f t="shared" si="3"/>
        <v>0</v>
      </c>
      <c r="AA21" s="198">
        <f t="shared" si="4"/>
        <v>0</v>
      </c>
      <c r="AB21" s="199">
        <f t="shared" si="5"/>
        <v>0</v>
      </c>
      <c r="AC21" s="199">
        <f t="shared" si="6"/>
        <v>0</v>
      </c>
      <c r="AD21" s="200">
        <f t="shared" si="7"/>
        <v>0</v>
      </c>
      <c r="AE21" s="200">
        <f t="shared" si="8"/>
        <v>0</v>
      </c>
      <c r="AF21" s="201">
        <f t="shared" si="9"/>
        <v>0</v>
      </c>
      <c r="AG21" s="201">
        <f t="shared" si="10"/>
        <v>0</v>
      </c>
      <c r="AV21" s="72" t="s">
        <v>169</v>
      </c>
      <c r="AW21" s="192" t="e">
        <f>(AW15*AW10*LN(AW20)/1000)/AW5</f>
        <v>#NUM!</v>
      </c>
    </row>
    <row r="22" spans="1:49">
      <c r="A22" s="191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33"/>
      <c r="S22" s="17"/>
      <c r="T22" s="17"/>
      <c r="U22" s="17"/>
      <c r="V22" s="17"/>
      <c r="W22" s="196">
        <f t="shared" si="0"/>
        <v>0</v>
      </c>
      <c r="X22" s="197">
        <f t="shared" si="1"/>
        <v>0</v>
      </c>
      <c r="Y22" s="197">
        <f t="shared" si="2"/>
        <v>0</v>
      </c>
      <c r="Z22" s="198">
        <f t="shared" si="3"/>
        <v>0</v>
      </c>
      <c r="AA22" s="198">
        <f t="shared" si="4"/>
        <v>0</v>
      </c>
      <c r="AB22" s="199">
        <f t="shared" si="5"/>
        <v>0</v>
      </c>
      <c r="AC22" s="199">
        <f t="shared" si="6"/>
        <v>0</v>
      </c>
      <c r="AD22" s="200">
        <f t="shared" si="7"/>
        <v>0</v>
      </c>
      <c r="AE22" s="200">
        <f t="shared" si="8"/>
        <v>0</v>
      </c>
      <c r="AF22" s="201">
        <f t="shared" si="9"/>
        <v>0</v>
      </c>
      <c r="AG22" s="201">
        <f t="shared" si="10"/>
        <v>0</v>
      </c>
      <c r="AV22" s="22" t="s">
        <v>160</v>
      </c>
      <c r="AW22" s="100" t="e">
        <f>(AW19/(AW19-AW18))*(EXP((AW19-AW18)*((AW9)*1000/AW16))-1)</f>
        <v>#NUM!</v>
      </c>
    </row>
    <row r="23" spans="1:49" ht="15.75" thickBot="1">
      <c r="A23" s="191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33"/>
      <c r="S23" s="17"/>
      <c r="T23" s="17"/>
      <c r="U23" s="17"/>
      <c r="V23" s="17"/>
      <c r="W23" s="196">
        <f t="shared" si="0"/>
        <v>0</v>
      </c>
      <c r="X23" s="197">
        <f t="shared" si="1"/>
        <v>0</v>
      </c>
      <c r="Y23" s="197">
        <f t="shared" si="2"/>
        <v>0</v>
      </c>
      <c r="Z23" s="198">
        <f t="shared" si="3"/>
        <v>0</v>
      </c>
      <c r="AA23" s="198">
        <f t="shared" si="4"/>
        <v>0</v>
      </c>
      <c r="AB23" s="199">
        <f t="shared" si="5"/>
        <v>0</v>
      </c>
      <c r="AC23" s="199">
        <f t="shared" si="6"/>
        <v>0</v>
      </c>
      <c r="AD23" s="200">
        <f t="shared" si="7"/>
        <v>0</v>
      </c>
      <c r="AE23" s="200">
        <f t="shared" si="8"/>
        <v>0</v>
      </c>
      <c r="AF23" s="201">
        <f t="shared" si="9"/>
        <v>0</v>
      </c>
      <c r="AG23" s="201">
        <f t="shared" si="10"/>
        <v>0</v>
      </c>
      <c r="AV23" s="72" t="s">
        <v>170</v>
      </c>
      <c r="AW23" s="193" t="e">
        <f>(AW15*AW10*LN(AW22)/1000)/AW5</f>
        <v>#NUM!</v>
      </c>
    </row>
    <row r="24" spans="1:49" ht="15.75" thickBot="1">
      <c r="A24" s="191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33"/>
      <c r="S24" s="17"/>
      <c r="T24" s="17"/>
      <c r="U24" s="17"/>
      <c r="V24" s="17"/>
      <c r="W24" s="196">
        <f t="shared" si="0"/>
        <v>0</v>
      </c>
      <c r="X24" s="197">
        <f t="shared" si="1"/>
        <v>0</v>
      </c>
      <c r="Y24" s="197">
        <f t="shared" si="2"/>
        <v>0</v>
      </c>
      <c r="Z24" s="198">
        <f t="shared" si="3"/>
        <v>0</v>
      </c>
      <c r="AA24" s="198">
        <f t="shared" si="4"/>
        <v>0</v>
      </c>
      <c r="AB24" s="199">
        <f t="shared" si="5"/>
        <v>0</v>
      </c>
      <c r="AC24" s="199">
        <f t="shared" si="6"/>
        <v>0</v>
      </c>
      <c r="AD24" s="200">
        <f t="shared" si="7"/>
        <v>0</v>
      </c>
      <c r="AE24" s="200">
        <f t="shared" si="8"/>
        <v>0</v>
      </c>
      <c r="AF24" s="201">
        <f t="shared" si="9"/>
        <v>0</v>
      </c>
      <c r="AG24" s="201">
        <f t="shared" si="10"/>
        <v>0</v>
      </c>
      <c r="AV24" s="101" t="s">
        <v>171</v>
      </c>
      <c r="AW24" s="102"/>
    </row>
    <row r="25" spans="1:49">
      <c r="A25" s="191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33"/>
      <c r="S25" s="17"/>
      <c r="T25" s="17"/>
      <c r="U25" s="17"/>
      <c r="V25" s="17"/>
      <c r="W25" s="196">
        <f t="shared" si="0"/>
        <v>0</v>
      </c>
      <c r="X25" s="197">
        <f t="shared" si="1"/>
        <v>0</v>
      </c>
      <c r="Y25" s="197">
        <f t="shared" si="2"/>
        <v>0</v>
      </c>
      <c r="Z25" s="198">
        <f t="shared" si="3"/>
        <v>0</v>
      </c>
      <c r="AA25" s="198">
        <f t="shared" si="4"/>
        <v>0</v>
      </c>
      <c r="AB25" s="199">
        <f t="shared" si="5"/>
        <v>0</v>
      </c>
      <c r="AC25" s="199">
        <f t="shared" si="6"/>
        <v>0</v>
      </c>
      <c r="AD25" s="200">
        <f t="shared" si="7"/>
        <v>0</v>
      </c>
      <c r="AE25" s="200">
        <f t="shared" si="8"/>
        <v>0</v>
      </c>
      <c r="AF25" s="201">
        <f t="shared" si="9"/>
        <v>0</v>
      </c>
      <c r="AG25" s="201">
        <f t="shared" si="10"/>
        <v>0</v>
      </c>
      <c r="AV25" s="103" t="s">
        <v>161</v>
      </c>
      <c r="AW25" s="104">
        <f>1+(1/24)*(AW12*AW8*AW17/(AW10*AW13))^2</f>
        <v>3451.1319009671174</v>
      </c>
    </row>
    <row r="26" spans="1:49">
      <c r="A26" s="191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33"/>
      <c r="S26" s="17"/>
      <c r="T26" s="17"/>
      <c r="U26" s="17"/>
      <c r="V26" s="17"/>
      <c r="W26" s="196">
        <f t="shared" si="0"/>
        <v>0</v>
      </c>
      <c r="X26" s="197">
        <f t="shared" si="1"/>
        <v>0</v>
      </c>
      <c r="Y26" s="197">
        <f t="shared" si="2"/>
        <v>0</v>
      </c>
      <c r="Z26" s="198">
        <f t="shared" si="3"/>
        <v>0</v>
      </c>
      <c r="AA26" s="198">
        <f t="shared" si="4"/>
        <v>0</v>
      </c>
      <c r="AB26" s="199">
        <f t="shared" si="5"/>
        <v>0</v>
      </c>
      <c r="AC26" s="199">
        <f t="shared" si="6"/>
        <v>0</v>
      </c>
      <c r="AD26" s="200">
        <f t="shared" si="7"/>
        <v>0</v>
      </c>
      <c r="AE26" s="200">
        <f t="shared" si="8"/>
        <v>0</v>
      </c>
      <c r="AF26" s="201">
        <f t="shared" si="9"/>
        <v>0</v>
      </c>
      <c r="AG26" s="201">
        <f t="shared" si="10"/>
        <v>0</v>
      </c>
      <c r="AV26" s="103" t="s">
        <v>172</v>
      </c>
      <c r="AW26" s="104">
        <f>(AW10*AW13)/(AW8*AW12*AW17)</f>
        <v>3.4751738032114746E-3</v>
      </c>
    </row>
    <row r="27" spans="1:49" ht="15.75" thickBot="1">
      <c r="A27" s="191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33"/>
      <c r="S27" s="17"/>
      <c r="T27" s="17"/>
      <c r="U27" s="17"/>
      <c r="V27" s="17"/>
      <c r="W27" s="196">
        <f t="shared" si="0"/>
        <v>0</v>
      </c>
      <c r="X27" s="197">
        <f t="shared" si="1"/>
        <v>0</v>
      </c>
      <c r="Y27" s="197">
        <f t="shared" si="2"/>
        <v>0</v>
      </c>
      <c r="Z27" s="198">
        <f t="shared" si="3"/>
        <v>0</v>
      </c>
      <c r="AA27" s="198">
        <f t="shared" si="4"/>
        <v>0</v>
      </c>
      <c r="AB27" s="199">
        <f t="shared" si="5"/>
        <v>0</v>
      </c>
      <c r="AC27" s="199">
        <f t="shared" si="6"/>
        <v>0</v>
      </c>
      <c r="AD27" s="200">
        <f t="shared" si="7"/>
        <v>0</v>
      </c>
      <c r="AE27" s="200">
        <f t="shared" si="8"/>
        <v>0</v>
      </c>
      <c r="AF27" s="201">
        <f t="shared" si="9"/>
        <v>0</v>
      </c>
      <c r="AG27" s="201">
        <f t="shared" si="10"/>
        <v>0</v>
      </c>
      <c r="AV27" s="103" t="s">
        <v>483</v>
      </c>
      <c r="AW27" s="121">
        <f>(AW15*AW10*LN(AW25)/1000)/AW5</f>
        <v>1.6188670735079205E-2</v>
      </c>
    </row>
    <row r="28" spans="1:49">
      <c r="L28">
        <f>(AD17)-2*(AD3)</f>
        <v>35.514272494154284</v>
      </c>
      <c r="N28" s="6">
        <f>AG6-AG3</f>
        <v>94.024248381334473</v>
      </c>
      <c r="R28" s="6">
        <f>(-303.002168-2* -151.527799)*($AW$3*$AW$4*10^-3/$AW$5)</f>
        <v>33.527820952517047</v>
      </c>
      <c r="AV28" s="122" t="s">
        <v>173</v>
      </c>
      <c r="AW28" s="26">
        <f>2*2*2</f>
        <v>8</v>
      </c>
    </row>
    <row r="29" spans="1:49" ht="30.75" thickBot="1">
      <c r="AV29" s="107" t="s">
        <v>174</v>
      </c>
      <c r="AW29" s="110">
        <f>(AW10*AW15*LN(AW28)*10^-3)/AW5</f>
        <v>4.1322739671248486E-3</v>
      </c>
    </row>
    <row r="30" spans="1:49">
      <c r="A30" s="15" t="s">
        <v>487</v>
      </c>
      <c r="B30" s="15"/>
      <c r="C30" s="15"/>
      <c r="D30" s="15"/>
      <c r="E30" s="15"/>
      <c r="F30" s="15"/>
      <c r="G30" s="15"/>
    </row>
    <row r="31" spans="1:49" ht="75">
      <c r="A31" s="178" t="s">
        <v>525</v>
      </c>
      <c r="B31" s="190" t="s">
        <v>526</v>
      </c>
      <c r="C31" s="190" t="s">
        <v>488</v>
      </c>
      <c r="D31" s="190" t="s">
        <v>489</v>
      </c>
      <c r="E31" s="178" t="s">
        <v>476</v>
      </c>
      <c r="F31" s="190" t="s">
        <v>490</v>
      </c>
      <c r="G31" s="190" t="s">
        <v>491</v>
      </c>
      <c r="H31" s="178" t="s">
        <v>492</v>
      </c>
      <c r="I31" s="190" t="s">
        <v>493</v>
      </c>
      <c r="J31" s="190" t="s">
        <v>494</v>
      </c>
      <c r="K31" s="178" t="s">
        <v>495</v>
      </c>
      <c r="L31" s="190" t="s">
        <v>496</v>
      </c>
      <c r="M31" s="190" t="s">
        <v>497</v>
      </c>
      <c r="N31" s="178" t="s">
        <v>498</v>
      </c>
      <c r="O31" s="190" t="s">
        <v>530</v>
      </c>
      <c r="P31" s="190" t="s">
        <v>531</v>
      </c>
      <c r="Q31" s="195" t="s">
        <v>533</v>
      </c>
      <c r="R31" s="190" t="s">
        <v>534</v>
      </c>
      <c r="S31" s="190" t="s">
        <v>535</v>
      </c>
      <c r="T31" s="195" t="s">
        <v>536</v>
      </c>
      <c r="U31" s="190" t="s">
        <v>532</v>
      </c>
      <c r="V31" s="190" t="s">
        <v>478</v>
      </c>
      <c r="W31" s="190" t="s">
        <v>527</v>
      </c>
      <c r="X31" s="190" t="s">
        <v>528</v>
      </c>
      <c r="Y31" s="190" t="s">
        <v>529</v>
      </c>
      <c r="Z31" s="190" t="s">
        <v>542</v>
      </c>
      <c r="AA31" s="202" t="s">
        <v>507</v>
      </c>
      <c r="AB31" s="202" t="s">
        <v>508</v>
      </c>
      <c r="AC31" s="202" t="s">
        <v>537</v>
      </c>
      <c r="AD31" s="202" t="s">
        <v>538</v>
      </c>
      <c r="AE31" s="203" t="s">
        <v>500</v>
      </c>
      <c r="AF31" s="203" t="s">
        <v>499</v>
      </c>
      <c r="AG31" s="204" t="s">
        <v>501</v>
      </c>
      <c r="AH31" s="204" t="s">
        <v>502</v>
      </c>
      <c r="AI31" s="205" t="s">
        <v>503</v>
      </c>
      <c r="AJ31" s="205" t="s">
        <v>504</v>
      </c>
      <c r="AK31" s="206" t="s">
        <v>505</v>
      </c>
      <c r="AL31" s="206" t="s">
        <v>506</v>
      </c>
    </row>
    <row r="32" spans="1:49">
      <c r="A32" s="191" t="s">
        <v>175</v>
      </c>
      <c r="B32" s="17">
        <v>-151.54770746</v>
      </c>
      <c r="C32" s="17">
        <v>-151.55838918800001</v>
      </c>
      <c r="D32" s="17"/>
      <c r="E32" s="17"/>
      <c r="F32" s="17">
        <v>-151.606530281</v>
      </c>
      <c r="G32" s="17"/>
      <c r="H32" s="17"/>
      <c r="I32" s="17">
        <v>-151.61080358199999</v>
      </c>
      <c r="J32" s="17"/>
      <c r="K32" s="17"/>
      <c r="L32" s="17">
        <v>-151.61298529699999</v>
      </c>
      <c r="M32" s="17"/>
      <c r="N32" s="17"/>
      <c r="O32" s="17">
        <v>-9.08</v>
      </c>
      <c r="P32" s="17"/>
      <c r="Q32" s="17"/>
      <c r="R32" s="17">
        <v>-9.91</v>
      </c>
      <c r="S32" s="17"/>
      <c r="T32" s="17"/>
      <c r="U32" s="33"/>
      <c r="V32" s="17"/>
      <c r="W32" s="17">
        <v>2.6261E-2</v>
      </c>
      <c r="X32" s="17">
        <v>3.0428E-2</v>
      </c>
      <c r="Y32" s="17">
        <v>3.9500000000000004E-3</v>
      </c>
      <c r="Z32" s="196">
        <f>(X32-Y32)*($AW$3*$AW$4*10^-3/$AW$5)</f>
        <v>16.615190776359444</v>
      </c>
      <c r="AA32" s="197">
        <f>O32</f>
        <v>-9.08</v>
      </c>
      <c r="AB32" s="197">
        <f>((((2-0)/(2-Q32))*O32+(1-((2-0)/(2-Q32)))*P32))</f>
        <v>-9.08</v>
      </c>
      <c r="AC32" s="197">
        <f>R32</f>
        <v>-9.91</v>
      </c>
      <c r="AD32" s="197">
        <f>((((2-0)/(2-T32))*R32+(1-((2-0)/(2-T32)))*S32))</f>
        <v>-9.91</v>
      </c>
      <c r="AE32" s="198">
        <f>(C32+X32)*($AW$3*$AW$4*10^-3/$AW$5)</f>
        <v>-95085.202171289726</v>
      </c>
      <c r="AF32" s="198">
        <f>((((2-0)/(2-E32))*C32+(1-((2-0)/(2-E32)))*D32)+X32)*($AW$3*$AW$4*10^-3/$AW$5)</f>
        <v>-95085.202171289726</v>
      </c>
      <c r="AG32" s="199">
        <f>(F32+X32)*($AW$3*$AW$4*10^-3/$AW$5)</f>
        <v>-95115.411154006608</v>
      </c>
      <c r="AH32" s="199">
        <f>((((2-0)/(2-H32))*F32+(1-((2-0)/(2-H32)))*G32)+X32)*($AW$3*$AW$4*10^-3/$AW$5)</f>
        <v>-95115.411154006608</v>
      </c>
      <c r="AI32" s="200">
        <f>(I32+X32)*($AW$3*$AW$4*10^-3/$AW$5)</f>
        <v>-95118.092690050093</v>
      </c>
      <c r="AJ32" s="200">
        <f>((((2-0)/(2-K32))*I32+(1-((2-0)/(2-K32)))*J32)+X32)*($AW$3*$AW$4*10^-3/$AW$5)</f>
        <v>-95118.092690050093</v>
      </c>
      <c r="AK32" s="201">
        <f>(L32+X32)*($AW$3*$AW$4*10^-3/$AW$5)</f>
        <v>-95119.461736463898</v>
      </c>
      <c r="AL32" s="201">
        <f>((((2-0)/(2-N32))*L32+(1-((2-0)/(2-N32)))*M32)+X32)*($AW$3*$AW$4*10^-3/$AW$5)</f>
        <v>-95119.461736463898</v>
      </c>
    </row>
    <row r="33" spans="1:38">
      <c r="A33" s="191" t="s">
        <v>482</v>
      </c>
      <c r="B33" s="17">
        <v>-76.422573319999998</v>
      </c>
      <c r="C33" s="17">
        <v>-76.434022157599998</v>
      </c>
      <c r="D33" s="17"/>
      <c r="E33" s="17"/>
      <c r="F33" s="17">
        <v>-76.459459519299998</v>
      </c>
      <c r="G33" s="17"/>
      <c r="H33" s="17"/>
      <c r="I33" s="17">
        <v>-76.462436778300003</v>
      </c>
      <c r="J33" s="17"/>
      <c r="K33" s="17"/>
      <c r="L33" s="17">
        <v>-76.464389744000002</v>
      </c>
      <c r="M33" s="17"/>
      <c r="N33" s="17"/>
      <c r="O33" s="17">
        <v>-8.6</v>
      </c>
      <c r="P33" s="17"/>
      <c r="Q33" s="17"/>
      <c r="R33" s="17">
        <v>-9.75</v>
      </c>
      <c r="S33" s="17"/>
      <c r="T33" s="17"/>
      <c r="U33" s="33"/>
      <c r="V33" s="17"/>
      <c r="W33" s="17">
        <v>2.1097000000000001E-2</v>
      </c>
      <c r="X33" s="17">
        <v>2.4877E-2</v>
      </c>
      <c r="Y33" s="17">
        <v>2.7820000000000002E-3</v>
      </c>
      <c r="Z33" s="196">
        <f t="shared" ref="Z33:Z56" si="11">(X33-Y33)*($AW$3*$AW$4*10^-3/$AW$5)</f>
        <v>13.864817592101438</v>
      </c>
      <c r="AA33" s="197">
        <f t="shared" ref="AA33:AA56" si="12">O33</f>
        <v>-8.6</v>
      </c>
      <c r="AB33" s="197">
        <f t="shared" ref="AB33:AB56" si="13">((((2-0)/(2-Q33))*O33+(1-((2-0)/(2-Q33)))*P33))</f>
        <v>-8.6</v>
      </c>
      <c r="AC33" s="197">
        <f t="shared" ref="AC33:AC56" si="14">R33</f>
        <v>-9.75</v>
      </c>
      <c r="AD33" s="197">
        <f t="shared" ref="AD33:AD56" si="15">((((2-0)/(2-T33))*R33+(1-((2-0)/(2-T33)))*S33))</f>
        <v>-9.75</v>
      </c>
      <c r="AE33" s="198">
        <f t="shared" ref="AE33:AE56" si="16">(C33+X33)*($AW$3*$AW$4*10^-3/$AW$5)</f>
        <v>-47947.447837905631</v>
      </c>
      <c r="AF33" s="198">
        <f t="shared" ref="AF33:AF56" si="17">((((2-0)/(2-E33))*C33+(1-((2-0)/(2-E33)))*D33)+X33)*($AW$3*$AW$4*10^-3/$AW$5)</f>
        <v>-47947.447837905631</v>
      </c>
      <c r="AG33" s="199">
        <f t="shared" ref="AG33:AG56" si="18">(F33+X33)*($AW$3*$AW$4*10^-3/$AW$5)</f>
        <v>-47963.410018489238</v>
      </c>
      <c r="AH33" s="199">
        <f t="shared" ref="AH33:AH56" si="19">((((2-0)/(2-H33))*F33+(1-((2-0)/(2-H33)))*G33)+X33)*($AW$3*$AW$4*10^-3/$AW$5)</f>
        <v>-47963.410018489238</v>
      </c>
      <c r="AI33" s="200">
        <f t="shared" ref="AI33:AI56" si="20">(I33+X33)*($AW$3*$AW$4*10^-3/$AW$5)</f>
        <v>-47965.27827614751</v>
      </c>
      <c r="AJ33" s="200">
        <f t="shared" ref="AJ33:AJ56" si="21">((((2-0)/(2-K33))*I33+(1-((2-0)/(2-K33)))*J33)+X33)*($AW$3*$AW$4*10^-3/$AW$5)</f>
        <v>-47965.27827614751</v>
      </c>
      <c r="AK33" s="201">
        <f t="shared" ref="AK33:AK56" si="22">(L33+X33)*($AW$3*$AW$4*10^-3/$AW$5)</f>
        <v>-47966.503780252242</v>
      </c>
      <c r="AL33" s="201">
        <f t="shared" ref="AL33:AL56" si="23">((((2-0)/(2-N33))*L33+(1-((2-0)/(2-N33)))*M33)+X33)*($AW$3*$AW$4*10^-3/$AW$5)</f>
        <v>-47966.503780252242</v>
      </c>
    </row>
    <row r="34" spans="1:38">
      <c r="A34" s="191" t="s">
        <v>362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33"/>
      <c r="V34" s="17"/>
      <c r="W34" s="17"/>
      <c r="X34" s="17"/>
      <c r="Y34" s="17"/>
      <c r="Z34" s="196">
        <f t="shared" si="11"/>
        <v>0</v>
      </c>
      <c r="AA34" s="197">
        <f t="shared" si="12"/>
        <v>0</v>
      </c>
      <c r="AB34" s="197">
        <f t="shared" si="13"/>
        <v>0</v>
      </c>
      <c r="AC34" s="197">
        <f t="shared" si="14"/>
        <v>0</v>
      </c>
      <c r="AD34" s="197">
        <f t="shared" si="15"/>
        <v>0</v>
      </c>
      <c r="AE34" s="198">
        <f t="shared" si="16"/>
        <v>0</v>
      </c>
      <c r="AF34" s="198">
        <f t="shared" si="17"/>
        <v>0</v>
      </c>
      <c r="AG34" s="199">
        <f t="shared" si="18"/>
        <v>0</v>
      </c>
      <c r="AH34" s="199">
        <f t="shared" si="19"/>
        <v>0</v>
      </c>
      <c r="AI34" s="200">
        <f t="shared" si="20"/>
        <v>0</v>
      </c>
      <c r="AJ34" s="200">
        <f t="shared" si="21"/>
        <v>0</v>
      </c>
      <c r="AK34" s="201">
        <f t="shared" si="22"/>
        <v>0</v>
      </c>
      <c r="AL34" s="201">
        <f t="shared" si="23"/>
        <v>0</v>
      </c>
    </row>
    <row r="35" spans="1:38">
      <c r="A35" s="191" t="s">
        <v>509</v>
      </c>
      <c r="B35" s="17">
        <v>-151.47289531999999</v>
      </c>
      <c r="C35" s="17">
        <v>-151.483078323</v>
      </c>
      <c r="D35" s="17">
        <v>-151.484975706</v>
      </c>
      <c r="E35" s="17">
        <v>0.99780000000000002</v>
      </c>
      <c r="F35" s="17">
        <v>-151.53101950800001</v>
      </c>
      <c r="G35" s="17">
        <v>-151.53283426300001</v>
      </c>
      <c r="H35" s="17">
        <v>0.99890000000000001</v>
      </c>
      <c r="I35" s="17">
        <v>-151.53434329000001</v>
      </c>
      <c r="J35" s="17">
        <v>-151.53607814099999</v>
      </c>
      <c r="K35" s="17">
        <v>1.0004</v>
      </c>
      <c r="L35" s="17">
        <v>-151.536647155</v>
      </c>
      <c r="M35" s="17">
        <v>-151.53834729100001</v>
      </c>
      <c r="N35" s="17">
        <v>1.0012000000000001</v>
      </c>
      <c r="O35" s="17">
        <v>-6.68</v>
      </c>
      <c r="P35" s="17">
        <v>-6.52</v>
      </c>
      <c r="Q35" s="17">
        <v>1.0026999999999999</v>
      </c>
      <c r="R35" s="17">
        <v>-6.43</v>
      </c>
      <c r="S35" s="17">
        <v>-7.27</v>
      </c>
      <c r="T35" s="17">
        <v>1.0059</v>
      </c>
      <c r="U35" s="33">
        <v>213.21</v>
      </c>
      <c r="V35" s="17"/>
      <c r="W35" s="17">
        <v>1.8363999999999998E-2</v>
      </c>
      <c r="X35" s="17">
        <v>2.3484999999999999E-2</v>
      </c>
      <c r="Y35" s="17">
        <v>-5.5640000000000004E-3</v>
      </c>
      <c r="Z35" s="196">
        <f t="shared" si="11"/>
        <v>18.228517141115848</v>
      </c>
      <c r="AA35" s="197">
        <f t="shared" si="12"/>
        <v>-6.68</v>
      </c>
      <c r="AB35" s="197">
        <f t="shared" si="13"/>
        <v>-6.8408663391156113</v>
      </c>
      <c r="AC35" s="197">
        <f t="shared" si="14"/>
        <v>-6.43</v>
      </c>
      <c r="AD35" s="197">
        <f t="shared" si="15"/>
        <v>-5.5800291721154807</v>
      </c>
      <c r="AE35" s="198">
        <f t="shared" si="16"/>
        <v>-95042.300701392174</v>
      </c>
      <c r="AF35" s="198">
        <f t="shared" si="17"/>
        <v>-95041.115303199636</v>
      </c>
      <c r="AG35" s="199">
        <f t="shared" si="18"/>
        <v>-95072.384239983454</v>
      </c>
      <c r="AH35" s="199">
        <f t="shared" si="19"/>
        <v>-95071.247966929412</v>
      </c>
      <c r="AI35" s="200">
        <f t="shared" si="20"/>
        <v>-95074.469944040757</v>
      </c>
      <c r="AJ35" s="200">
        <f t="shared" si="21"/>
        <v>-95073.380437678294</v>
      </c>
      <c r="AK35" s="201">
        <f t="shared" si="22"/>
        <v>-95075.915640713371</v>
      </c>
      <c r="AL35" s="201">
        <f t="shared" si="23"/>
        <v>-95074.846226073307</v>
      </c>
    </row>
    <row r="36" spans="1:38">
      <c r="A36" s="191" t="s">
        <v>541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33"/>
      <c r="V36" s="17"/>
      <c r="W36" s="17"/>
      <c r="X36" s="17"/>
      <c r="Y36" s="17"/>
      <c r="Z36" s="196">
        <f t="shared" si="11"/>
        <v>0</v>
      </c>
      <c r="AA36" s="197">
        <f t="shared" si="12"/>
        <v>0</v>
      </c>
      <c r="AB36" s="197">
        <f t="shared" si="13"/>
        <v>0</v>
      </c>
      <c r="AC36" s="197">
        <f t="shared" si="14"/>
        <v>0</v>
      </c>
      <c r="AD36" s="197">
        <f t="shared" si="15"/>
        <v>0</v>
      </c>
      <c r="AE36" s="198">
        <f t="shared" si="16"/>
        <v>0</v>
      </c>
      <c r="AF36" s="198">
        <f t="shared" si="17"/>
        <v>0</v>
      </c>
      <c r="AG36" s="199">
        <f t="shared" si="18"/>
        <v>0</v>
      </c>
      <c r="AH36" s="199">
        <f t="shared" si="19"/>
        <v>0</v>
      </c>
      <c r="AI36" s="200">
        <f t="shared" si="20"/>
        <v>0</v>
      </c>
      <c r="AJ36" s="200">
        <f t="shared" si="21"/>
        <v>0</v>
      </c>
      <c r="AK36" s="201">
        <f t="shared" si="22"/>
        <v>0</v>
      </c>
      <c r="AL36" s="201">
        <f t="shared" si="23"/>
        <v>0</v>
      </c>
    </row>
    <row r="37" spans="1:38">
      <c r="A37" s="191" t="s">
        <v>520</v>
      </c>
      <c r="B37" s="17">
        <v>-304.42000626999999</v>
      </c>
      <c r="C37" s="17">
        <v>-304.45187546699998</v>
      </c>
      <c r="D37" s="17"/>
      <c r="E37" s="17"/>
      <c r="F37" s="17">
        <v>-304.549002379</v>
      </c>
      <c r="G37" s="17"/>
      <c r="H37" s="17"/>
      <c r="I37" s="17">
        <v>-304.55750513100003</v>
      </c>
      <c r="J37" s="17"/>
      <c r="K37" s="17"/>
      <c r="L37" s="17">
        <v>-304.56338712899998</v>
      </c>
      <c r="M37" s="17"/>
      <c r="N37" s="17"/>
      <c r="O37" s="17">
        <v>-14.12</v>
      </c>
      <c r="P37" s="17"/>
      <c r="Q37" s="17"/>
      <c r="R37" s="17">
        <v>-15.48</v>
      </c>
      <c r="S37" s="17"/>
      <c r="T37" s="17"/>
      <c r="U37" s="33"/>
      <c r="V37" s="17"/>
      <c r="W37" s="17">
        <v>7.6742000000000005E-2</v>
      </c>
      <c r="X37" s="17">
        <v>8.6252999999999996E-2</v>
      </c>
      <c r="Y37" s="17">
        <v>4.4496000000000001E-2</v>
      </c>
      <c r="Z37" s="196">
        <f t="shared" si="11"/>
        <v>26.202905100401889</v>
      </c>
      <c r="AA37" s="197">
        <f t="shared" si="12"/>
        <v>-14.12</v>
      </c>
      <c r="AB37" s="197">
        <f t="shared" si="13"/>
        <v>-14.12</v>
      </c>
      <c r="AC37" s="197">
        <f t="shared" si="14"/>
        <v>-15.48</v>
      </c>
      <c r="AD37" s="197">
        <f t="shared" si="15"/>
        <v>-15.48</v>
      </c>
      <c r="AE37" s="198">
        <f t="shared" si="16"/>
        <v>-190992.25330669229</v>
      </c>
      <c r="AF37" s="198">
        <f t="shared" si="17"/>
        <v>-190992.25330669229</v>
      </c>
      <c r="AG37" s="199">
        <f t="shared" si="18"/>
        <v>-191053.20134553206</v>
      </c>
      <c r="AH37" s="199">
        <f t="shared" si="19"/>
        <v>-191053.20134553206</v>
      </c>
      <c r="AI37" s="200">
        <f t="shared" si="20"/>
        <v>-191058.53690133704</v>
      </c>
      <c r="AJ37" s="200">
        <f t="shared" si="21"/>
        <v>-191058.53690133704</v>
      </c>
      <c r="AK37" s="201">
        <f t="shared" si="22"/>
        <v>-191062.2279096804</v>
      </c>
      <c r="AL37" s="201">
        <f t="shared" si="23"/>
        <v>-191062.2279096804</v>
      </c>
    </row>
    <row r="38" spans="1:38">
      <c r="A38" s="191" t="s">
        <v>384</v>
      </c>
      <c r="B38" s="17">
        <v>-304.35396680000002</v>
      </c>
      <c r="C38" s="17">
        <v>-304.34487546899999</v>
      </c>
      <c r="D38" s="17">
        <v>-304.35533742899997</v>
      </c>
      <c r="E38" s="17">
        <v>0.8992</v>
      </c>
      <c r="F38" s="17">
        <v>-304.44120967499998</v>
      </c>
      <c r="G38" s="17">
        <v>-304.451431044</v>
      </c>
      <c r="H38" s="17">
        <v>0.89929999999999999</v>
      </c>
      <c r="I38" s="17">
        <v>0.89929999999999999</v>
      </c>
      <c r="J38" s="17">
        <v>-304.457984275</v>
      </c>
      <c r="K38" s="17">
        <v>0.90110000000000001</v>
      </c>
      <c r="L38" s="17">
        <v>-304.45429995699999</v>
      </c>
      <c r="M38" s="17">
        <v>-304.46408280499998</v>
      </c>
      <c r="N38" s="17">
        <v>0.90080000000000005</v>
      </c>
      <c r="O38" s="17">
        <v>-10.74</v>
      </c>
      <c r="P38" s="17">
        <v>-10.88</v>
      </c>
      <c r="Q38" s="17">
        <v>0.89529999999999998</v>
      </c>
      <c r="R38" s="17">
        <v>-12.13</v>
      </c>
      <c r="S38" s="17">
        <v>-12.28</v>
      </c>
      <c r="T38" s="17">
        <v>0.90439999999999998</v>
      </c>
      <c r="U38" s="33">
        <v>150.41999999999999</v>
      </c>
      <c r="V38" s="17"/>
      <c r="W38" s="17">
        <v>7.1028999999999995E-2</v>
      </c>
      <c r="X38" s="17">
        <v>8.0149999999999999E-2</v>
      </c>
      <c r="Y38" s="17">
        <v>3.9579999999999997E-2</v>
      </c>
      <c r="Z38" s="196">
        <f t="shared" si="11"/>
        <v>25.458051582328824</v>
      </c>
      <c r="AA38" s="197">
        <f t="shared" si="12"/>
        <v>-10.74</v>
      </c>
      <c r="AB38" s="197">
        <f t="shared" si="13"/>
        <v>-10.626537521499049</v>
      </c>
      <c r="AC38" s="197">
        <f t="shared" si="14"/>
        <v>-12.13</v>
      </c>
      <c r="AD38" s="197">
        <f t="shared" si="15"/>
        <v>-12.006177437020813</v>
      </c>
      <c r="AE38" s="198">
        <f t="shared" si="16"/>
        <v>-190928.93950389253</v>
      </c>
      <c r="AF38" s="198">
        <f t="shared" si="17"/>
        <v>-190923.57683371796</v>
      </c>
      <c r="AG38" s="199">
        <f t="shared" si="18"/>
        <v>-190989.39011235916</v>
      </c>
      <c r="AH38" s="199">
        <f t="shared" si="19"/>
        <v>-190984.14970740787</v>
      </c>
      <c r="AI38" s="200">
        <f t="shared" si="20"/>
        <v>614.61396653468</v>
      </c>
      <c r="AJ38" s="200">
        <f t="shared" si="21"/>
        <v>157738.87754813096</v>
      </c>
      <c r="AK38" s="201">
        <f t="shared" si="22"/>
        <v>-190997.60438582191</v>
      </c>
      <c r="AL38" s="201">
        <f t="shared" si="23"/>
        <v>-190992.5735850606</v>
      </c>
    </row>
    <row r="39" spans="1:38">
      <c r="A39" s="191" t="s">
        <v>517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33"/>
      <c r="V39" s="17"/>
      <c r="W39" s="17"/>
      <c r="X39" s="17"/>
      <c r="Y39" s="17"/>
      <c r="Z39" s="196">
        <f t="shared" si="11"/>
        <v>0</v>
      </c>
      <c r="AA39" s="197">
        <f t="shared" si="12"/>
        <v>0</v>
      </c>
      <c r="AB39" s="197">
        <f t="shared" si="13"/>
        <v>0</v>
      </c>
      <c r="AC39" s="197">
        <f t="shared" si="14"/>
        <v>0</v>
      </c>
      <c r="AD39" s="197">
        <f t="shared" si="15"/>
        <v>0</v>
      </c>
      <c r="AE39" s="198">
        <f t="shared" si="16"/>
        <v>0</v>
      </c>
      <c r="AF39" s="198">
        <f t="shared" si="17"/>
        <v>0</v>
      </c>
      <c r="AG39" s="199">
        <f t="shared" si="18"/>
        <v>0</v>
      </c>
      <c r="AH39" s="199">
        <f t="shared" si="19"/>
        <v>0</v>
      </c>
      <c r="AI39" s="200">
        <f t="shared" si="20"/>
        <v>0</v>
      </c>
      <c r="AJ39" s="200">
        <f t="shared" si="21"/>
        <v>0</v>
      </c>
      <c r="AK39" s="201">
        <f t="shared" si="22"/>
        <v>0</v>
      </c>
      <c r="AL39" s="201">
        <f t="shared" si="23"/>
        <v>0</v>
      </c>
    </row>
    <row r="40" spans="1:38">
      <c r="A40" s="191" t="s">
        <v>516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33"/>
      <c r="V40" s="17"/>
      <c r="W40" s="17"/>
      <c r="X40" s="17"/>
      <c r="Y40" s="17"/>
      <c r="Z40" s="196">
        <f t="shared" si="11"/>
        <v>0</v>
      </c>
      <c r="AA40" s="197">
        <f t="shared" si="12"/>
        <v>0</v>
      </c>
      <c r="AB40" s="197">
        <f t="shared" si="13"/>
        <v>0</v>
      </c>
      <c r="AC40" s="197">
        <f t="shared" si="14"/>
        <v>0</v>
      </c>
      <c r="AD40" s="197">
        <f t="shared" si="15"/>
        <v>0</v>
      </c>
      <c r="AE40" s="198">
        <f t="shared" si="16"/>
        <v>0</v>
      </c>
      <c r="AF40" s="198">
        <f t="shared" si="17"/>
        <v>0</v>
      </c>
      <c r="AG40" s="199">
        <f t="shared" si="18"/>
        <v>0</v>
      </c>
      <c r="AH40" s="199">
        <f t="shared" si="19"/>
        <v>0</v>
      </c>
      <c r="AI40" s="200">
        <f t="shared" si="20"/>
        <v>0</v>
      </c>
      <c r="AJ40" s="200">
        <f t="shared" si="21"/>
        <v>0</v>
      </c>
      <c r="AK40" s="201">
        <f t="shared" si="22"/>
        <v>0</v>
      </c>
      <c r="AL40" s="201">
        <f t="shared" si="23"/>
        <v>0</v>
      </c>
    </row>
    <row r="41" spans="1:38">
      <c r="A41" s="191" t="s">
        <v>540</v>
      </c>
      <c r="B41" s="17">
        <v>-303.12662216000001</v>
      </c>
      <c r="C41" s="17">
        <v>-303.14988920600001</v>
      </c>
      <c r="D41" s="17"/>
      <c r="E41" s="17"/>
      <c r="F41" s="17">
        <v>-303.24451139500002</v>
      </c>
      <c r="G41" s="17"/>
      <c r="H41" s="17"/>
      <c r="I41" s="17">
        <v>-303.25132627800002</v>
      </c>
      <c r="J41" s="17"/>
      <c r="K41" s="17"/>
      <c r="L41" s="17">
        <v>-303.25699565600002</v>
      </c>
      <c r="M41" s="17"/>
      <c r="N41" s="17"/>
      <c r="O41" s="17">
        <v>-239.68</v>
      </c>
      <c r="P41" s="17"/>
      <c r="Q41" s="17"/>
      <c r="R41" s="17">
        <v>-224.44</v>
      </c>
      <c r="S41" s="17"/>
      <c r="T41" s="17"/>
      <c r="U41" s="33"/>
      <c r="V41" s="17"/>
      <c r="W41" s="17">
        <v>4.7579000000000003E-2</v>
      </c>
      <c r="X41" s="17">
        <v>5.6689999999999997E-2</v>
      </c>
      <c r="Y41" s="17">
        <v>1.4308E-2</v>
      </c>
      <c r="Z41" s="196">
        <f t="shared" si="11"/>
        <v>26.59509840183042</v>
      </c>
      <c r="AA41" s="197">
        <f t="shared" si="12"/>
        <v>-239.68</v>
      </c>
      <c r="AB41" s="197">
        <f t="shared" si="13"/>
        <v>-239.68</v>
      </c>
      <c r="AC41" s="197">
        <f t="shared" si="14"/>
        <v>-224.44</v>
      </c>
      <c r="AD41" s="197">
        <f t="shared" si="15"/>
        <v>-224.44</v>
      </c>
      <c r="AE41" s="198">
        <f t="shared" si="16"/>
        <v>-190193.79589941865</v>
      </c>
      <c r="AF41" s="198">
        <f t="shared" si="17"/>
        <v>-190193.79589941865</v>
      </c>
      <c r="AG41" s="199">
        <f t="shared" si="18"/>
        <v>-190253.17220132632</v>
      </c>
      <c r="AH41" s="199">
        <f t="shared" si="19"/>
        <v>-190253.17220132632</v>
      </c>
      <c r="AI41" s="200">
        <f t="shared" si="20"/>
        <v>-190257.44860366653</v>
      </c>
      <c r="AJ41" s="200">
        <f t="shared" si="21"/>
        <v>-190257.44860366653</v>
      </c>
      <c r="AK41" s="201">
        <f t="shared" si="22"/>
        <v>-190261.00619098631</v>
      </c>
      <c r="AL41" s="201">
        <f t="shared" si="23"/>
        <v>-190261.00619098631</v>
      </c>
    </row>
    <row r="42" spans="1:38">
      <c r="A42" s="191" t="s">
        <v>539</v>
      </c>
      <c r="B42" s="17">
        <v>-303.03525567000003</v>
      </c>
      <c r="C42" s="17">
        <v>-303.05686772299998</v>
      </c>
      <c r="D42" s="17">
        <v>-303.07080110999999</v>
      </c>
      <c r="E42" s="17">
        <v>1.0145999999999999</v>
      </c>
      <c r="F42" s="17">
        <v>-303.14905998900002</v>
      </c>
      <c r="G42" s="17">
        <v>-303.162735908</v>
      </c>
      <c r="H42" s="17">
        <v>1.0149999999999999</v>
      </c>
      <c r="I42" s="17">
        <v>-303.15308628000002</v>
      </c>
      <c r="J42" s="17">
        <v>-303.16639227299999</v>
      </c>
      <c r="K42" s="17">
        <v>1.0156000000000001</v>
      </c>
      <c r="L42" s="17">
        <v>-303.158412779</v>
      </c>
      <c r="M42" s="17">
        <v>-303.17174376200001</v>
      </c>
      <c r="N42" s="17">
        <v>1.0165</v>
      </c>
      <c r="O42" s="17">
        <v>-234.95</v>
      </c>
      <c r="P42" s="17">
        <v>-234.76</v>
      </c>
      <c r="Q42" s="17">
        <v>0.99329999999999996</v>
      </c>
      <c r="R42" s="17">
        <v>-217.42</v>
      </c>
      <c r="S42" s="17">
        <v>-217.09</v>
      </c>
      <c r="T42" s="17">
        <v>1.0026999999999999</v>
      </c>
      <c r="U42" s="33">
        <v>69.459999999999994</v>
      </c>
      <c r="V42" s="17"/>
      <c r="W42" s="17">
        <v>4.9888000000000002E-2</v>
      </c>
      <c r="X42" s="17">
        <v>5.7284000000000002E-2</v>
      </c>
      <c r="Y42" s="17">
        <v>1.8928E-2</v>
      </c>
      <c r="Z42" s="196">
        <f t="shared" si="11"/>
        <v>24.068746031348397</v>
      </c>
      <c r="AA42" s="197">
        <f t="shared" si="12"/>
        <v>-234.95</v>
      </c>
      <c r="AB42" s="197">
        <f t="shared" si="13"/>
        <v>-235.13747094467067</v>
      </c>
      <c r="AC42" s="197">
        <f t="shared" si="14"/>
        <v>-217.42</v>
      </c>
      <c r="AD42" s="197">
        <f t="shared" si="15"/>
        <v>-217.75178682442589</v>
      </c>
      <c r="AE42" s="198">
        <f t="shared" si="16"/>
        <v>-190135.05131487048</v>
      </c>
      <c r="AF42" s="198">
        <f t="shared" si="17"/>
        <v>-190126.04889728423</v>
      </c>
      <c r="AG42" s="199">
        <f t="shared" si="18"/>
        <v>-190192.90281754045</v>
      </c>
      <c r="AH42" s="199">
        <f t="shared" si="19"/>
        <v>-190184.05967783686</v>
      </c>
      <c r="AI42" s="200">
        <f t="shared" si="20"/>
        <v>-190195.42935251613</v>
      </c>
      <c r="AJ42" s="200">
        <f t="shared" si="21"/>
        <v>-190186.81508147818</v>
      </c>
      <c r="AK42" s="201">
        <f t="shared" si="22"/>
        <v>-190198.77178008071</v>
      </c>
      <c r="AL42" s="201">
        <f t="shared" si="23"/>
        <v>-190190.12577776096</v>
      </c>
    </row>
    <row r="43" spans="1:38">
      <c r="A43" s="191" t="s">
        <v>521</v>
      </c>
      <c r="B43" s="17">
        <v>-303.03867023999999</v>
      </c>
      <c r="C43" s="17">
        <v>-303.05915750100002</v>
      </c>
      <c r="D43" s="17">
        <v>-303.05574654600002</v>
      </c>
      <c r="E43" s="17">
        <v>0.97629999999999995</v>
      </c>
      <c r="F43" s="17">
        <v>-303.15453835699998</v>
      </c>
      <c r="G43" s="17">
        <v>-303.15421894600001</v>
      </c>
      <c r="H43" s="17">
        <v>0.97609999999999997</v>
      </c>
      <c r="I43" s="17">
        <v>-303.16168081299998</v>
      </c>
      <c r="J43" s="17">
        <v>-303.16130868699997</v>
      </c>
      <c r="K43" s="17">
        <v>0.9758</v>
      </c>
      <c r="L43" s="17">
        <v>-303.16651372400003</v>
      </c>
      <c r="M43" s="36">
        <v>-303.16614717499999</v>
      </c>
      <c r="N43" s="36">
        <v>0.97619999999999996</v>
      </c>
      <c r="O43" s="17">
        <v>-9.09</v>
      </c>
      <c r="P43" s="17">
        <v>-9.34</v>
      </c>
      <c r="Q43" s="17">
        <v>0.98409999999999997</v>
      </c>
      <c r="R43" s="17">
        <v>-10.27</v>
      </c>
      <c r="S43" s="17">
        <v>-10.66</v>
      </c>
      <c r="T43" s="17">
        <v>0.97740000000000005</v>
      </c>
      <c r="U43" s="33">
        <v>285.64999999999998</v>
      </c>
      <c r="V43" s="17"/>
      <c r="W43" s="17">
        <v>4.8993000000000002E-2</v>
      </c>
      <c r="X43" s="17">
        <v>5.7070000000000003E-2</v>
      </c>
      <c r="Y43" s="17">
        <v>1.8350999999999999E-2</v>
      </c>
      <c r="Z43" s="196">
        <f t="shared" si="11"/>
        <v>24.296531900818088</v>
      </c>
      <c r="AA43" s="197">
        <f t="shared" si="12"/>
        <v>-9.09</v>
      </c>
      <c r="AB43" s="197">
        <f t="shared" si="13"/>
        <v>-8.8478255733832061</v>
      </c>
      <c r="AC43" s="197">
        <f t="shared" si="14"/>
        <v>-10.27</v>
      </c>
      <c r="AD43" s="197">
        <f t="shared" si="15"/>
        <v>-9.8972384118912586</v>
      </c>
      <c r="AE43" s="198">
        <f t="shared" si="16"/>
        <v>-190136.62245880626</v>
      </c>
      <c r="AF43" s="198">
        <f t="shared" si="17"/>
        <v>-190138.66375831154</v>
      </c>
      <c r="AG43" s="199">
        <f t="shared" si="18"/>
        <v>-190196.4748312986</v>
      </c>
      <c r="AH43" s="199">
        <f>((((2-0)/(2-H43))*F43+(1-((2-0)/(2-H43)))*G43)+X43)*($AW$3*$AW$4*10^-3/$AW$5)</f>
        <v>-190196.66590758521</v>
      </c>
      <c r="AI43" s="200">
        <f t="shared" si="20"/>
        <v>-190200.95678873692</v>
      </c>
      <c r="AJ43" s="200">
        <f t="shared" si="21"/>
        <v>-190201.17926629618</v>
      </c>
      <c r="AK43" s="201">
        <f t="shared" si="22"/>
        <v>-190203.98948524991</v>
      </c>
      <c r="AL43" s="201">
        <f t="shared" si="23"/>
        <v>-190204.20880405526</v>
      </c>
    </row>
    <row r="44" spans="1:38">
      <c r="A44" s="191" t="s">
        <v>546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33"/>
      <c r="V44" s="17"/>
      <c r="W44" s="17"/>
      <c r="X44" s="17"/>
      <c r="Y44" s="17"/>
      <c r="Z44" s="196">
        <f t="shared" si="11"/>
        <v>0</v>
      </c>
      <c r="AA44" s="197">
        <f t="shared" si="12"/>
        <v>0</v>
      </c>
      <c r="AB44" s="197">
        <f t="shared" si="13"/>
        <v>0</v>
      </c>
      <c r="AC44" s="197">
        <f t="shared" si="14"/>
        <v>0</v>
      </c>
      <c r="AD44" s="197">
        <f t="shared" si="15"/>
        <v>0</v>
      </c>
      <c r="AE44" s="198">
        <f t="shared" si="16"/>
        <v>0</v>
      </c>
      <c r="AF44" s="198">
        <f t="shared" si="17"/>
        <v>0</v>
      </c>
      <c r="AG44" s="199">
        <f t="shared" si="18"/>
        <v>0</v>
      </c>
      <c r="AH44" s="199">
        <f t="shared" si="19"/>
        <v>0</v>
      </c>
      <c r="AI44" s="200">
        <f t="shared" si="20"/>
        <v>0</v>
      </c>
      <c r="AJ44" s="200">
        <f t="shared" si="21"/>
        <v>0</v>
      </c>
      <c r="AK44" s="201">
        <f t="shared" si="22"/>
        <v>0</v>
      </c>
      <c r="AL44" s="201">
        <f t="shared" si="23"/>
        <v>0</v>
      </c>
    </row>
    <row r="45" spans="1:38">
      <c r="A45" s="191" t="s">
        <v>547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33"/>
      <c r="V45" s="17"/>
      <c r="W45" s="17"/>
      <c r="X45" s="17"/>
      <c r="Y45" s="17"/>
      <c r="Z45" s="196">
        <f t="shared" si="11"/>
        <v>0</v>
      </c>
      <c r="AA45" s="197">
        <f t="shared" si="12"/>
        <v>0</v>
      </c>
      <c r="AB45" s="197">
        <f t="shared" si="13"/>
        <v>0</v>
      </c>
      <c r="AC45" s="197">
        <f t="shared" si="14"/>
        <v>0</v>
      </c>
      <c r="AD45" s="197">
        <f t="shared" si="15"/>
        <v>0</v>
      </c>
      <c r="AE45" s="198">
        <f t="shared" si="16"/>
        <v>0</v>
      </c>
      <c r="AF45" s="198">
        <f t="shared" si="17"/>
        <v>0</v>
      </c>
      <c r="AG45" s="199">
        <f t="shared" si="18"/>
        <v>0</v>
      </c>
      <c r="AH45" s="199">
        <f t="shared" si="19"/>
        <v>0</v>
      </c>
      <c r="AI45" s="200">
        <f t="shared" si="20"/>
        <v>0</v>
      </c>
      <c r="AJ45" s="200">
        <f t="shared" si="21"/>
        <v>0</v>
      </c>
      <c r="AK45" s="201">
        <f t="shared" si="22"/>
        <v>0</v>
      </c>
      <c r="AL45" s="201">
        <f t="shared" si="23"/>
        <v>0</v>
      </c>
    </row>
    <row r="46" spans="1:38">
      <c r="A46" s="191" t="s">
        <v>548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33"/>
      <c r="V46" s="17"/>
      <c r="W46" s="17"/>
      <c r="X46" s="17"/>
      <c r="Y46" s="17"/>
      <c r="Z46" s="196">
        <f t="shared" si="11"/>
        <v>0</v>
      </c>
      <c r="AA46" s="197">
        <f t="shared" si="12"/>
        <v>0</v>
      </c>
      <c r="AB46" s="197">
        <f t="shared" si="13"/>
        <v>0</v>
      </c>
      <c r="AC46" s="197">
        <f t="shared" si="14"/>
        <v>0</v>
      </c>
      <c r="AD46" s="197">
        <f t="shared" si="15"/>
        <v>0</v>
      </c>
      <c r="AE46" s="198">
        <f t="shared" si="16"/>
        <v>0</v>
      </c>
      <c r="AF46" s="198">
        <f t="shared" si="17"/>
        <v>0</v>
      </c>
      <c r="AG46" s="199">
        <f t="shared" si="18"/>
        <v>0</v>
      </c>
      <c r="AH46" s="199">
        <f t="shared" si="19"/>
        <v>0</v>
      </c>
      <c r="AI46" s="200">
        <f t="shared" si="20"/>
        <v>0</v>
      </c>
      <c r="AJ46" s="200">
        <f t="shared" si="21"/>
        <v>0</v>
      </c>
      <c r="AK46" s="201">
        <f t="shared" si="22"/>
        <v>0</v>
      </c>
      <c r="AL46" s="201">
        <f t="shared" si="23"/>
        <v>0</v>
      </c>
    </row>
    <row r="47" spans="1:38">
      <c r="A47" s="191" t="s">
        <v>549</v>
      </c>
      <c r="B47" s="17">
        <v>-227.91220548000001</v>
      </c>
      <c r="C47" s="17">
        <v>-227.89576138199999</v>
      </c>
      <c r="D47" s="17"/>
      <c r="E47" s="17">
        <v>0.93759999999999999</v>
      </c>
      <c r="F47" s="17">
        <v>-227.96798224599999</v>
      </c>
      <c r="G47" s="17"/>
      <c r="H47" s="17">
        <v>0.93779999999999997</v>
      </c>
      <c r="I47" s="17">
        <v>-227.97307400700001</v>
      </c>
      <c r="J47" s="17"/>
      <c r="K47" s="17">
        <v>0.9385</v>
      </c>
      <c r="L47" s="17">
        <v>-227.97719711900001</v>
      </c>
      <c r="M47" s="17"/>
      <c r="N47" s="17">
        <v>0.93869999999999998</v>
      </c>
      <c r="O47" s="17">
        <v>-7.95</v>
      </c>
      <c r="P47" s="17"/>
      <c r="Q47" s="17">
        <v>0.9294</v>
      </c>
      <c r="R47" s="17"/>
      <c r="S47" s="17">
        <v>-8.82</v>
      </c>
      <c r="T47" s="17"/>
      <c r="U47" s="33">
        <v>0.93730000000000002</v>
      </c>
      <c r="V47" s="17"/>
      <c r="W47" s="17">
        <v>4.4262000000000003E-2</v>
      </c>
      <c r="X47" s="17">
        <v>5.1591999999999999E-2</v>
      </c>
      <c r="Y47" s="17">
        <v>1.5814999999999999E-2</v>
      </c>
      <c r="Z47" s="196">
        <f t="shared" si="11"/>
        <v>22.450399592333707</v>
      </c>
      <c r="AA47" s="197">
        <f t="shared" si="12"/>
        <v>-7.95</v>
      </c>
      <c r="AB47" s="197">
        <f t="shared" si="13"/>
        <v>-14.851485148514852</v>
      </c>
      <c r="AC47" s="197">
        <f t="shared" si="14"/>
        <v>0</v>
      </c>
      <c r="AD47" s="197">
        <f t="shared" si="15"/>
        <v>0</v>
      </c>
      <c r="AE47" s="198">
        <f t="shared" si="16"/>
        <v>-142974.33120186892</v>
      </c>
      <c r="AF47" s="198">
        <f t="shared" si="17"/>
        <v>-269182.05637838348</v>
      </c>
      <c r="AG47" s="199">
        <f t="shared" si="18"/>
        <v>-143019.65046440359</v>
      </c>
      <c r="AH47" s="199">
        <f t="shared" si="19"/>
        <v>-269318.07728898118</v>
      </c>
      <c r="AI47" s="200">
        <f t="shared" si="20"/>
        <v>-143022.84559169429</v>
      </c>
      <c r="AJ47" s="200">
        <f t="shared" si="21"/>
        <v>-269501.71890066733</v>
      </c>
      <c r="AK47" s="201">
        <f t="shared" si="22"/>
        <v>-143025.43288274619</v>
      </c>
      <c r="AL47" s="201">
        <f t="shared" si="23"/>
        <v>-269557.38779803441</v>
      </c>
    </row>
    <row r="48" spans="1:38">
      <c r="A48" s="191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33"/>
      <c r="V48" s="17"/>
      <c r="W48" s="17"/>
      <c r="X48" s="17"/>
      <c r="Y48" s="17"/>
      <c r="Z48" s="196">
        <f t="shared" si="11"/>
        <v>0</v>
      </c>
      <c r="AA48" s="197">
        <f t="shared" si="12"/>
        <v>0</v>
      </c>
      <c r="AB48" s="197">
        <f t="shared" si="13"/>
        <v>0</v>
      </c>
      <c r="AC48" s="197">
        <f t="shared" si="14"/>
        <v>0</v>
      </c>
      <c r="AD48" s="197">
        <f t="shared" si="15"/>
        <v>0</v>
      </c>
      <c r="AE48" s="198">
        <f t="shared" si="16"/>
        <v>0</v>
      </c>
      <c r="AF48" s="198">
        <f t="shared" si="17"/>
        <v>0</v>
      </c>
      <c r="AG48" s="199">
        <f t="shared" si="18"/>
        <v>0</v>
      </c>
      <c r="AH48" s="199">
        <f t="shared" si="19"/>
        <v>0</v>
      </c>
      <c r="AI48" s="200">
        <f t="shared" si="20"/>
        <v>0</v>
      </c>
      <c r="AJ48" s="200">
        <f t="shared" si="21"/>
        <v>0</v>
      </c>
      <c r="AK48" s="201">
        <f t="shared" si="22"/>
        <v>0</v>
      </c>
      <c r="AL48" s="201">
        <f t="shared" si="23"/>
        <v>0</v>
      </c>
    </row>
    <row r="49" spans="1:38">
      <c r="A49" s="191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33"/>
      <c r="V49" s="17"/>
      <c r="W49" s="17"/>
      <c r="X49" s="17"/>
      <c r="Y49" s="17"/>
      <c r="Z49" s="196">
        <f t="shared" si="11"/>
        <v>0</v>
      </c>
      <c r="AA49" s="197">
        <f t="shared" si="12"/>
        <v>0</v>
      </c>
      <c r="AB49" s="197">
        <f t="shared" si="13"/>
        <v>0</v>
      </c>
      <c r="AC49" s="197">
        <f t="shared" si="14"/>
        <v>0</v>
      </c>
      <c r="AD49" s="197">
        <f t="shared" si="15"/>
        <v>0</v>
      </c>
      <c r="AE49" s="198">
        <f t="shared" si="16"/>
        <v>0</v>
      </c>
      <c r="AF49" s="198">
        <f t="shared" si="17"/>
        <v>0</v>
      </c>
      <c r="AG49" s="199">
        <f t="shared" si="18"/>
        <v>0</v>
      </c>
      <c r="AH49" s="199">
        <f t="shared" si="19"/>
        <v>0</v>
      </c>
      <c r="AI49" s="200">
        <f t="shared" si="20"/>
        <v>0</v>
      </c>
      <c r="AJ49" s="200">
        <f t="shared" si="21"/>
        <v>0</v>
      </c>
      <c r="AK49" s="201">
        <f t="shared" si="22"/>
        <v>0</v>
      </c>
      <c r="AL49" s="201">
        <f t="shared" si="23"/>
        <v>0</v>
      </c>
    </row>
    <row r="50" spans="1:38">
      <c r="A50" s="191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33"/>
      <c r="V50" s="17"/>
      <c r="W50" s="17"/>
      <c r="X50" s="17"/>
      <c r="Y50" s="17"/>
      <c r="Z50" s="196">
        <f t="shared" si="11"/>
        <v>0</v>
      </c>
      <c r="AA50" s="197">
        <f t="shared" si="12"/>
        <v>0</v>
      </c>
      <c r="AB50" s="197">
        <f t="shared" si="13"/>
        <v>0</v>
      </c>
      <c r="AC50" s="197">
        <f t="shared" si="14"/>
        <v>0</v>
      </c>
      <c r="AD50" s="197">
        <f t="shared" si="15"/>
        <v>0</v>
      </c>
      <c r="AE50" s="198">
        <f t="shared" si="16"/>
        <v>0</v>
      </c>
      <c r="AF50" s="198">
        <f t="shared" si="17"/>
        <v>0</v>
      </c>
      <c r="AG50" s="199">
        <f t="shared" si="18"/>
        <v>0</v>
      </c>
      <c r="AH50" s="199">
        <f t="shared" si="19"/>
        <v>0</v>
      </c>
      <c r="AI50" s="200">
        <f t="shared" si="20"/>
        <v>0</v>
      </c>
      <c r="AJ50" s="200">
        <f t="shared" si="21"/>
        <v>0</v>
      </c>
      <c r="AK50" s="201">
        <f t="shared" si="22"/>
        <v>0</v>
      </c>
      <c r="AL50" s="201">
        <f t="shared" si="23"/>
        <v>0</v>
      </c>
    </row>
    <row r="51" spans="1:38">
      <c r="A51" s="191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33"/>
      <c r="V51" s="17"/>
      <c r="W51" s="17"/>
      <c r="X51" s="17"/>
      <c r="Y51" s="17"/>
      <c r="Z51" s="196">
        <f t="shared" si="11"/>
        <v>0</v>
      </c>
      <c r="AA51" s="197">
        <f t="shared" si="12"/>
        <v>0</v>
      </c>
      <c r="AB51" s="197">
        <f t="shared" si="13"/>
        <v>0</v>
      </c>
      <c r="AC51" s="197">
        <f t="shared" si="14"/>
        <v>0</v>
      </c>
      <c r="AD51" s="197">
        <f t="shared" si="15"/>
        <v>0</v>
      </c>
      <c r="AE51" s="198">
        <f t="shared" si="16"/>
        <v>0</v>
      </c>
      <c r="AF51" s="198">
        <f t="shared" si="17"/>
        <v>0</v>
      </c>
      <c r="AG51" s="199">
        <f t="shared" si="18"/>
        <v>0</v>
      </c>
      <c r="AH51" s="199">
        <f t="shared" si="19"/>
        <v>0</v>
      </c>
      <c r="AI51" s="200">
        <f t="shared" si="20"/>
        <v>0</v>
      </c>
      <c r="AJ51" s="200">
        <f t="shared" si="21"/>
        <v>0</v>
      </c>
      <c r="AK51" s="201">
        <f t="shared" si="22"/>
        <v>0</v>
      </c>
      <c r="AL51" s="201">
        <f t="shared" si="23"/>
        <v>0</v>
      </c>
    </row>
    <row r="52" spans="1:38">
      <c r="A52" s="191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33"/>
      <c r="V52" s="17"/>
      <c r="W52" s="17"/>
      <c r="X52" s="17"/>
      <c r="Y52" s="17"/>
      <c r="Z52" s="196">
        <f t="shared" si="11"/>
        <v>0</v>
      </c>
      <c r="AA52" s="197">
        <f t="shared" si="12"/>
        <v>0</v>
      </c>
      <c r="AB52" s="197">
        <f t="shared" si="13"/>
        <v>0</v>
      </c>
      <c r="AC52" s="197">
        <f t="shared" si="14"/>
        <v>0</v>
      </c>
      <c r="AD52" s="197">
        <f t="shared" si="15"/>
        <v>0</v>
      </c>
      <c r="AE52" s="198">
        <f t="shared" si="16"/>
        <v>0</v>
      </c>
      <c r="AF52" s="198">
        <f t="shared" si="17"/>
        <v>0</v>
      </c>
      <c r="AG52" s="199">
        <f t="shared" si="18"/>
        <v>0</v>
      </c>
      <c r="AH52" s="199">
        <f t="shared" si="19"/>
        <v>0</v>
      </c>
      <c r="AI52" s="200">
        <f t="shared" si="20"/>
        <v>0</v>
      </c>
      <c r="AJ52" s="200">
        <f t="shared" si="21"/>
        <v>0</v>
      </c>
      <c r="AK52" s="201">
        <f t="shared" si="22"/>
        <v>0</v>
      </c>
      <c r="AL52" s="201">
        <f t="shared" si="23"/>
        <v>0</v>
      </c>
    </row>
    <row r="53" spans="1:38">
      <c r="A53" s="191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33"/>
      <c r="V53" s="17"/>
      <c r="W53" s="17"/>
      <c r="X53" s="17"/>
      <c r="Y53" s="17"/>
      <c r="Z53" s="196">
        <f t="shared" si="11"/>
        <v>0</v>
      </c>
      <c r="AA53" s="197">
        <f t="shared" si="12"/>
        <v>0</v>
      </c>
      <c r="AB53" s="197">
        <f t="shared" si="13"/>
        <v>0</v>
      </c>
      <c r="AC53" s="197">
        <f t="shared" si="14"/>
        <v>0</v>
      </c>
      <c r="AD53" s="197">
        <f t="shared" si="15"/>
        <v>0</v>
      </c>
      <c r="AE53" s="198">
        <f t="shared" si="16"/>
        <v>0</v>
      </c>
      <c r="AF53" s="198">
        <f t="shared" si="17"/>
        <v>0</v>
      </c>
      <c r="AG53" s="199">
        <f t="shared" si="18"/>
        <v>0</v>
      </c>
      <c r="AH53" s="199">
        <f t="shared" si="19"/>
        <v>0</v>
      </c>
      <c r="AI53" s="200">
        <f t="shared" si="20"/>
        <v>0</v>
      </c>
      <c r="AJ53" s="200">
        <f t="shared" si="21"/>
        <v>0</v>
      </c>
      <c r="AK53" s="201">
        <f t="shared" si="22"/>
        <v>0</v>
      </c>
      <c r="AL53" s="201">
        <f t="shared" si="23"/>
        <v>0</v>
      </c>
    </row>
    <row r="54" spans="1:38">
      <c r="A54" s="191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33"/>
      <c r="V54" s="17"/>
      <c r="W54" s="17"/>
      <c r="X54" s="17"/>
      <c r="Y54" s="17"/>
      <c r="Z54" s="196">
        <f t="shared" si="11"/>
        <v>0</v>
      </c>
      <c r="AA54" s="197">
        <f t="shared" si="12"/>
        <v>0</v>
      </c>
      <c r="AB54" s="197">
        <f t="shared" si="13"/>
        <v>0</v>
      </c>
      <c r="AC54" s="197">
        <f t="shared" si="14"/>
        <v>0</v>
      </c>
      <c r="AD54" s="197">
        <f t="shared" si="15"/>
        <v>0</v>
      </c>
      <c r="AE54" s="198">
        <f t="shared" si="16"/>
        <v>0</v>
      </c>
      <c r="AF54" s="198">
        <f t="shared" si="17"/>
        <v>0</v>
      </c>
      <c r="AG54" s="199">
        <f t="shared" si="18"/>
        <v>0</v>
      </c>
      <c r="AH54" s="199">
        <f t="shared" si="19"/>
        <v>0</v>
      </c>
      <c r="AI54" s="200">
        <f t="shared" si="20"/>
        <v>0</v>
      </c>
      <c r="AJ54" s="200">
        <f t="shared" si="21"/>
        <v>0</v>
      </c>
      <c r="AK54" s="201">
        <f t="shared" si="22"/>
        <v>0</v>
      </c>
      <c r="AL54" s="201">
        <f t="shared" si="23"/>
        <v>0</v>
      </c>
    </row>
    <row r="55" spans="1:38">
      <c r="A55" s="191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33"/>
      <c r="V55" s="17"/>
      <c r="W55" s="17"/>
      <c r="X55" s="17"/>
      <c r="Y55" s="17"/>
      <c r="Z55" s="196">
        <f t="shared" si="11"/>
        <v>0</v>
      </c>
      <c r="AA55" s="197">
        <f t="shared" si="12"/>
        <v>0</v>
      </c>
      <c r="AB55" s="197">
        <f t="shared" si="13"/>
        <v>0</v>
      </c>
      <c r="AC55" s="197">
        <f t="shared" si="14"/>
        <v>0</v>
      </c>
      <c r="AD55" s="197">
        <f t="shared" si="15"/>
        <v>0</v>
      </c>
      <c r="AE55" s="198">
        <f t="shared" si="16"/>
        <v>0</v>
      </c>
      <c r="AF55" s="198">
        <f t="shared" si="17"/>
        <v>0</v>
      </c>
      <c r="AG55" s="199">
        <f t="shared" si="18"/>
        <v>0</v>
      </c>
      <c r="AH55" s="199">
        <f t="shared" si="19"/>
        <v>0</v>
      </c>
      <c r="AI55" s="200">
        <f t="shared" si="20"/>
        <v>0</v>
      </c>
      <c r="AJ55" s="200">
        <f t="shared" si="21"/>
        <v>0</v>
      </c>
      <c r="AK55" s="201">
        <f t="shared" si="22"/>
        <v>0</v>
      </c>
      <c r="AL55" s="201">
        <f t="shared" si="23"/>
        <v>0</v>
      </c>
    </row>
    <row r="56" spans="1:38">
      <c r="A56" s="191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33"/>
      <c r="V56" s="17"/>
      <c r="W56" s="17"/>
      <c r="X56" s="17"/>
      <c r="Y56" s="17"/>
      <c r="Z56" s="196">
        <f t="shared" si="11"/>
        <v>0</v>
      </c>
      <c r="AA56" s="197">
        <f t="shared" si="12"/>
        <v>0</v>
      </c>
      <c r="AB56" s="197">
        <f t="shared" si="13"/>
        <v>0</v>
      </c>
      <c r="AC56" s="197">
        <f t="shared" si="14"/>
        <v>0</v>
      </c>
      <c r="AD56" s="197">
        <f t="shared" si="15"/>
        <v>0</v>
      </c>
      <c r="AE56" s="198">
        <f t="shared" si="16"/>
        <v>0</v>
      </c>
      <c r="AF56" s="198">
        <f t="shared" si="17"/>
        <v>0</v>
      </c>
      <c r="AG56" s="199">
        <f t="shared" si="18"/>
        <v>0</v>
      </c>
      <c r="AH56" s="199">
        <f t="shared" si="19"/>
        <v>0</v>
      </c>
      <c r="AI56" s="200">
        <f t="shared" si="20"/>
        <v>0</v>
      </c>
      <c r="AJ56" s="200">
        <f t="shared" si="21"/>
        <v>0</v>
      </c>
      <c r="AK56" s="201">
        <f t="shared" si="22"/>
        <v>0</v>
      </c>
      <c r="AL56" s="201">
        <f t="shared" si="23"/>
        <v>0</v>
      </c>
    </row>
    <row r="58" spans="1:38">
      <c r="I58" s="1"/>
      <c r="J58" s="1"/>
      <c r="K58" s="1"/>
      <c r="L58" s="1"/>
      <c r="M58" s="1"/>
    </row>
    <row r="59" spans="1:38">
      <c r="N59" s="6">
        <f>AL35-AL32</f>
        <v>44.615510390591226</v>
      </c>
    </row>
    <row r="60" spans="1:38">
      <c r="W60" s="11">
        <f>(L43-2*L32)*($AW$3*$AW$4*10^-3/$AW$5)</f>
        <v>37.309737820627788</v>
      </c>
    </row>
    <row r="61" spans="1:38">
      <c r="T61" s="1" t="s">
        <v>544</v>
      </c>
      <c r="U61" s="1"/>
      <c r="V61" s="1"/>
    </row>
    <row r="62" spans="1:38">
      <c r="K62">
        <f>(AK43-Z43)-2*(AK32-Z32)</f>
        <v>43.867837329773465</v>
      </c>
      <c r="T62" s="36">
        <v>-151.61298529699999</v>
      </c>
      <c r="U62" s="1"/>
      <c r="V62" s="1"/>
    </row>
    <row r="63" spans="1:38">
      <c r="T63" s="1"/>
      <c r="U63" s="1"/>
      <c r="V63" s="1"/>
    </row>
    <row r="64" spans="1:38">
      <c r="T64" s="36">
        <v>-303.16651372400003</v>
      </c>
      <c r="U64" s="36">
        <v>-303.16614717499999</v>
      </c>
      <c r="V64" s="36">
        <v>0.97619999999999996</v>
      </c>
    </row>
    <row r="65" spans="16:35">
      <c r="T65" s="1"/>
      <c r="U65" s="1"/>
    </row>
    <row r="66" spans="16:35">
      <c r="T66" s="1"/>
      <c r="U66" s="1"/>
    </row>
    <row r="67" spans="16:35">
      <c r="T67" s="1" t="s">
        <v>545</v>
      </c>
      <c r="U67" s="1"/>
    </row>
    <row r="68" spans="16:35">
      <c r="T68" s="17">
        <v>-151.53262530200001</v>
      </c>
      <c r="U68" s="1"/>
    </row>
    <row r="70" spans="16:35">
      <c r="T70" s="17">
        <v>-302.95188075800002</v>
      </c>
      <c r="U70" s="17">
        <v>-303.00675545399997</v>
      </c>
      <c r="V70" s="17">
        <v>0.91110000000000002</v>
      </c>
    </row>
    <row r="74" spans="16:35">
      <c r="T74" s="1" t="s">
        <v>551</v>
      </c>
      <c r="U74" s="1"/>
    </row>
    <row r="75" spans="16:35">
      <c r="S75" s="1"/>
      <c r="T75" s="17">
        <v>-151.53262530200001</v>
      </c>
      <c r="U75" s="1"/>
    </row>
    <row r="76" spans="16:35">
      <c r="S76" s="1"/>
    </row>
    <row r="77" spans="16:35">
      <c r="S77" s="1"/>
      <c r="T77" s="17">
        <v>-302.95188075800002</v>
      </c>
      <c r="U77" s="17">
        <v>-303.00675545399997</v>
      </c>
      <c r="V77" s="17">
        <v>0.91110000000000002</v>
      </c>
    </row>
    <row r="78" spans="16:35">
      <c r="P78" s="6" t="s">
        <v>553</v>
      </c>
      <c r="S78" s="1"/>
      <c r="AH78" s="6">
        <f>(AL43-2*AL32)</f>
        <v>34.714668872533366</v>
      </c>
      <c r="AI78" s="6">
        <f>AK47-(AL33+AL32)</f>
        <v>60.532633969938615</v>
      </c>
    </row>
    <row r="79" spans="16:35">
      <c r="S79" s="1"/>
      <c r="T79" s="1"/>
      <c r="U79" s="1"/>
      <c r="AH79" s="6">
        <f>AL38-AL37</f>
        <v>69.65432461979799</v>
      </c>
    </row>
    <row r="80" spans="16:35">
      <c r="S80" s="1"/>
      <c r="T80" s="1"/>
      <c r="U80" s="1"/>
      <c r="AH80" s="6">
        <f>AL42-AL41</f>
        <v>70.880413225357188</v>
      </c>
    </row>
    <row r="81" spans="1:38">
      <c r="A81" s="15" t="s">
        <v>487</v>
      </c>
      <c r="B81" s="15"/>
      <c r="C81" s="15"/>
      <c r="D81" s="15"/>
      <c r="E81" s="15"/>
      <c r="F81" s="15"/>
      <c r="G81" s="15"/>
    </row>
    <row r="82" spans="1:38" ht="75">
      <c r="A82" s="178" t="s">
        <v>554</v>
      </c>
      <c r="B82" s="190" t="s">
        <v>526</v>
      </c>
      <c r="C82" s="190" t="s">
        <v>488</v>
      </c>
      <c r="D82" s="190" t="s">
        <v>489</v>
      </c>
      <c r="E82" s="178" t="s">
        <v>476</v>
      </c>
      <c r="F82" s="190" t="s">
        <v>490</v>
      </c>
      <c r="G82" s="190" t="s">
        <v>491</v>
      </c>
      <c r="H82" s="178" t="s">
        <v>492</v>
      </c>
      <c r="I82" s="190" t="s">
        <v>493</v>
      </c>
      <c r="J82" s="190" t="s">
        <v>494</v>
      </c>
      <c r="K82" s="178" t="s">
        <v>495</v>
      </c>
      <c r="L82" s="190" t="s">
        <v>496</v>
      </c>
      <c r="M82" s="190" t="s">
        <v>497</v>
      </c>
      <c r="N82" s="178" t="s">
        <v>498</v>
      </c>
      <c r="O82" s="190" t="s">
        <v>530</v>
      </c>
      <c r="P82" s="190" t="s">
        <v>531</v>
      </c>
      <c r="Q82" s="195" t="s">
        <v>533</v>
      </c>
      <c r="R82" s="190" t="s">
        <v>534</v>
      </c>
      <c r="S82" s="190" t="s">
        <v>535</v>
      </c>
      <c r="T82" s="195" t="s">
        <v>536</v>
      </c>
      <c r="U82" s="190" t="s">
        <v>555</v>
      </c>
      <c r="V82" s="190" t="s">
        <v>478</v>
      </c>
      <c r="W82" s="190" t="s">
        <v>556</v>
      </c>
      <c r="X82" s="190" t="s">
        <v>557</v>
      </c>
      <c r="Y82" s="190" t="s">
        <v>558</v>
      </c>
      <c r="Z82" s="190" t="s">
        <v>559</v>
      </c>
      <c r="AA82" s="202" t="s">
        <v>507</v>
      </c>
      <c r="AB82" s="202" t="s">
        <v>508</v>
      </c>
      <c r="AC82" s="202" t="s">
        <v>537</v>
      </c>
      <c r="AD82" s="202" t="s">
        <v>538</v>
      </c>
      <c r="AE82" s="203" t="s">
        <v>500</v>
      </c>
      <c r="AF82" s="203" t="s">
        <v>499</v>
      </c>
      <c r="AG82" s="204" t="s">
        <v>501</v>
      </c>
      <c r="AH82" s="204" t="s">
        <v>502</v>
      </c>
      <c r="AI82" s="205" t="s">
        <v>503</v>
      </c>
      <c r="AJ82" s="205" t="s">
        <v>504</v>
      </c>
      <c r="AK82" s="206" t="s">
        <v>505</v>
      </c>
      <c r="AL82" s="206" t="s">
        <v>506</v>
      </c>
    </row>
    <row r="83" spans="1:38">
      <c r="A83" s="191" t="s">
        <v>583</v>
      </c>
      <c r="B83" s="17"/>
      <c r="C83" s="17">
        <v>-151.55840975999999</v>
      </c>
      <c r="D83" s="17"/>
      <c r="E83" s="17"/>
      <c r="F83" s="17">
        <v>-151.606570484</v>
      </c>
      <c r="G83" s="17"/>
      <c r="H83" s="17"/>
      <c r="I83" s="17">
        <v>-151.61086883199999</v>
      </c>
      <c r="J83" s="17"/>
      <c r="K83" s="17"/>
      <c r="L83" s="17">
        <v>-151.613045137</v>
      </c>
      <c r="M83" s="17"/>
      <c r="N83" s="17"/>
      <c r="O83" s="17">
        <v>-9.07</v>
      </c>
      <c r="P83" s="17"/>
      <c r="Q83" s="17"/>
      <c r="R83" s="17">
        <v>-9.8800000000000008</v>
      </c>
      <c r="S83" s="17"/>
      <c r="T83" s="17"/>
      <c r="U83" s="33"/>
      <c r="V83" s="17"/>
      <c r="W83" s="17">
        <v>2.6051999999999999E-2</v>
      </c>
      <c r="X83" s="17">
        <v>3.8075999999999999E-2</v>
      </c>
      <c r="Y83" s="17">
        <v>-2.8889999999999999E-2</v>
      </c>
      <c r="Z83" s="196">
        <f>(X83-Y83)*($AW$3*$AW$4*10^-3/$AW$5)</f>
        <v>42.021786597540846</v>
      </c>
      <c r="AA83" s="197">
        <f>O83</f>
        <v>-9.07</v>
      </c>
      <c r="AB83" s="197">
        <f>((((2-0)/(2-Q83))*O83+(1-((2-0)/(2-Q83)))*P83))</f>
        <v>-9.07</v>
      </c>
      <c r="AC83" s="197">
        <f>R83</f>
        <v>-9.8800000000000008</v>
      </c>
      <c r="AD83" s="197">
        <f>((((2-0)/(2-T83))*R83+(1-((2-0)/(2-T83)))*S83))</f>
        <v>-9.8800000000000008</v>
      </c>
      <c r="AE83" s="198">
        <f>(C83+X83)*($AW$3*$AW$4*10^-3/$AW$5)</f>
        <v>-95080.415889419761</v>
      </c>
      <c r="AF83" s="198">
        <f>((((2-0)/(2-E83))*C83+(1-((2-0)/(2-E83)))*D83)+X83)*($AW$3*$AW$4*10^-3/$AW$5)</f>
        <v>-95080.415889419761</v>
      </c>
      <c r="AG83" s="199">
        <f>(F83+X83)*($AW$3*$AW$4*10^-3/$AW$5)</f>
        <v>-95110.637190771362</v>
      </c>
      <c r="AH83" s="199">
        <f>((((2-0)/(2-H83))*F83+(1-((2-0)/(2-H83)))*G83)+X83)*($AW$3*$AW$4*10^-3/$AW$5)</f>
        <v>-95110.637190771362</v>
      </c>
      <c r="AI83" s="200">
        <f>(I83+X83)*($AW$3*$AW$4*10^-3/$AW$5)</f>
        <v>-95113.33444403985</v>
      </c>
      <c r="AJ83" s="200">
        <f>((((2-0)/(2-K83))*I83+(1-((2-0)/(2-K83)))*J83)+X83)*($AW$3*$AW$4*10^-3/$AW$5)</f>
        <v>-95113.33444403985</v>
      </c>
      <c r="AK83" s="201">
        <f>(L83+X83)*($AW$3*$AW$4*10^-3/$AW$5)</f>
        <v>-95114.700095628446</v>
      </c>
      <c r="AL83" s="201">
        <f>((((2-0)/(2-N83))*L83+(1-((2-0)/(2-N83)))*M83)+X83)*($AW$3*$AW$4*10^-3/$AW$5)</f>
        <v>-95114.700095628446</v>
      </c>
    </row>
    <row r="84" spans="1:38">
      <c r="A84" s="191" t="s">
        <v>584</v>
      </c>
      <c r="B84" s="17"/>
      <c r="C84" s="17">
        <v>-151.55840975999999</v>
      </c>
      <c r="D84" s="17"/>
      <c r="E84" s="17"/>
      <c r="F84" s="17">
        <v>-151.606570484</v>
      </c>
      <c r="G84" s="17"/>
      <c r="H84" s="17"/>
      <c r="I84" s="17">
        <v>-151.61086883199999</v>
      </c>
      <c r="J84" s="17"/>
      <c r="K84" s="17"/>
      <c r="L84" s="17">
        <v>-151.613045137</v>
      </c>
      <c r="M84" s="17"/>
      <c r="N84" s="17"/>
      <c r="O84" s="17">
        <v>-9.07</v>
      </c>
      <c r="P84" s="17"/>
      <c r="Q84" s="17"/>
      <c r="R84" s="17">
        <v>-9.8800000000000008</v>
      </c>
      <c r="S84" s="17"/>
      <c r="T84" s="17"/>
      <c r="U84" s="33"/>
      <c r="V84" s="17"/>
      <c r="W84" s="17">
        <v>2.6051999999999999E-2</v>
      </c>
      <c r="X84" s="17">
        <v>3.8252000000000001E-2</v>
      </c>
      <c r="Y84" s="17">
        <v>-2.9659999999999999E-2</v>
      </c>
      <c r="Z84" s="196">
        <f t="shared" ref="Z84:Z128" si="24">(X84-Y84)*($AW$3*$AW$4*10^-3/$AW$5)</f>
        <v>42.615410378583071</v>
      </c>
      <c r="AA84" s="197">
        <f t="shared" ref="AA84:AA128" si="25">O84</f>
        <v>-9.07</v>
      </c>
      <c r="AB84" s="197">
        <f t="shared" ref="AB84:AB128" si="26">((((2-0)/(2-Q84))*O84+(1-((2-0)/(2-Q84)))*P84))</f>
        <v>-9.07</v>
      </c>
      <c r="AC84" s="197">
        <f t="shared" ref="AC84:AC128" si="27">R84</f>
        <v>-9.8800000000000008</v>
      </c>
      <c r="AD84" s="197">
        <f t="shared" ref="AD84:AD128" si="28">((((2-0)/(2-T84))*R84+(1-((2-0)/(2-T84)))*S84))</f>
        <v>-9.8800000000000008</v>
      </c>
      <c r="AE84" s="198">
        <f t="shared" ref="AE84:AE128" si="29">(C84+X84)*($AW$3*$AW$4*10^-3/$AW$5)</f>
        <v>-95080.305447786071</v>
      </c>
      <c r="AF84" s="198">
        <f t="shared" ref="AF84:AF128" si="30">((((2-0)/(2-E84))*C84+(1-((2-0)/(2-E84)))*D84)+X84)*($AW$3*$AW$4*10^-3/$AW$5)</f>
        <v>-95080.305447786071</v>
      </c>
      <c r="AG84" s="199">
        <f t="shared" ref="AG84:AG128" si="31">(F84+X84)*($AW$3*$AW$4*10^-3/$AW$5)</f>
        <v>-95110.526749137673</v>
      </c>
      <c r="AH84" s="199">
        <f t="shared" ref="AH84:AH128" si="32">((((2-0)/(2-H84))*F84+(1-((2-0)/(2-H84)))*G84)+X84)*($AW$3*$AW$4*10^-3/$AW$5)</f>
        <v>-95110.526749137673</v>
      </c>
      <c r="AI84" s="200">
        <f t="shared" ref="AI84:AI128" si="33">(I84+X84)*($AW$3*$AW$4*10^-3/$AW$5)</f>
        <v>-95113.224002406161</v>
      </c>
      <c r="AJ84" s="200">
        <f t="shared" ref="AJ84:AJ128" si="34">((((2-0)/(2-K84))*I84+(1-((2-0)/(2-K84)))*J84)+X84)*($AW$3*$AW$4*10^-3/$AW$5)</f>
        <v>-95113.224002406161</v>
      </c>
      <c r="AK84" s="201">
        <f t="shared" ref="AK84:AK128" si="35">(L84+X84)*($AW$3*$AW$4*10^-3/$AW$5)</f>
        <v>-95114.589653994757</v>
      </c>
      <c r="AL84" s="201">
        <f t="shared" ref="AL84:AL128" si="36">((((2-0)/(2-N84))*L84+(1-((2-0)/(2-N84)))*M84)+X84)*($AW$3*$AW$4*10^-3/$AW$5)</f>
        <v>-95114.589653994757</v>
      </c>
    </row>
    <row r="85" spans="1:38">
      <c r="A85" s="191" t="s">
        <v>585</v>
      </c>
      <c r="B85" s="17"/>
      <c r="C85" s="17">
        <v>-151.55840975999999</v>
      </c>
      <c r="D85" s="17"/>
      <c r="E85" s="17"/>
      <c r="F85" s="17">
        <v>-151.606570484</v>
      </c>
      <c r="G85" s="17"/>
      <c r="H85" s="17"/>
      <c r="I85" s="17">
        <v>-151.61086883199999</v>
      </c>
      <c r="J85" s="17"/>
      <c r="K85" s="17"/>
      <c r="L85" s="17">
        <v>-151.613045137</v>
      </c>
      <c r="M85" s="17"/>
      <c r="N85" s="17"/>
      <c r="O85" s="17">
        <v>-9.07</v>
      </c>
      <c r="P85" s="17"/>
      <c r="Q85" s="17"/>
      <c r="R85" s="17">
        <v>-9.8800000000000008</v>
      </c>
      <c r="S85" s="17"/>
      <c r="T85" s="17"/>
      <c r="U85" s="33"/>
      <c r="V85" s="17"/>
      <c r="W85" s="17">
        <v>2.6051999999999999E-2</v>
      </c>
      <c r="X85" s="17">
        <v>3.8443999999999999E-2</v>
      </c>
      <c r="Y85" s="17">
        <v>-3.0499999999999999E-2</v>
      </c>
      <c r="Z85" s="196">
        <f t="shared" si="24"/>
        <v>43.262999957901862</v>
      </c>
      <c r="AA85" s="197">
        <f t="shared" si="25"/>
        <v>-9.07</v>
      </c>
      <c r="AB85" s="197">
        <f t="shared" si="26"/>
        <v>-9.07</v>
      </c>
      <c r="AC85" s="197">
        <f t="shared" si="27"/>
        <v>-9.8800000000000008</v>
      </c>
      <c r="AD85" s="197">
        <f t="shared" si="28"/>
        <v>-9.8800000000000008</v>
      </c>
      <c r="AE85" s="198">
        <f t="shared" si="29"/>
        <v>-95080.184966003872</v>
      </c>
      <c r="AF85" s="198">
        <f t="shared" si="30"/>
        <v>-95080.184966003872</v>
      </c>
      <c r="AG85" s="199">
        <f t="shared" si="31"/>
        <v>-95110.406267355473</v>
      </c>
      <c r="AH85" s="199">
        <f t="shared" si="32"/>
        <v>-95110.406267355473</v>
      </c>
      <c r="AI85" s="200">
        <f t="shared" si="33"/>
        <v>-95113.103520623961</v>
      </c>
      <c r="AJ85" s="200">
        <f t="shared" si="34"/>
        <v>-95113.103520623961</v>
      </c>
      <c r="AK85" s="201">
        <f t="shared" si="35"/>
        <v>-95114.469172212557</v>
      </c>
      <c r="AL85" s="201">
        <f t="shared" si="36"/>
        <v>-95114.469172212557</v>
      </c>
    </row>
    <row r="86" spans="1:38">
      <c r="A86" s="191" t="s">
        <v>586</v>
      </c>
      <c r="B86" s="17"/>
      <c r="C86" s="17">
        <v>-151.55840975999999</v>
      </c>
      <c r="D86" s="17"/>
      <c r="E86" s="17"/>
      <c r="F86" s="17">
        <v>-151.606570484</v>
      </c>
      <c r="G86" s="17"/>
      <c r="H86" s="17"/>
      <c r="I86" s="17">
        <v>-151.61086883199999</v>
      </c>
      <c r="J86" s="17"/>
      <c r="K86" s="17"/>
      <c r="L86" s="17">
        <v>-151.613045137</v>
      </c>
      <c r="M86" s="17"/>
      <c r="N86" s="17"/>
      <c r="O86" s="17">
        <v>-9.07</v>
      </c>
      <c r="P86" s="17"/>
      <c r="Q86" s="17"/>
      <c r="R86" s="17">
        <v>-9.8800000000000008</v>
      </c>
      <c r="S86" s="17"/>
      <c r="T86" s="17"/>
      <c r="U86" s="33"/>
      <c r="V86" s="17"/>
      <c r="W86" s="17">
        <v>2.6051999999999999E-2</v>
      </c>
      <c r="X86" s="17">
        <v>3.8668000000000001E-2</v>
      </c>
      <c r="Y86" s="17">
        <v>-3.1475999999999997E-2</v>
      </c>
      <c r="Z86" s="196">
        <f t="shared" si="24"/>
        <v>44.01601109664464</v>
      </c>
      <c r="AA86" s="197">
        <f t="shared" si="25"/>
        <v>-9.07</v>
      </c>
      <c r="AB86" s="197">
        <f t="shared" si="26"/>
        <v>-9.07</v>
      </c>
      <c r="AC86" s="197">
        <f t="shared" si="27"/>
        <v>-9.8800000000000008</v>
      </c>
      <c r="AD86" s="197">
        <f t="shared" si="28"/>
        <v>-9.8800000000000008</v>
      </c>
      <c r="AE86" s="198">
        <f t="shared" si="29"/>
        <v>-95080.044403924636</v>
      </c>
      <c r="AF86" s="198">
        <f t="shared" si="30"/>
        <v>-95080.044403924636</v>
      </c>
      <c r="AG86" s="199">
        <f t="shared" si="31"/>
        <v>-95110.265705276237</v>
      </c>
      <c r="AH86" s="199">
        <f t="shared" si="32"/>
        <v>-95110.265705276237</v>
      </c>
      <c r="AI86" s="200">
        <f t="shared" si="33"/>
        <v>-95112.962958544726</v>
      </c>
      <c r="AJ86" s="200">
        <f t="shared" si="34"/>
        <v>-95112.962958544726</v>
      </c>
      <c r="AK86" s="201">
        <f t="shared" si="35"/>
        <v>-95114.328610133321</v>
      </c>
      <c r="AL86" s="201">
        <f t="shared" si="36"/>
        <v>-95114.328610133321</v>
      </c>
    </row>
    <row r="87" spans="1:38">
      <c r="A87" s="191" t="s">
        <v>587</v>
      </c>
      <c r="B87" s="17"/>
      <c r="C87" s="17">
        <v>-151.55840975999999</v>
      </c>
      <c r="D87" s="17"/>
      <c r="E87" s="17"/>
      <c r="F87" s="17">
        <v>-151.606570484</v>
      </c>
      <c r="G87" s="17"/>
      <c r="H87" s="17"/>
      <c r="I87" s="17">
        <v>-151.61086883199999</v>
      </c>
      <c r="J87" s="17"/>
      <c r="K87" s="17"/>
      <c r="L87" s="17">
        <v>-151.613045137</v>
      </c>
      <c r="M87" s="17"/>
      <c r="N87" s="17"/>
      <c r="O87" s="17">
        <v>-9.07</v>
      </c>
      <c r="P87" s="17"/>
      <c r="Q87" s="17"/>
      <c r="R87" s="17">
        <v>-9.8800000000000008</v>
      </c>
      <c r="S87" s="17"/>
      <c r="T87" s="17"/>
      <c r="U87" s="33"/>
      <c r="V87" s="17"/>
      <c r="W87" s="17">
        <v>2.6051999999999999E-2</v>
      </c>
      <c r="X87" s="17">
        <v>3.8885999999999997E-2</v>
      </c>
      <c r="Y87" s="17">
        <v>-3.2426999999999997E-2</v>
      </c>
      <c r="Z87" s="196">
        <f t="shared" si="24"/>
        <v>44.74956944763656</v>
      </c>
      <c r="AA87" s="197">
        <f t="shared" si="25"/>
        <v>-9.07</v>
      </c>
      <c r="AB87" s="197">
        <f t="shared" si="26"/>
        <v>-9.07</v>
      </c>
      <c r="AC87" s="197">
        <f t="shared" si="27"/>
        <v>-9.8800000000000008</v>
      </c>
      <c r="AD87" s="197">
        <f t="shared" si="28"/>
        <v>-9.8800000000000008</v>
      </c>
      <c r="AE87" s="198">
        <f t="shared" si="29"/>
        <v>-95079.907606901106</v>
      </c>
      <c r="AF87" s="198">
        <f t="shared" si="30"/>
        <v>-95079.907606901106</v>
      </c>
      <c r="AG87" s="199">
        <f t="shared" si="31"/>
        <v>-95110.128908252707</v>
      </c>
      <c r="AH87" s="199">
        <f t="shared" si="32"/>
        <v>-95110.128908252707</v>
      </c>
      <c r="AI87" s="200">
        <f t="shared" si="33"/>
        <v>-95112.826161521196</v>
      </c>
      <c r="AJ87" s="200">
        <f t="shared" si="34"/>
        <v>-95112.826161521196</v>
      </c>
      <c r="AK87" s="201">
        <f t="shared" si="35"/>
        <v>-95114.191813109792</v>
      </c>
      <c r="AL87" s="201">
        <f t="shared" si="36"/>
        <v>-95114.191813109792</v>
      </c>
    </row>
    <row r="88" spans="1:38">
      <c r="A88" s="191" t="s">
        <v>182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>
        <v>-151.53268281000001</v>
      </c>
      <c r="M88" s="17"/>
      <c r="N88" s="17"/>
      <c r="O88" s="17"/>
      <c r="P88" s="17"/>
      <c r="Q88" s="17"/>
      <c r="R88" s="17"/>
      <c r="S88" s="17"/>
      <c r="T88" s="17"/>
      <c r="U88" s="33"/>
      <c r="V88" s="17"/>
      <c r="W88" s="17">
        <v>2.6051999999999999E-2</v>
      </c>
      <c r="X88" s="17">
        <v>3.9076E-2</v>
      </c>
      <c r="Y88" s="17">
        <v>-3.3257599999999998E-2</v>
      </c>
      <c r="Z88" s="196">
        <f t="shared" si="24"/>
        <v>45.390005421137296</v>
      </c>
      <c r="AA88" s="197">
        <f t="shared" si="25"/>
        <v>0</v>
      </c>
      <c r="AB88" s="197">
        <f t="shared" si="26"/>
        <v>0</v>
      </c>
      <c r="AC88" s="197">
        <f t="shared" si="27"/>
        <v>0</v>
      </c>
      <c r="AD88" s="197">
        <f t="shared" si="28"/>
        <v>0</v>
      </c>
      <c r="AE88" s="198">
        <f t="shared" si="29"/>
        <v>24.520552714594064</v>
      </c>
      <c r="AF88" s="198">
        <f t="shared" si="30"/>
        <v>24.520552714594064</v>
      </c>
      <c r="AG88" s="199">
        <f t="shared" si="31"/>
        <v>24.520552714594064</v>
      </c>
      <c r="AH88" s="199">
        <f t="shared" si="32"/>
        <v>24.520552714594064</v>
      </c>
      <c r="AI88" s="200">
        <f t="shared" si="33"/>
        <v>24.520552714594064</v>
      </c>
      <c r="AJ88" s="200">
        <f t="shared" si="34"/>
        <v>24.520552714594064</v>
      </c>
      <c r="AK88" s="201">
        <f t="shared" si="35"/>
        <v>-95063.644480207586</v>
      </c>
      <c r="AL88" s="201">
        <f t="shared" si="36"/>
        <v>-95063.644480207586</v>
      </c>
    </row>
    <row r="89" spans="1:38">
      <c r="A89" s="191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33"/>
      <c r="V89" s="17"/>
      <c r="W89" s="17"/>
      <c r="X89" s="17"/>
      <c r="Y89" s="17"/>
      <c r="Z89" s="196">
        <f t="shared" si="24"/>
        <v>0</v>
      </c>
      <c r="AA89" s="197">
        <f t="shared" si="25"/>
        <v>0</v>
      </c>
      <c r="AB89" s="197">
        <f t="shared" si="26"/>
        <v>0</v>
      </c>
      <c r="AC89" s="197">
        <f t="shared" si="27"/>
        <v>0</v>
      </c>
      <c r="AD89" s="197">
        <f t="shared" si="28"/>
        <v>0</v>
      </c>
      <c r="AE89" s="198">
        <f t="shared" si="29"/>
        <v>0</v>
      </c>
      <c r="AF89" s="198">
        <f t="shared" si="30"/>
        <v>0</v>
      </c>
      <c r="AG89" s="199">
        <f t="shared" si="31"/>
        <v>0</v>
      </c>
      <c r="AH89" s="199">
        <f t="shared" si="32"/>
        <v>0</v>
      </c>
      <c r="AI89" s="200">
        <f t="shared" si="33"/>
        <v>0</v>
      </c>
      <c r="AJ89" s="200">
        <f t="shared" si="34"/>
        <v>0</v>
      </c>
      <c r="AK89" s="201">
        <f t="shared" si="35"/>
        <v>0</v>
      </c>
      <c r="AL89" s="201">
        <f t="shared" si="36"/>
        <v>0</v>
      </c>
    </row>
    <row r="90" spans="1:38">
      <c r="A90" s="191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33"/>
      <c r="V90" s="17"/>
      <c r="W90" s="17"/>
      <c r="X90" s="17"/>
      <c r="Y90" s="17"/>
      <c r="Z90" s="196">
        <f t="shared" si="24"/>
        <v>0</v>
      </c>
      <c r="AA90" s="197">
        <f t="shared" si="25"/>
        <v>0</v>
      </c>
      <c r="AB90" s="197">
        <f t="shared" si="26"/>
        <v>0</v>
      </c>
      <c r="AC90" s="197">
        <f t="shared" si="27"/>
        <v>0</v>
      </c>
      <c r="AD90" s="197">
        <f t="shared" si="28"/>
        <v>0</v>
      </c>
      <c r="AE90" s="198">
        <f t="shared" si="29"/>
        <v>0</v>
      </c>
      <c r="AF90" s="198">
        <f t="shared" si="30"/>
        <v>0</v>
      </c>
      <c r="AG90" s="199">
        <f t="shared" si="31"/>
        <v>0</v>
      </c>
      <c r="AH90" s="199">
        <f t="shared" si="32"/>
        <v>0</v>
      </c>
      <c r="AI90" s="200">
        <f t="shared" si="33"/>
        <v>0</v>
      </c>
      <c r="AJ90" s="200">
        <f t="shared" si="34"/>
        <v>0</v>
      </c>
      <c r="AK90" s="201">
        <f t="shared" si="35"/>
        <v>0</v>
      </c>
      <c r="AL90" s="201">
        <f t="shared" si="36"/>
        <v>0</v>
      </c>
    </row>
    <row r="91" spans="1:38">
      <c r="A91" s="191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33"/>
      <c r="V91" s="17"/>
      <c r="W91" s="17"/>
      <c r="X91" s="17"/>
      <c r="Y91" s="17"/>
      <c r="Z91" s="196">
        <f t="shared" si="24"/>
        <v>0</v>
      </c>
      <c r="AA91" s="197">
        <f t="shared" si="25"/>
        <v>0</v>
      </c>
      <c r="AB91" s="197">
        <f t="shared" si="26"/>
        <v>0</v>
      </c>
      <c r="AC91" s="197">
        <f t="shared" si="27"/>
        <v>0</v>
      </c>
      <c r="AD91" s="197">
        <f t="shared" si="28"/>
        <v>0</v>
      </c>
      <c r="AE91" s="198">
        <f t="shared" si="29"/>
        <v>0</v>
      </c>
      <c r="AF91" s="198">
        <f t="shared" si="30"/>
        <v>0</v>
      </c>
      <c r="AG91" s="199">
        <f t="shared" si="31"/>
        <v>0</v>
      </c>
      <c r="AH91" s="199">
        <f t="shared" si="32"/>
        <v>0</v>
      </c>
      <c r="AI91" s="200">
        <f t="shared" si="33"/>
        <v>0</v>
      </c>
      <c r="AJ91" s="200">
        <f t="shared" si="34"/>
        <v>0</v>
      </c>
      <c r="AK91" s="201">
        <f t="shared" si="35"/>
        <v>0</v>
      </c>
      <c r="AL91" s="201">
        <f t="shared" si="36"/>
        <v>0</v>
      </c>
    </row>
    <row r="92" spans="1:38">
      <c r="A92" s="191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33"/>
      <c r="V92" s="17"/>
      <c r="W92" s="17"/>
      <c r="X92" s="17"/>
      <c r="Y92" s="17"/>
      <c r="Z92" s="196">
        <f t="shared" si="24"/>
        <v>0</v>
      </c>
      <c r="AA92" s="197">
        <f t="shared" si="25"/>
        <v>0</v>
      </c>
      <c r="AB92" s="197">
        <f t="shared" si="26"/>
        <v>0</v>
      </c>
      <c r="AC92" s="197">
        <f t="shared" si="27"/>
        <v>0</v>
      </c>
      <c r="AD92" s="197">
        <f t="shared" si="28"/>
        <v>0</v>
      </c>
      <c r="AE92" s="198">
        <f t="shared" si="29"/>
        <v>0</v>
      </c>
      <c r="AF92" s="198">
        <f t="shared" si="30"/>
        <v>0</v>
      </c>
      <c r="AG92" s="199">
        <f t="shared" si="31"/>
        <v>0</v>
      </c>
      <c r="AH92" s="199">
        <f t="shared" si="32"/>
        <v>0</v>
      </c>
      <c r="AI92" s="200">
        <f t="shared" si="33"/>
        <v>0</v>
      </c>
      <c r="AJ92" s="200">
        <f t="shared" si="34"/>
        <v>0</v>
      </c>
      <c r="AK92" s="201">
        <f t="shared" si="35"/>
        <v>0</v>
      </c>
      <c r="AL92" s="201">
        <f t="shared" si="36"/>
        <v>0</v>
      </c>
    </row>
    <row r="93" spans="1:38">
      <c r="A93" s="191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33"/>
      <c r="V93" s="17"/>
      <c r="W93" s="17"/>
      <c r="X93" s="17"/>
      <c r="Y93" s="17"/>
      <c r="Z93" s="196">
        <f t="shared" si="24"/>
        <v>0</v>
      </c>
      <c r="AA93" s="197">
        <f t="shared" si="25"/>
        <v>0</v>
      </c>
      <c r="AB93" s="197">
        <f t="shared" si="26"/>
        <v>0</v>
      </c>
      <c r="AC93" s="197">
        <f t="shared" si="27"/>
        <v>0</v>
      </c>
      <c r="AD93" s="197">
        <f t="shared" si="28"/>
        <v>0</v>
      </c>
      <c r="AE93" s="198">
        <f t="shared" si="29"/>
        <v>0</v>
      </c>
      <c r="AF93" s="198">
        <f t="shared" si="30"/>
        <v>0</v>
      </c>
      <c r="AG93" s="199">
        <f t="shared" si="31"/>
        <v>0</v>
      </c>
      <c r="AH93" s="199">
        <f t="shared" si="32"/>
        <v>0</v>
      </c>
      <c r="AI93" s="200">
        <f t="shared" si="33"/>
        <v>0</v>
      </c>
      <c r="AJ93" s="200">
        <f t="shared" si="34"/>
        <v>0</v>
      </c>
      <c r="AK93" s="201">
        <f t="shared" si="35"/>
        <v>0</v>
      </c>
      <c r="AL93" s="201">
        <f t="shared" si="36"/>
        <v>0</v>
      </c>
    </row>
    <row r="94" spans="1:38">
      <c r="A94" s="191" t="s">
        <v>567</v>
      </c>
      <c r="B94" s="17"/>
      <c r="C94" s="17">
        <v>-303.05946925000001</v>
      </c>
      <c r="D94" s="17"/>
      <c r="E94" s="17">
        <v>0.97940000000000005</v>
      </c>
      <c r="F94" s="17">
        <v>-303.15460073399998</v>
      </c>
      <c r="G94" s="17">
        <v>-303.15011414000003</v>
      </c>
      <c r="H94" s="17">
        <v>0.97919999999999996</v>
      </c>
      <c r="I94" s="17">
        <v>-303.16178774299999</v>
      </c>
      <c r="J94" s="17">
        <v>-303.157405643</v>
      </c>
      <c r="K94" s="17">
        <v>0.97899999999999998</v>
      </c>
      <c r="L94" s="17">
        <v>-303.166620233</v>
      </c>
      <c r="M94" s="36">
        <v>-303.16217384700002</v>
      </c>
      <c r="N94" s="36">
        <v>0.97929999999999995</v>
      </c>
      <c r="O94" s="17">
        <v>-9.0399999999999991</v>
      </c>
      <c r="P94" s="17">
        <v>-10.27</v>
      </c>
      <c r="Q94" s="194">
        <v>0.98680000000000001</v>
      </c>
      <c r="R94" s="17">
        <v>-10.210000000000001</v>
      </c>
      <c r="S94" s="17">
        <v>-11.42</v>
      </c>
      <c r="T94" s="194">
        <v>0.98089999999999999</v>
      </c>
      <c r="U94" s="33"/>
      <c r="V94" s="17"/>
      <c r="W94" s="17">
        <v>4.9133000000000003E-2</v>
      </c>
      <c r="X94" s="17">
        <v>5.7300999999999998E-2</v>
      </c>
      <c r="Y94" s="17">
        <v>1.8356000000000001E-2</v>
      </c>
      <c r="Z94" s="196">
        <f t="shared" si="24"/>
        <v>24.438348998614639</v>
      </c>
      <c r="AA94" s="197">
        <f t="shared" si="25"/>
        <v>-9.0399999999999991</v>
      </c>
      <c r="AB94" s="197">
        <f t="shared" si="26"/>
        <v>-7.8420489538097087</v>
      </c>
      <c r="AC94" s="197">
        <f t="shared" si="27"/>
        <v>-10.210000000000001</v>
      </c>
      <c r="AD94" s="197">
        <f t="shared" si="28"/>
        <v>-9.045355706015112</v>
      </c>
      <c r="AE94" s="198">
        <f t="shared" si="29"/>
        <v>-190136.6731295533</v>
      </c>
      <c r="AF94" s="198">
        <f t="shared" si="30"/>
        <v>-372632.33632780478</v>
      </c>
      <c r="AG94" s="199">
        <f t="shared" si="31"/>
        <v>-190196.36901880091</v>
      </c>
      <c r="AH94" s="199">
        <f t="shared" si="32"/>
        <v>-190199.06966485269</v>
      </c>
      <c r="AI94" s="200">
        <f t="shared" si="33"/>
        <v>-190200.87893366028</v>
      </c>
      <c r="AJ94" s="200">
        <f t="shared" si="34"/>
        <v>-190203.51562557896</v>
      </c>
      <c r="AK94" s="201">
        <f t="shared" si="35"/>
        <v>-190203.91136599184</v>
      </c>
      <c r="AL94" s="201">
        <f t="shared" si="36"/>
        <v>-190206.58834494153</v>
      </c>
    </row>
    <row r="95" spans="1:38">
      <c r="A95" s="191" t="s">
        <v>560</v>
      </c>
      <c r="B95" s="17"/>
      <c r="C95" s="17">
        <v>-303.05946925000001</v>
      </c>
      <c r="D95" s="17"/>
      <c r="E95" s="17">
        <v>0.97940000000000005</v>
      </c>
      <c r="F95" s="17">
        <v>-303.15460073399998</v>
      </c>
      <c r="G95" s="17">
        <v>-303.15011414000003</v>
      </c>
      <c r="H95" s="17">
        <v>0.97919999999999996</v>
      </c>
      <c r="I95" s="17">
        <v>-303.16178774299999</v>
      </c>
      <c r="J95" s="17">
        <v>-303.157405643</v>
      </c>
      <c r="K95" s="17">
        <v>0.97899999999999998</v>
      </c>
      <c r="L95" s="17">
        <v>-303.166620233</v>
      </c>
      <c r="M95" s="36">
        <v>-303.16217384700002</v>
      </c>
      <c r="N95" s="36">
        <v>0.97929999999999995</v>
      </c>
      <c r="O95" s="17">
        <v>-9.0399999999999991</v>
      </c>
      <c r="P95" s="17">
        <v>-10.27</v>
      </c>
      <c r="Q95" s="194">
        <v>0.98680000000000001</v>
      </c>
      <c r="R95" s="17">
        <v>-10.210000000000001</v>
      </c>
      <c r="S95" s="17">
        <v>-11.42</v>
      </c>
      <c r="T95" s="194">
        <v>0.98089999999999999</v>
      </c>
      <c r="U95" s="33"/>
      <c r="V95" s="17"/>
      <c r="W95" s="17">
        <v>4.9133000000000003E-2</v>
      </c>
      <c r="X95" s="17">
        <v>5.7375000000000002E-2</v>
      </c>
      <c r="Y95" s="17">
        <v>2.1156000000000001E-2</v>
      </c>
      <c r="Z95" s="196">
        <f t="shared" si="24"/>
        <v>22.727758695103962</v>
      </c>
      <c r="AA95" s="197">
        <f t="shared" si="25"/>
        <v>-9.0399999999999991</v>
      </c>
      <c r="AB95" s="197">
        <f t="shared" si="26"/>
        <v>-7.8420489538097087</v>
      </c>
      <c r="AC95" s="197">
        <f t="shared" si="27"/>
        <v>-10.210000000000001</v>
      </c>
      <c r="AD95" s="197">
        <f t="shared" si="28"/>
        <v>-9.045355706015112</v>
      </c>
      <c r="AE95" s="198">
        <f t="shared" si="29"/>
        <v>-190136.62669386642</v>
      </c>
      <c r="AF95" s="198">
        <f t="shared" si="30"/>
        <v>-372632.28989211796</v>
      </c>
      <c r="AG95" s="199">
        <f t="shared" si="31"/>
        <v>-190196.32258311403</v>
      </c>
      <c r="AH95" s="199">
        <f t="shared" si="32"/>
        <v>-190199.02322916582</v>
      </c>
      <c r="AI95" s="200">
        <f t="shared" si="33"/>
        <v>-190200.8324979734</v>
      </c>
      <c r="AJ95" s="200">
        <f t="shared" si="34"/>
        <v>-190203.46918989209</v>
      </c>
      <c r="AK95" s="201">
        <f t="shared" si="35"/>
        <v>-190203.86493030496</v>
      </c>
      <c r="AL95" s="201">
        <f t="shared" si="36"/>
        <v>-190206.54190925465</v>
      </c>
    </row>
    <row r="96" spans="1:38">
      <c r="A96" s="191" t="s">
        <v>561</v>
      </c>
      <c r="B96" s="17"/>
      <c r="C96" s="17">
        <v>-303.05946925000001</v>
      </c>
      <c r="D96" s="17"/>
      <c r="E96" s="17">
        <v>0.97940000000000005</v>
      </c>
      <c r="F96" s="17">
        <v>-303.15460073399998</v>
      </c>
      <c r="G96" s="17">
        <v>-303.15011414000003</v>
      </c>
      <c r="H96" s="17">
        <v>0.97919999999999996</v>
      </c>
      <c r="I96" s="17">
        <v>-303.16178774299999</v>
      </c>
      <c r="J96" s="17">
        <v>-303.157405643</v>
      </c>
      <c r="K96" s="17">
        <v>0.97899999999999998</v>
      </c>
      <c r="L96" s="17">
        <v>-303.166620233</v>
      </c>
      <c r="M96" s="36">
        <v>-303.16217384700002</v>
      </c>
      <c r="N96" s="36">
        <v>0.97929999999999995</v>
      </c>
      <c r="O96" s="17">
        <v>-9.0399999999999991</v>
      </c>
      <c r="P96" s="17">
        <v>-10.27</v>
      </c>
      <c r="Q96" s="194">
        <v>0.98680000000000001</v>
      </c>
      <c r="R96" s="17">
        <v>-10.210000000000001</v>
      </c>
      <c r="S96" s="17">
        <v>-11.42</v>
      </c>
      <c r="T96" s="194">
        <v>0.98089999999999999</v>
      </c>
      <c r="U96" s="33"/>
      <c r="V96" s="17"/>
      <c r="W96" s="17">
        <v>4.9133000000000003E-2</v>
      </c>
      <c r="X96" s="17">
        <v>5.9351000000000001E-2</v>
      </c>
      <c r="Y96" s="17">
        <v>1.4964999999999999E-2</v>
      </c>
      <c r="Z96" s="196">
        <f t="shared" si="24"/>
        <v>27.852627003530866</v>
      </c>
      <c r="AA96" s="197">
        <f t="shared" si="25"/>
        <v>-9.0399999999999991</v>
      </c>
      <c r="AB96" s="197">
        <f t="shared" si="26"/>
        <v>-7.8420489538097087</v>
      </c>
      <c r="AC96" s="197">
        <f t="shared" si="27"/>
        <v>-10.210000000000001</v>
      </c>
      <c r="AD96" s="197">
        <f t="shared" si="28"/>
        <v>-9.045355706015112</v>
      </c>
      <c r="AE96" s="198">
        <f t="shared" si="29"/>
        <v>-190135.38673552463</v>
      </c>
      <c r="AF96" s="198">
        <f t="shared" si="30"/>
        <v>-372631.04993377614</v>
      </c>
      <c r="AG96" s="199">
        <f t="shared" si="31"/>
        <v>-190195.08262477221</v>
      </c>
      <c r="AH96" s="199">
        <f t="shared" si="32"/>
        <v>-190197.783270824</v>
      </c>
      <c r="AI96" s="200">
        <f t="shared" si="33"/>
        <v>-190199.59253963159</v>
      </c>
      <c r="AJ96" s="200">
        <f t="shared" si="34"/>
        <v>-190202.22923155027</v>
      </c>
      <c r="AK96" s="201">
        <f t="shared" si="35"/>
        <v>-190202.62497196315</v>
      </c>
      <c r="AL96" s="201">
        <f t="shared" si="36"/>
        <v>-190205.30195091284</v>
      </c>
    </row>
    <row r="97" spans="1:38">
      <c r="A97" s="191" t="s">
        <v>562</v>
      </c>
      <c r="B97" s="17"/>
      <c r="C97" s="17">
        <v>-303.05946925000001</v>
      </c>
      <c r="D97" s="17"/>
      <c r="E97" s="17">
        <v>0.97940000000000005</v>
      </c>
      <c r="F97" s="17">
        <v>-303.15460073399998</v>
      </c>
      <c r="G97" s="17">
        <v>-303.15011414000003</v>
      </c>
      <c r="H97" s="17">
        <v>0.97919999999999996</v>
      </c>
      <c r="I97" s="17">
        <v>-303.16178774299999</v>
      </c>
      <c r="J97" s="17">
        <v>-303.157405643</v>
      </c>
      <c r="K97" s="17">
        <v>0.97899999999999998</v>
      </c>
      <c r="L97" s="17">
        <v>-303.166620233</v>
      </c>
      <c r="M97" s="36">
        <v>-303.16217384700002</v>
      </c>
      <c r="N97" s="36">
        <v>0.97929999999999995</v>
      </c>
      <c r="O97" s="17">
        <v>-9.0399999999999991</v>
      </c>
      <c r="P97" s="17">
        <v>-10.27</v>
      </c>
      <c r="Q97" s="194">
        <v>0.98680000000000001</v>
      </c>
      <c r="R97" s="17">
        <v>-10.210000000000001</v>
      </c>
      <c r="S97" s="17">
        <v>-11.42</v>
      </c>
      <c r="T97" s="194">
        <v>0.98089999999999999</v>
      </c>
      <c r="U97" s="33"/>
      <c r="V97" s="17"/>
      <c r="W97" s="17">
        <v>4.9133000000000003E-2</v>
      </c>
      <c r="X97" s="17">
        <v>6.1421000000000003E-2</v>
      </c>
      <c r="Y97" s="17">
        <v>8.4840000000000002E-3</v>
      </c>
      <c r="Z97" s="196">
        <f t="shared" si="24"/>
        <v>33.218458876355463</v>
      </c>
      <c r="AA97" s="197">
        <f t="shared" si="25"/>
        <v>-9.0399999999999991</v>
      </c>
      <c r="AB97" s="197">
        <f t="shared" si="26"/>
        <v>-7.8420489538097087</v>
      </c>
      <c r="AC97" s="197">
        <f t="shared" si="27"/>
        <v>-10.210000000000001</v>
      </c>
      <c r="AD97" s="197">
        <f t="shared" si="28"/>
        <v>-9.045355706015112</v>
      </c>
      <c r="AE97" s="198">
        <f t="shared" si="29"/>
        <v>-190134.08779131027</v>
      </c>
      <c r="AF97" s="198">
        <f t="shared" si="30"/>
        <v>-372629.75098956178</v>
      </c>
      <c r="AG97" s="199">
        <f t="shared" si="31"/>
        <v>-190193.78368055788</v>
      </c>
      <c r="AH97" s="199">
        <f t="shared" si="32"/>
        <v>-190196.48432660967</v>
      </c>
      <c r="AI97" s="200">
        <f t="shared" si="33"/>
        <v>-190198.29359541726</v>
      </c>
      <c r="AJ97" s="200">
        <f t="shared" si="34"/>
        <v>-190200.93028733594</v>
      </c>
      <c r="AK97" s="201">
        <f t="shared" si="35"/>
        <v>-190201.32602774882</v>
      </c>
      <c r="AL97" s="201">
        <f t="shared" si="36"/>
        <v>-190204.00300669851</v>
      </c>
    </row>
    <row r="98" spans="1:38">
      <c r="A98" s="191" t="s">
        <v>563</v>
      </c>
      <c r="B98" s="17"/>
      <c r="C98" s="17">
        <v>-303.05946925000001</v>
      </c>
      <c r="D98" s="17"/>
      <c r="E98" s="17">
        <v>0.97940000000000005</v>
      </c>
      <c r="F98" s="17">
        <v>-303.15460073399998</v>
      </c>
      <c r="G98" s="17">
        <v>-303.15011414000003</v>
      </c>
      <c r="H98" s="17">
        <v>0.97919999999999996</v>
      </c>
      <c r="I98" s="17">
        <v>-303.16178774299999</v>
      </c>
      <c r="J98" s="17">
        <v>-303.157405643</v>
      </c>
      <c r="K98" s="17">
        <v>0.97899999999999998</v>
      </c>
      <c r="L98" s="17">
        <v>-303.166620233</v>
      </c>
      <c r="M98" s="36">
        <v>-303.16217384700002</v>
      </c>
      <c r="N98" s="36">
        <v>0.97929999999999995</v>
      </c>
      <c r="O98" s="17">
        <v>-9.0399999999999991</v>
      </c>
      <c r="P98" s="17">
        <v>-10.27</v>
      </c>
      <c r="Q98" s="194">
        <v>0.98680000000000001</v>
      </c>
      <c r="R98" s="17">
        <v>-10.210000000000001</v>
      </c>
      <c r="S98" s="17">
        <v>-11.42</v>
      </c>
      <c r="T98" s="194">
        <v>0.98089999999999999</v>
      </c>
      <c r="U98" s="33"/>
      <c r="V98" s="17"/>
      <c r="W98" s="17">
        <v>4.9133000000000003E-2</v>
      </c>
      <c r="X98" s="17">
        <v>6.3570000000000002E-2</v>
      </c>
      <c r="Y98" s="17">
        <v>1.738E-3</v>
      </c>
      <c r="Z98" s="196">
        <f t="shared" si="24"/>
        <v>38.800153942286315</v>
      </c>
      <c r="AA98" s="197">
        <f t="shared" si="25"/>
        <v>-9.0399999999999991</v>
      </c>
      <c r="AB98" s="197">
        <f t="shared" si="26"/>
        <v>-7.8420489538097087</v>
      </c>
      <c r="AC98" s="197">
        <f t="shared" si="27"/>
        <v>-10.210000000000001</v>
      </c>
      <c r="AD98" s="197">
        <f t="shared" si="28"/>
        <v>-9.045355706015112</v>
      </c>
      <c r="AE98" s="198">
        <f t="shared" si="29"/>
        <v>-190132.73927386262</v>
      </c>
      <c r="AF98" s="198">
        <f t="shared" si="30"/>
        <v>-372628.40247211413</v>
      </c>
      <c r="AG98" s="199">
        <f t="shared" si="31"/>
        <v>-190192.43516311023</v>
      </c>
      <c r="AH98" s="199">
        <f t="shared" si="32"/>
        <v>-190195.13580916202</v>
      </c>
      <c r="AI98" s="200">
        <f t="shared" si="33"/>
        <v>-190196.94507796961</v>
      </c>
      <c r="AJ98" s="200">
        <f t="shared" si="34"/>
        <v>-190199.58176988829</v>
      </c>
      <c r="AK98" s="201">
        <f t="shared" si="35"/>
        <v>-190199.97751030116</v>
      </c>
      <c r="AL98" s="201">
        <f t="shared" si="36"/>
        <v>-190202.65448925085</v>
      </c>
    </row>
    <row r="99" spans="1:38">
      <c r="A99" s="191" t="s">
        <v>564</v>
      </c>
      <c r="B99" s="17"/>
      <c r="C99" s="17">
        <v>-303.05946925000001</v>
      </c>
      <c r="D99" s="17"/>
      <c r="E99" s="17">
        <v>0.97940000000000005</v>
      </c>
      <c r="F99" s="17">
        <v>-303.15460073399998</v>
      </c>
      <c r="G99" s="17">
        <v>-303.15011414000003</v>
      </c>
      <c r="H99" s="17">
        <v>0.97919999999999996</v>
      </c>
      <c r="I99" s="17">
        <v>-303.16178774299999</v>
      </c>
      <c r="J99" s="17">
        <v>-303.157405643</v>
      </c>
      <c r="K99" s="17">
        <v>0.97899999999999998</v>
      </c>
      <c r="L99" s="17">
        <v>-303.166620233</v>
      </c>
      <c r="M99" s="36">
        <v>-303.16217384700002</v>
      </c>
      <c r="N99" s="36">
        <v>0.97929999999999995</v>
      </c>
      <c r="O99" s="17">
        <v>-9.0399999999999991</v>
      </c>
      <c r="P99" s="17">
        <v>-10.27</v>
      </c>
      <c r="Q99" s="194">
        <v>0.98680000000000001</v>
      </c>
      <c r="R99" s="17">
        <v>-10.210000000000001</v>
      </c>
      <c r="S99" s="17">
        <v>-11.42</v>
      </c>
      <c r="T99" s="194">
        <v>0.98089999999999999</v>
      </c>
      <c r="U99" s="33"/>
      <c r="V99" s="17"/>
      <c r="W99" s="17">
        <v>4.9133000000000003E-2</v>
      </c>
      <c r="X99" s="17">
        <v>6.5786999999999998E-2</v>
      </c>
      <c r="Y99" s="17">
        <v>-5.2500000000000003E-3</v>
      </c>
      <c r="Z99" s="196">
        <f t="shared" si="24"/>
        <v>44.576376885725729</v>
      </c>
      <c r="AA99" s="197">
        <f t="shared" si="25"/>
        <v>-9.0399999999999991</v>
      </c>
      <c r="AB99" s="197">
        <f t="shared" si="26"/>
        <v>-7.8420489538097087</v>
      </c>
      <c r="AC99" s="197">
        <f t="shared" si="27"/>
        <v>-10.210000000000001</v>
      </c>
      <c r="AD99" s="197">
        <f t="shared" si="28"/>
        <v>-9.045355706015112</v>
      </c>
      <c r="AE99" s="198">
        <f t="shared" si="29"/>
        <v>-190131.34808578383</v>
      </c>
      <c r="AF99" s="198">
        <f t="shared" si="30"/>
        <v>-372627.01128403534</v>
      </c>
      <c r="AG99" s="199">
        <f t="shared" si="31"/>
        <v>-190191.04397503141</v>
      </c>
      <c r="AH99" s="199">
        <f t="shared" si="32"/>
        <v>-190193.7446210832</v>
      </c>
      <c r="AI99" s="200">
        <f t="shared" si="33"/>
        <v>-190195.55388989078</v>
      </c>
      <c r="AJ99" s="200">
        <f t="shared" si="34"/>
        <v>-190198.19058180947</v>
      </c>
      <c r="AK99" s="201">
        <f t="shared" si="35"/>
        <v>-190198.58632222234</v>
      </c>
      <c r="AL99" s="201">
        <f t="shared" si="36"/>
        <v>-190201.26330117203</v>
      </c>
    </row>
    <row r="100" spans="1:38">
      <c r="A100" s="191" t="s">
        <v>565</v>
      </c>
      <c r="B100" s="17"/>
      <c r="C100" s="17">
        <v>-303.05946925000001</v>
      </c>
      <c r="D100" s="17"/>
      <c r="E100" s="17">
        <v>0.97940000000000005</v>
      </c>
      <c r="F100" s="17">
        <v>-303.15460073399998</v>
      </c>
      <c r="G100" s="17">
        <v>-303.15011414000003</v>
      </c>
      <c r="H100" s="17">
        <v>0.97919999999999996</v>
      </c>
      <c r="I100" s="17">
        <v>-303.16178774299999</v>
      </c>
      <c r="J100" s="17">
        <v>-303.157405643</v>
      </c>
      <c r="K100" s="17">
        <v>0.97899999999999998</v>
      </c>
      <c r="L100" s="17">
        <v>-303.166620233</v>
      </c>
      <c r="M100" s="36">
        <v>-303.16217384700002</v>
      </c>
      <c r="N100" s="36">
        <v>0.97929999999999995</v>
      </c>
      <c r="O100" s="17">
        <v>-9.0399999999999991</v>
      </c>
      <c r="P100" s="17">
        <v>-10.27</v>
      </c>
      <c r="Q100" s="194">
        <v>0.98680000000000001</v>
      </c>
      <c r="R100" s="17">
        <v>-10.210000000000001</v>
      </c>
      <c r="S100" s="17">
        <v>-11.42</v>
      </c>
      <c r="T100" s="194">
        <v>0.98089999999999999</v>
      </c>
      <c r="U100" s="33"/>
      <c r="V100" s="17"/>
      <c r="W100" s="17">
        <v>4.9133000000000003E-2</v>
      </c>
      <c r="X100" s="17">
        <v>6.8061999999999998E-2</v>
      </c>
      <c r="Y100" s="17">
        <v>-1.2463999999999999E-2</v>
      </c>
      <c r="Z100" s="196">
        <f t="shared" si="24"/>
        <v>50.530812465334257</v>
      </c>
      <c r="AA100" s="197">
        <f t="shared" si="25"/>
        <v>-9.0399999999999991</v>
      </c>
      <c r="AB100" s="197">
        <f t="shared" si="26"/>
        <v>-7.8420489538097087</v>
      </c>
      <c r="AC100" s="197">
        <f t="shared" si="27"/>
        <v>-10.210000000000001</v>
      </c>
      <c r="AD100" s="197">
        <f t="shared" si="28"/>
        <v>-9.045355706015112</v>
      </c>
      <c r="AE100" s="198">
        <f t="shared" si="29"/>
        <v>-190129.92050216661</v>
      </c>
      <c r="AF100" s="198">
        <f t="shared" si="30"/>
        <v>-372625.58370041812</v>
      </c>
      <c r="AG100" s="199">
        <f t="shared" si="31"/>
        <v>-190189.61639141422</v>
      </c>
      <c r="AH100" s="199">
        <f t="shared" si="32"/>
        <v>-190192.31703746601</v>
      </c>
      <c r="AI100" s="200">
        <f t="shared" si="33"/>
        <v>-190194.1263062736</v>
      </c>
      <c r="AJ100" s="200">
        <f t="shared" si="34"/>
        <v>-190196.76299819228</v>
      </c>
      <c r="AK100" s="201">
        <f t="shared" si="35"/>
        <v>-190197.15873860515</v>
      </c>
      <c r="AL100" s="201">
        <f t="shared" si="36"/>
        <v>-190199.83571755484</v>
      </c>
    </row>
    <row r="101" spans="1:38">
      <c r="A101" s="191" t="s">
        <v>566</v>
      </c>
      <c r="B101" s="17"/>
      <c r="C101" s="17">
        <v>-303.05946925000001</v>
      </c>
      <c r="D101" s="17"/>
      <c r="E101" s="17">
        <v>0.97940000000000005</v>
      </c>
      <c r="F101" s="17">
        <v>-303.15460073399998</v>
      </c>
      <c r="G101" s="17">
        <v>-303.15011414000003</v>
      </c>
      <c r="H101" s="17">
        <v>0.97919999999999996</v>
      </c>
      <c r="I101" s="17">
        <v>-303.16178774299999</v>
      </c>
      <c r="J101" s="17">
        <v>-303.157405643</v>
      </c>
      <c r="K101" s="17">
        <v>0.97899999999999998</v>
      </c>
      <c r="L101" s="17">
        <v>-303.166620233</v>
      </c>
      <c r="M101" s="36">
        <v>-303.16217384700002</v>
      </c>
      <c r="N101" s="36">
        <v>0.97929999999999995</v>
      </c>
      <c r="O101" s="17">
        <v>-9.0399999999999991</v>
      </c>
      <c r="P101" s="17">
        <v>-10.27</v>
      </c>
      <c r="Q101" s="194">
        <v>0.98680000000000001</v>
      </c>
      <c r="R101" s="17">
        <v>-10.210000000000001</v>
      </c>
      <c r="S101" s="17">
        <v>-11.42</v>
      </c>
      <c r="T101" s="194">
        <v>0.98089999999999999</v>
      </c>
      <c r="U101" s="33"/>
      <c r="V101" s="17"/>
      <c r="W101" s="17">
        <v>4.9133000000000003E-2</v>
      </c>
      <c r="X101" s="17">
        <v>7.0389999999999994E-2</v>
      </c>
      <c r="Y101" s="17">
        <v>-1.9886000000000001E-2</v>
      </c>
      <c r="Z101" s="196">
        <f t="shared" si="24"/>
        <v>56.649027967619347</v>
      </c>
      <c r="AA101" s="197">
        <f t="shared" si="25"/>
        <v>-9.0399999999999991</v>
      </c>
      <c r="AB101" s="197">
        <f t="shared" si="26"/>
        <v>-7.8420489538097087</v>
      </c>
      <c r="AC101" s="197">
        <f t="shared" si="27"/>
        <v>-10.210000000000001</v>
      </c>
      <c r="AD101" s="197">
        <f t="shared" si="28"/>
        <v>-9.045355706015112</v>
      </c>
      <c r="AE101" s="198">
        <f t="shared" si="29"/>
        <v>-190128.45966055748</v>
      </c>
      <c r="AF101" s="198">
        <f t="shared" si="30"/>
        <v>-372624.12285880896</v>
      </c>
      <c r="AG101" s="199">
        <f t="shared" si="31"/>
        <v>-190188.15554980509</v>
      </c>
      <c r="AH101" s="199">
        <f t="shared" si="32"/>
        <v>-190190.85619585688</v>
      </c>
      <c r="AI101" s="200">
        <f t="shared" si="33"/>
        <v>-190192.66546466446</v>
      </c>
      <c r="AJ101" s="200">
        <f t="shared" si="34"/>
        <v>-190195.30215658311</v>
      </c>
      <c r="AK101" s="201">
        <f t="shared" si="35"/>
        <v>-190195.69789699602</v>
      </c>
      <c r="AL101" s="201">
        <f t="shared" si="36"/>
        <v>-190198.37487594568</v>
      </c>
    </row>
    <row r="102" spans="1:38">
      <c r="A102" s="191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33"/>
      <c r="V102" s="17"/>
      <c r="W102" s="17"/>
      <c r="X102" s="17"/>
      <c r="Y102" s="17"/>
      <c r="Z102" s="196">
        <f t="shared" si="24"/>
        <v>0</v>
      </c>
      <c r="AA102" s="197">
        <f t="shared" si="25"/>
        <v>0</v>
      </c>
      <c r="AB102" s="197">
        <f t="shared" si="26"/>
        <v>0</v>
      </c>
      <c r="AC102" s="197">
        <f t="shared" si="27"/>
        <v>0</v>
      </c>
      <c r="AD102" s="197">
        <f t="shared" si="28"/>
        <v>0</v>
      </c>
      <c r="AE102" s="198">
        <f t="shared" si="29"/>
        <v>0</v>
      </c>
      <c r="AF102" s="198">
        <f t="shared" si="30"/>
        <v>0</v>
      </c>
      <c r="AG102" s="199">
        <f t="shared" si="31"/>
        <v>0</v>
      </c>
      <c r="AH102" s="199">
        <f t="shared" si="32"/>
        <v>0</v>
      </c>
      <c r="AI102" s="200">
        <f t="shared" si="33"/>
        <v>0</v>
      </c>
      <c r="AJ102" s="200">
        <f t="shared" si="34"/>
        <v>0</v>
      </c>
      <c r="AK102" s="201">
        <f t="shared" si="35"/>
        <v>0</v>
      </c>
      <c r="AL102" s="201">
        <f t="shared" si="36"/>
        <v>0</v>
      </c>
    </row>
    <row r="103" spans="1:38">
      <c r="A103" s="191" t="s">
        <v>575</v>
      </c>
      <c r="B103" s="17"/>
      <c r="C103" s="17">
        <v>-151.483111278</v>
      </c>
      <c r="D103" s="17"/>
      <c r="E103" s="17">
        <v>0.99850000000000005</v>
      </c>
      <c r="F103" s="17">
        <v>-151.488015359</v>
      </c>
      <c r="G103" s="17">
        <v>-151.532773905</v>
      </c>
      <c r="H103" s="17">
        <v>0.97850000000000004</v>
      </c>
      <c r="I103" s="17">
        <v>-151.490935417</v>
      </c>
      <c r="J103" s="17">
        <v>-151.53604190300001</v>
      </c>
      <c r="K103" s="17">
        <v>0.97889999999999999</v>
      </c>
      <c r="L103" s="17">
        <v>-151.49326165799999</v>
      </c>
      <c r="M103" s="17">
        <v>-151.53831704999999</v>
      </c>
      <c r="N103" s="17">
        <v>0.97899999999999998</v>
      </c>
      <c r="O103" s="17">
        <v>-5.31</v>
      </c>
      <c r="P103" s="17">
        <v>-6.61</v>
      </c>
      <c r="Q103" s="17">
        <v>0.97189999999999999</v>
      </c>
      <c r="R103" s="17">
        <v>-34.200000000000003</v>
      </c>
      <c r="S103" s="17">
        <v>-7.35</v>
      </c>
      <c r="T103" s="17">
        <v>0.99419999999999997</v>
      </c>
      <c r="U103" s="33"/>
      <c r="V103" s="17"/>
      <c r="W103" s="17">
        <v>1.9168000000000001E-2</v>
      </c>
      <c r="X103" s="17">
        <v>2.4034E-2</v>
      </c>
      <c r="Y103" s="17">
        <v>-4.5050000000000003E-3</v>
      </c>
      <c r="Z103" s="196">
        <f t="shared" si="24"/>
        <v>17.908487407150169</v>
      </c>
      <c r="AA103" s="197">
        <f t="shared" si="25"/>
        <v>-5.31</v>
      </c>
      <c r="AB103" s="197">
        <f t="shared" si="26"/>
        <v>-4.0810631261550414</v>
      </c>
      <c r="AC103" s="197">
        <f t="shared" si="27"/>
        <v>-34.200000000000003</v>
      </c>
      <c r="AD103" s="197">
        <f t="shared" si="28"/>
        <v>-60.740336050904752</v>
      </c>
      <c r="AE103" s="198">
        <f t="shared" si="29"/>
        <v>-95041.976878364585</v>
      </c>
      <c r="AF103" s="198">
        <f t="shared" si="30"/>
        <v>-189814.29125559912</v>
      </c>
      <c r="AG103" s="199">
        <f t="shared" si="31"/>
        <v>-95045.05423471317</v>
      </c>
      <c r="AH103" s="199">
        <f t="shared" si="32"/>
        <v>-95018.150127605521</v>
      </c>
      <c r="AI103" s="200">
        <f t="shared" si="33"/>
        <v>-95046.886598212994</v>
      </c>
      <c r="AJ103" s="200">
        <f t="shared" si="34"/>
        <v>-95019.75163721932</v>
      </c>
      <c r="AK103" s="201">
        <f t="shared" si="35"/>
        <v>-95048.346336033312</v>
      </c>
      <c r="AL103" s="201">
        <f t="shared" si="36"/>
        <v>-95021.236688152436</v>
      </c>
    </row>
    <row r="104" spans="1:38">
      <c r="A104" s="191" t="s">
        <v>598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>
        <v>-151.424299147</v>
      </c>
      <c r="M104" s="17">
        <v>-151.461070428</v>
      </c>
      <c r="N104" s="17">
        <v>0.96750000000000003</v>
      </c>
      <c r="O104" s="17"/>
      <c r="P104" s="17"/>
      <c r="Q104" s="17"/>
      <c r="R104" s="17"/>
      <c r="S104" s="17"/>
      <c r="T104" s="17"/>
      <c r="U104" s="33"/>
      <c r="V104" s="17"/>
      <c r="W104" s="17">
        <v>1.9168000000000001E-2</v>
      </c>
      <c r="X104" s="17">
        <v>2.4034E-2</v>
      </c>
      <c r="Y104" s="17">
        <v>-4.5050000000000003E-3</v>
      </c>
      <c r="Z104" s="196">
        <f t="shared" si="24"/>
        <v>17.908487407150169</v>
      </c>
      <c r="AA104" s="197">
        <f t="shared" si="25"/>
        <v>0</v>
      </c>
      <c r="AB104" s="197">
        <f t="shared" si="26"/>
        <v>0</v>
      </c>
      <c r="AC104" s="197">
        <f t="shared" si="27"/>
        <v>0</v>
      </c>
      <c r="AD104" s="197">
        <f t="shared" si="28"/>
        <v>0</v>
      </c>
      <c r="AE104" s="198">
        <f t="shared" si="29"/>
        <v>15.081558090453315</v>
      </c>
      <c r="AF104" s="198">
        <f t="shared" si="30"/>
        <v>15.081558090453315</v>
      </c>
      <c r="AG104" s="199">
        <f t="shared" si="31"/>
        <v>15.081558090453315</v>
      </c>
      <c r="AH104" s="199">
        <f t="shared" si="32"/>
        <v>15.081558090453315</v>
      </c>
      <c r="AI104" s="200">
        <f t="shared" si="33"/>
        <v>15.081558090453315</v>
      </c>
      <c r="AJ104" s="200">
        <f t="shared" si="34"/>
        <v>15.081558090453315</v>
      </c>
      <c r="AK104" s="201">
        <f t="shared" si="35"/>
        <v>-95005.0717202511</v>
      </c>
      <c r="AL104" s="201">
        <f t="shared" si="36"/>
        <v>-94983.450020740973</v>
      </c>
    </row>
    <row r="105" spans="1:38">
      <c r="A105" s="191" t="s">
        <v>576</v>
      </c>
      <c r="B105" s="17"/>
      <c r="C105" s="17">
        <v>-151.483111278</v>
      </c>
      <c r="D105" s="17"/>
      <c r="E105" s="17">
        <v>0.99850000000000005</v>
      </c>
      <c r="F105" s="17">
        <v>-151.488015359</v>
      </c>
      <c r="G105" s="17">
        <v>-151.532773905</v>
      </c>
      <c r="H105" s="17">
        <v>0.97850000000000004</v>
      </c>
      <c r="I105" s="17">
        <v>-151.490935417</v>
      </c>
      <c r="J105" s="17">
        <v>-151.53604190300001</v>
      </c>
      <c r="K105" s="17">
        <v>0.97889999999999999</v>
      </c>
      <c r="L105" s="17">
        <v>-151.49326165799999</v>
      </c>
      <c r="M105" s="17">
        <v>-151.53831704999999</v>
      </c>
      <c r="N105" s="17">
        <v>0.97899999999999998</v>
      </c>
      <c r="O105" s="17">
        <v>-5.31</v>
      </c>
      <c r="P105" s="17">
        <v>-6.61</v>
      </c>
      <c r="Q105" s="17">
        <v>0.97189999999999999</v>
      </c>
      <c r="R105" s="17">
        <v>-34.200000000000003</v>
      </c>
      <c r="S105" s="17">
        <v>-7.35</v>
      </c>
      <c r="T105" s="17">
        <v>0.99419999999999997</v>
      </c>
      <c r="U105" s="33"/>
      <c r="V105" s="17"/>
      <c r="W105" s="17">
        <v>1.9168000000000001E-2</v>
      </c>
      <c r="X105" s="17">
        <v>2.4072E-2</v>
      </c>
      <c r="Y105" s="17">
        <v>-1.645E-3</v>
      </c>
      <c r="Z105" s="196">
        <f t="shared" si="24"/>
        <v>16.137656212540065</v>
      </c>
      <c r="AA105" s="197">
        <f t="shared" si="25"/>
        <v>-5.31</v>
      </c>
      <c r="AB105" s="197">
        <f t="shared" si="26"/>
        <v>-4.0810631261550414</v>
      </c>
      <c r="AC105" s="197">
        <f t="shared" si="27"/>
        <v>-34.200000000000003</v>
      </c>
      <c r="AD105" s="197">
        <f t="shared" si="28"/>
        <v>-60.740336050904752</v>
      </c>
      <c r="AE105" s="198">
        <f t="shared" si="29"/>
        <v>-95041.953033011872</v>
      </c>
      <c r="AF105" s="198">
        <f t="shared" si="30"/>
        <v>-189814.26741024636</v>
      </c>
      <c r="AG105" s="199">
        <f t="shared" si="31"/>
        <v>-95045.030389360458</v>
      </c>
      <c r="AH105" s="199">
        <f t="shared" si="32"/>
        <v>-95018.126282252793</v>
      </c>
      <c r="AI105" s="200">
        <f t="shared" si="33"/>
        <v>-95046.862752860266</v>
      </c>
      <c r="AJ105" s="200">
        <f t="shared" si="34"/>
        <v>-95019.727791866608</v>
      </c>
      <c r="AK105" s="201">
        <f t="shared" si="35"/>
        <v>-95048.322490680599</v>
      </c>
      <c r="AL105" s="201">
        <f t="shared" si="36"/>
        <v>-95021.212842799709</v>
      </c>
    </row>
    <row r="106" spans="1:38">
      <c r="A106" s="191" t="s">
        <v>577</v>
      </c>
      <c r="B106" s="17"/>
      <c r="C106" s="17">
        <v>-151.483111278</v>
      </c>
      <c r="D106" s="17"/>
      <c r="E106" s="17">
        <v>0.99850000000000005</v>
      </c>
      <c r="F106" s="17">
        <v>-151.488015359</v>
      </c>
      <c r="G106" s="17">
        <v>-151.532773905</v>
      </c>
      <c r="H106" s="17">
        <v>0.97850000000000004</v>
      </c>
      <c r="I106" s="17">
        <v>-151.490935417</v>
      </c>
      <c r="J106" s="17">
        <v>-151.53604190300001</v>
      </c>
      <c r="K106" s="17">
        <v>0.97889999999999999</v>
      </c>
      <c r="L106" s="17">
        <v>-151.49326165799999</v>
      </c>
      <c r="M106" s="17">
        <v>-151.53831704999999</v>
      </c>
      <c r="N106" s="17">
        <v>0.97899999999999998</v>
      </c>
      <c r="O106" s="17">
        <v>-5.31</v>
      </c>
      <c r="P106" s="17">
        <v>-6.61</v>
      </c>
      <c r="Q106" s="17">
        <v>0.97189999999999999</v>
      </c>
      <c r="R106" s="17">
        <v>-34.200000000000003</v>
      </c>
      <c r="S106" s="17">
        <v>-7.35</v>
      </c>
      <c r="T106" s="17">
        <v>0.99419999999999997</v>
      </c>
      <c r="U106" s="33"/>
      <c r="V106" s="17"/>
      <c r="W106" s="17">
        <v>1.9168000000000001E-2</v>
      </c>
      <c r="X106" s="17">
        <v>2.5090000000000001E-2</v>
      </c>
      <c r="Y106" s="17">
        <v>-6.0109999999999999E-3</v>
      </c>
      <c r="Z106" s="196">
        <f t="shared" si="24"/>
        <v>19.516166188366004</v>
      </c>
      <c r="AA106" s="197">
        <f t="shared" si="25"/>
        <v>-5.31</v>
      </c>
      <c r="AB106" s="197">
        <f t="shared" si="26"/>
        <v>-4.0810631261550414</v>
      </c>
      <c r="AC106" s="197">
        <f t="shared" si="27"/>
        <v>-34.200000000000003</v>
      </c>
      <c r="AD106" s="197">
        <f t="shared" si="28"/>
        <v>-60.740336050904752</v>
      </c>
      <c r="AE106" s="198">
        <f t="shared" si="29"/>
        <v>-95041.314228562493</v>
      </c>
      <c r="AF106" s="198">
        <f t="shared" si="30"/>
        <v>-189813.62860579701</v>
      </c>
      <c r="AG106" s="199">
        <f t="shared" si="31"/>
        <v>-95044.391584911078</v>
      </c>
      <c r="AH106" s="199">
        <f t="shared" si="32"/>
        <v>-95017.487477803428</v>
      </c>
      <c r="AI106" s="200">
        <f t="shared" si="33"/>
        <v>-95046.223948410887</v>
      </c>
      <c r="AJ106" s="200">
        <f t="shared" si="34"/>
        <v>-95019.088987417228</v>
      </c>
      <c r="AK106" s="201">
        <f t="shared" si="35"/>
        <v>-95047.683686231219</v>
      </c>
      <c r="AL106" s="201">
        <f t="shared" si="36"/>
        <v>-95020.574038350329</v>
      </c>
    </row>
    <row r="107" spans="1:38">
      <c r="A107" s="191" t="s">
        <v>578</v>
      </c>
      <c r="B107" s="17"/>
      <c r="C107" s="17">
        <v>-151.483111278</v>
      </c>
      <c r="D107" s="17"/>
      <c r="E107" s="17">
        <v>0.99850000000000005</v>
      </c>
      <c r="F107" s="17">
        <v>-151.488015359</v>
      </c>
      <c r="G107" s="17">
        <v>-151.532773905</v>
      </c>
      <c r="H107" s="17">
        <v>0.97850000000000004</v>
      </c>
      <c r="I107" s="17">
        <v>-151.490935417</v>
      </c>
      <c r="J107" s="17">
        <v>-151.53604190300001</v>
      </c>
      <c r="K107" s="17">
        <v>0.97889999999999999</v>
      </c>
      <c r="L107" s="17">
        <v>-151.49326165799999</v>
      </c>
      <c r="M107" s="17">
        <v>-151.53831704999999</v>
      </c>
      <c r="N107" s="17">
        <v>0.97899999999999998</v>
      </c>
      <c r="O107" s="17">
        <v>-5.31</v>
      </c>
      <c r="P107" s="17">
        <v>-6.61</v>
      </c>
      <c r="Q107" s="17">
        <v>0.97189999999999999</v>
      </c>
      <c r="R107" s="17">
        <v>-34.200000000000003</v>
      </c>
      <c r="S107" s="17">
        <v>-7.35</v>
      </c>
      <c r="T107" s="17">
        <v>0.99419999999999997</v>
      </c>
      <c r="U107" s="33"/>
      <c r="V107" s="17"/>
      <c r="W107" s="17">
        <v>1.9168000000000001E-2</v>
      </c>
      <c r="X107" s="17">
        <v>2.6127999999999998E-2</v>
      </c>
      <c r="Y107" s="17">
        <v>-1.0525E-2</v>
      </c>
      <c r="Z107" s="196">
        <f t="shared" si="24"/>
        <v>23.000097723615934</v>
      </c>
      <c r="AA107" s="197">
        <f t="shared" si="25"/>
        <v>-5.31</v>
      </c>
      <c r="AB107" s="197">
        <f t="shared" si="26"/>
        <v>-4.0810631261550414</v>
      </c>
      <c r="AC107" s="197">
        <f t="shared" si="27"/>
        <v>-34.200000000000003</v>
      </c>
      <c r="AD107" s="197">
        <f t="shared" si="28"/>
        <v>-60.740336050904752</v>
      </c>
      <c r="AE107" s="198">
        <f t="shared" si="29"/>
        <v>-95040.662873927489</v>
      </c>
      <c r="AF107" s="198">
        <f t="shared" si="30"/>
        <v>-189812.97725116197</v>
      </c>
      <c r="AG107" s="199">
        <f t="shared" si="31"/>
        <v>-95043.740230276075</v>
      </c>
      <c r="AH107" s="199">
        <f t="shared" si="32"/>
        <v>-95016.83612316841</v>
      </c>
      <c r="AI107" s="200">
        <f t="shared" si="33"/>
        <v>-95045.572593775883</v>
      </c>
      <c r="AJ107" s="200">
        <f t="shared" si="34"/>
        <v>-95018.43763278221</v>
      </c>
      <c r="AK107" s="201">
        <f t="shared" si="35"/>
        <v>-95047.032331596216</v>
      </c>
      <c r="AL107" s="201">
        <f t="shared" si="36"/>
        <v>-95019.922683715326</v>
      </c>
    </row>
    <row r="108" spans="1:38">
      <c r="A108" s="191" t="s">
        <v>579</v>
      </c>
      <c r="B108" s="17"/>
      <c r="C108" s="17">
        <v>-151.483111278</v>
      </c>
      <c r="D108" s="17"/>
      <c r="E108" s="17">
        <v>0.99850000000000005</v>
      </c>
      <c r="F108" s="17">
        <v>-151.488015359</v>
      </c>
      <c r="G108" s="17">
        <v>-151.532773905</v>
      </c>
      <c r="H108" s="17">
        <v>0.97850000000000004</v>
      </c>
      <c r="I108" s="17">
        <v>-151.490935417</v>
      </c>
      <c r="J108" s="17">
        <v>-151.53604190300001</v>
      </c>
      <c r="K108" s="17">
        <v>0.97889999999999999</v>
      </c>
      <c r="L108" s="17">
        <v>-151.49326165799999</v>
      </c>
      <c r="M108" s="17">
        <v>-151.53831704999999</v>
      </c>
      <c r="N108" s="17">
        <v>0.97899999999999998</v>
      </c>
      <c r="O108" s="17">
        <v>-5.31</v>
      </c>
      <c r="P108" s="17">
        <v>-6.61</v>
      </c>
      <c r="Q108" s="17">
        <v>0.97189999999999999</v>
      </c>
      <c r="R108" s="17">
        <v>-34.200000000000003</v>
      </c>
      <c r="S108" s="17">
        <v>-7.35</v>
      </c>
      <c r="T108" s="17">
        <v>0.99419999999999997</v>
      </c>
      <c r="U108" s="33"/>
      <c r="V108" s="17"/>
      <c r="W108" s="17">
        <v>1.9168000000000001E-2</v>
      </c>
      <c r="X108" s="17">
        <v>2.7179999999999999E-2</v>
      </c>
      <c r="Y108" s="17">
        <v>-1.5169999999999999E-2</v>
      </c>
      <c r="Z108" s="196">
        <f t="shared" si="24"/>
        <v>26.57501810479728</v>
      </c>
      <c r="AA108" s="197">
        <f t="shared" si="25"/>
        <v>-5.31</v>
      </c>
      <c r="AB108" s="197">
        <f t="shared" si="26"/>
        <v>-4.0810631261550414</v>
      </c>
      <c r="AC108" s="197">
        <f t="shared" si="27"/>
        <v>-34.200000000000003</v>
      </c>
      <c r="AD108" s="197">
        <f t="shared" si="28"/>
        <v>-60.740336050904752</v>
      </c>
      <c r="AE108" s="198">
        <f t="shared" si="29"/>
        <v>-95040.002734162525</v>
      </c>
      <c r="AF108" s="198">
        <f t="shared" si="30"/>
        <v>-189812.31711139702</v>
      </c>
      <c r="AG108" s="199">
        <f t="shared" si="31"/>
        <v>-95043.08009051111</v>
      </c>
      <c r="AH108" s="199">
        <f t="shared" si="32"/>
        <v>-95016.17598340346</v>
      </c>
      <c r="AI108" s="200">
        <f t="shared" si="33"/>
        <v>-95044.912454010933</v>
      </c>
      <c r="AJ108" s="200">
        <f t="shared" si="34"/>
        <v>-95017.77749301726</v>
      </c>
      <c r="AK108" s="201">
        <f t="shared" si="35"/>
        <v>-95046.372191831251</v>
      </c>
      <c r="AL108" s="201">
        <f t="shared" si="36"/>
        <v>-95019.262543950375</v>
      </c>
    </row>
    <row r="109" spans="1:38">
      <c r="A109" s="191" t="s">
        <v>580</v>
      </c>
      <c r="B109" s="17"/>
      <c r="C109" s="17">
        <v>-151.483111278</v>
      </c>
      <c r="D109" s="17"/>
      <c r="E109" s="17">
        <v>0.99850000000000005</v>
      </c>
      <c r="F109" s="17">
        <v>-151.488015359</v>
      </c>
      <c r="G109" s="17">
        <v>-151.532773905</v>
      </c>
      <c r="H109" s="17">
        <v>0.97850000000000004</v>
      </c>
      <c r="I109" s="17">
        <v>-151.490935417</v>
      </c>
      <c r="J109" s="17">
        <v>-151.53604190300001</v>
      </c>
      <c r="K109" s="17">
        <v>0.97889999999999999</v>
      </c>
      <c r="L109" s="17">
        <v>-151.49326165799999</v>
      </c>
      <c r="M109" s="17">
        <v>-151.53831704999999</v>
      </c>
      <c r="N109" s="17">
        <v>0.97899999999999998</v>
      </c>
      <c r="O109" s="17">
        <v>-5.31</v>
      </c>
      <c r="P109" s="17">
        <v>-6.61</v>
      </c>
      <c r="Q109" s="17">
        <v>0.97189999999999999</v>
      </c>
      <c r="R109" s="17">
        <v>-34.200000000000003</v>
      </c>
      <c r="S109" s="17">
        <v>-7.35</v>
      </c>
      <c r="T109" s="17">
        <v>0.99419999999999997</v>
      </c>
      <c r="U109" s="33"/>
      <c r="V109" s="17"/>
      <c r="W109" s="17">
        <v>1.9168000000000001E-2</v>
      </c>
      <c r="X109" s="17">
        <v>2.8243000000000001E-2</v>
      </c>
      <c r="Y109" s="17">
        <v>-1.9931999999999998E-2</v>
      </c>
      <c r="Z109" s="196">
        <f t="shared" si="24"/>
        <v>30.230259674111192</v>
      </c>
      <c r="AA109" s="197">
        <f t="shared" si="25"/>
        <v>-5.31</v>
      </c>
      <c r="AB109" s="197">
        <f t="shared" si="26"/>
        <v>-4.0810631261550414</v>
      </c>
      <c r="AC109" s="197">
        <f t="shared" si="27"/>
        <v>-34.200000000000003</v>
      </c>
      <c r="AD109" s="197">
        <f t="shared" si="28"/>
        <v>-60.740336050904752</v>
      </c>
      <c r="AE109" s="198">
        <f t="shared" si="29"/>
        <v>-95039.335691795452</v>
      </c>
      <c r="AF109" s="198">
        <f t="shared" si="30"/>
        <v>-189811.65006902997</v>
      </c>
      <c r="AG109" s="199">
        <f t="shared" si="31"/>
        <v>-95042.413048144037</v>
      </c>
      <c r="AH109" s="199">
        <f t="shared" si="32"/>
        <v>-95015.508941036373</v>
      </c>
      <c r="AI109" s="200">
        <f t="shared" si="33"/>
        <v>-95044.245411643846</v>
      </c>
      <c r="AJ109" s="200">
        <f t="shared" si="34"/>
        <v>-95017.110450650187</v>
      </c>
      <c r="AK109" s="201">
        <f t="shared" si="35"/>
        <v>-95045.705149464178</v>
      </c>
      <c r="AL109" s="201">
        <f t="shared" si="36"/>
        <v>-95018.595501583288</v>
      </c>
    </row>
    <row r="110" spans="1:38">
      <c r="A110" s="191" t="s">
        <v>581</v>
      </c>
      <c r="B110" s="17"/>
      <c r="C110" s="17">
        <v>-151.483111278</v>
      </c>
      <c r="D110" s="17"/>
      <c r="E110" s="17">
        <v>0.99850000000000005</v>
      </c>
      <c r="F110" s="17">
        <v>-151.488015359</v>
      </c>
      <c r="G110" s="17">
        <v>-151.532773905</v>
      </c>
      <c r="H110" s="17">
        <v>0.97850000000000004</v>
      </c>
      <c r="I110" s="17">
        <v>-151.490935417</v>
      </c>
      <c r="J110" s="17">
        <v>-151.53604190300001</v>
      </c>
      <c r="K110" s="17">
        <v>0.97889999999999999</v>
      </c>
      <c r="L110" s="17">
        <v>-151.49326165799999</v>
      </c>
      <c r="M110" s="17">
        <v>-151.53831704999999</v>
      </c>
      <c r="N110" s="17">
        <v>0.97899999999999998</v>
      </c>
      <c r="O110" s="17">
        <v>-5.31</v>
      </c>
      <c r="P110" s="17">
        <v>-6.61</v>
      </c>
      <c r="Q110" s="17">
        <v>0.97189999999999999</v>
      </c>
      <c r="R110" s="17">
        <v>-34.200000000000003</v>
      </c>
      <c r="S110" s="17">
        <v>-7.35</v>
      </c>
      <c r="T110" s="17">
        <v>0.99419999999999997</v>
      </c>
      <c r="U110" s="33"/>
      <c r="V110" s="17"/>
      <c r="W110" s="17">
        <v>1.9168000000000001E-2</v>
      </c>
      <c r="X110" s="17">
        <v>2.9315000000000001E-2</v>
      </c>
      <c r="Y110" s="17">
        <v>-2.4802000000000001E-2</v>
      </c>
      <c r="Z110" s="196">
        <f t="shared" si="24"/>
        <v>33.958919829452526</v>
      </c>
      <c r="AA110" s="197">
        <f t="shared" si="25"/>
        <v>-5.31</v>
      </c>
      <c r="AB110" s="197">
        <f t="shared" si="26"/>
        <v>-4.0810631261550414</v>
      </c>
      <c r="AC110" s="197">
        <f t="shared" si="27"/>
        <v>-34.200000000000003</v>
      </c>
      <c r="AD110" s="197">
        <f t="shared" si="28"/>
        <v>-60.740336050904752</v>
      </c>
      <c r="AE110" s="198">
        <f t="shared" si="29"/>
        <v>-95038.663001844849</v>
      </c>
      <c r="AF110" s="198">
        <f t="shared" si="30"/>
        <v>-189810.97737907936</v>
      </c>
      <c r="AG110" s="199">
        <f t="shared" si="31"/>
        <v>-95041.740358193434</v>
      </c>
      <c r="AH110" s="199">
        <f t="shared" si="32"/>
        <v>-95014.83625108577</v>
      </c>
      <c r="AI110" s="200">
        <f t="shared" si="33"/>
        <v>-95043.572721693243</v>
      </c>
      <c r="AJ110" s="200">
        <f t="shared" si="34"/>
        <v>-95016.437760699569</v>
      </c>
      <c r="AK110" s="201">
        <f t="shared" si="35"/>
        <v>-95045.032459513575</v>
      </c>
      <c r="AL110" s="201">
        <f t="shared" si="36"/>
        <v>-95017.922811632685</v>
      </c>
    </row>
    <row r="111" spans="1:38">
      <c r="A111" s="191" t="s">
        <v>582</v>
      </c>
      <c r="B111" s="17"/>
      <c r="C111" s="17">
        <v>-151.483111278</v>
      </c>
      <c r="D111" s="17"/>
      <c r="E111" s="17">
        <v>0.99850000000000005</v>
      </c>
      <c r="F111" s="17">
        <v>-151.488015359</v>
      </c>
      <c r="G111" s="17">
        <v>-151.532773905</v>
      </c>
      <c r="H111" s="17">
        <v>0.97850000000000004</v>
      </c>
      <c r="I111" s="17">
        <v>-151.490935417</v>
      </c>
      <c r="J111" s="17">
        <v>-151.53604190300001</v>
      </c>
      <c r="K111" s="17">
        <v>0.97889999999999999</v>
      </c>
      <c r="L111" s="17">
        <v>-151.49326165799999</v>
      </c>
      <c r="M111" s="17">
        <v>-151.53831704999999</v>
      </c>
      <c r="N111" s="17">
        <v>0.97899999999999998</v>
      </c>
      <c r="O111" s="17">
        <v>-5.31</v>
      </c>
      <c r="P111" s="17">
        <v>-6.61</v>
      </c>
      <c r="Q111" s="17">
        <v>0.97189999999999999</v>
      </c>
      <c r="R111" s="17">
        <v>-34.200000000000003</v>
      </c>
      <c r="S111" s="17">
        <v>-7.35</v>
      </c>
      <c r="T111" s="17">
        <v>0.99419999999999997</v>
      </c>
      <c r="U111" s="33"/>
      <c r="V111" s="17"/>
      <c r="W111" s="17">
        <v>1.9168000000000001E-2</v>
      </c>
      <c r="X111" s="17">
        <v>3.0394999999999998E-2</v>
      </c>
      <c r="Y111" s="17">
        <v>-2.9769E-2</v>
      </c>
      <c r="Z111" s="196">
        <f t="shared" si="24"/>
        <v>37.753468459433847</v>
      </c>
      <c r="AA111" s="197">
        <f t="shared" si="25"/>
        <v>-5.31</v>
      </c>
      <c r="AB111" s="197">
        <f t="shared" si="26"/>
        <v>-4.0810631261550414</v>
      </c>
      <c r="AC111" s="197">
        <f t="shared" si="27"/>
        <v>-34.200000000000003</v>
      </c>
      <c r="AD111" s="197">
        <f t="shared" si="28"/>
        <v>-60.740336050904752</v>
      </c>
      <c r="AE111" s="198">
        <f t="shared" si="29"/>
        <v>-95037.985291819976</v>
      </c>
      <c r="AF111" s="198">
        <f t="shared" si="30"/>
        <v>-189810.29966905448</v>
      </c>
      <c r="AG111" s="199">
        <f t="shared" si="31"/>
        <v>-95041.062648168561</v>
      </c>
      <c r="AH111" s="199">
        <f t="shared" si="32"/>
        <v>-95014.158541060897</v>
      </c>
      <c r="AI111" s="200">
        <f t="shared" si="33"/>
        <v>-95042.89501166837</v>
      </c>
      <c r="AJ111" s="200">
        <f t="shared" si="34"/>
        <v>-95015.760050674711</v>
      </c>
      <c r="AK111" s="201">
        <f t="shared" si="35"/>
        <v>-95044.354749488703</v>
      </c>
      <c r="AL111" s="201">
        <f t="shared" si="36"/>
        <v>-95017.245101607812</v>
      </c>
    </row>
    <row r="112" spans="1:38">
      <c r="A112" s="191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>
        <v>-151.4383225</v>
      </c>
      <c r="M112" s="17"/>
      <c r="N112" s="17"/>
      <c r="O112" s="17"/>
      <c r="P112" s="17"/>
      <c r="Q112" s="17"/>
      <c r="R112" s="17"/>
      <c r="S112" s="17"/>
      <c r="T112" s="17"/>
      <c r="U112" s="33"/>
      <c r="V112" s="17"/>
      <c r="W112" s="17"/>
      <c r="X112" s="17"/>
      <c r="Y112" s="17"/>
      <c r="Z112" s="196">
        <f t="shared" si="24"/>
        <v>0</v>
      </c>
      <c r="AA112" s="197">
        <f t="shared" si="25"/>
        <v>0</v>
      </c>
      <c r="AB112" s="197">
        <f t="shared" si="26"/>
        <v>0</v>
      </c>
      <c r="AC112" s="197">
        <f t="shared" si="27"/>
        <v>0</v>
      </c>
      <c r="AD112" s="197">
        <f t="shared" si="28"/>
        <v>0</v>
      </c>
      <c r="AE112" s="198">
        <f t="shared" si="29"/>
        <v>0</v>
      </c>
      <c r="AF112" s="198">
        <f t="shared" si="30"/>
        <v>0</v>
      </c>
      <c r="AG112" s="199">
        <f t="shared" si="31"/>
        <v>0</v>
      </c>
      <c r="AH112" s="199">
        <f t="shared" si="32"/>
        <v>0</v>
      </c>
      <c r="AI112" s="200">
        <f t="shared" si="33"/>
        <v>0</v>
      </c>
      <c r="AJ112" s="200">
        <f t="shared" si="34"/>
        <v>0</v>
      </c>
      <c r="AK112" s="201">
        <f>(L112+X112)*($AW$3*$AW$4*10^-3/$AW$5)</f>
        <v>-95028.953062517816</v>
      </c>
      <c r="AL112" s="201">
        <f t="shared" si="36"/>
        <v>-95028.953062517816</v>
      </c>
    </row>
    <row r="113" spans="1:40">
      <c r="A113" s="191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33"/>
      <c r="V113" s="17"/>
      <c r="W113" s="17"/>
      <c r="X113" s="17"/>
      <c r="Y113" s="17"/>
      <c r="Z113" s="196">
        <f t="shared" si="24"/>
        <v>0</v>
      </c>
      <c r="AA113" s="197">
        <f t="shared" si="25"/>
        <v>0</v>
      </c>
      <c r="AB113" s="197">
        <f t="shared" si="26"/>
        <v>0</v>
      </c>
      <c r="AC113" s="197">
        <f t="shared" si="27"/>
        <v>0</v>
      </c>
      <c r="AD113" s="197">
        <f t="shared" si="28"/>
        <v>0</v>
      </c>
      <c r="AE113" s="198">
        <f t="shared" si="29"/>
        <v>0</v>
      </c>
      <c r="AF113" s="198">
        <f t="shared" si="30"/>
        <v>0</v>
      </c>
      <c r="AG113" s="199">
        <f t="shared" si="31"/>
        <v>0</v>
      </c>
      <c r="AH113" s="199">
        <f t="shared" si="32"/>
        <v>0</v>
      </c>
      <c r="AI113" s="200">
        <f t="shared" si="33"/>
        <v>0</v>
      </c>
      <c r="AJ113" s="200">
        <f t="shared" si="34"/>
        <v>0</v>
      </c>
      <c r="AK113" s="201">
        <f t="shared" si="35"/>
        <v>0</v>
      </c>
      <c r="AL113" s="201">
        <f t="shared" si="36"/>
        <v>0</v>
      </c>
    </row>
    <row r="114" spans="1:40">
      <c r="A114" s="191" t="s">
        <v>588</v>
      </c>
      <c r="B114" s="17"/>
      <c r="C114" s="17">
        <v>-154.39134906000001</v>
      </c>
      <c r="D114" s="17"/>
      <c r="E114" s="17">
        <v>0.99280000000000002</v>
      </c>
      <c r="F114" s="17">
        <v>-154.401330828</v>
      </c>
      <c r="G114" s="17">
        <v>-154.44590751999999</v>
      </c>
      <c r="H114" s="17">
        <v>0.97729999999999995</v>
      </c>
      <c r="I114" s="17">
        <v>-154.40427989</v>
      </c>
      <c r="J114" s="17">
        <v>-154.44920580900001</v>
      </c>
      <c r="K114" s="17">
        <v>0.97770000000000001</v>
      </c>
      <c r="L114" s="17">
        <v>-154.40688613099999</v>
      </c>
      <c r="M114" s="17">
        <v>-154.45176108800001</v>
      </c>
      <c r="N114" s="17">
        <v>0.9778</v>
      </c>
      <c r="O114" s="17">
        <v>-1.79</v>
      </c>
      <c r="P114" s="17">
        <v>-3.06</v>
      </c>
      <c r="Q114" s="17">
        <v>0.9708</v>
      </c>
      <c r="R114" s="17">
        <v>-2.31</v>
      </c>
      <c r="S114" s="17">
        <v>-3.69</v>
      </c>
      <c r="T114" s="17">
        <v>0.97660000000000002</v>
      </c>
      <c r="U114" s="33"/>
      <c r="V114" s="17"/>
      <c r="W114" s="17">
        <v>1.932E-2</v>
      </c>
      <c r="X114" s="17">
        <v>3.6901000000000003E-2</v>
      </c>
      <c r="Y114" s="17">
        <v>-5.2627E-2</v>
      </c>
      <c r="Z114" s="196">
        <f t="shared" si="24"/>
        <v>56.179651024469678</v>
      </c>
      <c r="AA114" s="197">
        <f t="shared" si="25"/>
        <v>-1.79</v>
      </c>
      <c r="AB114" s="197">
        <f t="shared" si="26"/>
        <v>-0.59206373882627261</v>
      </c>
      <c r="AC114" s="197">
        <f t="shared" si="27"/>
        <v>-2.31</v>
      </c>
      <c r="AD114" s="197">
        <f t="shared" si="28"/>
        <v>-0.99310728942739912</v>
      </c>
      <c r="AE114" s="198">
        <f t="shared" si="29"/>
        <v>-96858.848919728262</v>
      </c>
      <c r="AF114" s="198">
        <f t="shared" si="30"/>
        <v>-192355.72561387802</v>
      </c>
      <c r="AG114" s="199">
        <f t="shared" si="31"/>
        <v>-96865.112571801874</v>
      </c>
      <c r="AH114" s="199">
        <f t="shared" si="32"/>
        <v>-96838.382037856543</v>
      </c>
      <c r="AI114" s="200">
        <f t="shared" si="33"/>
        <v>-96866.963135580911</v>
      </c>
      <c r="AJ114" s="200">
        <f t="shared" si="34"/>
        <v>-96840.001615212896</v>
      </c>
      <c r="AK114" s="201">
        <f t="shared" si="35"/>
        <v>-96868.59857600028</v>
      </c>
      <c r="AL114" s="201">
        <f t="shared" si="36"/>
        <v>-96841.662250208916</v>
      </c>
      <c r="AN114" s="6">
        <f>AK112-AK83</f>
        <v>85.747033110630582</v>
      </c>
    </row>
    <row r="115" spans="1:40">
      <c r="A115" s="191" t="s">
        <v>589</v>
      </c>
      <c r="B115" s="17"/>
      <c r="C115" s="17">
        <v>-154.39134906000001</v>
      </c>
      <c r="D115" s="17"/>
      <c r="E115" s="17">
        <v>0.99280000000000002</v>
      </c>
      <c r="F115" s="17">
        <v>-154.401330828</v>
      </c>
      <c r="G115" s="17">
        <v>-154.44590751999999</v>
      </c>
      <c r="H115" s="17">
        <v>0.97729999999999995</v>
      </c>
      <c r="I115" s="17">
        <v>-154.40427989</v>
      </c>
      <c r="J115" s="17">
        <v>-154.44920580900001</v>
      </c>
      <c r="K115" s="17">
        <v>0.97770000000000001</v>
      </c>
      <c r="L115" s="17">
        <v>-154.40688613099999</v>
      </c>
      <c r="M115" s="17">
        <v>-154.45176108800001</v>
      </c>
      <c r="N115" s="17">
        <v>0.9778</v>
      </c>
      <c r="O115" s="17">
        <v>-1.79</v>
      </c>
      <c r="P115" s="17">
        <v>-3.06</v>
      </c>
      <c r="Q115" s="17">
        <v>0.9708</v>
      </c>
      <c r="R115" s="17">
        <v>-2.31</v>
      </c>
      <c r="S115" s="17">
        <v>-3.69</v>
      </c>
      <c r="T115" s="17">
        <v>0.97660000000000002</v>
      </c>
      <c r="U115" s="33"/>
      <c r="V115" s="17"/>
      <c r="W115" s="17">
        <v>1.932E-2</v>
      </c>
      <c r="X115" s="17">
        <v>3.7130999999999997E-2</v>
      </c>
      <c r="Y115" s="17">
        <v>-5.3657000000000003E-2</v>
      </c>
      <c r="Z115" s="196">
        <f t="shared" si="24"/>
        <v>56.970312720149607</v>
      </c>
      <c r="AA115" s="197">
        <f t="shared" si="25"/>
        <v>-1.79</v>
      </c>
      <c r="AB115" s="197">
        <f t="shared" si="26"/>
        <v>-0.59206373882627261</v>
      </c>
      <c r="AC115" s="197">
        <f t="shared" si="27"/>
        <v>-2.31</v>
      </c>
      <c r="AD115" s="197">
        <f t="shared" si="28"/>
        <v>-0.99310728942739912</v>
      </c>
      <c r="AE115" s="198">
        <f t="shared" si="29"/>
        <v>-96858.704592593349</v>
      </c>
      <c r="AF115" s="198">
        <f t="shared" si="30"/>
        <v>-192355.58128674311</v>
      </c>
      <c r="AG115" s="199">
        <f t="shared" si="31"/>
        <v>-96864.968244666961</v>
      </c>
      <c r="AH115" s="199">
        <f t="shared" si="32"/>
        <v>-96838.237710721631</v>
      </c>
      <c r="AI115" s="200">
        <f t="shared" si="33"/>
        <v>-96866.818808445998</v>
      </c>
      <c r="AJ115" s="200">
        <f t="shared" si="34"/>
        <v>-96839.857288077968</v>
      </c>
      <c r="AK115" s="201">
        <f t="shared" si="35"/>
        <v>-96868.454248865368</v>
      </c>
      <c r="AL115" s="201">
        <f t="shared" si="36"/>
        <v>-96841.517923073989</v>
      </c>
    </row>
    <row r="116" spans="1:40">
      <c r="A116" s="191" t="s">
        <v>590</v>
      </c>
      <c r="B116" s="17"/>
      <c r="C116" s="17">
        <v>-154.39134906000001</v>
      </c>
      <c r="D116" s="17"/>
      <c r="E116" s="17">
        <v>0.99280000000000002</v>
      </c>
      <c r="F116" s="17">
        <v>-154.401330828</v>
      </c>
      <c r="G116" s="17">
        <v>-154.44590751999999</v>
      </c>
      <c r="H116" s="17">
        <v>0.97729999999999995</v>
      </c>
      <c r="I116" s="17">
        <v>-154.40427989</v>
      </c>
      <c r="J116" s="17">
        <v>-154.44920580900001</v>
      </c>
      <c r="K116" s="17">
        <v>0.97770000000000001</v>
      </c>
      <c r="L116" s="17">
        <v>-154.40688613099999</v>
      </c>
      <c r="M116" s="17">
        <v>-154.45176108800001</v>
      </c>
      <c r="N116" s="17">
        <v>0.9778</v>
      </c>
      <c r="O116" s="17">
        <v>-1.79</v>
      </c>
      <c r="P116" s="17">
        <v>-3.06</v>
      </c>
      <c r="Q116" s="17">
        <v>0.9708</v>
      </c>
      <c r="R116" s="17">
        <v>-2.31</v>
      </c>
      <c r="S116" s="17">
        <v>-3.69</v>
      </c>
      <c r="T116" s="17">
        <v>0.97660000000000002</v>
      </c>
      <c r="U116" s="33"/>
      <c r="V116" s="17"/>
      <c r="W116" s="17">
        <v>1.932E-2</v>
      </c>
      <c r="X116" s="17">
        <v>3.7379999999999997E-2</v>
      </c>
      <c r="Y116" s="17">
        <v>-5.4780000000000002E-2</v>
      </c>
      <c r="Z116" s="196">
        <f t="shared" si="24"/>
        <v>57.831255455445508</v>
      </c>
      <c r="AA116" s="197">
        <f t="shared" si="25"/>
        <v>-1.79</v>
      </c>
      <c r="AB116" s="197">
        <f t="shared" si="26"/>
        <v>-0.59206373882627261</v>
      </c>
      <c r="AC116" s="197">
        <f t="shared" si="27"/>
        <v>-2.31</v>
      </c>
      <c r="AD116" s="197">
        <f t="shared" si="28"/>
        <v>-0.99310728942739912</v>
      </c>
      <c r="AE116" s="198">
        <f t="shared" si="29"/>
        <v>-96858.548342782044</v>
      </c>
      <c r="AF116" s="198">
        <f t="shared" si="30"/>
        <v>-192355.42503693182</v>
      </c>
      <c r="AG116" s="199">
        <f t="shared" si="31"/>
        <v>-96864.811994855656</v>
      </c>
      <c r="AH116" s="199">
        <f t="shared" si="32"/>
        <v>-96838.081460910325</v>
      </c>
      <c r="AI116" s="200">
        <f t="shared" si="33"/>
        <v>-96866.662558634693</v>
      </c>
      <c r="AJ116" s="200">
        <f t="shared" si="34"/>
        <v>-96839.701038266663</v>
      </c>
      <c r="AK116" s="201">
        <f t="shared" si="35"/>
        <v>-96868.297999054063</v>
      </c>
      <c r="AL116" s="201">
        <f t="shared" si="36"/>
        <v>-96841.361673262683</v>
      </c>
    </row>
    <row r="117" spans="1:40">
      <c r="A117" s="191" t="s">
        <v>591</v>
      </c>
      <c r="B117" s="17"/>
      <c r="C117" s="17">
        <v>-154.39134906000001</v>
      </c>
      <c r="D117" s="17"/>
      <c r="E117" s="17">
        <v>0.99280000000000002</v>
      </c>
      <c r="F117" s="17">
        <v>-154.401330828</v>
      </c>
      <c r="G117" s="17">
        <v>-154.44590751999999</v>
      </c>
      <c r="H117" s="17">
        <v>0.97729999999999995</v>
      </c>
      <c r="I117" s="17">
        <v>-154.40427989</v>
      </c>
      <c r="J117" s="17">
        <v>-154.44920580900001</v>
      </c>
      <c r="K117" s="17">
        <v>0.97770000000000001</v>
      </c>
      <c r="L117" s="17">
        <v>-154.40688613099999</v>
      </c>
      <c r="M117" s="17">
        <v>-154.45176108800001</v>
      </c>
      <c r="N117" s="17">
        <v>0.9778</v>
      </c>
      <c r="O117" s="17">
        <v>-1.79</v>
      </c>
      <c r="P117" s="17">
        <v>-3.06</v>
      </c>
      <c r="Q117" s="17">
        <v>0.9708</v>
      </c>
      <c r="R117" s="17">
        <v>-2.31</v>
      </c>
      <c r="S117" s="17">
        <v>-3.69</v>
      </c>
      <c r="T117" s="17">
        <v>0.97660000000000002</v>
      </c>
      <c r="U117" s="33"/>
      <c r="V117" s="17"/>
      <c r="W117" s="17">
        <v>1.932E-2</v>
      </c>
      <c r="X117" s="17">
        <v>3.7669000000000001E-2</v>
      </c>
      <c r="Y117" s="17">
        <v>-5.6085000000000003E-2</v>
      </c>
      <c r="Z117" s="196">
        <f t="shared" si="24"/>
        <v>58.831505251408842</v>
      </c>
      <c r="AA117" s="197">
        <f t="shared" si="25"/>
        <v>-1.79</v>
      </c>
      <c r="AB117" s="197">
        <f t="shared" si="26"/>
        <v>-0.59206373882627261</v>
      </c>
      <c r="AC117" s="197">
        <f t="shared" si="27"/>
        <v>-2.31</v>
      </c>
      <c r="AD117" s="197">
        <f t="shared" si="28"/>
        <v>-0.99310728942739912</v>
      </c>
      <c r="AE117" s="198">
        <f t="shared" si="29"/>
        <v>-96858.366992599476</v>
      </c>
      <c r="AF117" s="198">
        <f t="shared" si="30"/>
        <v>-192355.24368674922</v>
      </c>
      <c r="AG117" s="199">
        <f t="shared" si="31"/>
        <v>-96864.630644673089</v>
      </c>
      <c r="AH117" s="199">
        <f t="shared" si="32"/>
        <v>-96837.900110727744</v>
      </c>
      <c r="AI117" s="200">
        <f t="shared" si="33"/>
        <v>-96866.481208452125</v>
      </c>
      <c r="AJ117" s="200">
        <f t="shared" si="34"/>
        <v>-96839.519688084096</v>
      </c>
      <c r="AK117" s="201">
        <f t="shared" si="35"/>
        <v>-96868.116648871495</v>
      </c>
      <c r="AL117" s="201">
        <f t="shared" si="36"/>
        <v>-96841.180323080116</v>
      </c>
    </row>
    <row r="118" spans="1:40">
      <c r="A118" s="191" t="s">
        <v>592</v>
      </c>
      <c r="B118" s="17"/>
      <c r="C118" s="17">
        <v>-154.39134906000001</v>
      </c>
      <c r="D118" s="17"/>
      <c r="E118" s="17">
        <v>0.99280000000000002</v>
      </c>
      <c r="F118" s="17">
        <v>-154.401330828</v>
      </c>
      <c r="G118" s="17">
        <v>-154.44590751999999</v>
      </c>
      <c r="H118" s="17">
        <v>0.97729999999999995</v>
      </c>
      <c r="I118" s="17">
        <v>-154.40427989</v>
      </c>
      <c r="J118" s="17">
        <v>-154.44920580900001</v>
      </c>
      <c r="K118" s="17">
        <v>0.97770000000000001</v>
      </c>
      <c r="L118" s="17">
        <v>-154.40688613099999</v>
      </c>
      <c r="M118" s="17">
        <v>-154.45176108800001</v>
      </c>
      <c r="N118" s="17">
        <v>0.9778</v>
      </c>
      <c r="O118" s="17">
        <v>-1.79</v>
      </c>
      <c r="P118" s="17">
        <v>-3.06</v>
      </c>
      <c r="Q118" s="17">
        <v>0.9708</v>
      </c>
      <c r="R118" s="17">
        <v>-2.31</v>
      </c>
      <c r="S118" s="17">
        <v>-3.69</v>
      </c>
      <c r="T118" s="17">
        <v>0.97660000000000002</v>
      </c>
      <c r="U118" s="33"/>
      <c r="V118" s="17"/>
      <c r="W118" s="17">
        <v>1.932E-2</v>
      </c>
      <c r="X118" s="17">
        <v>3.7949999999999998E-2</v>
      </c>
      <c r="Y118" s="17">
        <v>-5.7355000000000003E-2</v>
      </c>
      <c r="Z118" s="196">
        <f t="shared" si="24"/>
        <v>59.80477214823388</v>
      </c>
      <c r="AA118" s="197">
        <f t="shared" si="25"/>
        <v>-1.79</v>
      </c>
      <c r="AB118" s="197">
        <f t="shared" si="26"/>
        <v>-0.59206373882627261</v>
      </c>
      <c r="AC118" s="197">
        <f t="shared" si="27"/>
        <v>-2.31</v>
      </c>
      <c r="AD118" s="197">
        <f t="shared" si="28"/>
        <v>-0.99310728942739912</v>
      </c>
      <c r="AE118" s="198">
        <f t="shared" si="29"/>
        <v>-96858.19066249115</v>
      </c>
      <c r="AF118" s="198">
        <f t="shared" si="30"/>
        <v>-192355.06735664088</v>
      </c>
      <c r="AG118" s="199">
        <f t="shared" si="31"/>
        <v>-96864.454314564762</v>
      </c>
      <c r="AH118" s="199">
        <f t="shared" si="32"/>
        <v>-96837.723780619432</v>
      </c>
      <c r="AI118" s="200">
        <f t="shared" si="33"/>
        <v>-96866.304878343799</v>
      </c>
      <c r="AJ118" s="200">
        <f t="shared" si="34"/>
        <v>-96839.343357975769</v>
      </c>
      <c r="AK118" s="201">
        <f t="shared" si="35"/>
        <v>-96867.940318763169</v>
      </c>
      <c r="AL118" s="201">
        <f t="shared" si="36"/>
        <v>-96841.00399297179</v>
      </c>
    </row>
    <row r="119" spans="1:40">
      <c r="A119" s="191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33"/>
      <c r="V119" s="17"/>
      <c r="W119" s="17"/>
      <c r="X119" s="17"/>
      <c r="Y119" s="17"/>
      <c r="Z119" s="196">
        <f t="shared" si="24"/>
        <v>0</v>
      </c>
      <c r="AA119" s="197">
        <f t="shared" si="25"/>
        <v>0</v>
      </c>
      <c r="AB119" s="197">
        <f t="shared" si="26"/>
        <v>0</v>
      </c>
      <c r="AC119" s="197">
        <f t="shared" si="27"/>
        <v>0</v>
      </c>
      <c r="AD119" s="197">
        <f t="shared" si="28"/>
        <v>0</v>
      </c>
      <c r="AE119" s="198">
        <f t="shared" si="29"/>
        <v>0</v>
      </c>
      <c r="AF119" s="198">
        <f t="shared" si="30"/>
        <v>0</v>
      </c>
      <c r="AG119" s="199">
        <f t="shared" si="31"/>
        <v>0</v>
      </c>
      <c r="AH119" s="199">
        <f t="shared" si="32"/>
        <v>0</v>
      </c>
      <c r="AI119" s="200">
        <f t="shared" si="33"/>
        <v>0</v>
      </c>
      <c r="AJ119" s="200">
        <f t="shared" si="34"/>
        <v>0</v>
      </c>
      <c r="AK119" s="201">
        <f t="shared" si="35"/>
        <v>0</v>
      </c>
      <c r="AL119" s="201">
        <f t="shared" si="36"/>
        <v>0</v>
      </c>
    </row>
    <row r="120" spans="1:40">
      <c r="A120" s="191" t="s">
        <v>593</v>
      </c>
      <c r="B120" s="17"/>
      <c r="C120" s="17">
        <v>-2.9070489744199999</v>
      </c>
      <c r="D120" s="17"/>
      <c r="E120" s="17"/>
      <c r="F120" s="17">
        <v>-2.91302785869</v>
      </c>
      <c r="G120" s="17"/>
      <c r="H120" s="17"/>
      <c r="I120" s="17">
        <v>-2.91302785869</v>
      </c>
      <c r="J120" s="17"/>
      <c r="K120" s="17"/>
      <c r="L120" s="17">
        <v>-2.9135439293099998</v>
      </c>
      <c r="M120" s="17"/>
      <c r="N120" s="17"/>
      <c r="O120" s="17">
        <v>2.6</v>
      </c>
      <c r="P120" s="17"/>
      <c r="Q120" s="17"/>
      <c r="R120" s="17">
        <v>2.6</v>
      </c>
      <c r="S120" s="17"/>
      <c r="T120" s="17"/>
      <c r="U120" s="33"/>
      <c r="V120" s="17"/>
      <c r="W120" s="17">
        <v>0</v>
      </c>
      <c r="X120" s="17">
        <v>5.5789999999999998E-3</v>
      </c>
      <c r="Y120" s="17">
        <v>-2.5912999999999999E-2</v>
      </c>
      <c r="Z120" s="196">
        <f t="shared" si="24"/>
        <v>19.761522317739693</v>
      </c>
      <c r="AA120" s="197">
        <f t="shared" si="25"/>
        <v>2.6</v>
      </c>
      <c r="AB120" s="197">
        <f t="shared" si="26"/>
        <v>2.6</v>
      </c>
      <c r="AC120" s="197">
        <f t="shared" si="27"/>
        <v>2.6</v>
      </c>
      <c r="AD120" s="197">
        <f t="shared" si="28"/>
        <v>2.6</v>
      </c>
      <c r="AE120" s="198">
        <f t="shared" si="29"/>
        <v>-1820.6993412216577</v>
      </c>
      <c r="AF120" s="198">
        <f t="shared" si="30"/>
        <v>-1820.6993412216577</v>
      </c>
      <c r="AG120" s="199">
        <f t="shared" si="31"/>
        <v>-1824.4511465987944</v>
      </c>
      <c r="AH120" s="199">
        <f t="shared" si="32"/>
        <v>-1824.4511465987944</v>
      </c>
      <c r="AI120" s="200">
        <f t="shared" si="33"/>
        <v>-1824.4511465987944</v>
      </c>
      <c r="AJ120" s="200">
        <f t="shared" si="34"/>
        <v>-1824.4511465987944</v>
      </c>
      <c r="AK120" s="201">
        <f t="shared" si="35"/>
        <v>-1824.7749857031592</v>
      </c>
      <c r="AL120" s="201">
        <f t="shared" si="36"/>
        <v>-1824.7749857031592</v>
      </c>
    </row>
    <row r="121" spans="1:40">
      <c r="A121" s="191" t="s">
        <v>594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33"/>
      <c r="V121" s="17"/>
      <c r="W121" s="17">
        <v>0</v>
      </c>
      <c r="X121" s="17">
        <v>5.6429999999999996E-3</v>
      </c>
      <c r="Y121" s="17">
        <v>-2.6276000000000001E-2</v>
      </c>
      <c r="Z121" s="196">
        <f t="shared" si="24"/>
        <v>20.029468781275668</v>
      </c>
      <c r="AA121" s="197">
        <f t="shared" si="25"/>
        <v>0</v>
      </c>
      <c r="AB121" s="197">
        <f t="shared" si="26"/>
        <v>0</v>
      </c>
      <c r="AC121" s="197">
        <f t="shared" si="27"/>
        <v>0</v>
      </c>
      <c r="AD121" s="197">
        <f t="shared" si="28"/>
        <v>0</v>
      </c>
      <c r="AE121" s="198">
        <f t="shared" si="29"/>
        <v>3.5410348799379232</v>
      </c>
      <c r="AF121" s="198">
        <f t="shared" si="30"/>
        <v>3.5410348799379232</v>
      </c>
      <c r="AG121" s="199">
        <f t="shared" si="31"/>
        <v>3.5410348799379232</v>
      </c>
      <c r="AH121" s="199">
        <f t="shared" si="32"/>
        <v>3.5410348799379232</v>
      </c>
      <c r="AI121" s="200">
        <f t="shared" si="33"/>
        <v>3.5410348799379232</v>
      </c>
      <c r="AJ121" s="200">
        <f t="shared" si="34"/>
        <v>3.5410348799379232</v>
      </c>
      <c r="AK121" s="201">
        <f t="shared" si="35"/>
        <v>3.5410348799379232</v>
      </c>
      <c r="AL121" s="201">
        <f t="shared" si="36"/>
        <v>3.5410348799379232</v>
      </c>
    </row>
    <row r="122" spans="1:40">
      <c r="A122" s="191" t="s">
        <v>595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33"/>
      <c r="V122" s="17"/>
      <c r="W122" s="17">
        <v>0</v>
      </c>
      <c r="X122" s="17">
        <v>5.7130000000000002E-3</v>
      </c>
      <c r="Y122" s="17">
        <v>-2.6669999999999999E-2</v>
      </c>
      <c r="Z122" s="196">
        <f t="shared" si="24"/>
        <v>20.320633088256209</v>
      </c>
      <c r="AA122" s="197">
        <f t="shared" si="25"/>
        <v>0</v>
      </c>
      <c r="AB122" s="197">
        <f t="shared" si="26"/>
        <v>0</v>
      </c>
      <c r="AC122" s="197">
        <f t="shared" si="27"/>
        <v>0</v>
      </c>
      <c r="AD122" s="197">
        <f t="shared" si="28"/>
        <v>0</v>
      </c>
      <c r="AE122" s="198">
        <f t="shared" si="29"/>
        <v>3.584960529697919</v>
      </c>
      <c r="AF122" s="198">
        <f t="shared" si="30"/>
        <v>3.584960529697919</v>
      </c>
      <c r="AG122" s="199">
        <f t="shared" si="31"/>
        <v>3.584960529697919</v>
      </c>
      <c r="AH122" s="199">
        <f t="shared" si="32"/>
        <v>3.584960529697919</v>
      </c>
      <c r="AI122" s="200">
        <f t="shared" si="33"/>
        <v>3.584960529697919</v>
      </c>
      <c r="AJ122" s="200">
        <f t="shared" si="34"/>
        <v>3.584960529697919</v>
      </c>
      <c r="AK122" s="201">
        <f t="shared" si="35"/>
        <v>3.584960529697919</v>
      </c>
      <c r="AL122" s="201">
        <f t="shared" si="36"/>
        <v>3.584960529697919</v>
      </c>
      <c r="AM122" t="s">
        <v>519</v>
      </c>
      <c r="AN122" t="s">
        <v>97</v>
      </c>
    </row>
    <row r="123" spans="1:40">
      <c r="A123" s="191" t="s">
        <v>596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33"/>
      <c r="V123" s="17"/>
      <c r="W123" s="17">
        <v>0</v>
      </c>
      <c r="X123" s="17">
        <v>5.7930000000000004E-3</v>
      </c>
      <c r="Y123" s="17">
        <v>-2.7129E-2</v>
      </c>
      <c r="Z123" s="196">
        <f t="shared" si="24"/>
        <v>20.658860591408171</v>
      </c>
      <c r="AA123" s="197">
        <f t="shared" si="25"/>
        <v>0</v>
      </c>
      <c r="AB123" s="197">
        <f t="shared" si="26"/>
        <v>0</v>
      </c>
      <c r="AC123" s="197">
        <f t="shared" si="27"/>
        <v>0</v>
      </c>
      <c r="AD123" s="197">
        <f t="shared" si="28"/>
        <v>0</v>
      </c>
      <c r="AE123" s="198">
        <f t="shared" si="29"/>
        <v>3.6351612722807713</v>
      </c>
      <c r="AF123" s="198">
        <f t="shared" si="30"/>
        <v>3.6351612722807713</v>
      </c>
      <c r="AG123" s="199">
        <f t="shared" si="31"/>
        <v>3.6351612722807713</v>
      </c>
      <c r="AH123" s="199">
        <f t="shared" si="32"/>
        <v>3.6351612722807713</v>
      </c>
      <c r="AI123" s="200">
        <f t="shared" si="33"/>
        <v>3.6351612722807713</v>
      </c>
      <c r="AJ123" s="200">
        <f t="shared" si="34"/>
        <v>3.6351612722807713</v>
      </c>
      <c r="AK123" s="201">
        <f t="shared" si="35"/>
        <v>3.6351612722807713</v>
      </c>
      <c r="AL123" s="201">
        <f t="shared" si="36"/>
        <v>3.6351612722807713</v>
      </c>
      <c r="AM123" s="6">
        <f>Y9-Y8</f>
        <v>1.8956162920895494</v>
      </c>
      <c r="AN123" s="6">
        <f>AK96+AM123</f>
        <v>-190200.72935567106</v>
      </c>
    </row>
    <row r="124" spans="1:40">
      <c r="A124" s="191" t="s">
        <v>597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33"/>
      <c r="V124" s="17"/>
      <c r="W124" s="17">
        <v>0</v>
      </c>
      <c r="X124" s="17">
        <v>5.8719999999999996E-3</v>
      </c>
      <c r="Y124" s="17">
        <v>-2.7574999999999999E-2</v>
      </c>
      <c r="Z124" s="196">
        <f t="shared" si="24"/>
        <v>20.988302964608138</v>
      </c>
      <c r="AA124" s="197">
        <f t="shared" si="25"/>
        <v>0</v>
      </c>
      <c r="AB124" s="197">
        <f t="shared" si="26"/>
        <v>0</v>
      </c>
      <c r="AC124" s="197">
        <f t="shared" si="27"/>
        <v>0</v>
      </c>
      <c r="AD124" s="197">
        <f t="shared" si="28"/>
        <v>0</v>
      </c>
      <c r="AE124" s="198">
        <f t="shared" si="29"/>
        <v>3.684734505581337</v>
      </c>
      <c r="AF124" s="198">
        <f t="shared" si="30"/>
        <v>3.684734505581337</v>
      </c>
      <c r="AG124" s="199">
        <f t="shared" si="31"/>
        <v>3.684734505581337</v>
      </c>
      <c r="AH124" s="199">
        <f t="shared" si="32"/>
        <v>3.684734505581337</v>
      </c>
      <c r="AI124" s="200">
        <f t="shared" si="33"/>
        <v>3.684734505581337</v>
      </c>
      <c r="AJ124" s="200">
        <f t="shared" si="34"/>
        <v>3.684734505581337</v>
      </c>
      <c r="AK124" s="201">
        <f t="shared" si="35"/>
        <v>3.684734505581337</v>
      </c>
      <c r="AL124" s="201">
        <f t="shared" si="36"/>
        <v>3.684734505581337</v>
      </c>
      <c r="AM124" s="6"/>
    </row>
    <row r="125" spans="1:40">
      <c r="A125" s="191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33"/>
      <c r="V125" s="17"/>
      <c r="W125" s="17"/>
      <c r="X125" s="17"/>
      <c r="Y125" s="17"/>
      <c r="Z125" s="196">
        <f t="shared" si="24"/>
        <v>0</v>
      </c>
      <c r="AA125" s="197">
        <f t="shared" si="25"/>
        <v>0</v>
      </c>
      <c r="AB125" s="197">
        <f t="shared" si="26"/>
        <v>0</v>
      </c>
      <c r="AC125" s="197">
        <f t="shared" si="27"/>
        <v>0</v>
      </c>
      <c r="AD125" s="197">
        <f t="shared" si="28"/>
        <v>0</v>
      </c>
      <c r="AE125" s="198">
        <f t="shared" si="29"/>
        <v>0</v>
      </c>
      <c r="AF125" s="198">
        <f t="shared" si="30"/>
        <v>0</v>
      </c>
      <c r="AG125" s="199">
        <f t="shared" si="31"/>
        <v>0</v>
      </c>
      <c r="AH125" s="199">
        <f t="shared" si="32"/>
        <v>0</v>
      </c>
      <c r="AI125" s="200">
        <f t="shared" si="33"/>
        <v>0</v>
      </c>
      <c r="AJ125" s="200">
        <f t="shared" si="34"/>
        <v>0</v>
      </c>
      <c r="AK125" s="201">
        <f t="shared" si="35"/>
        <v>0</v>
      </c>
      <c r="AL125" s="201">
        <f t="shared" si="36"/>
        <v>0</v>
      </c>
      <c r="AM125" s="6">
        <f>Y11-Y10</f>
        <v>11.896057924376507</v>
      </c>
      <c r="AN125" s="6">
        <f>AK98+AM125</f>
        <v>-190188.08145237679</v>
      </c>
    </row>
    <row r="126" spans="1:40">
      <c r="A126" s="191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33"/>
      <c r="V126" s="17"/>
      <c r="W126" s="17"/>
      <c r="X126" s="17"/>
      <c r="Y126" s="17"/>
      <c r="Z126" s="196">
        <f t="shared" si="24"/>
        <v>0</v>
      </c>
      <c r="AA126" s="197">
        <f t="shared" si="25"/>
        <v>0</v>
      </c>
      <c r="AB126" s="197">
        <f t="shared" si="26"/>
        <v>0</v>
      </c>
      <c r="AC126" s="197">
        <f t="shared" si="27"/>
        <v>0</v>
      </c>
      <c r="AD126" s="197">
        <f t="shared" si="28"/>
        <v>0</v>
      </c>
      <c r="AE126" s="198">
        <f t="shared" si="29"/>
        <v>0</v>
      </c>
      <c r="AF126" s="198">
        <f t="shared" si="30"/>
        <v>0</v>
      </c>
      <c r="AG126" s="199">
        <f t="shared" si="31"/>
        <v>0</v>
      </c>
      <c r="AH126" s="199">
        <f t="shared" si="32"/>
        <v>0</v>
      </c>
      <c r="AI126" s="200">
        <f t="shared" si="33"/>
        <v>0</v>
      </c>
      <c r="AJ126" s="200">
        <f t="shared" si="34"/>
        <v>0</v>
      </c>
      <c r="AK126" s="201">
        <f t="shared" si="35"/>
        <v>0</v>
      </c>
      <c r="AL126" s="201">
        <f t="shared" si="36"/>
        <v>0</v>
      </c>
      <c r="AM126" s="6"/>
    </row>
    <row r="127" spans="1:40">
      <c r="A127" s="191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33"/>
      <c r="V127" s="17"/>
      <c r="W127" s="17"/>
      <c r="X127" s="17"/>
      <c r="Y127" s="17"/>
      <c r="Z127" s="196">
        <f t="shared" si="24"/>
        <v>0</v>
      </c>
      <c r="AA127" s="197">
        <f t="shared" si="25"/>
        <v>0</v>
      </c>
      <c r="AB127" s="197">
        <f t="shared" si="26"/>
        <v>0</v>
      </c>
      <c r="AC127" s="197">
        <f t="shared" si="27"/>
        <v>0</v>
      </c>
      <c r="AD127" s="197">
        <f t="shared" si="28"/>
        <v>0</v>
      </c>
      <c r="AE127" s="198">
        <f t="shared" si="29"/>
        <v>0</v>
      </c>
      <c r="AF127" s="198">
        <f t="shared" si="30"/>
        <v>0</v>
      </c>
      <c r="AG127" s="199">
        <f t="shared" si="31"/>
        <v>0</v>
      </c>
      <c r="AH127" s="199">
        <f t="shared" si="32"/>
        <v>0</v>
      </c>
      <c r="AI127" s="200">
        <f t="shared" si="33"/>
        <v>0</v>
      </c>
      <c r="AJ127" s="200">
        <f t="shared" si="34"/>
        <v>0</v>
      </c>
      <c r="AK127" s="201">
        <f t="shared" si="35"/>
        <v>0</v>
      </c>
      <c r="AL127" s="201">
        <f t="shared" si="36"/>
        <v>0</v>
      </c>
      <c r="AM127" s="6">
        <f>Y14-Y13</f>
        <v>9.8813563501849657</v>
      </c>
      <c r="AN127" s="6">
        <f>AK100+AM127</f>
        <v>-190187.27738225498</v>
      </c>
    </row>
    <row r="128" spans="1:40">
      <c r="A128" s="191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33"/>
      <c r="V128" s="17"/>
      <c r="W128" s="17"/>
      <c r="X128" s="17"/>
      <c r="Y128" s="17"/>
      <c r="Z128" s="196">
        <f t="shared" si="24"/>
        <v>0</v>
      </c>
      <c r="AA128" s="197">
        <f t="shared" si="25"/>
        <v>0</v>
      </c>
      <c r="AB128" s="197">
        <f t="shared" si="26"/>
        <v>0</v>
      </c>
      <c r="AC128" s="197">
        <f t="shared" si="27"/>
        <v>0</v>
      </c>
      <c r="AD128" s="197">
        <f t="shared" si="28"/>
        <v>0</v>
      </c>
      <c r="AE128" s="198">
        <f t="shared" si="29"/>
        <v>0</v>
      </c>
      <c r="AF128" s="198">
        <f t="shared" si="30"/>
        <v>0</v>
      </c>
      <c r="AG128" s="199">
        <f t="shared" si="31"/>
        <v>0</v>
      </c>
      <c r="AH128" s="199">
        <f t="shared" si="32"/>
        <v>0</v>
      </c>
      <c r="AI128" s="200">
        <f t="shared" si="33"/>
        <v>0</v>
      </c>
      <c r="AJ128" s="200">
        <f t="shared" si="34"/>
        <v>0</v>
      </c>
      <c r="AK128" s="201">
        <f t="shared" si="35"/>
        <v>0</v>
      </c>
      <c r="AL128" s="201">
        <f t="shared" si="36"/>
        <v>0</v>
      </c>
      <c r="AM128" s="6"/>
    </row>
    <row r="130" spans="7:34">
      <c r="G130" s="6">
        <f>AK104-AK88</f>
        <v>58.572759956485243</v>
      </c>
      <c r="AH130" s="18">
        <f>(49924*AW15)/(4.2*1000)</f>
        <v>98.831218865215035</v>
      </c>
    </row>
    <row r="132" spans="7:34">
      <c r="G132" s="11"/>
      <c r="J132" s="153">
        <f>(L112-L88)*($AW$3*$AW$4*10^-3/$AW$5)</f>
        <v>59.211970404359747</v>
      </c>
      <c r="N132" t="s">
        <v>569</v>
      </c>
      <c r="O132" t="s">
        <v>573</v>
      </c>
      <c r="P132" t="s">
        <v>574</v>
      </c>
      <c r="Q132" t="s">
        <v>570</v>
      </c>
      <c r="R132" t="s">
        <v>568</v>
      </c>
      <c r="S132" t="s">
        <v>572</v>
      </c>
      <c r="T132" t="s">
        <v>571</v>
      </c>
    </row>
    <row r="133" spans="7:34">
      <c r="N133">
        <v>300</v>
      </c>
      <c r="O133" s="6">
        <f t="shared" ref="O133:O139" si="37">AL95-2*AL84</f>
        <v>22.637398734863382</v>
      </c>
      <c r="P133" s="6">
        <f t="shared" ref="P133:P139" si="38">Z95-2*Z84</f>
        <v>-62.503062062062185</v>
      </c>
      <c r="Q133" s="6">
        <f t="shared" ref="Q133:Q139" si="39">O133-P133</f>
        <v>85.140460796925566</v>
      </c>
      <c r="R133" s="11">
        <f>($AW$13*N133/$AW$12)*EXP(-Q133/(N133*($AW$15/(1000*$AW$5))))</f>
        <v>5.9209660469306882E-50</v>
      </c>
      <c r="S133" s="11">
        <f>1/N133</f>
        <v>3.3333333333333335E-3</v>
      </c>
      <c r="T133" s="6">
        <f t="shared" ref="T133:T139" si="40">LN(R133)</f>
        <v>-113.35075503051621</v>
      </c>
      <c r="U133" s="6"/>
      <c r="V133" s="6"/>
      <c r="W133" s="6"/>
      <c r="AF133" s="6">
        <f>AE103-AE83</f>
        <v>38.439011055175797</v>
      </c>
    </row>
    <row r="134" spans="7:34">
      <c r="N134">
        <v>350</v>
      </c>
      <c r="O134" s="6">
        <f t="shared" si="37"/>
        <v>23.636393512279028</v>
      </c>
      <c r="P134" s="6">
        <f t="shared" si="38"/>
        <v>-58.673372912272853</v>
      </c>
      <c r="Q134" s="6">
        <f t="shared" si="39"/>
        <v>82.309766424551881</v>
      </c>
      <c r="R134" s="11">
        <f t="shared" ref="R134:R139" si="41">($AW$13*N134/$AW$12)*EXP(-Q134/(N134*($AW$15/(1000*$AW$5))))</f>
        <v>2.9334426709114675E-39</v>
      </c>
      <c r="S134" s="11">
        <f t="shared" ref="S134:S139" si="42">1/N134</f>
        <v>2.8571428571428571E-3</v>
      </c>
      <c r="T134" s="6">
        <f t="shared" si="40"/>
        <v>-88.724641920472038</v>
      </c>
      <c r="U134" s="6"/>
      <c r="V134" s="6"/>
      <c r="W134" s="6"/>
    </row>
    <row r="135" spans="7:34">
      <c r="N135">
        <v>400</v>
      </c>
      <c r="O135" s="6">
        <f t="shared" si="37"/>
        <v>24.654213568137493</v>
      </c>
      <c r="P135" s="6">
        <f t="shared" si="38"/>
        <v>-54.813563316933816</v>
      </c>
      <c r="Q135" s="6">
        <f t="shared" si="39"/>
        <v>79.467776885071316</v>
      </c>
      <c r="R135" s="11">
        <f t="shared" si="41"/>
        <v>3.1810427545849411E-31</v>
      </c>
      <c r="S135" s="11">
        <f t="shared" si="42"/>
        <v>2.5000000000000001E-3</v>
      </c>
      <c r="T135" s="6">
        <f t="shared" si="40"/>
        <v>-70.222928829527305</v>
      </c>
      <c r="U135" s="6"/>
      <c r="V135" s="6"/>
      <c r="W135" s="6"/>
    </row>
    <row r="136" spans="7:34">
      <c r="N136">
        <v>450</v>
      </c>
      <c r="O136" s="6">
        <f t="shared" si="37"/>
        <v>25.729136968730018</v>
      </c>
      <c r="P136" s="6">
        <f t="shared" si="38"/>
        <v>-50.698984952986805</v>
      </c>
      <c r="Q136" s="6">
        <f t="shared" si="39"/>
        <v>76.428121921716823</v>
      </c>
      <c r="R136" s="11">
        <f t="shared" si="41"/>
        <v>7.1483930542644304E-25</v>
      </c>
      <c r="S136" s="11">
        <f t="shared" si="42"/>
        <v>2.2222222222222222E-3</v>
      </c>
      <c r="T136" s="6">
        <f t="shared" si="40"/>
        <v>-55.597739741060089</v>
      </c>
      <c r="U136" s="6"/>
      <c r="V136" s="6"/>
      <c r="W136" s="6"/>
    </row>
    <row r="137" spans="7:34">
      <c r="N137">
        <v>500</v>
      </c>
      <c r="O137" s="6">
        <f t="shared" si="37"/>
        <v>-73.974340756860329</v>
      </c>
      <c r="P137" s="6">
        <f t="shared" si="38"/>
        <v>-46.203633956548863</v>
      </c>
      <c r="Q137" s="6">
        <f t="shared" si="39"/>
        <v>-27.770706800311466</v>
      </c>
      <c r="R137" s="11">
        <f t="shared" si="41"/>
        <v>1.4325990967865772E+25</v>
      </c>
      <c r="S137" s="11">
        <f t="shared" si="42"/>
        <v>2E-3</v>
      </c>
      <c r="T137" s="6">
        <f t="shared" si="40"/>
        <v>57.92411766957769</v>
      </c>
      <c r="U137" s="6"/>
      <c r="V137" s="6"/>
      <c r="W137" s="6"/>
    </row>
    <row r="138" spans="7:34">
      <c r="N138">
        <v>550</v>
      </c>
      <c r="O138" s="6">
        <f t="shared" si="37"/>
        <v>-190199.83571755484</v>
      </c>
      <c r="P138" s="6">
        <f t="shared" si="38"/>
        <v>50.530812465334257</v>
      </c>
      <c r="Q138" s="6">
        <f t="shared" si="39"/>
        <v>-190250.36653002017</v>
      </c>
      <c r="R138" s="11" t="e">
        <f t="shared" si="41"/>
        <v>#NUM!</v>
      </c>
      <c r="S138" s="11">
        <f t="shared" si="42"/>
        <v>1.8181818181818182E-3</v>
      </c>
      <c r="T138" s="6" t="e">
        <f t="shared" si="40"/>
        <v>#NUM!</v>
      </c>
      <c r="U138" s="6"/>
      <c r="V138" s="6"/>
      <c r="W138" s="6"/>
    </row>
    <row r="139" spans="7:34">
      <c r="N139">
        <v>600</v>
      </c>
      <c r="O139" s="6">
        <f t="shared" si="37"/>
        <v>-190198.37487594568</v>
      </c>
      <c r="P139" s="6">
        <f t="shared" si="38"/>
        <v>56.649027967619347</v>
      </c>
      <c r="Q139" s="6">
        <f t="shared" si="39"/>
        <v>-190255.0239039133</v>
      </c>
      <c r="R139" s="11" t="e">
        <f t="shared" si="41"/>
        <v>#NUM!</v>
      </c>
      <c r="S139" s="11">
        <f t="shared" si="42"/>
        <v>1.6666666666666668E-3</v>
      </c>
      <c r="T139" s="6" t="e">
        <f t="shared" si="40"/>
        <v>#NUM!</v>
      </c>
      <c r="U139" s="6"/>
      <c r="V139" s="6"/>
      <c r="W139" s="6"/>
    </row>
    <row r="141" spans="7:34">
      <c r="N141" t="s">
        <v>569</v>
      </c>
      <c r="O141" t="s">
        <v>573</v>
      </c>
      <c r="P141" t="s">
        <v>574</v>
      </c>
      <c r="Q141" t="s">
        <v>570</v>
      </c>
      <c r="R141" t="s">
        <v>568</v>
      </c>
      <c r="S141" t="s">
        <v>572</v>
      </c>
      <c r="T141" t="s">
        <v>571</v>
      </c>
    </row>
    <row r="142" spans="7:34">
      <c r="N142">
        <v>300</v>
      </c>
      <c r="O142" s="6">
        <f>AL104-AL84</f>
        <v>131.13963325378427</v>
      </c>
      <c r="P142" s="6">
        <f>Z104-Z84</f>
        <v>-24.706922971432903</v>
      </c>
      <c r="Q142" s="6">
        <f t="shared" ref="Q142:Q148" si="43">O142-P142</f>
        <v>155.84655622521717</v>
      </c>
      <c r="R142" s="11">
        <f>($AW$13*N142/$AW$12)*EXP(-Q142/(N142*($AW$15/(1000*$AW$5))))</f>
        <v>1.8367775235883047E-101</v>
      </c>
      <c r="S142" s="11">
        <f>1/N142</f>
        <v>3.3333333333333335E-3</v>
      </c>
      <c r="T142" s="6">
        <f t="shared" ref="T142:T148" si="44">LN(R142)</f>
        <v>-231.95308170205277</v>
      </c>
    </row>
    <row r="143" spans="7:34">
      <c r="N143">
        <v>350</v>
      </c>
      <c r="O143" s="6">
        <f t="shared" ref="O143:O148" si="45">AL105-AL85</f>
        <v>93.256329412848572</v>
      </c>
      <c r="P143" s="6">
        <f t="shared" ref="P143:P148" si="46">Z105-Z85</f>
        <v>-27.125343745361796</v>
      </c>
      <c r="Q143" s="6">
        <f t="shared" si="43"/>
        <v>120.38167315821036</v>
      </c>
      <c r="R143" s="11">
        <f t="shared" ref="R143:R148" si="47">($AW$13*N143/$AW$12)*EXP(-Q143/(N143*($AW$15/(1000*$AW$5))))</f>
        <v>4.9508293714204194E-63</v>
      </c>
      <c r="S143" s="11">
        <f t="shared" ref="S143:S148" si="48">1/N143</f>
        <v>2.8571428571428571E-3</v>
      </c>
      <c r="T143" s="6">
        <f t="shared" si="44"/>
        <v>-143.46330574629727</v>
      </c>
    </row>
    <row r="144" spans="7:34">
      <c r="N144">
        <v>400</v>
      </c>
      <c r="O144" s="6">
        <f t="shared" si="45"/>
        <v>93.754571782992571</v>
      </c>
      <c r="P144" s="6">
        <f t="shared" si="46"/>
        <v>-24.499844908278636</v>
      </c>
      <c r="Q144" s="6">
        <f t="shared" si="43"/>
        <v>118.2544166912712</v>
      </c>
      <c r="R144" s="11">
        <f t="shared" si="47"/>
        <v>2.0462233104902992E-52</v>
      </c>
      <c r="S144" s="11">
        <f t="shared" si="48"/>
        <v>2.5000000000000001E-3</v>
      </c>
      <c r="T144" s="6">
        <f t="shared" si="44"/>
        <v>-119.01842902920464</v>
      </c>
    </row>
    <row r="145" spans="6:33">
      <c r="N145">
        <v>450</v>
      </c>
      <c r="O145" s="6">
        <f t="shared" si="45"/>
        <v>94.26912939446629</v>
      </c>
      <c r="P145" s="6">
        <f t="shared" si="46"/>
        <v>-21.749471724020626</v>
      </c>
      <c r="Q145" s="6">
        <f t="shared" si="43"/>
        <v>116.01860111848691</v>
      </c>
      <c r="R145" s="11">
        <f t="shared" si="47"/>
        <v>4.2347326153469129E-44</v>
      </c>
      <c r="S145" s="11">
        <f t="shared" si="48"/>
        <v>2.2222222222222222E-3</v>
      </c>
      <c r="T145" s="6">
        <f t="shared" si="44"/>
        <v>-99.870423902499255</v>
      </c>
    </row>
    <row r="146" spans="6:33">
      <c r="N146">
        <v>500</v>
      </c>
      <c r="O146" s="6">
        <f t="shared" si="45"/>
        <v>44.381936257210327</v>
      </c>
      <c r="P146" s="6">
        <f t="shared" si="46"/>
        <v>-18.814987316340016</v>
      </c>
      <c r="Q146" s="6">
        <f t="shared" si="43"/>
        <v>63.196923573550343</v>
      </c>
      <c r="R146" s="11">
        <f t="shared" si="47"/>
        <v>2.4830613333861305E-15</v>
      </c>
      <c r="S146" s="11">
        <f t="shared" si="48"/>
        <v>2E-3</v>
      </c>
      <c r="T146" s="6">
        <f t="shared" si="44"/>
        <v>-33.629284187366274</v>
      </c>
    </row>
    <row r="147" spans="6:33">
      <c r="N147">
        <v>550</v>
      </c>
      <c r="O147" s="6">
        <f t="shared" si="45"/>
        <v>-95018.595501583288</v>
      </c>
      <c r="P147" s="6">
        <f t="shared" si="46"/>
        <v>30.230259674111192</v>
      </c>
      <c r="Q147" s="6">
        <f t="shared" si="43"/>
        <v>-95048.825761257394</v>
      </c>
      <c r="R147" s="11" t="e">
        <f t="shared" si="47"/>
        <v>#NUM!</v>
      </c>
      <c r="S147" s="11">
        <f t="shared" si="48"/>
        <v>1.8181818181818182E-3</v>
      </c>
      <c r="T147" s="6" t="e">
        <f t="shared" si="44"/>
        <v>#NUM!</v>
      </c>
    </row>
    <row r="148" spans="6:33">
      <c r="N148">
        <v>600</v>
      </c>
      <c r="O148" s="6">
        <f t="shared" si="45"/>
        <v>-95017.922811632685</v>
      </c>
      <c r="P148" s="6">
        <f t="shared" si="46"/>
        <v>33.958919829452526</v>
      </c>
      <c r="Q148" s="6">
        <f t="shared" si="43"/>
        <v>-95051.881731462141</v>
      </c>
      <c r="R148" s="11" t="e">
        <f t="shared" si="47"/>
        <v>#NUM!</v>
      </c>
      <c r="S148" s="11">
        <f t="shared" si="48"/>
        <v>1.6666666666666668E-3</v>
      </c>
      <c r="T148" s="6" t="e">
        <f t="shared" si="44"/>
        <v>#NUM!</v>
      </c>
      <c r="AG148" s="11">
        <f>EXP(33)</f>
        <v>214643579785916.06</v>
      </c>
    </row>
    <row r="150" spans="6:33">
      <c r="Y150" s="6">
        <f>AL112-(AL118+AL83)</f>
        <v>96926.75102608242</v>
      </c>
    </row>
    <row r="155" spans="6:33">
      <c r="F155">
        <f>(2.17877+1.904)/2</f>
        <v>2.041385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65"/>
  <sheetViews>
    <sheetView workbookViewId="0">
      <selection activeCell="R2" sqref="R2:R27"/>
    </sheetView>
  </sheetViews>
  <sheetFormatPr defaultRowHeight="15"/>
  <cols>
    <col min="1" max="1" width="17.42578125" customWidth="1"/>
    <col min="23" max="23" width="11.85546875" customWidth="1"/>
  </cols>
  <sheetData>
    <row r="1" spans="1:49">
      <c r="A1" s="15" t="s">
        <v>550</v>
      </c>
      <c r="B1" s="15"/>
      <c r="C1" s="15"/>
      <c r="D1" s="15"/>
      <c r="E1" s="15"/>
      <c r="F1" s="15"/>
      <c r="G1" s="15"/>
    </row>
    <row r="2" spans="1:49" ht="75.75" thickBot="1">
      <c r="A2" s="178" t="s">
        <v>524</v>
      </c>
      <c r="B2" s="190" t="s">
        <v>475</v>
      </c>
      <c r="C2" s="190" t="s">
        <v>488</v>
      </c>
      <c r="D2" s="190" t="s">
        <v>489</v>
      </c>
      <c r="E2" s="178" t="s">
        <v>476</v>
      </c>
      <c r="F2" s="190" t="s">
        <v>490</v>
      </c>
      <c r="G2" s="190" t="s">
        <v>491</v>
      </c>
      <c r="H2" s="178" t="s">
        <v>492</v>
      </c>
      <c r="I2" s="190" t="s">
        <v>493</v>
      </c>
      <c r="J2" s="190" t="s">
        <v>494</v>
      </c>
      <c r="K2" s="178" t="s">
        <v>495</v>
      </c>
      <c r="L2" s="190" t="s">
        <v>496</v>
      </c>
      <c r="M2" s="190" t="s">
        <v>497</v>
      </c>
      <c r="N2" s="178" t="s">
        <v>498</v>
      </c>
      <c r="O2" s="190" t="s">
        <v>484</v>
      </c>
      <c r="P2" s="190" t="s">
        <v>485</v>
      </c>
      <c r="Q2" s="195" t="s">
        <v>486</v>
      </c>
      <c r="R2" s="190" t="s">
        <v>477</v>
      </c>
      <c r="S2" s="190" t="s">
        <v>478</v>
      </c>
      <c r="T2" s="190" t="s">
        <v>479</v>
      </c>
      <c r="U2" s="190" t="s">
        <v>480</v>
      </c>
      <c r="V2" s="190" t="s">
        <v>481</v>
      </c>
      <c r="W2" s="190" t="s">
        <v>543</v>
      </c>
      <c r="X2" s="202" t="s">
        <v>507</v>
      </c>
      <c r="Y2" s="202" t="s">
        <v>508</v>
      </c>
      <c r="Z2" s="203" t="s">
        <v>500</v>
      </c>
      <c r="AA2" s="203" t="s">
        <v>499</v>
      </c>
      <c r="AB2" s="204" t="s">
        <v>501</v>
      </c>
      <c r="AC2" s="204" t="s">
        <v>502</v>
      </c>
      <c r="AD2" s="205" t="s">
        <v>503</v>
      </c>
      <c r="AE2" s="205" t="s">
        <v>504</v>
      </c>
      <c r="AF2" s="206" t="s">
        <v>505</v>
      </c>
      <c r="AG2" s="206" t="s">
        <v>506</v>
      </c>
    </row>
    <row r="3" spans="1:49">
      <c r="A3" s="191" t="s">
        <v>175</v>
      </c>
      <c r="B3" s="17">
        <v>-151.46501771000001</v>
      </c>
      <c r="C3" s="17">
        <v>-151.48873965499999</v>
      </c>
      <c r="D3" s="17"/>
      <c r="E3" s="17"/>
      <c r="F3" s="17">
        <v>-151.52656100199999</v>
      </c>
      <c r="G3" s="17"/>
      <c r="H3" s="17"/>
      <c r="I3" s="17">
        <v>-151.53157618700001</v>
      </c>
      <c r="J3" s="17"/>
      <c r="K3" s="17"/>
      <c r="L3" s="17">
        <v>-151.53401098500001</v>
      </c>
      <c r="M3" s="17"/>
      <c r="N3" s="17"/>
      <c r="O3" s="17">
        <v>-9.15</v>
      </c>
      <c r="P3" s="17"/>
      <c r="Q3" s="17"/>
      <c r="R3" s="33"/>
      <c r="S3" s="17"/>
      <c r="T3" s="17">
        <v>2.7105000000000001E-2</v>
      </c>
      <c r="U3" s="17">
        <v>3.1234999999999999E-2</v>
      </c>
      <c r="V3" s="17">
        <v>4.8700000000000002E-3</v>
      </c>
      <c r="W3" s="196">
        <f>(U3-V3)*($AW$3*$AW$4*10^-3/$AW$5)</f>
        <v>16.544282227461164</v>
      </c>
      <c r="X3" s="197">
        <f>O3</f>
        <v>-9.15</v>
      </c>
      <c r="Y3" s="197">
        <f>((((2-0)/(2-Q3))*O3+(1-((2-0)/(2-Q3)))*P3))</f>
        <v>-9.15</v>
      </c>
      <c r="Z3" s="198">
        <f>(C3+U3)*($AW$3*$AW$4*10^-3/$AW$5)</f>
        <v>-95040.990042834543</v>
      </c>
      <c r="AA3" s="198">
        <f>((((2-0)/(2-E3))*C3+(1-((2-0)/(2-E3)))*D3)+U3)*($AW$3*$AW$4*10^-3/$AW$5)</f>
        <v>-95040.990042834543</v>
      </c>
      <c r="AB3" s="199">
        <f>(F3+U3)*($AW$3*$AW$4*10^-3/$AW$5)</f>
        <v>-95064.723289145593</v>
      </c>
      <c r="AC3" s="199">
        <f>((((2-0)/(2-H3))*F3+(1-((2-0)/(2-H3)))*G3)+U3)*($AW$3*$AW$4*10^-3/$AW$5)</f>
        <v>-95064.723289145593</v>
      </c>
      <c r="AD3" s="200">
        <f>(I3+U3)*($AW$3*$AW$4*10^-3/$AW$5)</f>
        <v>-95067.870364285482</v>
      </c>
      <c r="AE3" s="200">
        <f>((((2-0)/(2-K3))*I3+(1-((2-0)/(2-K3)))*J3)+U3)*($AW$3*$AW$4*10^-3/$AW$5)</f>
        <v>-95067.870364285482</v>
      </c>
      <c r="AF3" s="201">
        <f>(L3+U3)*($AW$3*$AW$4*10^-3/$AW$5)</f>
        <v>-95069.398222630974</v>
      </c>
      <c r="AG3" s="201">
        <f>((((2-0)/(2-N3))*L3+(1-((2-0)/(2-N3)))*M3)+U3)*($AW$3*$AW$4*10^-3/$AW$5)</f>
        <v>-95069.398222630974</v>
      </c>
      <c r="AV3" s="22" t="s">
        <v>147</v>
      </c>
      <c r="AW3" s="88">
        <v>4.35974394E-18</v>
      </c>
    </row>
    <row r="4" spans="1:49">
      <c r="A4" s="191" t="s">
        <v>482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33"/>
      <c r="S4" s="17"/>
      <c r="T4" s="17"/>
      <c r="U4" s="17"/>
      <c r="V4" s="17"/>
      <c r="W4" s="196">
        <f t="shared" ref="W4:W27" si="0">(U4-V4)*($AW$3*$AW$4*10^-3/$AW$5)</f>
        <v>0</v>
      </c>
      <c r="X4" s="197">
        <f t="shared" ref="X4:X27" si="1">O4</f>
        <v>0</v>
      </c>
      <c r="Y4" s="197">
        <f t="shared" ref="Y4:Y27" si="2">((((2-0)/(2-Q4))*O4+(1-((2-0)/(2-Q4)))*P4))</f>
        <v>0</v>
      </c>
      <c r="Z4" s="198">
        <f>(C4+U4)*($AW$3*$AW$4*10^-3/$AW$5)</f>
        <v>0</v>
      </c>
      <c r="AA4" s="198">
        <f t="shared" ref="AA4:AA27" si="3">((((2-0)/(2-E4))*C4+(1-((2-0)/(2-E4)))*D4)+U4)*($AW$3*$AW$4*10^-3/$AW$5)</f>
        <v>0</v>
      </c>
      <c r="AB4" s="199">
        <f t="shared" ref="AB4:AB27" si="4">(F4+U4)*($AW$3*$AW$4*10^-3/$AW$5)</f>
        <v>0</v>
      </c>
      <c r="AC4" s="199">
        <f t="shared" ref="AC4:AC27" si="5">((((2-0)/(2-H4))*F4+(1-((2-0)/(2-H4)))*G4)+U4)*($AW$3*$AW$4*10^-3/$AW$5)</f>
        <v>0</v>
      </c>
      <c r="AD4" s="200">
        <f t="shared" ref="AD4:AD27" si="6">(I4+U4)*($AW$3*$AW$4*10^-3/$AW$5)</f>
        <v>0</v>
      </c>
      <c r="AE4" s="200">
        <f t="shared" ref="AE4:AE27" si="7">((((2-0)/(2-K4))*I4+(1-((2-0)/(2-K4)))*J4)+U4)*($AW$3*$AW$4*10^-3/$AW$5)</f>
        <v>0</v>
      </c>
      <c r="AF4" s="201">
        <f t="shared" ref="AF4:AF27" si="8">(L4+U4)*($AW$3*$AW$4*10^-3/$AW$5)</f>
        <v>0</v>
      </c>
      <c r="AG4" s="201">
        <f t="shared" ref="AG4:AG27" si="9">((((2-0)/(2-N4))*L4+(1-((2-0)/(2-N4)))*M4)+U4)*($AW$3*$AW$4*10^-3/$AW$5)</f>
        <v>0</v>
      </c>
      <c r="AV4" s="72" t="s">
        <v>148</v>
      </c>
      <c r="AW4" s="89">
        <v>6.0221399999999997E+23</v>
      </c>
    </row>
    <row r="5" spans="1:49" ht="15.75" thickBot="1">
      <c r="A5" s="191" t="s">
        <v>362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33"/>
      <c r="S5" s="17"/>
      <c r="T5" s="17"/>
      <c r="U5" s="17"/>
      <c r="V5" s="17"/>
      <c r="W5" s="196">
        <f t="shared" si="0"/>
        <v>0</v>
      </c>
      <c r="X5" s="197">
        <f t="shared" si="1"/>
        <v>0</v>
      </c>
      <c r="Y5" s="197">
        <f t="shared" si="2"/>
        <v>0</v>
      </c>
      <c r="Z5" s="198">
        <f t="shared" ref="Z5:Z27" si="10">(C5+U5)*($AW$3*$AW$4*10^-3/$AW$5)</f>
        <v>0</v>
      </c>
      <c r="AA5" s="198">
        <f t="shared" si="3"/>
        <v>0</v>
      </c>
      <c r="AB5" s="199">
        <f t="shared" si="4"/>
        <v>0</v>
      </c>
      <c r="AC5" s="199">
        <f t="shared" si="5"/>
        <v>0</v>
      </c>
      <c r="AD5" s="200">
        <f t="shared" si="6"/>
        <v>0</v>
      </c>
      <c r="AE5" s="200">
        <f t="shared" si="7"/>
        <v>0</v>
      </c>
      <c r="AF5" s="201">
        <f t="shared" si="8"/>
        <v>0</v>
      </c>
      <c r="AG5" s="201">
        <f t="shared" si="9"/>
        <v>0</v>
      </c>
      <c r="AV5" s="23" t="s">
        <v>149</v>
      </c>
      <c r="AW5" s="90">
        <v>4.1840000000000002</v>
      </c>
    </row>
    <row r="6" spans="1:49" ht="15.75" thickBot="1">
      <c r="A6" s="191" t="s">
        <v>509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33"/>
      <c r="S6" s="17"/>
      <c r="T6" s="17"/>
      <c r="U6" s="17"/>
      <c r="V6" s="17"/>
      <c r="W6" s="196">
        <f t="shared" si="0"/>
        <v>0</v>
      </c>
      <c r="X6" s="197">
        <f t="shared" si="1"/>
        <v>0</v>
      </c>
      <c r="Y6" s="197">
        <f t="shared" si="2"/>
        <v>0</v>
      </c>
      <c r="Z6" s="198">
        <f t="shared" si="10"/>
        <v>0</v>
      </c>
      <c r="AA6" s="198">
        <f t="shared" si="3"/>
        <v>0</v>
      </c>
      <c r="AB6" s="199">
        <f t="shared" si="4"/>
        <v>0</v>
      </c>
      <c r="AC6" s="199">
        <f t="shared" si="5"/>
        <v>0</v>
      </c>
      <c r="AD6" s="200">
        <f t="shared" si="6"/>
        <v>0</v>
      </c>
      <c r="AE6" s="200">
        <f t="shared" si="7"/>
        <v>0</v>
      </c>
      <c r="AF6" s="201">
        <f t="shared" si="8"/>
        <v>0</v>
      </c>
      <c r="AG6" s="201">
        <f t="shared" si="9"/>
        <v>0</v>
      </c>
    </row>
    <row r="7" spans="1:49" ht="15.75" thickBot="1">
      <c r="A7" s="191" t="s">
        <v>512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33"/>
      <c r="S7" s="17"/>
      <c r="T7" s="17"/>
      <c r="U7" s="17"/>
      <c r="V7" s="17"/>
      <c r="W7" s="196">
        <f t="shared" si="0"/>
        <v>0</v>
      </c>
      <c r="X7" s="197">
        <f t="shared" si="1"/>
        <v>0</v>
      </c>
      <c r="Y7" s="197">
        <f t="shared" si="2"/>
        <v>0</v>
      </c>
      <c r="Z7" s="198">
        <f>(C7+U7)*($AW$3*$AW$4*10^-3/$AW$5)</f>
        <v>0</v>
      </c>
      <c r="AA7" s="198">
        <f>((((2-0)/(2-E7))*C7+(1-((2-0)/(2-E7)))*D7)+U7)*($AW$3*$AW$4*10^-3/$AW$5)</f>
        <v>0</v>
      </c>
      <c r="AB7" s="199">
        <f t="shared" si="4"/>
        <v>0</v>
      </c>
      <c r="AC7" s="199">
        <f t="shared" si="5"/>
        <v>0</v>
      </c>
      <c r="AD7" s="200">
        <f t="shared" si="6"/>
        <v>0</v>
      </c>
      <c r="AE7" s="200">
        <f t="shared" si="7"/>
        <v>0</v>
      </c>
      <c r="AF7" s="201">
        <f t="shared" si="8"/>
        <v>0</v>
      </c>
      <c r="AG7" s="201">
        <f t="shared" si="9"/>
        <v>0</v>
      </c>
      <c r="AV7" s="91" t="s">
        <v>150</v>
      </c>
      <c r="AW7" s="32"/>
    </row>
    <row r="8" spans="1:49">
      <c r="A8" s="191" t="s">
        <v>510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33"/>
      <c r="S8" s="17"/>
      <c r="T8" s="17"/>
      <c r="U8" s="17"/>
      <c r="V8" s="17"/>
      <c r="W8" s="196">
        <f t="shared" si="0"/>
        <v>0</v>
      </c>
      <c r="X8" s="197">
        <f t="shared" si="1"/>
        <v>0</v>
      </c>
      <c r="Y8" s="197">
        <f t="shared" si="2"/>
        <v>0</v>
      </c>
      <c r="Z8" s="198">
        <f t="shared" si="10"/>
        <v>0</v>
      </c>
      <c r="AA8" s="198">
        <f t="shared" si="3"/>
        <v>0</v>
      </c>
      <c r="AB8" s="199">
        <f t="shared" si="4"/>
        <v>0</v>
      </c>
      <c r="AC8" s="199">
        <f t="shared" si="5"/>
        <v>0</v>
      </c>
      <c r="AD8" s="200">
        <f t="shared" si="6"/>
        <v>0</v>
      </c>
      <c r="AE8" s="200">
        <f t="shared" si="7"/>
        <v>0</v>
      </c>
      <c r="AF8" s="201">
        <f t="shared" si="8"/>
        <v>0</v>
      </c>
      <c r="AG8" s="201">
        <f t="shared" si="9"/>
        <v>0</v>
      </c>
      <c r="AV8" s="92" t="s">
        <v>151</v>
      </c>
      <c r="AW8" s="112">
        <v>1500</v>
      </c>
    </row>
    <row r="9" spans="1:49">
      <c r="A9" s="191" t="s">
        <v>511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33"/>
      <c r="S9" s="17"/>
      <c r="T9" s="17"/>
      <c r="U9" s="17"/>
      <c r="V9" s="17"/>
      <c r="W9" s="196">
        <f t="shared" si="0"/>
        <v>0</v>
      </c>
      <c r="X9" s="197">
        <f t="shared" si="1"/>
        <v>0</v>
      </c>
      <c r="Y9" s="197">
        <f t="shared" si="2"/>
        <v>0</v>
      </c>
      <c r="Z9" s="198">
        <f t="shared" si="10"/>
        <v>0</v>
      </c>
      <c r="AA9" s="198">
        <f t="shared" si="3"/>
        <v>0</v>
      </c>
      <c r="AB9" s="199">
        <f t="shared" si="4"/>
        <v>0</v>
      </c>
      <c r="AC9" s="199">
        <f t="shared" si="5"/>
        <v>0</v>
      </c>
      <c r="AD9" s="200">
        <f t="shared" si="6"/>
        <v>0</v>
      </c>
      <c r="AE9" s="200">
        <f t="shared" si="7"/>
        <v>0</v>
      </c>
      <c r="AF9" s="201">
        <f t="shared" si="8"/>
        <v>0</v>
      </c>
      <c r="AG9" s="201">
        <f t="shared" si="9"/>
        <v>0</v>
      </c>
      <c r="AV9" s="93" t="s">
        <v>152</v>
      </c>
      <c r="AW9" s="94">
        <v>60</v>
      </c>
    </row>
    <row r="10" spans="1:49">
      <c r="A10" s="191" t="s">
        <v>513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33"/>
      <c r="S10" s="17"/>
      <c r="T10" s="17"/>
      <c r="U10" s="17"/>
      <c r="V10" s="17"/>
      <c r="W10" s="196">
        <f t="shared" si="0"/>
        <v>0</v>
      </c>
      <c r="X10" s="197">
        <f t="shared" si="1"/>
        <v>0</v>
      </c>
      <c r="Y10" s="197">
        <f t="shared" si="2"/>
        <v>0</v>
      </c>
      <c r="Z10" s="198">
        <f t="shared" si="10"/>
        <v>0</v>
      </c>
      <c r="AA10" s="198">
        <f t="shared" si="3"/>
        <v>0</v>
      </c>
      <c r="AB10" s="199">
        <f t="shared" si="4"/>
        <v>0</v>
      </c>
      <c r="AC10" s="199">
        <f t="shared" si="5"/>
        <v>0</v>
      </c>
      <c r="AD10" s="200">
        <f t="shared" si="6"/>
        <v>0</v>
      </c>
      <c r="AE10" s="200">
        <f t="shared" si="7"/>
        <v>0</v>
      </c>
      <c r="AF10" s="201">
        <f t="shared" si="8"/>
        <v>0</v>
      </c>
      <c r="AG10" s="201">
        <f t="shared" si="9"/>
        <v>0</v>
      </c>
      <c r="AV10" s="93" t="s">
        <v>153</v>
      </c>
      <c r="AW10" s="113">
        <v>298.14999999999998</v>
      </c>
    </row>
    <row r="11" spans="1:49">
      <c r="A11" s="191" t="s">
        <v>514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33"/>
      <c r="S11" s="17"/>
      <c r="T11" s="17"/>
      <c r="U11" s="17"/>
      <c r="V11" s="17"/>
      <c r="W11" s="196">
        <f t="shared" si="0"/>
        <v>0</v>
      </c>
      <c r="X11" s="197">
        <f t="shared" si="1"/>
        <v>0</v>
      </c>
      <c r="Y11" s="197">
        <f t="shared" si="2"/>
        <v>0</v>
      </c>
      <c r="Z11" s="198">
        <f t="shared" si="10"/>
        <v>0</v>
      </c>
      <c r="AA11" s="198">
        <f t="shared" si="3"/>
        <v>0</v>
      </c>
      <c r="AB11" s="199">
        <f t="shared" si="4"/>
        <v>0</v>
      </c>
      <c r="AC11" s="199">
        <f t="shared" si="5"/>
        <v>0</v>
      </c>
      <c r="AD11" s="200">
        <f t="shared" si="6"/>
        <v>0</v>
      </c>
      <c r="AE11" s="200">
        <f t="shared" si="7"/>
        <v>0</v>
      </c>
      <c r="AF11" s="201">
        <f t="shared" si="8"/>
        <v>0</v>
      </c>
      <c r="AG11" s="201">
        <f t="shared" si="9"/>
        <v>0</v>
      </c>
      <c r="AV11" s="93" t="s">
        <v>165</v>
      </c>
      <c r="AW11" s="114">
        <f>6.62606896E-34/(2*AW14)</f>
        <v>1.0545716294567979E-34</v>
      </c>
    </row>
    <row r="12" spans="1:49">
      <c r="A12" s="191" t="s">
        <v>515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33"/>
      <c r="S12" s="17"/>
      <c r="T12" s="17"/>
      <c r="U12" s="17"/>
      <c r="V12" s="17"/>
      <c r="W12" s="196">
        <f t="shared" si="0"/>
        <v>0</v>
      </c>
      <c r="X12" s="197">
        <f t="shared" si="1"/>
        <v>0</v>
      </c>
      <c r="Y12" s="197">
        <f t="shared" si="2"/>
        <v>0</v>
      </c>
      <c r="Z12" s="198">
        <f t="shared" si="10"/>
        <v>0</v>
      </c>
      <c r="AA12" s="198">
        <f t="shared" si="3"/>
        <v>0</v>
      </c>
      <c r="AB12" s="199">
        <f t="shared" si="4"/>
        <v>0</v>
      </c>
      <c r="AC12" s="199">
        <f t="shared" si="5"/>
        <v>0</v>
      </c>
      <c r="AD12" s="200">
        <f t="shared" si="6"/>
        <v>0</v>
      </c>
      <c r="AE12" s="200">
        <f t="shared" si="7"/>
        <v>0</v>
      </c>
      <c r="AF12" s="201">
        <f t="shared" si="8"/>
        <v>0</v>
      </c>
      <c r="AG12" s="201">
        <f t="shared" si="9"/>
        <v>0</v>
      </c>
      <c r="AV12" s="93" t="s">
        <v>154</v>
      </c>
      <c r="AW12" s="115">
        <v>6.6260695699999996E-34</v>
      </c>
    </row>
    <row r="13" spans="1:49">
      <c r="A13" s="191" t="s">
        <v>517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33"/>
      <c r="S13" s="17"/>
      <c r="T13" s="17"/>
      <c r="U13" s="17"/>
      <c r="V13" s="17"/>
      <c r="W13" s="196">
        <f t="shared" si="0"/>
        <v>0</v>
      </c>
      <c r="X13" s="197">
        <f t="shared" si="1"/>
        <v>0</v>
      </c>
      <c r="Y13" s="197">
        <f t="shared" si="2"/>
        <v>0</v>
      </c>
      <c r="Z13" s="198">
        <f t="shared" si="10"/>
        <v>0</v>
      </c>
      <c r="AA13" s="198">
        <f t="shared" si="3"/>
        <v>0</v>
      </c>
      <c r="AB13" s="199">
        <f t="shared" si="4"/>
        <v>0</v>
      </c>
      <c r="AC13" s="199">
        <f t="shared" si="5"/>
        <v>0</v>
      </c>
      <c r="AD13" s="200">
        <f t="shared" si="6"/>
        <v>0</v>
      </c>
      <c r="AE13" s="200">
        <f t="shared" si="7"/>
        <v>0</v>
      </c>
      <c r="AF13" s="201">
        <f t="shared" si="8"/>
        <v>0</v>
      </c>
      <c r="AG13" s="201">
        <f t="shared" si="9"/>
        <v>0</v>
      </c>
      <c r="AV13" s="93" t="s">
        <v>155</v>
      </c>
      <c r="AW13" s="116">
        <v>1.3806488E-23</v>
      </c>
    </row>
    <row r="14" spans="1:49">
      <c r="A14" s="191" t="s">
        <v>516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33"/>
      <c r="S14" s="17"/>
      <c r="T14" s="17"/>
      <c r="U14" s="17"/>
      <c r="V14" s="17"/>
      <c r="W14" s="196">
        <f t="shared" si="0"/>
        <v>0</v>
      </c>
      <c r="X14" s="197">
        <f t="shared" si="1"/>
        <v>0</v>
      </c>
      <c r="Y14" s="197">
        <f t="shared" si="2"/>
        <v>0</v>
      </c>
      <c r="Z14" s="198">
        <f t="shared" si="10"/>
        <v>0</v>
      </c>
      <c r="AA14" s="198">
        <f t="shared" si="3"/>
        <v>0</v>
      </c>
      <c r="AB14" s="199">
        <f t="shared" si="4"/>
        <v>0</v>
      </c>
      <c r="AC14" s="199">
        <f t="shared" si="5"/>
        <v>0</v>
      </c>
      <c r="AD14" s="200">
        <f t="shared" si="6"/>
        <v>0</v>
      </c>
      <c r="AE14" s="200">
        <f t="shared" si="7"/>
        <v>0</v>
      </c>
      <c r="AF14" s="201">
        <f t="shared" si="8"/>
        <v>0</v>
      </c>
      <c r="AG14" s="201">
        <f t="shared" si="9"/>
        <v>0</v>
      </c>
      <c r="AV14" s="96" t="s">
        <v>156</v>
      </c>
      <c r="AW14" s="116">
        <v>3.1415926500000002</v>
      </c>
    </row>
    <row r="15" spans="1:49">
      <c r="A15" s="191" t="s">
        <v>518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33"/>
      <c r="S15" s="17"/>
      <c r="T15" s="17"/>
      <c r="U15" s="17"/>
      <c r="V15" s="17"/>
      <c r="W15" s="196">
        <f t="shared" si="0"/>
        <v>0</v>
      </c>
      <c r="X15" s="197">
        <f t="shared" si="1"/>
        <v>0</v>
      </c>
      <c r="Y15" s="197">
        <f t="shared" si="2"/>
        <v>0</v>
      </c>
      <c r="Z15" s="198">
        <f t="shared" si="10"/>
        <v>0</v>
      </c>
      <c r="AA15" s="198">
        <f t="shared" si="3"/>
        <v>0</v>
      </c>
      <c r="AB15" s="199">
        <f t="shared" si="4"/>
        <v>0</v>
      </c>
      <c r="AC15" s="199">
        <f t="shared" si="5"/>
        <v>0</v>
      </c>
      <c r="AD15" s="200">
        <f t="shared" si="6"/>
        <v>0</v>
      </c>
      <c r="AE15" s="200">
        <f t="shared" si="7"/>
        <v>0</v>
      </c>
      <c r="AF15" s="201">
        <f t="shared" si="8"/>
        <v>0</v>
      </c>
      <c r="AG15" s="201">
        <f t="shared" si="9"/>
        <v>0</v>
      </c>
      <c r="AV15" s="97" t="s">
        <v>157</v>
      </c>
      <c r="AW15" s="117">
        <f>AW13*AW16</f>
        <v>8.3144603644319997</v>
      </c>
    </row>
    <row r="16" spans="1:49">
      <c r="A16" s="191" t="s">
        <v>522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33"/>
      <c r="S16" s="17"/>
      <c r="T16" s="17"/>
      <c r="U16" s="17"/>
      <c r="V16" s="17"/>
      <c r="W16" s="196">
        <f t="shared" si="0"/>
        <v>0</v>
      </c>
      <c r="X16" s="197">
        <f t="shared" si="1"/>
        <v>0</v>
      </c>
      <c r="Y16" s="197">
        <f t="shared" si="2"/>
        <v>0</v>
      </c>
      <c r="Z16" s="198">
        <f t="shared" si="10"/>
        <v>0</v>
      </c>
      <c r="AA16" s="198">
        <f t="shared" si="3"/>
        <v>0</v>
      </c>
      <c r="AB16" s="199">
        <f t="shared" si="4"/>
        <v>0</v>
      </c>
      <c r="AC16" s="199">
        <f t="shared" si="5"/>
        <v>0</v>
      </c>
      <c r="AD16" s="200">
        <f t="shared" si="6"/>
        <v>0</v>
      </c>
      <c r="AE16" s="200">
        <f t="shared" si="7"/>
        <v>0</v>
      </c>
      <c r="AF16" s="201">
        <f t="shared" si="8"/>
        <v>0</v>
      </c>
      <c r="AG16" s="201">
        <f t="shared" si="9"/>
        <v>0</v>
      </c>
      <c r="AV16" s="93" t="s">
        <v>158</v>
      </c>
      <c r="AW16" s="116">
        <v>6.0221399999999997E+23</v>
      </c>
    </row>
    <row r="17" spans="1:49" ht="15.75" thickBot="1">
      <c r="A17" s="191" t="s">
        <v>521</v>
      </c>
      <c r="B17" s="17">
        <v>-302.87852171999998</v>
      </c>
      <c r="C17" s="17">
        <v>-302.92316371999999</v>
      </c>
      <c r="D17" s="17">
        <v>-302.918318865</v>
      </c>
      <c r="E17" s="17">
        <v>0.96099999999999997</v>
      </c>
      <c r="F17" s="17">
        <v>-302.99850852100002</v>
      </c>
      <c r="G17" s="17"/>
      <c r="H17" s="17">
        <v>0.96079999999999999</v>
      </c>
      <c r="I17" s="17">
        <v>-303.00661355699998</v>
      </c>
      <c r="J17" s="17"/>
      <c r="K17" s="17">
        <v>0.96</v>
      </c>
      <c r="L17" s="17">
        <v>-303.01191985000003</v>
      </c>
      <c r="M17" s="17"/>
      <c r="N17" s="17">
        <v>0.95989999999999998</v>
      </c>
      <c r="O17" s="17">
        <v>-9.5</v>
      </c>
      <c r="P17" s="17"/>
      <c r="Q17" s="17">
        <v>0.96699999999999997</v>
      </c>
      <c r="R17" s="33">
        <v>319.57</v>
      </c>
      <c r="S17" s="17"/>
      <c r="T17" s="17">
        <v>5.0706000000000001E-2</v>
      </c>
      <c r="U17" s="17">
        <v>5.8467999999999999E-2</v>
      </c>
      <c r="V17" s="17">
        <v>2.0412E-2</v>
      </c>
      <c r="W17" s="196">
        <f t="shared" si="0"/>
        <v>23.880493246662699</v>
      </c>
      <c r="X17" s="197">
        <f t="shared" si="1"/>
        <v>-9.5</v>
      </c>
      <c r="Y17" s="197">
        <f t="shared" si="2"/>
        <v>-18.393030009680544</v>
      </c>
      <c r="Z17" s="198">
        <f t="shared" si="10"/>
        <v>-190050.40784091898</v>
      </c>
      <c r="AA17" s="198">
        <f t="shared" si="3"/>
        <v>-190053.21979858592</v>
      </c>
      <c r="AB17" s="199">
        <f t="shared" si="4"/>
        <v>-190097.68740291847</v>
      </c>
      <c r="AC17" s="199">
        <f t="shared" si="5"/>
        <v>-365887.8231345411</v>
      </c>
      <c r="AD17" s="200">
        <f t="shared" si="6"/>
        <v>-190102.77338824171</v>
      </c>
      <c r="AE17" s="200">
        <f t="shared" si="7"/>
        <v>-365616.12348143407</v>
      </c>
      <c r="AF17" s="201">
        <f t="shared" si="8"/>
        <v>-190106.10313635378</v>
      </c>
      <c r="AG17" s="201">
        <f t="shared" si="9"/>
        <v>-365587.37068358262</v>
      </c>
      <c r="AV17" s="95" t="s">
        <v>166</v>
      </c>
      <c r="AW17" s="118">
        <v>29979245800</v>
      </c>
    </row>
    <row r="18" spans="1:49">
      <c r="A18" s="191" t="s">
        <v>523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33"/>
      <c r="S18" s="17"/>
      <c r="T18" s="17"/>
      <c r="U18" s="17"/>
      <c r="V18" s="17"/>
      <c r="W18" s="196">
        <f t="shared" si="0"/>
        <v>0</v>
      </c>
      <c r="X18" s="197">
        <f t="shared" si="1"/>
        <v>0</v>
      </c>
      <c r="Y18" s="197">
        <f t="shared" si="2"/>
        <v>0</v>
      </c>
      <c r="Z18" s="198">
        <f t="shared" si="10"/>
        <v>0</v>
      </c>
      <c r="AA18" s="198">
        <f t="shared" si="3"/>
        <v>0</v>
      </c>
      <c r="AB18" s="199">
        <f t="shared" si="4"/>
        <v>0</v>
      </c>
      <c r="AC18" s="199">
        <f t="shared" si="5"/>
        <v>0</v>
      </c>
      <c r="AD18" s="200">
        <f t="shared" si="6"/>
        <v>0</v>
      </c>
      <c r="AE18" s="200">
        <f t="shared" si="7"/>
        <v>0</v>
      </c>
      <c r="AF18" s="201">
        <f t="shared" si="8"/>
        <v>0</v>
      </c>
      <c r="AG18" s="201">
        <f t="shared" si="9"/>
        <v>0</v>
      </c>
      <c r="AV18" s="92" t="s">
        <v>167</v>
      </c>
      <c r="AW18" s="98">
        <f>((2*AW14)/(AW12*AW8*AW17))</f>
        <v>2.1086859989577299E+20</v>
      </c>
    </row>
    <row r="19" spans="1:49" ht="15.75" thickBot="1">
      <c r="A19" s="191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33"/>
      <c r="S19" s="17"/>
      <c r="T19" s="17"/>
      <c r="U19" s="17"/>
      <c r="V19" s="17"/>
      <c r="W19" s="196">
        <f t="shared" si="0"/>
        <v>0</v>
      </c>
      <c r="X19" s="197">
        <f t="shared" si="1"/>
        <v>0</v>
      </c>
      <c r="Y19" s="197">
        <f t="shared" si="2"/>
        <v>0</v>
      </c>
      <c r="Z19" s="198">
        <f t="shared" si="10"/>
        <v>0</v>
      </c>
      <c r="AA19" s="198">
        <f t="shared" si="3"/>
        <v>0</v>
      </c>
      <c r="AB19" s="199">
        <f t="shared" si="4"/>
        <v>0</v>
      </c>
      <c r="AC19" s="199">
        <f t="shared" si="5"/>
        <v>0</v>
      </c>
      <c r="AD19" s="200">
        <f t="shared" si="6"/>
        <v>0</v>
      </c>
      <c r="AE19" s="200">
        <f t="shared" si="7"/>
        <v>0</v>
      </c>
      <c r="AF19" s="201">
        <f t="shared" si="8"/>
        <v>0</v>
      </c>
      <c r="AG19" s="201">
        <f t="shared" si="9"/>
        <v>0</v>
      </c>
      <c r="AV19" s="95" t="s">
        <v>168</v>
      </c>
      <c r="AW19" s="99">
        <f>(1/(AW13*AW10))</f>
        <v>2.4293045665780682E+20</v>
      </c>
    </row>
    <row r="20" spans="1:49">
      <c r="A20" s="191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33"/>
      <c r="S20" s="17"/>
      <c r="T20" s="17"/>
      <c r="U20" s="17"/>
      <c r="V20" s="17"/>
      <c r="W20" s="196">
        <f t="shared" si="0"/>
        <v>0</v>
      </c>
      <c r="X20" s="197">
        <f t="shared" si="1"/>
        <v>0</v>
      </c>
      <c r="Y20" s="197">
        <f t="shared" si="2"/>
        <v>0</v>
      </c>
      <c r="Z20" s="198">
        <f t="shared" si="10"/>
        <v>0</v>
      </c>
      <c r="AA20" s="198">
        <f t="shared" si="3"/>
        <v>0</v>
      </c>
      <c r="AB20" s="199">
        <f t="shared" si="4"/>
        <v>0</v>
      </c>
      <c r="AC20" s="199">
        <f t="shared" si="5"/>
        <v>0</v>
      </c>
      <c r="AD20" s="200">
        <f t="shared" si="6"/>
        <v>0</v>
      </c>
      <c r="AE20" s="200">
        <f t="shared" si="7"/>
        <v>0</v>
      </c>
      <c r="AF20" s="201">
        <f t="shared" si="8"/>
        <v>0</v>
      </c>
      <c r="AG20" s="201">
        <f t="shared" si="9"/>
        <v>0</v>
      </c>
      <c r="AV20" s="22" t="s">
        <v>159</v>
      </c>
      <c r="AW20" s="100">
        <f>((AW19*AW14)/AW18)/SIN((AW19*AW14)/AW18)-(AW19/(AW18-AW19))*EXP((AW19-AW18)*((AW9*1000/AW16)))</f>
        <v>176.97001791257759</v>
      </c>
    </row>
    <row r="21" spans="1:49" ht="15.75" thickBot="1">
      <c r="A21" s="191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33"/>
      <c r="S21" s="17"/>
      <c r="T21" s="17"/>
      <c r="U21" s="17"/>
      <c r="V21" s="17"/>
      <c r="W21" s="196">
        <f t="shared" si="0"/>
        <v>0</v>
      </c>
      <c r="X21" s="197">
        <f t="shared" si="1"/>
        <v>0</v>
      </c>
      <c r="Y21" s="197">
        <f t="shared" si="2"/>
        <v>0</v>
      </c>
      <c r="Z21" s="198">
        <f t="shared" si="10"/>
        <v>0</v>
      </c>
      <c r="AA21" s="198">
        <f t="shared" si="3"/>
        <v>0</v>
      </c>
      <c r="AB21" s="199">
        <f t="shared" si="4"/>
        <v>0</v>
      </c>
      <c r="AC21" s="199">
        <f t="shared" si="5"/>
        <v>0</v>
      </c>
      <c r="AD21" s="200">
        <f t="shared" si="6"/>
        <v>0</v>
      </c>
      <c r="AE21" s="200">
        <f t="shared" si="7"/>
        <v>0</v>
      </c>
      <c r="AF21" s="201">
        <f t="shared" si="8"/>
        <v>0</v>
      </c>
      <c r="AG21" s="201">
        <f t="shared" si="9"/>
        <v>0</v>
      </c>
      <c r="AV21" s="72" t="s">
        <v>169</v>
      </c>
      <c r="AW21" s="192">
        <f>(AW15*AW10*LN(AW20)/1000)/AW5</f>
        <v>3.0666896130377825</v>
      </c>
    </row>
    <row r="22" spans="1:49">
      <c r="A22" s="191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33"/>
      <c r="S22" s="17"/>
      <c r="T22" s="17"/>
      <c r="U22" s="17"/>
      <c r="V22" s="17"/>
      <c r="W22" s="196">
        <f t="shared" si="0"/>
        <v>0</v>
      </c>
      <c r="X22" s="197">
        <f t="shared" si="1"/>
        <v>0</v>
      </c>
      <c r="Y22" s="197">
        <f t="shared" si="2"/>
        <v>0</v>
      </c>
      <c r="Z22" s="198">
        <f t="shared" si="10"/>
        <v>0</v>
      </c>
      <c r="AA22" s="198">
        <f t="shared" si="3"/>
        <v>0</v>
      </c>
      <c r="AB22" s="199">
        <f t="shared" si="4"/>
        <v>0</v>
      </c>
      <c r="AC22" s="199">
        <f t="shared" si="5"/>
        <v>0</v>
      </c>
      <c r="AD22" s="200">
        <f t="shared" si="6"/>
        <v>0</v>
      </c>
      <c r="AE22" s="200">
        <f t="shared" si="7"/>
        <v>0</v>
      </c>
      <c r="AF22" s="201">
        <f t="shared" si="8"/>
        <v>0</v>
      </c>
      <c r="AG22" s="201">
        <f t="shared" si="9"/>
        <v>0</v>
      </c>
      <c r="AV22" s="22" t="s">
        <v>160</v>
      </c>
      <c r="AW22" s="100">
        <f>(AW19/(AW19-AW18))*(EXP((AW19-AW18)*((AW9)*1000/AW16))-1)</f>
        <v>177.26601143569553</v>
      </c>
    </row>
    <row r="23" spans="1:49" ht="15.75" thickBot="1">
      <c r="A23" s="191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33"/>
      <c r="S23" s="17"/>
      <c r="T23" s="17"/>
      <c r="U23" s="17"/>
      <c r="V23" s="17"/>
      <c r="W23" s="196">
        <f t="shared" si="0"/>
        <v>0</v>
      </c>
      <c r="X23" s="197">
        <f t="shared" si="1"/>
        <v>0</v>
      </c>
      <c r="Y23" s="197">
        <f t="shared" si="2"/>
        <v>0</v>
      </c>
      <c r="Z23" s="198">
        <f t="shared" si="10"/>
        <v>0</v>
      </c>
      <c r="AA23" s="198">
        <f t="shared" si="3"/>
        <v>0</v>
      </c>
      <c r="AB23" s="199">
        <f t="shared" si="4"/>
        <v>0</v>
      </c>
      <c r="AC23" s="199">
        <f t="shared" si="5"/>
        <v>0</v>
      </c>
      <c r="AD23" s="200">
        <f t="shared" si="6"/>
        <v>0</v>
      </c>
      <c r="AE23" s="200">
        <f t="shared" si="7"/>
        <v>0</v>
      </c>
      <c r="AF23" s="201">
        <f t="shared" si="8"/>
        <v>0</v>
      </c>
      <c r="AG23" s="201">
        <f t="shared" si="9"/>
        <v>0</v>
      </c>
      <c r="AV23" s="72" t="s">
        <v>170</v>
      </c>
      <c r="AW23" s="193">
        <f>(AW15*AW10*LN(AW22)/1000)/AW5</f>
        <v>3.067679753432373</v>
      </c>
    </row>
    <row r="24" spans="1:49" ht="15.75" thickBot="1">
      <c r="A24" s="191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33"/>
      <c r="S24" s="17"/>
      <c r="T24" s="17"/>
      <c r="U24" s="17"/>
      <c r="V24" s="17"/>
      <c r="W24" s="196">
        <f t="shared" si="0"/>
        <v>0</v>
      </c>
      <c r="X24" s="197">
        <f t="shared" si="1"/>
        <v>0</v>
      </c>
      <c r="Y24" s="197">
        <f t="shared" si="2"/>
        <v>0</v>
      </c>
      <c r="Z24" s="198">
        <f t="shared" si="10"/>
        <v>0</v>
      </c>
      <c r="AA24" s="198">
        <f t="shared" si="3"/>
        <v>0</v>
      </c>
      <c r="AB24" s="199">
        <f t="shared" si="4"/>
        <v>0</v>
      </c>
      <c r="AC24" s="199">
        <f t="shared" si="5"/>
        <v>0</v>
      </c>
      <c r="AD24" s="200">
        <f t="shared" si="6"/>
        <v>0</v>
      </c>
      <c r="AE24" s="200">
        <f t="shared" si="7"/>
        <v>0</v>
      </c>
      <c r="AF24" s="201">
        <f t="shared" si="8"/>
        <v>0</v>
      </c>
      <c r="AG24" s="201">
        <f t="shared" si="9"/>
        <v>0</v>
      </c>
      <c r="AV24" s="101" t="s">
        <v>171</v>
      </c>
      <c r="AW24" s="102"/>
    </row>
    <row r="25" spans="1:49">
      <c r="A25" s="191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33"/>
      <c r="S25" s="17"/>
      <c r="T25" s="17"/>
      <c r="U25" s="17"/>
      <c r="V25" s="17"/>
      <c r="W25" s="196">
        <f t="shared" si="0"/>
        <v>0</v>
      </c>
      <c r="X25" s="197">
        <f t="shared" si="1"/>
        <v>0</v>
      </c>
      <c r="Y25" s="197">
        <f t="shared" si="2"/>
        <v>0</v>
      </c>
      <c r="Z25" s="198">
        <f t="shared" si="10"/>
        <v>0</v>
      </c>
      <c r="AA25" s="198">
        <f t="shared" si="3"/>
        <v>0</v>
      </c>
      <c r="AB25" s="199">
        <f t="shared" si="4"/>
        <v>0</v>
      </c>
      <c r="AC25" s="199">
        <f t="shared" si="5"/>
        <v>0</v>
      </c>
      <c r="AD25" s="200">
        <f t="shared" si="6"/>
        <v>0</v>
      </c>
      <c r="AE25" s="200">
        <f t="shared" si="7"/>
        <v>0</v>
      </c>
      <c r="AF25" s="201">
        <f t="shared" si="8"/>
        <v>0</v>
      </c>
      <c r="AG25" s="201">
        <f t="shared" si="9"/>
        <v>0</v>
      </c>
      <c r="AV25" s="103" t="s">
        <v>161</v>
      </c>
      <c r="AW25" s="104">
        <f>1+(1/24)*(AW12*AW8*AW17/(AW10*AW13))^2</f>
        <v>3.1831752448208448</v>
      </c>
    </row>
    <row r="26" spans="1:49">
      <c r="A26" s="191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33"/>
      <c r="S26" s="17"/>
      <c r="T26" s="17"/>
      <c r="U26" s="17"/>
      <c r="V26" s="17"/>
      <c r="W26" s="196">
        <f t="shared" si="0"/>
        <v>0</v>
      </c>
      <c r="X26" s="197">
        <f t="shared" si="1"/>
        <v>0</v>
      </c>
      <c r="Y26" s="197">
        <f t="shared" si="2"/>
        <v>0</v>
      </c>
      <c r="Z26" s="198">
        <f t="shared" si="10"/>
        <v>0</v>
      </c>
      <c r="AA26" s="198">
        <f t="shared" si="3"/>
        <v>0</v>
      </c>
      <c r="AB26" s="199">
        <f t="shared" si="4"/>
        <v>0</v>
      </c>
      <c r="AC26" s="199">
        <f t="shared" si="5"/>
        <v>0</v>
      </c>
      <c r="AD26" s="200">
        <f t="shared" si="6"/>
        <v>0</v>
      </c>
      <c r="AE26" s="200">
        <f t="shared" si="7"/>
        <v>0</v>
      </c>
      <c r="AF26" s="201">
        <f t="shared" si="8"/>
        <v>0</v>
      </c>
      <c r="AG26" s="201">
        <f t="shared" si="9"/>
        <v>0</v>
      </c>
      <c r="AV26" s="103" t="s">
        <v>172</v>
      </c>
      <c r="AW26" s="104">
        <f>(AW10*AW13)/(AW8*AW12*AW17)</f>
        <v>0.1381497425903335</v>
      </c>
    </row>
    <row r="27" spans="1:49" ht="15.75" thickBot="1">
      <c r="A27" s="191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33"/>
      <c r="S27" s="17"/>
      <c r="T27" s="17"/>
      <c r="U27" s="17"/>
      <c r="V27" s="17"/>
      <c r="W27" s="196">
        <f t="shared" si="0"/>
        <v>0</v>
      </c>
      <c r="X27" s="197">
        <f t="shared" si="1"/>
        <v>0</v>
      </c>
      <c r="Y27" s="197">
        <f t="shared" si="2"/>
        <v>0</v>
      </c>
      <c r="Z27" s="198">
        <f t="shared" si="10"/>
        <v>0</v>
      </c>
      <c r="AA27" s="198">
        <f t="shared" si="3"/>
        <v>0</v>
      </c>
      <c r="AB27" s="199">
        <f t="shared" si="4"/>
        <v>0</v>
      </c>
      <c r="AC27" s="199">
        <f t="shared" si="5"/>
        <v>0</v>
      </c>
      <c r="AD27" s="200">
        <f t="shared" si="6"/>
        <v>0</v>
      </c>
      <c r="AE27" s="200">
        <f t="shared" si="7"/>
        <v>0</v>
      </c>
      <c r="AF27" s="201">
        <f t="shared" si="8"/>
        <v>0</v>
      </c>
      <c r="AG27" s="201">
        <f t="shared" si="9"/>
        <v>0</v>
      </c>
      <c r="AV27" s="103" t="s">
        <v>483</v>
      </c>
      <c r="AW27" s="121">
        <f>(AW15*AW10*LN(AW25)/1000)/AW5</f>
        <v>0.68602581557464404</v>
      </c>
    </row>
    <row r="28" spans="1:49">
      <c r="AV28" s="122" t="s">
        <v>173</v>
      </c>
      <c r="AW28" s="26">
        <f>2*2*2</f>
        <v>8</v>
      </c>
    </row>
    <row r="29" spans="1:49" ht="30.75" thickBot="1">
      <c r="AV29" s="107" t="s">
        <v>174</v>
      </c>
      <c r="AW29" s="110">
        <f>(AW10*AW15*LN(AW28)*10^-3)/AW5</f>
        <v>1.2320374832982735</v>
      </c>
    </row>
    <row r="31" spans="1:49">
      <c r="O31" s="6">
        <f>AA17-2*AA3</f>
        <v>28.760287083161529</v>
      </c>
    </row>
    <row r="34" spans="1:33">
      <c r="A34" s="15" t="s">
        <v>550</v>
      </c>
      <c r="B34" s="15"/>
      <c r="C34" s="15"/>
      <c r="D34" s="15"/>
      <c r="E34" s="15"/>
      <c r="F34" s="15"/>
      <c r="G34" s="15"/>
    </row>
    <row r="35" spans="1:33" ht="75">
      <c r="A35" s="178" t="s">
        <v>524</v>
      </c>
      <c r="B35" s="190" t="s">
        <v>475</v>
      </c>
      <c r="C35" s="190" t="s">
        <v>488</v>
      </c>
      <c r="D35" s="190" t="s">
        <v>489</v>
      </c>
      <c r="E35" s="178" t="s">
        <v>476</v>
      </c>
      <c r="F35" s="190" t="s">
        <v>490</v>
      </c>
      <c r="G35" s="190" t="s">
        <v>491</v>
      </c>
      <c r="H35" s="178" t="s">
        <v>492</v>
      </c>
      <c r="I35" s="190" t="s">
        <v>493</v>
      </c>
      <c r="J35" s="190" t="s">
        <v>494</v>
      </c>
      <c r="K35" s="178" t="s">
        <v>495</v>
      </c>
      <c r="L35" s="190" t="s">
        <v>496</v>
      </c>
      <c r="M35" s="190" t="s">
        <v>497</v>
      </c>
      <c r="N35" s="178" t="s">
        <v>498</v>
      </c>
      <c r="O35" s="190" t="s">
        <v>484</v>
      </c>
      <c r="P35" s="190" t="s">
        <v>485</v>
      </c>
      <c r="Q35" s="195" t="s">
        <v>486</v>
      </c>
      <c r="R35" s="190" t="s">
        <v>477</v>
      </c>
      <c r="S35" s="190" t="s">
        <v>478</v>
      </c>
      <c r="T35" s="190" t="s">
        <v>479</v>
      </c>
      <c r="U35" s="190" t="s">
        <v>480</v>
      </c>
      <c r="V35" s="190" t="s">
        <v>481</v>
      </c>
      <c r="W35" s="190" t="s">
        <v>543</v>
      </c>
      <c r="X35" s="202" t="s">
        <v>507</v>
      </c>
      <c r="Y35" s="202" t="s">
        <v>508</v>
      </c>
      <c r="Z35" s="203" t="s">
        <v>500</v>
      </c>
      <c r="AA35" s="203" t="s">
        <v>499</v>
      </c>
      <c r="AB35" s="204" t="s">
        <v>501</v>
      </c>
      <c r="AC35" s="204" t="s">
        <v>502</v>
      </c>
      <c r="AD35" s="205" t="s">
        <v>503</v>
      </c>
      <c r="AE35" s="205" t="s">
        <v>504</v>
      </c>
      <c r="AF35" s="206" t="s">
        <v>505</v>
      </c>
      <c r="AG35" s="206" t="s">
        <v>506</v>
      </c>
    </row>
    <row r="36" spans="1:33">
      <c r="A36" s="191" t="s">
        <v>175</v>
      </c>
      <c r="B36" s="17">
        <v>-151.51445953000001</v>
      </c>
      <c r="C36" s="17">
        <v>-151.52512382899999</v>
      </c>
      <c r="D36" s="17"/>
      <c r="E36" s="17"/>
      <c r="F36" s="17">
        <v>-151.575207173</v>
      </c>
      <c r="G36" s="17"/>
      <c r="H36" s="17"/>
      <c r="I36" s="17">
        <v>-151.57980798299999</v>
      </c>
      <c r="J36" s="17"/>
      <c r="K36" s="17"/>
      <c r="L36" s="17">
        <v>-151.58220105300001</v>
      </c>
      <c r="M36" s="17"/>
      <c r="N36" s="17"/>
      <c r="O36" s="17">
        <v>-9.7799999999999994</v>
      </c>
      <c r="P36" s="17"/>
      <c r="Q36" s="17"/>
      <c r="R36" s="33"/>
      <c r="S36" s="17"/>
      <c r="T36" s="17">
        <v>2.7136E-2</v>
      </c>
      <c r="U36" s="17">
        <v>3.1273000000000002E-2</v>
      </c>
      <c r="V36" s="17">
        <v>4.8849999999999996E-3</v>
      </c>
      <c r="W36" s="196">
        <f>(U36-V36)*($AW$3*$AW$4*10^-3/$AW$5)</f>
        <v>16.558714940953735</v>
      </c>
      <c r="X36" s="197">
        <f>O36</f>
        <v>-9.7799999999999994</v>
      </c>
      <c r="Y36" s="197">
        <f>((((2-0)/(2-Q36))*O36+(1-((2-0)/(2-Q36)))*P36))</f>
        <v>-9.7799999999999994</v>
      </c>
      <c r="Z36" s="198">
        <f>(C36+U36)*($AW$3*$AW$4*10^-3/$AW$5)</f>
        <v>-95063.79760439512</v>
      </c>
      <c r="AA36" s="198">
        <f>((((2-0)/(2-E36))*C36+(1-((2-0)/(2-E36)))*D36)+U36)*($AW$3*$AW$4*10^-3/$AW$5)</f>
        <v>-95063.79760439512</v>
      </c>
      <c r="AB36" s="199">
        <f>(F36+U36)*($AW$3*$AW$4*10^-3/$AW$5)</f>
        <v>-95095.225367643026</v>
      </c>
      <c r="AC36" s="199">
        <f>((((2-0)/(2-H36))*F36+(1-((2-0)/(2-H36)))*G36)+U36)*($AW$3*$AW$4*10^-3/$AW$5)</f>
        <v>-95095.225367643026</v>
      </c>
      <c r="AD36" s="200">
        <f>(I36+U36)*($AW$3*$AW$4*10^-3/$AW$5)</f>
        <v>-95098.112418624063</v>
      </c>
      <c r="AE36" s="200">
        <f>((((2-0)/(2-K36))*I36+(1-((2-0)/(2-K36)))*J36)+U36)*($AW$3*$AW$4*10^-3/$AW$5)</f>
        <v>-95098.112418624063</v>
      </c>
      <c r="AF36" s="201">
        <f>(L36+U36)*($AW$3*$AW$4*10^-3/$AW$5)</f>
        <v>-95099.614092262229</v>
      </c>
      <c r="AG36" s="201">
        <f>((((2-0)/(2-N36))*L36+(1-((2-0)/(2-N36)))*M36)+U36)*($AW$3*$AW$4*10^-3/$AW$5)</f>
        <v>-95099.614092262229</v>
      </c>
    </row>
    <row r="37" spans="1:33">
      <c r="A37" s="191" t="s">
        <v>482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33"/>
      <c r="S37" s="17"/>
      <c r="T37" s="17"/>
      <c r="U37" s="17"/>
      <c r="V37" s="17"/>
      <c r="W37" s="196">
        <f t="shared" ref="W37:W60" si="11">(U37-V37)*($AW$3*$AW$4*10^-3/$AW$5)</f>
        <v>0</v>
      </c>
      <c r="X37" s="197">
        <f t="shared" ref="X37:X60" si="12">O37</f>
        <v>0</v>
      </c>
      <c r="Y37" s="197">
        <f t="shared" ref="Y37:Y60" si="13">((((2-0)/(2-Q37))*O37+(1-((2-0)/(2-Q37)))*P37))</f>
        <v>0</v>
      </c>
      <c r="Z37" s="198">
        <f>(C37+U37)*($AW$3*$AW$4*10^-3/$AW$5)</f>
        <v>0</v>
      </c>
      <c r="AA37" s="198">
        <f>((((2-0)/(2-E37))*C37+(1-((2-0)/(2-E37)))*D37)+U37)*($AW$3*$AW$4*10^-3/$AW$5)</f>
        <v>0</v>
      </c>
      <c r="AB37" s="199">
        <f t="shared" ref="AB37:AB60" si="14">(F37+U37)*($AW$3*$AW$4*10^-3/$AW$5)</f>
        <v>0</v>
      </c>
      <c r="AC37" s="199">
        <f t="shared" ref="AC37:AC60" si="15">((((2-0)/(2-H37))*F37+(1-((2-0)/(2-H37)))*G37)+U37)*($AW$3*$AW$4*10^-3/$AW$5)</f>
        <v>0</v>
      </c>
      <c r="AD37" s="200">
        <f t="shared" ref="AD37:AD60" si="16">(I37+U37)*($AW$3*$AW$4*10^-3/$AW$5)</f>
        <v>0</v>
      </c>
      <c r="AE37" s="200">
        <f t="shared" ref="AE37:AE60" si="17">((((2-0)/(2-K37))*I37+(1-((2-0)/(2-K37)))*J37)+U37)*($AW$3*$AW$4*10^-3/$AW$5)</f>
        <v>0</v>
      </c>
      <c r="AF37" s="201">
        <f t="shared" ref="AF37:AF60" si="18">(L37+U37)*($AW$3*$AW$4*10^-3/$AW$5)</f>
        <v>0</v>
      </c>
      <c r="AG37" s="201">
        <f t="shared" ref="AG37:AG60" si="19">((((2-0)/(2-N37))*L37+(1-((2-0)/(2-N37)))*M37)+U37)*($AW$3*$AW$4*10^-3/$AW$5)</f>
        <v>0</v>
      </c>
    </row>
    <row r="38" spans="1:33">
      <c r="A38" s="191" t="s">
        <v>362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33"/>
      <c r="S38" s="17"/>
      <c r="T38" s="17"/>
      <c r="U38" s="17"/>
      <c r="V38" s="17"/>
      <c r="W38" s="196">
        <f t="shared" si="11"/>
        <v>0</v>
      </c>
      <c r="X38" s="197">
        <f t="shared" si="12"/>
        <v>0</v>
      </c>
      <c r="Y38" s="197">
        <f t="shared" si="13"/>
        <v>0</v>
      </c>
      <c r="Z38" s="198">
        <f>(C38+U38)*($AW$3*$AW$4*10^-3/$AW$5)</f>
        <v>0</v>
      </c>
      <c r="AA38" s="198">
        <f>((((2-0)/(2-E38))*C38+(1-((2-0)/(2-E38)))*D38)+U38)*($AW$3*$AW$4*10^-3/$AW$5)</f>
        <v>0</v>
      </c>
      <c r="AB38" s="199">
        <f t="shared" si="14"/>
        <v>0</v>
      </c>
      <c r="AC38" s="199">
        <f t="shared" si="15"/>
        <v>0</v>
      </c>
      <c r="AD38" s="200">
        <f t="shared" si="16"/>
        <v>0</v>
      </c>
      <c r="AE38" s="200">
        <f t="shared" si="17"/>
        <v>0</v>
      </c>
      <c r="AF38" s="201">
        <f t="shared" si="18"/>
        <v>0</v>
      </c>
      <c r="AG38" s="201">
        <f t="shared" si="19"/>
        <v>0</v>
      </c>
    </row>
    <row r="39" spans="1:33">
      <c r="A39" s="191" t="s">
        <v>509</v>
      </c>
      <c r="B39" s="17">
        <v>-151.43970754</v>
      </c>
      <c r="C39" s="17">
        <v>-151.35712910399999</v>
      </c>
      <c r="D39" s="17">
        <v>-151.45072916699999</v>
      </c>
      <c r="E39" s="17">
        <v>0.98009999999999997</v>
      </c>
      <c r="F39" s="17">
        <v>-151.40577648499999</v>
      </c>
      <c r="G39" s="17">
        <v>-151.49965349999999</v>
      </c>
      <c r="H39" s="17">
        <v>0.98060000000000003</v>
      </c>
      <c r="I39" s="17">
        <v>-151.40850625100001</v>
      </c>
      <c r="J39" s="17">
        <v>-151.50293100600001</v>
      </c>
      <c r="K39" s="17">
        <v>0.9798</v>
      </c>
      <c r="L39" s="17">
        <v>-151.41102629100001</v>
      </c>
      <c r="M39" s="17">
        <v>-151.50533952800001</v>
      </c>
      <c r="N39" s="17">
        <v>0.97950000000000004</v>
      </c>
      <c r="O39" s="17">
        <v>-5.67</v>
      </c>
      <c r="P39" s="17">
        <v>-7.49</v>
      </c>
      <c r="Q39" s="17">
        <v>0.96689999999999998</v>
      </c>
      <c r="R39" s="33">
        <v>-151.43970754</v>
      </c>
      <c r="S39" s="17"/>
      <c r="T39" s="17">
        <v>1.8855E-2</v>
      </c>
      <c r="U39" s="17">
        <v>2.4025000000000001E-2</v>
      </c>
      <c r="V39" s="17">
        <v>-5.2950000000000002E-3</v>
      </c>
      <c r="W39" s="196">
        <f t="shared" si="11"/>
        <v>18.398572156615263</v>
      </c>
      <c r="X39" s="197">
        <f t="shared" si="12"/>
        <v>-5.67</v>
      </c>
      <c r="Y39" s="197">
        <f t="shared" si="13"/>
        <v>-3.9666237537508477</v>
      </c>
      <c r="Z39" s="198">
        <f>(C39+U39)*($AW$3*$AW$4*10^-3/$AW$5)</f>
        <v>-94962.927542360616</v>
      </c>
      <c r="AA39" s="198">
        <f>((((2-0)/(2-E39))*C39+(1-((2-0)/(2-E39)))*D39)+U39)*($AW$3*$AW$4*10^-3/$AW$5)</f>
        <v>-94906.484671805913</v>
      </c>
      <c r="AB39" s="199">
        <f t="shared" si="14"/>
        <v>-94993.454225497</v>
      </c>
      <c r="AC39" s="199">
        <f t="shared" si="15"/>
        <v>-94936.787686789277</v>
      </c>
      <c r="AD39" s="200">
        <f t="shared" si="16"/>
        <v>-94995.167179000477</v>
      </c>
      <c r="AE39" s="200">
        <f t="shared" si="17"/>
        <v>-94938.261168852274</v>
      </c>
      <c r="AF39" s="201">
        <f t="shared" si="18"/>
        <v>-94996.748527492207</v>
      </c>
      <c r="AG39" s="201">
        <f t="shared" si="19"/>
        <v>-94939.943831940138</v>
      </c>
    </row>
    <row r="40" spans="1:33">
      <c r="A40" s="191" t="s">
        <v>512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33"/>
      <c r="S40" s="17"/>
      <c r="T40" s="17"/>
      <c r="U40" s="17"/>
      <c r="V40" s="17"/>
      <c r="W40" s="196">
        <f t="shared" si="11"/>
        <v>0</v>
      </c>
      <c r="X40" s="197">
        <f t="shared" si="12"/>
        <v>0</v>
      </c>
      <c r="Y40" s="197">
        <f t="shared" si="13"/>
        <v>0</v>
      </c>
      <c r="Z40" s="198">
        <f>(C40+U40)*($AW$3*$AW$4*10^-3/$AW$5)</f>
        <v>0</v>
      </c>
      <c r="AA40" s="198">
        <f>((((2-0)/(2-E40))*C40+(1-((2-0)/(2-E40)))*D40)+U40)*($AW$3*$AW$4*10^-3/$AW$5)</f>
        <v>0</v>
      </c>
      <c r="AB40" s="199">
        <f t="shared" si="14"/>
        <v>0</v>
      </c>
      <c r="AC40" s="199">
        <f t="shared" si="15"/>
        <v>0</v>
      </c>
      <c r="AD40" s="200">
        <f t="shared" si="16"/>
        <v>0</v>
      </c>
      <c r="AE40" s="200">
        <f t="shared" si="17"/>
        <v>0</v>
      </c>
      <c r="AF40" s="201">
        <f t="shared" si="18"/>
        <v>0</v>
      </c>
      <c r="AG40" s="201">
        <f t="shared" si="19"/>
        <v>0</v>
      </c>
    </row>
    <row r="41" spans="1:33">
      <c r="A41" s="191" t="s">
        <v>510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33"/>
      <c r="S41" s="17"/>
      <c r="T41" s="17"/>
      <c r="U41" s="17"/>
      <c r="V41" s="17"/>
      <c r="W41" s="196">
        <f t="shared" si="11"/>
        <v>0</v>
      </c>
      <c r="X41" s="197">
        <f t="shared" si="12"/>
        <v>0</v>
      </c>
      <c r="Y41" s="197">
        <f t="shared" si="13"/>
        <v>0</v>
      </c>
      <c r="Z41" s="198">
        <f t="shared" ref="Z41:Z60" si="20">(C41+U41)*($AW$3*$AW$4*10^-3/$AW$5)</f>
        <v>0</v>
      </c>
      <c r="AA41" s="198">
        <f t="shared" ref="AA41:AA60" si="21">((((2-0)/(2-E41))*C41+(1-((2-0)/(2-E41)))*D41)+U41)*($AW$3*$AW$4*10^-3/$AW$5)</f>
        <v>0</v>
      </c>
      <c r="AB41" s="199">
        <f t="shared" si="14"/>
        <v>0</v>
      </c>
      <c r="AC41" s="199">
        <f t="shared" si="15"/>
        <v>0</v>
      </c>
      <c r="AD41" s="200">
        <f t="shared" si="16"/>
        <v>0</v>
      </c>
      <c r="AE41" s="200">
        <f t="shared" si="17"/>
        <v>0</v>
      </c>
      <c r="AF41" s="201">
        <f t="shared" si="18"/>
        <v>0</v>
      </c>
      <c r="AG41" s="201">
        <f t="shared" si="19"/>
        <v>0</v>
      </c>
    </row>
    <row r="42" spans="1:33">
      <c r="A42" s="191" t="s">
        <v>511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33"/>
      <c r="S42" s="17"/>
      <c r="T42" s="17"/>
      <c r="U42" s="17"/>
      <c r="V42" s="17"/>
      <c r="W42" s="196">
        <f t="shared" si="11"/>
        <v>0</v>
      </c>
      <c r="X42" s="197">
        <f t="shared" si="12"/>
        <v>0</v>
      </c>
      <c r="Y42" s="197">
        <f t="shared" si="13"/>
        <v>0</v>
      </c>
      <c r="Z42" s="198">
        <f t="shared" si="20"/>
        <v>0</v>
      </c>
      <c r="AA42" s="198">
        <f t="shared" si="21"/>
        <v>0</v>
      </c>
      <c r="AB42" s="199">
        <f t="shared" si="14"/>
        <v>0</v>
      </c>
      <c r="AC42" s="199">
        <f t="shared" si="15"/>
        <v>0</v>
      </c>
      <c r="AD42" s="200">
        <f t="shared" si="16"/>
        <v>0</v>
      </c>
      <c r="AE42" s="200">
        <f t="shared" si="17"/>
        <v>0</v>
      </c>
      <c r="AF42" s="201">
        <f t="shared" si="18"/>
        <v>0</v>
      </c>
      <c r="AG42" s="201">
        <f t="shared" si="19"/>
        <v>0</v>
      </c>
    </row>
    <row r="43" spans="1:33">
      <c r="A43" s="191" t="s">
        <v>513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33"/>
      <c r="S43" s="17"/>
      <c r="T43" s="17"/>
      <c r="U43" s="17"/>
      <c r="V43" s="17"/>
      <c r="W43" s="196">
        <f t="shared" si="11"/>
        <v>0</v>
      </c>
      <c r="X43" s="197">
        <f t="shared" si="12"/>
        <v>0</v>
      </c>
      <c r="Y43" s="197">
        <f t="shared" si="13"/>
        <v>0</v>
      </c>
      <c r="Z43" s="198">
        <f t="shared" si="20"/>
        <v>0</v>
      </c>
      <c r="AA43" s="198">
        <f t="shared" si="21"/>
        <v>0</v>
      </c>
      <c r="AB43" s="199">
        <f t="shared" si="14"/>
        <v>0</v>
      </c>
      <c r="AC43" s="199">
        <f t="shared" si="15"/>
        <v>0</v>
      </c>
      <c r="AD43" s="200">
        <f t="shared" si="16"/>
        <v>0</v>
      </c>
      <c r="AE43" s="200">
        <f t="shared" si="17"/>
        <v>0</v>
      </c>
      <c r="AF43" s="201">
        <f t="shared" si="18"/>
        <v>0</v>
      </c>
      <c r="AG43" s="201">
        <f t="shared" si="19"/>
        <v>0</v>
      </c>
    </row>
    <row r="44" spans="1:33">
      <c r="A44" s="191" t="s">
        <v>514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33"/>
      <c r="S44" s="17"/>
      <c r="T44" s="17"/>
      <c r="U44" s="17"/>
      <c r="V44" s="17"/>
      <c r="W44" s="196">
        <f t="shared" si="11"/>
        <v>0</v>
      </c>
      <c r="X44" s="197">
        <f t="shared" si="12"/>
        <v>0</v>
      </c>
      <c r="Y44" s="197">
        <f t="shared" si="13"/>
        <v>0</v>
      </c>
      <c r="Z44" s="198">
        <f t="shared" si="20"/>
        <v>0</v>
      </c>
      <c r="AA44" s="198">
        <f t="shared" si="21"/>
        <v>0</v>
      </c>
      <c r="AB44" s="199">
        <f t="shared" si="14"/>
        <v>0</v>
      </c>
      <c r="AC44" s="199">
        <f t="shared" si="15"/>
        <v>0</v>
      </c>
      <c r="AD44" s="200">
        <f t="shared" si="16"/>
        <v>0</v>
      </c>
      <c r="AE44" s="200">
        <f t="shared" si="17"/>
        <v>0</v>
      </c>
      <c r="AF44" s="201">
        <f t="shared" si="18"/>
        <v>0</v>
      </c>
      <c r="AG44" s="201">
        <f t="shared" si="19"/>
        <v>0</v>
      </c>
    </row>
    <row r="45" spans="1:33">
      <c r="A45" s="191" t="s">
        <v>515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33"/>
      <c r="S45" s="17"/>
      <c r="T45" s="17"/>
      <c r="U45" s="17"/>
      <c r="V45" s="17"/>
      <c r="W45" s="196">
        <f t="shared" si="11"/>
        <v>0</v>
      </c>
      <c r="X45" s="197">
        <f t="shared" si="12"/>
        <v>0</v>
      </c>
      <c r="Y45" s="197">
        <f t="shared" si="13"/>
        <v>0</v>
      </c>
      <c r="Z45" s="198">
        <f t="shared" si="20"/>
        <v>0</v>
      </c>
      <c r="AA45" s="198">
        <f t="shared" si="21"/>
        <v>0</v>
      </c>
      <c r="AB45" s="199">
        <f t="shared" si="14"/>
        <v>0</v>
      </c>
      <c r="AC45" s="199">
        <f t="shared" si="15"/>
        <v>0</v>
      </c>
      <c r="AD45" s="200">
        <f t="shared" si="16"/>
        <v>0</v>
      </c>
      <c r="AE45" s="200">
        <f t="shared" si="17"/>
        <v>0</v>
      </c>
      <c r="AF45" s="201">
        <f t="shared" si="18"/>
        <v>0</v>
      </c>
      <c r="AG45" s="201">
        <f t="shared" si="19"/>
        <v>0</v>
      </c>
    </row>
    <row r="46" spans="1:33">
      <c r="A46" s="191" t="s">
        <v>517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33"/>
      <c r="S46" s="17"/>
      <c r="T46" s="17"/>
      <c r="U46" s="17"/>
      <c r="V46" s="17"/>
      <c r="W46" s="196">
        <f t="shared" si="11"/>
        <v>0</v>
      </c>
      <c r="X46" s="197">
        <f t="shared" si="12"/>
        <v>0</v>
      </c>
      <c r="Y46" s="197">
        <f t="shared" si="13"/>
        <v>0</v>
      </c>
      <c r="Z46" s="198">
        <f t="shared" si="20"/>
        <v>0</v>
      </c>
      <c r="AA46" s="198">
        <f t="shared" si="21"/>
        <v>0</v>
      </c>
      <c r="AB46" s="199">
        <f t="shared" si="14"/>
        <v>0</v>
      </c>
      <c r="AC46" s="199">
        <f t="shared" si="15"/>
        <v>0</v>
      </c>
      <c r="AD46" s="200">
        <f t="shared" si="16"/>
        <v>0</v>
      </c>
      <c r="AE46" s="200">
        <f t="shared" si="17"/>
        <v>0</v>
      </c>
      <c r="AF46" s="201">
        <f t="shared" si="18"/>
        <v>0</v>
      </c>
      <c r="AG46" s="201">
        <f t="shared" si="19"/>
        <v>0</v>
      </c>
    </row>
    <row r="47" spans="1:33">
      <c r="A47" s="191" t="s">
        <v>516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33"/>
      <c r="S47" s="17"/>
      <c r="T47" s="17"/>
      <c r="U47" s="17"/>
      <c r="V47" s="17"/>
      <c r="W47" s="196">
        <f t="shared" si="11"/>
        <v>0</v>
      </c>
      <c r="X47" s="197">
        <f t="shared" si="12"/>
        <v>0</v>
      </c>
      <c r="Y47" s="197">
        <f t="shared" si="13"/>
        <v>0</v>
      </c>
      <c r="Z47" s="198">
        <f t="shared" si="20"/>
        <v>0</v>
      </c>
      <c r="AA47" s="198">
        <f t="shared" si="21"/>
        <v>0</v>
      </c>
      <c r="AB47" s="199">
        <f t="shared" si="14"/>
        <v>0</v>
      </c>
      <c r="AC47" s="199">
        <f t="shared" si="15"/>
        <v>0</v>
      </c>
      <c r="AD47" s="200">
        <f t="shared" si="16"/>
        <v>0</v>
      </c>
      <c r="AE47" s="200">
        <f t="shared" si="17"/>
        <v>0</v>
      </c>
      <c r="AF47" s="201">
        <f t="shared" si="18"/>
        <v>0</v>
      </c>
      <c r="AG47" s="201">
        <f t="shared" si="19"/>
        <v>0</v>
      </c>
    </row>
    <row r="48" spans="1:33">
      <c r="A48" s="191" t="s">
        <v>518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33"/>
      <c r="S48" s="17"/>
      <c r="T48" s="17"/>
      <c r="U48" s="17"/>
      <c r="V48" s="17"/>
      <c r="W48" s="196">
        <f t="shared" si="11"/>
        <v>0</v>
      </c>
      <c r="X48" s="197">
        <f t="shared" si="12"/>
        <v>0</v>
      </c>
      <c r="Y48" s="197">
        <f t="shared" si="13"/>
        <v>0</v>
      </c>
      <c r="Z48" s="198">
        <f t="shared" si="20"/>
        <v>0</v>
      </c>
      <c r="AA48" s="198">
        <f t="shared" si="21"/>
        <v>0</v>
      </c>
      <c r="AB48" s="199">
        <f t="shared" si="14"/>
        <v>0</v>
      </c>
      <c r="AC48" s="199">
        <f t="shared" si="15"/>
        <v>0</v>
      </c>
      <c r="AD48" s="200">
        <f t="shared" si="16"/>
        <v>0</v>
      </c>
      <c r="AE48" s="200">
        <f t="shared" si="17"/>
        <v>0</v>
      </c>
      <c r="AF48" s="201">
        <f t="shared" si="18"/>
        <v>0</v>
      </c>
      <c r="AG48" s="201">
        <f t="shared" si="19"/>
        <v>0</v>
      </c>
    </row>
    <row r="49" spans="1:33">
      <c r="A49" s="191" t="s">
        <v>522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33"/>
      <c r="S49" s="17"/>
      <c r="T49" s="17"/>
      <c r="U49" s="17"/>
      <c r="V49" s="17"/>
      <c r="W49" s="196">
        <f t="shared" si="11"/>
        <v>0</v>
      </c>
      <c r="X49" s="197">
        <f t="shared" si="12"/>
        <v>0</v>
      </c>
      <c r="Y49" s="197">
        <f t="shared" si="13"/>
        <v>0</v>
      </c>
      <c r="Z49" s="198">
        <f t="shared" si="20"/>
        <v>0</v>
      </c>
      <c r="AA49" s="198">
        <f t="shared" si="21"/>
        <v>0</v>
      </c>
      <c r="AB49" s="199">
        <f t="shared" si="14"/>
        <v>0</v>
      </c>
      <c r="AC49" s="199">
        <f t="shared" si="15"/>
        <v>0</v>
      </c>
      <c r="AD49" s="200">
        <f t="shared" si="16"/>
        <v>0</v>
      </c>
      <c r="AE49" s="200">
        <f t="shared" si="17"/>
        <v>0</v>
      </c>
      <c r="AF49" s="201">
        <f t="shared" si="18"/>
        <v>0</v>
      </c>
      <c r="AG49" s="201">
        <f t="shared" si="19"/>
        <v>0</v>
      </c>
    </row>
    <row r="50" spans="1:33">
      <c r="A50" s="191" t="s">
        <v>521</v>
      </c>
      <c r="B50" s="17">
        <v>-302.97412902000002</v>
      </c>
      <c r="C50" s="17">
        <v>-302.994846274</v>
      </c>
      <c r="D50" s="17">
        <v>-302.99042332699997</v>
      </c>
      <c r="E50" s="17">
        <v>0.98899999999999999</v>
      </c>
      <c r="F50" s="17">
        <v>-303.09288776699998</v>
      </c>
      <c r="G50" s="17"/>
      <c r="H50" s="17">
        <v>0.98850000000000005</v>
      </c>
      <c r="I50" s="17">
        <v>-303.100378412</v>
      </c>
      <c r="J50" s="17"/>
      <c r="K50" s="17">
        <v>0.9879</v>
      </c>
      <c r="L50" s="17">
        <v>-303.10552918600001</v>
      </c>
      <c r="M50" s="17"/>
      <c r="N50" s="17">
        <v>0.98780000000000001</v>
      </c>
      <c r="O50" s="17">
        <v>-9.6</v>
      </c>
      <c r="P50" s="17"/>
      <c r="Q50" s="17">
        <v>0.9919</v>
      </c>
      <c r="R50" s="33">
        <v>192.17</v>
      </c>
      <c r="S50" s="17"/>
      <c r="T50" s="17">
        <v>5.0019000000000001E-2</v>
      </c>
      <c r="U50" s="17">
        <v>5.8296000000000001E-2</v>
      </c>
      <c r="V50" s="17">
        <v>1.8936000000000001E-2</v>
      </c>
      <c r="W50" s="196">
        <f t="shared" si="11"/>
        <v>24.698765350763189</v>
      </c>
      <c r="X50" s="197">
        <f t="shared" si="12"/>
        <v>-9.6</v>
      </c>
      <c r="Y50" s="197">
        <f t="shared" si="13"/>
        <v>-19.04572959031842</v>
      </c>
      <c r="Z50" s="198">
        <f t="shared" si="20"/>
        <v>-190095.49724052849</v>
      </c>
      <c r="AA50" s="198">
        <f t="shared" si="21"/>
        <v>-190098.21228548829</v>
      </c>
      <c r="AB50" s="199">
        <f t="shared" si="14"/>
        <v>-190157.01918743513</v>
      </c>
      <c r="AC50" s="199">
        <f t="shared" si="15"/>
        <v>-376025.90110850969</v>
      </c>
      <c r="AD50" s="200">
        <f t="shared" si="16"/>
        <v>-190161.71963670297</v>
      </c>
      <c r="AE50" s="200">
        <f t="shared" si="17"/>
        <v>-375812.2496996586</v>
      </c>
      <c r="AF50" s="201">
        <f t="shared" si="18"/>
        <v>-190164.95179519893</v>
      </c>
      <c r="AG50" s="201">
        <f t="shared" si="19"/>
        <v>-375781.50422830292</v>
      </c>
    </row>
    <row r="51" spans="1:33">
      <c r="A51" s="191" t="s">
        <v>523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33"/>
      <c r="S51" s="17"/>
      <c r="T51" s="17"/>
      <c r="U51" s="17"/>
      <c r="V51" s="17"/>
      <c r="W51" s="196">
        <f t="shared" si="11"/>
        <v>0</v>
      </c>
      <c r="X51" s="197">
        <f t="shared" si="12"/>
        <v>0</v>
      </c>
      <c r="Y51" s="197">
        <f t="shared" si="13"/>
        <v>0</v>
      </c>
      <c r="Z51" s="198">
        <f t="shared" si="20"/>
        <v>0</v>
      </c>
      <c r="AA51" s="198">
        <f t="shared" si="21"/>
        <v>0</v>
      </c>
      <c r="AB51" s="199">
        <f t="shared" si="14"/>
        <v>0</v>
      </c>
      <c r="AC51" s="199">
        <f t="shared" si="15"/>
        <v>0</v>
      </c>
      <c r="AD51" s="200">
        <f t="shared" si="16"/>
        <v>0</v>
      </c>
      <c r="AE51" s="200">
        <f t="shared" si="17"/>
        <v>0</v>
      </c>
      <c r="AF51" s="201">
        <f t="shared" si="18"/>
        <v>0</v>
      </c>
      <c r="AG51" s="201">
        <f t="shared" si="19"/>
        <v>0</v>
      </c>
    </row>
    <row r="52" spans="1:33">
      <c r="A52" s="191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33"/>
      <c r="S52" s="17"/>
      <c r="T52" s="17"/>
      <c r="U52" s="17"/>
      <c r="V52" s="17"/>
      <c r="W52" s="196">
        <f t="shared" si="11"/>
        <v>0</v>
      </c>
      <c r="X52" s="197">
        <f t="shared" si="12"/>
        <v>0</v>
      </c>
      <c r="Y52" s="197">
        <f t="shared" si="13"/>
        <v>0</v>
      </c>
      <c r="Z52" s="198">
        <f t="shared" si="20"/>
        <v>0</v>
      </c>
      <c r="AA52" s="198">
        <f t="shared" si="21"/>
        <v>0</v>
      </c>
      <c r="AB52" s="199">
        <f t="shared" si="14"/>
        <v>0</v>
      </c>
      <c r="AC52" s="199">
        <f t="shared" si="15"/>
        <v>0</v>
      </c>
      <c r="AD52" s="200">
        <f t="shared" si="16"/>
        <v>0</v>
      </c>
      <c r="AE52" s="200">
        <f t="shared" si="17"/>
        <v>0</v>
      </c>
      <c r="AF52" s="201">
        <f t="shared" si="18"/>
        <v>0</v>
      </c>
      <c r="AG52" s="201">
        <f t="shared" si="19"/>
        <v>0</v>
      </c>
    </row>
    <row r="53" spans="1:33">
      <c r="A53" s="191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33"/>
      <c r="S53" s="17"/>
      <c r="T53" s="17"/>
      <c r="U53" s="17"/>
      <c r="V53" s="17"/>
      <c r="W53" s="196">
        <f t="shared" si="11"/>
        <v>0</v>
      </c>
      <c r="X53" s="197">
        <f t="shared" si="12"/>
        <v>0</v>
      </c>
      <c r="Y53" s="197">
        <f t="shared" si="13"/>
        <v>0</v>
      </c>
      <c r="Z53" s="198">
        <f t="shared" si="20"/>
        <v>0</v>
      </c>
      <c r="AA53" s="198">
        <f t="shared" si="21"/>
        <v>0</v>
      </c>
      <c r="AB53" s="199">
        <f t="shared" si="14"/>
        <v>0</v>
      </c>
      <c r="AC53" s="199">
        <f t="shared" si="15"/>
        <v>0</v>
      </c>
      <c r="AD53" s="200">
        <f t="shared" si="16"/>
        <v>0</v>
      </c>
      <c r="AE53" s="200">
        <f t="shared" si="17"/>
        <v>0</v>
      </c>
      <c r="AF53" s="201">
        <f t="shared" si="18"/>
        <v>0</v>
      </c>
      <c r="AG53" s="201">
        <f t="shared" si="19"/>
        <v>0</v>
      </c>
    </row>
    <row r="54" spans="1:33">
      <c r="A54" s="191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33"/>
      <c r="S54" s="17"/>
      <c r="T54" s="17"/>
      <c r="U54" s="17"/>
      <c r="V54" s="17"/>
      <c r="W54" s="196">
        <f t="shared" si="11"/>
        <v>0</v>
      </c>
      <c r="X54" s="197">
        <f t="shared" si="12"/>
        <v>0</v>
      </c>
      <c r="Y54" s="197">
        <f t="shared" si="13"/>
        <v>0</v>
      </c>
      <c r="Z54" s="198">
        <f t="shared" si="20"/>
        <v>0</v>
      </c>
      <c r="AA54" s="198">
        <f t="shared" si="21"/>
        <v>0</v>
      </c>
      <c r="AB54" s="199">
        <f t="shared" si="14"/>
        <v>0</v>
      </c>
      <c r="AC54" s="199">
        <f t="shared" si="15"/>
        <v>0</v>
      </c>
      <c r="AD54" s="200">
        <f t="shared" si="16"/>
        <v>0</v>
      </c>
      <c r="AE54" s="200">
        <f t="shared" si="17"/>
        <v>0</v>
      </c>
      <c r="AF54" s="201">
        <f t="shared" si="18"/>
        <v>0</v>
      </c>
      <c r="AG54" s="201">
        <f t="shared" si="19"/>
        <v>0</v>
      </c>
    </row>
    <row r="55" spans="1:33">
      <c r="A55" s="191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33"/>
      <c r="S55" s="17"/>
      <c r="T55" s="17"/>
      <c r="U55" s="17"/>
      <c r="V55" s="17"/>
      <c r="W55" s="196">
        <f t="shared" si="11"/>
        <v>0</v>
      </c>
      <c r="X55" s="197">
        <f t="shared" si="12"/>
        <v>0</v>
      </c>
      <c r="Y55" s="197">
        <f t="shared" si="13"/>
        <v>0</v>
      </c>
      <c r="Z55" s="198">
        <f t="shared" si="20"/>
        <v>0</v>
      </c>
      <c r="AA55" s="198">
        <f t="shared" si="21"/>
        <v>0</v>
      </c>
      <c r="AB55" s="199">
        <f t="shared" si="14"/>
        <v>0</v>
      </c>
      <c r="AC55" s="199">
        <f t="shared" si="15"/>
        <v>0</v>
      </c>
      <c r="AD55" s="200">
        <f t="shared" si="16"/>
        <v>0</v>
      </c>
      <c r="AE55" s="200">
        <f t="shared" si="17"/>
        <v>0</v>
      </c>
      <c r="AF55" s="201">
        <f t="shared" si="18"/>
        <v>0</v>
      </c>
      <c r="AG55" s="201">
        <f t="shared" si="19"/>
        <v>0</v>
      </c>
    </row>
    <row r="56" spans="1:33">
      <c r="A56" s="191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33"/>
      <c r="S56" s="17"/>
      <c r="T56" s="17"/>
      <c r="U56" s="17"/>
      <c r="V56" s="17"/>
      <c r="W56" s="196">
        <f t="shared" si="11"/>
        <v>0</v>
      </c>
      <c r="X56" s="197">
        <f t="shared" si="12"/>
        <v>0</v>
      </c>
      <c r="Y56" s="197">
        <f t="shared" si="13"/>
        <v>0</v>
      </c>
      <c r="Z56" s="198">
        <f t="shared" si="20"/>
        <v>0</v>
      </c>
      <c r="AA56" s="198">
        <f t="shared" si="21"/>
        <v>0</v>
      </c>
      <c r="AB56" s="199">
        <f t="shared" si="14"/>
        <v>0</v>
      </c>
      <c r="AC56" s="199">
        <f t="shared" si="15"/>
        <v>0</v>
      </c>
      <c r="AD56" s="200">
        <f t="shared" si="16"/>
        <v>0</v>
      </c>
      <c r="AE56" s="200">
        <f t="shared" si="17"/>
        <v>0</v>
      </c>
      <c r="AF56" s="201">
        <f t="shared" si="18"/>
        <v>0</v>
      </c>
      <c r="AG56" s="201">
        <f t="shared" si="19"/>
        <v>0</v>
      </c>
    </row>
    <row r="57" spans="1:33">
      <c r="A57" s="191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33"/>
      <c r="S57" s="17"/>
      <c r="T57" s="17"/>
      <c r="U57" s="17"/>
      <c r="V57" s="17"/>
      <c r="W57" s="196">
        <f t="shared" si="11"/>
        <v>0</v>
      </c>
      <c r="X57" s="197">
        <f t="shared" si="12"/>
        <v>0</v>
      </c>
      <c r="Y57" s="197">
        <f t="shared" si="13"/>
        <v>0</v>
      </c>
      <c r="Z57" s="198">
        <f t="shared" si="20"/>
        <v>0</v>
      </c>
      <c r="AA57" s="198">
        <f t="shared" si="21"/>
        <v>0</v>
      </c>
      <c r="AB57" s="199">
        <f t="shared" si="14"/>
        <v>0</v>
      </c>
      <c r="AC57" s="199">
        <f t="shared" si="15"/>
        <v>0</v>
      </c>
      <c r="AD57" s="200">
        <f t="shared" si="16"/>
        <v>0</v>
      </c>
      <c r="AE57" s="200">
        <f t="shared" si="17"/>
        <v>0</v>
      </c>
      <c r="AF57" s="201">
        <f t="shared" si="18"/>
        <v>0</v>
      </c>
      <c r="AG57" s="201">
        <f t="shared" si="19"/>
        <v>0</v>
      </c>
    </row>
    <row r="58" spans="1:33">
      <c r="A58" s="191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33"/>
      <c r="S58" s="17"/>
      <c r="T58" s="17"/>
      <c r="U58" s="17"/>
      <c r="V58" s="17"/>
      <c r="W58" s="196">
        <f t="shared" si="11"/>
        <v>0</v>
      </c>
      <c r="X58" s="197">
        <f t="shared" si="12"/>
        <v>0</v>
      </c>
      <c r="Y58" s="197">
        <f t="shared" si="13"/>
        <v>0</v>
      </c>
      <c r="Z58" s="198">
        <f t="shared" si="20"/>
        <v>0</v>
      </c>
      <c r="AA58" s="198">
        <f t="shared" si="21"/>
        <v>0</v>
      </c>
      <c r="AB58" s="199">
        <f t="shared" si="14"/>
        <v>0</v>
      </c>
      <c r="AC58" s="199">
        <f t="shared" si="15"/>
        <v>0</v>
      </c>
      <c r="AD58" s="200">
        <f t="shared" si="16"/>
        <v>0</v>
      </c>
      <c r="AE58" s="200">
        <f t="shared" si="17"/>
        <v>0</v>
      </c>
      <c r="AF58" s="201">
        <f t="shared" si="18"/>
        <v>0</v>
      </c>
      <c r="AG58" s="201">
        <f t="shared" si="19"/>
        <v>0</v>
      </c>
    </row>
    <row r="59" spans="1:33">
      <c r="A59" s="191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33"/>
      <c r="S59" s="17"/>
      <c r="T59" s="17"/>
      <c r="U59" s="17"/>
      <c r="V59" s="17"/>
      <c r="W59" s="196">
        <f t="shared" si="11"/>
        <v>0</v>
      </c>
      <c r="X59" s="197">
        <f t="shared" si="12"/>
        <v>0</v>
      </c>
      <c r="Y59" s="197">
        <f t="shared" si="13"/>
        <v>0</v>
      </c>
      <c r="Z59" s="198">
        <f t="shared" si="20"/>
        <v>0</v>
      </c>
      <c r="AA59" s="198">
        <f t="shared" si="21"/>
        <v>0</v>
      </c>
      <c r="AB59" s="199">
        <f t="shared" si="14"/>
        <v>0</v>
      </c>
      <c r="AC59" s="199">
        <f t="shared" si="15"/>
        <v>0</v>
      </c>
      <c r="AD59" s="200">
        <f t="shared" si="16"/>
        <v>0</v>
      </c>
      <c r="AE59" s="200">
        <f t="shared" si="17"/>
        <v>0</v>
      </c>
      <c r="AF59" s="201">
        <f t="shared" si="18"/>
        <v>0</v>
      </c>
      <c r="AG59" s="201">
        <f t="shared" si="19"/>
        <v>0</v>
      </c>
    </row>
    <row r="60" spans="1:33">
      <c r="A60" s="191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33"/>
      <c r="S60" s="17"/>
      <c r="T60" s="17"/>
      <c r="U60" s="17"/>
      <c r="V60" s="17"/>
      <c r="W60" s="196">
        <f t="shared" si="11"/>
        <v>0</v>
      </c>
      <c r="X60" s="197">
        <f t="shared" si="12"/>
        <v>0</v>
      </c>
      <c r="Y60" s="197">
        <f t="shared" si="13"/>
        <v>0</v>
      </c>
      <c r="Z60" s="198">
        <f t="shared" si="20"/>
        <v>0</v>
      </c>
      <c r="AA60" s="198">
        <f t="shared" si="21"/>
        <v>0</v>
      </c>
      <c r="AB60" s="199">
        <f t="shared" si="14"/>
        <v>0</v>
      </c>
      <c r="AC60" s="199">
        <f t="shared" si="15"/>
        <v>0</v>
      </c>
      <c r="AD60" s="200">
        <f t="shared" si="16"/>
        <v>0</v>
      </c>
      <c r="AE60" s="200">
        <f t="shared" si="17"/>
        <v>0</v>
      </c>
      <c r="AF60" s="201">
        <f t="shared" si="18"/>
        <v>0</v>
      </c>
      <c r="AG60" s="201">
        <f t="shared" si="19"/>
        <v>0</v>
      </c>
    </row>
    <row r="64" spans="1:33">
      <c r="K64" s="6">
        <f>AG39-AG36</f>
        <v>159.67026032209105</v>
      </c>
    </row>
    <row r="65" spans="11:11">
      <c r="K65" s="6">
        <f>AF50-2*AF36</f>
        <v>34.276389325532364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AI147"/>
  <sheetViews>
    <sheetView topLeftCell="Q1" workbookViewId="0">
      <selection activeCell="Q134" sqref="Q134"/>
    </sheetView>
  </sheetViews>
  <sheetFormatPr defaultRowHeight="15"/>
  <cols>
    <col min="2" max="2" width="16.42578125" customWidth="1"/>
    <col min="7" max="7" width="2" customWidth="1"/>
    <col min="8" max="8" width="19.7109375" customWidth="1"/>
    <col min="9" max="9" width="12.7109375" bestFit="1" customWidth="1"/>
    <col min="11" max="11" width="10.140625" customWidth="1"/>
    <col min="12" max="12" width="19.7109375" bestFit="1" customWidth="1"/>
    <col min="13" max="13" width="2" customWidth="1"/>
    <col min="14" max="14" width="19.7109375" customWidth="1"/>
    <col min="15" max="15" width="12.7109375" customWidth="1"/>
    <col min="16" max="16" width="19.7109375" bestFit="1" customWidth="1"/>
    <col min="17" max="17" width="12.7109375" bestFit="1" customWidth="1"/>
  </cols>
  <sheetData>
    <row r="1" spans="2:35" ht="15.75" thickBot="1"/>
    <row r="2" spans="2:35">
      <c r="B2" s="22" t="s">
        <v>147</v>
      </c>
      <c r="C2" s="88">
        <v>4.35974394E-18</v>
      </c>
    </row>
    <row r="3" spans="2:35">
      <c r="B3" s="72" t="s">
        <v>148</v>
      </c>
      <c r="C3" s="89">
        <v>6.0221399999999997E+23</v>
      </c>
    </row>
    <row r="4" spans="2:35" ht="15.75" thickBot="1">
      <c r="B4" s="23" t="s">
        <v>149</v>
      </c>
      <c r="C4" s="90">
        <v>4.1840000000000002</v>
      </c>
    </row>
    <row r="7" spans="2:35">
      <c r="H7" t="s">
        <v>610</v>
      </c>
      <c r="N7" t="s">
        <v>611</v>
      </c>
    </row>
    <row r="8" spans="2:35">
      <c r="G8" t="s">
        <v>599</v>
      </c>
      <c r="H8" t="s">
        <v>600</v>
      </c>
      <c r="M8" t="s">
        <v>599</v>
      </c>
      <c r="N8" t="s">
        <v>600</v>
      </c>
    </row>
    <row r="9" spans="2:35">
      <c r="G9" t="s">
        <v>599</v>
      </c>
      <c r="H9" t="s">
        <v>601</v>
      </c>
      <c r="I9" t="s">
        <v>602</v>
      </c>
      <c r="M9" t="s">
        <v>599</v>
      </c>
      <c r="N9" t="s">
        <v>601</v>
      </c>
      <c r="O9" t="s">
        <v>602</v>
      </c>
    </row>
    <row r="10" spans="2:35">
      <c r="G10" t="s">
        <v>599</v>
      </c>
      <c r="H10" t="s">
        <v>603</v>
      </c>
      <c r="I10" t="s">
        <v>604</v>
      </c>
      <c r="M10" t="s">
        <v>599</v>
      </c>
      <c r="N10" t="s">
        <v>603</v>
      </c>
      <c r="O10" t="s">
        <v>604</v>
      </c>
      <c r="AI10">
        <f>66/4.2</f>
        <v>15.714285714285714</v>
      </c>
    </row>
    <row r="11" spans="2:35">
      <c r="G11" t="s">
        <v>599</v>
      </c>
      <c r="H11" t="s">
        <v>605</v>
      </c>
      <c r="I11" t="s">
        <v>606</v>
      </c>
      <c r="J11" t="s">
        <v>259</v>
      </c>
      <c r="M11" t="s">
        <v>599</v>
      </c>
      <c r="N11" t="s">
        <v>605</v>
      </c>
      <c r="O11" t="s">
        <v>606</v>
      </c>
      <c r="P11" t="s">
        <v>259</v>
      </c>
    </row>
    <row r="12" spans="2:35">
      <c r="H12" s="13">
        <v>3.2000001361999999</v>
      </c>
      <c r="I12">
        <v>-151.45793746000001</v>
      </c>
      <c r="J12" s="135">
        <f>I12*($C$2*$C$3*10^-3/$C$4)</f>
        <v>-95041.261631989488</v>
      </c>
      <c r="K12" s="6">
        <f>J12-$J$48</f>
        <v>46.27130267501343</v>
      </c>
      <c r="N12" s="13">
        <v>3.1999995568999999</v>
      </c>
      <c r="O12">
        <v>-151.457933887</v>
      </c>
      <c r="P12" s="135">
        <f>O12*($C$2*$C$3*10^-3/$C$4)</f>
        <v>-95041.259389898813</v>
      </c>
      <c r="Q12" s="6">
        <f>P12-$J$48</f>
        <v>46.273544765688712</v>
      </c>
    </row>
    <row r="13" spans="2:35">
      <c r="H13" s="13">
        <v>3.1500001362000001</v>
      </c>
      <c r="I13">
        <v>-151.458124513</v>
      </c>
      <c r="J13" s="135">
        <f t="shared" ref="J13:J52" si="0">I13*($C$2*$C$3*10^-3/$C$4)</f>
        <v>-95041.379009483266</v>
      </c>
      <c r="K13" s="6">
        <f t="shared" ref="K13:K52" si="1">J13-$J$48</f>
        <v>46.153925181235536</v>
      </c>
      <c r="N13" s="13">
        <v>3.1499995569000001</v>
      </c>
      <c r="O13">
        <v>-151.45813215699999</v>
      </c>
      <c r="P13" s="135">
        <f t="shared" ref="P13:P41" si="2">O13*($C$2*$C$3*10^-3/$C$4)</f>
        <v>-95041.383806164202</v>
      </c>
      <c r="Q13" s="6">
        <f t="shared" ref="Q13:Q42" si="3">P13-$J$48</f>
        <v>46.149128500299412</v>
      </c>
    </row>
    <row r="14" spans="2:35">
      <c r="H14" s="13">
        <v>3.1000001361999998</v>
      </c>
      <c r="I14">
        <v>-151.458282803</v>
      </c>
      <c r="J14" s="135">
        <f t="shared" si="0"/>
        <v>-95041.478337927547</v>
      </c>
      <c r="K14" s="6">
        <f t="shared" si="1"/>
        <v>46.054596736954409</v>
      </c>
      <c r="N14" s="13">
        <v>3.0999995568999998</v>
      </c>
      <c r="O14">
        <v>-151.458306714</v>
      </c>
      <c r="P14" s="135">
        <f t="shared" si="2"/>
        <v>-95041.493342301997</v>
      </c>
      <c r="Q14" s="6">
        <f t="shared" si="3"/>
        <v>46.039592362503754</v>
      </c>
    </row>
    <row r="15" spans="2:35">
      <c r="H15" s="13">
        <v>3.0500001362</v>
      </c>
      <c r="I15">
        <v>-151.45839699499999</v>
      </c>
      <c r="J15" s="135">
        <f t="shared" si="0"/>
        <v>-95041.54999446751</v>
      </c>
      <c r="K15" s="6">
        <f t="shared" si="1"/>
        <v>45.982940196990967</v>
      </c>
      <c r="N15" s="13">
        <v>3.0499995569</v>
      </c>
      <c r="O15">
        <v>-151.45844063300001</v>
      </c>
      <c r="P15" s="135">
        <f t="shared" si="2"/>
        <v>-95041.577377717578</v>
      </c>
      <c r="Q15" s="6">
        <f t="shared" si="3"/>
        <v>45.955556946923025</v>
      </c>
    </row>
    <row r="16" spans="2:35">
      <c r="H16" s="13">
        <v>3.0000001362000002</v>
      </c>
      <c r="I16">
        <v>-151.458452919</v>
      </c>
      <c r="J16" s="135">
        <f t="shared" si="0"/>
        <v>-95041.585087296611</v>
      </c>
      <c r="K16" s="6">
        <f t="shared" si="1"/>
        <v>45.947847367890063</v>
      </c>
      <c r="L16" t="s">
        <v>609</v>
      </c>
      <c r="N16" s="13">
        <v>2.9999995569000002</v>
      </c>
      <c r="O16">
        <v>-151.458521096</v>
      </c>
      <c r="P16" s="135">
        <f t="shared" si="2"/>
        <v>-95041.627868996948</v>
      </c>
      <c r="Q16" s="6">
        <f t="shared" si="3"/>
        <v>45.905065667553572</v>
      </c>
    </row>
    <row r="17" spans="8:23">
      <c r="H17" s="13">
        <v>2.9500001361999999</v>
      </c>
      <c r="I17">
        <v>-151.45844399000001</v>
      </c>
      <c r="J17" s="135">
        <f t="shared" si="0"/>
        <v>-95041.579484266244</v>
      </c>
      <c r="K17" s="6">
        <f t="shared" si="1"/>
        <v>45.953450398257701</v>
      </c>
      <c r="N17" s="13">
        <v>2.9499995568999999</v>
      </c>
      <c r="O17">
        <v>-151.458547485</v>
      </c>
      <c r="P17" s="135">
        <f t="shared" si="2"/>
        <v>-95041.644428339408</v>
      </c>
      <c r="Q17" s="6">
        <f t="shared" si="3"/>
        <v>45.888506325092749</v>
      </c>
    </row>
    <row r="18" spans="8:23">
      <c r="H18" s="13">
        <v>2.9000001362000001</v>
      </c>
      <c r="I18">
        <v>-151.45834014900001</v>
      </c>
      <c r="J18" s="135">
        <f t="shared" si="0"/>
        <v>-95041.514323074865</v>
      </c>
      <c r="K18" s="6">
        <f t="shared" si="1"/>
        <v>46.018611589635839</v>
      </c>
      <c r="N18" s="13">
        <v>2.8999995569000001</v>
      </c>
      <c r="O18">
        <v>-151.45849261000001</v>
      </c>
      <c r="P18" s="135">
        <f t="shared" si="2"/>
        <v>-95041.609993767546</v>
      </c>
      <c r="Q18" s="6">
        <f t="shared" si="3"/>
        <v>45.92294089695497</v>
      </c>
    </row>
    <row r="19" spans="8:23">
      <c r="H19" s="13">
        <v>2.8500001361999998</v>
      </c>
      <c r="I19">
        <v>-151.458108095</v>
      </c>
      <c r="J19" s="135">
        <f t="shared" si="0"/>
        <v>-95041.368707035857</v>
      </c>
      <c r="K19" s="6">
        <f t="shared" si="1"/>
        <v>46.164227628643857</v>
      </c>
      <c r="N19" s="13">
        <v>2.8499995568999998</v>
      </c>
      <c r="O19">
        <v>-151.45832140799999</v>
      </c>
      <c r="P19" s="135">
        <f t="shared" si="2"/>
        <v>-95041.502562923386</v>
      </c>
      <c r="Q19" s="6">
        <f t="shared" si="3"/>
        <v>46.030371741115232</v>
      </c>
    </row>
    <row r="20" spans="8:23">
      <c r="H20" s="13">
        <v>2.8000001362</v>
      </c>
      <c r="I20">
        <v>-151.457724662</v>
      </c>
      <c r="J20" s="135">
        <f t="shared" si="0"/>
        <v>-95041.128099269234</v>
      </c>
      <c r="K20" s="6">
        <f t="shared" si="1"/>
        <v>46.404835395267582</v>
      </c>
      <c r="L20" t="s">
        <v>607</v>
      </c>
      <c r="N20" s="13">
        <v>2.7999995569</v>
      </c>
      <c r="O20">
        <v>-151.458023889</v>
      </c>
      <c r="P20" s="135">
        <f t="shared" si="2"/>
        <v>-95041.315866989244</v>
      </c>
      <c r="Q20" s="6">
        <f t="shared" si="3"/>
        <v>46.217067675257567</v>
      </c>
      <c r="R20" t="s">
        <v>607</v>
      </c>
    </row>
    <row r="21" spans="8:23">
      <c r="H21" s="13">
        <v>2.7500001362000002</v>
      </c>
      <c r="I21">
        <v>-151.45806583699999</v>
      </c>
      <c r="J21" s="135">
        <f t="shared" si="0"/>
        <v>-95041.342189748611</v>
      </c>
      <c r="K21" s="6">
        <f t="shared" si="1"/>
        <v>46.190744915889809</v>
      </c>
      <c r="N21" s="13">
        <v>2.7499995569000002</v>
      </c>
      <c r="O21">
        <v>-151.458838206</v>
      </c>
      <c r="P21" s="135">
        <f t="shared" si="2"/>
        <v>-95041.826858465458</v>
      </c>
      <c r="Q21" s="6">
        <f t="shared" si="3"/>
        <v>45.706076199043309</v>
      </c>
    </row>
    <row r="22" spans="8:23">
      <c r="H22" s="13">
        <v>2.7000001361999999</v>
      </c>
      <c r="I22">
        <v>-151.45855240700001</v>
      </c>
      <c r="J22" s="135">
        <f t="shared" si="0"/>
        <v>-95041.647516940095</v>
      </c>
      <c r="K22" s="6">
        <f t="shared" si="1"/>
        <v>45.88541772440658</v>
      </c>
      <c r="N22" s="13">
        <v>2.6999995568999999</v>
      </c>
      <c r="O22">
        <v>-151.45920747100001</v>
      </c>
      <c r="P22" s="135">
        <f t="shared" si="2"/>
        <v>-95042.058575680596</v>
      </c>
      <c r="Q22" s="6">
        <f t="shared" si="3"/>
        <v>45.474358983905404</v>
      </c>
      <c r="T22" s="6">
        <f>P20-J20</f>
        <v>-0.18776772001001518</v>
      </c>
    </row>
    <row r="23" spans="8:23">
      <c r="H23" s="13">
        <v>2.6500001362000001</v>
      </c>
      <c r="I23">
        <v>-151.45906525000001</v>
      </c>
      <c r="J23" s="135">
        <f t="shared" si="0"/>
        <v>-95041.969330682958</v>
      </c>
      <c r="K23" s="6">
        <f t="shared" si="1"/>
        <v>45.563603981543565</v>
      </c>
      <c r="N23" s="13">
        <v>2.6499995569000001</v>
      </c>
      <c r="O23">
        <v>-151.45952759100001</v>
      </c>
      <c r="P23" s="135">
        <f t="shared" si="2"/>
        <v>-95042.259453952036</v>
      </c>
      <c r="Q23" s="6">
        <f t="shared" si="3"/>
        <v>45.273480712465243</v>
      </c>
    </row>
    <row r="24" spans="8:23">
      <c r="H24" s="13">
        <v>2.6000001361999998</v>
      </c>
      <c r="I24">
        <v>-151.45962920599999</v>
      </c>
      <c r="J24" s="135">
        <f t="shared" si="0"/>
        <v>-95042.323218307734</v>
      </c>
      <c r="K24" s="6">
        <f t="shared" si="1"/>
        <v>45.209716356766876</v>
      </c>
      <c r="L24" s="135">
        <f>J21-J48</f>
        <v>46.190744915889809</v>
      </c>
      <c r="N24" s="13">
        <v>2.5999995568999998</v>
      </c>
      <c r="O24">
        <v>-151.459845814</v>
      </c>
      <c r="P24" s="135">
        <f t="shared" si="2"/>
        <v>-95042.459141838364</v>
      </c>
      <c r="Q24" s="6">
        <f t="shared" si="3"/>
        <v>45.073792826136923</v>
      </c>
    </row>
    <row r="25" spans="8:23">
      <c r="H25" s="13">
        <v>2.5500001362</v>
      </c>
      <c r="I25">
        <v>-151.46026431799999</v>
      </c>
      <c r="J25" s="135">
        <f t="shared" si="0"/>
        <v>-95042.721756983025</v>
      </c>
      <c r="K25" s="6">
        <f t="shared" si="1"/>
        <v>44.811177681476693</v>
      </c>
      <c r="N25" s="13">
        <v>2.5499995569</v>
      </c>
      <c r="O25">
        <v>-151.460165375</v>
      </c>
      <c r="P25" s="135">
        <f t="shared" si="2"/>
        <v>-95042.659669332119</v>
      </c>
      <c r="Q25" s="6">
        <f t="shared" si="3"/>
        <v>44.873265332382289</v>
      </c>
    </row>
    <row r="26" spans="8:23">
      <c r="H26" s="13">
        <v>2.5000001362000002</v>
      </c>
      <c r="I26">
        <v>-151.46096988599999</v>
      </c>
      <c r="J26" s="135">
        <f t="shared" si="0"/>
        <v>-95043.164507452311</v>
      </c>
      <c r="K26" s="6">
        <f t="shared" si="1"/>
        <v>44.368427212189999</v>
      </c>
      <c r="N26" s="13">
        <v>2.4999995569000002</v>
      </c>
      <c r="O26">
        <v>-151.46047877300001</v>
      </c>
      <c r="P26" s="135">
        <f t="shared" si="2"/>
        <v>-95042.856329486181</v>
      </c>
      <c r="Q26" s="6">
        <f t="shared" si="3"/>
        <v>44.676605178319733</v>
      </c>
    </row>
    <row r="27" spans="8:23">
      <c r="H27" s="13">
        <v>2.4500001361999999</v>
      </c>
      <c r="I27">
        <v>-151.461749051</v>
      </c>
      <c r="J27" s="135">
        <f t="shared" si="0"/>
        <v>-95043.65344072225</v>
      </c>
      <c r="K27" s="6">
        <f t="shared" si="1"/>
        <v>43.879493942251429</v>
      </c>
      <c r="N27" s="13">
        <v>2.4499995568999999</v>
      </c>
      <c r="O27">
        <v>-151.46077033700001</v>
      </c>
      <c r="P27" s="135">
        <f t="shared" si="2"/>
        <v>-95043.039288602566</v>
      </c>
      <c r="Q27" s="6">
        <f t="shared" si="3"/>
        <v>44.493646061935578</v>
      </c>
    </row>
    <row r="28" spans="8:23">
      <c r="H28" s="13">
        <v>2.4000001362000001</v>
      </c>
      <c r="I28">
        <v>-151.46261403099999</v>
      </c>
      <c r="J28" s="135">
        <f t="shared" si="0"/>
        <v>-95044.196223701234</v>
      </c>
      <c r="K28" s="6">
        <f t="shared" si="1"/>
        <v>43.336710963267251</v>
      </c>
      <c r="N28" s="13">
        <v>2.3999995569000001</v>
      </c>
      <c r="O28">
        <v>-151.46102246000001</v>
      </c>
      <c r="P28" s="135">
        <f t="shared" si="2"/>
        <v>-95043.19749812533</v>
      </c>
      <c r="Q28" s="6">
        <f t="shared" si="3"/>
        <v>44.335436539171496</v>
      </c>
    </row>
    <row r="29" spans="8:23">
      <c r="H29" s="13">
        <v>2.3500001361999998</v>
      </c>
      <c r="I29">
        <v>-151.463583653</v>
      </c>
      <c r="J29" s="135">
        <f t="shared" si="0"/>
        <v>-95044.80467050655</v>
      </c>
      <c r="K29" s="6">
        <f t="shared" si="1"/>
        <v>42.728264157951344</v>
      </c>
      <c r="N29" s="13">
        <v>2.3499995568999998</v>
      </c>
      <c r="O29">
        <v>-151.46120075900001</v>
      </c>
      <c r="P29" s="135">
        <f t="shared" si="2"/>
        <v>-95043.309382402862</v>
      </c>
      <c r="Q29" s="6">
        <f t="shared" si="3"/>
        <v>44.22355226163927</v>
      </c>
    </row>
    <row r="30" spans="8:23">
      <c r="H30" s="13">
        <v>2.3000001362</v>
      </c>
      <c r="I30">
        <v>-151.464710279</v>
      </c>
      <c r="J30" s="135">
        <f t="shared" si="0"/>
        <v>-95045.511638779222</v>
      </c>
      <c r="K30" s="6">
        <f t="shared" si="1"/>
        <v>42.02129588527896</v>
      </c>
      <c r="N30" s="13">
        <v>2.2999995569</v>
      </c>
      <c r="O30">
        <v>-151.461311153</v>
      </c>
      <c r="P30" s="135">
        <f t="shared" si="2"/>
        <v>-95043.378655662556</v>
      </c>
      <c r="Q30" s="6">
        <f t="shared" si="3"/>
        <v>44.154279001944815</v>
      </c>
    </row>
    <row r="31" spans="8:23">
      <c r="H31" s="13">
        <v>2.2500001362000002</v>
      </c>
      <c r="I31">
        <v>-151.466008867</v>
      </c>
      <c r="J31" s="135">
        <f t="shared" si="0"/>
        <v>-95046.326514803077</v>
      </c>
      <c r="K31" s="6">
        <f t="shared" si="1"/>
        <v>41.206419861424365</v>
      </c>
      <c r="N31" s="13">
        <v>2.2499995569000002</v>
      </c>
      <c r="O31">
        <v>-151.46136104600001</v>
      </c>
      <c r="P31" s="135">
        <f t="shared" si="2"/>
        <v>-95043.409963983184</v>
      </c>
      <c r="Q31" s="6">
        <f t="shared" si="3"/>
        <v>44.122970681317383</v>
      </c>
      <c r="W31" t="s">
        <v>205</v>
      </c>
    </row>
    <row r="32" spans="8:23">
      <c r="H32" s="13">
        <v>2.2000001361999999</v>
      </c>
      <c r="I32">
        <v>-151.46747977300001</v>
      </c>
      <c r="J32" s="135">
        <f t="shared" si="0"/>
        <v>-95047.249521971462</v>
      </c>
      <c r="K32" s="6">
        <f t="shared" si="1"/>
        <v>40.283412693039281</v>
      </c>
      <c r="N32" s="13">
        <v>2.1999995568999999</v>
      </c>
      <c r="O32">
        <v>-151.46131243799999</v>
      </c>
      <c r="P32" s="135">
        <f t="shared" si="2"/>
        <v>-95043.379462011988</v>
      </c>
      <c r="Q32" s="6">
        <f t="shared" si="3"/>
        <v>44.153472652513301</v>
      </c>
      <c r="T32">
        <f xml:space="preserve"> -151.434546- -151.498491</f>
        <v>6.3944999999989705E-2</v>
      </c>
      <c r="W32">
        <f xml:space="preserve">  -151.479142- -151.546719</f>
        <v>6.7576999999999998E-2</v>
      </c>
    </row>
    <row r="33" spans="8:29">
      <c r="H33" s="13">
        <v>2.1500001362000001</v>
      </c>
      <c r="I33">
        <v>-151.469140665</v>
      </c>
      <c r="J33" s="135">
        <f t="shared" si="0"/>
        <v>-95048.291747118332</v>
      </c>
      <c r="K33" s="6">
        <f t="shared" si="1"/>
        <v>39.241187546169385</v>
      </c>
      <c r="N33" s="13">
        <v>2.1499995569000001</v>
      </c>
      <c r="O33">
        <v>-151.46112788100001</v>
      </c>
      <c r="P33" s="135">
        <f t="shared" si="2"/>
        <v>-95043.263650781388</v>
      </c>
      <c r="Q33" s="6">
        <f t="shared" si="3"/>
        <v>44.26928388311353</v>
      </c>
      <c r="T33" s="11">
        <f>T32*($C$2*$C$3*10^-3/$C$4)</f>
        <v>40.126081055749438</v>
      </c>
      <c r="W33" s="1">
        <f>W32*($C$2*$C$3*10^-3/$C$4)</f>
        <v>42.405194769017378</v>
      </c>
    </row>
    <row r="34" spans="8:29">
      <c r="H34" s="13">
        <v>2.1000001361999998</v>
      </c>
      <c r="I34">
        <v>-151.47099512400001</v>
      </c>
      <c r="J34" s="135">
        <f t="shared" si="0"/>
        <v>-95049.455437354452</v>
      </c>
      <c r="K34" s="6">
        <f t="shared" si="1"/>
        <v>38.077497310048784</v>
      </c>
      <c r="N34" s="13">
        <v>2.0999995568999998</v>
      </c>
      <c r="O34">
        <v>-151.46074355299999</v>
      </c>
      <c r="P34" s="135">
        <f t="shared" si="2"/>
        <v>-95043.022481393928</v>
      </c>
      <c r="Q34" s="6">
        <f t="shared" si="3"/>
        <v>44.510453270573635</v>
      </c>
    </row>
    <row r="35" spans="8:29">
      <c r="H35" s="13">
        <v>2.0500001362</v>
      </c>
      <c r="I35">
        <v>-151.473076131</v>
      </c>
      <c r="J35" s="135">
        <f t="shared" si="0"/>
        <v>-95050.761288563444</v>
      </c>
      <c r="K35" s="6">
        <f t="shared" si="1"/>
        <v>36.771646101056831</v>
      </c>
      <c r="N35" s="13">
        <v>2.0499995569</v>
      </c>
      <c r="O35">
        <v>-151.46016076399999</v>
      </c>
      <c r="P35" s="135">
        <f t="shared" si="2"/>
        <v>-95042.656775886819</v>
      </c>
      <c r="Q35" s="6">
        <f t="shared" si="3"/>
        <v>44.876158777682576</v>
      </c>
    </row>
    <row r="36" spans="8:29">
      <c r="H36" s="13">
        <v>2.0000001362000002</v>
      </c>
      <c r="I36">
        <v>-151.47539558099999</v>
      </c>
      <c r="J36" s="135">
        <f t="shared" si="0"/>
        <v>-95052.216764968238</v>
      </c>
      <c r="K36" s="6">
        <f t="shared" si="1"/>
        <v>35.316169696263387</v>
      </c>
      <c r="N36" s="13">
        <v>1.9999995569</v>
      </c>
      <c r="O36">
        <v>-151.45938266499999</v>
      </c>
      <c r="P36" s="135">
        <f t="shared" si="2"/>
        <v>-95042.168511541779</v>
      </c>
      <c r="Q36" s="6">
        <f t="shared" si="3"/>
        <v>45.364423122722656</v>
      </c>
    </row>
    <row r="37" spans="8:29">
      <c r="H37" s="13">
        <v>1.9500001361999999</v>
      </c>
      <c r="I37">
        <v>-151.478031483</v>
      </c>
      <c r="J37" s="135">
        <f t="shared" si="0"/>
        <v>-95053.870817940435</v>
      </c>
      <c r="K37" s="6">
        <f t="shared" si="1"/>
        <v>33.662116724066436</v>
      </c>
      <c r="N37" s="13">
        <v>1.9499995568999999</v>
      </c>
      <c r="O37">
        <v>-151.45838183699999</v>
      </c>
      <c r="P37" s="135">
        <f t="shared" si="2"/>
        <v>-95041.540482681812</v>
      </c>
      <c r="Q37" s="6">
        <f t="shared" si="3"/>
        <v>45.99245198268909</v>
      </c>
    </row>
    <row r="38" spans="8:29">
      <c r="H38" s="13">
        <v>1.9000001362000001</v>
      </c>
      <c r="I38">
        <v>-151.48107689</v>
      </c>
      <c r="J38" s="135">
        <f t="shared" si="0"/>
        <v>-95055.78183910127</v>
      </c>
      <c r="K38" s="6">
        <f t="shared" si="1"/>
        <v>31.751095563231502</v>
      </c>
      <c r="N38" s="13">
        <v>1.8999995569000001</v>
      </c>
      <c r="O38">
        <v>-151.45714897100001</v>
      </c>
      <c r="P38" s="135">
        <f t="shared" si="2"/>
        <v>-95040.766847823004</v>
      </c>
      <c r="Q38" s="6">
        <f t="shared" si="3"/>
        <v>46.766086841496872</v>
      </c>
      <c r="T38" s="1"/>
    </row>
    <row r="39" spans="8:29">
      <c r="H39" s="13">
        <v>1.8500001362</v>
      </c>
      <c r="I39">
        <v>-151.484670204</v>
      </c>
      <c r="J39" s="135">
        <f t="shared" si="0"/>
        <v>-95058.036676990436</v>
      </c>
      <c r="K39" s="6">
        <f t="shared" si="1"/>
        <v>29.496257674065419</v>
      </c>
      <c r="N39" s="13">
        <v>1.8499995569000001</v>
      </c>
      <c r="O39">
        <v>-151.45575607000001</v>
      </c>
      <c r="P39" s="135">
        <f t="shared" si="2"/>
        <v>-95039.892789516205</v>
      </c>
      <c r="Q39" s="6">
        <f t="shared" si="3"/>
        <v>47.640145148296142</v>
      </c>
    </row>
    <row r="40" spans="8:29">
      <c r="H40" s="13">
        <v>1.8000001362</v>
      </c>
      <c r="I40">
        <v>-151.489166772</v>
      </c>
      <c r="J40" s="135">
        <f t="shared" si="0"/>
        <v>-95060.858315148871</v>
      </c>
      <c r="K40" s="6">
        <f t="shared" si="1"/>
        <v>26.674619515630184</v>
      </c>
      <c r="N40" s="13">
        <v>1.7999995569</v>
      </c>
      <c r="O40">
        <v>-151.45409848599999</v>
      </c>
      <c r="P40" s="135">
        <f t="shared" si="2"/>
        <v>-95038.852640170022</v>
      </c>
      <c r="Q40" s="6">
        <f t="shared" si="3"/>
        <v>48.680294494479313</v>
      </c>
    </row>
    <row r="41" spans="8:29">
      <c r="H41" s="13">
        <v>1.7500001361999999</v>
      </c>
      <c r="I41">
        <v>-151.49520731499999</v>
      </c>
      <c r="J41" s="135">
        <f t="shared" si="0"/>
        <v>-95064.648811951411</v>
      </c>
      <c r="K41" s="6">
        <f t="shared" si="1"/>
        <v>22.884122713090619</v>
      </c>
      <c r="N41" s="13">
        <v>1.7499995569</v>
      </c>
      <c r="O41">
        <v>-151.451211981</v>
      </c>
      <c r="P41" s="135">
        <f t="shared" si="2"/>
        <v>-95037.041331489163</v>
      </c>
      <c r="Q41" s="6">
        <f t="shared" si="3"/>
        <v>50.491603175338241</v>
      </c>
    </row>
    <row r="42" spans="8:29">
      <c r="H42" s="13">
        <v>1.7000001361999999</v>
      </c>
      <c r="I42">
        <v>-151.50275719499999</v>
      </c>
      <c r="J42" s="135">
        <f t="shared" si="0"/>
        <v>-95069.38643173156</v>
      </c>
      <c r="K42" s="6">
        <f t="shared" si="1"/>
        <v>18.146502932941075</v>
      </c>
      <c r="N42" s="13">
        <v>1.6999995568999999</v>
      </c>
      <c r="O42">
        <v>-151.44671461799999</v>
      </c>
      <c r="P42" s="135">
        <f>O42*($C$2*$C$3*10^-3/$C$4)</f>
        <v>-95034.219194460849</v>
      </c>
      <c r="Q42" s="6">
        <f t="shared" si="3"/>
        <v>53.313740203651832</v>
      </c>
    </row>
    <row r="43" spans="8:29">
      <c r="H43" s="13">
        <v>1.6500001362000001</v>
      </c>
      <c r="I43">
        <v>-151.510084681</v>
      </c>
      <c r="J43" s="135">
        <f t="shared" si="0"/>
        <v>-95073.984497212383</v>
      </c>
      <c r="K43" s="6">
        <f t="shared" si="1"/>
        <v>13.548437452118378</v>
      </c>
    </row>
    <row r="44" spans="8:29">
      <c r="H44" s="13">
        <v>1.6000001362</v>
      </c>
      <c r="I44">
        <v>-151.516890644</v>
      </c>
      <c r="J44" s="135">
        <f t="shared" si="0"/>
        <v>-95078.255302169768</v>
      </c>
      <c r="K44" s="6">
        <f t="shared" si="1"/>
        <v>9.2776324947335524</v>
      </c>
    </row>
    <row r="45" spans="8:29">
      <c r="H45" s="13">
        <v>1.5500001362</v>
      </c>
      <c r="I45">
        <v>-151.52288587300001</v>
      </c>
      <c r="J45" s="135">
        <f t="shared" si="0"/>
        <v>-95082.017364016705</v>
      </c>
      <c r="K45" s="6">
        <f>J45-$J$48</f>
        <v>5.5155706477962667</v>
      </c>
    </row>
    <row r="46" spans="8:29">
      <c r="H46" s="13">
        <v>1.5000001361999999</v>
      </c>
      <c r="I46">
        <v>-151.527691113</v>
      </c>
      <c r="J46" s="135">
        <f t="shared" si="0"/>
        <v>-95085.032696720315</v>
      </c>
      <c r="K46" s="6">
        <f t="shared" si="1"/>
        <v>2.5002379441866651</v>
      </c>
      <c r="R46" t="s">
        <v>622</v>
      </c>
      <c r="S46" t="s">
        <v>618</v>
      </c>
      <c r="U46" t="s">
        <v>619</v>
      </c>
      <c r="W46" t="s">
        <v>621</v>
      </c>
      <c r="X46" t="s">
        <v>621</v>
      </c>
    </row>
    <row r="47" spans="8:29">
      <c r="H47" s="13">
        <v>1.4500001361999999</v>
      </c>
      <c r="I47">
        <v>-151.530825429</v>
      </c>
      <c r="J47" s="135">
        <f t="shared" si="0"/>
        <v>-95086.999509103931</v>
      </c>
      <c r="K47" s="6">
        <f t="shared" si="1"/>
        <v>0.53342556057032198</v>
      </c>
      <c r="R47" t="s">
        <v>623</v>
      </c>
      <c r="S47" t="s">
        <v>620</v>
      </c>
      <c r="U47" t="s">
        <v>620</v>
      </c>
      <c r="X47" t="s">
        <v>624</v>
      </c>
    </row>
    <row r="48" spans="8:29">
      <c r="H48" s="13">
        <v>1.4000001362000001</v>
      </c>
      <c r="I48">
        <v>-151.53167549700001</v>
      </c>
      <c r="J48" s="135">
        <f t="shared" si="0"/>
        <v>-95087.532934664501</v>
      </c>
      <c r="K48" s="6">
        <f t="shared" si="1"/>
        <v>0</v>
      </c>
      <c r="L48" t="s">
        <v>608</v>
      </c>
      <c r="R48">
        <f>-154.43023-(-151.582642+ -2.913028)</f>
        <v>6.543999999999528E-2</v>
      </c>
      <c r="S48">
        <f xml:space="preserve">    -151.466093--151.531978</f>
        <v>6.5885000000008631E-2</v>
      </c>
      <c r="U48">
        <f xml:space="preserve"> -151.450355-  -151.51728</f>
        <v>6.6924999999997681E-2</v>
      </c>
      <c r="W48">
        <f xml:space="preserve"> -151.302072--151.378801</f>
        <v>7.6729000000000269E-2</v>
      </c>
      <c r="X48">
        <f>( -151.302001+0.018731- 0.019046)-( -151.378769+0.026431-0.02639)</f>
        <v>7.6412000000004809E-2</v>
      </c>
      <c r="Y48">
        <f xml:space="preserve"> -151.436632- -151.50696</f>
        <v>7.0327999999989288E-2</v>
      </c>
      <c r="Z48">
        <f>(-151.44409503+ 0.018692)-(-151.54768024+0.026254)</f>
        <v>9.6023209999998471E-2</v>
      </c>
      <c r="AA48">
        <f>-1108.105371--1108.158157</f>
        <v>5.2785999999969135E-2</v>
      </c>
      <c r="AB48">
        <f xml:space="preserve"> -1108.06801--1108.124287</f>
        <v>5.6277000000136468E-2</v>
      </c>
      <c r="AC48">
        <f>-1107.65896641--1107.70209226</f>
        <v>4.3125850000024002E-2</v>
      </c>
    </row>
    <row r="49" spans="7:30">
      <c r="H49" s="13">
        <v>1.3500001362</v>
      </c>
      <c r="I49">
        <v>-151.52944784799999</v>
      </c>
      <c r="J49" s="135">
        <f t="shared" si="0"/>
        <v>-95086.135064239323</v>
      </c>
      <c r="K49" s="6">
        <f t="shared" si="1"/>
        <v>1.397870425178553</v>
      </c>
      <c r="R49" s="1">
        <f>R48*($C$2*$C$3*10^-3/$C$4)</f>
        <v>41.064207432769983</v>
      </c>
      <c r="S49" s="1">
        <f>S48*($C$2*$C$3*10^-3/$C$4)</f>
        <v>41.343449063395475</v>
      </c>
      <c r="T49" s="1"/>
      <c r="U49" s="1">
        <f>U48*($C$2*$C$3*10^-3/$C$4)</f>
        <v>41.996058716965678</v>
      </c>
      <c r="V49" s="1"/>
      <c r="W49" s="1">
        <f t="shared" ref="W49:AC49" si="4">W48*($C$2*$C$3*10^-3/$C$4)</f>
        <v>48.148159720495812</v>
      </c>
      <c r="X49" s="1">
        <f t="shared" si="4"/>
        <v>47.949239278014112</v>
      </c>
      <c r="Y49" s="1">
        <f t="shared" si="4"/>
        <v>44.131472804578479</v>
      </c>
      <c r="Z49" s="1">
        <f t="shared" si="4"/>
        <v>60.255455589863303</v>
      </c>
      <c r="AA49" s="6">
        <f t="shared" si="4"/>
        <v>33.123704974710961</v>
      </c>
      <c r="AB49" s="11">
        <f t="shared" si="4"/>
        <v>35.314339879275167</v>
      </c>
      <c r="AC49" s="11">
        <f t="shared" si="4"/>
        <v>27.061871181473666</v>
      </c>
    </row>
    <row r="50" spans="7:30">
      <c r="H50" s="13">
        <v>1.3000001362</v>
      </c>
      <c r="I50">
        <v>-151.52311993800001</v>
      </c>
      <c r="J50" s="135">
        <f t="shared" si="0"/>
        <v>-95082.164241976861</v>
      </c>
      <c r="K50" s="6">
        <f t="shared" si="1"/>
        <v>5.3686926876398502</v>
      </c>
    </row>
    <row r="51" spans="7:30">
      <c r="H51" s="13">
        <v>1.2500001361999999</v>
      </c>
      <c r="I51">
        <v>-151.51134649799999</v>
      </c>
      <c r="J51" s="135">
        <f t="shared" si="0"/>
        <v>-95074.776299092424</v>
      </c>
      <c r="K51" s="6">
        <f t="shared" si="1"/>
        <v>12.756635572077357</v>
      </c>
    </row>
    <row r="52" spans="7:30">
      <c r="H52" s="13">
        <v>1.2000001361999999</v>
      </c>
      <c r="I52">
        <v>-151.492383625</v>
      </c>
      <c r="J52" s="135">
        <f t="shared" si="0"/>
        <v>-95062.876920266121</v>
      </c>
      <c r="K52" s="6">
        <f t="shared" si="1"/>
        <v>24.656014398380648</v>
      </c>
    </row>
    <row r="53" spans="7:30">
      <c r="Y53">
        <f>-1108.14784653--1108.14849353</f>
        <v>6.470000000717846E-4</v>
      </c>
      <c r="AC53">
        <f>-668.07201815--668.13771198</f>
        <v>6.5693829999986519E-2</v>
      </c>
      <c r="AD53">
        <f>-667.55440344--667.55019675</f>
        <v>-4.2066899999326779E-3</v>
      </c>
    </row>
    <row r="54" spans="7:30">
      <c r="H54" t="s">
        <v>616</v>
      </c>
      <c r="N54" t="s">
        <v>615</v>
      </c>
      <c r="Y54" s="11">
        <f>Y53*($C$2*$C$3*10^-3/$C$4)</f>
        <v>0.40599850568386114</v>
      </c>
      <c r="AC54" s="6">
        <f>AC53*($C$2*$C$3*10^-3/$C$4)</f>
        <v>41.223488113887051</v>
      </c>
    </row>
    <row r="55" spans="7:30">
      <c r="G55" t="s">
        <v>599</v>
      </c>
      <c r="H55" t="s">
        <v>600</v>
      </c>
      <c r="M55" t="s">
        <v>599</v>
      </c>
      <c r="N55" t="s">
        <v>600</v>
      </c>
    </row>
    <row r="56" spans="7:30">
      <c r="G56" t="s">
        <v>599</v>
      </c>
      <c r="H56" t="s">
        <v>601</v>
      </c>
      <c r="I56" t="s">
        <v>602</v>
      </c>
      <c r="M56" t="s">
        <v>599</v>
      </c>
      <c r="N56" t="s">
        <v>601</v>
      </c>
      <c r="O56" t="s">
        <v>602</v>
      </c>
    </row>
    <row r="57" spans="7:30">
      <c r="G57" t="s">
        <v>599</v>
      </c>
      <c r="H57" t="s">
        <v>603</v>
      </c>
      <c r="I57" t="s">
        <v>604</v>
      </c>
      <c r="M57" t="s">
        <v>599</v>
      </c>
      <c r="N57" t="s">
        <v>603</v>
      </c>
      <c r="O57" t="s">
        <v>604</v>
      </c>
    </row>
    <row r="58" spans="7:30">
      <c r="G58" t="s">
        <v>599</v>
      </c>
      <c r="H58" t="s">
        <v>605</v>
      </c>
      <c r="I58" t="s">
        <v>606</v>
      </c>
      <c r="J58" t="s">
        <v>259</v>
      </c>
      <c r="M58" t="s">
        <v>599</v>
      </c>
      <c r="N58" t="s">
        <v>605</v>
      </c>
      <c r="O58" t="s">
        <v>606</v>
      </c>
      <c r="P58" t="s">
        <v>259</v>
      </c>
    </row>
    <row r="59" spans="7:30">
      <c r="H59" s="1">
        <v>3.1999985419999999</v>
      </c>
      <c r="I59">
        <v>-151.53562173700001</v>
      </c>
      <c r="J59" s="135">
        <f>I59*($C$2*$C$3*10^-3/$C$4)</f>
        <v>-95090.009236894635</v>
      </c>
      <c r="K59" s="1">
        <f>J59-$J$94</f>
        <v>47.280901104270015</v>
      </c>
      <c r="N59" s="1">
        <v>3.2000001993999998</v>
      </c>
      <c r="O59">
        <v>-151.535659106</v>
      </c>
      <c r="P59" s="135">
        <f>O59*($C$2*$C$3*10^-3/$C$4)</f>
        <v>-95090.032686288992</v>
      </c>
      <c r="Q59" s="1">
        <f>P59-$J$94</f>
        <v>47.257451709912857</v>
      </c>
      <c r="T59" s="13">
        <f t="shared" ref="T59:T89" si="5">Q59-K59</f>
        <v>-2.3449394357157871E-2</v>
      </c>
    </row>
    <row r="60" spans="7:30">
      <c r="H60" s="1">
        <v>3.1499985420000001</v>
      </c>
      <c r="I60">
        <v>-151.53578470100001</v>
      </c>
      <c r="J60" s="135">
        <f t="shared" ref="J60:J99" si="6">I60*($C$2*$C$3*10^-3/$C$4)</f>
        <v>-95090.111498317317</v>
      </c>
      <c r="K60" s="1">
        <f t="shared" ref="K60:K99" si="7">J60-$J$94</f>
        <v>47.178639681587811</v>
      </c>
      <c r="N60" s="1">
        <v>3.1500001994</v>
      </c>
      <c r="O60">
        <v>-151.535833349</v>
      </c>
      <c r="P60" s="135">
        <f t="shared" ref="P60:P89" si="8">O60*($C$2*$C$3*10^-3/$C$4)</f>
        <v>-95090.142025388879</v>
      </c>
      <c r="Q60" s="1">
        <f t="shared" ref="Q60:Q89" si="9">P60-$J$94</f>
        <v>47.148112610026146</v>
      </c>
      <c r="T60" s="13">
        <f t="shared" si="5"/>
        <v>-3.0527071561664343E-2</v>
      </c>
    </row>
    <row r="61" spans="7:30">
      <c r="H61" s="1">
        <v>3.0999985419999998</v>
      </c>
      <c r="I61">
        <v>-151.535916636</v>
      </c>
      <c r="J61" s="135">
        <f t="shared" si="6"/>
        <v>-95090.194288754457</v>
      </c>
      <c r="K61" s="1">
        <f t="shared" si="7"/>
        <v>47.095849244447891</v>
      </c>
      <c r="N61" s="1">
        <v>3.1000001994000002</v>
      </c>
      <c r="O61">
        <v>-151.535982176</v>
      </c>
      <c r="P61" s="135">
        <f t="shared" si="8"/>
        <v>-95090.235415712828</v>
      </c>
      <c r="Q61" s="1">
        <f t="shared" si="9"/>
        <v>47.054722286076867</v>
      </c>
      <c r="T61" s="13">
        <f t="shared" si="5"/>
        <v>-4.1126958371023647E-2</v>
      </c>
    </row>
    <row r="62" spans="7:30">
      <c r="H62" s="1">
        <v>3.049998542</v>
      </c>
      <c r="I62">
        <v>-151.53601226399999</v>
      </c>
      <c r="J62" s="135">
        <f t="shared" si="6"/>
        <v>-95090.254296212108</v>
      </c>
      <c r="K62" s="1">
        <f t="shared" si="7"/>
        <v>47.035841786797391</v>
      </c>
      <c r="N62" s="1">
        <v>3.0500001993999999</v>
      </c>
      <c r="O62" s="11">
        <v>-151.53609724899999</v>
      </c>
      <c r="P62" s="135">
        <f t="shared" si="8"/>
        <v>-95090.307625088462</v>
      </c>
      <c r="Q62" s="1">
        <f t="shared" si="9"/>
        <v>46.982512910442892</v>
      </c>
      <c r="T62" s="13">
        <f t="shared" si="5"/>
        <v>-5.3328876354498789E-2</v>
      </c>
    </row>
    <row r="63" spans="7:30">
      <c r="H63" s="1">
        <v>2.9999985420000002</v>
      </c>
      <c r="I63">
        <v>-151.53605552299999</v>
      </c>
      <c r="J63" s="135">
        <f t="shared" si="6"/>
        <v>-95090.281441636151</v>
      </c>
      <c r="K63" s="1">
        <f t="shared" si="7"/>
        <v>47.008696362754563</v>
      </c>
      <c r="L63" t="s">
        <v>609</v>
      </c>
      <c r="N63" s="1">
        <v>3.0000001994000001</v>
      </c>
      <c r="O63">
        <v>-151.53616813799999</v>
      </c>
      <c r="P63" s="135">
        <f t="shared" si="8"/>
        <v>-95090.352108593972</v>
      </c>
      <c r="Q63" s="1">
        <f t="shared" si="9"/>
        <v>46.938029404933332</v>
      </c>
      <c r="T63" s="13">
        <f t="shared" si="5"/>
        <v>-7.0666957821231335E-2</v>
      </c>
    </row>
    <row r="64" spans="7:30">
      <c r="H64" s="1">
        <v>2.9499985419999999</v>
      </c>
      <c r="I64">
        <v>-151.536032858</v>
      </c>
      <c r="J64" s="135">
        <f t="shared" si="6"/>
        <v>-95090.267219138274</v>
      </c>
      <c r="K64" s="1">
        <f t="shared" si="7"/>
        <v>47.022918860631762</v>
      </c>
      <c r="N64" s="1">
        <v>2.9500001993999998</v>
      </c>
      <c r="O64">
        <v>-151.53618317999999</v>
      </c>
      <c r="P64" s="135">
        <f t="shared" si="8"/>
        <v>-95090.361547588604</v>
      </c>
      <c r="Q64" s="1">
        <f t="shared" si="9"/>
        <v>46.928590410301695</v>
      </c>
      <c r="R64" t="s">
        <v>609</v>
      </c>
      <c r="T64" s="13">
        <f t="shared" si="5"/>
        <v>-9.4328450330067426E-2</v>
      </c>
    </row>
    <row r="65" spans="8:21">
      <c r="H65" s="1">
        <v>2.8999985420000001</v>
      </c>
      <c r="I65">
        <v>-151.53592794599999</v>
      </c>
      <c r="J65" s="135">
        <f t="shared" si="6"/>
        <v>-95090.201385884444</v>
      </c>
      <c r="K65" s="1">
        <f t="shared" si="7"/>
        <v>47.088752114461386</v>
      </c>
      <c r="N65" s="1">
        <v>2.9000001994</v>
      </c>
      <c r="O65">
        <v>-151.53612863000001</v>
      </c>
      <c r="P65" s="135">
        <f t="shared" si="8"/>
        <v>-95090.327316957264</v>
      </c>
      <c r="Q65" s="1">
        <f t="shared" si="9"/>
        <v>46.962821041641291</v>
      </c>
      <c r="T65" s="13">
        <f t="shared" si="5"/>
        <v>-0.12593107282009441</v>
      </c>
    </row>
    <row r="66" spans="8:21">
      <c r="H66" s="1">
        <v>2.8499985419999998</v>
      </c>
      <c r="I66">
        <v>-151.53572101699999</v>
      </c>
      <c r="J66" s="135">
        <f t="shared" si="6"/>
        <v>-95090.07153601617</v>
      </c>
      <c r="K66" s="1">
        <f t="shared" si="7"/>
        <v>47.218601982734981</v>
      </c>
      <c r="N66" s="1">
        <v>2.8500001994000002</v>
      </c>
      <c r="O66">
        <v>-151.535990795</v>
      </c>
      <c r="P66" s="135">
        <f t="shared" si="8"/>
        <v>-95090.240824215332</v>
      </c>
      <c r="Q66" s="1">
        <f t="shared" si="9"/>
        <v>47.04931378357287</v>
      </c>
      <c r="R66" t="s">
        <v>613</v>
      </c>
      <c r="T66" s="13">
        <f t="shared" si="5"/>
        <v>-0.16928819916211069</v>
      </c>
    </row>
    <row r="67" spans="8:21">
      <c r="H67" s="1">
        <v>2.799998542</v>
      </c>
      <c r="I67">
        <v>-151.53538902599999</v>
      </c>
      <c r="J67" s="135">
        <f t="shared" si="6"/>
        <v>-95089.863208582028</v>
      </c>
      <c r="K67" s="1">
        <f t="shared" si="7"/>
        <v>47.426929416877101</v>
      </c>
      <c r="N67" s="1">
        <v>2.8000001993999999</v>
      </c>
      <c r="O67">
        <v>-151.53606493300001</v>
      </c>
      <c r="P67" s="135">
        <f t="shared" si="8"/>
        <v>-95090.287346498502</v>
      </c>
      <c r="Q67" s="1">
        <f t="shared" si="9"/>
        <v>47.002791500402964</v>
      </c>
      <c r="T67" s="13">
        <f t="shared" si="5"/>
        <v>-0.42413791647413746</v>
      </c>
    </row>
    <row r="68" spans="8:21">
      <c r="H68" s="1">
        <v>2.7499985420000002</v>
      </c>
      <c r="I68">
        <v>-151.53509837999999</v>
      </c>
      <c r="J68" s="135">
        <f t="shared" si="6"/>
        <v>-95089.680825519172</v>
      </c>
      <c r="K68" s="1">
        <f t="shared" si="7"/>
        <v>47.609312479733489</v>
      </c>
      <c r="L68" t="s">
        <v>612</v>
      </c>
      <c r="N68" s="1">
        <v>2.7500001994000001</v>
      </c>
      <c r="O68">
        <v>-151.53616087</v>
      </c>
      <c r="P68" s="135">
        <f t="shared" si="8"/>
        <v>-95090.347547856523</v>
      </c>
      <c r="Q68" s="1">
        <f t="shared" si="9"/>
        <v>46.94259014238196</v>
      </c>
      <c r="T68" s="13">
        <f t="shared" si="5"/>
        <v>-0.66672233735152986</v>
      </c>
    </row>
    <row r="69" spans="8:21">
      <c r="H69" s="1">
        <v>2.6999985419999999</v>
      </c>
      <c r="I69">
        <v>-151.535371352</v>
      </c>
      <c r="J69" s="135">
        <f t="shared" si="6"/>
        <v>-95089.852117982984</v>
      </c>
      <c r="K69" s="1">
        <f t="shared" si="7"/>
        <v>47.438020015921211</v>
      </c>
      <c r="N69" s="1">
        <v>2.7000001993999998</v>
      </c>
      <c r="O69">
        <v>-151.53633571899999</v>
      </c>
      <c r="P69" s="135">
        <f t="shared" si="8"/>
        <v>-95090.457267227015</v>
      </c>
      <c r="Q69" s="1">
        <f t="shared" si="9"/>
        <v>46.832870771890157</v>
      </c>
      <c r="T69" s="13">
        <f t="shared" si="5"/>
        <v>-0.60514924403105397</v>
      </c>
    </row>
    <row r="70" spans="8:21">
      <c r="H70" s="1">
        <v>2.6499985420000001</v>
      </c>
      <c r="I70">
        <v>-151.53581011099999</v>
      </c>
      <c r="J70" s="135">
        <f t="shared" si="6"/>
        <v>-95090.127443328165</v>
      </c>
      <c r="K70" s="1">
        <f t="shared" si="7"/>
        <v>47.162694670740166</v>
      </c>
      <c r="N70" s="1">
        <v>2.6500001994</v>
      </c>
      <c r="O70">
        <v>-151.536637308</v>
      </c>
      <c r="P70" s="135">
        <f t="shared" si="8"/>
        <v>-95090.64651712394</v>
      </c>
      <c r="Q70" s="1">
        <f t="shared" si="9"/>
        <v>46.643620874965563</v>
      </c>
      <c r="T70" s="13">
        <f t="shared" si="5"/>
        <v>-0.51907379577460233</v>
      </c>
    </row>
    <row r="71" spans="8:21">
      <c r="H71" s="1">
        <v>2.5999985419999998</v>
      </c>
      <c r="I71">
        <v>-151.536331047</v>
      </c>
      <c r="J71" s="135">
        <f t="shared" si="6"/>
        <v>-95090.454335503644</v>
      </c>
      <c r="K71" s="1">
        <f t="shared" si="7"/>
        <v>46.835802495261305</v>
      </c>
      <c r="N71" s="1">
        <v>2.6000001994000002</v>
      </c>
      <c r="O71">
        <v>-151.53699089899999</v>
      </c>
      <c r="P71" s="135">
        <f t="shared" si="8"/>
        <v>-95090.868398758568</v>
      </c>
      <c r="Q71" s="1">
        <f t="shared" si="9"/>
        <v>46.421739240337047</v>
      </c>
      <c r="T71" s="13">
        <f t="shared" si="5"/>
        <v>-0.41406325492425822</v>
      </c>
    </row>
    <row r="72" spans="8:21">
      <c r="H72" s="1">
        <v>2.549998542</v>
      </c>
      <c r="I72">
        <v>-151.53694186300001</v>
      </c>
      <c r="J72" s="135">
        <f t="shared" si="6"/>
        <v>-95090.837628213427</v>
      </c>
      <c r="K72" s="1">
        <f t="shared" si="7"/>
        <v>46.452509785478469</v>
      </c>
      <c r="N72" s="1">
        <v>2.5500001993999999</v>
      </c>
      <c r="O72">
        <v>-151.537342588</v>
      </c>
      <c r="P72" s="135">
        <f t="shared" si="8"/>
        <v>-95091.089086870561</v>
      </c>
      <c r="Q72" s="1">
        <f t="shared" si="9"/>
        <v>46.201051128344261</v>
      </c>
      <c r="T72" s="13">
        <f t="shared" si="5"/>
        <v>-0.2514586571342079</v>
      </c>
    </row>
    <row r="73" spans="8:21">
      <c r="H73" s="1">
        <v>2.4999985420000002</v>
      </c>
      <c r="I73">
        <v>-151.537652471</v>
      </c>
      <c r="J73" s="135">
        <f t="shared" si="6"/>
        <v>-95091.283541329482</v>
      </c>
      <c r="K73" s="1">
        <f t="shared" si="7"/>
        <v>46.006596669423743</v>
      </c>
      <c r="N73" s="1">
        <v>2.5000001994000001</v>
      </c>
      <c r="O73">
        <v>-151.53768632800001</v>
      </c>
      <c r="P73" s="135">
        <f t="shared" si="8"/>
        <v>-95091.304786911263</v>
      </c>
      <c r="Q73" s="1">
        <f t="shared" si="9"/>
        <v>45.985351087641902</v>
      </c>
      <c r="T73" s="13">
        <f t="shared" si="5"/>
        <v>-2.1245581781840883E-2</v>
      </c>
      <c r="U73" t="s">
        <v>617</v>
      </c>
    </row>
    <row r="74" spans="8:21">
      <c r="H74" s="1">
        <v>2.4499985419999999</v>
      </c>
      <c r="I74">
        <v>-151.53847503399999</v>
      </c>
      <c r="J74" s="135">
        <f t="shared" si="6"/>
        <v>-95091.799707247235</v>
      </c>
      <c r="K74" s="1">
        <f t="shared" si="7"/>
        <v>45.490430751669919</v>
      </c>
      <c r="N74" s="1">
        <v>2.4500001993999998</v>
      </c>
      <c r="O74">
        <v>-151.538016511</v>
      </c>
      <c r="P74" s="135">
        <f t="shared" si="8"/>
        <v>-95091.511979808609</v>
      </c>
      <c r="Q74" s="1">
        <f t="shared" si="9"/>
        <v>45.778158190296381</v>
      </c>
      <c r="T74" s="13">
        <f t="shared" si="5"/>
        <v>0.28772743862646166</v>
      </c>
    </row>
    <row r="75" spans="8:21">
      <c r="H75" s="1">
        <v>2.3999985420000001</v>
      </c>
      <c r="I75">
        <v>-151.539424784</v>
      </c>
      <c r="J75" s="135">
        <f t="shared" si="6"/>
        <v>-95092.395684188101</v>
      </c>
      <c r="K75" s="1">
        <f t="shared" si="7"/>
        <v>44.894453810804407</v>
      </c>
      <c r="N75" s="1">
        <v>2.4000001994</v>
      </c>
      <c r="O75">
        <v>-151.53832924299999</v>
      </c>
      <c r="P75" s="135">
        <f t="shared" si="8"/>
        <v>-95091.708222041474</v>
      </c>
      <c r="Q75" s="1">
        <f t="shared" si="9"/>
        <v>45.581915957431193</v>
      </c>
      <c r="T75" s="13">
        <f t="shared" si="5"/>
        <v>0.6874621466267854</v>
      </c>
    </row>
    <row r="76" spans="8:21">
      <c r="H76" s="1">
        <v>2.3499985419999998</v>
      </c>
      <c r="I76">
        <v>-151.54052062</v>
      </c>
      <c r="J76" s="135">
        <f t="shared" si="6"/>
        <v>-95093.083331449961</v>
      </c>
      <c r="K76" s="1">
        <f t="shared" si="7"/>
        <v>44.20680654894386</v>
      </c>
      <c r="N76" s="1">
        <v>2.3500001994000002</v>
      </c>
      <c r="O76">
        <v>-151.53862347399999</v>
      </c>
      <c r="P76" s="135">
        <f t="shared" si="8"/>
        <v>-95091.892854725098</v>
      </c>
      <c r="Q76" s="1">
        <f t="shared" si="9"/>
        <v>45.397283273807261</v>
      </c>
      <c r="T76" s="13">
        <f t="shared" si="5"/>
        <v>1.1904767248634016</v>
      </c>
    </row>
    <row r="77" spans="8:21">
      <c r="H77" s="1">
        <v>2.299998542</v>
      </c>
      <c r="I77">
        <v>-151.54178609600001</v>
      </c>
      <c r="J77" s="135">
        <f t="shared" si="6"/>
        <v>-95093.87742938647</v>
      </c>
      <c r="K77" s="1">
        <f t="shared" si="7"/>
        <v>43.412708612435381</v>
      </c>
      <c r="N77" s="1">
        <v>2.3000001993999999</v>
      </c>
      <c r="O77">
        <v>-151.53890236300001</v>
      </c>
      <c r="P77" s="135">
        <f t="shared" si="8"/>
        <v>-95092.067860161333</v>
      </c>
      <c r="Q77" s="1">
        <f t="shared" si="9"/>
        <v>45.222277837572619</v>
      </c>
      <c r="T77" s="13">
        <f t="shared" si="5"/>
        <v>1.8095692251372384</v>
      </c>
    </row>
    <row r="78" spans="8:21">
      <c r="H78" s="1">
        <v>2.2499985420000002</v>
      </c>
      <c r="I78">
        <v>-151.54325130300001</v>
      </c>
      <c r="J78" s="135">
        <f t="shared" si="6"/>
        <v>-95094.796860379443</v>
      </c>
      <c r="K78" s="1">
        <f t="shared" si="7"/>
        <v>42.493277619461878</v>
      </c>
      <c r="N78" s="1">
        <v>2.2500001994000001</v>
      </c>
      <c r="O78">
        <v>-151.53917488100001</v>
      </c>
      <c r="P78" s="135">
        <f t="shared" si="8"/>
        <v>-95092.238867735927</v>
      </c>
      <c r="Q78" s="1">
        <f t="shared" si="9"/>
        <v>45.051270262978505</v>
      </c>
      <c r="T78" s="13">
        <f t="shared" si="5"/>
        <v>2.5579926435166271</v>
      </c>
    </row>
    <row r="79" spans="8:21">
      <c r="H79" s="1">
        <v>2.1999985419999999</v>
      </c>
      <c r="I79">
        <v>-151.54495507300001</v>
      </c>
      <c r="J79" s="135">
        <f t="shared" si="6"/>
        <v>-95095.86599186933</v>
      </c>
      <c r="K79" s="1">
        <f t="shared" si="7"/>
        <v>41.424146129575092</v>
      </c>
      <c r="N79" s="1">
        <v>2.2000001993999998</v>
      </c>
      <c r="O79">
        <v>-151.53945984500001</v>
      </c>
      <c r="P79" s="135">
        <f t="shared" si="8"/>
        <v>-95092.417685291046</v>
      </c>
      <c r="Q79" s="1">
        <f t="shared" si="9"/>
        <v>44.872452707859338</v>
      </c>
      <c r="T79" s="13">
        <f t="shared" si="5"/>
        <v>3.4483065782842459</v>
      </c>
    </row>
    <row r="80" spans="8:21">
      <c r="H80" s="1">
        <v>2.1499985420000001</v>
      </c>
      <c r="I80">
        <v>-151.546947074</v>
      </c>
      <c r="J80" s="135">
        <f t="shared" si="6"/>
        <v>-95097.115990987149</v>
      </c>
      <c r="K80" s="1">
        <f t="shared" si="7"/>
        <v>40.174147011755849</v>
      </c>
      <c r="N80" s="1">
        <v>2.1500001994</v>
      </c>
      <c r="O80">
        <v>-151.53978941400001</v>
      </c>
      <c r="P80" s="135">
        <f t="shared" si="8"/>
        <v>-95092.62449289771</v>
      </c>
      <c r="Q80" s="1">
        <f t="shared" si="9"/>
        <v>44.665645101194968</v>
      </c>
      <c r="T80" s="13">
        <f t="shared" si="5"/>
        <v>4.4914980894391192</v>
      </c>
    </row>
    <row r="81" spans="8:20">
      <c r="H81" s="1">
        <v>2.0999985419999998</v>
      </c>
      <c r="I81">
        <v>-151.54929147600001</v>
      </c>
      <c r="J81" s="135">
        <f t="shared" si="6"/>
        <v>-95098.587125003556</v>
      </c>
      <c r="K81" s="1">
        <f t="shared" si="7"/>
        <v>38.703012995349127</v>
      </c>
      <c r="N81" s="1">
        <v>2.1000001994000002</v>
      </c>
      <c r="O81">
        <v>-151.54021028700001</v>
      </c>
      <c r="P81" s="135">
        <f t="shared" si="8"/>
        <v>-95092.888594611868</v>
      </c>
      <c r="Q81" s="1">
        <f t="shared" si="9"/>
        <v>44.401543387037236</v>
      </c>
      <c r="T81" s="13">
        <f t="shared" si="5"/>
        <v>5.6985303916881094</v>
      </c>
    </row>
    <row r="82" spans="8:20">
      <c r="H82" s="1">
        <v>2.049998542</v>
      </c>
      <c r="I82">
        <v>-151.55207172300001</v>
      </c>
      <c r="J82" s="135">
        <f t="shared" si="6"/>
        <v>-95100.331755803098</v>
      </c>
      <c r="K82" s="1">
        <f t="shared" si="7"/>
        <v>36.958382195807644</v>
      </c>
      <c r="N82" s="1">
        <v>2.0500001993999999</v>
      </c>
      <c r="O82">
        <v>-151.54078889799999</v>
      </c>
      <c r="P82" s="135">
        <f t="shared" si="8"/>
        <v>-95093.25167838519</v>
      </c>
      <c r="Q82" s="1">
        <f t="shared" si="9"/>
        <v>44.038459613715531</v>
      </c>
      <c r="T82" s="13">
        <f t="shared" si="5"/>
        <v>7.0800774179078871</v>
      </c>
    </row>
    <row r="83" spans="8:20">
      <c r="H83" s="1">
        <v>1.9999985419999999</v>
      </c>
      <c r="I83">
        <v>-151.55539573900001</v>
      </c>
      <c r="J83" s="135">
        <f t="shared" si="6"/>
        <v>-95102.417606697563</v>
      </c>
      <c r="K83" s="1">
        <f t="shared" si="7"/>
        <v>34.872531301341951</v>
      </c>
      <c r="N83" s="1">
        <v>2.0000001994000001</v>
      </c>
      <c r="O83">
        <v>-151.541621706</v>
      </c>
      <c r="P83" s="135">
        <f t="shared" si="8"/>
        <v>-95093.774273135554</v>
      </c>
      <c r="Q83" s="1">
        <f t="shared" si="9"/>
        <v>43.515864863351453</v>
      </c>
      <c r="T83" s="13">
        <f t="shared" si="5"/>
        <v>8.6433335620095022</v>
      </c>
    </row>
    <row r="84" spans="8:20">
      <c r="H84" s="1">
        <v>1.9499985419999999</v>
      </c>
      <c r="I84">
        <v>-151.559403597</v>
      </c>
      <c r="J84" s="135">
        <f t="shared" si="6"/>
        <v>-95104.932574794642</v>
      </c>
      <c r="K84" s="1">
        <f t="shared" si="7"/>
        <v>32.357563204262988</v>
      </c>
      <c r="N84" s="1">
        <v>1.9500001994</v>
      </c>
      <c r="O84">
        <v>-151.542414834</v>
      </c>
      <c r="P84" s="135">
        <f t="shared" si="8"/>
        <v>-95094.271968317596</v>
      </c>
      <c r="Q84" s="1">
        <f t="shared" si="9"/>
        <v>43.018169681308791</v>
      </c>
      <c r="T84" s="13">
        <f t="shared" si="5"/>
        <v>10.660606477045803</v>
      </c>
    </row>
    <row r="85" spans="8:20">
      <c r="H85" s="1">
        <v>1.8999985420000001</v>
      </c>
      <c r="I85">
        <v>-151.56427810100001</v>
      </c>
      <c r="J85" s="135">
        <f t="shared" si="6"/>
        <v>-95107.991371301192</v>
      </c>
      <c r="K85" s="1">
        <f t="shared" si="7"/>
        <v>29.29876669771329</v>
      </c>
      <c r="N85" s="1">
        <v>1.9000001994</v>
      </c>
      <c r="O85">
        <v>-151.542519701</v>
      </c>
      <c r="P85" s="135">
        <f t="shared" si="8"/>
        <v>-95094.337773333507</v>
      </c>
      <c r="Q85" s="1">
        <f t="shared" si="9"/>
        <v>42.952364665397909</v>
      </c>
      <c r="R85" t="s">
        <v>614</v>
      </c>
      <c r="T85" s="13">
        <f t="shared" si="5"/>
        <v>13.653597967684618</v>
      </c>
    </row>
    <row r="86" spans="8:20">
      <c r="H86" s="1">
        <v>1.849998542</v>
      </c>
      <c r="I86">
        <v>-151.57025797399999</v>
      </c>
      <c r="J86" s="135">
        <f t="shared" si="6"/>
        <v>-95111.74379711556</v>
      </c>
      <c r="K86" s="1">
        <f t="shared" si="7"/>
        <v>25.546340883345692</v>
      </c>
      <c r="N86" s="1">
        <v>1.8500001993999999</v>
      </c>
      <c r="O86">
        <v>-151.54174354599999</v>
      </c>
      <c r="P86" s="135">
        <f t="shared" si="8"/>
        <v>-95093.850728866499</v>
      </c>
      <c r="Q86" s="1">
        <f t="shared" si="9"/>
        <v>43.439409132406581</v>
      </c>
      <c r="T86" s="13">
        <f t="shared" si="5"/>
        <v>17.893068249060889</v>
      </c>
    </row>
    <row r="87" spans="8:20">
      <c r="H87" s="1">
        <v>1.799998542</v>
      </c>
      <c r="I87">
        <v>-151.577306322</v>
      </c>
      <c r="J87" s="135">
        <f t="shared" si="6"/>
        <v>-95116.166700910355</v>
      </c>
      <c r="K87" s="1">
        <f t="shared" si="7"/>
        <v>21.123437088550418</v>
      </c>
      <c r="N87" s="1">
        <v>1.8000001993999999</v>
      </c>
      <c r="O87">
        <v>-151.539855926</v>
      </c>
      <c r="P87" s="135">
        <f t="shared" si="8"/>
        <v>-95092.666229795082</v>
      </c>
      <c r="Q87" s="1">
        <f t="shared" si="9"/>
        <v>44.623908203822793</v>
      </c>
      <c r="T87" s="13">
        <f t="shared" si="5"/>
        <v>23.500471115272376</v>
      </c>
    </row>
    <row r="88" spans="8:20">
      <c r="H88" s="1">
        <v>1.7499985419999999</v>
      </c>
      <c r="I88">
        <v>-151.584279753</v>
      </c>
      <c r="J88" s="135">
        <f t="shared" si="6"/>
        <v>-95120.542593592239</v>
      </c>
      <c r="K88" s="1">
        <f t="shared" si="7"/>
        <v>16.747544406665838</v>
      </c>
      <c r="N88" s="1">
        <v>1.7500001994000001</v>
      </c>
      <c r="O88">
        <v>-151.53658140300001</v>
      </c>
      <c r="P88" s="135">
        <f t="shared" si="8"/>
        <v>-95090.611436217529</v>
      </c>
      <c r="Q88" s="1">
        <f t="shared" si="9"/>
        <v>46.678701781376731</v>
      </c>
      <c r="T88" s="13">
        <f t="shared" si="5"/>
        <v>29.931157374710892</v>
      </c>
    </row>
    <row r="89" spans="8:20">
      <c r="H89" s="1">
        <v>1.6999985419999999</v>
      </c>
      <c r="I89">
        <v>-151.590923143</v>
      </c>
      <c r="J89" s="135">
        <f t="shared" si="6"/>
        <v>-95124.711382483074</v>
      </c>
      <c r="K89" s="1">
        <f t="shared" si="7"/>
        <v>12.57875551583129</v>
      </c>
      <c r="N89" s="1">
        <v>1.7000001994</v>
      </c>
      <c r="O89">
        <v>-151.53159225600001</v>
      </c>
      <c r="P89" s="135">
        <f t="shared" si="8"/>
        <v>-95087.480700164335</v>
      </c>
      <c r="Q89" s="1">
        <f t="shared" si="9"/>
        <v>49.809437834570417</v>
      </c>
      <c r="T89" s="13">
        <f t="shared" si="5"/>
        <v>37.230682318739127</v>
      </c>
    </row>
    <row r="90" spans="8:20">
      <c r="H90" s="1">
        <v>1.6499985420000001</v>
      </c>
      <c r="I90">
        <v>-151.59705380400001</v>
      </c>
      <c r="J90" s="135">
        <f t="shared" si="6"/>
        <v>-95128.558429167126</v>
      </c>
      <c r="K90" s="1">
        <f t="shared" si="7"/>
        <v>8.7317088317795424</v>
      </c>
    </row>
    <row r="91" spans="8:20">
      <c r="H91" s="1">
        <v>1.599998542</v>
      </c>
      <c r="I91">
        <v>-151.60244599500001</v>
      </c>
      <c r="J91" s="135">
        <f t="shared" si="6"/>
        <v>-95131.942079071479</v>
      </c>
      <c r="K91" s="1">
        <f t="shared" si="7"/>
        <v>5.3480589274258818</v>
      </c>
    </row>
    <row r="92" spans="8:20">
      <c r="H92" s="1">
        <v>1.549998542</v>
      </c>
      <c r="I92">
        <v>-151.60681471300001</v>
      </c>
      <c r="J92" s="135">
        <f t="shared" si="6"/>
        <v>-95134.683490168172</v>
      </c>
      <c r="K92" s="1">
        <f t="shared" si="7"/>
        <v>2.6066478307329817</v>
      </c>
    </row>
    <row r="93" spans="8:20">
      <c r="H93" s="1">
        <v>1.4999985419999999</v>
      </c>
      <c r="I93">
        <v>-151.60980507799999</v>
      </c>
      <c r="J93" s="135">
        <f t="shared" si="6"/>
        <v>-95136.559971963085</v>
      </c>
      <c r="K93" s="1">
        <f t="shared" si="7"/>
        <v>0.73016603582073003</v>
      </c>
    </row>
    <row r="94" spans="8:20">
      <c r="H94" s="1">
        <v>1.4499985419999999</v>
      </c>
      <c r="I94">
        <v>-151.61096867200001</v>
      </c>
      <c r="J94" s="135">
        <f t="shared" si="6"/>
        <v>-95137.290137998905</v>
      </c>
      <c r="K94" s="1">
        <f t="shared" si="7"/>
        <v>0</v>
      </c>
      <c r="L94" t="s">
        <v>608</v>
      </c>
    </row>
    <row r="95" spans="8:20">
      <c r="H95" s="1">
        <v>1.3999985420000001</v>
      </c>
      <c r="I95">
        <v>-151.60973492900001</v>
      </c>
      <c r="J95" s="135">
        <f t="shared" si="6"/>
        <v>-95136.515952814458</v>
      </c>
      <c r="K95" s="1">
        <f t="shared" si="7"/>
        <v>0.77418518444756046</v>
      </c>
    </row>
    <row r="96" spans="8:20">
      <c r="H96" s="1">
        <v>1.349998542</v>
      </c>
      <c r="I96">
        <v>-151.605368588</v>
      </c>
      <c r="J96" s="135">
        <f t="shared" si="6"/>
        <v>-95133.776033307324</v>
      </c>
      <c r="K96" s="1">
        <f t="shared" si="7"/>
        <v>3.5141046915814513</v>
      </c>
    </row>
    <row r="97" spans="7:19">
      <c r="H97" s="1">
        <v>1.299998542</v>
      </c>
      <c r="I97">
        <v>-151.59691021099999</v>
      </c>
      <c r="J97" s="135">
        <f t="shared" si="6"/>
        <v>-95128.468323226742</v>
      </c>
      <c r="K97" s="1">
        <f t="shared" si="7"/>
        <v>8.8218147721636342</v>
      </c>
    </row>
    <row r="98" spans="7:19">
      <c r="H98" s="1">
        <v>1.2499985419999999</v>
      </c>
      <c r="I98">
        <v>-151.58309535000001</v>
      </c>
      <c r="J98" s="135">
        <f t="shared" si="6"/>
        <v>-95119.799369715765</v>
      </c>
      <c r="K98" s="1">
        <f t="shared" si="7"/>
        <v>17.490768283139914</v>
      </c>
    </row>
    <row r="99" spans="7:19">
      <c r="H99" s="1">
        <v>1.1999985419999999</v>
      </c>
      <c r="I99">
        <v>-151.562247842</v>
      </c>
      <c r="J99" s="135">
        <f t="shared" si="6"/>
        <v>-95106.71736493324</v>
      </c>
      <c r="K99" s="1">
        <f t="shared" si="7"/>
        <v>30.572773065665388</v>
      </c>
    </row>
    <row r="102" spans="7:19">
      <c r="H102" t="s">
        <v>688</v>
      </c>
      <c r="N102" t="s">
        <v>689</v>
      </c>
    </row>
    <row r="103" spans="7:19">
      <c r="G103" t="s">
        <v>599</v>
      </c>
      <c r="H103" t="s">
        <v>600</v>
      </c>
      <c r="M103" t="s">
        <v>599</v>
      </c>
      <c r="N103" t="s">
        <v>600</v>
      </c>
    </row>
    <row r="104" spans="7:19">
      <c r="G104" t="s">
        <v>599</v>
      </c>
      <c r="H104" t="s">
        <v>601</v>
      </c>
      <c r="I104" t="s">
        <v>602</v>
      </c>
      <c r="M104" t="s">
        <v>599</v>
      </c>
      <c r="N104" t="s">
        <v>601</v>
      </c>
      <c r="O104" t="s">
        <v>602</v>
      </c>
    </row>
    <row r="105" spans="7:19">
      <c r="G105" t="s">
        <v>599</v>
      </c>
      <c r="H105" t="s">
        <v>603</v>
      </c>
      <c r="I105" t="s">
        <v>604</v>
      </c>
      <c r="M105" t="s">
        <v>599</v>
      </c>
      <c r="N105" t="s">
        <v>603</v>
      </c>
      <c r="O105" t="s">
        <v>604</v>
      </c>
    </row>
    <row r="106" spans="7:19">
      <c r="G106" t="s">
        <v>599</v>
      </c>
      <c r="H106" t="s">
        <v>605</v>
      </c>
      <c r="I106" t="s">
        <v>606</v>
      </c>
      <c r="J106" t="s">
        <v>259</v>
      </c>
      <c r="M106" t="s">
        <v>599</v>
      </c>
      <c r="N106" t="s">
        <v>605</v>
      </c>
      <c r="O106" t="s">
        <v>606</v>
      </c>
      <c r="P106" t="s">
        <v>259</v>
      </c>
    </row>
    <row r="107" spans="7:19">
      <c r="H107" s="1">
        <v>3.2000006373000001</v>
      </c>
      <c r="I107">
        <v>-151.51747282700001</v>
      </c>
      <c r="J107" s="6">
        <f>I107*($C$2*$C$3*10^-3/$C$4)</f>
        <v>-95078.620627406272</v>
      </c>
      <c r="K107" s="6">
        <f>J107-$J$142</f>
        <v>46.671337959938683</v>
      </c>
      <c r="N107" s="1">
        <v>3.1999995136999999</v>
      </c>
      <c r="O107">
        <v>-151.51740424299999</v>
      </c>
      <c r="P107" s="6">
        <f>O107*($C$2*$C$3*10^-3/$C$4)</f>
        <v>-95078.577590309636</v>
      </c>
      <c r="Q107" s="6">
        <f>P107-$J$142</f>
        <v>46.714375056573772</v>
      </c>
      <c r="S107" s="6">
        <f>Q107-K107</f>
        <v>4.3037096635089256E-2</v>
      </c>
    </row>
    <row r="108" spans="7:19">
      <c r="H108" s="1">
        <v>3.1500006372999998</v>
      </c>
      <c r="I108">
        <v>-151.51773348200001</v>
      </c>
      <c r="J108" s="6">
        <f t="shared" ref="J108:J147" si="10">I108*($C$2*$C$3*10^-3/$C$4)</f>
        <v>-95078.78419083824</v>
      </c>
      <c r="K108" s="6">
        <f t="shared" ref="K108:K147" si="11">J108-$J$142</f>
        <v>46.507774527970469</v>
      </c>
      <c r="N108" s="1">
        <v>3.1499995137000001</v>
      </c>
      <c r="O108">
        <v>-151.51765191999999</v>
      </c>
      <c r="P108" s="6">
        <f t="shared" ref="P108:P137" si="12">O108*($C$2*$C$3*10^-3/$C$4)</f>
        <v>-95078.733009926145</v>
      </c>
      <c r="Q108" s="6">
        <f t="shared" ref="Q108:Q137" si="13">P108-$J$142</f>
        <v>46.558955440064892</v>
      </c>
      <c r="S108" s="6">
        <f t="shared" ref="S108:S137" si="14">Q108-K108</f>
        <v>5.1180912094423547E-2</v>
      </c>
    </row>
    <row r="109" spans="7:19">
      <c r="H109" s="1">
        <v>3.1000006373</v>
      </c>
      <c r="I109">
        <v>-151.517963716</v>
      </c>
      <c r="J109" s="6">
        <f t="shared" si="10"/>
        <v>-95078.92866481033</v>
      </c>
      <c r="K109" s="6">
        <f t="shared" si="11"/>
        <v>46.363300555880414</v>
      </c>
      <c r="N109" s="1">
        <v>3.0999995136999998</v>
      </c>
      <c r="O109">
        <v>-151.517866811</v>
      </c>
      <c r="P109" s="6">
        <f t="shared" si="12"/>
        <v>-95078.867856023338</v>
      </c>
      <c r="Q109" s="6">
        <f t="shared" si="13"/>
        <v>46.424109342871816</v>
      </c>
      <c r="S109" s="6">
        <f t="shared" si="14"/>
        <v>6.0808786991401576E-2</v>
      </c>
    </row>
    <row r="110" spans="7:19">
      <c r="H110" s="1">
        <v>3.0500006373000002</v>
      </c>
      <c r="I110">
        <v>-151.518154799</v>
      </c>
      <c r="J110" s="6">
        <f t="shared" si="10"/>
        <v>-95079.048571166524</v>
      </c>
      <c r="K110" s="6">
        <f t="shared" si="11"/>
        <v>46.243394199686009</v>
      </c>
      <c r="N110" s="1">
        <v>3.0499995137</v>
      </c>
      <c r="O110">
        <v>-151.51803995099999</v>
      </c>
      <c r="P110" s="6">
        <f t="shared" si="12"/>
        <v>-95078.976502980469</v>
      </c>
      <c r="Q110" s="6">
        <f t="shared" si="13"/>
        <v>46.31546238574083</v>
      </c>
      <c r="S110" s="6">
        <f t="shared" si="14"/>
        <v>7.2068186054821126E-2</v>
      </c>
    </row>
    <row r="111" spans="7:19">
      <c r="H111" s="1">
        <v>3.0000006372999999</v>
      </c>
      <c r="I111">
        <v>-151.51829948899999</v>
      </c>
      <c r="J111" s="6">
        <f t="shared" si="10"/>
        <v>-95079.13936548456</v>
      </c>
      <c r="K111" s="6">
        <f t="shared" si="11"/>
        <v>46.152599881650531</v>
      </c>
      <c r="N111" s="1">
        <v>2.9999995137000002</v>
      </c>
      <c r="O111">
        <v>-151.518163684</v>
      </c>
      <c r="P111" s="6">
        <f t="shared" si="12"/>
        <v>-95079.054146586495</v>
      </c>
      <c r="Q111" s="6">
        <f t="shared" si="13"/>
        <v>46.237818779714871</v>
      </c>
      <c r="S111" s="6">
        <f t="shared" si="14"/>
        <v>8.5218898064340465E-2</v>
      </c>
    </row>
    <row r="112" spans="7:19">
      <c r="H112" s="1">
        <v>2.9500006373000001</v>
      </c>
      <c r="I112">
        <v>-151.51842772699999</v>
      </c>
      <c r="J112" s="6">
        <f t="shared" si="10"/>
        <v>-95079.219836019911</v>
      </c>
      <c r="K112" s="6">
        <f t="shared" si="11"/>
        <v>46.072129346299334</v>
      </c>
      <c r="N112" s="1">
        <v>2.9499995136999999</v>
      </c>
      <c r="O112">
        <v>-151.518276773</v>
      </c>
      <c r="P112" s="6">
        <f t="shared" si="12"/>
        <v>-95079.125110983718</v>
      </c>
      <c r="Q112" s="6">
        <f t="shared" si="13"/>
        <v>46.166854382492602</v>
      </c>
      <c r="S112" s="6">
        <f t="shared" si="14"/>
        <v>9.4725036193267442E-2</v>
      </c>
    </row>
    <row r="113" spans="8:19">
      <c r="H113" s="1">
        <v>2.9000006372999998</v>
      </c>
      <c r="I113">
        <v>-151.518561197</v>
      </c>
      <c r="J113" s="6">
        <f t="shared" si="10"/>
        <v>-95079.303589683826</v>
      </c>
      <c r="K113" s="6">
        <f t="shared" si="11"/>
        <v>45.988375682383776</v>
      </c>
      <c r="N113" s="1">
        <v>2.8999995137000001</v>
      </c>
      <c r="O113">
        <v>-151.51837923299999</v>
      </c>
      <c r="P113" s="6">
        <f t="shared" si="12"/>
        <v>-95079.189405584781</v>
      </c>
      <c r="Q113" s="6">
        <f t="shared" si="13"/>
        <v>46.102559781429591</v>
      </c>
      <c r="S113" s="6">
        <f t="shared" si="14"/>
        <v>0.11418409904581495</v>
      </c>
    </row>
    <row r="114" spans="8:19">
      <c r="H114" s="1">
        <v>2.8500006373</v>
      </c>
      <c r="I114">
        <v>-151.51860965200001</v>
      </c>
      <c r="J114" s="6">
        <f t="shared" si="10"/>
        <v>-95079.333995646099</v>
      </c>
      <c r="K114" s="6">
        <f t="shared" si="11"/>
        <v>45.957969720111578</v>
      </c>
      <c r="N114" s="1">
        <v>2.8499995136999998</v>
      </c>
      <c r="O114">
        <v>-151.51838996000001</v>
      </c>
      <c r="P114" s="6">
        <f t="shared" si="12"/>
        <v>-95079.196136876853</v>
      </c>
      <c r="Q114" s="6">
        <f t="shared" si="13"/>
        <v>46.095828489356791</v>
      </c>
      <c r="S114" s="6">
        <f t="shared" si="14"/>
        <v>0.1378587692452129</v>
      </c>
    </row>
    <row r="115" spans="8:19">
      <c r="H115" s="1">
        <v>2.8000006373000002</v>
      </c>
      <c r="I115">
        <v>-151.51855303299999</v>
      </c>
      <c r="J115" s="6">
        <f t="shared" si="10"/>
        <v>-95079.298466698034</v>
      </c>
      <c r="K115" s="6">
        <f t="shared" si="11"/>
        <v>45.993498668176471</v>
      </c>
      <c r="N115" s="1">
        <v>2.7999995137</v>
      </c>
      <c r="O115">
        <v>-151.518287278</v>
      </c>
      <c r="P115" s="6">
        <f t="shared" si="12"/>
        <v>-95079.131702968734</v>
      </c>
      <c r="Q115" s="6">
        <f t="shared" si="13"/>
        <v>46.16026239747589</v>
      </c>
      <c r="S115" s="6">
        <f t="shared" si="14"/>
        <v>0.16676372929941863</v>
      </c>
    </row>
    <row r="116" spans="8:19">
      <c r="H116" s="1">
        <v>2.7500006372999999</v>
      </c>
      <c r="I116">
        <v>-151.51836715300001</v>
      </c>
      <c r="J116" s="6">
        <f t="shared" si="10"/>
        <v>-95079.181825272666</v>
      </c>
      <c r="K116" s="6">
        <f t="shared" si="11"/>
        <v>46.110140093544032</v>
      </c>
      <c r="N116" s="1">
        <v>2.7499995137000002</v>
      </c>
      <c r="O116">
        <v>-151.518045215</v>
      </c>
      <c r="P116" s="6">
        <f t="shared" si="12"/>
        <v>-95078.979806189338</v>
      </c>
      <c r="Q116" s="6">
        <f t="shared" si="13"/>
        <v>46.312159176872228</v>
      </c>
      <c r="S116" s="6">
        <f t="shared" si="14"/>
        <v>0.20201908332819585</v>
      </c>
    </row>
    <row r="117" spans="8:19">
      <c r="H117" s="1">
        <v>2.7000006373000001</v>
      </c>
      <c r="I117">
        <v>-151.51802347399999</v>
      </c>
      <c r="J117" s="6">
        <f t="shared" si="10"/>
        <v>-95078.96616351002</v>
      </c>
      <c r="K117" s="6">
        <f t="shared" si="11"/>
        <v>46.325801856190083</v>
      </c>
      <c r="N117" s="1">
        <v>2.6999995136999999</v>
      </c>
      <c r="O117">
        <v>-151.51763292999999</v>
      </c>
      <c r="P117" s="6">
        <f t="shared" si="12"/>
        <v>-95078.721093524873</v>
      </c>
      <c r="Q117" s="6">
        <f t="shared" si="13"/>
        <v>46.570871841337066</v>
      </c>
      <c r="S117" s="6">
        <f t="shared" si="14"/>
        <v>0.24506998514698353</v>
      </c>
    </row>
    <row r="118" spans="8:19">
      <c r="H118" s="1">
        <v>2.6500006372999998</v>
      </c>
      <c r="I118">
        <v>-151.517888771</v>
      </c>
      <c r="J118" s="6">
        <f t="shared" si="10"/>
        <v>-95078.881636127175</v>
      </c>
      <c r="K118" s="6">
        <f t="shared" si="11"/>
        <v>46.410329239035491</v>
      </c>
      <c r="L118" t="s">
        <v>690</v>
      </c>
      <c r="N118" s="1">
        <v>2.6499995137000001</v>
      </c>
      <c r="O118">
        <v>-151.51701395699999</v>
      </c>
      <c r="P118" s="6">
        <f t="shared" si="12"/>
        <v>-95078.332682221895</v>
      </c>
      <c r="Q118" s="6">
        <f t="shared" si="13"/>
        <v>46.959283144315123</v>
      </c>
      <c r="S118" s="6">
        <f t="shared" si="14"/>
        <v>0.54895390527963173</v>
      </c>
    </row>
    <row r="119" spans="8:19">
      <c r="H119" s="1">
        <v>2.6000006373</v>
      </c>
      <c r="I119">
        <v>-151.518045331</v>
      </c>
      <c r="J119" s="6">
        <f t="shared" si="10"/>
        <v>-95078.979878980404</v>
      </c>
      <c r="K119" s="6">
        <f t="shared" si="11"/>
        <v>46.312086385805742</v>
      </c>
      <c r="N119" s="1">
        <v>2.5999995136999998</v>
      </c>
      <c r="O119">
        <v>-151.51614522700001</v>
      </c>
      <c r="P119" s="6">
        <f t="shared" si="12"/>
        <v>-95077.787546083098</v>
      </c>
      <c r="Q119" s="6">
        <f t="shared" si="13"/>
        <v>47.504419283111929</v>
      </c>
      <c r="S119" s="6">
        <f t="shared" si="14"/>
        <v>1.1923328973061871</v>
      </c>
    </row>
    <row r="120" spans="8:19">
      <c r="H120" s="1">
        <v>2.5500006373000002</v>
      </c>
      <c r="I120">
        <v>-151.51851071799999</v>
      </c>
      <c r="J120" s="6">
        <f t="shared" si="10"/>
        <v>-95079.271913642748</v>
      </c>
      <c r="K120" s="6">
        <f t="shared" si="11"/>
        <v>46.020051723462529</v>
      </c>
      <c r="N120" s="1">
        <v>2.5499995137</v>
      </c>
      <c r="O120">
        <v>-151.51577749699999</v>
      </c>
      <c r="P120" s="6">
        <f t="shared" si="12"/>
        <v>-95077.556792094721</v>
      </c>
      <c r="Q120" s="6">
        <f t="shared" si="13"/>
        <v>47.735173271488748</v>
      </c>
      <c r="S120" s="6">
        <f t="shared" si="14"/>
        <v>1.7151215480262181</v>
      </c>
    </row>
    <row r="121" spans="8:19">
      <c r="H121" s="1">
        <v>2.5000006372999999</v>
      </c>
      <c r="I121">
        <v>-151.51917233099999</v>
      </c>
      <c r="J121" s="6">
        <f t="shared" si="10"/>
        <v>-95079.687081941534</v>
      </c>
      <c r="K121" s="6">
        <f t="shared" si="11"/>
        <v>45.604883424675791</v>
      </c>
      <c r="N121" s="1">
        <v>2.4999995137000002</v>
      </c>
      <c r="O121">
        <v>-151.51505751799999</v>
      </c>
      <c r="P121" s="6">
        <f t="shared" si="12"/>
        <v>-95077.104998589173</v>
      </c>
      <c r="Q121" s="6">
        <f t="shared" si="13"/>
        <v>48.186966777037014</v>
      </c>
      <c r="S121" s="6">
        <f t="shared" si="14"/>
        <v>2.5820833523612237</v>
      </c>
    </row>
    <row r="122" spans="8:19">
      <c r="H122" s="1">
        <v>2.4500006373000001</v>
      </c>
      <c r="I122">
        <v>-151.520015777</v>
      </c>
      <c r="J122" s="6">
        <f t="shared" si="10"/>
        <v>-95080.216352135642</v>
      </c>
      <c r="K122" s="6">
        <f t="shared" si="11"/>
        <v>45.075613230568706</v>
      </c>
      <c r="N122" s="1">
        <v>2.4499995136999999</v>
      </c>
      <c r="O122">
        <v>-151.51439551999999</v>
      </c>
      <c r="P122" s="6">
        <f t="shared" si="12"/>
        <v>-95076.689588699315</v>
      </c>
      <c r="Q122" s="6">
        <f t="shared" si="13"/>
        <v>48.602376666894997</v>
      </c>
      <c r="S122" s="6">
        <f t="shared" si="14"/>
        <v>3.5267634363262914</v>
      </c>
    </row>
    <row r="123" spans="8:19">
      <c r="H123" s="1">
        <v>2.4000006372999998</v>
      </c>
      <c r="I123">
        <v>-151.521035428</v>
      </c>
      <c r="J123" s="6">
        <f t="shared" si="10"/>
        <v>-95080.856192602849</v>
      </c>
      <c r="K123" s="6">
        <f t="shared" si="11"/>
        <v>44.435772763361456</v>
      </c>
      <c r="N123" s="1">
        <v>2.3999995137000001</v>
      </c>
      <c r="O123">
        <v>-151.51389944600001</v>
      </c>
      <c r="P123" s="6">
        <f t="shared" si="12"/>
        <v>-95076.378297659627</v>
      </c>
      <c r="Q123" s="6">
        <f t="shared" si="13"/>
        <v>48.91366770658351</v>
      </c>
      <c r="S123" s="6">
        <f t="shared" si="14"/>
        <v>4.4778949432220543</v>
      </c>
    </row>
    <row r="124" spans="8:19">
      <c r="H124" s="1">
        <v>2.3500006373</v>
      </c>
      <c r="I124">
        <v>-151.522237037</v>
      </c>
      <c r="J124" s="6">
        <f t="shared" si="10"/>
        <v>-95081.610213404012</v>
      </c>
      <c r="K124" s="6">
        <f t="shared" si="11"/>
        <v>43.681751962198177</v>
      </c>
      <c r="N124" s="1">
        <v>2.3499995136999998</v>
      </c>
      <c r="O124">
        <v>-151.513561213</v>
      </c>
      <c r="P124" s="6">
        <f t="shared" si="12"/>
        <v>-95076.16605331254</v>
      </c>
      <c r="Q124" s="6">
        <f t="shared" si="13"/>
        <v>49.125912053670618</v>
      </c>
      <c r="S124" s="6">
        <f t="shared" si="14"/>
        <v>5.4441600914724404</v>
      </c>
    </row>
    <row r="125" spans="8:19">
      <c r="H125" s="1">
        <v>2.3000006373000002</v>
      </c>
      <c r="I125">
        <v>-151.523635407</v>
      </c>
      <c r="J125" s="6">
        <f t="shared" si="10"/>
        <v>-95082.487703559091</v>
      </c>
      <c r="K125" s="6">
        <f t="shared" si="11"/>
        <v>42.804261807119474</v>
      </c>
      <c r="N125" s="1">
        <v>2.2999995137</v>
      </c>
      <c r="O125">
        <v>-151.51334101399999</v>
      </c>
      <c r="P125" s="6">
        <f t="shared" si="12"/>
        <v>-95076.027876396081</v>
      </c>
      <c r="Q125" s="6">
        <f t="shared" si="13"/>
        <v>49.264088970128796</v>
      </c>
      <c r="S125" s="6">
        <f t="shared" si="14"/>
        <v>6.4598271630093222</v>
      </c>
    </row>
    <row r="126" spans="8:19">
      <c r="H126" s="1">
        <v>2.2500006372999999</v>
      </c>
      <c r="I126">
        <v>-151.525253679</v>
      </c>
      <c r="J126" s="6">
        <f t="shared" si="10"/>
        <v>-95083.503184260349</v>
      </c>
      <c r="K126" s="6">
        <f t="shared" si="11"/>
        <v>41.788781105860835</v>
      </c>
      <c r="N126" s="1">
        <v>2.2499995137000002</v>
      </c>
      <c r="O126">
        <v>-151.51321756900001</v>
      </c>
      <c r="P126" s="6">
        <f t="shared" si="12"/>
        <v>-95075.95041351275</v>
      </c>
      <c r="Q126" s="6">
        <f t="shared" si="13"/>
        <v>49.34155185346026</v>
      </c>
      <c r="S126" s="6">
        <f t="shared" si="14"/>
        <v>7.5527707475994248</v>
      </c>
    </row>
    <row r="127" spans="8:19">
      <c r="H127" s="1">
        <v>2.2000006373000001</v>
      </c>
      <c r="I127">
        <v>-151.527124026</v>
      </c>
      <c r="J127" s="6">
        <f t="shared" si="10"/>
        <v>-95084.676844363945</v>
      </c>
      <c r="K127" s="6">
        <f t="shared" si="11"/>
        <v>40.615121002265369</v>
      </c>
      <c r="N127" s="1">
        <v>2.1999995136999999</v>
      </c>
      <c r="O127">
        <v>-151.51318391199999</v>
      </c>
      <c r="P127" s="6">
        <f t="shared" si="12"/>
        <v>-95075.929293432826</v>
      </c>
      <c r="Q127" s="6">
        <f t="shared" si="13"/>
        <v>49.362671933384263</v>
      </c>
      <c r="S127" s="6">
        <f t="shared" si="14"/>
        <v>8.7475509311188944</v>
      </c>
    </row>
    <row r="128" spans="8:19">
      <c r="H128" s="1">
        <v>2.1500006372999998</v>
      </c>
      <c r="I128">
        <v>-151.52928901199999</v>
      </c>
      <c r="J128" s="6">
        <f t="shared" si="10"/>
        <v>-95086.035393174956</v>
      </c>
      <c r="K128" s="6">
        <f t="shared" si="11"/>
        <v>39.256572191254236</v>
      </c>
      <c r="N128" s="1">
        <v>2.1499995137000001</v>
      </c>
      <c r="O128">
        <v>-151.513246923</v>
      </c>
      <c r="P128" s="6">
        <f t="shared" si="12"/>
        <v>-95075.968833420207</v>
      </c>
      <c r="Q128" s="6">
        <f t="shared" si="13"/>
        <v>49.323131946002832</v>
      </c>
      <c r="S128" s="6">
        <f t="shared" si="14"/>
        <v>10.066559754748596</v>
      </c>
    </row>
    <row r="129" spans="8:19">
      <c r="H129" s="1">
        <v>2.1000006373</v>
      </c>
      <c r="I129">
        <v>-151.531804604</v>
      </c>
      <c r="J129" s="6">
        <f t="shared" si="10"/>
        <v>-95087.613950505416</v>
      </c>
      <c r="K129" s="6">
        <f t="shared" si="11"/>
        <v>37.678014860794065</v>
      </c>
      <c r="N129" s="1">
        <v>2.0999995136999998</v>
      </c>
      <c r="O129">
        <v>-151.513425281</v>
      </c>
      <c r="P129" s="6">
        <f t="shared" si="12"/>
        <v>-95076.080754720781</v>
      </c>
      <c r="Q129" s="6">
        <f t="shared" si="13"/>
        <v>49.211210645429674</v>
      </c>
      <c r="S129" s="6">
        <f t="shared" si="14"/>
        <v>11.533195784635609</v>
      </c>
    </row>
    <row r="130" spans="8:19">
      <c r="H130" s="1">
        <v>2.0500006373000002</v>
      </c>
      <c r="I130">
        <v>-151.53474436499999</v>
      </c>
      <c r="J130" s="6">
        <f t="shared" si="10"/>
        <v>-95089.458677820614</v>
      </c>
      <c r="K130" s="6">
        <f t="shared" si="11"/>
        <v>35.833287545596249</v>
      </c>
      <c r="N130" s="1">
        <v>2.0499995137</v>
      </c>
      <c r="O130">
        <v>-151.51375232500001</v>
      </c>
      <c r="P130" s="6">
        <f t="shared" si="12"/>
        <v>-95076.285977866501</v>
      </c>
      <c r="Q130" s="6">
        <f t="shared" si="13"/>
        <v>49.00598749970959</v>
      </c>
      <c r="S130" s="6">
        <f t="shared" si="14"/>
        <v>13.172699954113341</v>
      </c>
    </row>
    <row r="131" spans="8:19">
      <c r="H131" s="1">
        <v>2.0000006372999999</v>
      </c>
      <c r="I131">
        <v>-151.538204923</v>
      </c>
      <c r="J131" s="6">
        <f t="shared" si="10"/>
        <v>-95091.630210087489</v>
      </c>
      <c r="K131" s="6">
        <f t="shared" si="11"/>
        <v>33.661755278721103</v>
      </c>
      <c r="N131" s="1">
        <v>1.9999995137</v>
      </c>
      <c r="O131">
        <v>-151.51428335700001</v>
      </c>
      <c r="P131" s="6">
        <f t="shared" si="12"/>
        <v>-95076.619205375697</v>
      </c>
      <c r="Q131" s="6">
        <f t="shared" si="13"/>
        <v>48.672759990513441</v>
      </c>
      <c r="S131" s="6">
        <f t="shared" si="14"/>
        <v>15.011004711792339</v>
      </c>
    </row>
    <row r="132" spans="8:19">
      <c r="H132" s="1">
        <v>1.9500006373000001</v>
      </c>
      <c r="I132">
        <v>-151.542314541</v>
      </c>
      <c r="J132" s="6">
        <f t="shared" si="10"/>
        <v>-95094.209033529143</v>
      </c>
      <c r="K132" s="6">
        <f t="shared" si="11"/>
        <v>31.082931837067008</v>
      </c>
      <c r="N132" s="1">
        <v>1.9499995136999999</v>
      </c>
      <c r="O132">
        <v>-151.51504660000001</v>
      </c>
      <c r="P132" s="6">
        <f t="shared" si="12"/>
        <v>-95077.098147442826</v>
      </c>
      <c r="Q132" s="6">
        <f t="shared" si="13"/>
        <v>48.193817923383904</v>
      </c>
      <c r="S132" s="6">
        <f t="shared" si="14"/>
        <v>17.110886086316896</v>
      </c>
    </row>
    <row r="133" spans="8:19">
      <c r="H133" s="1">
        <v>1.9000006373</v>
      </c>
      <c r="I133">
        <v>-151.54724492299999</v>
      </c>
      <c r="J133" s="6">
        <f t="shared" si="10"/>
        <v>-95097.302893999353</v>
      </c>
      <c r="K133" s="6">
        <f t="shared" si="11"/>
        <v>27.989071366857388</v>
      </c>
      <c r="N133" s="1">
        <v>1.8999995137000001</v>
      </c>
      <c r="O133">
        <v>-151.51531283700001</v>
      </c>
      <c r="P133" s="6">
        <f t="shared" si="12"/>
        <v>-95077.265213631617</v>
      </c>
      <c r="Q133" s="6">
        <f t="shared" si="13"/>
        <v>48.026751734592835</v>
      </c>
      <c r="S133" s="6">
        <f t="shared" si="14"/>
        <v>20.037680367735447</v>
      </c>
    </row>
    <row r="134" spans="8:19">
      <c r="H134" s="1">
        <v>1.8500006373</v>
      </c>
      <c r="I134">
        <v>-151.553225793</v>
      </c>
      <c r="J134" s="6">
        <f t="shared" si="10"/>
        <v>-95101.055945440501</v>
      </c>
      <c r="K134" s="6">
        <f t="shared" si="11"/>
        <v>24.236019925709115</v>
      </c>
      <c r="N134" s="1">
        <v>1.8499995137</v>
      </c>
      <c r="O134">
        <v>-151.51470537399999</v>
      </c>
      <c r="P134" s="6">
        <f t="shared" si="12"/>
        <v>-95076.884024960469</v>
      </c>
      <c r="Q134" s="6">
        <f t="shared" si="13"/>
        <v>48.407940405741101</v>
      </c>
      <c r="S134" s="6">
        <f t="shared" si="14"/>
        <v>24.171920480031986</v>
      </c>
    </row>
    <row r="135" spans="8:19">
      <c r="H135" s="1">
        <v>1.8000006372999999</v>
      </c>
      <c r="I135">
        <v>-151.560103161</v>
      </c>
      <c r="J135" s="6">
        <f t="shared" si="10"/>
        <v>-95105.371557698207</v>
      </c>
      <c r="K135" s="6">
        <f t="shared" si="11"/>
        <v>19.920407668003463</v>
      </c>
      <c r="N135" s="1">
        <v>1.7999995137</v>
      </c>
      <c r="O135">
        <v>-151.51300294800001</v>
      </c>
      <c r="P135" s="6">
        <f t="shared" si="12"/>
        <v>-95075.815736843069</v>
      </c>
      <c r="Q135" s="6">
        <f t="shared" si="13"/>
        <v>49.47622852314089</v>
      </c>
      <c r="S135" s="6">
        <f t="shared" si="14"/>
        <v>29.555820855137426</v>
      </c>
    </row>
    <row r="136" spans="8:19">
      <c r="H136" s="1">
        <v>1.7500006373000001</v>
      </c>
      <c r="I136">
        <v>-151.56680928200001</v>
      </c>
      <c r="J136" s="6">
        <f t="shared" si="10"/>
        <v>-95109.579710873833</v>
      </c>
      <c r="K136" s="6">
        <f t="shared" si="11"/>
        <v>15.712254492376815</v>
      </c>
      <c r="N136" s="1">
        <v>1.7499995137</v>
      </c>
      <c r="O136">
        <v>-151.50994992599999</v>
      </c>
      <c r="P136" s="6">
        <f t="shared" si="12"/>
        <v>-95073.899937199036</v>
      </c>
      <c r="Q136" s="6">
        <f t="shared" si="13"/>
        <v>51.392028167174431</v>
      </c>
      <c r="S136" s="6">
        <f t="shared" si="14"/>
        <v>35.679773674797616</v>
      </c>
    </row>
    <row r="137" spans="8:19">
      <c r="H137" s="1">
        <v>1.7000006373000001</v>
      </c>
      <c r="I137">
        <v>-151.57316023199999</v>
      </c>
      <c r="J137" s="6">
        <f t="shared" si="10"/>
        <v>-95113.564990950152</v>
      </c>
      <c r="K137" s="6">
        <f t="shared" si="11"/>
        <v>11.726974416058511</v>
      </c>
      <c r="N137" s="1">
        <v>1.6999995136999999</v>
      </c>
      <c r="O137">
        <v>-151.50525274200001</v>
      </c>
      <c r="P137" s="6">
        <f t="shared" si="12"/>
        <v>-95070.952410638449</v>
      </c>
      <c r="Q137" s="6">
        <f t="shared" si="13"/>
        <v>54.339554727761424</v>
      </c>
      <c r="S137" s="6">
        <f t="shared" si="14"/>
        <v>42.612580311702914</v>
      </c>
    </row>
    <row r="138" spans="8:19">
      <c r="H138" s="1">
        <v>1.6500006373</v>
      </c>
      <c r="I138">
        <v>-151.57899285900001</v>
      </c>
      <c r="J138" s="6">
        <f t="shared" si="10"/>
        <v>-95117.225018532772</v>
      </c>
      <c r="K138" s="6">
        <f t="shared" si="11"/>
        <v>8.0669468334381236</v>
      </c>
    </row>
    <row r="139" spans="8:19">
      <c r="H139" s="1">
        <v>1.6000006373</v>
      </c>
      <c r="I139">
        <v>-151.58409544099999</v>
      </c>
      <c r="J139" s="6">
        <f t="shared" si="10"/>
        <v>-95120.426936101387</v>
      </c>
      <c r="K139" s="6">
        <f t="shared" si="11"/>
        <v>4.8650292648235336</v>
      </c>
    </row>
    <row r="140" spans="8:19">
      <c r="H140" s="1">
        <v>1.5500006372999999</v>
      </c>
      <c r="I140">
        <v>-151.588193029</v>
      </c>
      <c r="J140" s="6">
        <f t="shared" si="10"/>
        <v>-95122.998210606369</v>
      </c>
      <c r="K140" s="6">
        <f t="shared" si="11"/>
        <v>2.2937547598412493</v>
      </c>
    </row>
    <row r="141" spans="8:19">
      <c r="H141" s="1">
        <v>1.5000006373000001</v>
      </c>
      <c r="I141">
        <v>-151.590929547</v>
      </c>
      <c r="J141" s="6">
        <f t="shared" si="10"/>
        <v>-95124.715401052526</v>
      </c>
      <c r="K141" s="6">
        <f t="shared" si="11"/>
        <v>0.57656431368377525</v>
      </c>
    </row>
    <row r="142" spans="8:19">
      <c r="H142" s="1">
        <v>1.4500006373000001</v>
      </c>
      <c r="I142">
        <v>-151.59184836099999</v>
      </c>
      <c r="J142" s="6">
        <f t="shared" si="10"/>
        <v>-95125.29196536621</v>
      </c>
      <c r="K142" s="6">
        <f t="shared" si="11"/>
        <v>0</v>
      </c>
      <c r="L142" t="s">
        <v>687</v>
      </c>
    </row>
    <row r="143" spans="8:19">
      <c r="H143" s="1">
        <v>1.4000006373</v>
      </c>
      <c r="I143">
        <v>-151.59036809599999</v>
      </c>
      <c r="J143" s="6">
        <f t="shared" si="10"/>
        <v>-95124.363085338467</v>
      </c>
      <c r="K143" s="6">
        <f t="shared" si="11"/>
        <v>0.92888002774270717</v>
      </c>
    </row>
    <row r="144" spans="8:19">
      <c r="H144" s="1">
        <v>1.3500006373</v>
      </c>
      <c r="I144">
        <v>-151.585742845</v>
      </c>
      <c r="J144" s="6">
        <f t="shared" si="10"/>
        <v>-95121.460697403076</v>
      </c>
      <c r="K144" s="6">
        <f t="shared" si="11"/>
        <v>3.8312679631344508</v>
      </c>
    </row>
    <row r="145" spans="8:11">
      <c r="H145" s="1">
        <v>1.3000006372999999</v>
      </c>
      <c r="I145">
        <v>-151.57700212399999</v>
      </c>
      <c r="J145" s="6">
        <f t="shared" si="10"/>
        <v>-95115.975813841695</v>
      </c>
      <c r="K145" s="6">
        <f t="shared" si="11"/>
        <v>9.3161515245155897</v>
      </c>
    </row>
    <row r="146" spans="8:11">
      <c r="H146" s="1">
        <v>1.2500006373000001</v>
      </c>
      <c r="I146">
        <v>-151.56286242300001</v>
      </c>
      <c r="J146" s="6">
        <f t="shared" si="10"/>
        <v>-95107.103020215465</v>
      </c>
      <c r="K146" s="6">
        <f t="shared" si="11"/>
        <v>18.188945150744985</v>
      </c>
    </row>
    <row r="147" spans="8:11">
      <c r="H147" s="1">
        <v>1.2000006373000001</v>
      </c>
      <c r="I147">
        <v>-151.54160823999999</v>
      </c>
      <c r="J147" s="6">
        <f t="shared" si="10"/>
        <v>-95093.765823095557</v>
      </c>
      <c r="K147" s="6">
        <f t="shared" si="11"/>
        <v>31.526142270653509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B41"/>
  <sheetViews>
    <sheetView workbookViewId="0">
      <selection activeCell="O13" sqref="O13"/>
    </sheetView>
  </sheetViews>
  <sheetFormatPr defaultRowHeight="15"/>
  <cols>
    <col min="1" max="1" width="16.42578125" customWidth="1"/>
    <col min="2" max="2" width="10.7109375" customWidth="1"/>
    <col min="3" max="3" width="10.5703125" customWidth="1"/>
    <col min="4" max="4" width="10.140625" customWidth="1"/>
    <col min="16" max="16" width="12" bestFit="1" customWidth="1"/>
    <col min="17" max="17" width="11.5703125" customWidth="1"/>
    <col min="18" max="18" width="16.140625" customWidth="1"/>
    <col min="20" max="20" width="16.7109375" bestFit="1" customWidth="1"/>
    <col min="25" max="25" width="11.140625" customWidth="1"/>
    <col min="26" max="26" width="12.42578125" customWidth="1"/>
    <col min="30" max="30" width="10.5703125" bestFit="1" customWidth="1"/>
    <col min="49" max="49" width="12.85546875" customWidth="1"/>
    <col min="54" max="54" width="10.5703125" bestFit="1" customWidth="1"/>
  </cols>
  <sheetData>
    <row r="1" spans="1:54">
      <c r="A1" s="15" t="s">
        <v>643</v>
      </c>
      <c r="B1" s="15"/>
      <c r="C1" s="15"/>
      <c r="D1" s="15"/>
      <c r="E1" s="15"/>
      <c r="F1" s="15"/>
      <c r="G1" s="15"/>
    </row>
    <row r="2" spans="1:54" ht="75.75" thickBot="1">
      <c r="A2" s="178" t="s">
        <v>625</v>
      </c>
      <c r="B2" s="190" t="s">
        <v>626</v>
      </c>
      <c r="C2" s="190" t="s">
        <v>627</v>
      </c>
      <c r="D2" s="178" t="s">
        <v>628</v>
      </c>
      <c r="E2" s="190" t="s">
        <v>629</v>
      </c>
      <c r="F2" s="190" t="s">
        <v>478</v>
      </c>
      <c r="G2" s="190" t="s">
        <v>630</v>
      </c>
      <c r="H2" s="190" t="s">
        <v>631</v>
      </c>
      <c r="I2" s="190" t="s">
        <v>632</v>
      </c>
      <c r="J2" s="190" t="s">
        <v>633</v>
      </c>
      <c r="K2" s="206" t="s">
        <v>505</v>
      </c>
      <c r="L2" s="206" t="s">
        <v>637</v>
      </c>
    </row>
    <row r="3" spans="1:54">
      <c r="A3" s="191" t="s">
        <v>638</v>
      </c>
      <c r="B3" s="17">
        <v>-151.60916165</v>
      </c>
      <c r="C3" s="17"/>
      <c r="D3" s="17">
        <v>0</v>
      </c>
      <c r="E3" s="33"/>
      <c r="F3" s="17"/>
      <c r="G3" s="17">
        <v>2.6068999999999998E-2</v>
      </c>
      <c r="H3" s="17">
        <v>3.8059000000000003E-2</v>
      </c>
      <c r="I3" s="17">
        <v>-2.878E-2</v>
      </c>
      <c r="J3" s="196">
        <f t="shared" ref="J3:J25" si="0">(H3-I3)*($Z$3*$Z$4*10^-3/$Z$5)</f>
        <v>41.942092918690577</v>
      </c>
      <c r="K3" s="201">
        <f>(B3+H3)*($Z$3*$Z$4*10^-3/$Z$5)</f>
        <v>-95112.273839146103</v>
      </c>
      <c r="L3" s="201">
        <f t="shared" ref="L3:L12" si="1">(B3+I3)*($Z$3*$Z$4*10^-3/$Z$5)</f>
        <v>-95154.215932064806</v>
      </c>
      <c r="Y3" s="22" t="s">
        <v>147</v>
      </c>
      <c r="Z3" s="88">
        <v>4.35974394E-18</v>
      </c>
    </row>
    <row r="4" spans="1:54">
      <c r="A4" s="191" t="s">
        <v>639</v>
      </c>
      <c r="B4" s="17">
        <v>-151.60916165</v>
      </c>
      <c r="C4" s="17"/>
      <c r="D4" s="17">
        <v>0</v>
      </c>
      <c r="E4" s="33"/>
      <c r="F4" s="17"/>
      <c r="G4" s="17">
        <v>2.6068999999999998E-2</v>
      </c>
      <c r="H4" s="17">
        <v>3.8234999999999998E-2</v>
      </c>
      <c r="I4" s="17">
        <v>-2.955E-2</v>
      </c>
      <c r="J4" s="196">
        <f t="shared" si="0"/>
        <v>42.535716699732788</v>
      </c>
      <c r="K4" s="201">
        <f t="shared" ref="K4:K12" si="2">(B4+H4)*($Z$3*$Z$4*10^-3/$Z$5)</f>
        <v>-95112.163397512428</v>
      </c>
      <c r="L4" s="201">
        <f t="shared" si="1"/>
        <v>-95154.699114212155</v>
      </c>
      <c r="Y4" s="72" t="s">
        <v>148</v>
      </c>
      <c r="Z4" s="89">
        <v>6.0221399999999997E+23</v>
      </c>
    </row>
    <row r="5" spans="1:54" ht="15.75" thickBot="1">
      <c r="A5" s="191" t="s">
        <v>640</v>
      </c>
      <c r="B5" s="17">
        <v>-151.60916165</v>
      </c>
      <c r="C5" s="17"/>
      <c r="D5" s="17">
        <v>0</v>
      </c>
      <c r="E5" s="33"/>
      <c r="F5" s="17"/>
      <c r="G5" s="17">
        <v>2.6068999999999998E-2</v>
      </c>
      <c r="H5" s="17">
        <v>3.8427000000000003E-2</v>
      </c>
      <c r="I5" s="17">
        <v>-3.0387999999999998E-2</v>
      </c>
      <c r="J5" s="196">
        <f t="shared" si="0"/>
        <v>43.182051260487015</v>
      </c>
      <c r="K5" s="201">
        <f t="shared" si="2"/>
        <v>-95112.042915730213</v>
      </c>
      <c r="L5" s="201">
        <f t="shared" si="1"/>
        <v>-95155.224966990703</v>
      </c>
      <c r="Y5" s="23" t="s">
        <v>149</v>
      </c>
      <c r="Z5" s="90">
        <v>4.1840000000000002</v>
      </c>
    </row>
    <row r="6" spans="1:54" ht="15.75" thickBot="1">
      <c r="A6" s="191" t="s">
        <v>641</v>
      </c>
      <c r="B6" s="17">
        <v>-151.60916165</v>
      </c>
      <c r="C6" s="17"/>
      <c r="D6" s="17">
        <v>0</v>
      </c>
      <c r="E6" s="33"/>
      <c r="F6" s="17"/>
      <c r="G6" s="17">
        <v>2.6068999999999998E-2</v>
      </c>
      <c r="H6" s="17">
        <v>3.8649999999999997E-2</v>
      </c>
      <c r="I6" s="17">
        <v>-3.1362000000000001E-2</v>
      </c>
      <c r="J6" s="196">
        <f t="shared" si="0"/>
        <v>43.933179871382926</v>
      </c>
      <c r="K6" s="201">
        <f t="shared" si="2"/>
        <v>-95111.902981160281</v>
      </c>
      <c r="L6" s="201">
        <f t="shared" si="1"/>
        <v>-95155.83616103165</v>
      </c>
    </row>
    <row r="7" spans="1:54" ht="15.75" thickBot="1">
      <c r="A7" s="191" t="s">
        <v>642</v>
      </c>
      <c r="B7" s="17">
        <v>-151.60916165</v>
      </c>
      <c r="C7" s="17"/>
      <c r="D7" s="17">
        <v>0</v>
      </c>
      <c r="E7" s="33"/>
      <c r="F7" s="17"/>
      <c r="G7" s="17">
        <v>2.6068999999999998E-2</v>
      </c>
      <c r="H7" s="17">
        <v>3.8868E-2</v>
      </c>
      <c r="I7" s="17">
        <v>-3.2310999999999999E-2</v>
      </c>
      <c r="J7" s="196">
        <f t="shared" si="0"/>
        <v>44.665483203810282</v>
      </c>
      <c r="K7" s="201">
        <f t="shared" si="2"/>
        <v>-95111.766184136723</v>
      </c>
      <c r="L7" s="201">
        <f t="shared" si="1"/>
        <v>-95156.431667340541</v>
      </c>
      <c r="Y7" s="91" t="s">
        <v>150</v>
      </c>
      <c r="Z7" s="32"/>
    </row>
    <row r="8" spans="1:54">
      <c r="A8" s="191" t="s">
        <v>666</v>
      </c>
      <c r="B8" s="17">
        <v>-151.53604691000001</v>
      </c>
      <c r="C8" s="17"/>
      <c r="D8" s="17">
        <v>2.0057</v>
      </c>
      <c r="E8" s="33"/>
      <c r="F8" s="17"/>
      <c r="G8" s="17">
        <v>1.8349000000000001E-2</v>
      </c>
      <c r="H8" s="17">
        <v>3.2142999999999998E-2</v>
      </c>
      <c r="I8" s="17">
        <v>-4.4442000000000002E-2</v>
      </c>
      <c r="J8" s="196">
        <f t="shared" si="0"/>
        <v>48.05779838384651</v>
      </c>
      <c r="K8" s="201">
        <f t="shared" si="2"/>
        <v>-95070.106006038215</v>
      </c>
      <c r="L8" s="201">
        <f t="shared" si="1"/>
        <v>-95118.16380442206</v>
      </c>
      <c r="Y8" s="92" t="s">
        <v>151</v>
      </c>
      <c r="Z8" s="112">
        <v>1500</v>
      </c>
    </row>
    <row r="9" spans="1:54">
      <c r="A9" s="191" t="s">
        <v>667</v>
      </c>
      <c r="B9" s="17">
        <v>-151.53604691000001</v>
      </c>
      <c r="C9" s="17"/>
      <c r="D9" s="17">
        <v>2.0057</v>
      </c>
      <c r="E9" s="33"/>
      <c r="F9" s="17"/>
      <c r="G9" s="17">
        <v>1.8349000000000001E-2</v>
      </c>
      <c r="H9" s="17">
        <v>3.2321999999999997E-2</v>
      </c>
      <c r="I9" s="17">
        <v>-4.5323000000000002E-2</v>
      </c>
      <c r="J9" s="196">
        <f t="shared" si="0"/>
        <v>48.722958223069298</v>
      </c>
      <c r="K9" s="201">
        <f t="shared" si="2"/>
        <v>-95069.993681876673</v>
      </c>
      <c r="L9" s="201">
        <f t="shared" si="1"/>
        <v>-95118.716640099738</v>
      </c>
    </row>
    <row r="10" spans="1:54">
      <c r="A10" s="191" t="s">
        <v>663</v>
      </c>
      <c r="B10" s="17">
        <v>-151.53604691000001</v>
      </c>
      <c r="C10" s="17"/>
      <c r="D10" s="17">
        <v>2.0057</v>
      </c>
      <c r="E10" s="33"/>
      <c r="F10" s="17"/>
      <c r="G10" s="17">
        <v>1.8349000000000001E-2</v>
      </c>
      <c r="H10" s="17">
        <v>3.2516000000000003E-2</v>
      </c>
      <c r="I10" s="17">
        <v>-4.6282999999999998E-2</v>
      </c>
      <c r="J10" s="196">
        <f t="shared" si="0"/>
        <v>49.447103934826949</v>
      </c>
      <c r="K10" s="201">
        <f t="shared" si="2"/>
        <v>-95069.871945075924</v>
      </c>
      <c r="L10" s="201">
        <f t="shared" si="1"/>
        <v>-95119.319049010737</v>
      </c>
      <c r="Y10" s="93" t="s">
        <v>153</v>
      </c>
      <c r="Z10" s="113">
        <v>298.14999999999998</v>
      </c>
    </row>
    <row r="11" spans="1:54">
      <c r="A11" s="191" t="s">
        <v>664</v>
      </c>
      <c r="B11" s="17">
        <v>-151.53604691000001</v>
      </c>
      <c r="C11" s="17"/>
      <c r="D11" s="17">
        <v>2.0057</v>
      </c>
      <c r="E11" s="33"/>
      <c r="F11" s="17"/>
      <c r="G11" s="17">
        <v>1.8349000000000001E-2</v>
      </c>
      <c r="H11" s="17">
        <v>3.2742E-2</v>
      </c>
      <c r="I11" s="17">
        <v>-4.7398999999999997E-2</v>
      </c>
      <c r="J11" s="196">
        <f t="shared" si="0"/>
        <v>50.28922139165428</v>
      </c>
      <c r="K11" s="201">
        <f t="shared" si="2"/>
        <v>-95069.73012797811</v>
      </c>
      <c r="L11" s="201">
        <f t="shared" si="1"/>
        <v>-95120.019349369773</v>
      </c>
      <c r="Y11" s="93" t="s">
        <v>165</v>
      </c>
      <c r="Z11" s="114">
        <f>6.62606896E-34/(2*Z14)</f>
        <v>1.0545716294567979E-34</v>
      </c>
    </row>
    <row r="12" spans="1:54">
      <c r="A12" s="191" t="s">
        <v>665</v>
      </c>
      <c r="B12" s="17">
        <v>-151.53604691000001</v>
      </c>
      <c r="C12" s="17"/>
      <c r="D12" s="17">
        <v>2.0057</v>
      </c>
      <c r="E12" s="33"/>
      <c r="F12" s="17"/>
      <c r="G12" s="17">
        <v>1.8349000000000001E-2</v>
      </c>
      <c r="H12" s="17">
        <v>3.2961999999999998E-2</v>
      </c>
      <c r="I12" s="17">
        <v>-4.8483999999999999E-2</v>
      </c>
      <c r="J12" s="196">
        <f t="shared" si="0"/>
        <v>51.108121005037056</v>
      </c>
      <c r="K12" s="201">
        <f t="shared" si="2"/>
        <v>-95069.592075936016</v>
      </c>
      <c r="L12" s="201">
        <f t="shared" si="1"/>
        <v>-95120.700196941048</v>
      </c>
      <c r="Y12" s="93" t="s">
        <v>154</v>
      </c>
      <c r="Z12" s="115">
        <v>6.6260695699999996E-34</v>
      </c>
    </row>
    <row r="13" spans="1:54">
      <c r="A13" s="191" t="s">
        <v>644</v>
      </c>
      <c r="B13" s="17">
        <v>-2.9130278600000001</v>
      </c>
      <c r="C13" s="17"/>
      <c r="D13" s="17">
        <v>0</v>
      </c>
      <c r="E13" s="33"/>
      <c r="F13" s="17"/>
      <c r="G13" s="17">
        <v>0</v>
      </c>
      <c r="H13" s="17">
        <v>5.5789999999999998E-3</v>
      </c>
      <c r="I13" s="17">
        <v>-2.5912999999999999E-2</v>
      </c>
      <c r="J13" s="196">
        <f t="shared" si="0"/>
        <v>19.761522317739693</v>
      </c>
      <c r="K13" s="201">
        <f t="shared" ref="K13:K25" si="3">(B13+H13)*($Z$3*$Z$4*10^-3/$Z$5)</f>
        <v>-1824.4511474208316</v>
      </c>
      <c r="L13" s="201">
        <f t="shared" ref="L13:L25" si="4">(B13+I13)*($Z$3*$Z$4*10^-3/$Z$5)</f>
        <v>-1844.2126697385713</v>
      </c>
      <c r="Y13" s="93" t="s">
        <v>155</v>
      </c>
      <c r="Z13" s="116">
        <v>1.3806488E-23</v>
      </c>
    </row>
    <row r="14" spans="1:54">
      <c r="A14" s="191" t="s">
        <v>645</v>
      </c>
      <c r="B14" s="17">
        <v>-2.9130278600000001</v>
      </c>
      <c r="C14" s="17"/>
      <c r="D14" s="17">
        <v>0</v>
      </c>
      <c r="E14" s="33"/>
      <c r="F14" s="17"/>
      <c r="G14" s="17">
        <v>0</v>
      </c>
      <c r="H14" s="17">
        <v>5.6429999999999996E-3</v>
      </c>
      <c r="I14" s="17">
        <v>-2.6276000000000001E-2</v>
      </c>
      <c r="J14" s="196">
        <f t="shared" si="0"/>
        <v>20.029468781275668</v>
      </c>
      <c r="K14" s="201">
        <f t="shared" si="3"/>
        <v>-1824.4109868267653</v>
      </c>
      <c r="L14" s="201">
        <f t="shared" si="4"/>
        <v>-1844.4404556080412</v>
      </c>
      <c r="Y14" s="96" t="s">
        <v>156</v>
      </c>
      <c r="Z14" s="116">
        <v>3.1415926500000002</v>
      </c>
      <c r="BB14" s="6">
        <f>(21345*Z15/1000)/Z5</f>
        <v>42.416863403155126</v>
      </c>
    </row>
    <row r="15" spans="1:54">
      <c r="A15" s="191" t="s">
        <v>646</v>
      </c>
      <c r="B15" s="17">
        <v>-2.9130278600000001</v>
      </c>
      <c r="C15" s="17"/>
      <c r="D15" s="17">
        <v>0</v>
      </c>
      <c r="E15" s="33"/>
      <c r="F15" s="17"/>
      <c r="G15" s="17">
        <v>0</v>
      </c>
      <c r="H15" s="17">
        <v>5.7130000000000002E-3</v>
      </c>
      <c r="I15" s="17">
        <v>-2.6669999999999999E-2</v>
      </c>
      <c r="J15" s="196">
        <f t="shared" si="0"/>
        <v>20.320633088256209</v>
      </c>
      <c r="K15" s="201">
        <f t="shared" si="3"/>
        <v>-1824.3670611770053</v>
      </c>
      <c r="L15" s="201">
        <f t="shared" si="4"/>
        <v>-1844.6876942652618</v>
      </c>
      <c r="Y15" s="97" t="s">
        <v>157</v>
      </c>
      <c r="Z15" s="117">
        <f>Z13*Z16</f>
        <v>8.3144603644319997</v>
      </c>
      <c r="AD15" s="18">
        <f>(3/2)*Z15*704/(1000*Z5)</f>
        <v>2.0984871283078848</v>
      </c>
    </row>
    <row r="16" spans="1:54">
      <c r="A16" s="191" t="s">
        <v>647</v>
      </c>
      <c r="B16" s="17">
        <v>-2.9130278600000001</v>
      </c>
      <c r="C16" s="17"/>
      <c r="D16" s="17">
        <v>0</v>
      </c>
      <c r="E16" s="33"/>
      <c r="F16" s="17"/>
      <c r="G16" s="17">
        <v>0</v>
      </c>
      <c r="H16" s="17">
        <v>5.7930000000000004E-3</v>
      </c>
      <c r="I16" s="17">
        <v>-2.7129E-2</v>
      </c>
      <c r="J16" s="196">
        <f t="shared" si="0"/>
        <v>20.658860591408171</v>
      </c>
      <c r="K16" s="201">
        <f t="shared" si="3"/>
        <v>-1824.3168604344226</v>
      </c>
      <c r="L16" s="201">
        <f t="shared" si="4"/>
        <v>-1844.9757210258306</v>
      </c>
      <c r="N16" s="11">
        <f>K18-(K3+K13)</f>
        <v>42.741753097478068</v>
      </c>
      <c r="Y16" s="93" t="s">
        <v>158</v>
      </c>
      <c r="Z16" s="116">
        <v>6.0221399999999997E+23</v>
      </c>
    </row>
    <row r="17" spans="1:26" ht="15.75" thickBot="1">
      <c r="A17" s="191" t="s">
        <v>648</v>
      </c>
      <c r="B17" s="17">
        <v>-2.9130278600000001</v>
      </c>
      <c r="C17" s="17"/>
      <c r="D17" s="17">
        <v>0</v>
      </c>
      <c r="E17" s="33"/>
      <c r="F17" s="17"/>
      <c r="G17" s="17">
        <v>0</v>
      </c>
      <c r="H17" s="17">
        <v>5.8719999999999996E-3</v>
      </c>
      <c r="I17" s="17">
        <v>-2.7574999999999999E-2</v>
      </c>
      <c r="J17" s="196">
        <f t="shared" si="0"/>
        <v>20.988302964608138</v>
      </c>
      <c r="K17" s="201">
        <f t="shared" si="3"/>
        <v>-1824.2672872011219</v>
      </c>
      <c r="L17" s="201">
        <f t="shared" si="4"/>
        <v>-1845.2555901657302</v>
      </c>
      <c r="Y17" s="95" t="s">
        <v>166</v>
      </c>
      <c r="Z17" s="118">
        <v>29979245800</v>
      </c>
    </row>
    <row r="18" spans="1:26">
      <c r="A18" s="191" t="s">
        <v>649</v>
      </c>
      <c r="B18" s="17">
        <v>-154.44929417</v>
      </c>
      <c r="C18" s="17"/>
      <c r="D18" s="17">
        <v>2.0057</v>
      </c>
      <c r="E18" s="33">
        <v>142.24</v>
      </c>
      <c r="F18" s="17"/>
      <c r="G18" s="17">
        <v>1.874E-2</v>
      </c>
      <c r="H18" s="17">
        <v>3.8856000000000002E-2</v>
      </c>
      <c r="I18" s="17">
        <v>-6.6626000000000005E-2</v>
      </c>
      <c r="J18" s="196">
        <f t="shared" si="0"/>
        <v>66.190934114054954</v>
      </c>
      <c r="K18" s="201">
        <f t="shared" si="3"/>
        <v>-96893.983233469451</v>
      </c>
      <c r="L18" s="201">
        <f t="shared" si="4"/>
        <v>-96960.174167583522</v>
      </c>
      <c r="Y18" s="92" t="s">
        <v>167</v>
      </c>
      <c r="Z18" s="98">
        <f>((2*Z14)/(Z12*Z8*Z17))</f>
        <v>2.1086859989577299E+20</v>
      </c>
    </row>
    <row r="19" spans="1:26" ht="15.75" thickBot="1">
      <c r="A19" s="191" t="s">
        <v>650</v>
      </c>
      <c r="B19" s="17">
        <v>-154.44929417</v>
      </c>
      <c r="C19" s="17"/>
      <c r="D19" s="17">
        <v>2.0057</v>
      </c>
      <c r="E19" s="33">
        <v>142.24</v>
      </c>
      <c r="F19" s="17"/>
      <c r="G19" s="17">
        <v>1.874E-2</v>
      </c>
      <c r="H19" s="17">
        <v>3.9112000000000001E-2</v>
      </c>
      <c r="I19" s="17">
        <v>-6.7839999999999998E-2</v>
      </c>
      <c r="J19" s="196">
        <f t="shared" si="0"/>
        <v>67.113372759014851</v>
      </c>
      <c r="K19" s="201">
        <f t="shared" si="3"/>
        <v>-96893.822591093194</v>
      </c>
      <c r="L19" s="201">
        <f t="shared" si="4"/>
        <v>-96960.9359638522</v>
      </c>
      <c r="R19">
        <f>431.5+273.15</f>
        <v>704.65</v>
      </c>
      <c r="Y19" s="95" t="s">
        <v>168</v>
      </c>
      <c r="Z19" s="99">
        <f>(1/(Z13*Z10))</f>
        <v>2.4293045665780682E+20</v>
      </c>
    </row>
    <row r="20" spans="1:26">
      <c r="A20" s="191" t="s">
        <v>651</v>
      </c>
      <c r="B20" s="17">
        <v>-154.44929417</v>
      </c>
      <c r="C20" s="17"/>
      <c r="D20" s="17">
        <v>2.0057</v>
      </c>
      <c r="E20" s="33">
        <v>142.24</v>
      </c>
      <c r="F20" s="17"/>
      <c r="G20" s="17">
        <v>1.874E-2</v>
      </c>
      <c r="H20" s="17">
        <v>3.9390000000000001E-2</v>
      </c>
      <c r="I20" s="17">
        <v>-6.9162000000000001E-2</v>
      </c>
      <c r="J20" s="196">
        <f t="shared" si="0"/>
        <v>68.117387610671898</v>
      </c>
      <c r="K20" s="201">
        <f t="shared" si="3"/>
        <v>-96893.648143512721</v>
      </c>
      <c r="L20" s="201">
        <f t="shared" si="4"/>
        <v>-96961.765531123383</v>
      </c>
      <c r="U20">
        <f>67/4.2</f>
        <v>15.952380952380953</v>
      </c>
      <c r="Y20" s="22" t="s">
        <v>159</v>
      </c>
      <c r="Z20" s="100">
        <f>((Z19*Z14)/Z18)/SIN((Z19*Z14)/Z18)-(Z19/(Z18-Z19))*EXP((Z19-Z18)*((AK9*1000/Z16)))</f>
        <v>-0.2959935231179518</v>
      </c>
    </row>
    <row r="21" spans="1:26" ht="15.75" thickBot="1">
      <c r="A21" s="191" t="s">
        <v>652</v>
      </c>
      <c r="B21" s="17">
        <v>-154.44929417</v>
      </c>
      <c r="C21" s="17"/>
      <c r="D21" s="17">
        <v>2.0057</v>
      </c>
      <c r="E21" s="33">
        <v>142.24</v>
      </c>
      <c r="F21" s="17"/>
      <c r="G21" s="17">
        <v>1.874E-2</v>
      </c>
      <c r="H21" s="17">
        <v>3.9711999999999997E-2</v>
      </c>
      <c r="I21" s="17">
        <v>-7.0698999999999998E-2</v>
      </c>
      <c r="J21" s="196">
        <f t="shared" si="0"/>
        <v>69.283927366440906</v>
      </c>
      <c r="K21" s="201">
        <f t="shared" si="3"/>
        <v>-96893.446085523814</v>
      </c>
      <c r="L21" s="201">
        <f t="shared" si="4"/>
        <v>-96962.730012890257</v>
      </c>
      <c r="Y21" s="72" t="s">
        <v>169</v>
      </c>
      <c r="Z21" s="192" t="e">
        <f>(Z15*Z10*LN(Z20)/1000)/Z5</f>
        <v>#NUM!</v>
      </c>
    </row>
    <row r="22" spans="1:26">
      <c r="A22" s="191" t="s">
        <v>653</v>
      </c>
      <c r="B22" s="17">
        <v>-154.44929417</v>
      </c>
      <c r="C22" s="17"/>
      <c r="D22" s="17">
        <v>2.0057</v>
      </c>
      <c r="E22" s="33">
        <v>142.24</v>
      </c>
      <c r="F22" s="17"/>
      <c r="G22" s="17">
        <v>1.874E-2</v>
      </c>
      <c r="H22" s="17">
        <v>4.0025999999999999E-2</v>
      </c>
      <c r="I22" s="17">
        <v>-7.2194999999999995E-2</v>
      </c>
      <c r="J22" s="196">
        <f t="shared" si="0"/>
        <v>70.419719167377934</v>
      </c>
      <c r="K22" s="201">
        <f t="shared" si="3"/>
        <v>-96893.249047609177</v>
      </c>
      <c r="L22" s="201">
        <f t="shared" si="4"/>
        <v>-96963.668766776551</v>
      </c>
      <c r="R22">
        <f>Z10-25</f>
        <v>273.14999999999998</v>
      </c>
      <c r="Y22" s="22" t="s">
        <v>160</v>
      </c>
      <c r="Z22" s="100">
        <f>(Z19/(Z19-Z18))*(EXP((Z19-Z18)*((AK9)*1000/Z16))-1)</f>
        <v>0</v>
      </c>
    </row>
    <row r="23" spans="1:26" ht="15.75" thickBot="1">
      <c r="A23" s="191" t="s">
        <v>634</v>
      </c>
      <c r="B23" s="17"/>
      <c r="C23" s="17"/>
      <c r="D23" s="17"/>
      <c r="E23" s="33"/>
      <c r="F23" s="17"/>
      <c r="G23" s="17"/>
      <c r="H23" s="17"/>
      <c r="I23" s="17"/>
      <c r="J23" s="196">
        <f t="shared" si="0"/>
        <v>0</v>
      </c>
      <c r="K23" s="201">
        <f t="shared" si="3"/>
        <v>0</v>
      </c>
      <c r="L23" s="201">
        <f t="shared" si="4"/>
        <v>0</v>
      </c>
      <c r="Y23" s="72" t="s">
        <v>170</v>
      </c>
      <c r="Z23" s="193" t="e">
        <f>(Z15*Z10*LN(Z22)/1000)/Z5</f>
        <v>#NUM!</v>
      </c>
    </row>
    <row r="24" spans="1:26" ht="15.75" thickBot="1">
      <c r="A24" s="191" t="s">
        <v>635</v>
      </c>
      <c r="B24" s="17"/>
      <c r="C24" s="17"/>
      <c r="D24" s="17"/>
      <c r="E24" s="33"/>
      <c r="F24" s="17"/>
      <c r="G24" s="17"/>
      <c r="H24" s="17"/>
      <c r="I24" s="17"/>
      <c r="J24" s="196">
        <f t="shared" si="0"/>
        <v>0</v>
      </c>
      <c r="K24" s="201">
        <f t="shared" si="3"/>
        <v>0</v>
      </c>
      <c r="L24" s="201">
        <f t="shared" si="4"/>
        <v>0</v>
      </c>
      <c r="Y24" s="101" t="s">
        <v>171</v>
      </c>
      <c r="Z24" s="102"/>
    </row>
    <row r="25" spans="1:26">
      <c r="A25" s="191" t="s">
        <v>636</v>
      </c>
      <c r="B25" s="17"/>
      <c r="C25" s="17"/>
      <c r="D25" s="17"/>
      <c r="E25" s="33"/>
      <c r="F25" s="17"/>
      <c r="G25" s="17"/>
      <c r="H25" s="17"/>
      <c r="I25" s="17"/>
      <c r="J25" s="196">
        <f t="shared" si="0"/>
        <v>0</v>
      </c>
      <c r="K25" s="201">
        <f t="shared" si="3"/>
        <v>0</v>
      </c>
      <c r="L25" s="201">
        <f t="shared" si="4"/>
        <v>0</v>
      </c>
      <c r="O25" s="6">
        <f>K18-(K3+K13)</f>
        <v>42.741753097478068</v>
      </c>
      <c r="T25" s="6"/>
      <c r="Y25" s="103" t="s">
        <v>161</v>
      </c>
      <c r="Z25" s="104">
        <f>1+(1/24)*(Z12*Z8*Z17/(Z10*Z13))^2</f>
        <v>3.1831752448208448</v>
      </c>
    </row>
    <row r="26" spans="1:26">
      <c r="I26" s="6"/>
      <c r="T26" s="6"/>
      <c r="Y26" s="103" t="s">
        <v>172</v>
      </c>
      <c r="Z26" s="104">
        <f>(Z10*Z13)/(Z8*Z12*Z17)</f>
        <v>0.1381497425903335</v>
      </c>
    </row>
    <row r="27" spans="1:26" ht="15.75" thickBot="1">
      <c r="T27" s="6">
        <f>21345*Z15/(1000*Z5)</f>
        <v>42.416863403155126</v>
      </c>
      <c r="Y27" s="103" t="s">
        <v>483</v>
      </c>
      <c r="Z27" s="121">
        <f>(Z15*Z10*LN(Z25)/1000)/Z5</f>
        <v>0.68602581557464404</v>
      </c>
    </row>
    <row r="28" spans="1:26">
      <c r="T28" s="6" t="b">
        <f>Sheet9!$T$50=21949*Z15/(1000*Z5)</f>
        <v>0</v>
      </c>
      <c r="Y28" s="122" t="s">
        <v>173</v>
      </c>
      <c r="Z28" s="26">
        <f>2*2*2</f>
        <v>8</v>
      </c>
    </row>
    <row r="29" spans="1:26" ht="30.75" thickBot="1">
      <c r="T29" s="2">
        <f>EXP(30.325)</f>
        <v>14790408318324.172</v>
      </c>
      <c r="Y29" s="107" t="s">
        <v>174</v>
      </c>
      <c r="Z29" s="110">
        <f>(Z10*Z15*LN(Z28)*10^-3)/Z5</f>
        <v>1.2320374832982735</v>
      </c>
    </row>
    <row r="30" spans="1:26">
      <c r="T30" s="2">
        <f>EXP(37.094)</f>
        <v>1.2874178067433236E+16</v>
      </c>
    </row>
    <row r="34" spans="6:24">
      <c r="R34" t="s">
        <v>655</v>
      </c>
      <c r="S34" t="s">
        <v>655</v>
      </c>
      <c r="T34" t="s">
        <v>225</v>
      </c>
      <c r="U34" t="s">
        <v>225</v>
      </c>
      <c r="V34" t="s">
        <v>225</v>
      </c>
    </row>
    <row r="35" spans="6:24">
      <c r="F35" s="6">
        <f>(-226.576945--226.679571)*($Z$3*$Z$4*10^-3/$Z$5)</f>
        <v>64.398767603856527</v>
      </c>
      <c r="N35" t="s">
        <v>654</v>
      </c>
      <c r="O35" t="s">
        <v>658</v>
      </c>
      <c r="P35" t="s">
        <v>676</v>
      </c>
      <c r="Q35" t="s">
        <v>661</v>
      </c>
      <c r="R35" t="s">
        <v>656</v>
      </c>
      <c r="S35" t="s">
        <v>668</v>
      </c>
      <c r="T35" t="s">
        <v>659</v>
      </c>
      <c r="U35" t="s">
        <v>660</v>
      </c>
      <c r="V35" t="s">
        <v>656</v>
      </c>
      <c r="W35" t="s">
        <v>657</v>
      </c>
      <c r="X35" t="s">
        <v>662</v>
      </c>
    </row>
    <row r="36" spans="6:24">
      <c r="N36" s="1">
        <v>704.65</v>
      </c>
      <c r="O36" s="2">
        <f>1/N36</f>
        <v>1.4191442560136239E-3</v>
      </c>
      <c r="P36">
        <f>1/(N36*N36)</f>
        <v>2.0139704193764622E-6</v>
      </c>
      <c r="Q36" s="6">
        <f>N36*$Z$15/(1000*Z5)</f>
        <v>1.400283101289916</v>
      </c>
      <c r="R36" s="1">
        <v>1.1100000000000001</v>
      </c>
      <c r="S36" s="18">
        <f>R36/N36</f>
        <v>1.5752501241751225E-3</v>
      </c>
      <c r="T36" s="6">
        <f>L18-(L3+L13)</f>
        <v>38.254434219852556</v>
      </c>
      <c r="U36" s="6">
        <f>T36/Q36</f>
        <v>27.319071539614562</v>
      </c>
      <c r="V36" s="1">
        <f>2*(N36*$Z$13/$Z$11)*EXP(-U36)</f>
        <v>252.05108295011976</v>
      </c>
      <c r="W36" s="1">
        <f>LN(R36)</f>
        <v>0.10436001532424286</v>
      </c>
      <c r="X36" s="1">
        <f>LN(V36)</f>
        <v>5.5296317770880261</v>
      </c>
    </row>
    <row r="37" spans="6:24">
      <c r="N37" s="1">
        <v>712.75</v>
      </c>
      <c r="O37" s="2">
        <f>1/N37</f>
        <v>1.4030164854437039E-3</v>
      </c>
      <c r="P37">
        <f>1/(N37*N37)</f>
        <v>1.9684552584268034E-6</v>
      </c>
      <c r="Q37" s="6">
        <f>N37*$Z$15/(1000*$Z$5)</f>
        <v>1.4163794514218231</v>
      </c>
      <c r="R37" s="1">
        <v>1.44</v>
      </c>
      <c r="S37" s="18">
        <f>R37/N37</f>
        <v>2.0203437390389337E-3</v>
      </c>
      <c r="T37" s="6">
        <f>L19-(L4+L14)</f>
        <v>38.203605967995827</v>
      </c>
      <c r="U37" s="6">
        <f>T37/Q37</f>
        <v>26.972719725385307</v>
      </c>
      <c r="V37" s="1">
        <f>2*(N37*$Z$13/$Z$11)*EXP(-U37)</f>
        <v>360.47157091850738</v>
      </c>
      <c r="W37" s="1">
        <f>LN(R37)</f>
        <v>0.36464311358790924</v>
      </c>
      <c r="X37" s="1">
        <f>LN(V37)</f>
        <v>5.8874130934725422</v>
      </c>
    </row>
    <row r="38" spans="6:24">
      <c r="N38" s="1">
        <v>721.55</v>
      </c>
      <c r="O38" s="2">
        <f>1/N38</f>
        <v>1.3859053426650962E-3</v>
      </c>
      <c r="P38">
        <f>1/(N38*N38)</f>
        <v>1.9207336188276573E-6</v>
      </c>
      <c r="Q38" s="6">
        <f>N38*$Z$15/(1000*$Z$5)</f>
        <v>1.433866844157722</v>
      </c>
      <c r="R38" s="1">
        <v>1.91</v>
      </c>
      <c r="S38" s="18">
        <f>R38/N38</f>
        <v>2.6470792044903332E-3</v>
      </c>
      <c r="T38" s="6">
        <f>L20-(L5+L15)</f>
        <v>38.14713013258006</v>
      </c>
      <c r="U38" s="6">
        <f>T38/Q38</f>
        <v>26.604374240195462</v>
      </c>
      <c r="V38" s="1">
        <f>2*(N38*$Z$13/$Z$11)*EXP(-U38)</f>
        <v>527.4370526453755</v>
      </c>
      <c r="W38" s="1">
        <f>LN(R38)</f>
        <v>0.64710324205853842</v>
      </c>
      <c r="X38" s="1">
        <f>LN(V38)</f>
        <v>6.2680295267516932</v>
      </c>
    </row>
    <row r="39" spans="6:24">
      <c r="N39" s="1">
        <v>731.55</v>
      </c>
      <c r="O39" s="2">
        <f>1/N39</f>
        <v>1.366960563187752E-3</v>
      </c>
      <c r="P39">
        <f>1/(N39*N39)</f>
        <v>1.8685811813105763E-6</v>
      </c>
      <c r="Q39" s="6">
        <f>N39*$Z$15/(1000*$Z$5)</f>
        <v>1.4537388813576073</v>
      </c>
      <c r="R39" s="1">
        <v>3.04</v>
      </c>
      <c r="S39" s="18">
        <f>R39/N39</f>
        <v>4.1555601120907663E-3</v>
      </c>
      <c r="T39" s="6">
        <f>L21-(L6+L16)</f>
        <v>38.081869167217519</v>
      </c>
      <c r="U39" s="6">
        <f>T39/Q39</f>
        <v>26.195811129199416</v>
      </c>
      <c r="V39" s="1">
        <f>2*(N39*$Z$13/$Z$11)*EXP(-U39)</f>
        <v>804.60907044703538</v>
      </c>
      <c r="W39" s="1">
        <f>LN(R39)</f>
        <v>1.1118575154181303</v>
      </c>
      <c r="X39" s="1">
        <f>LN(V39)</f>
        <v>6.6903565326898233</v>
      </c>
    </row>
    <row r="40" spans="6:24">
      <c r="N40" s="1">
        <v>741.65</v>
      </c>
      <c r="O40" s="2">
        <f>1/N40</f>
        <v>1.3483449066271152E-3</v>
      </c>
      <c r="P40">
        <f>1/(N40*N40)</f>
        <v>1.8180339872272843E-6</v>
      </c>
      <c r="Q40" s="6">
        <f>N40*$Z$15/(1000*$Z$5)</f>
        <v>1.4738096389294915</v>
      </c>
      <c r="R40" s="1">
        <v>5.05</v>
      </c>
      <c r="S40" s="18">
        <f>R40/N40</f>
        <v>6.8091417784669319E-3</v>
      </c>
      <c r="T40" s="6">
        <f>L22-(L7+L17)</f>
        <v>38.018490729722544</v>
      </c>
      <c r="U40" s="6">
        <f>T40/Q40</f>
        <v>25.796066008455103</v>
      </c>
      <c r="V40" s="1">
        <f>2*(N40*$Z$13/$Z$11)*EXP(-U40)</f>
        <v>1216.5977547582331</v>
      </c>
      <c r="W40" s="1">
        <f>LN(R40)</f>
        <v>1.6193882432872684</v>
      </c>
      <c r="X40" s="1">
        <f>LN(V40)</f>
        <v>7.1038135163795868</v>
      </c>
    </row>
    <row r="41" spans="6:24">
      <c r="S41">
        <v>32.5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147"/>
  <sheetViews>
    <sheetView topLeftCell="A31" workbookViewId="0">
      <selection activeCell="P138" sqref="P138"/>
    </sheetView>
  </sheetViews>
  <sheetFormatPr defaultRowHeight="15"/>
  <cols>
    <col min="1" max="1" width="13.5703125" customWidth="1"/>
    <col min="2" max="2" width="12.28515625" bestFit="1" customWidth="1"/>
    <col min="6" max="6" width="9.28515625" bestFit="1" customWidth="1"/>
    <col min="7" max="7" width="10.28515625" bestFit="1" customWidth="1"/>
    <col min="12" max="12" width="10.28515625" bestFit="1" customWidth="1"/>
    <col min="26" max="26" width="14.28515625" customWidth="1"/>
  </cols>
  <sheetData>
    <row r="1" spans="1:26">
      <c r="A1" t="s">
        <v>237</v>
      </c>
    </row>
    <row r="2" spans="1:26" ht="75.75" thickBot="1">
      <c r="A2" s="178" t="s">
        <v>669</v>
      </c>
      <c r="B2" s="190" t="s">
        <v>670</v>
      </c>
      <c r="C2" s="190" t="s">
        <v>673</v>
      </c>
      <c r="D2" s="190" t="s">
        <v>671</v>
      </c>
      <c r="E2" s="190" t="s">
        <v>672</v>
      </c>
      <c r="F2" s="190" t="s">
        <v>629</v>
      </c>
      <c r="G2" s="190" t="s">
        <v>478</v>
      </c>
      <c r="H2" s="190" t="s">
        <v>630</v>
      </c>
      <c r="I2" s="190" t="s">
        <v>631</v>
      </c>
      <c r="J2" s="190" t="s">
        <v>632</v>
      </c>
      <c r="K2" s="190" t="s">
        <v>633</v>
      </c>
      <c r="L2" s="206" t="s">
        <v>674</v>
      </c>
      <c r="M2" s="206" t="s">
        <v>674</v>
      </c>
      <c r="N2" s="206" t="s">
        <v>675</v>
      </c>
    </row>
    <row r="3" spans="1:26">
      <c r="A3" s="191" t="s">
        <v>638</v>
      </c>
      <c r="B3" s="17">
        <v>-151.37880100000001</v>
      </c>
      <c r="C3" s="17">
        <v>-151.36898500000001</v>
      </c>
      <c r="D3" s="17">
        <v>-151.36675299999999</v>
      </c>
      <c r="E3" s="17">
        <v>-151.43381299999999</v>
      </c>
      <c r="F3" s="33"/>
      <c r="G3" s="17"/>
      <c r="H3" s="17"/>
      <c r="I3" s="17"/>
      <c r="J3" s="17"/>
      <c r="K3" s="196">
        <f>(D3-E3)*($Z$3*$Z$4*10^-3/$Z$5)</f>
        <v>42.080772470074379</v>
      </c>
      <c r="L3" s="201">
        <f>(B3)*($Z$3*$Z$4*10^-3/$Z$5)</f>
        <v>-94991.602768772253</v>
      </c>
      <c r="M3" s="201">
        <f t="shared" ref="M3:M25" si="0">(D3)*($Z$3*$Z$4*10^-3/$Z$5)</f>
        <v>-94984.042536939261</v>
      </c>
      <c r="N3" s="201">
        <f t="shared" ref="N3:N25" si="1">(E3)*($Z$3*$Z$4*10^-3/$Z$5)</f>
        <v>-95026.123309409348</v>
      </c>
      <c r="Y3" s="22" t="s">
        <v>147</v>
      </c>
      <c r="Z3" s="88">
        <v>4.35974394E-18</v>
      </c>
    </row>
    <row r="4" spans="1:26">
      <c r="A4" s="191" t="s">
        <v>639</v>
      </c>
      <c r="B4" s="17">
        <v>-151.37880100000001</v>
      </c>
      <c r="C4" s="17">
        <v>-151.36883399999999</v>
      </c>
      <c r="D4" s="17">
        <v>-151.36657700000001</v>
      </c>
      <c r="E4" s="17">
        <v>-151.434585</v>
      </c>
      <c r="F4" s="33"/>
      <c r="G4" s="17"/>
      <c r="H4" s="17"/>
      <c r="I4" s="17"/>
      <c r="J4" s="17"/>
      <c r="K4" s="196">
        <f t="shared" ref="K4:K25" si="2">(D4-E4)*($Z$3*$Z$4*10^-3/$Z$5)</f>
        <v>42.675651269677381</v>
      </c>
      <c r="L4" s="201">
        <f t="shared" ref="L4:L25" si="3">(B4)*($Z$3*$Z$4*10^-3/$Z$5)</f>
        <v>-94991.602768772253</v>
      </c>
      <c r="M4" s="201">
        <f t="shared" si="0"/>
        <v>-94983.932095305601</v>
      </c>
      <c r="N4" s="201">
        <f t="shared" si="1"/>
        <v>-95026.607746575275</v>
      </c>
      <c r="Y4" s="72" t="s">
        <v>148</v>
      </c>
      <c r="Z4" s="89">
        <v>6.0221399999999997E+23</v>
      </c>
    </row>
    <row r="5" spans="1:26" ht="15.75" thickBot="1">
      <c r="A5" s="191" t="s">
        <v>640</v>
      </c>
      <c r="B5" s="17">
        <v>-151.37880100000001</v>
      </c>
      <c r="C5" s="17">
        <v>-151.36867000000001</v>
      </c>
      <c r="D5" s="17">
        <v>-151.36638500000001</v>
      </c>
      <c r="E5" s="17">
        <v>-151.43542600000001</v>
      </c>
      <c r="F5" s="33"/>
      <c r="G5" s="17"/>
      <c r="H5" s="17"/>
      <c r="I5" s="17"/>
      <c r="J5" s="17"/>
      <c r="K5" s="196">
        <f t="shared" si="2"/>
        <v>43.323868358282674</v>
      </c>
      <c r="L5" s="201">
        <f t="shared" si="3"/>
        <v>-94991.602768772253</v>
      </c>
      <c r="M5" s="201">
        <f t="shared" si="0"/>
        <v>-94983.811613523401</v>
      </c>
      <c r="N5" s="201">
        <f t="shared" si="1"/>
        <v>-95027.135481881676</v>
      </c>
      <c r="Q5">
        <f>-151.484457-  -151.550847</f>
        <v>6.6390000000012606E-2</v>
      </c>
      <c r="Y5" s="23" t="s">
        <v>149</v>
      </c>
      <c r="Z5" s="90">
        <v>4.1840000000000002</v>
      </c>
    </row>
    <row r="6" spans="1:26" ht="15.75" thickBot="1">
      <c r="A6" s="191" t="s">
        <v>641</v>
      </c>
      <c r="B6" s="17">
        <v>-151.37880100000001</v>
      </c>
      <c r="C6" s="17">
        <v>-151.36847900000001</v>
      </c>
      <c r="D6" s="17">
        <v>-151.366162</v>
      </c>
      <c r="E6" s="17">
        <v>-151.43640300000001</v>
      </c>
      <c r="F6" s="33"/>
      <c r="G6" s="17"/>
      <c r="H6" s="17"/>
      <c r="I6" s="17"/>
      <c r="J6" s="17"/>
      <c r="K6" s="196">
        <f t="shared" si="2"/>
        <v>44.076879497032614</v>
      </c>
      <c r="L6" s="201">
        <f t="shared" si="3"/>
        <v>-94991.602768772253</v>
      </c>
      <c r="M6" s="201">
        <f t="shared" si="0"/>
        <v>-94983.67167895344</v>
      </c>
      <c r="N6" s="201">
        <f t="shared" si="1"/>
        <v>-95027.748558450476</v>
      </c>
      <c r="Q6" s="11">
        <f>Q5*($Z$3*$Z$4*10^-3/$Z$5)</f>
        <v>41.660341250952222</v>
      </c>
    </row>
    <row r="7" spans="1:26" ht="15.75" thickBot="1">
      <c r="A7" s="191" t="s">
        <v>642</v>
      </c>
      <c r="B7" s="17">
        <v>-151.37880100000001</v>
      </c>
      <c r="C7" s="17">
        <v>-151.36829299999999</v>
      </c>
      <c r="D7" s="17">
        <v>-151.36594400000001</v>
      </c>
      <c r="E7" s="17">
        <v>-151.437355</v>
      </c>
      <c r="F7" s="33"/>
      <c r="G7" s="17"/>
      <c r="H7" s="17"/>
      <c r="I7" s="17"/>
      <c r="J7" s="17"/>
      <c r="K7" s="196">
        <f t="shared" si="2"/>
        <v>44.811065357290182</v>
      </c>
      <c r="L7" s="201">
        <f t="shared" si="3"/>
        <v>-94991.602768772253</v>
      </c>
      <c r="M7" s="201">
        <f t="shared" si="0"/>
        <v>-94983.534881929911</v>
      </c>
      <c r="N7" s="201">
        <f t="shared" si="1"/>
        <v>-95028.345947287205</v>
      </c>
      <c r="Y7" s="91" t="s">
        <v>150</v>
      </c>
      <c r="Z7" s="32"/>
    </row>
    <row r="8" spans="1:26">
      <c r="A8" s="191" t="s">
        <v>666</v>
      </c>
      <c r="B8" s="17"/>
      <c r="C8" s="17"/>
      <c r="D8" s="17"/>
      <c r="E8" s="17"/>
      <c r="F8" s="33"/>
      <c r="G8" s="17"/>
      <c r="H8" s="17"/>
      <c r="I8" s="17"/>
      <c r="J8" s="17"/>
      <c r="K8" s="196">
        <f t="shared" si="2"/>
        <v>0</v>
      </c>
      <c r="L8" s="201">
        <f t="shared" si="3"/>
        <v>0</v>
      </c>
      <c r="M8" s="201">
        <f t="shared" si="0"/>
        <v>0</v>
      </c>
      <c r="N8" s="201">
        <f t="shared" si="1"/>
        <v>0</v>
      </c>
      <c r="Y8" s="92" t="s">
        <v>151</v>
      </c>
      <c r="Z8" s="112">
        <v>2000</v>
      </c>
    </row>
    <row r="9" spans="1:26">
      <c r="A9" s="191" t="s">
        <v>667</v>
      </c>
      <c r="B9" s="17"/>
      <c r="C9" s="17"/>
      <c r="D9" s="17"/>
      <c r="E9" s="17"/>
      <c r="F9" s="33"/>
      <c r="G9" s="17"/>
      <c r="H9" s="17"/>
      <c r="I9" s="17"/>
      <c r="J9" s="17"/>
      <c r="K9" s="196">
        <f t="shared" si="2"/>
        <v>0</v>
      </c>
      <c r="L9" s="201">
        <f t="shared" si="3"/>
        <v>0</v>
      </c>
      <c r="M9" s="201">
        <f t="shared" si="0"/>
        <v>0</v>
      </c>
      <c r="N9" s="201">
        <f t="shared" si="1"/>
        <v>0</v>
      </c>
      <c r="Q9">
        <f>-1106.87102--1106.906608</f>
        <v>3.5587999999961539E-2</v>
      </c>
    </row>
    <row r="10" spans="1:26">
      <c r="A10" s="191" t="s">
        <v>663</v>
      </c>
      <c r="B10" s="17"/>
      <c r="C10" s="17"/>
      <c r="D10" s="17"/>
      <c r="E10" s="17"/>
      <c r="F10" s="33"/>
      <c r="G10" s="17"/>
      <c r="H10" s="17"/>
      <c r="I10" s="17"/>
      <c r="J10" s="17"/>
      <c r="K10" s="196">
        <f t="shared" si="2"/>
        <v>0</v>
      </c>
      <c r="L10" s="201">
        <f t="shared" si="3"/>
        <v>0</v>
      </c>
      <c r="M10" s="201">
        <f t="shared" si="0"/>
        <v>0</v>
      </c>
      <c r="N10" s="201">
        <f t="shared" si="1"/>
        <v>0</v>
      </c>
      <c r="Q10" s="11">
        <f>Q9*($Z$3*$Z$4*10^-3/$Z$5)</f>
        <v>22.331800337957581</v>
      </c>
      <c r="Y10" s="93" t="s">
        <v>153</v>
      </c>
      <c r="Z10" s="113">
        <v>298.14999999999998</v>
      </c>
    </row>
    <row r="11" spans="1:26">
      <c r="A11" s="191" t="s">
        <v>664</v>
      </c>
      <c r="B11" s="17"/>
      <c r="C11" s="17"/>
      <c r="D11" s="17"/>
      <c r="E11" s="17"/>
      <c r="F11" s="33"/>
      <c r="G11" s="17"/>
      <c r="H11" s="17"/>
      <c r="I11" s="17"/>
      <c r="J11" s="17"/>
      <c r="K11" s="196">
        <f t="shared" si="2"/>
        <v>0</v>
      </c>
      <c r="L11" s="201">
        <f t="shared" si="3"/>
        <v>0</v>
      </c>
      <c r="M11" s="201">
        <f t="shared" si="0"/>
        <v>0</v>
      </c>
      <c r="N11" s="201">
        <f t="shared" si="1"/>
        <v>0</v>
      </c>
      <c r="Y11" s="93" t="s">
        <v>165</v>
      </c>
      <c r="Z11" s="114">
        <f>6.62606896E-34/(2*Z14)</f>
        <v>1.0545716294567979E-34</v>
      </c>
    </row>
    <row r="12" spans="1:26">
      <c r="A12" s="191" t="s">
        <v>665</v>
      </c>
      <c r="B12" s="17"/>
      <c r="C12" s="17"/>
      <c r="D12" s="17"/>
      <c r="E12" s="17"/>
      <c r="F12" s="33"/>
      <c r="G12" s="17"/>
      <c r="H12" s="17"/>
      <c r="I12" s="17"/>
      <c r="J12" s="17"/>
      <c r="K12" s="196">
        <f t="shared" si="2"/>
        <v>0</v>
      </c>
      <c r="L12" s="201">
        <f t="shared" si="3"/>
        <v>0</v>
      </c>
      <c r="M12" s="201">
        <f t="shared" si="0"/>
        <v>0</v>
      </c>
      <c r="N12" s="201">
        <f t="shared" si="1"/>
        <v>0</v>
      </c>
      <c r="Y12" s="93" t="s">
        <v>154</v>
      </c>
      <c r="Z12" s="115">
        <v>6.6260695699999996E-34</v>
      </c>
    </row>
    <row r="13" spans="1:26">
      <c r="A13" s="191" t="s">
        <v>644</v>
      </c>
      <c r="B13" s="17">
        <v>-2.9029319999999998</v>
      </c>
      <c r="C13" s="17">
        <v>-2.8995850000000001</v>
      </c>
      <c r="D13" s="17">
        <v>-2.8973529999999998</v>
      </c>
      <c r="E13" s="17">
        <v>-2.9288449999999999</v>
      </c>
      <c r="F13" s="33"/>
      <c r="G13" s="17"/>
      <c r="H13" s="17"/>
      <c r="I13" s="17"/>
      <c r="J13" s="17"/>
      <c r="K13" s="196">
        <f t="shared" si="2"/>
        <v>19.76152231773974</v>
      </c>
      <c r="L13" s="201">
        <f t="shared" si="3"/>
        <v>-1821.6167758440467</v>
      </c>
      <c r="M13" s="201">
        <f t="shared" si="0"/>
        <v>-1818.115901558175</v>
      </c>
      <c r="N13" s="201">
        <f t="shared" si="1"/>
        <v>-1837.8774238759149</v>
      </c>
      <c r="Q13">
        <f>-151.476182- -151.552295</f>
        <v>7.6112999999992326E-2</v>
      </c>
      <c r="Y13" s="93" t="s">
        <v>155</v>
      </c>
      <c r="Z13" s="116">
        <v>1.3806488E-23</v>
      </c>
    </row>
    <row r="14" spans="1:26">
      <c r="A14" s="191" t="s">
        <v>645</v>
      </c>
      <c r="B14" s="17">
        <v>-2.9029319999999998</v>
      </c>
      <c r="C14" s="17">
        <v>-2.899546</v>
      </c>
      <c r="D14" s="17">
        <v>-2.8972889999999998</v>
      </c>
      <c r="E14" s="17">
        <v>-2.929208</v>
      </c>
      <c r="F14" s="33"/>
      <c r="G14" s="17"/>
      <c r="H14" s="17"/>
      <c r="I14" s="17"/>
      <c r="J14" s="17"/>
      <c r="K14" s="196">
        <f t="shared" si="2"/>
        <v>20.029468781275824</v>
      </c>
      <c r="L14" s="201">
        <f t="shared" si="3"/>
        <v>-1821.6167758440467</v>
      </c>
      <c r="M14" s="201">
        <f t="shared" si="0"/>
        <v>-1818.0757409641087</v>
      </c>
      <c r="N14" s="201">
        <f t="shared" si="1"/>
        <v>-1838.1052097453846</v>
      </c>
      <c r="Q14" s="6">
        <f>Q13*($Z$3*$Z$4*10^-3/$Z$5)</f>
        <v>47.761614002602869</v>
      </c>
      <c r="Y14" s="96" t="s">
        <v>156</v>
      </c>
      <c r="Z14" s="116">
        <v>3.1415926500000002</v>
      </c>
    </row>
    <row r="15" spans="1:26">
      <c r="A15" s="191" t="s">
        <v>646</v>
      </c>
      <c r="B15" s="17">
        <v>-2.9029319999999998</v>
      </c>
      <c r="C15" s="17">
        <v>-2.899505</v>
      </c>
      <c r="D15" s="17">
        <v>-2.8972199999999999</v>
      </c>
      <c r="E15" s="17">
        <v>-2.929602</v>
      </c>
      <c r="F15" s="33"/>
      <c r="G15" s="17"/>
      <c r="H15" s="17"/>
      <c r="I15" s="17"/>
      <c r="J15" s="17"/>
      <c r="K15" s="196">
        <f t="shared" si="2"/>
        <v>20.320005578974005</v>
      </c>
      <c r="L15" s="201">
        <f t="shared" si="3"/>
        <v>-1821.6167758440467</v>
      </c>
      <c r="M15" s="201">
        <f t="shared" si="0"/>
        <v>-1818.0324428236311</v>
      </c>
      <c r="N15" s="201">
        <f t="shared" si="1"/>
        <v>-1838.3524484026052</v>
      </c>
      <c r="Y15" s="97" t="s">
        <v>157</v>
      </c>
      <c r="Z15" s="117">
        <f>Z13*Z16</f>
        <v>8.3144603644319997</v>
      </c>
    </row>
    <row r="16" spans="1:26">
      <c r="A16" s="191" t="s">
        <v>647</v>
      </c>
      <c r="B16" s="17">
        <v>-2.9029319999999998</v>
      </c>
      <c r="C16" s="17">
        <v>-2.8994559999999998</v>
      </c>
      <c r="D16" s="17">
        <v>-2.8971390000000001</v>
      </c>
      <c r="E16" s="17">
        <v>-2.9300609999999998</v>
      </c>
      <c r="F16" s="33"/>
      <c r="G16" s="17"/>
      <c r="H16" s="17"/>
      <c r="I16" s="17"/>
      <c r="J16" s="17"/>
      <c r="K16" s="196">
        <f t="shared" si="2"/>
        <v>20.658860591407969</v>
      </c>
      <c r="L16" s="201">
        <f t="shared" si="3"/>
        <v>-1821.6167758440467</v>
      </c>
      <c r="M16" s="201">
        <f t="shared" si="0"/>
        <v>-1817.9816145717662</v>
      </c>
      <c r="N16" s="201">
        <f t="shared" si="1"/>
        <v>-1838.6404751631742</v>
      </c>
      <c r="Y16" s="93" t="s">
        <v>158</v>
      </c>
      <c r="Z16" s="116">
        <v>6.0221399999999997E+23</v>
      </c>
    </row>
    <row r="17" spans="1:26" ht="15.75" thickBot="1">
      <c r="A17" s="191" t="s">
        <v>648</v>
      </c>
      <c r="B17" s="17">
        <v>-2.9029319999999998</v>
      </c>
      <c r="C17" s="17">
        <v>-2.8994089999999999</v>
      </c>
      <c r="D17" s="17">
        <v>-2.8970600000000002</v>
      </c>
      <c r="E17" s="17">
        <v>-2.930507</v>
      </c>
      <c r="F17" s="33"/>
      <c r="G17" s="17"/>
      <c r="H17" s="17"/>
      <c r="I17" s="17"/>
      <c r="J17" s="17"/>
      <c r="K17" s="196">
        <f t="shared" si="2"/>
        <v>20.988302964608003</v>
      </c>
      <c r="L17" s="201">
        <f t="shared" si="3"/>
        <v>-1821.6167758440467</v>
      </c>
      <c r="M17" s="201">
        <f t="shared" si="0"/>
        <v>-1817.9320413384655</v>
      </c>
      <c r="N17" s="201">
        <f t="shared" si="1"/>
        <v>-1838.9203443030735</v>
      </c>
      <c r="Y17" s="95" t="s">
        <v>166</v>
      </c>
      <c r="Z17" s="118">
        <v>29979245800</v>
      </c>
    </row>
    <row r="18" spans="1:26">
      <c r="A18" s="191" t="s">
        <v>649</v>
      </c>
      <c r="B18" s="17">
        <v>-154.20465799999999</v>
      </c>
      <c r="C18" s="17">
        <v>-154.18670900000001</v>
      </c>
      <c r="D18" s="17">
        <v>-154.18447800000001</v>
      </c>
      <c r="E18" s="17">
        <v>-154.28798599999999</v>
      </c>
      <c r="F18" s="33"/>
      <c r="G18" s="17"/>
      <c r="H18" s="17"/>
      <c r="I18" s="17"/>
      <c r="J18" s="17"/>
      <c r="K18" s="196">
        <f t="shared" si="2"/>
        <v>64.9522307908084</v>
      </c>
      <c r="L18" s="201">
        <f t="shared" si="3"/>
        <v>-96764.854266684124</v>
      </c>
      <c r="M18" s="201">
        <f t="shared" si="0"/>
        <v>-96752.191129367609</v>
      </c>
      <c r="N18" s="201">
        <f t="shared" si="1"/>
        <v>-96817.143360158429</v>
      </c>
      <c r="Y18" s="92" t="s">
        <v>167</v>
      </c>
      <c r="Z18" s="98">
        <f>((2*Z14)/(Z12*Z8*Z17))</f>
        <v>1.5815144992182973E+20</v>
      </c>
    </row>
    <row r="19" spans="1:26" ht="15.75" thickBot="1">
      <c r="A19" s="191" t="s">
        <v>650</v>
      </c>
      <c r="B19" s="17">
        <v>-154.20465799999999</v>
      </c>
      <c r="C19" s="17">
        <v>-154.18647899999999</v>
      </c>
      <c r="D19" s="17">
        <v>-154.18422200000001</v>
      </c>
      <c r="E19" s="17">
        <v>-154.289177</v>
      </c>
      <c r="F19" s="33"/>
      <c r="G19" s="17"/>
      <c r="H19" s="17"/>
      <c r="I19" s="17"/>
      <c r="J19" s="17"/>
      <c r="K19" s="196">
        <f t="shared" si="2"/>
        <v>65.860236722283943</v>
      </c>
      <c r="L19" s="201">
        <f t="shared" si="3"/>
        <v>-96764.854266684124</v>
      </c>
      <c r="M19" s="201">
        <f t="shared" si="0"/>
        <v>-96752.030486991353</v>
      </c>
      <c r="N19" s="201">
        <f t="shared" si="1"/>
        <v>-96817.89072371363</v>
      </c>
      <c r="R19" s="6">
        <f>L18-(L3+L13)</f>
        <v>48.365277932171011</v>
      </c>
      <c r="Y19" s="95" t="s">
        <v>168</v>
      </c>
      <c r="Z19" s="99">
        <f>(1/(Z13*Z10))</f>
        <v>2.4293045665780682E+20</v>
      </c>
    </row>
    <row r="20" spans="1:26">
      <c r="A20" s="191" t="s">
        <v>651</v>
      </c>
      <c r="B20" s="17">
        <v>-154.20465799999999</v>
      </c>
      <c r="C20" s="17">
        <v>-154.186229</v>
      </c>
      <c r="D20" s="17">
        <v>-154.183944</v>
      </c>
      <c r="E20" s="17">
        <v>-154.29047499999999</v>
      </c>
      <c r="F20" s="33"/>
      <c r="G20" s="17"/>
      <c r="H20" s="17"/>
      <c r="I20" s="17"/>
      <c r="J20" s="17"/>
      <c r="K20" s="196">
        <f t="shared" si="2"/>
        <v>66.849191351166141</v>
      </c>
      <c r="L20" s="201">
        <f t="shared" si="3"/>
        <v>-96764.854266684124</v>
      </c>
      <c r="M20" s="201">
        <f t="shared" si="0"/>
        <v>-96751.856039410864</v>
      </c>
      <c r="N20" s="201">
        <f t="shared" si="1"/>
        <v>-96818.705230762032</v>
      </c>
      <c r="Y20" s="22" t="s">
        <v>159</v>
      </c>
      <c r="Z20" s="100">
        <f>((Z19*Z14)/Z18)/SIN((Z19*Z14)/Z18)-(Z19/(Z18-Z19))*EXP((Z19-Z18)*((AK9*1000/Z16)))</f>
        <v>-1.9913620535319208</v>
      </c>
    </row>
    <row r="21" spans="1:26" ht="15.75" thickBot="1">
      <c r="A21" s="191" t="s">
        <v>652</v>
      </c>
      <c r="B21" s="17">
        <v>-154.20465799999999</v>
      </c>
      <c r="C21" s="17">
        <v>-154.18593899999999</v>
      </c>
      <c r="D21" s="17">
        <v>-154.18362099999999</v>
      </c>
      <c r="E21" s="17">
        <v>-154.29198600000001</v>
      </c>
      <c r="F21" s="33"/>
      <c r="G21" s="17"/>
      <c r="H21" s="17"/>
      <c r="I21" s="17"/>
      <c r="J21" s="17"/>
      <c r="K21" s="196">
        <f t="shared" si="2"/>
        <v>68.000043374897317</v>
      </c>
      <c r="L21" s="201">
        <f t="shared" si="3"/>
        <v>-96764.854266684124</v>
      </c>
      <c r="M21" s="201">
        <f t="shared" si="0"/>
        <v>-96751.653353912683</v>
      </c>
      <c r="N21" s="201">
        <f t="shared" si="1"/>
        <v>-96819.653397287577</v>
      </c>
      <c r="Y21" s="72" t="s">
        <v>169</v>
      </c>
      <c r="Z21" s="192" t="e">
        <f>(Z15*Z10*LN(Z20)/1000)/Z5</f>
        <v>#NUM!</v>
      </c>
    </row>
    <row r="22" spans="1:26">
      <c r="A22" s="191" t="s">
        <v>653</v>
      </c>
      <c r="B22" s="17">
        <v>-154.20465799999999</v>
      </c>
      <c r="C22" s="17">
        <v>-154.18565699999999</v>
      </c>
      <c r="D22" s="17">
        <v>-154.18330800000001</v>
      </c>
      <c r="E22" s="17">
        <v>-154.293453</v>
      </c>
      <c r="F22" s="33"/>
      <c r="G22" s="17"/>
      <c r="H22" s="17"/>
      <c r="I22" s="17"/>
      <c r="J22" s="17"/>
      <c r="K22" s="196">
        <f t="shared" si="2"/>
        <v>69.117009897345781</v>
      </c>
      <c r="L22" s="201">
        <f t="shared" si="3"/>
        <v>-96764.854266684124</v>
      </c>
      <c r="M22" s="201">
        <f t="shared" si="0"/>
        <v>-96751.456943507335</v>
      </c>
      <c r="N22" s="201">
        <f t="shared" si="1"/>
        <v>-96820.573953404688</v>
      </c>
      <c r="Y22" s="22" t="s">
        <v>160</v>
      </c>
      <c r="Z22" s="100">
        <f>(Z19/(Z19-Z18))*(EXP((Z19-Z18)*((AK9)*1000/Z16))-1)</f>
        <v>0</v>
      </c>
    </row>
    <row r="23" spans="1:26" ht="15.75" thickBot="1">
      <c r="A23" s="191" t="s">
        <v>634</v>
      </c>
      <c r="B23" s="17"/>
      <c r="C23" s="17"/>
      <c r="D23" s="17"/>
      <c r="E23" s="17"/>
      <c r="F23" s="33"/>
      <c r="G23" s="17"/>
      <c r="H23" s="17"/>
      <c r="I23" s="17"/>
      <c r="J23" s="17"/>
      <c r="K23" s="196">
        <f t="shared" si="2"/>
        <v>0</v>
      </c>
      <c r="L23" s="201">
        <f t="shared" si="3"/>
        <v>0</v>
      </c>
      <c r="M23" s="201">
        <f t="shared" si="0"/>
        <v>0</v>
      </c>
      <c r="N23" s="201">
        <f t="shared" si="1"/>
        <v>0</v>
      </c>
      <c r="Y23" s="72" t="s">
        <v>170</v>
      </c>
      <c r="Z23" s="193" t="e">
        <f>(Z15*Z10*LN(Z22)/1000)/Z5</f>
        <v>#NUM!</v>
      </c>
    </row>
    <row r="24" spans="1:26" ht="15.75" thickBot="1">
      <c r="A24" s="191" t="s">
        <v>635</v>
      </c>
      <c r="B24" s="17"/>
      <c r="C24" s="17"/>
      <c r="D24" s="17"/>
      <c r="E24" s="17"/>
      <c r="F24" s="33"/>
      <c r="G24" s="17"/>
      <c r="H24" s="17"/>
      <c r="I24" s="17"/>
      <c r="J24" s="17"/>
      <c r="K24" s="196">
        <f t="shared" si="2"/>
        <v>0</v>
      </c>
      <c r="L24" s="201">
        <f t="shared" si="3"/>
        <v>0</v>
      </c>
      <c r="M24" s="201">
        <f t="shared" si="0"/>
        <v>0</v>
      </c>
      <c r="N24" s="201">
        <f t="shared" si="1"/>
        <v>0</v>
      </c>
      <c r="Y24" s="101" t="s">
        <v>171</v>
      </c>
      <c r="Z24" s="102"/>
    </row>
    <row r="25" spans="1:26">
      <c r="A25" s="191" t="s">
        <v>636</v>
      </c>
      <c r="B25" s="17"/>
      <c r="C25" s="17"/>
      <c r="D25" s="17"/>
      <c r="E25" s="17"/>
      <c r="F25" s="33"/>
      <c r="G25" s="17"/>
      <c r="H25" s="17"/>
      <c r="I25" s="17"/>
      <c r="J25" s="17"/>
      <c r="K25" s="196">
        <f t="shared" si="2"/>
        <v>0</v>
      </c>
      <c r="L25" s="201">
        <f t="shared" si="3"/>
        <v>0</v>
      </c>
      <c r="M25" s="201">
        <f t="shared" si="0"/>
        <v>0</v>
      </c>
      <c r="N25" s="201">
        <f t="shared" si="1"/>
        <v>0</v>
      </c>
      <c r="Y25" s="103" t="s">
        <v>161</v>
      </c>
      <c r="Z25" s="104">
        <f>1+(1/24)*(Z12*Z8*Z17/(Z10*Z13))^2</f>
        <v>4.8812004352370559</v>
      </c>
    </row>
    <row r="26" spans="1:26">
      <c r="Y26" s="103" t="s">
        <v>172</v>
      </c>
      <c r="Z26" s="104">
        <f>(Z10*Z13)/(Z8*Z12*Z17)</f>
        <v>0.10361230694275013</v>
      </c>
    </row>
    <row r="27" spans="1:26" ht="15.75" thickBot="1">
      <c r="Y27" s="103" t="s">
        <v>483</v>
      </c>
      <c r="Z27" s="121">
        <f>(Z15*Z10*LN(Z25)/1000)/Z5</f>
        <v>0.93932015920801915</v>
      </c>
    </row>
    <row r="28" spans="1:26">
      <c r="Y28" s="122" t="s">
        <v>173</v>
      </c>
      <c r="Z28" s="26">
        <f>2*2*2</f>
        <v>8</v>
      </c>
    </row>
    <row r="29" spans="1:26" ht="30.75" thickBot="1">
      <c r="Y29" s="107" t="s">
        <v>174</v>
      </c>
      <c r="Z29" s="110">
        <f>(Z10*Z15*LN(Z28)*10^-3)/Z5</f>
        <v>1.2320374832982735</v>
      </c>
    </row>
    <row r="31" spans="1:26">
      <c r="E31" t="s">
        <v>677</v>
      </c>
      <c r="F31" t="s">
        <v>655</v>
      </c>
      <c r="G31" t="s">
        <v>655</v>
      </c>
      <c r="H31" t="s">
        <v>237</v>
      </c>
      <c r="I31" t="s">
        <v>237</v>
      </c>
      <c r="J31" t="s">
        <v>237</v>
      </c>
      <c r="K31" t="s">
        <v>237</v>
      </c>
      <c r="N31" t="s">
        <v>237</v>
      </c>
    </row>
    <row r="32" spans="1:26">
      <c r="A32" t="s">
        <v>654</v>
      </c>
      <c r="B32" t="s">
        <v>658</v>
      </c>
      <c r="C32" t="s">
        <v>676</v>
      </c>
      <c r="D32" t="s">
        <v>661</v>
      </c>
      <c r="E32" t="s">
        <v>656</v>
      </c>
      <c r="F32" t="s">
        <v>678</v>
      </c>
      <c r="G32" t="s">
        <v>668</v>
      </c>
      <c r="H32" t="s">
        <v>659</v>
      </c>
      <c r="I32" t="s">
        <v>660</v>
      </c>
      <c r="J32" t="s">
        <v>656</v>
      </c>
      <c r="K32" t="s">
        <v>678</v>
      </c>
      <c r="L32" t="s">
        <v>657</v>
      </c>
      <c r="M32" t="s">
        <v>662</v>
      </c>
      <c r="N32" t="s">
        <v>668</v>
      </c>
    </row>
    <row r="33" spans="1:16">
      <c r="A33" s="1">
        <v>704.65</v>
      </c>
      <c r="B33" s="207">
        <f>1/A33</f>
        <v>1.4191442560136239E-3</v>
      </c>
      <c r="C33">
        <f>1/(A33*A33)</f>
        <v>2.0139704193764622E-6</v>
      </c>
      <c r="D33" s="6">
        <f>A33*$Z$15/(1000*$Z$5)</f>
        <v>1.400283101289916</v>
      </c>
      <c r="E33" s="1">
        <v>1.1100000000000001</v>
      </c>
      <c r="F33" s="5">
        <f>(E33*$Z$12)/($Z$13*A33)</f>
        <v>7.5600086806547039E-14</v>
      </c>
      <c r="G33" s="11">
        <f>E33/A33</f>
        <v>1.5752501241751225E-3</v>
      </c>
      <c r="H33" s="6">
        <f>N18-(N3+N13)</f>
        <v>46.857373126840685</v>
      </c>
      <c r="I33" s="6">
        <f>H33/D33</f>
        <v>33.462785549348204</v>
      </c>
      <c r="J33" s="1">
        <f>2*(A33*$Z$13/$Z$11)*EXP(-I33)</f>
        <v>0.54113730563322726</v>
      </c>
      <c r="K33" s="11">
        <f>(J33*$Z$12)/($Z$13*A33)</f>
        <v>3.685588043255221E-14</v>
      </c>
      <c r="L33" s="1">
        <f>LN(E33)</f>
        <v>0.10436001532424286</v>
      </c>
      <c r="M33" s="1">
        <f>LN(J33)</f>
        <v>-0.61408223264561645</v>
      </c>
      <c r="N33" s="11">
        <f>J33/A33</f>
        <v>7.6795189900408331E-4</v>
      </c>
    </row>
    <row r="34" spans="1:16">
      <c r="A34" s="1">
        <v>712.75</v>
      </c>
      <c r="B34" s="207">
        <f>1/A34</f>
        <v>1.4030164854437039E-3</v>
      </c>
      <c r="C34">
        <f>1/(A34*A34)</f>
        <v>1.9684552584268034E-6</v>
      </c>
      <c r="D34" s="6">
        <f>A34*$Z$15/(1000*$Z$5)</f>
        <v>1.4163794514218231</v>
      </c>
      <c r="E34" s="1">
        <v>1.44</v>
      </c>
      <c r="F34" s="5">
        <f>(E34*$Z$12)/($Z$13*A34)</f>
        <v>9.696121251244992E-14</v>
      </c>
      <c r="G34" s="11">
        <f>E34/A34</f>
        <v>2.0203437390389337E-3</v>
      </c>
      <c r="H34" s="6">
        <f>N19-(N4+N14)</f>
        <v>46.822232607024489</v>
      </c>
      <c r="I34" s="6">
        <f>H34/D34</f>
        <v>33.057689844357952</v>
      </c>
      <c r="J34" s="1">
        <f>2*(A34*$Z$13/$Z$11)*EXP(-I34)</f>
        <v>0.82073333656425629</v>
      </c>
      <c r="K34" s="11">
        <f>(J34*$Z$12)/($Z$13*A34)</f>
        <v>5.5263402404624267E-14</v>
      </c>
      <c r="L34" s="1">
        <f>LN(E34)</f>
        <v>0.36464311358790924</v>
      </c>
      <c r="M34" s="1">
        <f>LN(J34)</f>
        <v>-0.19755702550010276</v>
      </c>
      <c r="N34" s="11">
        <f>J34/A34</f>
        <v>1.1515024013528674E-3</v>
      </c>
    </row>
    <row r="35" spans="1:16">
      <c r="A35" s="1">
        <v>721.55</v>
      </c>
      <c r="B35" s="207">
        <f>1/A35</f>
        <v>1.3859053426650962E-3</v>
      </c>
      <c r="C35">
        <f>1/(A35*A35)</f>
        <v>1.9207336188276573E-6</v>
      </c>
      <c r="D35" s="6">
        <f>A35*$Z$15/(1000*$Z$5)</f>
        <v>1.433866844157722</v>
      </c>
      <c r="E35" s="1">
        <v>1.91</v>
      </c>
      <c r="F35" s="5">
        <f>(E35*$Z$12)/($Z$13*A35)</f>
        <v>1.270397726507509E-13</v>
      </c>
      <c r="G35" s="11">
        <f>E35/A35</f>
        <v>2.6470792044903332E-3</v>
      </c>
      <c r="H35" s="6">
        <f>N20-(N5+N15)</f>
        <v>46.782699522242183</v>
      </c>
      <c r="I35" s="6">
        <f>H35/D35</f>
        <v>32.62694838984379</v>
      </c>
      <c r="J35" s="1">
        <f>2*(A35*$Z$13/$Z$11)*EXP(-I35)</f>
        <v>1.2782032451868852</v>
      </c>
      <c r="K35" s="11">
        <f>(J35*$Z$12)/($Z$13*A35)</f>
        <v>8.5017094068059631E-14</v>
      </c>
      <c r="L35" s="1">
        <f>LN(E35)</f>
        <v>0.64710324205853842</v>
      </c>
      <c r="M35" s="1">
        <f>LN(J35)</f>
        <v>0.24545537710336501</v>
      </c>
      <c r="N35" s="11">
        <f>J35/A35</f>
        <v>1.771468706516368E-3</v>
      </c>
    </row>
    <row r="36" spans="1:16">
      <c r="A36" s="1">
        <v>731.55</v>
      </c>
      <c r="B36" s="207">
        <f>1/A36</f>
        <v>1.366960563187752E-3</v>
      </c>
      <c r="C36">
        <f>1/(A36*A36)</f>
        <v>1.8685811813105763E-6</v>
      </c>
      <c r="D36" s="6">
        <f>A36*$Z$15/(1000*$Z$5)</f>
        <v>1.4537388813576073</v>
      </c>
      <c r="E36" s="1">
        <v>3.04</v>
      </c>
      <c r="F36" s="5">
        <f>(E36*$Z$12)/($Z$13*A36)</f>
        <v>1.9943544227199862E-13</v>
      </c>
      <c r="G36" s="11">
        <f>E36/A36</f>
        <v>4.1555601120907663E-3</v>
      </c>
      <c r="H36" s="6">
        <f>N21-(N6+N16)</f>
        <v>46.735636326076929</v>
      </c>
      <c r="I36" s="6">
        <f>H36/D36</f>
        <v>32.14857697307496</v>
      </c>
      <c r="J36" s="1">
        <f>2*(A36*$Z$13/$Z$11)*EXP(-I36)</f>
        <v>2.0908918319549135</v>
      </c>
      <c r="K36" s="11">
        <f>(J36*$Z$12)/($Z$13*A36)</f>
        <v>1.3717037409501236E-13</v>
      </c>
      <c r="L36" s="1">
        <f>LN(E36)</f>
        <v>1.1118575154181303</v>
      </c>
      <c r="M36" s="1">
        <f>LN(J36)</f>
        <v>0.73759068881427969</v>
      </c>
      <c r="N36" s="11">
        <f>J36/A36</f>
        <v>2.8581666761737594E-3</v>
      </c>
    </row>
    <row r="37" spans="1:16">
      <c r="A37" s="1">
        <v>741.65</v>
      </c>
      <c r="B37" s="207">
        <f>1/A37</f>
        <v>1.3483449066271152E-3</v>
      </c>
      <c r="C37">
        <f>1/(A37*A37)</f>
        <v>1.8180339872272843E-6</v>
      </c>
      <c r="D37" s="6">
        <f>A37*$Z$15/(1000*$Z$5)</f>
        <v>1.4738096389294915</v>
      </c>
      <c r="E37" s="1">
        <v>5.05</v>
      </c>
      <c r="F37" s="5">
        <f>(E37*$Z$12)/($Z$13*A37)</f>
        <v>3.2678728389229337E-13</v>
      </c>
      <c r="G37" s="11">
        <f>E37/A37</f>
        <v>6.8091417784669319E-3</v>
      </c>
      <c r="H37" s="6">
        <f>N22-(N7+N17)</f>
        <v>46.692338185588596</v>
      </c>
      <c r="I37" s="6">
        <f>H37/D37</f>
        <v>31.681390155314627</v>
      </c>
      <c r="J37" s="1">
        <f>2*(A37*$Z$13/$Z$11)*EXP(-I37)</f>
        <v>3.3820748074330353</v>
      </c>
      <c r="K37" s="11">
        <f>(J37*$Z$12)/($Z$13*A37)</f>
        <v>2.188552554933847E-13</v>
      </c>
      <c r="L37" s="1">
        <f>LN(E37)</f>
        <v>1.6193882432872684</v>
      </c>
      <c r="M37" s="1">
        <f>LN(J37)</f>
        <v>1.218489369520062</v>
      </c>
      <c r="N37" s="11">
        <f>J37/A37</f>
        <v>4.5602033404342152E-3</v>
      </c>
    </row>
    <row r="40" spans="1:16">
      <c r="E40" t="s">
        <v>677</v>
      </c>
      <c r="F40" t="s">
        <v>655</v>
      </c>
      <c r="G40" t="s">
        <v>655</v>
      </c>
      <c r="H40" t="s">
        <v>225</v>
      </c>
      <c r="I40" t="s">
        <v>225</v>
      </c>
      <c r="J40" t="s">
        <v>225</v>
      </c>
      <c r="K40" t="s">
        <v>225</v>
      </c>
      <c r="N40" t="s">
        <v>237</v>
      </c>
    </row>
    <row r="41" spans="1:16">
      <c r="A41" t="s">
        <v>654</v>
      </c>
      <c r="B41" t="s">
        <v>658</v>
      </c>
      <c r="C41" t="s">
        <v>676</v>
      </c>
      <c r="D41" t="s">
        <v>661</v>
      </c>
      <c r="E41" t="s">
        <v>656</v>
      </c>
      <c r="F41" t="s">
        <v>678</v>
      </c>
      <c r="G41" t="s">
        <v>668</v>
      </c>
      <c r="H41" t="s">
        <v>659</v>
      </c>
      <c r="I41" t="s">
        <v>660</v>
      </c>
      <c r="J41" t="s">
        <v>656</v>
      </c>
      <c r="K41" t="s">
        <v>678</v>
      </c>
      <c r="L41" t="s">
        <v>657</v>
      </c>
      <c r="M41" t="s">
        <v>662</v>
      </c>
      <c r="N41" t="s">
        <v>668</v>
      </c>
    </row>
    <row r="42" spans="1:16">
      <c r="A42" s="1">
        <v>704.65</v>
      </c>
      <c r="B42" s="2">
        <f>1/A42</f>
        <v>1.4191442560136239E-3</v>
      </c>
      <c r="C42">
        <f>1/(A42*A42)</f>
        <v>2.0139704193764622E-6</v>
      </c>
      <c r="D42" s="6">
        <f>A42*$Z$15/(1000*$Z$5)</f>
        <v>1.400283101289916</v>
      </c>
      <c r="E42" s="1">
        <v>1.1100000000000001</v>
      </c>
      <c r="F42" s="11">
        <f>(E42*$Z$12)/($Z$13*A42)</f>
        <v>7.5600086806547039E-14</v>
      </c>
      <c r="G42" s="11">
        <f>E42/A42</f>
        <v>1.5752501241751225E-3</v>
      </c>
      <c r="H42" s="6">
        <f>M80-(M65+M75)</f>
        <v>42.623197574270307</v>
      </c>
      <c r="I42" s="6">
        <f>H42/D42</f>
        <v>30.438985898641906</v>
      </c>
      <c r="J42" s="1">
        <f>(A42*$Z$13/$Z$11)*EXP(-I42)</f>
        <v>5.5654076666141883</v>
      </c>
      <c r="K42" s="11">
        <f>(J42*$Z$12)/($Z$13*A42)</f>
        <v>3.7904982226113066E-13</v>
      </c>
      <c r="L42" s="1">
        <f>LN(E42)</f>
        <v>0.10436001532424286</v>
      </c>
      <c r="M42" s="1">
        <f>LN(J42)</f>
        <v>1.7165702375007366</v>
      </c>
      <c r="N42" s="11">
        <f>J42/A42</f>
        <v>7.8981163224497112E-3</v>
      </c>
    </row>
    <row r="43" spans="1:16">
      <c r="A43" s="1">
        <v>712.75</v>
      </c>
      <c r="B43" s="2">
        <f>1/A43</f>
        <v>1.4030164854437039E-3</v>
      </c>
      <c r="C43">
        <f>1/(A43*A43)</f>
        <v>1.9684552584268034E-6</v>
      </c>
      <c r="D43" s="6">
        <f>A43*$Z$15/(1000*$Z$5)</f>
        <v>1.4163794514218231</v>
      </c>
      <c r="E43" s="1">
        <v>1.44</v>
      </c>
      <c r="F43" s="11">
        <f>(E43*$Z$12)/($Z$13*A43)</f>
        <v>9.696121251244992E-14</v>
      </c>
      <c r="G43" s="11">
        <f>E43/A43</f>
        <v>2.0203437390389337E-3</v>
      </c>
      <c r="H43" s="6">
        <f>M81-(M66+M76)</f>
        <v>42.601862258656183</v>
      </c>
      <c r="I43" s="6">
        <f>H43/D43</f>
        <v>30.078000789894677</v>
      </c>
      <c r="J43" s="1">
        <f>(A43*$Z$13/$Z$11)*EXP(-I43)</f>
        <v>8.0767119142419208</v>
      </c>
      <c r="K43" s="11">
        <f>(J43*$Z$12)/($Z$13*A43)</f>
        <v>5.4383873633239388E-13</v>
      </c>
      <c r="L43" s="1">
        <f>LN(E43)</f>
        <v>0.36464311358790924</v>
      </c>
      <c r="M43" s="1">
        <f>LN(J43)</f>
        <v>2.0889848484032272</v>
      </c>
      <c r="N43" s="11">
        <f>J43/A43</f>
        <v>1.133175996386099E-2</v>
      </c>
    </row>
    <row r="44" spans="1:16">
      <c r="A44" s="1">
        <v>721.55</v>
      </c>
      <c r="B44" s="2">
        <f>1/A44</f>
        <v>1.3859053426650962E-3</v>
      </c>
      <c r="C44">
        <f>1/(A44*A44)</f>
        <v>1.9207336188276573E-6</v>
      </c>
      <c r="D44" s="6">
        <f>A44*$Z$15/(1000*$Z$5)</f>
        <v>1.433866844157722</v>
      </c>
      <c r="E44" s="1">
        <v>1.91</v>
      </c>
      <c r="F44" s="11">
        <f>(E44*$Z$12)/($Z$13*A44)</f>
        <v>1.270397726507509E-13</v>
      </c>
      <c r="G44" s="11">
        <f>E44/A44</f>
        <v>2.6470792044903332E-3</v>
      </c>
      <c r="H44" s="6">
        <f>M82-(M67+M77)</f>
        <v>42.578016905928962</v>
      </c>
      <c r="I44" s="6">
        <f>H44/D44</f>
        <v>29.694540381774445</v>
      </c>
      <c r="J44" s="1">
        <f>(A44*$Z$13/$Z$11)*EXP(-I44)</f>
        <v>11.997714875499549</v>
      </c>
      <c r="K44" s="11">
        <f>(J44*$Z$12)/($Z$13*A44)</f>
        <v>7.980036492732957E-13</v>
      </c>
      <c r="L44" s="1">
        <f>LN(E44)</f>
        <v>0.64710324205853842</v>
      </c>
      <c r="M44" s="1">
        <f>LN(J44)</f>
        <v>2.4847162046127647</v>
      </c>
      <c r="N44" s="11">
        <f>J44/A44</f>
        <v>1.6627697145727323E-2</v>
      </c>
    </row>
    <row r="45" spans="1:16">
      <c r="A45" s="1">
        <v>731.55</v>
      </c>
      <c r="B45" s="2">
        <f>1/A45</f>
        <v>1.366960563187752E-3</v>
      </c>
      <c r="C45">
        <f>1/(A45*A45)</f>
        <v>1.8685811813105763E-6</v>
      </c>
      <c r="D45" s="6">
        <f>A45*$Z$15/(1000*$Z$5)</f>
        <v>1.4537388813576073</v>
      </c>
      <c r="E45" s="1">
        <v>3.04</v>
      </c>
      <c r="F45" s="11">
        <f>(E45*$Z$12)/($Z$13*A45)</f>
        <v>1.9943544227199862E-13</v>
      </c>
      <c r="G45" s="11">
        <f>E45/A45</f>
        <v>4.1555601120907663E-3</v>
      </c>
      <c r="H45" s="6">
        <f>M83-(M68+M78)</f>
        <v>42.550406497495715</v>
      </c>
      <c r="I45" s="6">
        <f>H45/D45</f>
        <v>29.269635037730463</v>
      </c>
      <c r="J45" s="1">
        <f>(A45*$Z$13/$Z$11)*EXP(-I45)</f>
        <v>18.604164315662416</v>
      </c>
      <c r="K45" s="11">
        <f>(J45*$Z$12)/($Z$13*A45)</f>
        <v>1.2205032034194303E-12</v>
      </c>
      <c r="L45" s="1">
        <f>LN(E45)</f>
        <v>1.1118575154181303</v>
      </c>
      <c r="M45" s="1">
        <f>LN(J45)</f>
        <v>2.9233854435988307</v>
      </c>
      <c r="N45" s="11">
        <f>J45/A45</f>
        <v>2.5431158930575376E-2</v>
      </c>
    </row>
    <row r="46" spans="1:16">
      <c r="A46" s="1">
        <v>741.65</v>
      </c>
      <c r="B46" s="2">
        <f>1/A46</f>
        <v>1.3483449066271152E-3</v>
      </c>
      <c r="C46">
        <f>1/(A46*A46)</f>
        <v>1.8180339872272843E-6</v>
      </c>
      <c r="D46" s="6">
        <f>A46*$Z$15/(1000*$Z$5)</f>
        <v>1.4738096389294915</v>
      </c>
      <c r="E46" s="1">
        <v>5.05</v>
      </c>
      <c r="F46" s="11">
        <f>(E46*$Z$12)/($Z$13*A46)</f>
        <v>3.2678728389229337E-13</v>
      </c>
      <c r="G46" s="11">
        <f>E46/A46</f>
        <v>6.8091417784669319E-3</v>
      </c>
      <c r="H46" s="6">
        <f>M84-(M69+M79)</f>
        <v>42.523423598380759</v>
      </c>
      <c r="I46" s="6">
        <f>H46/D46</f>
        <v>28.852724582034792</v>
      </c>
      <c r="J46" s="1">
        <f>(A46*$Z$13/$Z$11)*EXP(-I46)</f>
        <v>28.617195037217435</v>
      </c>
      <c r="K46" s="11">
        <f>(J46*$Z$12)/($Z$13*A46)</f>
        <v>1.8518287997679806E-12</v>
      </c>
      <c r="L46" s="1">
        <f>LN(E46)</f>
        <v>1.6193882432872684</v>
      </c>
      <c r="M46" s="1">
        <f>LN(J46)</f>
        <v>3.3540077622399518</v>
      </c>
      <c r="N46" s="11">
        <f>J46/A46</f>
        <v>3.8585849170386891E-2</v>
      </c>
    </row>
    <row r="47" spans="1:16">
      <c r="P47" s="6">
        <f>23131*Z15/(1000*Z5)</f>
        <v>45.966009247054636</v>
      </c>
    </row>
    <row r="48" spans="1:16">
      <c r="E48" t="s">
        <v>677</v>
      </c>
      <c r="F48" t="s">
        <v>655</v>
      </c>
      <c r="G48" t="s">
        <v>655</v>
      </c>
      <c r="H48" t="s">
        <v>225</v>
      </c>
      <c r="I48" t="s">
        <v>225</v>
      </c>
      <c r="J48" t="s">
        <v>225</v>
      </c>
      <c r="K48" t="s">
        <v>225</v>
      </c>
      <c r="N48" t="s">
        <v>237</v>
      </c>
      <c r="P48" s="6">
        <f>21345*Z15/(1000*Z5)</f>
        <v>42.416863403155126</v>
      </c>
    </row>
    <row r="49" spans="1:16">
      <c r="A49" t="s">
        <v>654</v>
      </c>
      <c r="B49" t="s">
        <v>658</v>
      </c>
      <c r="C49" t="s">
        <v>676</v>
      </c>
      <c r="D49" t="s">
        <v>661</v>
      </c>
      <c r="E49" t="s">
        <v>656</v>
      </c>
      <c r="F49" t="s">
        <v>678</v>
      </c>
      <c r="G49" t="s">
        <v>668</v>
      </c>
      <c r="H49" t="s">
        <v>659</v>
      </c>
      <c r="I49" t="s">
        <v>660</v>
      </c>
      <c r="J49" t="s">
        <v>656</v>
      </c>
      <c r="K49" t="s">
        <v>678</v>
      </c>
      <c r="L49" t="s">
        <v>657</v>
      </c>
      <c r="M49" t="s">
        <v>662</v>
      </c>
      <c r="N49" t="s">
        <v>668</v>
      </c>
      <c r="P49" s="6">
        <f>25180*Z15/(1000*Z5)</f>
        <v>50.037789669311124</v>
      </c>
    </row>
    <row r="50" spans="1:16">
      <c r="A50" s="1">
        <v>704.65</v>
      </c>
      <c r="B50" s="2">
        <f>1/A50</f>
        <v>1.4191442560136239E-3</v>
      </c>
      <c r="C50">
        <f>1/(A50*A50)</f>
        <v>2.0139704193764622E-6</v>
      </c>
      <c r="D50" s="6">
        <f>A50*$Z$15/(1000*$Z$5)</f>
        <v>1.400283101289916</v>
      </c>
      <c r="E50" s="1">
        <v>1.1100000000000001</v>
      </c>
      <c r="F50" s="11">
        <f>(E50*$Z$12)/($Z$13*A50)</f>
        <v>7.5600086806547039E-14</v>
      </c>
      <c r="G50" s="11">
        <f>E50/A50</f>
        <v>1.5752501241751225E-3</v>
      </c>
      <c r="H50" s="6">
        <f>Sheet8!T36</f>
        <v>38.254434219852556</v>
      </c>
      <c r="I50" s="6">
        <f>H50/D50</f>
        <v>27.319071539614562</v>
      </c>
      <c r="J50" s="1">
        <f>2*(A50*$Z$13/$Z$11)*EXP(-I50)</f>
        <v>252.05108295011976</v>
      </c>
      <c r="K50" s="11">
        <f>(J50*$Z$12)/($Z$13*A50)</f>
        <v>1.7166742117759678E-11</v>
      </c>
      <c r="L50" s="1">
        <f>LN(E50)</f>
        <v>0.10436001532424286</v>
      </c>
      <c r="M50" s="1">
        <f>LN(J50)</f>
        <v>5.5296317770880261</v>
      </c>
      <c r="N50" s="11">
        <f>J50/A50</f>
        <v>0.35769684659067591</v>
      </c>
    </row>
    <row r="51" spans="1:16">
      <c r="A51" s="1">
        <v>712.75</v>
      </c>
      <c r="B51" s="2">
        <f>1/A51</f>
        <v>1.4030164854437039E-3</v>
      </c>
      <c r="C51">
        <f>1/(A51*A51)</f>
        <v>1.9684552584268034E-6</v>
      </c>
      <c r="D51" s="6">
        <f>A51*$Z$15/(1000*$Z$5)</f>
        <v>1.4163794514218231</v>
      </c>
      <c r="E51" s="1">
        <v>1.44</v>
      </c>
      <c r="F51" s="11">
        <f>(E51*$Z$12)/($Z$13*A51)</f>
        <v>9.696121251244992E-14</v>
      </c>
      <c r="G51" s="11">
        <f>E51/A51</f>
        <v>2.0203437390389337E-3</v>
      </c>
      <c r="H51" s="6">
        <f>Sheet8!T37</f>
        <v>38.203605967995827</v>
      </c>
      <c r="I51" s="6">
        <f>H51/D51</f>
        <v>26.972719725385307</v>
      </c>
      <c r="J51" s="1">
        <f>2*(A51*$Z$13/$Z$11)*EXP(-I51)</f>
        <v>360.47157091850738</v>
      </c>
      <c r="K51" s="11">
        <f>(J51*$Z$12)/($Z$13*A51)</f>
        <v>2.4272055967031985E-11</v>
      </c>
      <c r="L51" s="1">
        <f>LN(E51)</f>
        <v>0.36464311358790924</v>
      </c>
      <c r="M51" s="1">
        <f>LN(J51)</f>
        <v>5.8874130934725422</v>
      </c>
      <c r="N51" s="11">
        <f>J51/A51</f>
        <v>0.50574755653245507</v>
      </c>
      <c r="P51" s="13">
        <f>(-Z15/(Z5))/ 0.04328</f>
        <v>-45.915058225243243</v>
      </c>
    </row>
    <row r="52" spans="1:16">
      <c r="A52" s="1">
        <v>721.55</v>
      </c>
      <c r="B52" s="2">
        <f>1/A52</f>
        <v>1.3859053426650962E-3</v>
      </c>
      <c r="C52">
        <f>1/(A52*A52)</f>
        <v>1.9207336188276573E-6</v>
      </c>
      <c r="D52" s="6">
        <f>A52*$Z$15/(1000*$Z$5)</f>
        <v>1.433866844157722</v>
      </c>
      <c r="E52" s="1">
        <v>1.91</v>
      </c>
      <c r="F52" s="11">
        <f>(E52*$Z$12)/($Z$13*A52)</f>
        <v>1.270397726507509E-13</v>
      </c>
      <c r="G52" s="11">
        <f>E52/A52</f>
        <v>2.6470792044903332E-3</v>
      </c>
      <c r="H52" s="6">
        <f>Sheet8!T38</f>
        <v>38.14713013258006</v>
      </c>
      <c r="I52" s="6">
        <f>H52/D52</f>
        <v>26.604374240195462</v>
      </c>
      <c r="J52" s="1">
        <f>2*(A52*$Z$13/$Z$11)*EXP(-I52)</f>
        <v>527.4370526453755</v>
      </c>
      <c r="K52" s="11">
        <f>(J52*$Z$12)/($Z$13*A52)</f>
        <v>3.5081404845890384E-11</v>
      </c>
      <c r="L52" s="1">
        <f>LN(E52)</f>
        <v>0.64710324205853842</v>
      </c>
      <c r="M52" s="1">
        <f>LN(J52)</f>
        <v>6.2680295267516932</v>
      </c>
      <c r="N52" s="11">
        <f>J52/A52</f>
        <v>0.73097782918075749</v>
      </c>
    </row>
    <row r="53" spans="1:16">
      <c r="A53" s="1">
        <v>731.55</v>
      </c>
      <c r="B53" s="2">
        <f>1/A53</f>
        <v>1.366960563187752E-3</v>
      </c>
      <c r="C53">
        <f>1/(A53*A53)</f>
        <v>1.8685811813105763E-6</v>
      </c>
      <c r="D53" s="6">
        <f>A53*$Z$15/(1000*$Z$5)</f>
        <v>1.4537388813576073</v>
      </c>
      <c r="E53" s="1">
        <v>3.04</v>
      </c>
      <c r="F53" s="11">
        <f>(E53*$Z$12)/($Z$13*A53)</f>
        <v>1.9943544227199862E-13</v>
      </c>
      <c r="G53" s="11">
        <f>E53/A53</f>
        <v>4.1555601120907663E-3</v>
      </c>
      <c r="H53" s="6">
        <f>Sheet8!T39</f>
        <v>38.081869167217519</v>
      </c>
      <c r="I53" s="6">
        <f>H53/D53</f>
        <v>26.195811129199416</v>
      </c>
      <c r="J53" s="1">
        <f>2*(A53*$Z$13/$Z$11)*EXP(-I53)</f>
        <v>804.60907044703538</v>
      </c>
      <c r="K53" s="11">
        <f>(J53*$Z$12)/($Z$13*A53)</f>
        <v>5.2785383493640196E-11</v>
      </c>
      <c r="L53" s="1">
        <f>LN(E53)</f>
        <v>1.1118575154181303</v>
      </c>
      <c r="M53" s="1">
        <f>LN(J53)</f>
        <v>6.6903565326898233</v>
      </c>
      <c r="N53" s="11">
        <f>J53/A53</f>
        <v>1.0998688680842532</v>
      </c>
    </row>
    <row r="54" spans="1:16">
      <c r="A54" s="1">
        <v>741.65</v>
      </c>
      <c r="B54" s="2">
        <f>1/A54</f>
        <v>1.3483449066271152E-3</v>
      </c>
      <c r="C54">
        <f>1/(A54*A54)</f>
        <v>1.8180339872272843E-6</v>
      </c>
      <c r="D54" s="6">
        <f>A54*$Z$15/(1000*$Z$5)</f>
        <v>1.4738096389294915</v>
      </c>
      <c r="E54" s="1">
        <v>5.05</v>
      </c>
      <c r="F54" s="11">
        <f>(E54*$Z$12)/($Z$13*A54)</f>
        <v>3.2678728389229337E-13</v>
      </c>
      <c r="G54" s="11">
        <f>E54/A54</f>
        <v>6.8091417784669319E-3</v>
      </c>
      <c r="H54" s="6">
        <f>Sheet8!T40</f>
        <v>38.018490729722544</v>
      </c>
      <c r="I54" s="6">
        <f>H54/D54</f>
        <v>25.796066008455103</v>
      </c>
      <c r="J54" s="1">
        <f>2*(A54*$Z$13/$Z$11)*EXP(-I54)</f>
        <v>1216.5977547582331</v>
      </c>
      <c r="K54" s="11">
        <f>(J54*$Z$12)/($Z$13*A54)</f>
        <v>7.8726470468694145E-11</v>
      </c>
      <c r="L54" s="1">
        <f>LN(E54)</f>
        <v>1.6193882432872684</v>
      </c>
      <c r="M54" s="1">
        <f>LN(J54)</f>
        <v>7.1038135163795868</v>
      </c>
      <c r="N54" s="11">
        <f>J54/A54</f>
        <v>1.6403933860422479</v>
      </c>
    </row>
    <row r="55" spans="1:16">
      <c r="N55" s="6">
        <f>L80-(L65+L75)</f>
        <v>44.517648097476922</v>
      </c>
    </row>
    <row r="57" spans="1:16">
      <c r="H57" t="s">
        <v>679</v>
      </c>
    </row>
    <row r="58" spans="1:16">
      <c r="G58">
        <f>(-154.450945491 -( -151.612969651-2.91354392931 ))+(-0.062708-(-0.029279-0.025913))</f>
        <v>6.8052089309996372E-2</v>
      </c>
      <c r="H58">
        <f>-154.391175-(-151.553383-2.907449)</f>
        <v>6.9657000000006519E-2</v>
      </c>
    </row>
    <row r="59" spans="1:16">
      <c r="G59" s="6">
        <f>G58*($Z$3*$Z$4*10^-3/$Z$5)</f>
        <v>42.703317720954786</v>
      </c>
      <c r="H59" s="11">
        <f>H58*($Z$3*$Z$4*10^-3/$Z$5)</f>
        <v>43.710414076175617</v>
      </c>
    </row>
    <row r="60" spans="1:16">
      <c r="G60">
        <f>G59/D33</f>
        <v>30.496203004676161</v>
      </c>
      <c r="L60" s="11">
        <f>(21140-24700)*Z15/(1000*Z5)</f>
        <v>-7.0744452431591585</v>
      </c>
    </row>
    <row r="64" spans="1:16" ht="75">
      <c r="A64" s="178" t="s">
        <v>680</v>
      </c>
      <c r="B64" s="190" t="s">
        <v>626</v>
      </c>
      <c r="C64" s="190" t="s">
        <v>627</v>
      </c>
      <c r="D64" s="178" t="s">
        <v>628</v>
      </c>
      <c r="E64" s="190" t="s">
        <v>629</v>
      </c>
      <c r="F64" s="190" t="s">
        <v>478</v>
      </c>
      <c r="G64" s="190" t="s">
        <v>684</v>
      </c>
      <c r="H64" s="190" t="s">
        <v>681</v>
      </c>
      <c r="I64" s="190" t="s">
        <v>682</v>
      </c>
      <c r="J64" s="190" t="s">
        <v>683</v>
      </c>
      <c r="K64" s="206" t="s">
        <v>686</v>
      </c>
      <c r="L64" s="206" t="s">
        <v>505</v>
      </c>
      <c r="M64" s="206" t="s">
        <v>637</v>
      </c>
    </row>
    <row r="65" spans="1:15">
      <c r="A65" s="191" t="s">
        <v>638</v>
      </c>
      <c r="B65" s="17">
        <v>-151.61078092700001</v>
      </c>
      <c r="C65" s="17"/>
      <c r="D65" s="17"/>
      <c r="E65" s="33"/>
      <c r="F65" s="17"/>
      <c r="G65" s="17">
        <v>2.5745000000000001E-2</v>
      </c>
      <c r="H65" s="17">
        <v>3.7777999999999999E-2</v>
      </c>
      <c r="I65" s="17">
        <v>-2.9278999999999999E-2</v>
      </c>
      <c r="J65" s="196">
        <f t="shared" ref="J65:J87" si="4">(H65-I65)*($Z$3*$Z$4*10^-3/$Z$5)</f>
        <v>42.078889942228841</v>
      </c>
      <c r="K65" s="201">
        <f>(B65+G65)*($Z$3*$Z$4*10^-3/$Z$5)</f>
        <v>-95121.017099796256</v>
      </c>
      <c r="L65" s="201">
        <f t="shared" ref="L65:L87" si="5">(B65+H65)*($Z$3*$Z$4*10^-3/$Z$5)</f>
        <v>-95113.466280602515</v>
      </c>
      <c r="M65" s="201">
        <f t="shared" ref="M65:M87" si="6">(B65+I65)*($Z$3*$Z$4*10^-3/$Z$5)</f>
        <v>-95155.545170544749</v>
      </c>
    </row>
    <row r="66" spans="1:15">
      <c r="A66" s="191" t="s">
        <v>639</v>
      </c>
      <c r="B66" s="17">
        <v>-151.61078092700001</v>
      </c>
      <c r="C66" s="17"/>
      <c r="D66" s="17"/>
      <c r="E66" s="33"/>
      <c r="F66" s="17"/>
      <c r="G66" s="17">
        <v>2.5745000000000001E-2</v>
      </c>
      <c r="H66" s="17">
        <v>3.7954000000000002E-2</v>
      </c>
      <c r="I66" s="17">
        <v>-3.0051000000000001E-2</v>
      </c>
      <c r="J66" s="196">
        <f t="shared" si="4"/>
        <v>42.673768741835644</v>
      </c>
      <c r="K66" s="201">
        <f t="shared" ref="K66:K87" si="7">(B66+G66)*($Z$3*$Z$4*10^-3/$Z$5)</f>
        <v>-95121.017099796256</v>
      </c>
      <c r="L66" s="201">
        <f t="shared" si="5"/>
        <v>-95113.355838968826</v>
      </c>
      <c r="M66" s="201">
        <f t="shared" si="6"/>
        <v>-95156.029607710661</v>
      </c>
    </row>
    <row r="67" spans="1:15">
      <c r="A67" s="191" t="s">
        <v>640</v>
      </c>
      <c r="B67" s="17">
        <v>-151.61078092700001</v>
      </c>
      <c r="C67" s="17"/>
      <c r="D67" s="17"/>
      <c r="E67" s="33"/>
      <c r="F67" s="17"/>
      <c r="G67" s="17">
        <v>2.5745000000000001E-2</v>
      </c>
      <c r="H67" s="17">
        <v>3.8145999999999999E-2</v>
      </c>
      <c r="I67" s="17">
        <v>-3.0891999999999999E-2</v>
      </c>
      <c r="J67" s="196">
        <f t="shared" si="4"/>
        <v>43.321985830436716</v>
      </c>
      <c r="K67" s="201">
        <f t="shared" si="7"/>
        <v>-95121.017099796256</v>
      </c>
      <c r="L67" s="201">
        <f t="shared" si="5"/>
        <v>-95113.235357186626</v>
      </c>
      <c r="M67" s="201">
        <f t="shared" si="6"/>
        <v>-95156.557343017063</v>
      </c>
    </row>
    <row r="68" spans="1:15">
      <c r="A68" s="191" t="s">
        <v>641</v>
      </c>
      <c r="B68" s="17">
        <v>-151.61078092700001</v>
      </c>
      <c r="C68" s="17"/>
      <c r="D68" s="17"/>
      <c r="E68" s="33"/>
      <c r="F68" s="17"/>
      <c r="G68" s="17">
        <v>2.5745000000000001E-2</v>
      </c>
      <c r="H68" s="17">
        <v>3.8369E-2</v>
      </c>
      <c r="I68" s="17">
        <v>-3.1869000000000001E-2</v>
      </c>
      <c r="J68" s="196">
        <f t="shared" si="4"/>
        <v>44.074996969179487</v>
      </c>
      <c r="K68" s="201">
        <f t="shared" si="7"/>
        <v>-95121.017099796256</v>
      </c>
      <c r="L68" s="201">
        <f t="shared" si="5"/>
        <v>-95113.095422616694</v>
      </c>
      <c r="M68" s="201">
        <f t="shared" si="6"/>
        <v>-95157.170419585862</v>
      </c>
    </row>
    <row r="69" spans="1:15">
      <c r="A69" s="191" t="s">
        <v>642</v>
      </c>
      <c r="B69" s="17">
        <v>-151.61078092700001</v>
      </c>
      <c r="C69" s="17"/>
      <c r="D69" s="17"/>
      <c r="E69" s="33"/>
      <c r="F69" s="17"/>
      <c r="G69" s="17">
        <v>2.5745000000000001E-2</v>
      </c>
      <c r="H69" s="17">
        <v>3.8587000000000003E-2</v>
      </c>
      <c r="I69" s="17">
        <v>-3.2821000000000003E-2</v>
      </c>
      <c r="J69" s="196">
        <f t="shared" si="4"/>
        <v>44.809182829453704</v>
      </c>
      <c r="K69" s="201">
        <f t="shared" si="7"/>
        <v>-95121.017099796256</v>
      </c>
      <c r="L69" s="201">
        <f t="shared" si="5"/>
        <v>-95112.95862559315</v>
      </c>
      <c r="M69" s="201">
        <f t="shared" si="6"/>
        <v>-95157.767808422606</v>
      </c>
      <c r="O69" s="6">
        <f>K80-(K65+K75)</f>
        <v>43.048021358350525</v>
      </c>
    </row>
    <row r="70" spans="1:15">
      <c r="A70" s="191" t="s">
        <v>666</v>
      </c>
      <c r="B70" s="17"/>
      <c r="C70" s="17"/>
      <c r="D70" s="17"/>
      <c r="E70" s="33"/>
      <c r="F70" s="17"/>
      <c r="G70" s="17"/>
      <c r="H70" s="17"/>
      <c r="I70" s="17"/>
      <c r="J70" s="196">
        <f t="shared" si="4"/>
        <v>0</v>
      </c>
      <c r="K70" s="201">
        <f t="shared" si="7"/>
        <v>0</v>
      </c>
      <c r="L70" s="201">
        <f t="shared" si="5"/>
        <v>0</v>
      </c>
      <c r="M70" s="201">
        <f t="shared" si="6"/>
        <v>0</v>
      </c>
    </row>
    <row r="71" spans="1:15">
      <c r="A71" s="191" t="s">
        <v>667</v>
      </c>
      <c r="B71" s="17"/>
      <c r="C71" s="17"/>
      <c r="D71" s="17"/>
      <c r="E71" s="33"/>
      <c r="F71" s="17"/>
      <c r="G71" s="17"/>
      <c r="H71" s="17"/>
      <c r="I71" s="17"/>
      <c r="J71" s="196">
        <f t="shared" si="4"/>
        <v>0</v>
      </c>
      <c r="K71" s="201">
        <f t="shared" si="7"/>
        <v>0</v>
      </c>
      <c r="L71" s="201">
        <f t="shared" si="5"/>
        <v>0</v>
      </c>
      <c r="M71" s="201">
        <f t="shared" si="6"/>
        <v>0</v>
      </c>
      <c r="O71">
        <f>-154.391175-(-151.553383-2.907449)</f>
        <v>6.9657000000006519E-2</v>
      </c>
    </row>
    <row r="72" spans="1:15">
      <c r="A72" s="191" t="s">
        <v>663</v>
      </c>
      <c r="B72" s="17"/>
      <c r="C72" s="17"/>
      <c r="D72" s="17"/>
      <c r="E72" s="33"/>
      <c r="F72" s="17"/>
      <c r="G72" s="17"/>
      <c r="H72" s="17"/>
      <c r="I72" s="17"/>
      <c r="J72" s="196">
        <f t="shared" si="4"/>
        <v>0</v>
      </c>
      <c r="K72" s="201">
        <f t="shared" si="7"/>
        <v>0</v>
      </c>
      <c r="L72" s="201">
        <f t="shared" si="5"/>
        <v>0</v>
      </c>
      <c r="M72" s="201">
        <f t="shared" si="6"/>
        <v>0</v>
      </c>
      <c r="O72" s="6">
        <f>O71*($Z$3*$Z$4*10^-3/$Z$5)</f>
        <v>43.710414076175617</v>
      </c>
    </row>
    <row r="73" spans="1:15">
      <c r="A73" s="191" t="s">
        <v>664</v>
      </c>
      <c r="B73" s="17"/>
      <c r="C73" s="17"/>
      <c r="D73" s="17"/>
      <c r="E73" s="33"/>
      <c r="F73" s="17"/>
      <c r="G73" s="17"/>
      <c r="H73" s="17"/>
      <c r="I73" s="17"/>
      <c r="J73" s="196">
        <f t="shared" si="4"/>
        <v>0</v>
      </c>
      <c r="K73" s="201">
        <f t="shared" si="7"/>
        <v>0</v>
      </c>
      <c r="L73" s="201">
        <f t="shared" si="5"/>
        <v>0</v>
      </c>
      <c r="M73" s="201">
        <f t="shared" si="6"/>
        <v>0</v>
      </c>
    </row>
    <row r="74" spans="1:15">
      <c r="A74" s="191" t="s">
        <v>665</v>
      </c>
      <c r="B74" s="17"/>
      <c r="C74" s="17"/>
      <c r="D74" s="17"/>
      <c r="E74" s="33"/>
      <c r="F74" s="17"/>
      <c r="G74" s="17"/>
      <c r="H74" s="17"/>
      <c r="I74" s="17"/>
      <c r="J74" s="196">
        <f t="shared" si="4"/>
        <v>0</v>
      </c>
      <c r="K74" s="201">
        <f t="shared" si="7"/>
        <v>0</v>
      </c>
      <c r="L74" s="201">
        <f t="shared" si="5"/>
        <v>0</v>
      </c>
      <c r="M74" s="201">
        <f t="shared" si="6"/>
        <v>0</v>
      </c>
    </row>
    <row r="75" spans="1:15">
      <c r="A75" s="191" t="s">
        <v>644</v>
      </c>
      <c r="B75" s="17">
        <v>-2.91302785869</v>
      </c>
      <c r="C75" s="17"/>
      <c r="D75" s="17"/>
      <c r="E75" s="33"/>
      <c r="F75" s="17"/>
      <c r="G75" s="17">
        <v>0</v>
      </c>
      <c r="H75" s="17">
        <v>5.5789999999999998E-3</v>
      </c>
      <c r="I75" s="17">
        <v>-2.5912999999999999E-2</v>
      </c>
      <c r="J75" s="196">
        <f t="shared" si="4"/>
        <v>19.761522317739693</v>
      </c>
      <c r="K75" s="201">
        <f t="shared" si="7"/>
        <v>-1827.9520208846661</v>
      </c>
      <c r="L75" s="201">
        <f t="shared" si="5"/>
        <v>-1824.4511465987944</v>
      </c>
      <c r="M75" s="201">
        <f t="shared" si="6"/>
        <v>-1844.2126689165341</v>
      </c>
    </row>
    <row r="76" spans="1:15">
      <c r="A76" s="191" t="s">
        <v>645</v>
      </c>
      <c r="B76" s="17">
        <v>-2.91302785869</v>
      </c>
      <c r="C76" s="17"/>
      <c r="D76" s="17"/>
      <c r="E76" s="33"/>
      <c r="F76" s="17"/>
      <c r="G76" s="17">
        <v>0</v>
      </c>
      <c r="H76" s="17">
        <v>5.6429999999999996E-3</v>
      </c>
      <c r="I76" s="17">
        <v>-2.6276000000000001E-2</v>
      </c>
      <c r="J76" s="196">
        <f t="shared" si="4"/>
        <v>20.029468781275668</v>
      </c>
      <c r="K76" s="201">
        <f t="shared" si="7"/>
        <v>-1827.9520208846661</v>
      </c>
      <c r="L76" s="201">
        <f t="shared" si="5"/>
        <v>-1824.4109860047281</v>
      </c>
      <c r="M76" s="201">
        <f t="shared" si="6"/>
        <v>-1844.440454786004</v>
      </c>
    </row>
    <row r="77" spans="1:15">
      <c r="A77" s="191" t="s">
        <v>646</v>
      </c>
      <c r="B77" s="17">
        <v>-2.91302785869</v>
      </c>
      <c r="C77" s="17"/>
      <c r="D77" s="17"/>
      <c r="E77" s="33"/>
      <c r="F77" s="17"/>
      <c r="G77" s="17">
        <v>0</v>
      </c>
      <c r="H77" s="17">
        <v>5.7130000000000002E-3</v>
      </c>
      <c r="I77" s="17">
        <v>-2.6669999999999999E-2</v>
      </c>
      <c r="J77" s="196">
        <f t="shared" si="4"/>
        <v>20.320633088256209</v>
      </c>
      <c r="K77" s="201">
        <f t="shared" si="7"/>
        <v>-1827.9520208846661</v>
      </c>
      <c r="L77" s="201">
        <f t="shared" si="5"/>
        <v>-1824.3670603549681</v>
      </c>
      <c r="M77" s="201">
        <f t="shared" si="6"/>
        <v>-1844.6876934432246</v>
      </c>
    </row>
    <row r="78" spans="1:15">
      <c r="A78" s="191" t="s">
        <v>647</v>
      </c>
      <c r="B78" s="17">
        <v>-2.91302785869</v>
      </c>
      <c r="C78" s="17"/>
      <c r="D78" s="17"/>
      <c r="E78" s="33"/>
      <c r="F78" s="17"/>
      <c r="G78" s="17">
        <v>0</v>
      </c>
      <c r="H78" s="17">
        <v>5.7930000000000004E-3</v>
      </c>
      <c r="I78" s="17">
        <v>-2.7129E-2</v>
      </c>
      <c r="J78" s="196">
        <f t="shared" si="4"/>
        <v>20.658860591408171</v>
      </c>
      <c r="K78" s="201">
        <f t="shared" si="7"/>
        <v>-1827.9520208846661</v>
      </c>
      <c r="L78" s="201">
        <f t="shared" si="5"/>
        <v>-1824.3168596123853</v>
      </c>
      <c r="M78" s="201">
        <f t="shared" si="6"/>
        <v>-1844.9757202037933</v>
      </c>
    </row>
    <row r="79" spans="1:15">
      <c r="A79" s="191" t="s">
        <v>648</v>
      </c>
      <c r="B79" s="17">
        <v>-2.91302785869</v>
      </c>
      <c r="C79" s="17"/>
      <c r="D79" s="17"/>
      <c r="E79" s="33"/>
      <c r="F79" s="17"/>
      <c r="G79" s="17">
        <v>0</v>
      </c>
      <c r="H79" s="17">
        <v>5.8719999999999996E-3</v>
      </c>
      <c r="I79" s="17">
        <v>-2.7574999999999999E-2</v>
      </c>
      <c r="J79" s="196">
        <f t="shared" si="4"/>
        <v>20.988302964608138</v>
      </c>
      <c r="K79" s="201">
        <f t="shared" si="7"/>
        <v>-1827.9520208846661</v>
      </c>
      <c r="L79" s="201">
        <f t="shared" si="5"/>
        <v>-1824.2672863790847</v>
      </c>
      <c r="M79" s="201">
        <f t="shared" si="6"/>
        <v>-1845.2555893436929</v>
      </c>
    </row>
    <row r="80" spans="1:15">
      <c r="A80" s="191" t="s">
        <v>649</v>
      </c>
      <c r="B80" s="17">
        <v>-154.44836837599999</v>
      </c>
      <c r="C80" s="17"/>
      <c r="D80" s="17"/>
      <c r="E80" s="33"/>
      <c r="F80" s="17"/>
      <c r="G80" s="17">
        <v>1.8905999999999999E-2</v>
      </c>
      <c r="H80" s="17">
        <v>3.8859999999999999E-2</v>
      </c>
      <c r="I80" s="17">
        <v>-6.2708E-2</v>
      </c>
      <c r="J80" s="196">
        <f t="shared" si="4"/>
        <v>63.734862783188902</v>
      </c>
      <c r="K80" s="201">
        <f t="shared" si="7"/>
        <v>-96905.921099322572</v>
      </c>
      <c r="L80" s="201">
        <f t="shared" si="5"/>
        <v>-96893.399779103827</v>
      </c>
      <c r="M80" s="201">
        <f t="shared" si="6"/>
        <v>-96957.134641887009</v>
      </c>
    </row>
    <row r="81" spans="1:16">
      <c r="A81" s="191" t="s">
        <v>650</v>
      </c>
      <c r="B81" s="17">
        <v>-154.44836837599999</v>
      </c>
      <c r="C81" s="17"/>
      <c r="D81" s="17"/>
      <c r="E81" s="33"/>
      <c r="F81" s="17"/>
      <c r="G81" s="17">
        <v>1.8905999999999999E-2</v>
      </c>
      <c r="H81" s="17">
        <v>3.9115999999999998E-2</v>
      </c>
      <c r="I81" s="17">
        <v>-6.3877000000000003E-2</v>
      </c>
      <c r="J81" s="196">
        <f t="shared" si="4"/>
        <v>64.62906351044596</v>
      </c>
      <c r="K81" s="201">
        <f t="shared" si="7"/>
        <v>-96905.921099322572</v>
      </c>
      <c r="L81" s="201">
        <f t="shared" si="5"/>
        <v>-96893.239136727556</v>
      </c>
      <c r="M81" s="201">
        <f t="shared" si="6"/>
        <v>-96957.868200238008</v>
      </c>
    </row>
    <row r="82" spans="1:16">
      <c r="A82" s="191" t="s">
        <v>651</v>
      </c>
      <c r="B82" s="17">
        <v>-154.44836837599999</v>
      </c>
      <c r="C82" s="17"/>
      <c r="D82" s="17"/>
      <c r="E82" s="33"/>
      <c r="F82" s="17"/>
      <c r="G82" s="17">
        <v>1.8905999999999999E-2</v>
      </c>
      <c r="H82" s="17">
        <v>3.9393999999999998E-2</v>
      </c>
      <c r="I82" s="17">
        <v>-6.515E-2</v>
      </c>
      <c r="J82" s="196">
        <f t="shared" si="4"/>
        <v>65.602330407270998</v>
      </c>
      <c r="K82" s="201">
        <f t="shared" si="7"/>
        <v>-96905.921099322572</v>
      </c>
      <c r="L82" s="201">
        <f t="shared" si="5"/>
        <v>-96893.064689147097</v>
      </c>
      <c r="M82" s="201">
        <f t="shared" si="6"/>
        <v>-96958.667019554356</v>
      </c>
    </row>
    <row r="83" spans="1:16">
      <c r="A83" s="191" t="s">
        <v>652</v>
      </c>
      <c r="B83" s="17">
        <v>-154.44836837599999</v>
      </c>
      <c r="C83" s="17"/>
      <c r="D83" s="17"/>
      <c r="E83" s="33"/>
      <c r="F83" s="17"/>
      <c r="G83" s="17">
        <v>1.8905999999999999E-2</v>
      </c>
      <c r="H83" s="17">
        <v>3.9716000000000001E-2</v>
      </c>
      <c r="I83" s="17">
        <v>-6.6629999999999995E-2</v>
      </c>
      <c r="J83" s="196">
        <f t="shared" si="4"/>
        <v>66.733102133949743</v>
      </c>
      <c r="K83" s="201">
        <f t="shared" si="7"/>
        <v>-96905.921099322572</v>
      </c>
      <c r="L83" s="201">
        <f t="shared" si="5"/>
        <v>-96892.86263115819</v>
      </c>
      <c r="M83" s="201">
        <f t="shared" si="6"/>
        <v>-96959.595733292153</v>
      </c>
    </row>
    <row r="84" spans="1:16">
      <c r="A84" s="191" t="s">
        <v>653</v>
      </c>
      <c r="B84" s="17">
        <v>-154.44836837599999</v>
      </c>
      <c r="C84" s="17"/>
      <c r="D84" s="17"/>
      <c r="E84" s="33"/>
      <c r="F84" s="17"/>
      <c r="G84" s="17">
        <v>1.8905999999999999E-2</v>
      </c>
      <c r="H84" s="17">
        <v>4.0030000000000003E-2</v>
      </c>
      <c r="I84" s="17">
        <v>-6.8071000000000007E-2</v>
      </c>
      <c r="J84" s="196">
        <f t="shared" si="4"/>
        <v>67.834380924361056</v>
      </c>
      <c r="K84" s="201">
        <f t="shared" si="7"/>
        <v>-96905.921099322572</v>
      </c>
      <c r="L84" s="201">
        <f t="shared" si="5"/>
        <v>-96892.665593243553</v>
      </c>
      <c r="M84" s="201">
        <f t="shared" si="6"/>
        <v>-96960.49997416792</v>
      </c>
    </row>
    <row r="85" spans="1:16">
      <c r="A85" s="191" t="s">
        <v>635</v>
      </c>
      <c r="B85" s="17"/>
      <c r="C85" s="17"/>
      <c r="D85" s="17"/>
      <c r="E85" s="33"/>
      <c r="F85" s="17"/>
      <c r="G85" s="17"/>
      <c r="H85" s="17"/>
      <c r="I85" s="17"/>
      <c r="J85" s="196">
        <f t="shared" si="4"/>
        <v>0</v>
      </c>
      <c r="K85" s="201">
        <f t="shared" si="7"/>
        <v>0</v>
      </c>
      <c r="L85" s="201">
        <f t="shared" si="5"/>
        <v>0</v>
      </c>
      <c r="M85" s="201">
        <f t="shared" si="6"/>
        <v>0</v>
      </c>
    </row>
    <row r="86" spans="1:16">
      <c r="A86" s="191" t="s">
        <v>635</v>
      </c>
      <c r="B86" s="17"/>
      <c r="C86" s="17"/>
      <c r="D86" s="17"/>
      <c r="E86" s="33"/>
      <c r="F86" s="17"/>
      <c r="G86" s="17"/>
      <c r="H86" s="17"/>
      <c r="I86" s="17"/>
      <c r="J86" s="196">
        <f t="shared" si="4"/>
        <v>0</v>
      </c>
      <c r="K86" s="201">
        <f t="shared" si="7"/>
        <v>0</v>
      </c>
      <c r="L86" s="201">
        <f t="shared" si="5"/>
        <v>0</v>
      </c>
      <c r="M86" s="201">
        <f t="shared" si="6"/>
        <v>0</v>
      </c>
    </row>
    <row r="87" spans="1:16">
      <c r="A87" s="191" t="s">
        <v>635</v>
      </c>
      <c r="B87" s="17"/>
      <c r="C87" s="17"/>
      <c r="D87" s="17"/>
      <c r="E87" s="33"/>
      <c r="F87" s="17"/>
      <c r="G87" s="17"/>
      <c r="H87" s="17"/>
      <c r="I87" s="17"/>
      <c r="J87" s="196">
        <f t="shared" si="4"/>
        <v>0</v>
      </c>
      <c r="K87" s="201">
        <f t="shared" si="7"/>
        <v>0</v>
      </c>
      <c r="L87" s="201">
        <f t="shared" si="5"/>
        <v>0</v>
      </c>
      <c r="M87" s="201">
        <f t="shared" si="6"/>
        <v>0</v>
      </c>
      <c r="P87" s="6"/>
    </row>
    <row r="90" spans="1:16" ht="75">
      <c r="A90" s="178" t="s">
        <v>680</v>
      </c>
      <c r="B90" s="190" t="s">
        <v>626</v>
      </c>
      <c r="C90" s="190" t="s">
        <v>627</v>
      </c>
      <c r="D90" s="178" t="s">
        <v>628</v>
      </c>
      <c r="E90" s="190" t="s">
        <v>629</v>
      </c>
      <c r="F90" s="190" t="s">
        <v>478</v>
      </c>
      <c r="G90" s="190" t="s">
        <v>684</v>
      </c>
      <c r="H90" s="190" t="s">
        <v>681</v>
      </c>
      <c r="I90" s="190" t="s">
        <v>682</v>
      </c>
      <c r="J90" s="190" t="s">
        <v>683</v>
      </c>
      <c r="K90" s="206" t="s">
        <v>686</v>
      </c>
      <c r="L90" s="206" t="s">
        <v>505</v>
      </c>
      <c r="M90" s="206" t="s">
        <v>637</v>
      </c>
    </row>
    <row r="91" spans="1:16">
      <c r="A91" s="191" t="s">
        <v>638</v>
      </c>
      <c r="B91" s="17">
        <v>-151.61296965099999</v>
      </c>
      <c r="C91" s="17"/>
      <c r="D91" s="17"/>
      <c r="E91" s="33"/>
      <c r="F91" s="17"/>
      <c r="G91" s="17">
        <v>2.5745000000000001E-2</v>
      </c>
      <c r="H91" s="17">
        <v>3.7777999999999999E-2</v>
      </c>
      <c r="I91" s="17">
        <v>-2.9278999999999999E-2</v>
      </c>
      <c r="J91" s="196">
        <f>(H91-I91)*($Z$3*$Z$4*10^-3/$Z$5)</f>
        <v>42.078889942228841</v>
      </c>
      <c r="K91" s="201">
        <f>(B91+G91)*($Z$3*$Z$4*10^-3/$Z$5)</f>
        <v>-95122.390544422611</v>
      </c>
      <c r="L91" s="201">
        <f t="shared" ref="L91:L113" si="8">(B91+H91)*($Z$3*$Z$4*10^-3/$Z$5)</f>
        <v>-95114.839725228856</v>
      </c>
      <c r="M91" s="201">
        <f t="shared" ref="M91:M113" si="9">(B91+I91)*($Z$3*$Z$4*10^-3/$Z$5)</f>
        <v>-95156.918615171089</v>
      </c>
    </row>
    <row r="92" spans="1:16">
      <c r="A92" s="191" t="s">
        <v>639</v>
      </c>
      <c r="B92" s="17">
        <v>-151.61296965099999</v>
      </c>
      <c r="C92" s="17"/>
      <c r="D92" s="17"/>
      <c r="E92" s="33"/>
      <c r="F92" s="17"/>
      <c r="G92" s="17">
        <v>2.5745000000000001E-2</v>
      </c>
      <c r="H92" s="17">
        <v>3.7954000000000002E-2</v>
      </c>
      <c r="I92" s="17">
        <v>-3.0051000000000001E-2</v>
      </c>
      <c r="J92" s="196">
        <f t="shared" ref="J92:J113" si="10">(H92-I92)*($Z$3*$Z$4*10^-3/$Z$5)</f>
        <v>42.673768741835644</v>
      </c>
      <c r="K92" s="201">
        <f t="shared" ref="K92:K113" si="11">(B92+G92)*($Z$3*$Z$4*10^-3/$Z$5)</f>
        <v>-95122.390544422611</v>
      </c>
      <c r="L92" s="201">
        <f t="shared" si="8"/>
        <v>-95114.729283595181</v>
      </c>
      <c r="M92" s="201">
        <f t="shared" si="9"/>
        <v>-95157.403052337017</v>
      </c>
      <c r="O92" s="6">
        <f>K106-(K91+K101)</f>
        <v>43.128141505061649</v>
      </c>
    </row>
    <row r="93" spans="1:16">
      <c r="A93" s="191" t="s">
        <v>640</v>
      </c>
      <c r="B93" s="17">
        <v>-151.61296965099999</v>
      </c>
      <c r="C93" s="17"/>
      <c r="D93" s="17"/>
      <c r="E93" s="33"/>
      <c r="F93" s="17"/>
      <c r="G93" s="17">
        <v>2.5745000000000001E-2</v>
      </c>
      <c r="H93" s="17">
        <v>3.8145999999999999E-2</v>
      </c>
      <c r="I93" s="17">
        <v>-3.0891999999999999E-2</v>
      </c>
      <c r="J93" s="196">
        <f t="shared" si="10"/>
        <v>43.321985830436716</v>
      </c>
      <c r="K93" s="201">
        <f t="shared" si="11"/>
        <v>-95122.390544422611</v>
      </c>
      <c r="L93" s="201">
        <f t="shared" si="8"/>
        <v>-95114.608801812981</v>
      </c>
      <c r="M93" s="201">
        <f t="shared" si="9"/>
        <v>-95157.930787643418</v>
      </c>
    </row>
    <row r="94" spans="1:16">
      <c r="A94" s="191" t="s">
        <v>641</v>
      </c>
      <c r="B94" s="17">
        <v>-151.61296965099999</v>
      </c>
      <c r="C94" s="17"/>
      <c r="D94" s="17"/>
      <c r="E94" s="33"/>
      <c r="F94" s="17"/>
      <c r="G94" s="17">
        <v>2.5745000000000001E-2</v>
      </c>
      <c r="H94" s="17">
        <v>3.8369E-2</v>
      </c>
      <c r="I94" s="17">
        <v>-3.1869000000000001E-2</v>
      </c>
      <c r="J94" s="196">
        <f t="shared" si="10"/>
        <v>44.074996969179487</v>
      </c>
      <c r="K94" s="201">
        <f t="shared" si="11"/>
        <v>-95122.390544422611</v>
      </c>
      <c r="L94" s="201">
        <f t="shared" si="8"/>
        <v>-95114.468867243035</v>
      </c>
      <c r="M94" s="201">
        <f t="shared" si="9"/>
        <v>-95158.543864212217</v>
      </c>
    </row>
    <row r="95" spans="1:16">
      <c r="A95" s="191" t="s">
        <v>642</v>
      </c>
      <c r="B95" s="17">
        <v>-151.61296965099999</v>
      </c>
      <c r="C95" s="17"/>
      <c r="D95" s="17"/>
      <c r="E95" s="33"/>
      <c r="F95" s="17"/>
      <c r="G95" s="17">
        <v>2.5745000000000001E-2</v>
      </c>
      <c r="H95" s="17">
        <v>3.8587000000000003E-2</v>
      </c>
      <c r="I95" s="17">
        <v>-3.2821000000000003E-2</v>
      </c>
      <c r="J95" s="196">
        <f t="shared" si="10"/>
        <v>44.809182829453704</v>
      </c>
      <c r="K95" s="201">
        <f t="shared" si="11"/>
        <v>-95122.390544422611</v>
      </c>
      <c r="L95" s="201">
        <f t="shared" si="8"/>
        <v>-95114.332070219491</v>
      </c>
      <c r="M95" s="201">
        <f t="shared" si="9"/>
        <v>-95159.141253048962</v>
      </c>
    </row>
    <row r="96" spans="1:16">
      <c r="A96" s="191" t="s">
        <v>666</v>
      </c>
      <c r="B96" s="17"/>
      <c r="C96" s="17"/>
      <c r="D96" s="17"/>
      <c r="E96" s="33"/>
      <c r="F96" s="17"/>
      <c r="G96" s="17"/>
      <c r="H96" s="17"/>
      <c r="I96" s="17"/>
      <c r="J96" s="196">
        <f t="shared" si="10"/>
        <v>0</v>
      </c>
      <c r="K96" s="201">
        <f t="shared" si="11"/>
        <v>0</v>
      </c>
      <c r="L96" s="201">
        <f t="shared" si="8"/>
        <v>0</v>
      </c>
      <c r="M96" s="201">
        <f t="shared" si="9"/>
        <v>0</v>
      </c>
    </row>
    <row r="97" spans="1:13">
      <c r="A97" s="191" t="s">
        <v>667</v>
      </c>
      <c r="B97" s="17"/>
      <c r="C97" s="17"/>
      <c r="D97" s="17"/>
      <c r="E97" s="33"/>
      <c r="F97" s="17"/>
      <c r="G97" s="17"/>
      <c r="H97" s="17"/>
      <c r="I97" s="17"/>
      <c r="J97" s="196">
        <f t="shared" si="10"/>
        <v>0</v>
      </c>
      <c r="K97" s="201">
        <f t="shared" si="11"/>
        <v>0</v>
      </c>
      <c r="L97" s="201">
        <f t="shared" si="8"/>
        <v>0</v>
      </c>
      <c r="M97" s="201">
        <f t="shared" si="9"/>
        <v>0</v>
      </c>
    </row>
    <row r="98" spans="1:13">
      <c r="A98" s="191" t="s">
        <v>663</v>
      </c>
      <c r="B98" s="17"/>
      <c r="C98" s="17"/>
      <c r="D98" s="17"/>
      <c r="E98" s="33"/>
      <c r="F98" s="17"/>
      <c r="G98" s="17"/>
      <c r="H98" s="17"/>
      <c r="I98" s="17"/>
      <c r="J98" s="196">
        <f t="shared" si="10"/>
        <v>0</v>
      </c>
      <c r="K98" s="201">
        <f t="shared" si="11"/>
        <v>0</v>
      </c>
      <c r="L98" s="201">
        <f t="shared" si="8"/>
        <v>0</v>
      </c>
      <c r="M98" s="201">
        <f t="shared" si="9"/>
        <v>0</v>
      </c>
    </row>
    <row r="99" spans="1:13">
      <c r="A99" s="191" t="s">
        <v>664</v>
      </c>
      <c r="B99" s="17"/>
      <c r="C99" s="17"/>
      <c r="D99" s="17"/>
      <c r="E99" s="33"/>
      <c r="F99" s="17"/>
      <c r="G99" s="17"/>
      <c r="H99" s="17"/>
      <c r="I99" s="17"/>
      <c r="J99" s="196">
        <f t="shared" si="10"/>
        <v>0</v>
      </c>
      <c r="K99" s="201">
        <f t="shared" si="11"/>
        <v>0</v>
      </c>
      <c r="L99" s="201">
        <f t="shared" si="8"/>
        <v>0</v>
      </c>
      <c r="M99" s="201">
        <f t="shared" si="9"/>
        <v>0</v>
      </c>
    </row>
    <row r="100" spans="1:13">
      <c r="A100" s="191" t="s">
        <v>665</v>
      </c>
      <c r="B100" s="17"/>
      <c r="C100" s="17"/>
      <c r="D100" s="17"/>
      <c r="E100" s="33"/>
      <c r="F100" s="17"/>
      <c r="G100" s="17"/>
      <c r="H100" s="17"/>
      <c r="I100" s="17"/>
      <c r="J100" s="196">
        <f t="shared" si="10"/>
        <v>0</v>
      </c>
      <c r="K100" s="201">
        <f t="shared" si="11"/>
        <v>0</v>
      </c>
      <c r="L100" s="201">
        <f t="shared" si="8"/>
        <v>0</v>
      </c>
      <c r="M100" s="201">
        <f t="shared" si="9"/>
        <v>0</v>
      </c>
    </row>
    <row r="101" spans="1:13">
      <c r="A101" s="191" t="s">
        <v>644</v>
      </c>
      <c r="B101" s="17">
        <v>-2.9135439293099998</v>
      </c>
      <c r="C101" s="17"/>
      <c r="D101" s="17"/>
      <c r="E101" s="33"/>
      <c r="F101" s="17"/>
      <c r="G101" s="17">
        <v>0</v>
      </c>
      <c r="H101" s="17">
        <v>5.5789999999999998E-3</v>
      </c>
      <c r="I101" s="17">
        <v>-2.5912999999999999E-2</v>
      </c>
      <c r="J101" s="196">
        <f t="shared" si="10"/>
        <v>19.761522317739693</v>
      </c>
      <c r="K101" s="201">
        <f t="shared" si="11"/>
        <v>-1828.2758599890308</v>
      </c>
      <c r="L101" s="201">
        <f t="shared" si="8"/>
        <v>-1824.7749857031592</v>
      </c>
      <c r="M101" s="201">
        <f t="shared" si="9"/>
        <v>-1844.536508020899</v>
      </c>
    </row>
    <row r="102" spans="1:13">
      <c r="A102" s="191" t="s">
        <v>645</v>
      </c>
      <c r="B102" s="17">
        <v>-2.9135439293099998</v>
      </c>
      <c r="C102" s="17"/>
      <c r="D102" s="17"/>
      <c r="E102" s="33"/>
      <c r="F102" s="17"/>
      <c r="G102" s="17">
        <v>0</v>
      </c>
      <c r="H102" s="17">
        <v>5.6429999999999996E-3</v>
      </c>
      <c r="I102" s="17">
        <v>-2.6276000000000001E-2</v>
      </c>
      <c r="J102" s="196">
        <f t="shared" si="10"/>
        <v>20.029468781275668</v>
      </c>
      <c r="K102" s="201">
        <f t="shared" si="11"/>
        <v>-1828.2758599890308</v>
      </c>
      <c r="L102" s="201">
        <f t="shared" si="8"/>
        <v>-1824.734825109093</v>
      </c>
      <c r="M102" s="201">
        <f t="shared" si="9"/>
        <v>-1844.7642938903687</v>
      </c>
    </row>
    <row r="103" spans="1:13">
      <c r="A103" s="191" t="s">
        <v>646</v>
      </c>
      <c r="B103" s="17">
        <v>-2.9135439293099998</v>
      </c>
      <c r="C103" s="17"/>
      <c r="D103" s="17"/>
      <c r="E103" s="33"/>
      <c r="F103" s="17"/>
      <c r="G103" s="17">
        <v>0</v>
      </c>
      <c r="H103" s="17">
        <v>5.7130000000000002E-3</v>
      </c>
      <c r="I103" s="17">
        <v>-2.6669999999999999E-2</v>
      </c>
      <c r="J103" s="196">
        <f t="shared" si="10"/>
        <v>20.320633088256209</v>
      </c>
      <c r="K103" s="201">
        <f t="shared" si="11"/>
        <v>-1828.2758599890308</v>
      </c>
      <c r="L103" s="201">
        <f t="shared" si="8"/>
        <v>-1824.690899459333</v>
      </c>
      <c r="M103" s="201">
        <f t="shared" si="9"/>
        <v>-1845.0115325475892</v>
      </c>
    </row>
    <row r="104" spans="1:13">
      <c r="A104" s="191" t="s">
        <v>647</v>
      </c>
      <c r="B104" s="17">
        <v>-2.9135439293099998</v>
      </c>
      <c r="C104" s="17"/>
      <c r="D104" s="17"/>
      <c r="E104" s="33"/>
      <c r="F104" s="17"/>
      <c r="G104" s="17">
        <v>0</v>
      </c>
      <c r="H104" s="17">
        <v>5.7930000000000004E-3</v>
      </c>
      <c r="I104" s="17">
        <v>-2.7129E-2</v>
      </c>
      <c r="J104" s="196">
        <f t="shared" si="10"/>
        <v>20.658860591408171</v>
      </c>
      <c r="K104" s="201">
        <f t="shared" si="11"/>
        <v>-1828.2758599890308</v>
      </c>
      <c r="L104" s="201">
        <f t="shared" si="8"/>
        <v>-1824.64069871675</v>
      </c>
      <c r="M104" s="201">
        <f t="shared" si="9"/>
        <v>-1845.2995593081582</v>
      </c>
    </row>
    <row r="105" spans="1:13">
      <c r="A105" s="191" t="s">
        <v>648</v>
      </c>
      <c r="B105" s="17">
        <v>-2.9135439293099998</v>
      </c>
      <c r="C105" s="17"/>
      <c r="D105" s="17"/>
      <c r="E105" s="33"/>
      <c r="F105" s="17"/>
      <c r="G105" s="17">
        <v>0</v>
      </c>
      <c r="H105" s="17">
        <v>5.8719999999999996E-3</v>
      </c>
      <c r="I105" s="17">
        <v>-2.7574999999999999E-2</v>
      </c>
      <c r="J105" s="196">
        <f t="shared" si="10"/>
        <v>20.988302964608138</v>
      </c>
      <c r="K105" s="201">
        <f t="shared" si="11"/>
        <v>-1828.2758599890308</v>
      </c>
      <c r="L105" s="201">
        <f t="shared" si="8"/>
        <v>-1824.5911254834496</v>
      </c>
      <c r="M105" s="201">
        <f t="shared" si="9"/>
        <v>-1845.5794284480578</v>
      </c>
    </row>
    <row r="106" spans="1:13">
      <c r="A106" s="191" t="s">
        <v>649</v>
      </c>
      <c r="B106" s="17">
        <v>-154.450945491</v>
      </c>
      <c r="C106" s="17"/>
      <c r="D106" s="17"/>
      <c r="E106" s="33"/>
      <c r="F106" s="17"/>
      <c r="G106" s="17">
        <v>1.8905999999999999E-2</v>
      </c>
      <c r="H106" s="17">
        <v>3.8859999999999999E-2</v>
      </c>
      <c r="I106" s="17">
        <v>-6.2708E-2</v>
      </c>
      <c r="J106" s="196">
        <f t="shared" si="10"/>
        <v>63.734862783188902</v>
      </c>
      <c r="K106" s="201">
        <f t="shared" si="11"/>
        <v>-96907.538262906586</v>
      </c>
      <c r="L106" s="201">
        <f t="shared" si="8"/>
        <v>-96895.016942687856</v>
      </c>
      <c r="M106" s="201">
        <f t="shared" si="9"/>
        <v>-96958.751805471038</v>
      </c>
    </row>
    <row r="107" spans="1:13">
      <c r="A107" s="191" t="s">
        <v>650</v>
      </c>
      <c r="B107" s="17">
        <v>-154.450945491</v>
      </c>
      <c r="C107" s="17"/>
      <c r="D107" s="17"/>
      <c r="E107" s="33"/>
      <c r="F107" s="17"/>
      <c r="G107" s="17">
        <v>1.8905999999999999E-2</v>
      </c>
      <c r="H107" s="17">
        <v>3.9115999999999998E-2</v>
      </c>
      <c r="I107" s="17">
        <v>-6.3877000000000003E-2</v>
      </c>
      <c r="J107" s="196">
        <f t="shared" si="10"/>
        <v>64.62906351044596</v>
      </c>
      <c r="K107" s="201">
        <f t="shared" si="11"/>
        <v>-96907.538262906586</v>
      </c>
      <c r="L107" s="201">
        <f t="shared" si="8"/>
        <v>-96894.856300311585</v>
      </c>
      <c r="M107" s="201">
        <f t="shared" si="9"/>
        <v>-96959.485363822023</v>
      </c>
    </row>
    <row r="108" spans="1:13">
      <c r="A108" s="191" t="s">
        <v>651</v>
      </c>
      <c r="B108" s="17">
        <v>-154.450945491</v>
      </c>
      <c r="C108" s="17"/>
      <c r="D108" s="17"/>
      <c r="E108" s="33"/>
      <c r="F108" s="17"/>
      <c r="G108" s="17">
        <v>1.8905999999999999E-2</v>
      </c>
      <c r="H108" s="17">
        <v>3.9393999999999998E-2</v>
      </c>
      <c r="I108" s="17">
        <v>-6.515E-2</v>
      </c>
      <c r="J108" s="196">
        <f t="shared" si="10"/>
        <v>65.602330407270998</v>
      </c>
      <c r="K108" s="201">
        <f t="shared" si="11"/>
        <v>-96907.538262906586</v>
      </c>
      <c r="L108" s="201">
        <f t="shared" si="8"/>
        <v>-96894.681852731126</v>
      </c>
      <c r="M108" s="201">
        <f t="shared" si="9"/>
        <v>-96960.284183138385</v>
      </c>
    </row>
    <row r="109" spans="1:13">
      <c r="A109" s="191" t="s">
        <v>652</v>
      </c>
      <c r="B109" s="17">
        <v>-154.450945491</v>
      </c>
      <c r="C109" s="17"/>
      <c r="D109" s="17"/>
      <c r="E109" s="33"/>
      <c r="F109" s="17"/>
      <c r="G109" s="17">
        <v>1.8905999999999999E-2</v>
      </c>
      <c r="H109" s="17">
        <v>3.9716000000000001E-2</v>
      </c>
      <c r="I109" s="17">
        <v>-6.6629999999999995E-2</v>
      </c>
      <c r="J109" s="196">
        <f t="shared" si="10"/>
        <v>66.733102133949743</v>
      </c>
      <c r="K109" s="201">
        <f t="shared" si="11"/>
        <v>-96907.538262906586</v>
      </c>
      <c r="L109" s="201">
        <f t="shared" si="8"/>
        <v>-96894.479794742219</v>
      </c>
      <c r="M109" s="201">
        <f t="shared" si="9"/>
        <v>-96961.212896876168</v>
      </c>
    </row>
    <row r="110" spans="1:13">
      <c r="A110" s="191" t="s">
        <v>653</v>
      </c>
      <c r="B110" s="17">
        <v>-154.450945491</v>
      </c>
      <c r="C110" s="17"/>
      <c r="D110" s="17"/>
      <c r="E110" s="33"/>
      <c r="F110" s="17"/>
      <c r="G110" s="17">
        <v>1.8905999999999999E-2</v>
      </c>
      <c r="H110" s="17">
        <v>4.0030000000000003E-2</v>
      </c>
      <c r="I110" s="17">
        <v>-6.8071000000000007E-2</v>
      </c>
      <c r="J110" s="196">
        <f t="shared" si="10"/>
        <v>67.834380924361056</v>
      </c>
      <c r="K110" s="201">
        <f t="shared" si="11"/>
        <v>-96907.538262906586</v>
      </c>
      <c r="L110" s="201">
        <f t="shared" si="8"/>
        <v>-96894.282756827582</v>
      </c>
      <c r="M110" s="201">
        <f t="shared" si="9"/>
        <v>-96962.117137751949</v>
      </c>
    </row>
    <row r="111" spans="1:13">
      <c r="A111" s="191" t="s">
        <v>635</v>
      </c>
      <c r="B111" s="17"/>
      <c r="C111" s="17"/>
      <c r="D111" s="17"/>
      <c r="E111" s="33"/>
      <c r="F111" s="17"/>
      <c r="G111" s="17"/>
      <c r="H111" s="17"/>
      <c r="I111" s="17"/>
      <c r="J111" s="196">
        <f t="shared" si="10"/>
        <v>0</v>
      </c>
      <c r="K111" s="201">
        <f t="shared" si="11"/>
        <v>0</v>
      </c>
      <c r="L111" s="201">
        <f t="shared" si="8"/>
        <v>0</v>
      </c>
      <c r="M111" s="201">
        <f t="shared" si="9"/>
        <v>0</v>
      </c>
    </row>
    <row r="112" spans="1:13">
      <c r="A112" s="191" t="s">
        <v>635</v>
      </c>
      <c r="B112" s="17"/>
      <c r="C112" s="17"/>
      <c r="D112" s="17"/>
      <c r="E112" s="33"/>
      <c r="F112" s="17"/>
      <c r="G112" s="17"/>
      <c r="H112" s="17"/>
      <c r="I112" s="17"/>
      <c r="J112" s="196">
        <f t="shared" si="10"/>
        <v>0</v>
      </c>
      <c r="K112" s="201">
        <f t="shared" si="11"/>
        <v>0</v>
      </c>
      <c r="L112" s="201">
        <f t="shared" si="8"/>
        <v>0</v>
      </c>
      <c r="M112" s="201">
        <f t="shared" si="9"/>
        <v>0</v>
      </c>
    </row>
    <row r="113" spans="1:30">
      <c r="A113" s="191" t="s">
        <v>635</v>
      </c>
      <c r="B113" s="17"/>
      <c r="C113" s="17"/>
      <c r="D113" s="17"/>
      <c r="E113" s="33"/>
      <c r="F113" s="17"/>
      <c r="G113" s="17"/>
      <c r="H113" s="17"/>
      <c r="I113" s="17"/>
      <c r="J113" s="196">
        <f t="shared" si="10"/>
        <v>0</v>
      </c>
      <c r="K113" s="201">
        <f t="shared" si="11"/>
        <v>0</v>
      </c>
      <c r="L113" s="201">
        <f t="shared" si="8"/>
        <v>0</v>
      </c>
      <c r="M113" s="201">
        <f t="shared" si="9"/>
        <v>0</v>
      </c>
    </row>
    <row r="116" spans="1:30" ht="75">
      <c r="A116" s="178" t="s">
        <v>685</v>
      </c>
      <c r="B116" s="190" t="s">
        <v>626</v>
      </c>
      <c r="C116" s="190" t="s">
        <v>627</v>
      </c>
      <c r="D116" s="178" t="s">
        <v>628</v>
      </c>
      <c r="E116" s="190" t="s">
        <v>629</v>
      </c>
      <c r="F116" s="190" t="s">
        <v>478</v>
      </c>
      <c r="G116" s="190" t="s">
        <v>684</v>
      </c>
      <c r="H116" s="190" t="s">
        <v>681</v>
      </c>
      <c r="I116" s="190" t="s">
        <v>682</v>
      </c>
      <c r="J116" s="190" t="s">
        <v>683</v>
      </c>
      <c r="K116" s="206" t="s">
        <v>686</v>
      </c>
      <c r="L116" s="206" t="s">
        <v>505</v>
      </c>
      <c r="M116" s="206" t="s">
        <v>637</v>
      </c>
    </row>
    <row r="117" spans="1:30">
      <c r="A117" s="191" t="s">
        <v>638</v>
      </c>
      <c r="B117" s="17">
        <v>-151.52979915</v>
      </c>
      <c r="C117" s="17"/>
      <c r="D117" s="17"/>
      <c r="E117" s="33"/>
      <c r="F117" s="17"/>
      <c r="G117" s="17">
        <v>2.6603999999999999E-2</v>
      </c>
      <c r="H117" s="17">
        <v>3.8383E-2</v>
      </c>
      <c r="I117" s="17">
        <v>-2.7851000000000001E-2</v>
      </c>
      <c r="J117" s="196">
        <f t="shared" ref="J117:J139" si="12">(H117-I117)*($Z$3*$Z$4*10^-3/$Z$5)</f>
        <v>41.56244980290775</v>
      </c>
      <c r="K117" s="201">
        <f>(B117+G117)*($Z$3*$Z$4*10^-3/$Z$5)</f>
        <v>-95069.661252559294</v>
      </c>
      <c r="L117" s="201">
        <f t="shared" ref="L117:L139" si="13">(B117+H117)*($Z$3*$Z$4*10^-3/$Z$5)</f>
        <v>-95062.269820723232</v>
      </c>
      <c r="M117" s="201">
        <f t="shared" ref="M117:M139" si="14">(B117+I117)*($Z$3*$Z$4*10^-3/$Z$5)</f>
        <v>-95103.832270526153</v>
      </c>
    </row>
    <row r="118" spans="1:30">
      <c r="A118" s="191" t="s">
        <v>639</v>
      </c>
      <c r="B118" s="17">
        <v>-151.52979915</v>
      </c>
      <c r="C118" s="17"/>
      <c r="D118" s="17"/>
      <c r="E118" s="33"/>
      <c r="F118" s="17"/>
      <c r="G118" s="17">
        <v>2.6603999999999999E-2</v>
      </c>
      <c r="H118" s="17">
        <v>3.8557000000000001E-2</v>
      </c>
      <c r="I118" s="17">
        <v>-2.8614000000000001E-2</v>
      </c>
      <c r="J118" s="196">
        <f t="shared" si="12"/>
        <v>42.150426000409411</v>
      </c>
      <c r="K118" s="201">
        <f t="shared" ref="K118:K139" si="15">(B118+G118)*($Z$3*$Z$4*10^-3/$Z$5)</f>
        <v>-95069.661252559294</v>
      </c>
      <c r="L118" s="201">
        <f t="shared" si="13"/>
        <v>-95062.160634108135</v>
      </c>
      <c r="M118" s="201">
        <f t="shared" si="14"/>
        <v>-95104.311060108535</v>
      </c>
      <c r="U118" t="s">
        <v>677</v>
      </c>
      <c r="V118" t="s">
        <v>655</v>
      </c>
      <c r="W118" t="s">
        <v>655</v>
      </c>
      <c r="X118" t="s">
        <v>182</v>
      </c>
      <c r="Y118" t="s">
        <v>182</v>
      </c>
      <c r="Z118" t="s">
        <v>182</v>
      </c>
      <c r="AA118" t="s">
        <v>182</v>
      </c>
      <c r="AD118" t="s">
        <v>237</v>
      </c>
    </row>
    <row r="119" spans="1:30">
      <c r="A119" s="191" t="s">
        <v>640</v>
      </c>
      <c r="B119" s="17">
        <v>-151.52979915</v>
      </c>
      <c r="C119" s="17"/>
      <c r="D119" s="17"/>
      <c r="E119" s="33"/>
      <c r="F119" s="17"/>
      <c r="G119" s="17">
        <v>2.6603999999999999E-2</v>
      </c>
      <c r="H119" s="17">
        <v>3.8746000000000003E-2</v>
      </c>
      <c r="I119" s="17">
        <v>-2.9444000000000001E-2</v>
      </c>
      <c r="J119" s="196">
        <f t="shared" si="12"/>
        <v>42.78985795905848</v>
      </c>
      <c r="K119" s="201">
        <f t="shared" si="15"/>
        <v>-95069.661252559294</v>
      </c>
      <c r="L119" s="201">
        <f t="shared" si="13"/>
        <v>-95062.042034853774</v>
      </c>
      <c r="M119" s="201">
        <f t="shared" si="14"/>
        <v>-95104.831892812843</v>
      </c>
      <c r="Q119" t="s">
        <v>654</v>
      </c>
      <c r="R119" t="s">
        <v>658</v>
      </c>
      <c r="S119" t="s">
        <v>676</v>
      </c>
      <c r="T119" t="s">
        <v>661</v>
      </c>
      <c r="U119" t="s">
        <v>656</v>
      </c>
      <c r="V119" t="s">
        <v>678</v>
      </c>
      <c r="W119" t="s">
        <v>668</v>
      </c>
      <c r="X119" t="s">
        <v>659</v>
      </c>
      <c r="Y119" t="s">
        <v>660</v>
      </c>
      <c r="Z119" t="s">
        <v>656</v>
      </c>
      <c r="AA119" t="s">
        <v>678</v>
      </c>
      <c r="AB119" t="s">
        <v>657</v>
      </c>
      <c r="AC119" t="s">
        <v>662</v>
      </c>
      <c r="AD119" t="s">
        <v>668</v>
      </c>
    </row>
    <row r="120" spans="1:30">
      <c r="A120" s="191" t="s">
        <v>641</v>
      </c>
      <c r="B120" s="17">
        <v>-151.52979915</v>
      </c>
      <c r="C120" s="17"/>
      <c r="D120" s="17"/>
      <c r="E120" s="33"/>
      <c r="F120" s="17"/>
      <c r="G120" s="17">
        <v>2.6603999999999999E-2</v>
      </c>
      <c r="H120" s="17">
        <v>3.8967000000000002E-2</v>
      </c>
      <c r="I120" s="17">
        <v>-3.041E-2</v>
      </c>
      <c r="J120" s="196">
        <f t="shared" si="12"/>
        <v>43.534711477131545</v>
      </c>
      <c r="K120" s="201">
        <f t="shared" si="15"/>
        <v>-95069.661252559294</v>
      </c>
      <c r="L120" s="201">
        <f t="shared" si="13"/>
        <v>-95061.903355302376</v>
      </c>
      <c r="M120" s="201">
        <f t="shared" si="14"/>
        <v>-95105.438066779519</v>
      </c>
      <c r="Q120" s="1">
        <v>704.65</v>
      </c>
      <c r="R120" s="2">
        <f>1/Q120</f>
        <v>1.4191442560136239E-3</v>
      </c>
      <c r="S120">
        <f>1/(Q120*Q120)</f>
        <v>2.0139704193764622E-6</v>
      </c>
      <c r="T120" s="6">
        <f>Q120*$Z$15/(1000*$Z$5)</f>
        <v>1.400283101289916</v>
      </c>
      <c r="U120" s="1">
        <v>1.1100000000000001</v>
      </c>
      <c r="V120" s="11">
        <f>(U120*$Z$12)/($Z$13*Q120)</f>
        <v>7.5600086806547039E-14</v>
      </c>
      <c r="W120" s="11">
        <f>U120/Q120</f>
        <v>1.5752501241751225E-3</v>
      </c>
      <c r="X120" s="6">
        <f>M132-(M117+M127)</f>
        <v>41.770187673231703</v>
      </c>
      <c r="Y120" s="6">
        <f>X120/T120</f>
        <v>29.8298162955432</v>
      </c>
      <c r="Z120" s="11">
        <f>2*(Q120*$Z$13/$Z$11)*EXP(-Y120)</f>
        <v>20.468497996930363</v>
      </c>
      <c r="AA120" s="11">
        <f>(Z120*$Z$12)/($Z$13*Q120)</f>
        <v>1.3940722751059185E-12</v>
      </c>
      <c r="AB120" s="1">
        <f>LN(U120)</f>
        <v>0.10436001532424286</v>
      </c>
      <c r="AC120" s="1">
        <f>LN(Z120)</f>
        <v>3.0188870211593883</v>
      </c>
      <c r="AD120" s="11">
        <f>Z120/Q120</f>
        <v>2.904775136157009E-2</v>
      </c>
    </row>
    <row r="121" spans="1:30">
      <c r="A121" s="191" t="s">
        <v>642</v>
      </c>
      <c r="B121" s="17">
        <v>-151.52979915</v>
      </c>
      <c r="C121" s="17"/>
      <c r="D121" s="17"/>
      <c r="E121" s="33"/>
      <c r="F121" s="17"/>
      <c r="G121" s="17"/>
      <c r="H121" s="17"/>
      <c r="I121" s="17"/>
      <c r="J121" s="196">
        <f t="shared" si="12"/>
        <v>0</v>
      </c>
      <c r="K121" s="201">
        <f t="shared" si="15"/>
        <v>-95086.355509505214</v>
      </c>
      <c r="L121" s="201">
        <f t="shared" si="13"/>
        <v>-95086.355509505214</v>
      </c>
      <c r="M121" s="201">
        <f t="shared" si="14"/>
        <v>-95086.355509505214</v>
      </c>
      <c r="Q121" s="1">
        <v>712.75</v>
      </c>
      <c r="R121" s="2">
        <f>1/Q121</f>
        <v>1.4030164854437039E-3</v>
      </c>
      <c r="S121">
        <f>1/(Q121*Q121)</f>
        <v>1.9684552584268034E-6</v>
      </c>
      <c r="T121" s="6">
        <f>Q121*$Z$15/(1000*$Z$5)</f>
        <v>1.4163794514218231</v>
      </c>
      <c r="U121" s="1">
        <v>1.44</v>
      </c>
      <c r="V121" s="11">
        <f>(U121*$Z$12)/($Z$13*Q121)</f>
        <v>9.696121251244992E-14</v>
      </c>
      <c r="W121" s="11">
        <f>U121/Q121</f>
        <v>2.0203437390389337E-3</v>
      </c>
      <c r="X121" s="6">
        <f>M133-(M118+M128)</f>
        <v>41.774580238212366</v>
      </c>
      <c r="Y121" s="6">
        <f>X121/T121</f>
        <v>29.493918593832486</v>
      </c>
      <c r="Z121" s="11">
        <f>2*(Q121*$Z$13/$Z$11)*EXP(-Y121)</f>
        <v>28.968650413118382</v>
      </c>
      <c r="AA121" s="11">
        <f>(Z121*$Z$12)/($Z$13*Q121)</f>
        <v>1.9505801867397516E-12</v>
      </c>
      <c r="AB121" s="1">
        <f>LN(U121)</f>
        <v>0.36464311358790924</v>
      </c>
      <c r="AC121" s="1">
        <f>LN(Z121)</f>
        <v>3.3662142250253635</v>
      </c>
      <c r="AD121" s="11">
        <f>Z121/Q121</f>
        <v>4.0643494090660655E-2</v>
      </c>
    </row>
    <row r="122" spans="1:30">
      <c r="A122" s="191" t="s">
        <v>666</v>
      </c>
      <c r="B122" s="17"/>
      <c r="C122" s="17"/>
      <c r="D122" s="17"/>
      <c r="E122" s="33"/>
      <c r="F122" s="17"/>
      <c r="G122" s="17"/>
      <c r="H122" s="17"/>
      <c r="I122" s="17"/>
      <c r="J122" s="196">
        <f t="shared" si="12"/>
        <v>0</v>
      </c>
      <c r="K122" s="201">
        <f t="shared" si="15"/>
        <v>0</v>
      </c>
      <c r="L122" s="201">
        <f t="shared" si="13"/>
        <v>0</v>
      </c>
      <c r="M122" s="201">
        <f t="shared" si="14"/>
        <v>0</v>
      </c>
      <c r="Q122" s="1">
        <v>721.55</v>
      </c>
      <c r="R122" s="2">
        <f>1/Q122</f>
        <v>1.3859053426650962E-3</v>
      </c>
      <c r="S122">
        <f>1/(Q122*Q122)</f>
        <v>1.9207336188276573E-6</v>
      </c>
      <c r="T122" s="6">
        <f>Q122*$Z$15/(1000*$Z$5)</f>
        <v>1.433866844157722</v>
      </c>
      <c r="U122" s="1">
        <v>1.91</v>
      </c>
      <c r="V122" s="11">
        <f>(U122*$Z$12)/($Z$13*Q122)</f>
        <v>1.270397726507509E-13</v>
      </c>
      <c r="W122" s="11">
        <f>U122/Q122</f>
        <v>2.6470792044903332E-3</v>
      </c>
      <c r="X122" s="6">
        <f>M134-(M119+M129)</f>
        <v>41.778345293918392</v>
      </c>
      <c r="Y122" s="6">
        <f>X122/T122</f>
        <v>29.136837541187241</v>
      </c>
      <c r="Z122" s="11">
        <f>2*(Q122*$Z$13/$Z$11)*EXP(-Y122)</f>
        <v>41.911750358369737</v>
      </c>
      <c r="AA122" s="11">
        <f>(Z122*$Z$12)/($Z$13*Q122)</f>
        <v>2.7876749931530464E-12</v>
      </c>
      <c r="AB122" s="1">
        <f>LN(U122)</f>
        <v>0.64710324205853842</v>
      </c>
      <c r="AC122" s="1">
        <f>LN(Z122)</f>
        <v>3.7355662257599143</v>
      </c>
      <c r="AD122" s="11">
        <f>Z122/Q122</f>
        <v>5.8085718742110375E-2</v>
      </c>
    </row>
    <row r="123" spans="1:30">
      <c r="A123" s="191" t="s">
        <v>667</v>
      </c>
      <c r="B123" s="17"/>
      <c r="C123" s="17"/>
      <c r="D123" s="17"/>
      <c r="E123" s="33"/>
      <c r="F123" s="17"/>
      <c r="G123" s="17"/>
      <c r="H123" s="17"/>
      <c r="I123" s="17"/>
      <c r="J123" s="196">
        <f t="shared" si="12"/>
        <v>0</v>
      </c>
      <c r="K123" s="201">
        <f t="shared" si="15"/>
        <v>0</v>
      </c>
      <c r="L123" s="201">
        <f t="shared" si="13"/>
        <v>0</v>
      </c>
      <c r="M123" s="201">
        <f t="shared" si="14"/>
        <v>0</v>
      </c>
      <c r="Q123" s="1">
        <v>731.55</v>
      </c>
      <c r="R123" s="2">
        <f>1/Q123</f>
        <v>1.366960563187752E-3</v>
      </c>
      <c r="S123">
        <f>1/(Q123*Q123)</f>
        <v>1.8685811813105763E-6</v>
      </c>
      <c r="T123" s="6">
        <f>Q123*$Z$15/(1000*$Z$5)</f>
        <v>1.4537388813576073</v>
      </c>
      <c r="U123" s="1">
        <v>3.04</v>
      </c>
      <c r="V123" s="11">
        <f>(U123*$Z$12)/($Z$13*Q123)</f>
        <v>1.9943544227199862E-13</v>
      </c>
      <c r="W123" s="11">
        <f>U123/Q123</f>
        <v>4.1555601120907663E-3</v>
      </c>
      <c r="X123" s="6">
        <f>M135-(M120+M130)</f>
        <v>41.783365368159139</v>
      </c>
      <c r="Y123" s="6">
        <f>X123/T123</f>
        <v>28.742001678553706</v>
      </c>
      <c r="Z123" s="11">
        <f>2*(Q123*$Z$13/$Z$11)*EXP(-Y123)</f>
        <v>63.06500269895357</v>
      </c>
      <c r="AA123" s="11">
        <f>(Z123*$Z$12)/($Z$13*Q123)</f>
        <v>4.1373015477469048E-12</v>
      </c>
      <c r="AB123" s="1">
        <f>LN(U123)</f>
        <v>1.1118575154181303</v>
      </c>
      <c r="AC123" s="1">
        <f>LN(Z123)</f>
        <v>4.1441659833355331</v>
      </c>
      <c r="AD123" s="11">
        <f>Z123/Q123</f>
        <v>8.6207371606798686E-2</v>
      </c>
    </row>
    <row r="124" spans="1:30">
      <c r="A124" s="191" t="s">
        <v>663</v>
      </c>
      <c r="B124" s="17"/>
      <c r="C124" s="17"/>
      <c r="D124" s="17"/>
      <c r="E124" s="33"/>
      <c r="F124" s="17"/>
      <c r="G124" s="17"/>
      <c r="H124" s="17"/>
      <c r="I124" s="17"/>
      <c r="J124" s="196">
        <f t="shared" si="12"/>
        <v>0</v>
      </c>
      <c r="K124" s="201">
        <f t="shared" si="15"/>
        <v>0</v>
      </c>
      <c r="L124" s="201">
        <f t="shared" si="13"/>
        <v>0</v>
      </c>
      <c r="M124" s="201">
        <f t="shared" si="14"/>
        <v>0</v>
      </c>
      <c r="Q124" s="1">
        <v>741.65</v>
      </c>
      <c r="R124" s="2">
        <f>1/Q124</f>
        <v>1.3483449066271152E-3</v>
      </c>
      <c r="S124">
        <f>1/(Q124*Q124)</f>
        <v>1.8180339872272843E-6</v>
      </c>
      <c r="T124" s="6">
        <f>Q124*$Z$15/(1000*$Z$5)</f>
        <v>1.4738096389294915</v>
      </c>
      <c r="U124" s="1">
        <v>5.05</v>
      </c>
      <c r="V124" s="11">
        <f>(U124*$Z$12)/($Z$13*Q124)</f>
        <v>3.2678728389229337E-13</v>
      </c>
      <c r="W124" s="11">
        <f>U124/Q124</f>
        <v>6.8091417784669319E-3</v>
      </c>
      <c r="X124" s="6">
        <f>Sheet8!AJ110</f>
        <v>0</v>
      </c>
      <c r="Y124" s="6">
        <f>X124/T124</f>
        <v>0</v>
      </c>
      <c r="Z124" s="11">
        <f>2*(Q124*$Z$13/$Z$11)*EXP(-Y124)</f>
        <v>194194145550346.97</v>
      </c>
      <c r="AA124" s="11">
        <f>(Z124*$Z$12)/($Z$13*Q124)</f>
        <v>12.566371756867836</v>
      </c>
      <c r="AB124" s="1">
        <f>LN(U124)</f>
        <v>1.6193882432872684</v>
      </c>
      <c r="AC124" s="1">
        <f>LN(Z124)</f>
        <v>32.899879524834688</v>
      </c>
      <c r="AD124" s="11">
        <f>Z124/Q124</f>
        <v>261840687049.61502</v>
      </c>
    </row>
    <row r="125" spans="1:30">
      <c r="A125" s="191" t="s">
        <v>664</v>
      </c>
      <c r="B125" s="17"/>
      <c r="C125" s="17"/>
      <c r="D125" s="17"/>
      <c r="E125" s="33"/>
      <c r="F125" s="17"/>
      <c r="G125" s="17"/>
      <c r="H125" s="17"/>
      <c r="I125" s="17"/>
      <c r="J125" s="196">
        <f t="shared" si="12"/>
        <v>0</v>
      </c>
      <c r="K125" s="201">
        <f t="shared" si="15"/>
        <v>0</v>
      </c>
      <c r="L125" s="201">
        <f t="shared" si="13"/>
        <v>0</v>
      </c>
      <c r="M125" s="201">
        <f t="shared" si="14"/>
        <v>0</v>
      </c>
    </row>
    <row r="126" spans="1:30">
      <c r="A126" s="191" t="s">
        <v>665</v>
      </c>
      <c r="B126" s="17"/>
      <c r="C126" s="17"/>
      <c r="D126" s="17"/>
      <c r="E126" s="33"/>
      <c r="F126" s="17"/>
      <c r="G126" s="17"/>
      <c r="H126" s="17"/>
      <c r="I126" s="17"/>
      <c r="J126" s="196">
        <f t="shared" si="12"/>
        <v>0</v>
      </c>
      <c r="K126" s="201">
        <f t="shared" si="15"/>
        <v>0</v>
      </c>
      <c r="L126" s="201">
        <f t="shared" si="13"/>
        <v>0</v>
      </c>
      <c r="M126" s="201">
        <f t="shared" si="14"/>
        <v>0</v>
      </c>
    </row>
    <row r="127" spans="1:30">
      <c r="A127" s="191" t="s">
        <v>644</v>
      </c>
      <c r="B127" s="17">
        <v>-2.9042141414699998</v>
      </c>
      <c r="C127" s="17"/>
      <c r="D127" s="17"/>
      <c r="E127" s="33"/>
      <c r="F127" s="17"/>
      <c r="G127" s="17"/>
      <c r="H127" s="17">
        <v>5.5789999999999998E-3</v>
      </c>
      <c r="I127" s="17">
        <v>-2.5912999999999999E-2</v>
      </c>
      <c r="J127" s="196">
        <f t="shared" si="12"/>
        <v>19.761522317739693</v>
      </c>
      <c r="K127" s="201">
        <f t="shared" si="15"/>
        <v>-1822.4213315176751</v>
      </c>
      <c r="L127" s="201">
        <f t="shared" si="13"/>
        <v>-1818.9204572318033</v>
      </c>
      <c r="M127" s="201">
        <f t="shared" si="14"/>
        <v>-1838.6819795495433</v>
      </c>
    </row>
    <row r="128" spans="1:30">
      <c r="A128" s="191" t="s">
        <v>645</v>
      </c>
      <c r="B128" s="17">
        <v>-2.9042141414699998</v>
      </c>
      <c r="C128" s="17"/>
      <c r="D128" s="17"/>
      <c r="E128" s="33"/>
      <c r="F128" s="17"/>
      <c r="G128" s="17"/>
      <c r="H128" s="17">
        <v>5.6429999999999996E-3</v>
      </c>
      <c r="I128" s="17">
        <v>-2.6276000000000001E-2</v>
      </c>
      <c r="J128" s="196">
        <f t="shared" si="12"/>
        <v>20.029468781275668</v>
      </c>
      <c r="K128" s="201">
        <f t="shared" si="15"/>
        <v>-1822.4213315176751</v>
      </c>
      <c r="L128" s="201">
        <f t="shared" si="13"/>
        <v>-1818.880296637737</v>
      </c>
      <c r="M128" s="201">
        <f t="shared" si="14"/>
        <v>-1838.909765419013</v>
      </c>
      <c r="P128" s="6">
        <f>K132-(K117+K127)</f>
        <v>39.846871723042568</v>
      </c>
    </row>
    <row r="129" spans="1:13">
      <c r="A129" s="191" t="s">
        <v>646</v>
      </c>
      <c r="B129" s="17">
        <v>-2.9042141414699998</v>
      </c>
      <c r="C129" s="17"/>
      <c r="D129" s="17"/>
      <c r="E129" s="33"/>
      <c r="F129" s="17"/>
      <c r="G129" s="17"/>
      <c r="H129" s="17">
        <v>5.7130000000000002E-3</v>
      </c>
      <c r="I129" s="17">
        <v>-2.6669999999999999E-2</v>
      </c>
      <c r="J129" s="196">
        <f t="shared" si="12"/>
        <v>20.320633088256209</v>
      </c>
      <c r="K129" s="201">
        <f t="shared" si="15"/>
        <v>-1822.4213315176751</v>
      </c>
      <c r="L129" s="201">
        <f t="shared" si="13"/>
        <v>-1818.836370987977</v>
      </c>
      <c r="M129" s="201">
        <f t="shared" si="14"/>
        <v>-1839.1570040762335</v>
      </c>
    </row>
    <row r="130" spans="1:13">
      <c r="A130" s="191" t="s">
        <v>647</v>
      </c>
      <c r="B130" s="17">
        <v>-2.9042141414699998</v>
      </c>
      <c r="C130" s="17"/>
      <c r="D130" s="17"/>
      <c r="E130" s="33"/>
      <c r="F130" s="17"/>
      <c r="G130" s="17"/>
      <c r="H130" s="17">
        <v>5.7930000000000004E-3</v>
      </c>
      <c r="I130" s="17">
        <v>-2.7129E-2</v>
      </c>
      <c r="J130" s="196">
        <f t="shared" si="12"/>
        <v>20.658860591408171</v>
      </c>
      <c r="K130" s="201">
        <f t="shared" si="15"/>
        <v>-1822.4213315176751</v>
      </c>
      <c r="L130" s="201">
        <f t="shared" si="13"/>
        <v>-1818.7861702453943</v>
      </c>
      <c r="M130" s="201">
        <f t="shared" si="14"/>
        <v>-1839.4450308368025</v>
      </c>
    </row>
    <row r="131" spans="1:13">
      <c r="A131" s="191" t="s">
        <v>648</v>
      </c>
      <c r="B131" s="17">
        <v>-2.9042141414699998</v>
      </c>
      <c r="C131" s="17"/>
      <c r="D131" s="17"/>
      <c r="E131" s="33"/>
      <c r="F131" s="17"/>
      <c r="G131" s="17"/>
      <c r="H131" s="17">
        <v>5.8719999999999996E-3</v>
      </c>
      <c r="I131" s="17">
        <v>-2.7574999999999999E-2</v>
      </c>
      <c r="J131" s="196">
        <f t="shared" si="12"/>
        <v>20.988302964608138</v>
      </c>
      <c r="K131" s="201">
        <f t="shared" si="15"/>
        <v>-1822.4213315176751</v>
      </c>
      <c r="L131" s="201">
        <f t="shared" si="13"/>
        <v>-1818.7365970120936</v>
      </c>
      <c r="M131" s="201">
        <f t="shared" si="14"/>
        <v>-1839.7248999767019</v>
      </c>
    </row>
    <row r="132" spans="1:13">
      <c r="A132" s="191" t="s">
        <v>649</v>
      </c>
      <c r="B132" s="17">
        <v>-154.36326324000001</v>
      </c>
      <c r="C132" s="17"/>
      <c r="D132" s="17"/>
      <c r="E132" s="33"/>
      <c r="F132" s="17"/>
      <c r="G132" s="17">
        <v>1.9354E-2</v>
      </c>
      <c r="H132" s="17">
        <v>3.9245000000000002E-2</v>
      </c>
      <c r="I132" s="17">
        <v>-5.7949000000000001E-2</v>
      </c>
      <c r="J132" s="196">
        <f t="shared" si="12"/>
        <v>60.990137182471479</v>
      </c>
      <c r="K132" s="201">
        <f>(B132+G132)*($Z$3*$Z$4*10^-3/$Z$5)</f>
        <v>-96852.235712353926</v>
      </c>
      <c r="L132" s="201">
        <f t="shared" si="13"/>
        <v>-96839.753925219979</v>
      </c>
      <c r="M132" s="201">
        <f t="shared" si="14"/>
        <v>-96900.74406240246</v>
      </c>
    </row>
    <row r="133" spans="1:13">
      <c r="A133" s="191" t="s">
        <v>650</v>
      </c>
      <c r="B133" s="17">
        <v>-154.36326324000001</v>
      </c>
      <c r="C133" s="17"/>
      <c r="D133" s="17"/>
      <c r="E133" s="33"/>
      <c r="F133" s="17"/>
      <c r="G133" s="17">
        <v>1.9354E-2</v>
      </c>
      <c r="H133" s="17">
        <v>3.95E-2</v>
      </c>
      <c r="I133" s="17">
        <v>-5.9068000000000002E-2</v>
      </c>
      <c r="J133" s="196">
        <f t="shared" si="12"/>
        <v>61.852334936331964</v>
      </c>
      <c r="K133" s="201">
        <f t="shared" si="15"/>
        <v>-96852.235712353926</v>
      </c>
      <c r="L133" s="201">
        <f t="shared" si="13"/>
        <v>-96839.593910352996</v>
      </c>
      <c r="M133" s="201">
        <f t="shared" si="14"/>
        <v>-96901.446245289335</v>
      </c>
    </row>
    <row r="134" spans="1:13">
      <c r="A134" s="191" t="s">
        <v>651</v>
      </c>
      <c r="B134" s="17">
        <v>-154.36326324000001</v>
      </c>
      <c r="C134" s="17"/>
      <c r="D134" s="17"/>
      <c r="E134" s="33"/>
      <c r="F134" s="17"/>
      <c r="G134" s="17">
        <v>1.9354E-2</v>
      </c>
      <c r="H134" s="17">
        <v>3.9778000000000001E-2</v>
      </c>
      <c r="I134" s="17">
        <v>-6.0285999999999999E-2</v>
      </c>
      <c r="J134" s="196">
        <f t="shared" si="12"/>
        <v>62.791088822631295</v>
      </c>
      <c r="K134" s="201">
        <f t="shared" si="15"/>
        <v>-96852.235712353926</v>
      </c>
      <c r="L134" s="201">
        <f t="shared" si="13"/>
        <v>-96839.419462772508</v>
      </c>
      <c r="M134" s="201">
        <f t="shared" si="14"/>
        <v>-96902.210551595155</v>
      </c>
    </row>
    <row r="135" spans="1:13">
      <c r="A135" s="191" t="s">
        <v>652</v>
      </c>
      <c r="B135" s="17">
        <v>-154.36326324000001</v>
      </c>
      <c r="C135" s="17"/>
      <c r="D135" s="17"/>
      <c r="E135" s="33"/>
      <c r="F135" s="17"/>
      <c r="G135" s="17">
        <v>1.9354E-2</v>
      </c>
      <c r="H135" s="17">
        <v>4.0099999999999997E-2</v>
      </c>
      <c r="I135" s="17">
        <v>-6.1703000000000001E-2</v>
      </c>
      <c r="J135" s="196">
        <f t="shared" si="12"/>
        <v>63.882327464526043</v>
      </c>
      <c r="K135" s="201">
        <f t="shared" si="15"/>
        <v>-96852.235712353926</v>
      </c>
      <c r="L135" s="201">
        <f t="shared" si="13"/>
        <v>-96839.217404783631</v>
      </c>
      <c r="M135" s="201">
        <f t="shared" si="14"/>
        <v>-96903.099732248156</v>
      </c>
    </row>
    <row r="136" spans="1:13">
      <c r="A136" s="191" t="s">
        <v>653</v>
      </c>
      <c r="B136" s="17">
        <v>-154.36326324000001</v>
      </c>
      <c r="C136" s="17"/>
      <c r="D136" s="17"/>
      <c r="E136" s="33"/>
      <c r="F136" s="17"/>
      <c r="G136" s="17">
        <v>1.9354E-2</v>
      </c>
      <c r="H136" s="17">
        <v>4.0412999999999998E-2</v>
      </c>
      <c r="I136" s="17">
        <v>-6.3083E-2</v>
      </c>
      <c r="J136" s="196">
        <f t="shared" si="12"/>
        <v>64.944700679435641</v>
      </c>
      <c r="K136" s="201">
        <f t="shared" si="15"/>
        <v>-96852.235712353926</v>
      </c>
      <c r="L136" s="201">
        <f t="shared" si="13"/>
        <v>-96839.020994378268</v>
      </c>
      <c r="M136" s="201">
        <f t="shared" si="14"/>
        <v>-96903.965695057705</v>
      </c>
    </row>
    <row r="137" spans="1:13">
      <c r="A137" s="191" t="s">
        <v>635</v>
      </c>
      <c r="B137" s="17"/>
      <c r="C137" s="17"/>
      <c r="D137" s="17"/>
      <c r="E137" s="33"/>
      <c r="F137" s="17"/>
      <c r="G137" s="17"/>
      <c r="H137" s="17"/>
      <c r="I137" s="17"/>
      <c r="J137" s="196">
        <f t="shared" si="12"/>
        <v>0</v>
      </c>
      <c r="K137" s="201">
        <f t="shared" si="15"/>
        <v>0</v>
      </c>
      <c r="L137" s="201">
        <f t="shared" si="13"/>
        <v>0</v>
      </c>
      <c r="M137" s="201">
        <f t="shared" si="14"/>
        <v>0</v>
      </c>
    </row>
    <row r="138" spans="1:13">
      <c r="A138" s="191" t="s">
        <v>635</v>
      </c>
      <c r="B138" s="17"/>
      <c r="C138" s="17"/>
      <c r="D138" s="17"/>
      <c r="E138" s="33"/>
      <c r="F138" s="17"/>
      <c r="G138" s="17"/>
      <c r="H138" s="17"/>
      <c r="I138" s="17"/>
      <c r="J138" s="196">
        <f t="shared" si="12"/>
        <v>0</v>
      </c>
      <c r="K138" s="201">
        <f t="shared" si="15"/>
        <v>0</v>
      </c>
      <c r="L138" s="201">
        <f t="shared" si="13"/>
        <v>0</v>
      </c>
      <c r="M138" s="201">
        <f t="shared" si="14"/>
        <v>0</v>
      </c>
    </row>
    <row r="139" spans="1:13">
      <c r="A139" s="191" t="s">
        <v>635</v>
      </c>
      <c r="B139" s="17"/>
      <c r="C139" s="17"/>
      <c r="D139" s="17"/>
      <c r="E139" s="33"/>
      <c r="F139" s="17"/>
      <c r="G139" s="17"/>
      <c r="H139" s="17"/>
      <c r="I139" s="17"/>
      <c r="J139" s="196">
        <f t="shared" si="12"/>
        <v>0</v>
      </c>
      <c r="K139" s="201">
        <f t="shared" si="15"/>
        <v>0</v>
      </c>
      <c r="L139" s="201">
        <f t="shared" si="13"/>
        <v>0</v>
      </c>
      <c r="M139" s="201">
        <f t="shared" si="14"/>
        <v>0</v>
      </c>
    </row>
    <row r="146" spans="15:15">
      <c r="O146">
        <f>-154.412057-(-151.565399-2.913028)</f>
        <v>6.6370000000006257E-2</v>
      </c>
    </row>
    <row r="147" spans="15:15">
      <c r="O147" s="11">
        <f>O146*($Z$3*$Z$4*10^-3/$Z$5)</f>
        <v>41.647791065302521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299"/>
  <sheetViews>
    <sheetView tabSelected="1" topLeftCell="AB187" zoomScale="70" zoomScaleNormal="70" workbookViewId="0">
      <selection activeCell="AK218" sqref="AK218"/>
    </sheetView>
  </sheetViews>
  <sheetFormatPr defaultRowHeight="15"/>
  <cols>
    <col min="1" max="1" width="35.28515625" customWidth="1"/>
    <col min="2" max="2" width="16.28515625" customWidth="1"/>
    <col min="3" max="3" width="16.5703125" customWidth="1"/>
    <col min="5" max="5" width="12.5703125" customWidth="1"/>
    <col min="6" max="6" width="11.7109375" customWidth="1"/>
    <col min="7" max="7" width="12" customWidth="1"/>
    <col min="9" max="9" width="11.28515625" customWidth="1"/>
    <col min="10" max="10" width="11.5703125" customWidth="1"/>
    <col min="11" max="11" width="12.140625" customWidth="1"/>
    <col min="12" max="12" width="10.85546875" customWidth="1"/>
    <col min="13" max="13" width="10.7109375" customWidth="1"/>
    <col min="14" max="14" width="12.28515625" customWidth="1"/>
    <col min="15" max="15" width="11.140625" bestFit="1" customWidth="1"/>
    <col min="19" max="19" width="21.42578125" customWidth="1"/>
    <col min="20" max="20" width="14" customWidth="1"/>
    <col min="21" max="21" width="12.85546875" customWidth="1"/>
    <col min="23" max="23" width="15.5703125" customWidth="1"/>
    <col min="24" max="24" width="12" customWidth="1"/>
    <col min="25" max="25" width="12.5703125" bestFit="1" customWidth="1"/>
    <col min="26" max="26" width="9.5703125" bestFit="1" customWidth="1"/>
    <col min="27" max="27" width="15" customWidth="1"/>
    <col min="28" max="28" width="12.5703125" customWidth="1"/>
    <col min="29" max="29" width="13.42578125" customWidth="1"/>
    <col min="30" max="30" width="9.28515625" bestFit="1" customWidth="1"/>
    <col min="31" max="31" width="10.28515625" bestFit="1" customWidth="1"/>
    <col min="32" max="32" width="13.140625" customWidth="1"/>
    <col min="33" max="33" width="9.28515625" bestFit="1" customWidth="1"/>
    <col min="34" max="34" width="10.28515625" bestFit="1" customWidth="1"/>
    <col min="35" max="35" width="9.28515625" bestFit="1" customWidth="1"/>
    <col min="36" max="36" width="15.28515625" customWidth="1"/>
    <col min="37" max="37" width="17.28515625" customWidth="1"/>
    <col min="38" max="38" width="12.5703125" bestFit="1" customWidth="1"/>
    <col min="39" max="39" width="9.28515625" bestFit="1" customWidth="1"/>
    <col min="40" max="40" width="12.5703125" customWidth="1"/>
    <col min="45" max="45" width="11.28515625" bestFit="1" customWidth="1"/>
  </cols>
  <sheetData>
    <row r="1" spans="1:39">
      <c r="A1" s="15" t="s">
        <v>709</v>
      </c>
      <c r="B1" s="15"/>
      <c r="C1" s="15"/>
      <c r="D1" s="15"/>
      <c r="E1" s="15"/>
      <c r="F1" s="15"/>
      <c r="G1" s="15"/>
    </row>
    <row r="2" spans="1:39" ht="60.75" thickBot="1">
      <c r="A2" s="178" t="s">
        <v>625</v>
      </c>
      <c r="B2" s="190" t="s">
        <v>626</v>
      </c>
      <c r="C2" s="190" t="s">
        <v>627</v>
      </c>
      <c r="D2" s="178" t="s">
        <v>628</v>
      </c>
      <c r="E2" s="190" t="s">
        <v>629</v>
      </c>
      <c r="F2" s="190" t="s">
        <v>630</v>
      </c>
      <c r="G2" s="190" t="s">
        <v>631</v>
      </c>
      <c r="H2" s="190" t="s">
        <v>632</v>
      </c>
      <c r="I2" s="190" t="s">
        <v>633</v>
      </c>
      <c r="J2" s="202" t="s">
        <v>691</v>
      </c>
      <c r="K2" s="202" t="s">
        <v>695</v>
      </c>
      <c r="L2" s="203" t="s">
        <v>694</v>
      </c>
      <c r="M2" s="203" t="s">
        <v>696</v>
      </c>
      <c r="N2" s="204" t="s">
        <v>692</v>
      </c>
      <c r="O2" s="204" t="s">
        <v>693</v>
      </c>
    </row>
    <row r="3" spans="1:39">
      <c r="A3" s="191" t="s">
        <v>175</v>
      </c>
      <c r="B3" s="17">
        <v>-151.60916165</v>
      </c>
      <c r="C3" s="17"/>
      <c r="D3" s="17"/>
      <c r="E3" s="33"/>
      <c r="F3" s="17">
        <v>2.613E-2</v>
      </c>
      <c r="G3" s="17">
        <v>3.0301999999999999E-2</v>
      </c>
      <c r="H3" s="17">
        <v>6.8529999999999997E-3</v>
      </c>
      <c r="I3" s="196">
        <f t="shared" ref="I3:I33" si="0">(G3-H3)*($T$3*$T$4)</f>
        <v>14.714465160316207</v>
      </c>
      <c r="J3" s="197">
        <f t="shared" ref="J3:J33" si="1">(B3+F3)*($T$3*$T$4)</f>
        <v>-95119.759397374495</v>
      </c>
      <c r="K3" s="197">
        <f t="shared" ref="K3:K33" si="2">((((2-0)/(2-D3))*B3+(1-((2-0)/(2-D3)))*C3)+F3)*($T$3*$T$4)</f>
        <v>-95119.759397374495</v>
      </c>
      <c r="L3" s="198">
        <f t="shared" ref="L3:L33" si="3">(B3+G3)*($T$3*$T$4)</f>
        <v>-95117.141428648785</v>
      </c>
      <c r="M3" s="198">
        <f t="shared" ref="M3:M33" si="4">((((2-0)/(2-D3))*B3+(1-((2-0)/(2-D3)))*C3)+G3)*($T$3*$T$4)</f>
        <v>-95117.141428648785</v>
      </c>
      <c r="N3" s="199">
        <f t="shared" ref="N3:N33" si="5">(B3+H3)*($T$3*$T$4)</f>
        <v>-95131.855893809101</v>
      </c>
      <c r="O3" s="199">
        <f t="shared" ref="O3:O33" si="6">((((2-0)/(2-D3))*B3+(1-((2-0)/(2-D3)))*C3)+H3)*($T$3*$T$4)</f>
        <v>-95131.855893809101</v>
      </c>
      <c r="S3" s="22" t="s">
        <v>699</v>
      </c>
      <c r="T3" s="88">
        <f>4.35974394E-18/(1000*T5)</f>
        <v>1.0420038097514341E-21</v>
      </c>
      <c r="AA3" t="s">
        <v>717</v>
      </c>
      <c r="AB3" t="s">
        <v>655</v>
      </c>
      <c r="AC3" t="s">
        <v>655</v>
      </c>
      <c r="AD3" t="s">
        <v>655</v>
      </c>
      <c r="AE3" t="s">
        <v>655</v>
      </c>
      <c r="AI3" t="s">
        <v>718</v>
      </c>
      <c r="AJ3" t="s">
        <v>655</v>
      </c>
      <c r="AK3" t="s">
        <v>655</v>
      </c>
      <c r="AL3" t="s">
        <v>655</v>
      </c>
      <c r="AM3" t="s">
        <v>655</v>
      </c>
    </row>
    <row r="4" spans="1:39">
      <c r="A4" s="191" t="s">
        <v>433</v>
      </c>
      <c r="B4" s="17">
        <v>-151.53821951</v>
      </c>
      <c r="C4" s="17"/>
      <c r="D4" s="17"/>
      <c r="E4" s="33"/>
      <c r="F4" s="17">
        <v>2.5950000000000001E-2</v>
      </c>
      <c r="G4" s="17">
        <v>2.9977E-2</v>
      </c>
      <c r="H4" s="17">
        <v>6.6670000000000002E-3</v>
      </c>
      <c r="I4" s="196">
        <f t="shared" si="0"/>
        <v>14.627241370078504</v>
      </c>
      <c r="J4" s="197">
        <f t="shared" si="1"/>
        <v>-95075.355497690092</v>
      </c>
      <c r="K4" s="197">
        <f t="shared" si="2"/>
        <v>-95075.355497690092</v>
      </c>
      <c r="L4" s="198">
        <f t="shared" si="3"/>
        <v>-95072.828517810325</v>
      </c>
      <c r="M4" s="198">
        <f t="shared" si="4"/>
        <v>-95072.828517810325</v>
      </c>
      <c r="N4" s="199">
        <f t="shared" si="5"/>
        <v>-95087.455759180404</v>
      </c>
      <c r="O4" s="199">
        <f t="shared" si="6"/>
        <v>-95087.455759180404</v>
      </c>
      <c r="S4" s="72" t="s">
        <v>148</v>
      </c>
      <c r="T4" s="89">
        <v>6.0221399999999997E+23</v>
      </c>
      <c r="Y4" t="s">
        <v>654</v>
      </c>
      <c r="Z4" t="s">
        <v>47</v>
      </c>
      <c r="AA4" t="s">
        <v>656</v>
      </c>
      <c r="AB4" t="s">
        <v>678</v>
      </c>
      <c r="AC4" t="s">
        <v>707</v>
      </c>
      <c r="AD4" t="s">
        <v>708</v>
      </c>
      <c r="AE4" t="s">
        <v>716</v>
      </c>
      <c r="AG4" t="s">
        <v>654</v>
      </c>
      <c r="AH4" t="s">
        <v>47</v>
      </c>
      <c r="AI4" t="s">
        <v>656</v>
      </c>
      <c r="AJ4" t="s">
        <v>678</v>
      </c>
      <c r="AK4" t="s">
        <v>707</v>
      </c>
      <c r="AL4" t="s">
        <v>708</v>
      </c>
      <c r="AM4" t="s">
        <v>716</v>
      </c>
    </row>
    <row r="5" spans="1:39" ht="15.75" thickBot="1">
      <c r="A5" s="191" t="s">
        <v>482</v>
      </c>
      <c r="B5" s="17">
        <v>-76.462564999999998</v>
      </c>
      <c r="C5" s="17"/>
      <c r="D5" s="17"/>
      <c r="E5" s="33"/>
      <c r="F5" s="17">
        <v>2.1037E-2</v>
      </c>
      <c r="G5" s="17">
        <v>2.4816999999999999E-2</v>
      </c>
      <c r="H5" s="17">
        <v>5.7629999999999999E-3</v>
      </c>
      <c r="I5" s="196">
        <f t="shared" si="0"/>
        <v>11.956561864670777</v>
      </c>
      <c r="J5" s="197">
        <f t="shared" si="1"/>
        <v>-47967.768372098421</v>
      </c>
      <c r="K5" s="197">
        <f t="shared" si="2"/>
        <v>-47967.768372098421</v>
      </c>
      <c r="L5" s="198">
        <f t="shared" si="3"/>
        <v>-47965.396387011388</v>
      </c>
      <c r="M5" s="198">
        <f t="shared" si="4"/>
        <v>-47965.396387011388</v>
      </c>
      <c r="N5" s="199">
        <f t="shared" si="5"/>
        <v>-47977.352948876054</v>
      </c>
      <c r="O5" s="199">
        <f t="shared" si="6"/>
        <v>-47977.352948876054</v>
      </c>
      <c r="Q5" s="6">
        <f>(F22-(F3+F20))*($T$3*$T$4)</f>
        <v>-4.748990248337801</v>
      </c>
      <c r="S5" s="23" t="s">
        <v>149</v>
      </c>
      <c r="T5" s="90">
        <v>4.1840000000000002</v>
      </c>
      <c r="Y5" s="5">
        <v>704.65</v>
      </c>
      <c r="Z5" s="5">
        <f>1/Y5</f>
        <v>1.4191442560136239E-3</v>
      </c>
      <c r="AA5" s="5">
        <v>1.1100000000000001</v>
      </c>
      <c r="AB5" s="5">
        <f>(AA5*$T$12)/($T$13*Y5)</f>
        <v>3.163107631985928E-10</v>
      </c>
      <c r="AC5" s="5">
        <f>LN(AB5)</f>
        <v>-21.874295957746348</v>
      </c>
      <c r="AD5" s="5">
        <f>LN(AA5)</f>
        <v>0.10436001532424286</v>
      </c>
      <c r="AE5" s="5">
        <f>LN(AA5/Y5)</f>
        <v>-6.453341210313277</v>
      </c>
      <c r="AF5" s="5"/>
      <c r="AG5" s="2">
        <v>704.65</v>
      </c>
      <c r="AH5" s="2">
        <f>1/AG5</f>
        <v>1.4191442560136239E-3</v>
      </c>
      <c r="AI5" s="2">
        <v>11.2</v>
      </c>
      <c r="AJ5" s="2">
        <f>(AI5*$T$12)/($T$13*AG5)</f>
        <v>3.1916040971389544E-9</v>
      </c>
      <c r="AK5" s="2">
        <f>LN(AJ5)</f>
        <v>-19.562742194769545</v>
      </c>
      <c r="AL5" s="2">
        <f>LN(AI5)</f>
        <v>2.4159137783010487</v>
      </c>
      <c r="AM5" s="2">
        <f>LN(AI5/AG5)</f>
        <v>-4.1417874473364709</v>
      </c>
    </row>
    <row r="6" spans="1:39" ht="15.75" thickBot="1">
      <c r="A6" s="191" t="s">
        <v>732</v>
      </c>
      <c r="B6" s="17">
        <v>-151.54257203</v>
      </c>
      <c r="C6" s="17"/>
      <c r="D6" s="17"/>
      <c r="E6" s="33"/>
      <c r="F6" s="17">
        <v>2.2578000000000001E-2</v>
      </c>
      <c r="G6" s="17">
        <v>2.6953000000000001E-2</v>
      </c>
      <c r="H6" s="17">
        <v>1.7329999999999999E-3</v>
      </c>
      <c r="I6" s="196">
        <f t="shared" si="0"/>
        <v>15.825784099244098</v>
      </c>
      <c r="J6" s="197">
        <f t="shared" si="1"/>
        <v>-95080.202705691278</v>
      </c>
      <c r="K6" s="197">
        <f t="shared" si="2"/>
        <v>-95080.202705691278</v>
      </c>
      <c r="L6" s="198">
        <f t="shared" si="3"/>
        <v>-95077.457352581288</v>
      </c>
      <c r="M6" s="198">
        <f t="shared" si="4"/>
        <v>-95077.457352581288</v>
      </c>
      <c r="N6" s="199">
        <f t="shared" si="5"/>
        <v>-95093.283136680533</v>
      </c>
      <c r="O6" s="199">
        <f t="shared" si="6"/>
        <v>-95093.283136680533</v>
      </c>
      <c r="Q6" s="6">
        <f>(G22-(G3+G20))*($T$3*$T$4)</f>
        <v>-3.9765263218441618</v>
      </c>
      <c r="Y6" s="5">
        <v>712.75</v>
      </c>
      <c r="Z6" s="5">
        <f>1/Y6</f>
        <v>1.4030164854437039E-3</v>
      </c>
      <c r="AA6" s="5">
        <v>1.44</v>
      </c>
      <c r="AB6" s="5">
        <f>(AA6*$T$12)/($T$13*Y6)</f>
        <v>4.0568571315209047E-10</v>
      </c>
      <c r="AC6" s="5">
        <f>LN(AB6)</f>
        <v>-21.625442361637944</v>
      </c>
      <c r="AD6" s="5">
        <f>LN(AA6)</f>
        <v>0.36464311358790924</v>
      </c>
      <c r="AE6" s="5">
        <f>LN(AA6/Y6)</f>
        <v>-6.2044876142048722</v>
      </c>
      <c r="AF6" s="5"/>
      <c r="AG6" s="2">
        <v>712.75</v>
      </c>
      <c r="AH6" s="2">
        <f>1/AG6</f>
        <v>1.4030164854437039E-3</v>
      </c>
      <c r="AI6" s="2">
        <v>19.8</v>
      </c>
      <c r="AJ6" s="2">
        <f>(AI6*$T$12)/($T$13*AG6)</f>
        <v>5.5781785558412437E-9</v>
      </c>
      <c r="AK6" s="2">
        <f>LN(AJ6)</f>
        <v>-19.004403537525363</v>
      </c>
      <c r="AL6" s="2">
        <f>LN(AI6)</f>
        <v>2.9856819377004897</v>
      </c>
      <c r="AM6" s="2">
        <f>LN(AI6/AG6)</f>
        <v>-3.5834487900922918</v>
      </c>
    </row>
    <row r="7" spans="1:39" ht="15.75" thickBot="1">
      <c r="A7" s="191" t="s">
        <v>715</v>
      </c>
      <c r="B7" s="17">
        <v>-75.765060419999998</v>
      </c>
      <c r="C7" s="17"/>
      <c r="D7" s="17"/>
      <c r="E7" s="33"/>
      <c r="F7" s="17">
        <v>8.3320000000000009E-3</v>
      </c>
      <c r="G7" s="17">
        <v>1.1636000000000001E-2</v>
      </c>
      <c r="H7" s="17">
        <v>-5.5750000000000001E-3</v>
      </c>
      <c r="I7" s="196">
        <f t="shared" si="0"/>
        <v>10.800062257418324</v>
      </c>
      <c r="J7" s="197">
        <f t="shared" si="1"/>
        <v>-47538.050279143114</v>
      </c>
      <c r="K7" s="197">
        <f t="shared" si="2"/>
        <v>-47538.050279143114</v>
      </c>
      <c r="L7" s="198">
        <f t="shared" si="3"/>
        <v>-47535.976988474438</v>
      </c>
      <c r="M7" s="198">
        <f t="shared" si="4"/>
        <v>-47535.976988474438</v>
      </c>
      <c r="N7" s="199">
        <f t="shared" si="5"/>
        <v>-47546.777050731849</v>
      </c>
      <c r="O7" s="199">
        <f t="shared" si="6"/>
        <v>-47546.777050731849</v>
      </c>
      <c r="Q7" s="6">
        <f>J22-(J3+J20)</f>
        <v>41.627936671618954</v>
      </c>
      <c r="S7" s="91" t="s">
        <v>150</v>
      </c>
      <c r="T7" s="32"/>
      <c r="Y7" s="5">
        <v>721.55</v>
      </c>
      <c r="Z7" s="5">
        <f>1/Y7</f>
        <v>1.3859053426650962E-3</v>
      </c>
      <c r="AA7" s="5">
        <v>1.91</v>
      </c>
      <c r="AB7" s="5">
        <f>(AA7*$T$12)/($T$13*Y7)</f>
        <v>5.315344087707417E-10</v>
      </c>
      <c r="AC7" s="5">
        <f>LN(AB7)</f>
        <v>-21.355253181256622</v>
      </c>
      <c r="AD7" s="5">
        <f>LN(AA7)</f>
        <v>0.64710324205853842</v>
      </c>
      <c r="AE7" s="5">
        <f>LN(AA7/Y7)</f>
        <v>-5.9342984338235487</v>
      </c>
      <c r="AF7" s="5"/>
      <c r="AG7" s="2">
        <v>721.55</v>
      </c>
      <c r="AH7" s="2">
        <f>1/AG7</f>
        <v>1.3859053426650962E-3</v>
      </c>
      <c r="AI7" s="2">
        <v>31.9</v>
      </c>
      <c r="AJ7" s="2">
        <f>(AI7*$T$12)/($T$13*AG7)</f>
        <v>8.8774594972705024E-9</v>
      </c>
      <c r="AK7" s="2">
        <f>LN(AJ7)</f>
        <v>-18.539750413524359</v>
      </c>
      <c r="AL7" s="2">
        <f>LN(AI7)</f>
        <v>3.4626060097907989</v>
      </c>
      <c r="AM7" s="2">
        <f>LN(AI7/AG7)</f>
        <v>-3.1187956660912879</v>
      </c>
    </row>
    <row r="8" spans="1:39">
      <c r="A8" s="191" t="s">
        <v>740</v>
      </c>
      <c r="B8" s="17">
        <v>-150.37848507999999</v>
      </c>
      <c r="C8" s="17"/>
      <c r="D8" s="17"/>
      <c r="E8" s="33"/>
      <c r="F8" s="17">
        <v>3.6749999999999999E-3</v>
      </c>
      <c r="G8" s="17">
        <v>6.9829999999999996E-3</v>
      </c>
      <c r="H8" s="17">
        <v>-1.3269E-2</v>
      </c>
      <c r="I8" s="196">
        <f t="shared" si="0"/>
        <v>12.708317984848986</v>
      </c>
      <c r="J8" s="197">
        <f t="shared" si="1"/>
        <v>-94361.589147141742</v>
      </c>
      <c r="K8" s="197">
        <f t="shared" si="2"/>
        <v>-94361.589147141742</v>
      </c>
      <c r="L8" s="198">
        <f t="shared" si="3"/>
        <v>-94359.513346435939</v>
      </c>
      <c r="M8" s="198">
        <f t="shared" si="4"/>
        <v>-94359.513346435939</v>
      </c>
      <c r="N8" s="199">
        <f t="shared" si="5"/>
        <v>-94372.221664420795</v>
      </c>
      <c r="O8" s="199">
        <f t="shared" si="6"/>
        <v>-94372.221664420795</v>
      </c>
      <c r="Q8" s="6">
        <f>K27-(2*K3)</f>
        <v>32.717292269953759</v>
      </c>
      <c r="S8" s="92" t="s">
        <v>151</v>
      </c>
      <c r="T8" s="112">
        <v>2000</v>
      </c>
      <c r="Y8" s="5">
        <v>731.55</v>
      </c>
      <c r="Z8" s="5">
        <f>1/Y8</f>
        <v>1.366960563187752E-3</v>
      </c>
      <c r="AA8" s="5">
        <v>3.04</v>
      </c>
      <c r="AB8" s="5">
        <f>(AA8*$T$12)/($T$13*Y8)</f>
        <v>8.3443789046604211E-10</v>
      </c>
      <c r="AC8" s="5">
        <f>LN(AB8)</f>
        <v>-20.904262802839114</v>
      </c>
      <c r="AD8" s="5">
        <f>LN(AA8)</f>
        <v>1.1118575154181303</v>
      </c>
      <c r="AE8" s="5">
        <f>LN(AA8/Y8)</f>
        <v>-5.4833080554060407</v>
      </c>
      <c r="AF8" s="5"/>
      <c r="AG8" s="2">
        <v>731.55</v>
      </c>
      <c r="AH8" s="2">
        <f>1/AG8</f>
        <v>1.366960563187752E-3</v>
      </c>
      <c r="AI8" s="2">
        <v>42.4</v>
      </c>
      <c r="AJ8" s="2">
        <f>(AI8*$T$12)/($T$13*AG8)</f>
        <v>1.163821268281585E-8</v>
      </c>
      <c r="AK8" s="2">
        <f>LN(AJ8)</f>
        <v>-18.268971956019332</v>
      </c>
      <c r="AL8" s="2">
        <f>LN(AI8)</f>
        <v>3.7471483622379123</v>
      </c>
      <c r="AM8" s="2">
        <f>LN(AI8/AG8)</f>
        <v>-2.8480172085862594</v>
      </c>
    </row>
    <row r="9" spans="1:39">
      <c r="A9" s="191" t="s">
        <v>741</v>
      </c>
      <c r="B9" s="17">
        <v>-150.36245210999999</v>
      </c>
      <c r="C9" s="17">
        <v>-150.37848502</v>
      </c>
      <c r="D9" s="17">
        <v>1.0049999999999999</v>
      </c>
      <c r="E9" s="33"/>
      <c r="F9" s="17">
        <v>3.6649999999999999E-3</v>
      </c>
      <c r="G9" s="17">
        <v>6.973E-3</v>
      </c>
      <c r="H9" s="17">
        <v>-1.2243E-2</v>
      </c>
      <c r="I9" s="196">
        <f t="shared" si="0"/>
        <v>12.058218368401052</v>
      </c>
      <c r="J9" s="197">
        <f t="shared" si="1"/>
        <v>-94351.534584736946</v>
      </c>
      <c r="K9" s="197">
        <f t="shared" si="2"/>
        <v>-94341.372671323581</v>
      </c>
      <c r="L9" s="198">
        <f t="shared" si="3"/>
        <v>-94349.458784031158</v>
      </c>
      <c r="M9" s="198">
        <f t="shared" si="4"/>
        <v>-94339.296870617793</v>
      </c>
      <c r="N9" s="199">
        <f t="shared" si="5"/>
        <v>-94361.51700239956</v>
      </c>
      <c r="O9" s="199">
        <f t="shared" si="6"/>
        <v>-94351.355088986194</v>
      </c>
      <c r="Q9" s="6">
        <f>K32-K3</f>
        <v>41.038943909079535</v>
      </c>
      <c r="Y9" s="5">
        <v>741.65</v>
      </c>
      <c r="Z9" s="5">
        <f>1/Y9</f>
        <v>1.3483449066271152E-3</v>
      </c>
      <c r="AA9" s="5">
        <v>5.05</v>
      </c>
      <c r="AB9" s="5">
        <f>(AA9*$T$12)/($T$13*Y9)</f>
        <v>1.3672779958053554E-9</v>
      </c>
      <c r="AC9" s="5">
        <f>LN(AB9)</f>
        <v>-20.410443937915424</v>
      </c>
      <c r="AD9" s="5">
        <f>LN(AA9)</f>
        <v>1.6193882432872684</v>
      </c>
      <c r="AE9" s="5">
        <f>LN(AA9/Y9)</f>
        <v>-4.9894891904823533</v>
      </c>
      <c r="AF9" s="5"/>
      <c r="AG9" s="2">
        <v>741.65</v>
      </c>
      <c r="AH9" s="2">
        <f>1/AG9</f>
        <v>1.3483449066271152E-3</v>
      </c>
      <c r="AI9" s="2">
        <v>63.3</v>
      </c>
      <c r="AJ9" s="2">
        <f>(AI9*$T$12)/($T$13*AG9)</f>
        <v>1.713835586821366E-8</v>
      </c>
      <c r="AK9" s="2">
        <f>LN(AJ9)</f>
        <v>-17.881946852052565</v>
      </c>
      <c r="AL9" s="2">
        <f>LN(AI9)</f>
        <v>4.1478853291501308</v>
      </c>
      <c r="AM9" s="2">
        <f>LN(AI9/AG9)</f>
        <v>-2.4609921046194909</v>
      </c>
    </row>
    <row r="10" spans="1:39">
      <c r="A10" s="191" t="s">
        <v>767</v>
      </c>
      <c r="B10" s="17">
        <v>-75.065171430000007</v>
      </c>
      <c r="C10" s="17">
        <v>-75.090887879999997</v>
      </c>
      <c r="D10" s="17">
        <v>1.0027999999999999</v>
      </c>
      <c r="E10" s="33"/>
      <c r="F10" s="17">
        <v>0</v>
      </c>
      <c r="G10" s="17">
        <v>2.3600000000000001E-3</v>
      </c>
      <c r="H10" s="17">
        <v>-1.0895999999999999E-2</v>
      </c>
      <c r="I10" s="196">
        <f t="shared" si="0"/>
        <v>8.3182630459785774</v>
      </c>
      <c r="J10" s="197">
        <f t="shared" si="1"/>
        <v>-47104.091848688593</v>
      </c>
      <c r="K10" s="197">
        <f t="shared" si="2"/>
        <v>-47087.863914920577</v>
      </c>
      <c r="L10" s="198">
        <f t="shared" si="3"/>
        <v>-47102.610926782399</v>
      </c>
      <c r="M10" s="198">
        <f t="shared" si="4"/>
        <v>-47086.382993014384</v>
      </c>
      <c r="N10" s="199">
        <f t="shared" si="5"/>
        <v>-47110.929189828377</v>
      </c>
      <c r="O10" s="199">
        <f t="shared" si="6"/>
        <v>-47094.701256060362</v>
      </c>
      <c r="Q10">
        <f>2*B7-B3</f>
        <v>7.9040810000009287E-2</v>
      </c>
      <c r="S10" s="93" t="s">
        <v>153</v>
      </c>
      <c r="T10" s="113">
        <v>298</v>
      </c>
    </row>
    <row r="11" spans="1:39">
      <c r="A11" s="191" t="s">
        <v>768</v>
      </c>
      <c r="B11" s="17">
        <v>-75.090887879999997</v>
      </c>
      <c r="C11" s="17"/>
      <c r="D11" s="17"/>
      <c r="E11" s="33"/>
      <c r="F11" s="17">
        <v>0</v>
      </c>
      <c r="G11" s="17">
        <v>2.3600000000000001E-3</v>
      </c>
      <c r="H11" s="17">
        <v>-1.0895999999999999E-2</v>
      </c>
      <c r="I11" s="196">
        <f t="shared" si="0"/>
        <v>8.3182630459785774</v>
      </c>
      <c r="J11" s="197">
        <f t="shared" si="1"/>
        <v>-47120.229159771021</v>
      </c>
      <c r="K11" s="197">
        <f t="shared" si="2"/>
        <v>-47120.229159771021</v>
      </c>
      <c r="L11" s="198">
        <f t="shared" si="3"/>
        <v>-47118.748237864827</v>
      </c>
      <c r="M11" s="198">
        <f t="shared" si="4"/>
        <v>-47118.748237864827</v>
      </c>
      <c r="N11" s="199">
        <f t="shared" si="5"/>
        <v>-47127.066500910805</v>
      </c>
      <c r="O11" s="199">
        <f t="shared" si="6"/>
        <v>-47127.066500910805</v>
      </c>
      <c r="Q11" s="11">
        <f>Q10*($T$3*$T$4)</f>
        <v>49.598841954382266</v>
      </c>
      <c r="S11" s="93" t="s">
        <v>165</v>
      </c>
      <c r="T11" s="114"/>
    </row>
    <row r="12" spans="1:39">
      <c r="A12" s="191" t="s">
        <v>725</v>
      </c>
      <c r="B12" s="17">
        <v>-151.53605673000001</v>
      </c>
      <c r="C12" s="17">
        <v>-151.53617410000001</v>
      </c>
      <c r="D12" s="17">
        <v>1.0051000000000001</v>
      </c>
      <c r="E12" s="33"/>
      <c r="F12" s="17">
        <v>1.8886E-2</v>
      </c>
      <c r="G12" s="17">
        <v>2.4572E-2</v>
      </c>
      <c r="H12" s="17">
        <v>-2.5929999999999998E-3</v>
      </c>
      <c r="I12" s="196">
        <f t="shared" si="0"/>
        <v>17.046289653289687</v>
      </c>
      <c r="J12" s="197">
        <f t="shared" si="1"/>
        <v>-95078.431058734612</v>
      </c>
      <c r="K12" s="197">
        <f t="shared" si="2"/>
        <v>-95078.356652881426</v>
      </c>
      <c r="L12" s="198">
        <f t="shared" si="3"/>
        <v>-95074.863040955534</v>
      </c>
      <c r="M12" s="198">
        <f t="shared" si="4"/>
        <v>-95074.788635102348</v>
      </c>
      <c r="N12" s="199">
        <f t="shared" si="5"/>
        <v>-95091.909330608833</v>
      </c>
      <c r="O12" s="199">
        <f t="shared" si="6"/>
        <v>-95091.834924755633</v>
      </c>
      <c r="S12" s="93" t="s">
        <v>697</v>
      </c>
      <c r="T12" s="115">
        <v>6.6260695699999996E-34</v>
      </c>
    </row>
    <row r="13" spans="1:39">
      <c r="A13" s="191" t="s">
        <v>730</v>
      </c>
      <c r="B13" s="17">
        <v>-151.53618449000001</v>
      </c>
      <c r="C13" s="17"/>
      <c r="D13" s="17"/>
      <c r="E13" s="33"/>
      <c r="F13" s="17">
        <v>1.8336999999999999E-2</v>
      </c>
      <c r="G13" s="17">
        <v>2.4369999999999999E-2</v>
      </c>
      <c r="H13" s="17">
        <v>-4.7949999999999998E-3</v>
      </c>
      <c r="I13" s="196">
        <f t="shared" si="0"/>
        <v>18.301308217860985</v>
      </c>
      <c r="J13" s="197">
        <f t="shared" si="1"/>
        <v>-95078.855731916497</v>
      </c>
      <c r="K13" s="197">
        <f t="shared" si="2"/>
        <v>-95078.855731916497</v>
      </c>
      <c r="L13" s="198">
        <f t="shared" si="3"/>
        <v>-95075.069968416472</v>
      </c>
      <c r="M13" s="198">
        <f t="shared" si="4"/>
        <v>-95075.069968416472</v>
      </c>
      <c r="N13" s="199">
        <f t="shared" si="5"/>
        <v>-95093.371276634323</v>
      </c>
      <c r="O13" s="199">
        <f t="shared" si="6"/>
        <v>-95093.371276634323</v>
      </c>
      <c r="Q13" s="6">
        <f>K13-K28</f>
        <v>-1.139241001161281</v>
      </c>
      <c r="S13" s="93" t="s">
        <v>702</v>
      </c>
      <c r="T13" s="116">
        <f>(1.3806488*10^-23)/(1000*T5)</f>
        <v>3.2998298279158703E-27</v>
      </c>
      <c r="AC13" s="6">
        <f xml:space="preserve">  -20622*T15</f>
        <v>-40.980115113603425</v>
      </c>
    </row>
    <row r="14" spans="1:39">
      <c r="A14" s="191" t="s">
        <v>724</v>
      </c>
      <c r="B14" s="17">
        <v>-151.53476505</v>
      </c>
      <c r="C14" s="17">
        <v>-151.5348607</v>
      </c>
      <c r="D14" s="17">
        <v>1.0049999999999999</v>
      </c>
      <c r="E14" s="33"/>
      <c r="F14" s="17">
        <v>1.8578000000000001E-2</v>
      </c>
      <c r="G14" s="17">
        <v>2.4593E-2</v>
      </c>
      <c r="H14" s="17">
        <v>4.3249999999999999E-3</v>
      </c>
      <c r="I14" s="196">
        <f t="shared" si="0"/>
        <v>12.718358133365557</v>
      </c>
      <c r="J14" s="197">
        <f t="shared" si="1"/>
        <v>-95077.813790403816</v>
      </c>
      <c r="K14" s="197">
        <f t="shared" si="2"/>
        <v>-95077.753165912218</v>
      </c>
      <c r="L14" s="198">
        <f t="shared" si="3"/>
        <v>-95074.039322070865</v>
      </c>
      <c r="M14" s="198">
        <f t="shared" si="4"/>
        <v>-95073.978697579252</v>
      </c>
      <c r="N14" s="199">
        <f t="shared" si="5"/>
        <v>-95086.757680204231</v>
      </c>
      <c r="O14" s="199">
        <f t="shared" si="6"/>
        <v>-95086.697055712633</v>
      </c>
      <c r="Q14" s="6">
        <f>(K16+K7)-(K3+K20)</f>
        <v>43.716488366044359</v>
      </c>
      <c r="S14" s="96" t="s">
        <v>156</v>
      </c>
      <c r="T14" s="116">
        <v>3.1415926500000002</v>
      </c>
      <c r="AC14" s="6">
        <f>2260.2*T15</f>
        <v>4.4914778479180706</v>
      </c>
    </row>
    <row r="15" spans="1:39">
      <c r="A15" s="191" t="s">
        <v>734</v>
      </c>
      <c r="B15" s="17">
        <v>-151.55595045999999</v>
      </c>
      <c r="C15" s="17"/>
      <c r="D15" s="17"/>
      <c r="E15" s="33"/>
      <c r="F15" s="17">
        <v>2.1957999999999998E-2</v>
      </c>
      <c r="G15" s="17">
        <v>2.7663E-2</v>
      </c>
      <c r="H15" s="17">
        <v>-1.101E-3</v>
      </c>
      <c r="I15" s="196">
        <f t="shared" si="0"/>
        <v>18.049676995664441</v>
      </c>
      <c r="J15" s="197">
        <f t="shared" si="1"/>
        <v>-95088.986850453701</v>
      </c>
      <c r="K15" s="197">
        <f t="shared" si="2"/>
        <v>-95088.986850453701</v>
      </c>
      <c r="L15" s="198">
        <f t="shared" si="3"/>
        <v>-95085.406909998273</v>
      </c>
      <c r="M15" s="198">
        <f t="shared" si="4"/>
        <v>-95085.406909998273</v>
      </c>
      <c r="N15" s="199">
        <f t="shared" si="5"/>
        <v>-95103.45658699394</v>
      </c>
      <c r="O15" s="199">
        <f t="shared" si="6"/>
        <v>-95103.45658699394</v>
      </c>
      <c r="S15" s="97" t="s">
        <v>698</v>
      </c>
      <c r="T15" s="117">
        <f>T13*T16</f>
        <v>1.9872037199885279E-3</v>
      </c>
      <c r="Y15" s="6">
        <f>2000*T15</f>
        <v>3.9744074399770559</v>
      </c>
    </row>
    <row r="16" spans="1:39">
      <c r="A16" s="191" t="s">
        <v>722</v>
      </c>
      <c r="B16" s="17">
        <v>-78.678248409999995</v>
      </c>
      <c r="C16" s="17"/>
      <c r="D16" s="17"/>
      <c r="E16" s="33"/>
      <c r="F16" s="17">
        <v>8.5839999999999996E-3</v>
      </c>
      <c r="G16" s="17">
        <v>1.4014E-2</v>
      </c>
      <c r="H16" s="17">
        <v>-8.3479999999999995E-3</v>
      </c>
      <c r="I16" s="196">
        <f t="shared" si="0"/>
        <v>14.032362570471708</v>
      </c>
      <c r="J16" s="197">
        <f t="shared" si="1"/>
        <v>-49365.944651572048</v>
      </c>
      <c r="K16" s="197">
        <f t="shared" si="2"/>
        <v>-49365.944651572048</v>
      </c>
      <c r="L16" s="198">
        <f t="shared" si="3"/>
        <v>-49362.537276169234</v>
      </c>
      <c r="M16" s="198">
        <f t="shared" si="4"/>
        <v>-49362.537276169234</v>
      </c>
      <c r="N16" s="199">
        <f t="shared" si="5"/>
        <v>-49376.569638739704</v>
      </c>
      <c r="O16" s="199">
        <f t="shared" si="6"/>
        <v>-49376.569638739704</v>
      </c>
      <c r="S16" s="93" t="s">
        <v>158</v>
      </c>
      <c r="T16" s="116">
        <v>6.0221399999999997E+23</v>
      </c>
      <c r="Y16" s="18">
        <f>24400*T15</f>
        <v>48.487770767720079</v>
      </c>
    </row>
    <row r="17" spans="1:45" ht="15.75" thickBot="1">
      <c r="A17" s="191" t="s">
        <v>751</v>
      </c>
      <c r="B17" s="17">
        <v>-151.53576869</v>
      </c>
      <c r="C17" s="17">
        <v>-151.55251371</v>
      </c>
      <c r="D17" s="17">
        <v>0.89459999999999995</v>
      </c>
      <c r="E17" s="33"/>
      <c r="F17" s="17">
        <v>2.3064000000000001E-2</v>
      </c>
      <c r="G17" s="17">
        <v>2.8058E-2</v>
      </c>
      <c r="H17" s="17">
        <v>2.5149999999999999E-3</v>
      </c>
      <c r="I17" s="196">
        <f t="shared" si="0"/>
        <v>16.028469597422362</v>
      </c>
      <c r="J17" s="197">
        <f t="shared" si="1"/>
        <v>-95075.628577179552</v>
      </c>
      <c r="K17" s="197">
        <f t="shared" si="2"/>
        <v>-95067.124733689183</v>
      </c>
      <c r="L17" s="198">
        <f t="shared" si="3"/>
        <v>-95072.494795823819</v>
      </c>
      <c r="M17" s="198">
        <f t="shared" si="4"/>
        <v>-95063.990952333465</v>
      </c>
      <c r="N17" s="199">
        <f t="shared" si="5"/>
        <v>-95088.523265421245</v>
      </c>
      <c r="O17" s="199">
        <f t="shared" si="6"/>
        <v>-95080.019421930876</v>
      </c>
      <c r="S17" s="95" t="s">
        <v>166</v>
      </c>
      <c r="T17" s="118">
        <v>29979245800</v>
      </c>
      <c r="AS17">
        <f xml:space="preserve">  -20622*T15</f>
        <v>-40.980115113603425</v>
      </c>
    </row>
    <row r="18" spans="1:45">
      <c r="A18" s="191" t="s">
        <v>765</v>
      </c>
      <c r="B18" s="17">
        <v>-151.55595045999999</v>
      </c>
      <c r="C18" s="17"/>
      <c r="D18" s="17"/>
      <c r="E18" s="33"/>
      <c r="F18" s="17">
        <v>2.1957999999999998E-2</v>
      </c>
      <c r="G18" s="17">
        <v>2.7663E-2</v>
      </c>
      <c r="H18" s="17">
        <v>-1.101E-3</v>
      </c>
      <c r="I18" s="196">
        <f t="shared" si="0"/>
        <v>18.049676995664441</v>
      </c>
      <c r="J18" s="197">
        <f t="shared" si="1"/>
        <v>-95088.986850453701</v>
      </c>
      <c r="K18" s="197">
        <f t="shared" si="2"/>
        <v>-95088.986850453701</v>
      </c>
      <c r="L18" s="198">
        <f t="shared" si="3"/>
        <v>-95085.406909998273</v>
      </c>
      <c r="M18" s="198">
        <f t="shared" si="4"/>
        <v>-95085.406909998273</v>
      </c>
      <c r="N18" s="199">
        <f t="shared" si="5"/>
        <v>-95103.45658699394</v>
      </c>
      <c r="O18" s="199">
        <f t="shared" si="6"/>
        <v>-95103.45658699394</v>
      </c>
      <c r="Q18" s="6">
        <f>J23-(J3+J19)</f>
        <v>41.639125162095297</v>
      </c>
      <c r="S18" s="92" t="s">
        <v>167</v>
      </c>
      <c r="T18" s="98">
        <f>((2*T14)/(T12*T8*T17))</f>
        <v>1.5815144992182973E+20</v>
      </c>
      <c r="AS18" s="18">
        <f xml:space="preserve">  -22938*T15</f>
        <v>-45.582478929096851</v>
      </c>
    </row>
    <row r="19" spans="1:45" ht="15.75" thickBot="1">
      <c r="A19" s="191" t="s">
        <v>780</v>
      </c>
      <c r="B19" s="17">
        <v>-527.55388452</v>
      </c>
      <c r="C19" s="17"/>
      <c r="D19" s="17"/>
      <c r="E19" s="33"/>
      <c r="F19" s="17">
        <v>0</v>
      </c>
      <c r="G19" s="17">
        <v>2.3600000000000001E-3</v>
      </c>
      <c r="H19" s="17">
        <v>-1.2193000000000001E-2</v>
      </c>
      <c r="I19" s="196">
        <f t="shared" si="0"/>
        <v>9.1321425851030664</v>
      </c>
      <c r="J19" s="197">
        <f t="shared" si="1"/>
        <v>-331044.95944215194</v>
      </c>
      <c r="K19" s="197">
        <f t="shared" si="2"/>
        <v>-331044.95944215194</v>
      </c>
      <c r="L19" s="198">
        <f t="shared" si="3"/>
        <v>-331043.47852024576</v>
      </c>
      <c r="M19" s="198">
        <f t="shared" si="4"/>
        <v>-331043.47852024576</v>
      </c>
      <c r="N19" s="199">
        <f t="shared" si="5"/>
        <v>-331052.61066283088</v>
      </c>
      <c r="O19" s="199">
        <f t="shared" si="6"/>
        <v>-331052.61066283088</v>
      </c>
      <c r="Q19" s="6">
        <f>K22-(K3+K20)</f>
        <v>42.121938026015414</v>
      </c>
      <c r="R19" s="6"/>
      <c r="S19" s="95" t="s">
        <v>168</v>
      </c>
      <c r="T19" s="99">
        <f>(1/(T13*T10))</f>
        <v>1.0169326519804194E+24</v>
      </c>
    </row>
    <row r="20" spans="1:45">
      <c r="A20" s="191" t="s">
        <v>700</v>
      </c>
      <c r="B20" s="17">
        <v>-2.9130278600000001</v>
      </c>
      <c r="C20" s="17"/>
      <c r="D20" s="17"/>
      <c r="E20" s="33"/>
      <c r="F20" s="17">
        <v>0</v>
      </c>
      <c r="G20" s="17">
        <v>2.3600000000000001E-3</v>
      </c>
      <c r="H20" s="17">
        <v>-8.9339999999999992E-3</v>
      </c>
      <c r="I20" s="196">
        <f t="shared" si="0"/>
        <v>7.0870898341341313</v>
      </c>
      <c r="J20" s="197">
        <f t="shared" si="1"/>
        <v>-1827.9520217067034</v>
      </c>
      <c r="K20" s="197">
        <f t="shared" si="2"/>
        <v>-1827.9520217067034</v>
      </c>
      <c r="L20" s="198">
        <f t="shared" si="3"/>
        <v>-1826.4710998005091</v>
      </c>
      <c r="M20" s="198">
        <f t="shared" si="4"/>
        <v>-1826.4710998005091</v>
      </c>
      <c r="N20" s="199">
        <f t="shared" si="5"/>
        <v>-1833.5581896346432</v>
      </c>
      <c r="O20" s="199">
        <f t="shared" si="6"/>
        <v>-1833.5581896346432</v>
      </c>
      <c r="S20" s="22" t="s">
        <v>159</v>
      </c>
      <c r="T20" s="100" t="e">
        <f>((T19*T14)/T18)/SIN((T19*T14)/T18)-(T19/(T18-T19))*EXP((T19-T18)*((#REF!*1000/T16)))</f>
        <v>#REF!</v>
      </c>
    </row>
    <row r="21" spans="1:45" ht="15.75" thickBot="1">
      <c r="A21" s="191" t="s">
        <v>714</v>
      </c>
      <c r="B21" s="17">
        <v>-154.52417854000001</v>
      </c>
      <c r="C21" s="17">
        <v>-151.43670302999999</v>
      </c>
      <c r="D21" s="17"/>
      <c r="E21" s="33"/>
      <c r="F21" s="17">
        <v>2.6481999999999999E-2</v>
      </c>
      <c r="G21" s="17">
        <v>3.3204999999999998E-2</v>
      </c>
      <c r="H21" s="17">
        <v>-3.0609999999999999E-3</v>
      </c>
      <c r="I21" s="196">
        <f t="shared" si="0"/>
        <v>22.757251631371386</v>
      </c>
      <c r="J21" s="197">
        <f t="shared" si="1"/>
        <v>-96948.738670601582</v>
      </c>
      <c r="K21" s="197">
        <f t="shared" si="2"/>
        <v>-96948.738670601582</v>
      </c>
      <c r="L21" s="198">
        <f t="shared" si="3"/>
        <v>-96944.519925696761</v>
      </c>
      <c r="M21" s="198">
        <f t="shared" si="4"/>
        <v>-96944.519925696761</v>
      </c>
      <c r="N21" s="199">
        <f t="shared" si="5"/>
        <v>-96967.277177328142</v>
      </c>
      <c r="O21" s="199">
        <f t="shared" si="6"/>
        <v>-96967.277177328142</v>
      </c>
      <c r="S21" s="72" t="s">
        <v>169</v>
      </c>
      <c r="T21" s="192" t="e">
        <f>(T15*T10*LN(T20)/1000)/T5</f>
        <v>#REF!</v>
      </c>
      <c r="AC21">
        <v>1.4189999999999999E-3</v>
      </c>
    </row>
    <row r="22" spans="1:45">
      <c r="A22" s="191" t="s">
        <v>701</v>
      </c>
      <c r="B22" s="17">
        <v>-154.44828315000001</v>
      </c>
      <c r="C22" s="17">
        <v>-154.44908181</v>
      </c>
      <c r="D22" s="17">
        <v>0.99280000000000002</v>
      </c>
      <c r="E22" s="33">
        <v>209.85</v>
      </c>
      <c r="F22" s="17">
        <v>1.8561999999999999E-2</v>
      </c>
      <c r="G22" s="17">
        <v>2.6325000000000001E-2</v>
      </c>
      <c r="H22" s="17">
        <v>-1.0012999999999999E-2</v>
      </c>
      <c r="I22" s="196">
        <f t="shared" si="0"/>
        <v>22.802432299695955</v>
      </c>
      <c r="J22" s="197">
        <f t="shared" si="1"/>
        <v>-96906.08348240958</v>
      </c>
      <c r="K22" s="197">
        <f t="shared" si="2"/>
        <v>-96905.589481055184</v>
      </c>
      <c r="L22" s="198">
        <f t="shared" si="3"/>
        <v>-96901.212127851191</v>
      </c>
      <c r="M22" s="198">
        <f t="shared" si="4"/>
        <v>-96900.718126496795</v>
      </c>
      <c r="N22" s="199">
        <f t="shared" si="5"/>
        <v>-96924.014560150885</v>
      </c>
      <c r="O22" s="199">
        <f t="shared" si="6"/>
        <v>-96923.520558796488</v>
      </c>
      <c r="S22" s="22" t="s">
        <v>160</v>
      </c>
      <c r="T22" s="100" t="e">
        <f>(T19/(T19-T18))*(EXP((T19-T18)*((#REF!)*1000/T16))-1)</f>
        <v>#REF!</v>
      </c>
      <c r="AC22">
        <v>1.403E-3</v>
      </c>
    </row>
    <row r="23" spans="1:45" ht="15.75" thickBot="1">
      <c r="A23" s="191" t="s">
        <v>781</v>
      </c>
      <c r="B23" s="17">
        <v>-679.08909998000001</v>
      </c>
      <c r="C23" s="17">
        <v>-679.08987602000002</v>
      </c>
      <c r="D23" s="17">
        <v>0.99180000000000001</v>
      </c>
      <c r="E23" s="33">
        <v>208.95</v>
      </c>
      <c r="F23" s="17">
        <v>1.8540000000000001E-2</v>
      </c>
      <c r="G23" s="17">
        <v>2.6315000000000002E-2</v>
      </c>
      <c r="H23" s="17">
        <v>-1.2754E-2</v>
      </c>
      <c r="I23" s="196">
        <f t="shared" si="0"/>
        <v>24.516160149618063</v>
      </c>
      <c r="J23" s="197">
        <f t="shared" si="1"/>
        <v>-426123.07971436431</v>
      </c>
      <c r="K23" s="197">
        <f t="shared" si="2"/>
        <v>-426122.60066345125</v>
      </c>
      <c r="L23" s="198">
        <f t="shared" si="3"/>
        <v>-426118.20082969457</v>
      </c>
      <c r="M23" s="198">
        <f t="shared" si="4"/>
        <v>-426117.7217787815</v>
      </c>
      <c r="N23" s="199">
        <f t="shared" si="5"/>
        <v>-426142.71698984416</v>
      </c>
      <c r="O23" s="199">
        <f t="shared" si="6"/>
        <v>-426142.2379389311</v>
      </c>
      <c r="S23" s="72" t="s">
        <v>170</v>
      </c>
      <c r="T23" s="193" t="e">
        <f>(T15*T10*LN(T22)/1000)/T5</f>
        <v>#REF!</v>
      </c>
      <c r="AC23">
        <v>1.3860000000000001E-3</v>
      </c>
      <c r="AJ23" t="s">
        <v>472</v>
      </c>
      <c r="AK23" t="s">
        <v>705</v>
      </c>
      <c r="AL23" t="s">
        <v>284</v>
      </c>
      <c r="AM23" t="s">
        <v>283</v>
      </c>
      <c r="AN23" t="s">
        <v>706</v>
      </c>
    </row>
    <row r="24" spans="1:45" ht="15.75" thickBot="1">
      <c r="A24" s="191" t="s">
        <v>733</v>
      </c>
      <c r="B24" s="17">
        <v>-154.44929417</v>
      </c>
      <c r="C24" s="17"/>
      <c r="D24" s="17"/>
      <c r="E24" s="33">
        <v>142.49</v>
      </c>
      <c r="F24" s="17">
        <v>1.8783999999999999E-2</v>
      </c>
      <c r="G24" s="17">
        <v>2.6317E-2</v>
      </c>
      <c r="H24" s="17">
        <v>-1.0388E-2</v>
      </c>
      <c r="I24" s="196">
        <f t="shared" si="0"/>
        <v>23.032728206294788</v>
      </c>
      <c r="J24" s="197">
        <f t="shared" si="1"/>
        <v>-96906.57859978349</v>
      </c>
      <c r="K24" s="197">
        <f t="shared" si="2"/>
        <v>-96906.57859978349</v>
      </c>
      <c r="L24" s="198">
        <f t="shared" si="3"/>
        <v>-96901.851572360029</v>
      </c>
      <c r="M24" s="198">
        <f t="shared" si="4"/>
        <v>-96901.851572360029</v>
      </c>
      <c r="N24" s="199">
        <f t="shared" si="5"/>
        <v>-96924.884300566337</v>
      </c>
      <c r="O24" s="199">
        <f t="shared" si="6"/>
        <v>-96924.884300566337</v>
      </c>
      <c r="Q24" s="6">
        <f>J111-(J108+J106)</f>
        <v>42.509782632158021</v>
      </c>
      <c r="S24" s="101" t="s">
        <v>171</v>
      </c>
      <c r="T24" s="102"/>
      <c r="AC24">
        <v>1.3669999999999999E-3</v>
      </c>
      <c r="AJ24" t="s">
        <v>703</v>
      </c>
      <c r="AK24" s="6">
        <v>27580</v>
      </c>
      <c r="AL24" s="6">
        <v>-138900</v>
      </c>
      <c r="AM24" s="6">
        <v>194000</v>
      </c>
      <c r="AN24" s="6">
        <f>ABS(AL24-AM24)/3.92</f>
        <v>84923.469387755104</v>
      </c>
    </row>
    <row r="25" spans="1:45">
      <c r="A25" s="191" t="s">
        <v>731</v>
      </c>
      <c r="B25" s="17">
        <v>-154.44922747000001</v>
      </c>
      <c r="C25" s="17"/>
      <c r="D25" s="17"/>
      <c r="E25" s="33">
        <v>792.9</v>
      </c>
      <c r="F25" s="17">
        <v>1.6410000000000001E-2</v>
      </c>
      <c r="G25" s="17">
        <v>2.3673E-2</v>
      </c>
      <c r="H25" s="17">
        <v>-1.2194E-2</v>
      </c>
      <c r="I25" s="196">
        <f t="shared" si="0"/>
        <v>22.506875427739409</v>
      </c>
      <c r="J25" s="197">
        <f t="shared" si="1"/>
        <v>-96908.026451950514</v>
      </c>
      <c r="K25" s="197">
        <f t="shared" si="2"/>
        <v>-96908.026451950514</v>
      </c>
      <c r="L25" s="198">
        <f t="shared" si="3"/>
        <v>-96903.468852033271</v>
      </c>
      <c r="M25" s="198">
        <f t="shared" si="4"/>
        <v>-96903.468852033271</v>
      </c>
      <c r="N25" s="199">
        <f t="shared" si="5"/>
        <v>-96925.975727461002</v>
      </c>
      <c r="O25" s="199">
        <f t="shared" si="6"/>
        <v>-96925.975727461002</v>
      </c>
      <c r="S25" s="103" t="s">
        <v>161</v>
      </c>
      <c r="T25" s="104">
        <f>1+(1/24)*(T12*T8*T17/(T10*T13))^2</f>
        <v>68012153.87524952</v>
      </c>
      <c r="AC25">
        <v>1.348E-3</v>
      </c>
      <c r="AJ25" t="s">
        <v>704</v>
      </c>
      <c r="AK25" s="6">
        <v>-22740</v>
      </c>
      <c r="AL25" s="6">
        <v>-27170</v>
      </c>
      <c r="AM25" s="6">
        <v>-18310</v>
      </c>
      <c r="AN25" s="209">
        <f>ABS(AL25-AM25)/3.92</f>
        <v>2260.204081632653</v>
      </c>
    </row>
    <row r="26" spans="1:45">
      <c r="A26" s="191" t="s">
        <v>713</v>
      </c>
      <c r="B26" s="17">
        <v>-154.44931582999999</v>
      </c>
      <c r="C26" s="17">
        <v>-154.44943275</v>
      </c>
      <c r="D26" s="17">
        <v>1.0051000000000001</v>
      </c>
      <c r="E26" s="33"/>
      <c r="F26" s="17">
        <v>1.9193999999999999E-2</v>
      </c>
      <c r="G26" s="17">
        <v>2.741E-2</v>
      </c>
      <c r="H26" s="17">
        <v>-9.6609999999999994E-3</v>
      </c>
      <c r="I26" s="196">
        <f t="shared" si="0"/>
        <v>23.262396603611336</v>
      </c>
      <c r="J26" s="197">
        <f t="shared" si="1"/>
        <v>-96906.334912828795</v>
      </c>
      <c r="K26" s="197">
        <f t="shared" si="2"/>
        <v>-96906.260792249799</v>
      </c>
      <c r="L26" s="198">
        <f t="shared" si="3"/>
        <v>-96901.179296565533</v>
      </c>
      <c r="M26" s="198">
        <f t="shared" si="4"/>
        <v>-96901.105175986537</v>
      </c>
      <c r="N26" s="199">
        <f t="shared" si="5"/>
        <v>-96924.441693169152</v>
      </c>
      <c r="O26" s="199">
        <f t="shared" si="6"/>
        <v>-96924.367572590156</v>
      </c>
      <c r="S26" s="103" t="s">
        <v>172</v>
      </c>
      <c r="T26" s="104">
        <f>(T10*T13)/(T8*T12*T17)</f>
        <v>2.475147689667829E-5</v>
      </c>
      <c r="Z26">
        <f xml:space="preserve"> -743.87842- -743.892656</f>
        <v>1.4235999999982596E-2</v>
      </c>
      <c r="AJ26" s="5">
        <v>1.2999999999999999E-3</v>
      </c>
      <c r="AK26" s="2">
        <f>$AK$24*EXP($AK$25*AJ26)</f>
        <v>3.9992705752109143E-9</v>
      </c>
    </row>
    <row r="27" spans="1:45" ht="15.75" thickBot="1">
      <c r="A27" s="191" t="s">
        <v>719</v>
      </c>
      <c r="B27" s="17">
        <v>-303.16198494000002</v>
      </c>
      <c r="C27" s="17">
        <v>-303.16156462999999</v>
      </c>
      <c r="D27" s="17">
        <v>0.97899999999999998</v>
      </c>
      <c r="E27" s="33">
        <v>259</v>
      </c>
      <c r="F27" s="17">
        <v>4.8462999999999999E-2</v>
      </c>
      <c r="G27" s="17">
        <v>5.6701000000000001E-2</v>
      </c>
      <c r="H27" s="17">
        <v>2.0584999999999999E-2</v>
      </c>
      <c r="I27" s="196">
        <f t="shared" si="0"/>
        <v>22.663125239028542</v>
      </c>
      <c r="J27" s="197">
        <f t="shared" si="1"/>
        <v>-190206.54860364506</v>
      </c>
      <c r="K27" s="197">
        <f t="shared" si="2"/>
        <v>-190206.80150247904</v>
      </c>
      <c r="L27" s="198">
        <f t="shared" si="3"/>
        <v>-190201.37918217762</v>
      </c>
      <c r="M27" s="198">
        <f t="shared" si="4"/>
        <v>-190201.6320810116</v>
      </c>
      <c r="N27" s="199">
        <f t="shared" si="5"/>
        <v>-190224.04230741665</v>
      </c>
      <c r="O27" s="199">
        <f t="shared" si="6"/>
        <v>-190224.29520625062</v>
      </c>
      <c r="S27" s="103" t="s">
        <v>483</v>
      </c>
      <c r="T27" s="121">
        <f>(T15*T10*LN(T25)/1000)/T5</f>
        <v>2.5526300043327644E-3</v>
      </c>
      <c r="Z27" s="11">
        <f>Z26*($T$3*$T$4)</f>
        <v>8.933222142607594</v>
      </c>
      <c r="AJ27" s="5">
        <v>1.31E-3</v>
      </c>
      <c r="AK27" s="2">
        <f t="shared" ref="AK27:AK45" si="7">$AK$24*EXP($AK$25*AJ27)</f>
        <v>3.1858272495870089E-9</v>
      </c>
    </row>
    <row r="28" spans="1:45">
      <c r="A28" s="191" t="s">
        <v>743</v>
      </c>
      <c r="B28" s="17">
        <v>-151.53505488900001</v>
      </c>
      <c r="C28" s="17">
        <v>-151.53586744</v>
      </c>
      <c r="D28" s="17">
        <v>0.99339999999999995</v>
      </c>
      <c r="E28" s="33">
        <v>206.76</v>
      </c>
      <c r="F28" s="17">
        <v>1.8221000000000001E-2</v>
      </c>
      <c r="G28" s="17">
        <v>2.3460000000000002E-2</v>
      </c>
      <c r="H28" s="17">
        <v>-2.9139999999999999E-3</v>
      </c>
      <c r="I28" s="196">
        <f t="shared" si="0"/>
        <v>16.549929811001736</v>
      </c>
      <c r="J28" s="197">
        <f t="shared" si="1"/>
        <v>-95078.219687880453</v>
      </c>
      <c r="K28" s="197">
        <f t="shared" si="2"/>
        <v>-95077.716490915336</v>
      </c>
      <c r="L28" s="198">
        <f t="shared" si="3"/>
        <v>-95074.932166750572</v>
      </c>
      <c r="M28" s="198">
        <f t="shared" si="4"/>
        <v>-95074.428969785455</v>
      </c>
      <c r="N28" s="199">
        <f t="shared" si="5"/>
        <v>-95091.482096561565</v>
      </c>
      <c r="O28" s="199">
        <f t="shared" si="6"/>
        <v>-95090.978899596448</v>
      </c>
      <c r="S28" s="122" t="s">
        <v>173</v>
      </c>
      <c r="T28" s="26">
        <f>2*2*2</f>
        <v>8</v>
      </c>
      <c r="AJ28" s="5">
        <v>1.32E-3</v>
      </c>
      <c r="AK28" s="2">
        <f t="shared" si="7"/>
        <v>2.5378366062856091E-9</v>
      </c>
    </row>
    <row r="29" spans="1:45" ht="15.75" thickBot="1">
      <c r="A29" s="191" t="s">
        <v>744</v>
      </c>
      <c r="B29" s="17">
        <v>-151.52355926000001</v>
      </c>
      <c r="C29" s="17">
        <v>-151.53830644999999</v>
      </c>
      <c r="D29" s="17">
        <v>1.0004</v>
      </c>
      <c r="E29" s="33"/>
      <c r="F29" s="17">
        <v>1.5923E-2</v>
      </c>
      <c r="G29" s="17">
        <v>2.0347000000000001E-2</v>
      </c>
      <c r="H29" s="17">
        <v>-3.9500000000000004E-3</v>
      </c>
      <c r="I29" s="196">
        <f t="shared" si="0"/>
        <v>15.24659303169444</v>
      </c>
      <c r="J29" s="197">
        <f t="shared" si="1"/>
        <v>-95072.448090307953</v>
      </c>
      <c r="K29" s="197">
        <f t="shared" si="2"/>
        <v>-95063.186685533961</v>
      </c>
      <c r="L29" s="198">
        <f t="shared" si="3"/>
        <v>-95069.671989243128</v>
      </c>
      <c r="M29" s="198">
        <f t="shared" si="4"/>
        <v>-95060.410584469137</v>
      </c>
      <c r="N29" s="199">
        <f t="shared" si="5"/>
        <v>-95084.918582274811</v>
      </c>
      <c r="O29" s="199">
        <f t="shared" si="6"/>
        <v>-95075.65717750082</v>
      </c>
      <c r="S29" s="107" t="s">
        <v>174</v>
      </c>
      <c r="T29" s="110">
        <f>(T10*T15*LN(T28)*10^-3)/T5</f>
        <v>2.9431588006768763E-4</v>
      </c>
      <c r="AA29" t="s">
        <v>284</v>
      </c>
      <c r="AB29" t="s">
        <v>283</v>
      </c>
      <c r="AC29" t="s">
        <v>721</v>
      </c>
      <c r="AH29" t="s">
        <v>721</v>
      </c>
      <c r="AJ29" s="5">
        <v>1.33E-3</v>
      </c>
      <c r="AK29" s="2">
        <f t="shared" si="7"/>
        <v>2.0216459134870478E-9</v>
      </c>
    </row>
    <row r="30" spans="1:45">
      <c r="A30" s="191" t="s">
        <v>752</v>
      </c>
      <c r="B30" s="17">
        <v>-151.52603821</v>
      </c>
      <c r="C30" s="17"/>
      <c r="D30" s="17"/>
      <c r="E30" s="33">
        <v>1206.4000000000001</v>
      </c>
      <c r="F30" s="17">
        <v>2.1722000000000002E-2</v>
      </c>
      <c r="G30" s="17">
        <v>2.5676999999999998E-2</v>
      </c>
      <c r="H30" s="17">
        <v>2.4399999999999999E-3</v>
      </c>
      <c r="I30" s="196">
        <f t="shared" si="0"/>
        <v>14.58143319247165</v>
      </c>
      <c r="J30" s="197">
        <f t="shared" si="1"/>
        <v>-95070.364728115281</v>
      </c>
      <c r="K30" s="197">
        <f t="shared" si="2"/>
        <v>-95070.364728115281</v>
      </c>
      <c r="L30" s="198">
        <f t="shared" si="3"/>
        <v>-95067.88292890384</v>
      </c>
      <c r="M30" s="198">
        <f t="shared" si="4"/>
        <v>-95067.88292890384</v>
      </c>
      <c r="N30" s="199">
        <f t="shared" si="5"/>
        <v>-95082.464362096303</v>
      </c>
      <c r="O30" s="199">
        <f t="shared" si="6"/>
        <v>-95082.464362096303</v>
      </c>
      <c r="AA30" s="2">
        <v>25300</v>
      </c>
      <c r="AB30" s="2">
        <v>15910</v>
      </c>
      <c r="AC30" s="135">
        <f xml:space="preserve"> (ABS(AA30-AB30) / 3.92)</f>
        <v>2395.408163265306</v>
      </c>
      <c r="AE30" s="1">
        <v>7.2930000000000001</v>
      </c>
      <c r="AF30" s="1">
        <v>0.79039999999999999</v>
      </c>
      <c r="AG30" s="1">
        <v>13.8</v>
      </c>
      <c r="AH30" s="1">
        <f xml:space="preserve"> (ABS(AF30-AG30) / 3.92)</f>
        <v>3.3187755102040817</v>
      </c>
      <c r="AJ30" s="5">
        <v>1.34E-3</v>
      </c>
      <c r="AK30" s="2">
        <f t="shared" si="7"/>
        <v>1.6104473351027499E-9</v>
      </c>
    </row>
    <row r="31" spans="1:45">
      <c r="A31" s="191" t="s">
        <v>755</v>
      </c>
      <c r="B31" s="17">
        <v>-151.53442498999999</v>
      </c>
      <c r="C31" s="17">
        <v>-151.52357885000001</v>
      </c>
      <c r="D31" s="17">
        <v>0.4698</v>
      </c>
      <c r="E31" s="33">
        <v>356</v>
      </c>
      <c r="F31" s="17">
        <v>2.3547999999999999E-2</v>
      </c>
      <c r="G31" s="17">
        <v>2.7626000000000001E-2</v>
      </c>
      <c r="H31" s="17">
        <v>3.999E-3</v>
      </c>
      <c r="I31" s="196">
        <f t="shared" si="0"/>
        <v>14.826161812563056</v>
      </c>
      <c r="J31" s="197">
        <f t="shared" si="1"/>
        <v>-95074.481678464304</v>
      </c>
      <c r="K31" s="197">
        <f t="shared" si="2"/>
        <v>-95076.571264104728</v>
      </c>
      <c r="L31" s="198">
        <f t="shared" si="3"/>
        <v>-95071.922695611152</v>
      </c>
      <c r="M31" s="198">
        <f t="shared" si="4"/>
        <v>-95074.012281251576</v>
      </c>
      <c r="N31" s="199">
        <f t="shared" si="5"/>
        <v>-95086.748857423721</v>
      </c>
      <c r="O31" s="199">
        <f t="shared" si="6"/>
        <v>-95088.838443064131</v>
      </c>
      <c r="AA31" s="210">
        <f t="shared" ref="AA31:AA34" si="8">I43+$AC$30</f>
        <v>2436.3445598970698</v>
      </c>
      <c r="AB31" s="13">
        <f t="shared" ref="AB31:AB34" si="9">I43-$AC$30</f>
        <v>-2354.4717666335423</v>
      </c>
      <c r="AJ31" s="5">
        <v>1.3500000000000001E-3</v>
      </c>
      <c r="AK31" s="2">
        <f t="shared" si="7"/>
        <v>1.2828856932053316E-9</v>
      </c>
    </row>
    <row r="32" spans="1:45">
      <c r="A32" s="191" t="s">
        <v>756</v>
      </c>
      <c r="B32" s="17">
        <v>-151.53604691000001</v>
      </c>
      <c r="C32" s="17"/>
      <c r="D32" s="17"/>
      <c r="E32" s="33">
        <v>152.9</v>
      </c>
      <c r="F32" s="17">
        <v>1.8415000000000001E-2</v>
      </c>
      <c r="G32" s="17">
        <v>2.3453999999999999E-2</v>
      </c>
      <c r="H32" s="17">
        <v>-3.4350000000000001E-3</v>
      </c>
      <c r="I32" s="196">
        <f t="shared" si="0"/>
        <v>16.873097091378845</v>
      </c>
      <c r="J32" s="197">
        <f t="shared" si="1"/>
        <v>-95078.720453465416</v>
      </c>
      <c r="K32" s="197">
        <f t="shared" si="2"/>
        <v>-95078.720453465416</v>
      </c>
      <c r="L32" s="198">
        <f t="shared" si="3"/>
        <v>-95075.558434191989</v>
      </c>
      <c r="M32" s="198">
        <f t="shared" si="4"/>
        <v>-95075.558434191989</v>
      </c>
      <c r="N32" s="199">
        <f t="shared" si="5"/>
        <v>-95092.431531283364</v>
      </c>
      <c r="O32" s="199">
        <f t="shared" si="6"/>
        <v>-95092.431531283364</v>
      </c>
      <c r="AA32" s="210">
        <f t="shared" si="8"/>
        <v>2436.3445598970698</v>
      </c>
      <c r="AB32" s="13">
        <f t="shared" si="9"/>
        <v>-2354.4717666335423</v>
      </c>
      <c r="AJ32" s="5">
        <v>1.3600000000000001E-3</v>
      </c>
      <c r="AK32" s="2">
        <f t="shared" si="7"/>
        <v>1.0219494086876921E-9</v>
      </c>
    </row>
    <row r="33" spans="1:37">
      <c r="A33" s="191" t="s">
        <v>761</v>
      </c>
      <c r="B33" s="17">
        <v>-151.53601867</v>
      </c>
      <c r="C33" s="17"/>
      <c r="D33" s="17"/>
      <c r="E33" s="33">
        <v>795.6</v>
      </c>
      <c r="F33" s="17">
        <v>1.6074000000000001E-2</v>
      </c>
      <c r="G33" s="17">
        <v>2.0816999999999999E-2</v>
      </c>
      <c r="H33" s="17">
        <v>-5.1500000000000001E-3</v>
      </c>
      <c r="I33" s="196">
        <f t="shared" si="0"/>
        <v>16.294533533111473</v>
      </c>
      <c r="J33" s="197">
        <f t="shared" si="1"/>
        <v>-95080.171731833121</v>
      </c>
      <c r="K33" s="197">
        <f t="shared" si="2"/>
        <v>-95080.171731833121</v>
      </c>
      <c r="L33" s="198">
        <f t="shared" si="3"/>
        <v>-95077.195455307243</v>
      </c>
      <c r="M33" s="198">
        <f t="shared" si="4"/>
        <v>-95077.195455307243</v>
      </c>
      <c r="N33" s="199">
        <f t="shared" si="5"/>
        <v>-95093.489988840345</v>
      </c>
      <c r="O33" s="199">
        <f t="shared" si="6"/>
        <v>-95093.489988840345</v>
      </c>
      <c r="AA33" s="210">
        <f t="shared" si="8"/>
        <v>2436.3445598970698</v>
      </c>
      <c r="AB33" s="13">
        <f t="shared" si="9"/>
        <v>-2354.4717666335423</v>
      </c>
      <c r="AJ33" s="5">
        <v>1.3699999999999999E-3</v>
      </c>
      <c r="AK33" s="2">
        <f t="shared" si="7"/>
        <v>8.1408702228778314E-10</v>
      </c>
    </row>
    <row r="34" spans="1:37">
      <c r="AA34" s="210">
        <f t="shared" si="8"/>
        <v>2436.3445598970698</v>
      </c>
      <c r="AB34" s="13">
        <f t="shared" si="9"/>
        <v>-2354.4717666335423</v>
      </c>
      <c r="AJ34" s="5">
        <v>1.3799999999999999E-3</v>
      </c>
      <c r="AK34" s="2">
        <f t="shared" si="7"/>
        <v>6.4850341340127701E-10</v>
      </c>
    </row>
    <row r="35" spans="1:37">
      <c r="AA35" s="210">
        <f>I47+$AC$30</f>
        <v>2436.3445598970698</v>
      </c>
      <c r="AB35" s="13">
        <f>I47-$AC$30</f>
        <v>-2354.4717666335423</v>
      </c>
      <c r="AJ35" s="5">
        <v>1.39E-3</v>
      </c>
      <c r="AK35" s="2">
        <f t="shared" si="7"/>
        <v>5.1659916652551736E-10</v>
      </c>
    </row>
    <row r="36" spans="1:37">
      <c r="Q36" s="6"/>
      <c r="S36" s="18"/>
      <c r="W36">
        <v>50</v>
      </c>
      <c r="AA36" s="210">
        <f>I48+$AC$30</f>
        <v>2436.3445598970698</v>
      </c>
      <c r="AB36" s="13">
        <f>I48-$AC$30</f>
        <v>-2354.4717666335423</v>
      </c>
      <c r="AJ36" s="5">
        <v>1.4E-3</v>
      </c>
      <c r="AK36" s="2">
        <f t="shared" si="7"/>
        <v>4.1152396940388055E-10</v>
      </c>
    </row>
    <row r="37" spans="1:37">
      <c r="W37">
        <v>20</v>
      </c>
      <c r="AA37" s="210" t="e">
        <f>#REF!+$AC$30</f>
        <v>#REF!</v>
      </c>
      <c r="AB37" s="13" t="e">
        <f>#REF!-$AC$30</f>
        <v>#REF!</v>
      </c>
      <c r="AJ37" s="5">
        <v>1.41E-3</v>
      </c>
      <c r="AK37" s="2">
        <f t="shared" si="7"/>
        <v>3.2782084905969409E-10</v>
      </c>
    </row>
    <row r="38" spans="1:37">
      <c r="D38" t="s">
        <v>784</v>
      </c>
      <c r="W38">
        <v>20</v>
      </c>
      <c r="AA38" s="210" t="e">
        <f>#REF!+$AC$30</f>
        <v>#REF!</v>
      </c>
      <c r="AB38" s="13" t="e">
        <f>#REF!-$AC$30</f>
        <v>#REF!</v>
      </c>
      <c r="AJ38" s="5">
        <v>1.42E-3</v>
      </c>
      <c r="AK38" s="2">
        <f t="shared" si="7"/>
        <v>2.6114276948166839E-10</v>
      </c>
    </row>
    <row r="39" spans="1:37">
      <c r="D39" t="s">
        <v>785</v>
      </c>
      <c r="J39" t="s">
        <v>774</v>
      </c>
      <c r="W39">
        <v>20</v>
      </c>
      <c r="AA39" s="210" t="e">
        <f>#REF!+$AC$30</f>
        <v>#REF!</v>
      </c>
      <c r="AB39" s="13" t="e">
        <f>#REF!-$AC$30</f>
        <v>#REF!</v>
      </c>
      <c r="AJ39" s="5">
        <v>1.4300000000000001E-3</v>
      </c>
      <c r="AK39" s="2">
        <f t="shared" si="7"/>
        <v>2.0802687275127618E-10</v>
      </c>
    </row>
    <row r="40" spans="1:37">
      <c r="I40" t="s">
        <v>775</v>
      </c>
      <c r="J40" t="s">
        <v>706</v>
      </c>
      <c r="W40">
        <v>20</v>
      </c>
      <c r="AA40" s="210">
        <f>I52+$AC$30</f>
        <v>2436.3445598970698</v>
      </c>
      <c r="AB40" s="13">
        <f>I52-$AC$30</f>
        <v>-2354.4717666335423</v>
      </c>
      <c r="AJ40" s="5">
        <v>1.4400000000000001E-3</v>
      </c>
      <c r="AK40" s="2">
        <f t="shared" si="7"/>
        <v>1.6571463905575661E-10</v>
      </c>
    </row>
    <row r="41" spans="1:37">
      <c r="D41" t="s">
        <v>742</v>
      </c>
      <c r="E41" t="s">
        <v>728</v>
      </c>
      <c r="F41" t="s">
        <v>727</v>
      </c>
      <c r="I41" s="135">
        <v>20600</v>
      </c>
      <c r="J41">
        <v>2395</v>
      </c>
      <c r="W41">
        <v>20</v>
      </c>
      <c r="AJ41" s="5">
        <v>1.4499999999999999E-3</v>
      </c>
      <c r="AK41" s="2">
        <f t="shared" si="7"/>
        <v>1.3200862578083163E-10</v>
      </c>
    </row>
    <row r="42" spans="1:37">
      <c r="C42" t="s">
        <v>175</v>
      </c>
      <c r="D42">
        <v>0</v>
      </c>
      <c r="E42" s="1">
        <v>0</v>
      </c>
      <c r="F42" s="1">
        <v>0</v>
      </c>
      <c r="I42" t="s">
        <v>274</v>
      </c>
      <c r="J42" s="6" t="s">
        <v>266</v>
      </c>
      <c r="K42" s="6" t="s">
        <v>766</v>
      </c>
      <c r="T42" s="18">
        <f>LN(2)*T15</f>
        <v>1.3774246557082832E-3</v>
      </c>
      <c r="W42">
        <v>20</v>
      </c>
      <c r="AJ42" s="5">
        <v>1.4599999999999999E-3</v>
      </c>
      <c r="AK42" s="2">
        <f t="shared" si="7"/>
        <v>1.051583455742879E-10</v>
      </c>
    </row>
    <row r="43" spans="1:37">
      <c r="C43" t="s">
        <v>175</v>
      </c>
      <c r="D43">
        <v>1</v>
      </c>
      <c r="E43" s="1">
        <v>0</v>
      </c>
      <c r="F43" s="1">
        <v>0</v>
      </c>
      <c r="H43">
        <v>0</v>
      </c>
      <c r="I43" s="1">
        <f t="shared" ref="I43:I58" si="10">$I$41*$T$15</f>
        <v>40.936396631763671</v>
      </c>
      <c r="J43" s="1">
        <f>$I$41*$T$15-$J$41*$T$15</f>
        <v>36.177043722391147</v>
      </c>
      <c r="K43" s="1">
        <f>$I$41*$T$15+$J$41*$T$15</f>
        <v>45.695749541136195</v>
      </c>
      <c r="O43" s="6">
        <f>J11-J10</f>
        <v>-16.137311082427914</v>
      </c>
      <c r="W43">
        <v>20</v>
      </c>
      <c r="AJ43" s="5">
        <v>1.47E-3</v>
      </c>
      <c r="AK43" s="2">
        <f t="shared" si="7"/>
        <v>8.3769356574326222E-11</v>
      </c>
    </row>
    <row r="44" spans="1:37">
      <c r="C44" t="s">
        <v>720</v>
      </c>
      <c r="D44">
        <v>2</v>
      </c>
      <c r="E44" s="1">
        <f>J28-(J3)</f>
        <v>41.539709494041745</v>
      </c>
      <c r="F44" s="1">
        <f>K28-(K3)</f>
        <v>42.042906459158985</v>
      </c>
      <c r="H44">
        <v>1</v>
      </c>
      <c r="I44" s="1">
        <f t="shared" si="10"/>
        <v>40.936396631763671</v>
      </c>
      <c r="J44" s="1">
        <f t="shared" ref="J44:J58" si="11">$I$41*$T$15-$J$41*$T$15</f>
        <v>36.177043722391147</v>
      </c>
      <c r="K44" s="1">
        <f t="shared" ref="K44:K58" si="12">$I$41*$T$15+$J$41*$T$15</f>
        <v>45.695749541136195</v>
      </c>
      <c r="N44" s="6">
        <f>K27-2*K3</f>
        <v>32.717292269953759</v>
      </c>
      <c r="W44">
        <v>20</v>
      </c>
      <c r="AJ44" s="5">
        <v>1.48E-3</v>
      </c>
      <c r="AK44" s="2">
        <f t="shared" si="7"/>
        <v>6.6730843496575534E-11</v>
      </c>
    </row>
    <row r="45" spans="1:37">
      <c r="C45" t="s">
        <v>720</v>
      </c>
      <c r="D45">
        <v>3</v>
      </c>
      <c r="E45" s="1">
        <f>J28-(J3)</f>
        <v>41.539709494041745</v>
      </c>
      <c r="F45" s="1">
        <f>K28-(K3)</f>
        <v>42.042906459158985</v>
      </c>
      <c r="H45">
        <v>2</v>
      </c>
      <c r="I45" s="1">
        <f t="shared" si="10"/>
        <v>40.936396631763671</v>
      </c>
      <c r="J45" s="1">
        <f t="shared" si="11"/>
        <v>36.177043722391147</v>
      </c>
      <c r="K45" s="1">
        <f t="shared" si="12"/>
        <v>45.695749541136195</v>
      </c>
      <c r="W45">
        <v>50</v>
      </c>
      <c r="AJ45" s="5">
        <v>1.49E-3</v>
      </c>
      <c r="AK45" s="2">
        <f t="shared" si="7"/>
        <v>5.315792857753932E-11</v>
      </c>
    </row>
    <row r="46" spans="1:37">
      <c r="C46" t="s">
        <v>747</v>
      </c>
      <c r="D46">
        <v>4</v>
      </c>
      <c r="E46" s="1">
        <f>(J12)-(J3)</f>
        <v>41.328338639883441</v>
      </c>
      <c r="F46" s="1">
        <f>(K12)-(K3)</f>
        <v>41.402744493068894</v>
      </c>
      <c r="H46">
        <v>3</v>
      </c>
      <c r="I46" s="1">
        <f t="shared" si="10"/>
        <v>40.936396631763671</v>
      </c>
      <c r="J46" s="1">
        <f t="shared" si="11"/>
        <v>36.177043722391147</v>
      </c>
      <c r="K46" s="1">
        <f t="shared" si="12"/>
        <v>45.695749541136195</v>
      </c>
      <c r="W46">
        <v>20</v>
      </c>
      <c r="AJ46" s="208"/>
    </row>
    <row r="47" spans="1:37">
      <c r="C47" t="s">
        <v>747</v>
      </c>
      <c r="D47">
        <v>5</v>
      </c>
      <c r="E47" s="1">
        <f>(J12)-(J3)</f>
        <v>41.328338639883441</v>
      </c>
      <c r="F47" s="1">
        <f>(K12)-(K3)</f>
        <v>41.402744493068894</v>
      </c>
      <c r="H47">
        <v>4</v>
      </c>
      <c r="I47" s="1">
        <f t="shared" si="10"/>
        <v>40.936396631763671</v>
      </c>
      <c r="J47" s="1">
        <f t="shared" si="11"/>
        <v>36.177043722391147</v>
      </c>
      <c r="K47" s="1">
        <f t="shared" si="12"/>
        <v>45.695749541136195</v>
      </c>
      <c r="W47">
        <v>50</v>
      </c>
      <c r="AJ47" s="208"/>
    </row>
    <row r="48" spans="1:37">
      <c r="C48" t="s">
        <v>745</v>
      </c>
      <c r="D48">
        <v>6</v>
      </c>
      <c r="E48" s="1">
        <f>2*J7-J3</f>
        <v>43.658839088267996</v>
      </c>
      <c r="F48" s="1">
        <f>2*K7-K3</f>
        <v>43.658839088267996</v>
      </c>
      <c r="H48">
        <v>5</v>
      </c>
      <c r="I48" s="1">
        <f t="shared" si="10"/>
        <v>40.936396631763671</v>
      </c>
      <c r="J48" s="1">
        <f t="shared" si="11"/>
        <v>36.177043722391147</v>
      </c>
      <c r="K48" s="1">
        <f t="shared" si="12"/>
        <v>45.695749541136195</v>
      </c>
      <c r="W48">
        <v>50</v>
      </c>
      <c r="AJ48" s="208"/>
    </row>
    <row r="49" spans="3:36">
      <c r="C49" t="s">
        <v>745</v>
      </c>
      <c r="D49">
        <v>7</v>
      </c>
      <c r="E49" s="1">
        <f>2*J7-J3</f>
        <v>43.658839088267996</v>
      </c>
      <c r="F49" s="1">
        <f>2*K7-K3</f>
        <v>43.658839088267996</v>
      </c>
      <c r="H49">
        <v>6</v>
      </c>
      <c r="I49" s="1">
        <f t="shared" si="10"/>
        <v>40.936396631763671</v>
      </c>
      <c r="J49" s="1">
        <f t="shared" si="11"/>
        <v>36.177043722391147</v>
      </c>
      <c r="K49" s="1">
        <f t="shared" si="12"/>
        <v>45.695749541136195</v>
      </c>
      <c r="W49">
        <v>50</v>
      </c>
      <c r="AJ49" s="208"/>
    </row>
    <row r="50" spans="3:36">
      <c r="C50" t="s">
        <v>746</v>
      </c>
      <c r="D50">
        <v>8</v>
      </c>
      <c r="E50" s="1">
        <f>(2*J5+J8)-(2*J3)</f>
        <v>-57.60709658957785</v>
      </c>
      <c r="F50" s="1">
        <f>(2*K5+K8)-(2*K3)</f>
        <v>-57.60709658957785</v>
      </c>
      <c r="H50">
        <v>7</v>
      </c>
      <c r="I50" s="1">
        <f t="shared" si="10"/>
        <v>40.936396631763671</v>
      </c>
      <c r="J50" s="1">
        <f t="shared" si="11"/>
        <v>36.177043722391147</v>
      </c>
      <c r="K50" s="1">
        <f t="shared" si="12"/>
        <v>45.695749541136195</v>
      </c>
      <c r="W50">
        <v>20</v>
      </c>
      <c r="AJ50" s="208"/>
    </row>
    <row r="51" spans="3:36">
      <c r="C51" t="s">
        <v>746</v>
      </c>
      <c r="D51">
        <v>9</v>
      </c>
      <c r="E51" s="1">
        <f>(2*J5+J8)-(2*J3)</f>
        <v>-57.60709658957785</v>
      </c>
      <c r="F51" s="1">
        <f>(2*K5+K8)-(2*K3)</f>
        <v>-57.60709658957785</v>
      </c>
      <c r="H51">
        <v>8</v>
      </c>
      <c r="I51" s="1">
        <f t="shared" si="10"/>
        <v>40.936396631763671</v>
      </c>
      <c r="J51" s="1">
        <f t="shared" si="11"/>
        <v>36.177043722391147</v>
      </c>
      <c r="K51" s="1">
        <f t="shared" si="12"/>
        <v>45.695749541136195</v>
      </c>
      <c r="W51">
        <v>20</v>
      </c>
      <c r="AJ51" s="208"/>
    </row>
    <row r="52" spans="3:36">
      <c r="E52" s="1"/>
      <c r="F52" s="1"/>
      <c r="H52">
        <v>9</v>
      </c>
      <c r="I52" s="1">
        <f t="shared" si="10"/>
        <v>40.936396631763671</v>
      </c>
      <c r="J52" s="1">
        <f t="shared" si="11"/>
        <v>36.177043722391147</v>
      </c>
      <c r="K52" s="1">
        <f t="shared" si="12"/>
        <v>45.695749541136195</v>
      </c>
      <c r="W52">
        <v>50</v>
      </c>
      <c r="AJ52" s="208"/>
    </row>
    <row r="53" spans="3:36">
      <c r="E53" s="1"/>
      <c r="F53" s="1"/>
      <c r="H53">
        <v>10</v>
      </c>
      <c r="I53" s="1">
        <f t="shared" si="10"/>
        <v>40.936396631763671</v>
      </c>
      <c r="J53" s="1">
        <f t="shared" si="11"/>
        <v>36.177043722391147</v>
      </c>
      <c r="K53" s="1">
        <f t="shared" si="12"/>
        <v>45.695749541136195</v>
      </c>
      <c r="W53">
        <v>50</v>
      </c>
      <c r="AJ53" s="208"/>
    </row>
    <row r="54" spans="3:36">
      <c r="D54" t="s">
        <v>748</v>
      </c>
      <c r="E54" s="1" t="s">
        <v>728</v>
      </c>
      <c r="F54" s="1" t="s">
        <v>727</v>
      </c>
      <c r="H54">
        <v>11</v>
      </c>
      <c r="I54" s="1">
        <f t="shared" si="10"/>
        <v>40.936396631763671</v>
      </c>
      <c r="J54" s="1">
        <f t="shared" si="11"/>
        <v>36.177043722391147</v>
      </c>
      <c r="K54" s="1">
        <f t="shared" si="12"/>
        <v>45.695749541136195</v>
      </c>
      <c r="W54">
        <v>50</v>
      </c>
      <c r="AJ54" s="208"/>
    </row>
    <row r="55" spans="3:36">
      <c r="C55" t="s">
        <v>175</v>
      </c>
      <c r="D55">
        <v>0</v>
      </c>
      <c r="E55" s="1">
        <v>0</v>
      </c>
      <c r="F55" s="1">
        <v>0</v>
      </c>
      <c r="H55">
        <v>12</v>
      </c>
      <c r="I55" s="1">
        <f t="shared" si="10"/>
        <v>40.936396631763671</v>
      </c>
      <c r="J55" s="1">
        <f t="shared" si="11"/>
        <v>36.177043722391147</v>
      </c>
      <c r="K55" s="1">
        <f t="shared" si="12"/>
        <v>45.695749541136195</v>
      </c>
      <c r="W55">
        <v>50</v>
      </c>
      <c r="AJ55" s="208"/>
    </row>
    <row r="56" spans="3:36">
      <c r="C56" t="s">
        <v>175</v>
      </c>
      <c r="D56">
        <v>1</v>
      </c>
      <c r="E56" s="1">
        <v>0</v>
      </c>
      <c r="F56" s="1">
        <v>0</v>
      </c>
      <c r="H56">
        <v>13</v>
      </c>
      <c r="I56" s="1">
        <f t="shared" si="10"/>
        <v>40.936396631763671</v>
      </c>
      <c r="J56" s="1">
        <f t="shared" si="11"/>
        <v>36.177043722391147</v>
      </c>
      <c r="K56" s="1">
        <f t="shared" si="12"/>
        <v>45.695749541136195</v>
      </c>
      <c r="W56">
        <v>50</v>
      </c>
      <c r="AJ56" s="208"/>
    </row>
    <row r="57" spans="3:36">
      <c r="C57" t="s">
        <v>729</v>
      </c>
      <c r="D57">
        <v>2</v>
      </c>
      <c r="E57" s="1">
        <f>J29-(J3)</f>
        <v>47.311307066542213</v>
      </c>
      <c r="F57" s="1">
        <f>K29-(K3)</f>
        <v>56.572711840533884</v>
      </c>
      <c r="H57">
        <v>14</v>
      </c>
      <c r="I57" s="1">
        <f t="shared" si="10"/>
        <v>40.936396631763671</v>
      </c>
      <c r="J57" s="1">
        <f t="shared" si="11"/>
        <v>36.177043722391147</v>
      </c>
      <c r="K57" s="1">
        <f t="shared" si="12"/>
        <v>45.695749541136195</v>
      </c>
      <c r="W57">
        <v>50</v>
      </c>
      <c r="AJ57" s="208"/>
    </row>
    <row r="58" spans="3:36">
      <c r="C58" t="s">
        <v>729</v>
      </c>
      <c r="D58">
        <v>3</v>
      </c>
      <c r="E58" s="1">
        <f>J29-(J3)</f>
        <v>47.311307066542213</v>
      </c>
      <c r="F58" s="1">
        <f>K29-(K3)</f>
        <v>56.572711840533884</v>
      </c>
      <c r="H58">
        <v>15</v>
      </c>
      <c r="I58" s="1">
        <f t="shared" si="10"/>
        <v>40.936396631763671</v>
      </c>
      <c r="J58" s="1">
        <f t="shared" si="11"/>
        <v>36.177043722391147</v>
      </c>
      <c r="K58" s="1">
        <f t="shared" si="12"/>
        <v>45.695749541136195</v>
      </c>
      <c r="W58">
        <v>50</v>
      </c>
      <c r="AJ58" s="208"/>
    </row>
    <row r="59" spans="3:36">
      <c r="C59" t="s">
        <v>749</v>
      </c>
      <c r="D59">
        <v>4</v>
      </c>
      <c r="E59" s="1">
        <f>J17-(J3)</f>
        <v>44.130820194943226</v>
      </c>
      <c r="F59" s="1">
        <f>K17-(K3)</f>
        <v>52.634663685312262</v>
      </c>
      <c r="W59">
        <v>20</v>
      </c>
      <c r="AJ59" s="208"/>
    </row>
    <row r="60" spans="3:36">
      <c r="C60" t="s">
        <v>749</v>
      </c>
      <c r="D60">
        <v>5</v>
      </c>
      <c r="E60" s="1">
        <f>J17-(J3)</f>
        <v>44.130820194943226</v>
      </c>
      <c r="F60" s="1">
        <f>K17-(K3)</f>
        <v>52.634663685312262</v>
      </c>
      <c r="W60">
        <v>20</v>
      </c>
      <c r="AJ60" s="208"/>
    </row>
    <row r="61" spans="3:36">
      <c r="C61" t="s">
        <v>750</v>
      </c>
      <c r="D61">
        <v>8</v>
      </c>
      <c r="E61" s="1">
        <f>(2*J5+J9)-(2*J3)</f>
        <v>-47.552534184796968</v>
      </c>
      <c r="F61" s="1">
        <f>(2*K5+K9)-(2*K3)</f>
        <v>-37.390620771446265</v>
      </c>
      <c r="L61" s="6"/>
      <c r="N61" t="s">
        <v>759</v>
      </c>
      <c r="O61" s="1" t="s">
        <v>728</v>
      </c>
      <c r="P61" s="1" t="s">
        <v>727</v>
      </c>
      <c r="Q61" s="1" t="s">
        <v>728</v>
      </c>
      <c r="R61" s="1" t="s">
        <v>727</v>
      </c>
      <c r="W61">
        <v>20</v>
      </c>
      <c r="AJ61" s="208"/>
    </row>
    <row r="62" spans="3:36">
      <c r="C62" t="s">
        <v>750</v>
      </c>
      <c r="D62">
        <v>9</v>
      </c>
      <c r="E62" s="1">
        <f>(2*J5+J9)-(2*J3)</f>
        <v>-47.552534184796968</v>
      </c>
      <c r="F62" s="1">
        <f>(2*K5+K9)-(2*K3)</f>
        <v>-37.390620771446265</v>
      </c>
      <c r="K62" t="s">
        <v>757</v>
      </c>
      <c r="M62" t="s">
        <v>760</v>
      </c>
      <c r="N62">
        <v>4</v>
      </c>
      <c r="O62" s="1">
        <f>(J13)-(J3)</f>
        <v>40.903665457997704</v>
      </c>
      <c r="P62" s="1">
        <f>(K13)-(K3)</f>
        <v>40.903665457997704</v>
      </c>
      <c r="Q62" s="1">
        <f>(J13)-(J3)</f>
        <v>40.903665457997704</v>
      </c>
      <c r="R62" s="1">
        <f>(K13)-(K3)</f>
        <v>40.903665457997704</v>
      </c>
      <c r="W62">
        <v>20</v>
      </c>
      <c r="AJ62" s="208"/>
    </row>
    <row r="63" spans="3:36">
      <c r="E63" s="1"/>
      <c r="F63" s="1"/>
      <c r="K63" t="s">
        <v>757</v>
      </c>
      <c r="M63" t="s">
        <v>760</v>
      </c>
      <c r="N63">
        <v>5</v>
      </c>
      <c r="O63" s="1">
        <f>(J13)-(J3)</f>
        <v>40.903665457997704</v>
      </c>
      <c r="P63" s="1">
        <f>(K13)-(K3)</f>
        <v>40.903665457997704</v>
      </c>
      <c r="Q63" s="1">
        <f>(J13)-(J3)</f>
        <v>40.903665457997704</v>
      </c>
      <c r="R63" s="1">
        <f>(K13)-(K3)</f>
        <v>40.903665457997704</v>
      </c>
      <c r="W63">
        <v>20</v>
      </c>
      <c r="AJ63" s="208"/>
    </row>
    <row r="64" spans="3:36">
      <c r="E64" s="1"/>
      <c r="F64" s="1"/>
      <c r="K64" t="s">
        <v>758</v>
      </c>
      <c r="M64" t="s">
        <v>758</v>
      </c>
      <c r="N64">
        <v>6</v>
      </c>
      <c r="O64" s="1">
        <f>J32-J3</f>
        <v>41.038943909079535</v>
      </c>
      <c r="P64" s="1">
        <f>K32-K3</f>
        <v>41.038943909079535</v>
      </c>
      <c r="Q64" s="1">
        <f>2*J7-J3</f>
        <v>43.658839088267996</v>
      </c>
      <c r="R64" s="1">
        <f>2*K7-K3</f>
        <v>43.658839088267996</v>
      </c>
      <c r="W64">
        <v>20</v>
      </c>
      <c r="AJ64" s="208"/>
    </row>
    <row r="65" spans="3:36">
      <c r="D65" t="s">
        <v>753</v>
      </c>
      <c r="E65" s="1" t="s">
        <v>728</v>
      </c>
      <c r="F65" s="1" t="s">
        <v>727</v>
      </c>
      <c r="K65" t="s">
        <v>758</v>
      </c>
      <c r="M65" t="s">
        <v>758</v>
      </c>
      <c r="N65">
        <v>7</v>
      </c>
      <c r="O65" s="1">
        <f>J32-J3</f>
        <v>41.038943909079535</v>
      </c>
      <c r="P65" s="1">
        <f>K32-K3</f>
        <v>41.038943909079535</v>
      </c>
      <c r="Q65" s="1">
        <f>2*J7-J3</f>
        <v>43.658839088267996</v>
      </c>
      <c r="R65" s="1">
        <f>2*K7-K3</f>
        <v>43.658839088267996</v>
      </c>
      <c r="W65">
        <v>20</v>
      </c>
      <c r="AJ65" s="208"/>
    </row>
    <row r="66" spans="3:36">
      <c r="C66" t="s">
        <v>175</v>
      </c>
      <c r="D66">
        <v>0</v>
      </c>
      <c r="E66" s="1">
        <v>0</v>
      </c>
      <c r="F66" s="1">
        <v>0</v>
      </c>
      <c r="K66" t="s">
        <v>760</v>
      </c>
      <c r="M66" t="s">
        <v>757</v>
      </c>
      <c r="N66">
        <v>8</v>
      </c>
      <c r="O66" s="1">
        <f>J6-J3</f>
        <v>39.55669168321765</v>
      </c>
      <c r="P66" s="1">
        <f>K6-K3</f>
        <v>39.55669168321765</v>
      </c>
      <c r="W66">
        <v>20</v>
      </c>
      <c r="AJ66" s="208"/>
    </row>
    <row r="67" spans="3:36">
      <c r="C67" t="s">
        <v>175</v>
      </c>
      <c r="D67">
        <v>1</v>
      </c>
      <c r="E67" s="1">
        <v>0</v>
      </c>
      <c r="F67" s="1">
        <v>0</v>
      </c>
      <c r="K67" t="s">
        <v>760</v>
      </c>
      <c r="M67" t="s">
        <v>757</v>
      </c>
      <c r="N67">
        <v>9</v>
      </c>
      <c r="O67" s="1">
        <f>J6-J3</f>
        <v>39.55669168321765</v>
      </c>
      <c r="P67" s="1">
        <f>K6-K3</f>
        <v>39.55669168321765</v>
      </c>
      <c r="W67">
        <v>50</v>
      </c>
      <c r="AJ67" s="208"/>
    </row>
    <row r="68" spans="3:36">
      <c r="C68" t="s">
        <v>754</v>
      </c>
      <c r="D68">
        <v>2</v>
      </c>
      <c r="E68" s="1">
        <f>J30-(J3)</f>
        <v>49.394669259214425</v>
      </c>
      <c r="F68" s="1">
        <f>K30-(K3)</f>
        <v>49.394669259214425</v>
      </c>
      <c r="K68" t="s">
        <v>745</v>
      </c>
      <c r="M68" t="s">
        <v>763</v>
      </c>
      <c r="N68">
        <v>10</v>
      </c>
      <c r="O68" s="1">
        <f>J33-J3</f>
        <v>39.587665541374008</v>
      </c>
      <c r="P68" s="1">
        <f>K33-K3</f>
        <v>39.587665541374008</v>
      </c>
      <c r="W68">
        <f>-SUM(W36:W67)</f>
        <v>-1030</v>
      </c>
      <c r="AJ68" s="208"/>
    </row>
    <row r="69" spans="3:36">
      <c r="C69" t="s">
        <v>754</v>
      </c>
      <c r="D69">
        <v>3</v>
      </c>
      <c r="E69" s="1">
        <f>J30-(J3)</f>
        <v>49.394669259214425</v>
      </c>
      <c r="F69" s="1">
        <f>K30-(K3)</f>
        <v>49.394669259214425</v>
      </c>
      <c r="K69" t="s">
        <v>745</v>
      </c>
      <c r="M69" t="s">
        <v>763</v>
      </c>
      <c r="N69">
        <v>11</v>
      </c>
      <c r="O69" s="1">
        <f>J33-J3</f>
        <v>39.587665541374008</v>
      </c>
      <c r="P69" s="1">
        <f>K33-K3</f>
        <v>39.587665541374008</v>
      </c>
      <c r="W69">
        <f>W68+695</f>
        <v>-335</v>
      </c>
      <c r="AJ69" s="208"/>
    </row>
    <row r="70" spans="3:36">
      <c r="C70" t="s">
        <v>433</v>
      </c>
      <c r="D70">
        <v>4</v>
      </c>
      <c r="E70" s="1">
        <f>J4-(J3)</f>
        <v>44.403899684402859</v>
      </c>
      <c r="F70" s="1">
        <f>K4-(K3)</f>
        <v>44.403899684402859</v>
      </c>
      <c r="K70" t="s">
        <v>746</v>
      </c>
      <c r="M70" t="s">
        <v>764</v>
      </c>
      <c r="N70">
        <v>12</v>
      </c>
      <c r="O70" s="1">
        <f>J18-(J3)</f>
        <v>30.772546920794412</v>
      </c>
      <c r="P70" s="1">
        <f>K18-(K3)</f>
        <v>30.772546920794412</v>
      </c>
      <c r="W70">
        <f>1000+W69</f>
        <v>665</v>
      </c>
      <c r="AJ70" s="208"/>
    </row>
    <row r="71" spans="3:36">
      <c r="C71" t="s">
        <v>433</v>
      </c>
      <c r="D71">
        <v>5</v>
      </c>
      <c r="E71" s="1">
        <f>J4-(J3)</f>
        <v>44.403899684402859</v>
      </c>
      <c r="F71" s="1">
        <f>K4-(K3)</f>
        <v>44.403899684402859</v>
      </c>
      <c r="K71" t="s">
        <v>746</v>
      </c>
      <c r="M71" t="s">
        <v>764</v>
      </c>
      <c r="N71">
        <v>13</v>
      </c>
      <c r="O71" s="1">
        <f>J18-(J3)</f>
        <v>30.772546920794412</v>
      </c>
      <c r="P71" s="1">
        <f>K18-(K3)</f>
        <v>30.772546920794412</v>
      </c>
      <c r="AJ71" s="208"/>
    </row>
    <row r="72" spans="3:36">
      <c r="C72" t="s">
        <v>749</v>
      </c>
      <c r="D72">
        <v>6</v>
      </c>
      <c r="E72" s="6">
        <f>J17-(J3)</f>
        <v>44.130820194943226</v>
      </c>
      <c r="F72" s="6">
        <f>K17-(K3)</f>
        <v>52.634663685312262</v>
      </c>
      <c r="M72" t="s">
        <v>770</v>
      </c>
      <c r="N72">
        <v>14</v>
      </c>
      <c r="O72" s="6">
        <f>(J5+J11)-(J3)</f>
        <v>31.761865505046444</v>
      </c>
      <c r="P72" s="6">
        <f>(K5+K11)-(K3)</f>
        <v>31.761865505046444</v>
      </c>
      <c r="AJ72" s="208"/>
    </row>
    <row r="73" spans="3:36">
      <c r="C73" t="s">
        <v>749</v>
      </c>
      <c r="D73">
        <v>7</v>
      </c>
      <c r="E73" s="6">
        <f>J17-(J3)</f>
        <v>44.130820194943226</v>
      </c>
      <c r="F73" s="6">
        <f>K17-(K3)</f>
        <v>52.634663685312262</v>
      </c>
      <c r="M73" t="s">
        <v>770</v>
      </c>
      <c r="N73">
        <v>15</v>
      </c>
      <c r="O73" s="6">
        <f>(J5+J11)-(J3)</f>
        <v>31.761865505046444</v>
      </c>
      <c r="P73" s="6">
        <f>(K5+K11)-(K3)</f>
        <v>31.761865505046444</v>
      </c>
      <c r="AA73">
        <f>20/4.2</f>
        <v>4.7619047619047619</v>
      </c>
      <c r="AJ73" s="208"/>
    </row>
    <row r="74" spans="3:36">
      <c r="C74" t="s">
        <v>769</v>
      </c>
      <c r="D74">
        <v>8</v>
      </c>
      <c r="E74" s="6">
        <f>(J5+J10)-(J3)</f>
        <v>47.899176587481634</v>
      </c>
      <c r="F74" s="6">
        <f>(K5+K10)-(K3)</f>
        <v>64.127110355504556</v>
      </c>
      <c r="O74" s="1"/>
      <c r="P74" s="1"/>
      <c r="AJ74" s="208"/>
    </row>
    <row r="75" spans="3:36">
      <c r="C75" t="s">
        <v>769</v>
      </c>
      <c r="D75">
        <v>9</v>
      </c>
      <c r="E75" s="6">
        <f>(J5+J10)-(J3)</f>
        <v>47.899176587481634</v>
      </c>
      <c r="F75" s="6">
        <f>(K5+K10)-(K3)</f>
        <v>64.127110355504556</v>
      </c>
      <c r="O75" s="1"/>
      <c r="P75" s="1"/>
      <c r="AJ75" s="208"/>
    </row>
    <row r="76" spans="3:36">
      <c r="C76" t="s">
        <v>750</v>
      </c>
      <c r="D76">
        <v>10</v>
      </c>
      <c r="E76" s="1">
        <f>(2*J5+J9)-(2*J3)</f>
        <v>-47.552534184796968</v>
      </c>
      <c r="F76" s="1">
        <f>(2*K5+K9)-(2*K3)</f>
        <v>-37.390620771446265</v>
      </c>
      <c r="AJ76" s="208"/>
    </row>
    <row r="77" spans="3:36">
      <c r="C77" t="s">
        <v>750</v>
      </c>
      <c r="D77">
        <v>11</v>
      </c>
      <c r="E77" s="1">
        <f>(2*J5+J9)-(2*J3)</f>
        <v>-47.552534184796968</v>
      </c>
      <c r="F77" s="1">
        <f>(2*K5+K9)-(2*K3)</f>
        <v>-37.390620771446265</v>
      </c>
      <c r="AJ77" s="208"/>
    </row>
    <row r="78" spans="3:36">
      <c r="AJ78" s="208"/>
    </row>
    <row r="79" spans="3:36">
      <c r="N79" t="s">
        <v>762</v>
      </c>
      <c r="O79" s="1" t="s">
        <v>728</v>
      </c>
      <c r="P79" s="1" t="s">
        <v>727</v>
      </c>
      <c r="AJ79" s="208"/>
    </row>
    <row r="80" spans="3:36">
      <c r="K80" t="s">
        <v>757</v>
      </c>
      <c r="M80" t="s">
        <v>757</v>
      </c>
      <c r="N80">
        <v>0</v>
      </c>
      <c r="O80" s="1">
        <f>J6-J3</f>
        <v>39.55669168321765</v>
      </c>
      <c r="P80" s="1">
        <f>K6-K3</f>
        <v>39.55669168321765</v>
      </c>
      <c r="AJ80" s="208"/>
    </row>
    <row r="81" spans="11:36">
      <c r="K81" t="s">
        <v>757</v>
      </c>
      <c r="M81" t="s">
        <v>757</v>
      </c>
      <c r="N81">
        <v>1</v>
      </c>
      <c r="O81" s="1">
        <f>J6-J3</f>
        <v>39.55669168321765</v>
      </c>
      <c r="P81" s="1">
        <f>K6-K3</f>
        <v>39.55669168321765</v>
      </c>
      <c r="AJ81" s="208"/>
    </row>
    <row r="82" spans="11:36">
      <c r="K82" t="s">
        <v>763</v>
      </c>
      <c r="AJ82" s="208"/>
    </row>
    <row r="83" spans="11:36">
      <c r="K83" t="s">
        <v>763</v>
      </c>
      <c r="AJ83" s="208"/>
    </row>
    <row r="84" spans="11:36">
      <c r="K84" t="s">
        <v>764</v>
      </c>
      <c r="AJ84" s="208"/>
    </row>
    <row r="85" spans="11:36">
      <c r="K85" t="s">
        <v>764</v>
      </c>
      <c r="AJ85" s="208"/>
    </row>
    <row r="86" spans="11:36">
      <c r="K86" t="s">
        <v>770</v>
      </c>
      <c r="AJ86" s="208"/>
    </row>
    <row r="87" spans="11:36">
      <c r="K87" t="s">
        <v>770</v>
      </c>
      <c r="AJ87" s="208"/>
    </row>
    <row r="88" spans="11:36">
      <c r="K88" t="s">
        <v>746</v>
      </c>
      <c r="AJ88" s="208"/>
    </row>
    <row r="89" spans="11:36">
      <c r="K89" t="s">
        <v>746</v>
      </c>
      <c r="AJ89" s="208"/>
    </row>
    <row r="90" spans="11:36">
      <c r="W90" t="s">
        <v>736</v>
      </c>
      <c r="X90" t="s">
        <v>737</v>
      </c>
      <c r="AJ90" s="208"/>
    </row>
    <row r="91" spans="11:36">
      <c r="R91">
        <v>2</v>
      </c>
      <c r="S91">
        <v>1</v>
      </c>
      <c r="U91" t="s">
        <v>728</v>
      </c>
      <c r="V91" t="s">
        <v>727</v>
      </c>
      <c r="AJ91" s="208"/>
    </row>
    <row r="92" spans="11:36">
      <c r="R92" t="s">
        <v>739</v>
      </c>
      <c r="S92" t="s">
        <v>738</v>
      </c>
      <c r="T92" s="6">
        <v>0</v>
      </c>
      <c r="U92" s="6">
        <v>0</v>
      </c>
      <c r="V92" s="6">
        <v>0</v>
      </c>
      <c r="W92" s="6">
        <f>K6-K3</f>
        <v>39.55669168321765</v>
      </c>
      <c r="X92" s="6">
        <f>K6-K3</f>
        <v>39.55669168321765</v>
      </c>
      <c r="AJ92" s="208"/>
    </row>
    <row r="93" spans="11:36">
      <c r="R93" t="s">
        <v>739</v>
      </c>
      <c r="S93" t="s">
        <v>738</v>
      </c>
      <c r="T93" s="6">
        <v>1</v>
      </c>
      <c r="U93" s="6">
        <v>0</v>
      </c>
      <c r="V93" s="6">
        <v>0</v>
      </c>
      <c r="W93" s="6">
        <f>K6-K3</f>
        <v>39.55669168321765</v>
      </c>
      <c r="X93" s="6">
        <f>K6-K3</f>
        <v>39.55669168321765</v>
      </c>
      <c r="AJ93" s="208"/>
    </row>
    <row r="94" spans="11:36">
      <c r="R94" t="s">
        <v>729</v>
      </c>
      <c r="S94" t="s">
        <v>720</v>
      </c>
      <c r="T94" s="6">
        <v>2</v>
      </c>
      <c r="U94" s="6">
        <f>J22-(J20+J3)</f>
        <v>41.627936671618954</v>
      </c>
      <c r="V94" s="6">
        <f>K22-(K20+K3)</f>
        <v>42.121938026015414</v>
      </c>
      <c r="W94" s="6">
        <f>J24-(J20+J3)</f>
        <v>41.13281929770892</v>
      </c>
      <c r="X94" s="6">
        <f>K25-(K20+K3)</f>
        <v>39.684967130684527</v>
      </c>
      <c r="AJ94" s="208"/>
    </row>
    <row r="95" spans="11:36">
      <c r="R95" t="s">
        <v>735</v>
      </c>
      <c r="S95" t="s">
        <v>720</v>
      </c>
      <c r="T95" s="6">
        <v>3</v>
      </c>
      <c r="U95" s="6">
        <f>J22-(J20+J3)</f>
        <v>41.627936671618954</v>
      </c>
      <c r="V95" s="6">
        <f>K22-(K20+K3)</f>
        <v>42.121938026015414</v>
      </c>
      <c r="W95" s="6">
        <f>J24-(J20+J3)</f>
        <v>41.13281929770892</v>
      </c>
      <c r="X95" s="6">
        <f>K25-(K20+K3)</f>
        <v>39.684967130684527</v>
      </c>
      <c r="AJ95" s="208"/>
    </row>
    <row r="96" spans="11:36">
      <c r="R96" t="s">
        <v>734</v>
      </c>
      <c r="S96" t="s">
        <v>726</v>
      </c>
      <c r="T96" s="6">
        <v>4</v>
      </c>
      <c r="U96" s="6">
        <f>(J12)-(J3)</f>
        <v>41.328338639883441</v>
      </c>
      <c r="V96" s="6">
        <f>(K14)-(K3)</f>
        <v>42.006231462277356</v>
      </c>
      <c r="W96" s="6">
        <f>(K13)-(K3)</f>
        <v>40.903665457997704</v>
      </c>
      <c r="X96" s="6">
        <f>(K15)-(K3)</f>
        <v>30.772546920794412</v>
      </c>
      <c r="AJ96" s="208"/>
    </row>
    <row r="97" spans="1:36">
      <c r="R97" t="s">
        <v>734</v>
      </c>
      <c r="S97" t="s">
        <v>726</v>
      </c>
      <c r="T97" s="6">
        <v>5</v>
      </c>
      <c r="U97" s="6">
        <f>(J12)-(J3)</f>
        <v>41.328338639883441</v>
      </c>
      <c r="V97" s="6">
        <f>(K14)-(K3)</f>
        <v>42.006231462277356</v>
      </c>
      <c r="W97" s="6">
        <f>(K13)-(K3)</f>
        <v>40.903665457997704</v>
      </c>
      <c r="X97" s="6">
        <f>(K15)-(K3)</f>
        <v>30.772546920794412</v>
      </c>
      <c r="AJ97" s="208"/>
    </row>
    <row r="98" spans="1:36">
      <c r="S98" t="s">
        <v>723</v>
      </c>
      <c r="T98" s="6">
        <v>6</v>
      </c>
      <c r="U98" s="6">
        <f>2*J7-J3</f>
        <v>43.658839088267996</v>
      </c>
      <c r="V98" s="6">
        <f>2*K7-K3</f>
        <v>43.658839088267996</v>
      </c>
      <c r="W98" s="6">
        <f>2*J7-J3</f>
        <v>43.658839088267996</v>
      </c>
      <c r="AJ98" s="208"/>
    </row>
    <row r="99" spans="1:36">
      <c r="S99" t="s">
        <v>723</v>
      </c>
      <c r="T99" s="6">
        <v>7</v>
      </c>
      <c r="U99" s="6">
        <f>2*J7-J3</f>
        <v>43.658839088267996</v>
      </c>
      <c r="V99" s="6">
        <f>2*K7-K3</f>
        <v>43.658839088267996</v>
      </c>
      <c r="W99" s="6">
        <f>2*J7-J3</f>
        <v>43.658839088267996</v>
      </c>
      <c r="AJ99" s="208"/>
    </row>
    <row r="100" spans="1:36">
      <c r="T100" s="6"/>
      <c r="U100" s="6"/>
      <c r="V100" s="6"/>
      <c r="W100" s="6"/>
      <c r="AJ100" s="208"/>
    </row>
    <row r="101" spans="1:36">
      <c r="T101" s="6">
        <v>9</v>
      </c>
      <c r="W101" s="6">
        <f>(K15)-(K3)</f>
        <v>30.772546920794412</v>
      </c>
    </row>
    <row r="104" spans="1:36">
      <c r="A104" s="15" t="s">
        <v>773</v>
      </c>
      <c r="B104" s="15"/>
      <c r="C104" s="15"/>
      <c r="D104" s="15"/>
      <c r="E104" s="15"/>
      <c r="F104" s="15"/>
      <c r="G104" s="15"/>
    </row>
    <row r="105" spans="1:36" ht="60">
      <c r="A105" s="178" t="s">
        <v>524</v>
      </c>
      <c r="B105" s="190" t="s">
        <v>710</v>
      </c>
      <c r="C105" s="190" t="s">
        <v>711</v>
      </c>
      <c r="D105" s="178" t="s">
        <v>712</v>
      </c>
      <c r="E105" s="190" t="s">
        <v>477</v>
      </c>
      <c r="F105" s="190" t="s">
        <v>479</v>
      </c>
      <c r="G105" s="190" t="s">
        <v>480</v>
      </c>
      <c r="H105" s="190" t="s">
        <v>481</v>
      </c>
      <c r="I105" s="190" t="s">
        <v>543</v>
      </c>
      <c r="J105" s="202" t="s">
        <v>691</v>
      </c>
      <c r="K105" s="202" t="s">
        <v>695</v>
      </c>
      <c r="L105" s="203" t="s">
        <v>694</v>
      </c>
      <c r="M105" s="203" t="s">
        <v>696</v>
      </c>
      <c r="N105" s="204" t="s">
        <v>692</v>
      </c>
      <c r="O105" s="204" t="s">
        <v>693</v>
      </c>
      <c r="S105" t="s">
        <v>809</v>
      </c>
      <c r="T105" s="6"/>
      <c r="U105" t="s">
        <v>728</v>
      </c>
      <c r="V105" s="6" t="s">
        <v>727</v>
      </c>
      <c r="W105" s="6" t="s">
        <v>775</v>
      </c>
    </row>
    <row r="106" spans="1:36">
      <c r="A106" s="191" t="s">
        <v>175</v>
      </c>
      <c r="B106" s="17">
        <v>-151.55835734199999</v>
      </c>
      <c r="C106" s="17"/>
      <c r="D106" s="17"/>
      <c r="E106" s="33"/>
      <c r="F106" s="17">
        <v>2.6585000000000001E-2</v>
      </c>
      <c r="G106" s="17">
        <v>3.0773999999999999E-2</v>
      </c>
      <c r="H106" s="17">
        <v>7.2700000000000004E-3</v>
      </c>
      <c r="I106" s="196">
        <f t="shared" ref="I106:I113" si="13">(G106-H106)*($T$3*$T$4)</f>
        <v>14.748978170841918</v>
      </c>
      <c r="J106" s="197">
        <f t="shared" ref="J106:J113" si="14">(B106+F106)*($T$3*$T$4)</f>
        <v>-95087.593705800929</v>
      </c>
      <c r="K106" s="197">
        <f t="shared" ref="K106:K113" si="15">((((2-0)/(2-D106))*B106+(1-((2-0)/(2-D106)))*C106)+F106)*($T$3*$T$4)</f>
        <v>-95087.593705800929</v>
      </c>
      <c r="L106" s="198">
        <f t="shared" ref="L106:L113" si="16">(B106+G106)*($T$3*$T$4)</f>
        <v>-95084.965069417434</v>
      </c>
      <c r="M106" s="198">
        <f t="shared" ref="M106:M113" si="17">((((2-0)/(2-D106))*B106+(1-((2-0)/(2-D106)))*C106)+G106)*($T$3*$T$4)</f>
        <v>-95084.965069417434</v>
      </c>
      <c r="N106" s="199">
        <f t="shared" ref="N106:N113" si="18">(B106+H106)*($T$3*$T$4)</f>
        <v>-95099.714047588292</v>
      </c>
      <c r="O106" s="199">
        <f t="shared" ref="O106:O113" si="19">((((2-0)/(2-D106))*B106+(1-((2-0)/(2-D106)))*C106)+H106)*($T$3*$T$4)</f>
        <v>-95099.714047588292</v>
      </c>
      <c r="S106" t="s">
        <v>175</v>
      </c>
      <c r="T106" s="135">
        <v>0</v>
      </c>
      <c r="U106">
        <v>0</v>
      </c>
      <c r="V106">
        <v>0</v>
      </c>
      <c r="W106" s="6">
        <f>21960*$T$15</f>
        <v>43.63899369094807</v>
      </c>
    </row>
    <row r="107" spans="1:36">
      <c r="A107" s="191" t="s">
        <v>715</v>
      </c>
      <c r="B107" s="17">
        <v>-75.739004871199995</v>
      </c>
      <c r="C107" s="17"/>
      <c r="D107" s="17"/>
      <c r="E107" s="33"/>
      <c r="F107" s="17">
        <v>8.1390000000000004E-3</v>
      </c>
      <c r="G107" s="17">
        <v>1.1443E-2</v>
      </c>
      <c r="H107" s="17">
        <v>-5.7850000000000002E-3</v>
      </c>
      <c r="I107" s="196">
        <f t="shared" si="13"/>
        <v>10.810729915217181</v>
      </c>
      <c r="J107" s="197">
        <f t="shared" si="14"/>
        <v>-47521.821289707543</v>
      </c>
      <c r="K107" s="197">
        <f t="shared" si="15"/>
        <v>-47521.821289707543</v>
      </c>
      <c r="L107" s="198">
        <f t="shared" si="16"/>
        <v>-47519.747999038875</v>
      </c>
      <c r="M107" s="198">
        <f t="shared" si="17"/>
        <v>-47519.747999038875</v>
      </c>
      <c r="N107" s="199">
        <f t="shared" si="18"/>
        <v>-47530.558728954093</v>
      </c>
      <c r="O107" s="199">
        <f t="shared" si="19"/>
        <v>-47530.558728954093</v>
      </c>
      <c r="R107" s="6"/>
      <c r="S107" t="s">
        <v>175</v>
      </c>
      <c r="T107" s="135">
        <v>1</v>
      </c>
      <c r="U107">
        <v>0</v>
      </c>
      <c r="V107">
        <v>0</v>
      </c>
      <c r="W107" s="6">
        <f t="shared" ref="W107:W113" si="20">21960*$T$15</f>
        <v>43.63899369094807</v>
      </c>
    </row>
    <row r="108" spans="1:36">
      <c r="A108" s="191" t="s">
        <v>700</v>
      </c>
      <c r="B108" s="17">
        <v>-2.9070489744199999</v>
      </c>
      <c r="C108" s="17"/>
      <c r="D108" s="17"/>
      <c r="E108" s="33"/>
      <c r="F108" s="17">
        <v>0</v>
      </c>
      <c r="G108" s="17">
        <v>2.3600000000000001E-3</v>
      </c>
      <c r="H108" s="17">
        <v>-8.9339999999999992E-3</v>
      </c>
      <c r="I108" s="196">
        <f t="shared" si="13"/>
        <v>7.0870898341341313</v>
      </c>
      <c r="J108" s="197">
        <f t="shared" si="14"/>
        <v>-1824.2002155075293</v>
      </c>
      <c r="K108" s="197">
        <f t="shared" si="15"/>
        <v>-1824.2002155075293</v>
      </c>
      <c r="L108" s="198">
        <f t="shared" si="16"/>
        <v>-1822.7192936013353</v>
      </c>
      <c r="M108" s="198">
        <f t="shared" si="17"/>
        <v>-1822.7192936013353</v>
      </c>
      <c r="N108" s="199">
        <f t="shared" si="18"/>
        <v>-1829.8063834354693</v>
      </c>
      <c r="O108" s="199">
        <f t="shared" si="19"/>
        <v>-1829.8063834354693</v>
      </c>
      <c r="S108" t="s">
        <v>720</v>
      </c>
      <c r="T108" s="135">
        <v>2</v>
      </c>
      <c r="U108" s="6">
        <f>J113-(J106+J109)</f>
        <v>42.407301317725796</v>
      </c>
      <c r="V108" s="6">
        <f>K113-(K106+K109)</f>
        <v>43.272154608741403</v>
      </c>
      <c r="W108" s="6">
        <f t="shared" si="20"/>
        <v>43.63899369094807</v>
      </c>
    </row>
    <row r="109" spans="1:36">
      <c r="A109" s="191" t="s">
        <v>780</v>
      </c>
      <c r="B109" s="17">
        <v>-527.51988759799997</v>
      </c>
      <c r="C109" s="17"/>
      <c r="D109" s="17"/>
      <c r="E109" s="33"/>
      <c r="F109" s="17">
        <v>0</v>
      </c>
      <c r="G109" s="17">
        <v>2.3600000000000001E-3</v>
      </c>
      <c r="H109" s="17">
        <v>-1.2193000000000001E-2</v>
      </c>
      <c r="I109" s="196">
        <f t="shared" si="13"/>
        <v>9.1321425851030664</v>
      </c>
      <c r="J109" s="197">
        <f t="shared" si="14"/>
        <v>-331023.62605802779</v>
      </c>
      <c r="K109" s="197">
        <f t="shared" si="15"/>
        <v>-331023.62605802779</v>
      </c>
      <c r="L109" s="198">
        <f t="shared" si="16"/>
        <v>-331022.1451361216</v>
      </c>
      <c r="M109" s="198">
        <f t="shared" si="17"/>
        <v>-331022.1451361216</v>
      </c>
      <c r="N109" s="199">
        <f t="shared" si="18"/>
        <v>-331031.27727870672</v>
      </c>
      <c r="O109" s="199">
        <f t="shared" si="19"/>
        <v>-331031.27727870672</v>
      </c>
      <c r="S109" t="s">
        <v>720</v>
      </c>
      <c r="T109" s="135">
        <v>3</v>
      </c>
      <c r="U109" s="6">
        <f>J113-(J106+J109)</f>
        <v>42.407301317725796</v>
      </c>
      <c r="V109" s="6">
        <f>K113-(K106+K109)</f>
        <v>43.272154608741403</v>
      </c>
      <c r="W109" s="6">
        <f t="shared" si="20"/>
        <v>43.63899369094807</v>
      </c>
    </row>
    <row r="110" spans="1:36">
      <c r="A110" s="191" t="s">
        <v>783</v>
      </c>
      <c r="B110" s="17">
        <v>-151.48433418499999</v>
      </c>
      <c r="C110" s="17">
        <v>-151.48420014000001</v>
      </c>
      <c r="D110" s="17">
        <v>1.0048999999999999</v>
      </c>
      <c r="E110" s="33"/>
      <c r="F110" s="17">
        <v>1.8811000000000001E-2</v>
      </c>
      <c r="G110" s="17">
        <v>2.4348000000000002E-2</v>
      </c>
      <c r="H110" s="17">
        <v>-2.5240000000000002E-3</v>
      </c>
      <c r="I110" s="196">
        <f t="shared" si="13"/>
        <v>16.86242943357999</v>
      </c>
      <c r="J110" s="197">
        <f t="shared" si="14"/>
        <v>-95046.021744839847</v>
      </c>
      <c r="K110" s="197">
        <f t="shared" si="15"/>
        <v>-95046.106687702573</v>
      </c>
      <c r="L110" s="198">
        <f t="shared" si="16"/>
        <v>-95042.547225943825</v>
      </c>
      <c r="M110" s="198">
        <f t="shared" si="17"/>
        <v>-95042.632168806565</v>
      </c>
      <c r="N110" s="199">
        <f t="shared" si="18"/>
        <v>-95059.4096553774</v>
      </c>
      <c r="O110" s="199">
        <f t="shared" si="19"/>
        <v>-95059.49459824014</v>
      </c>
      <c r="S110" t="s">
        <v>783</v>
      </c>
      <c r="T110" s="135">
        <v>4</v>
      </c>
      <c r="U110" s="6">
        <f>J110-(J106)</f>
        <v>41.571960961082368</v>
      </c>
      <c r="V110" s="6">
        <f>K110-(K106)</f>
        <v>41.487018098356202</v>
      </c>
      <c r="W110" s="6">
        <f t="shared" si="20"/>
        <v>43.63899369094807</v>
      </c>
    </row>
    <row r="111" spans="1:36">
      <c r="A111" s="191" t="s">
        <v>701</v>
      </c>
      <c r="B111" s="17">
        <v>-154.390773645</v>
      </c>
      <c r="C111" s="17">
        <v>-154.39247965300001</v>
      </c>
      <c r="D111" s="17">
        <v>0.98640000000000005</v>
      </c>
      <c r="E111" s="33"/>
      <c r="F111" s="17">
        <v>1.9696000000000002E-2</v>
      </c>
      <c r="G111" s="17">
        <v>2.6962E-2</v>
      </c>
      <c r="H111" s="17">
        <v>-6.9389999999999999E-3</v>
      </c>
      <c r="I111" s="196">
        <f t="shared" si="13"/>
        <v>21.273192178765825</v>
      </c>
      <c r="J111" s="197">
        <f t="shared" si="14"/>
        <v>-96869.284138676303</v>
      </c>
      <c r="K111" s="197">
        <f t="shared" si="15"/>
        <v>-96868.242330696798</v>
      </c>
      <c r="L111" s="198">
        <f t="shared" si="16"/>
        <v>-96864.724656231221</v>
      </c>
      <c r="M111" s="198">
        <f t="shared" si="17"/>
        <v>-96863.682848251716</v>
      </c>
      <c r="N111" s="199">
        <f t="shared" si="18"/>
        <v>-96885.997848409985</v>
      </c>
      <c r="O111" s="199">
        <f t="shared" si="19"/>
        <v>-96884.956040430479</v>
      </c>
      <c r="S111" t="s">
        <v>783</v>
      </c>
      <c r="T111" s="135">
        <v>5</v>
      </c>
      <c r="U111" s="6">
        <f>J110-(J106)</f>
        <v>41.571960961082368</v>
      </c>
      <c r="V111" s="6">
        <f>K110-(K106)</f>
        <v>41.487018098356202</v>
      </c>
      <c r="W111" s="6">
        <f t="shared" si="20"/>
        <v>43.63899369094807</v>
      </c>
    </row>
    <row r="112" spans="1:36">
      <c r="A112" s="191" t="s">
        <v>509</v>
      </c>
      <c r="B112" s="17"/>
      <c r="C112" s="17"/>
      <c r="D112" s="17"/>
      <c r="E112" s="33"/>
      <c r="F112" s="17"/>
      <c r="G112" s="17"/>
      <c r="H112" s="17"/>
      <c r="I112" s="196">
        <f t="shared" si="13"/>
        <v>0</v>
      </c>
      <c r="J112" s="197">
        <f t="shared" si="14"/>
        <v>0</v>
      </c>
      <c r="K112" s="197">
        <f t="shared" si="15"/>
        <v>0</v>
      </c>
      <c r="L112" s="198">
        <f t="shared" si="16"/>
        <v>0</v>
      </c>
      <c r="M112" s="198">
        <f t="shared" si="17"/>
        <v>0</v>
      </c>
      <c r="N112" s="199">
        <f t="shared" si="18"/>
        <v>0</v>
      </c>
      <c r="O112" s="199">
        <f t="shared" si="19"/>
        <v>0</v>
      </c>
      <c r="S112" t="s">
        <v>786</v>
      </c>
      <c r="T112" s="135">
        <v>6</v>
      </c>
      <c r="U112" s="6">
        <f>2*J107-(J106)</f>
        <v>43.951126385843963</v>
      </c>
      <c r="V112" s="6">
        <f>2*K107-(K106)</f>
        <v>43.951126385843963</v>
      </c>
      <c r="W112" s="6">
        <f t="shared" si="20"/>
        <v>43.63899369094807</v>
      </c>
    </row>
    <row r="113" spans="1:23">
      <c r="A113" s="191" t="s">
        <v>782</v>
      </c>
      <c r="B113" s="17">
        <v>-679.00293758299995</v>
      </c>
      <c r="C113" s="17">
        <v>-679.00433888500004</v>
      </c>
      <c r="D113" s="17">
        <v>0.99170000000000003</v>
      </c>
      <c r="E113" s="33">
        <v>137</v>
      </c>
      <c r="F113" s="17">
        <v>1.8858E-2</v>
      </c>
      <c r="G113" s="17">
        <v>2.6280999999999999E-2</v>
      </c>
      <c r="H113" s="17">
        <v>-1.1723000000000001E-2</v>
      </c>
      <c r="I113" s="196">
        <f t="shared" si="13"/>
        <v>23.847862763983844</v>
      </c>
      <c r="J113" s="197">
        <f t="shared" si="14"/>
        <v>-426068.81246251101</v>
      </c>
      <c r="K113" s="197">
        <f t="shared" si="15"/>
        <v>-426067.94760921999</v>
      </c>
      <c r="L113" s="198">
        <f t="shared" si="16"/>
        <v>-426064.15446110861</v>
      </c>
      <c r="M113" s="198">
        <f t="shared" si="17"/>
        <v>-426063.2896078176</v>
      </c>
      <c r="N113" s="199">
        <f t="shared" si="18"/>
        <v>-426088.00232387258</v>
      </c>
      <c r="O113" s="199">
        <f t="shared" si="19"/>
        <v>-426087.13747058157</v>
      </c>
      <c r="R113" s="6"/>
      <c r="S113" t="s">
        <v>786</v>
      </c>
      <c r="T113" s="135">
        <v>7</v>
      </c>
      <c r="U113" s="6">
        <f>2*J107-(J106)</f>
        <v>43.951126385843963</v>
      </c>
      <c r="V113" s="6">
        <f>2*K107-(K106)</f>
        <v>43.951126385843963</v>
      </c>
      <c r="W113" s="6">
        <f t="shared" si="20"/>
        <v>43.63899369094807</v>
      </c>
    </row>
    <row r="114" spans="1:23">
      <c r="U114" s="6"/>
      <c r="V114" s="6"/>
    </row>
    <row r="115" spans="1:23">
      <c r="S115" t="s">
        <v>810</v>
      </c>
      <c r="T115" s="6"/>
      <c r="U115" t="s">
        <v>728</v>
      </c>
      <c r="V115" s="6" t="s">
        <v>727</v>
      </c>
    </row>
    <row r="116" spans="1:23">
      <c r="A116" s="15" t="s">
        <v>772</v>
      </c>
      <c r="B116" s="15"/>
      <c r="C116" s="15"/>
      <c r="D116" s="15"/>
      <c r="E116" s="15"/>
      <c r="F116" s="15"/>
      <c r="G116" s="15"/>
      <c r="S116" t="s">
        <v>175</v>
      </c>
      <c r="T116" s="135">
        <v>0</v>
      </c>
      <c r="U116" s="6">
        <v>0</v>
      </c>
      <c r="V116" s="6">
        <v>0</v>
      </c>
    </row>
    <row r="117" spans="1:23" ht="60">
      <c r="A117" s="178" t="s">
        <v>524</v>
      </c>
      <c r="B117" s="190" t="s">
        <v>710</v>
      </c>
      <c r="C117" s="190" t="s">
        <v>711</v>
      </c>
      <c r="D117" s="178" t="s">
        <v>712</v>
      </c>
      <c r="E117" s="190" t="s">
        <v>477</v>
      </c>
      <c r="F117" s="190" t="s">
        <v>479</v>
      </c>
      <c r="G117" s="190" t="s">
        <v>480</v>
      </c>
      <c r="H117" s="190" t="s">
        <v>481</v>
      </c>
      <c r="I117" s="190" t="s">
        <v>543</v>
      </c>
      <c r="J117" s="202" t="s">
        <v>691</v>
      </c>
      <c r="K117" s="202" t="s">
        <v>695</v>
      </c>
      <c r="L117" s="203" t="s">
        <v>694</v>
      </c>
      <c r="M117" s="203" t="s">
        <v>696</v>
      </c>
      <c r="N117" s="204" t="s">
        <v>692</v>
      </c>
      <c r="O117" s="204" t="s">
        <v>693</v>
      </c>
      <c r="S117" t="s">
        <v>175</v>
      </c>
      <c r="T117" s="135">
        <v>1</v>
      </c>
      <c r="U117" s="1">
        <v>0</v>
      </c>
      <c r="V117" s="1">
        <v>0</v>
      </c>
    </row>
    <row r="118" spans="1:23">
      <c r="A118" s="191" t="s">
        <v>175</v>
      </c>
      <c r="B118" s="17">
        <v>-151.60650998899999</v>
      </c>
      <c r="C118" s="17"/>
      <c r="D118" s="17"/>
      <c r="E118" s="33"/>
      <c r="F118" s="17">
        <v>2.6585000000000001E-2</v>
      </c>
      <c r="G118" s="17">
        <v>3.0773999999999999E-2</v>
      </c>
      <c r="H118" s="17">
        <v>7.2700000000000004E-3</v>
      </c>
      <c r="I118" s="196">
        <f t="shared" ref="I118:I124" si="21">(G118-H118)*($T$3*$T$4)</f>
        <v>14.748978170841918</v>
      </c>
      <c r="J118" s="197">
        <f t="shared" ref="J118:J124" si="22">(B118+F118)*($T$3*$T$4)</f>
        <v>-95117.809938760052</v>
      </c>
      <c r="K118" s="197">
        <f t="shared" ref="K118:K124" si="23">((((2-0)/(2-D118))*B118+(1-((2-0)/(2-D118)))*C118)+F118)*($T$3*$T$4)</f>
        <v>-95117.809938760052</v>
      </c>
      <c r="L118" s="198">
        <f t="shared" ref="L118:L124" si="24">(B118+G118)*($T$3*$T$4)</f>
        <v>-95115.181302376557</v>
      </c>
      <c r="M118" s="198">
        <f t="shared" ref="M118:M124" si="25">((((2-0)/(2-D118))*B118+(1-((2-0)/(2-D118)))*C118)+G118)*($T$3*$T$4)</f>
        <v>-95115.181302376557</v>
      </c>
      <c r="N118" s="199">
        <f t="shared" ref="N118:N124" si="26">(B118+H118)*($T$3*$T$4)</f>
        <v>-95129.9302805474</v>
      </c>
      <c r="O118" s="199">
        <f t="shared" ref="O118:O124" si="27">((((2-0)/(2-D118))*B118+(1-((2-0)/(2-D118)))*C118)+H118)*($T$3*$T$4)</f>
        <v>-95129.9302805474</v>
      </c>
      <c r="S118" t="s">
        <v>720</v>
      </c>
      <c r="T118" s="135">
        <v>2</v>
      </c>
      <c r="U118" s="1">
        <f>J124-(J118+J121)</f>
        <v>42.469095921725966</v>
      </c>
      <c r="V118" s="1">
        <f>K124-(K118+K121)</f>
        <v>43.336003179720137</v>
      </c>
    </row>
    <row r="119" spans="1:23">
      <c r="A119" s="191" t="s">
        <v>715</v>
      </c>
      <c r="B119" s="17">
        <v>-75.763130680800003</v>
      </c>
      <c r="C119" s="17"/>
      <c r="D119" s="17"/>
      <c r="E119" s="33"/>
      <c r="F119" s="17">
        <v>8.1390000000000004E-3</v>
      </c>
      <c r="G119" s="17">
        <v>1.1443E-2</v>
      </c>
      <c r="H119" s="17">
        <v>-5.7850000000000002E-3</v>
      </c>
      <c r="I119" s="196">
        <f t="shared" si="21"/>
        <v>10.810729915217181</v>
      </c>
      <c r="J119" s="197">
        <f t="shared" si="22"/>
        <v>-47536.960459174203</v>
      </c>
      <c r="K119" s="197">
        <f t="shared" si="23"/>
        <v>-47536.960459174203</v>
      </c>
      <c r="L119" s="198">
        <f t="shared" si="24"/>
        <v>-47534.887168505535</v>
      </c>
      <c r="M119" s="198">
        <f t="shared" si="25"/>
        <v>-47534.887168505535</v>
      </c>
      <c r="N119" s="199">
        <f t="shared" si="26"/>
        <v>-47545.697898420753</v>
      </c>
      <c r="O119" s="199">
        <f t="shared" si="27"/>
        <v>-47545.697898420753</v>
      </c>
      <c r="S119" t="s">
        <v>720</v>
      </c>
      <c r="T119" s="135">
        <v>3</v>
      </c>
      <c r="U119" s="1">
        <f>J124-(J118+J121)</f>
        <v>42.469095921725966</v>
      </c>
      <c r="V119" s="1">
        <f>K124-(K118+K121)</f>
        <v>43.336003179720137</v>
      </c>
    </row>
    <row r="120" spans="1:23">
      <c r="A120" s="191" t="s">
        <v>700</v>
      </c>
      <c r="B120" s="17">
        <v>-2.91302785869</v>
      </c>
      <c r="C120" s="17"/>
      <c r="D120" s="17"/>
      <c r="E120" s="33"/>
      <c r="F120" s="17">
        <v>0</v>
      </c>
      <c r="G120" s="17">
        <v>2.3600000000000001E-3</v>
      </c>
      <c r="H120" s="17">
        <v>-8.9339999999999992E-3</v>
      </c>
      <c r="I120" s="196">
        <f t="shared" si="21"/>
        <v>7.0870898341341313</v>
      </c>
      <c r="J120" s="197">
        <f t="shared" si="22"/>
        <v>-1827.9520208846661</v>
      </c>
      <c r="K120" s="197">
        <f t="shared" si="23"/>
        <v>-1827.9520208846661</v>
      </c>
      <c r="L120" s="198">
        <f t="shared" si="24"/>
        <v>-1826.4710989784719</v>
      </c>
      <c r="M120" s="198">
        <f t="shared" si="25"/>
        <v>-1826.4710989784719</v>
      </c>
      <c r="N120" s="199">
        <f t="shared" si="26"/>
        <v>-1833.558188812606</v>
      </c>
      <c r="O120" s="199">
        <f t="shared" si="27"/>
        <v>-1833.558188812606</v>
      </c>
      <c r="S120" t="s">
        <v>783</v>
      </c>
      <c r="T120" s="135">
        <v>4</v>
      </c>
      <c r="U120" s="1">
        <f>J122-J118</f>
        <v>41.708346338535193</v>
      </c>
      <c r="V120" s="1">
        <f>K122-K118</f>
        <v>41.608325751527445</v>
      </c>
    </row>
    <row r="121" spans="1:23">
      <c r="A121" s="191" t="s">
        <v>780</v>
      </c>
      <c r="B121" s="17">
        <v>-527.55388452299997</v>
      </c>
      <c r="C121" s="17"/>
      <c r="D121" s="17"/>
      <c r="E121" s="33"/>
      <c r="F121" s="17">
        <v>0</v>
      </c>
      <c r="G121" s="17">
        <v>2.3600000000000001E-3</v>
      </c>
      <c r="H121" s="17">
        <v>-1.2193000000000001E-2</v>
      </c>
      <c r="I121" s="196">
        <f t="shared" si="21"/>
        <v>9.1321425851030664</v>
      </c>
      <c r="J121" s="197">
        <f t="shared" si="22"/>
        <v>-331044.95944403444</v>
      </c>
      <c r="K121" s="197">
        <f t="shared" si="23"/>
        <v>-331044.95944403444</v>
      </c>
      <c r="L121" s="198">
        <f t="shared" si="24"/>
        <v>-331043.47852212825</v>
      </c>
      <c r="M121" s="198">
        <f t="shared" si="25"/>
        <v>-331043.47852212825</v>
      </c>
      <c r="N121" s="199">
        <f t="shared" si="26"/>
        <v>-331052.61066471337</v>
      </c>
      <c r="O121" s="199">
        <f t="shared" si="27"/>
        <v>-331052.61066471337</v>
      </c>
      <c r="S121" t="s">
        <v>783</v>
      </c>
      <c r="T121" s="135">
        <v>5</v>
      </c>
      <c r="U121" s="1">
        <f>J122-J118</f>
        <v>41.708346338535193</v>
      </c>
      <c r="V121" s="1">
        <f>K122-K118</f>
        <v>41.608325751527445</v>
      </c>
    </row>
    <row r="122" spans="1:23">
      <c r="A122" s="191" t="s">
        <v>783</v>
      </c>
      <c r="B122" s="17">
        <v>-151.532269488</v>
      </c>
      <c r="C122" s="17">
        <v>-151.532111681</v>
      </c>
      <c r="D122" s="17">
        <v>1.0049999999999999</v>
      </c>
      <c r="E122" s="33"/>
      <c r="F122" s="17">
        <v>1.8811000000000001E-2</v>
      </c>
      <c r="G122" s="17">
        <v>2.4348000000000002E-2</v>
      </c>
      <c r="H122" s="17">
        <v>-2.5240000000000002E-3</v>
      </c>
      <c r="I122" s="196">
        <f t="shared" si="21"/>
        <v>16.86242943357999</v>
      </c>
      <c r="J122" s="197">
        <f t="shared" si="22"/>
        <v>-95076.101592421517</v>
      </c>
      <c r="K122" s="197">
        <f t="shared" si="23"/>
        <v>-95076.201613008525</v>
      </c>
      <c r="L122" s="198">
        <f t="shared" si="24"/>
        <v>-95072.627073525495</v>
      </c>
      <c r="M122" s="198">
        <f t="shared" si="25"/>
        <v>-95072.727094112503</v>
      </c>
      <c r="N122" s="199">
        <f t="shared" si="26"/>
        <v>-95089.489502959084</v>
      </c>
      <c r="O122" s="199">
        <f t="shared" si="27"/>
        <v>-95089.589523546092</v>
      </c>
      <c r="S122" t="s">
        <v>786</v>
      </c>
      <c r="T122" s="135">
        <v>6</v>
      </c>
      <c r="U122" s="1">
        <f>2*J119-J118</f>
        <v>43.889020411646925</v>
      </c>
      <c r="V122" s="1">
        <f>2*K119-K118</f>
        <v>43.889020411646925</v>
      </c>
    </row>
    <row r="123" spans="1:23">
      <c r="A123" s="191" t="s">
        <v>701</v>
      </c>
      <c r="B123" s="17">
        <v>-154.44435479699999</v>
      </c>
      <c r="C123" s="17">
        <v>-154.445984568</v>
      </c>
      <c r="D123" s="17">
        <v>0.98729999999999996</v>
      </c>
      <c r="E123" s="33"/>
      <c r="F123" s="17">
        <v>1.9696000000000002E-2</v>
      </c>
      <c r="G123" s="17">
        <v>2.6962E-2</v>
      </c>
      <c r="H123" s="17">
        <v>-6.9389999999999999E-3</v>
      </c>
      <c r="I123" s="196">
        <f t="shared" si="21"/>
        <v>21.273192178765825</v>
      </c>
      <c r="J123" s="197">
        <f t="shared" si="22"/>
        <v>-96902.906808911866</v>
      </c>
      <c r="K123" s="197">
        <f t="shared" si="23"/>
        <v>-96901.90976320648</v>
      </c>
      <c r="L123" s="198">
        <f t="shared" si="24"/>
        <v>-96898.347326466785</v>
      </c>
      <c r="M123" s="198">
        <f t="shared" si="25"/>
        <v>-96897.350280761399</v>
      </c>
      <c r="N123" s="199">
        <f t="shared" si="26"/>
        <v>-96919.620518645534</v>
      </c>
      <c r="O123" s="199">
        <f t="shared" si="27"/>
        <v>-96918.623472940162</v>
      </c>
      <c r="S123" t="s">
        <v>786</v>
      </c>
      <c r="T123" s="135">
        <v>7</v>
      </c>
      <c r="U123" s="1">
        <f>2*J119-J118</f>
        <v>43.889020411646925</v>
      </c>
      <c r="V123" s="1">
        <f>2*K119-K118</f>
        <v>43.889020411646925</v>
      </c>
    </row>
    <row r="124" spans="1:23">
      <c r="A124" s="191" t="s">
        <v>781</v>
      </c>
      <c r="B124" s="17">
        <v>-679.08498867900005</v>
      </c>
      <c r="C124" s="17">
        <v>-679.08639387100004</v>
      </c>
      <c r="D124" s="17">
        <v>0.99150000000000005</v>
      </c>
      <c r="E124" s="33">
        <v>137</v>
      </c>
      <c r="F124" s="17">
        <v>1.8858E-2</v>
      </c>
      <c r="G124" s="17">
        <v>2.6280999999999999E-2</v>
      </c>
      <c r="H124" s="17">
        <v>-1.1723000000000001E-2</v>
      </c>
      <c r="I124" s="196">
        <f t="shared" si="21"/>
        <v>23.847862763983844</v>
      </c>
      <c r="J124" s="197">
        <f t="shared" si="22"/>
        <v>-426120.30028687278</v>
      </c>
      <c r="K124" s="197">
        <f t="shared" si="23"/>
        <v>-426119.43337961478</v>
      </c>
      <c r="L124" s="198">
        <f t="shared" si="24"/>
        <v>-426115.64228547039</v>
      </c>
      <c r="M124" s="198">
        <f t="shared" si="25"/>
        <v>-426114.77537821239</v>
      </c>
      <c r="N124" s="199">
        <f t="shared" si="26"/>
        <v>-426139.49014823436</v>
      </c>
      <c r="O124" s="199">
        <f t="shared" si="27"/>
        <v>-426138.62324097636</v>
      </c>
      <c r="U124" s="1"/>
      <c r="V124" s="1"/>
    </row>
    <row r="125" spans="1:23">
      <c r="U125" s="1"/>
      <c r="V125" s="1"/>
    </row>
    <row r="126" spans="1:23">
      <c r="S126" t="s">
        <v>811</v>
      </c>
      <c r="T126" s="6"/>
      <c r="U126" s="1" t="s">
        <v>728</v>
      </c>
      <c r="V126" s="1" t="s">
        <v>727</v>
      </c>
    </row>
    <row r="127" spans="1:23">
      <c r="S127" t="s">
        <v>175</v>
      </c>
      <c r="T127" s="135">
        <v>0</v>
      </c>
      <c r="U127" s="1">
        <v>0</v>
      </c>
      <c r="V127" s="1">
        <v>0</v>
      </c>
    </row>
    <row r="128" spans="1:23">
      <c r="S128" t="s">
        <v>175</v>
      </c>
      <c r="T128" s="135">
        <v>1</v>
      </c>
      <c r="U128" s="1">
        <v>0</v>
      </c>
      <c r="V128" s="1">
        <v>0</v>
      </c>
    </row>
    <row r="129" spans="1:24">
      <c r="A129" s="15" t="s">
        <v>771</v>
      </c>
      <c r="B129" s="15"/>
      <c r="C129" s="15"/>
      <c r="D129" s="15"/>
      <c r="E129" s="15"/>
      <c r="F129" s="15"/>
      <c r="G129" s="15"/>
      <c r="S129" t="s">
        <v>720</v>
      </c>
      <c r="T129" s="135">
        <v>2</v>
      </c>
      <c r="U129" s="1">
        <f>J137-(J134+J131)</f>
        <v>43.476309188234154</v>
      </c>
      <c r="V129" s="1">
        <f>K137-(K134+K131)</f>
        <v>44.292225036944728</v>
      </c>
    </row>
    <row r="130" spans="1:24" ht="60">
      <c r="A130" s="178" t="s">
        <v>524</v>
      </c>
      <c r="B130" s="190" t="s">
        <v>710</v>
      </c>
      <c r="C130" s="190" t="s">
        <v>711</v>
      </c>
      <c r="D130" s="178" t="s">
        <v>712</v>
      </c>
      <c r="E130" s="190" t="s">
        <v>477</v>
      </c>
      <c r="F130" s="190" t="s">
        <v>479</v>
      </c>
      <c r="G130" s="190" t="s">
        <v>480</v>
      </c>
      <c r="H130" s="190" t="s">
        <v>481</v>
      </c>
      <c r="I130" s="190" t="s">
        <v>543</v>
      </c>
      <c r="J130" s="202" t="s">
        <v>691</v>
      </c>
      <c r="K130" s="202" t="s">
        <v>695</v>
      </c>
      <c r="L130" s="203" t="s">
        <v>694</v>
      </c>
      <c r="M130" s="203" t="s">
        <v>696</v>
      </c>
      <c r="N130" s="204" t="s">
        <v>692</v>
      </c>
      <c r="O130" s="204" t="s">
        <v>693</v>
      </c>
      <c r="S130" t="s">
        <v>720</v>
      </c>
      <c r="T130" s="135">
        <v>3</v>
      </c>
      <c r="U130" s="1">
        <f>J137-(J134+J131)</f>
        <v>43.476309188234154</v>
      </c>
      <c r="V130" s="1">
        <f>K137-(K134+K131)</f>
        <v>44.292225036944728</v>
      </c>
    </row>
    <row r="131" spans="1:24">
      <c r="A131" s="191" t="s">
        <v>175</v>
      </c>
      <c r="B131" s="17">
        <v>-151.61078092700001</v>
      </c>
      <c r="C131" s="17"/>
      <c r="D131" s="17"/>
      <c r="E131" s="33"/>
      <c r="F131" s="17">
        <v>2.5745000000000001E-2</v>
      </c>
      <c r="G131" s="17">
        <v>2.9954000000000001E-2</v>
      </c>
      <c r="H131" s="17">
        <v>6.417E-3</v>
      </c>
      <c r="I131" s="196">
        <f t="shared" ref="I131:I142" si="28">(G131-H131)*($T$3*$T$4)</f>
        <v>14.769685977157348</v>
      </c>
      <c r="J131" s="197">
        <f t="shared" ref="J131:J142" si="29">(B131+F131)*($T$3*$T$4)</f>
        <v>-95121.017099796256</v>
      </c>
      <c r="K131" s="197">
        <f t="shared" ref="K131:K142" si="30">((((2-0)/(2-D131))*B131+(1-((2-0)/(2-D131)))*C131)+F131)*($T$3*$T$4)</f>
        <v>-95121.017099796256</v>
      </c>
      <c r="L131" s="198">
        <f t="shared" ref="L131:L142" si="31">(B131+G131)*($T$3*$T$4)</f>
        <v>-95118.375913227123</v>
      </c>
      <c r="M131" s="198">
        <f t="shared" ref="M131:M142" si="32">((((2-0)/(2-D131))*B131+(1-((2-0)/(2-D131)))*C131)+G131)*($T$3*$T$4)</f>
        <v>-95118.375913227123</v>
      </c>
      <c r="N131" s="199">
        <f t="shared" ref="N131:N142" si="33">(B131+H131)*($T$3*$T$4)</f>
        <v>-95133.145599204276</v>
      </c>
      <c r="O131" s="199">
        <f t="shared" ref="O131:O142" si="34">((((2-0)/(2-D131))*B131+(1-((2-0)/(2-D131)))*C131)+H131)*($T$3*$T$4)</f>
        <v>-95133.145599204276</v>
      </c>
      <c r="S131" t="s">
        <v>783</v>
      </c>
      <c r="T131" s="135">
        <v>4</v>
      </c>
      <c r="U131" s="1">
        <f>J135-J131</f>
        <v>42.739713692310033</v>
      </c>
      <c r="V131" s="1">
        <f>K135-K131</f>
        <v>42.613977712069754</v>
      </c>
    </row>
    <row r="132" spans="1:24">
      <c r="A132" s="191" t="s">
        <v>715</v>
      </c>
      <c r="B132" s="17">
        <v>-75.764996233700003</v>
      </c>
      <c r="C132" s="17"/>
      <c r="D132" s="17"/>
      <c r="E132" s="33"/>
      <c r="F132" s="17">
        <v>8.1390000000000004E-3</v>
      </c>
      <c r="G132" s="17">
        <v>1.1443E-2</v>
      </c>
      <c r="H132" s="17">
        <v>-5.7850000000000002E-3</v>
      </c>
      <c r="I132" s="196">
        <f t="shared" si="28"/>
        <v>10.810729915217181</v>
      </c>
      <c r="J132" s="197">
        <f t="shared" si="29"/>
        <v>-47538.131110935552</v>
      </c>
      <c r="K132" s="197">
        <f t="shared" si="30"/>
        <v>-47538.131110935552</v>
      </c>
      <c r="L132" s="198">
        <f t="shared" si="31"/>
        <v>-47536.057820266877</v>
      </c>
      <c r="M132" s="198">
        <f t="shared" si="32"/>
        <v>-47536.057820266877</v>
      </c>
      <c r="N132" s="199">
        <f t="shared" si="33"/>
        <v>-47546.868550182095</v>
      </c>
      <c r="O132" s="199">
        <f t="shared" si="34"/>
        <v>-47546.868550182095</v>
      </c>
      <c r="S132" t="s">
        <v>783</v>
      </c>
      <c r="T132" s="135">
        <v>5</v>
      </c>
      <c r="U132" s="1">
        <f>J135-J131</f>
        <v>42.739713692310033</v>
      </c>
      <c r="V132" s="1">
        <f>K135-K131</f>
        <v>42.613977712069754</v>
      </c>
    </row>
    <row r="133" spans="1:24">
      <c r="A133" s="191" t="s">
        <v>700</v>
      </c>
      <c r="B133" s="17"/>
      <c r="C133" s="17"/>
      <c r="D133" s="17"/>
      <c r="E133" s="33"/>
      <c r="F133" s="17"/>
      <c r="G133" s="17"/>
      <c r="H133" s="17"/>
      <c r="I133" s="196">
        <f t="shared" si="28"/>
        <v>0</v>
      </c>
      <c r="J133" s="197">
        <f t="shared" si="29"/>
        <v>0</v>
      </c>
      <c r="K133" s="197">
        <f t="shared" si="30"/>
        <v>0</v>
      </c>
      <c r="L133" s="198">
        <f t="shared" si="31"/>
        <v>0</v>
      </c>
      <c r="M133" s="198">
        <f t="shared" si="32"/>
        <v>0</v>
      </c>
      <c r="N133" s="199">
        <f t="shared" si="33"/>
        <v>0</v>
      </c>
      <c r="O133" s="199">
        <f t="shared" si="34"/>
        <v>0</v>
      </c>
      <c r="S133" t="s">
        <v>786</v>
      </c>
      <c r="T133" s="135">
        <v>6</v>
      </c>
      <c r="U133" s="1">
        <f>2*J132-J131</f>
        <v>44.754877925151959</v>
      </c>
      <c r="V133" s="1">
        <f>2*K132-K131</f>
        <v>44.754877925151959</v>
      </c>
    </row>
    <row r="134" spans="1:24">
      <c r="A134" s="191" t="s">
        <v>780</v>
      </c>
      <c r="B134" s="17">
        <v>-527.55388452299997</v>
      </c>
      <c r="C134" s="17"/>
      <c r="D134" s="17"/>
      <c r="E134" s="33"/>
      <c r="F134" s="17">
        <v>0</v>
      </c>
      <c r="G134" s="17">
        <v>2.3600000000000001E-3</v>
      </c>
      <c r="H134" s="17">
        <v>-1.2193000000000001E-2</v>
      </c>
      <c r="I134" s="196">
        <f t="shared" si="28"/>
        <v>9.1321425851030664</v>
      </c>
      <c r="J134" s="197">
        <f t="shared" si="29"/>
        <v>-331044.95944403444</v>
      </c>
      <c r="K134" s="197">
        <f t="shared" si="30"/>
        <v>-331044.95944403444</v>
      </c>
      <c r="L134" s="198">
        <f t="shared" si="31"/>
        <v>-331043.47852212825</v>
      </c>
      <c r="M134" s="198">
        <f t="shared" si="32"/>
        <v>-331043.47852212825</v>
      </c>
      <c r="N134" s="199">
        <f t="shared" si="33"/>
        <v>-331052.61066471337</v>
      </c>
      <c r="O134" s="199">
        <f t="shared" si="34"/>
        <v>-331052.61066471337</v>
      </c>
      <c r="S134" t="s">
        <v>786</v>
      </c>
      <c r="T134" s="135">
        <v>7</v>
      </c>
      <c r="U134" s="1">
        <f>2*J132-J131</f>
        <v>44.754877925151959</v>
      </c>
      <c r="V134" s="1">
        <f>2*K132-K131</f>
        <v>44.754877925151959</v>
      </c>
      <c r="W134" s="1">
        <f>2*M147-M146</f>
        <v>44.117757585190702</v>
      </c>
      <c r="X134" s="1">
        <f>2*N147-N146</f>
        <v>44.117757585190702</v>
      </c>
    </row>
    <row r="135" spans="1:24">
      <c r="A135" s="191" t="s">
        <v>783</v>
      </c>
      <c r="B135" s="17">
        <v>-151.535736837</v>
      </c>
      <c r="C135" s="17">
        <v>-151.53553853700001</v>
      </c>
      <c r="D135" s="17">
        <v>1.0052000000000001</v>
      </c>
      <c r="E135" s="33"/>
      <c r="F135" s="17">
        <v>1.8811000000000001E-2</v>
      </c>
      <c r="G135" s="17">
        <v>2.4348000000000002E-2</v>
      </c>
      <c r="H135" s="17">
        <v>-2.5240000000000002E-3</v>
      </c>
      <c r="I135" s="196">
        <f t="shared" si="28"/>
        <v>16.86242943357999</v>
      </c>
      <c r="J135" s="197">
        <f t="shared" si="29"/>
        <v>-95078.277386103946</v>
      </c>
      <c r="K135" s="197">
        <f t="shared" si="30"/>
        <v>-95078.403122084186</v>
      </c>
      <c r="L135" s="198">
        <f t="shared" si="31"/>
        <v>-95074.802867207924</v>
      </c>
      <c r="M135" s="198">
        <f t="shared" si="32"/>
        <v>-95074.928603188164</v>
      </c>
      <c r="N135" s="199">
        <f t="shared" si="33"/>
        <v>-95091.665296641513</v>
      </c>
      <c r="O135" s="199">
        <f t="shared" si="34"/>
        <v>-95091.791032621753</v>
      </c>
      <c r="U135" s="1"/>
      <c r="V135" s="1"/>
    </row>
    <row r="136" spans="1:24">
      <c r="A136" s="191" t="s">
        <v>701</v>
      </c>
      <c r="B136" s="17"/>
      <c r="C136" s="17"/>
      <c r="D136" s="17"/>
      <c r="E136" s="33"/>
      <c r="F136" s="17"/>
      <c r="G136" s="17"/>
      <c r="H136" s="17"/>
      <c r="I136" s="196">
        <f t="shared" si="28"/>
        <v>0</v>
      </c>
      <c r="J136" s="197">
        <f t="shared" si="29"/>
        <v>0</v>
      </c>
      <c r="K136" s="197">
        <f t="shared" si="30"/>
        <v>0</v>
      </c>
      <c r="L136" s="198">
        <f t="shared" si="31"/>
        <v>0</v>
      </c>
      <c r="M136" s="198">
        <f t="shared" si="32"/>
        <v>0</v>
      </c>
      <c r="N136" s="199">
        <f t="shared" si="33"/>
        <v>0</v>
      </c>
      <c r="O136" s="199">
        <f t="shared" si="34"/>
        <v>0</v>
      </c>
      <c r="U136" s="1"/>
      <c r="V136" s="1"/>
    </row>
    <row r="137" spans="1:24">
      <c r="A137" s="191" t="s">
        <v>781</v>
      </c>
      <c r="B137" s="17">
        <v>-679.08849452000004</v>
      </c>
      <c r="C137" s="17">
        <v>-679.08982129799995</v>
      </c>
      <c r="D137" s="17">
        <v>0.9899</v>
      </c>
      <c r="E137" s="33">
        <v>137</v>
      </c>
      <c r="F137" s="17">
        <v>1.8858E-2</v>
      </c>
      <c r="G137" s="17">
        <v>2.6280999999999999E-2</v>
      </c>
      <c r="H137" s="17">
        <v>-1.1723000000000001E-2</v>
      </c>
      <c r="I137" s="196">
        <f t="shared" si="28"/>
        <v>23.847862763983844</v>
      </c>
      <c r="J137" s="197">
        <f t="shared" si="29"/>
        <v>-426122.50023464247</v>
      </c>
      <c r="K137" s="197">
        <f t="shared" si="30"/>
        <v>-426121.68431879376</v>
      </c>
      <c r="L137" s="198">
        <f t="shared" si="31"/>
        <v>-426117.84223324008</v>
      </c>
      <c r="M137" s="198">
        <f t="shared" si="32"/>
        <v>-426117.02631739137</v>
      </c>
      <c r="N137" s="199">
        <f t="shared" si="33"/>
        <v>-426141.69009600405</v>
      </c>
      <c r="O137" s="199">
        <f t="shared" si="34"/>
        <v>-426140.87418015534</v>
      </c>
      <c r="S137" t="s">
        <v>812</v>
      </c>
      <c r="U137" s="1" t="s">
        <v>728</v>
      </c>
      <c r="V137" s="1" t="s">
        <v>727</v>
      </c>
    </row>
    <row r="138" spans="1:24">
      <c r="A138" s="191" t="s">
        <v>509</v>
      </c>
      <c r="B138" s="17">
        <v>-151.534436118</v>
      </c>
      <c r="C138" s="17">
        <v>-151.535627229</v>
      </c>
      <c r="D138" s="17">
        <v>0.98860000000000003</v>
      </c>
      <c r="E138" s="33">
        <v>176.4</v>
      </c>
      <c r="F138" s="17">
        <v>1.8391999999999999E-2</v>
      </c>
      <c r="G138" s="17">
        <v>2.3392E-2</v>
      </c>
      <c r="H138" s="17">
        <v>-2.5049999999999998E-3</v>
      </c>
      <c r="I138" s="196">
        <f t="shared" si="28"/>
        <v>16.250607883351481</v>
      </c>
      <c r="J138" s="197">
        <f t="shared" si="29"/>
        <v>-95077.724099247076</v>
      </c>
      <c r="K138" s="197">
        <f t="shared" si="30"/>
        <v>-95076.993515432419</v>
      </c>
      <c r="L138" s="198">
        <f t="shared" si="31"/>
        <v>-95074.586552835652</v>
      </c>
      <c r="M138" s="198">
        <f t="shared" si="32"/>
        <v>-95073.855969020995</v>
      </c>
      <c r="N138" s="199">
        <f t="shared" si="33"/>
        <v>-95090.837160719006</v>
      </c>
      <c r="O138" s="199">
        <f t="shared" si="34"/>
        <v>-95090.106576904363</v>
      </c>
      <c r="S138" t="s">
        <v>175</v>
      </c>
      <c r="T138" s="135">
        <v>0</v>
      </c>
      <c r="U138" s="1">
        <f t="shared" ref="U138:V144" si="35">E42</f>
        <v>0</v>
      </c>
      <c r="V138" s="1">
        <f t="shared" si="35"/>
        <v>0</v>
      </c>
    </row>
    <row r="139" spans="1:24">
      <c r="A139" s="191" t="s">
        <v>777</v>
      </c>
      <c r="B139" s="17">
        <v>-304.55600267400001</v>
      </c>
      <c r="C139" s="17"/>
      <c r="D139" s="17"/>
      <c r="E139" s="33"/>
      <c r="F139" s="17">
        <v>7.6730000000000007E-2</v>
      </c>
      <c r="G139" s="17">
        <v>8.5619000000000001E-2</v>
      </c>
      <c r="H139" s="17">
        <v>4.8446999999999997E-2</v>
      </c>
      <c r="I139" s="196">
        <f t="shared" si="28"/>
        <v>23.325775041122188</v>
      </c>
      <c r="J139" s="197">
        <f t="shared" si="29"/>
        <v>-191063.56986651849</v>
      </c>
      <c r="K139" s="197">
        <f t="shared" si="30"/>
        <v>-191063.56986651849</v>
      </c>
      <c r="L139" s="198">
        <f t="shared" si="31"/>
        <v>-191057.99193650828</v>
      </c>
      <c r="M139" s="198">
        <f t="shared" si="32"/>
        <v>-191057.99193650828</v>
      </c>
      <c r="N139" s="199">
        <f t="shared" si="33"/>
        <v>-191081.31771154937</v>
      </c>
      <c r="O139" s="199">
        <f t="shared" si="34"/>
        <v>-191081.31771154937</v>
      </c>
      <c r="S139" t="s">
        <v>175</v>
      </c>
      <c r="T139" s="135">
        <v>1</v>
      </c>
      <c r="U139" s="1">
        <f t="shared" si="35"/>
        <v>0</v>
      </c>
      <c r="V139" s="1">
        <f t="shared" si="35"/>
        <v>0</v>
      </c>
    </row>
    <row r="140" spans="1:24">
      <c r="A140" s="191" t="s">
        <v>776</v>
      </c>
      <c r="B140" s="17">
        <v>-304.48837194599997</v>
      </c>
      <c r="C140" s="17">
        <v>-304.48086688699999</v>
      </c>
      <c r="D140" s="17">
        <v>0.95309999999999995</v>
      </c>
      <c r="E140" s="33">
        <v>147.35</v>
      </c>
      <c r="F140" s="17">
        <v>7.0683999999999997E-2</v>
      </c>
      <c r="G140" s="17">
        <v>7.9384999999999997E-2</v>
      </c>
      <c r="H140" s="17">
        <v>4.2777999999999997E-2</v>
      </c>
      <c r="I140" s="196">
        <f t="shared" si="28"/>
        <v>22.971232296630795</v>
      </c>
      <c r="J140" s="197">
        <f t="shared" si="29"/>
        <v>-191024.92487805142</v>
      </c>
      <c r="K140" s="197">
        <f t="shared" si="30"/>
        <v>-191029.21241163556</v>
      </c>
      <c r="L140" s="198">
        <f t="shared" si="31"/>
        <v>-191019.46491978626</v>
      </c>
      <c r="M140" s="198">
        <f t="shared" si="32"/>
        <v>-191023.7524533704</v>
      </c>
      <c r="N140" s="199">
        <f t="shared" si="33"/>
        <v>-191042.4361520829</v>
      </c>
      <c r="O140" s="199">
        <f t="shared" si="34"/>
        <v>-191046.72368566704</v>
      </c>
      <c r="S140" t="s">
        <v>720</v>
      </c>
      <c r="T140" s="135">
        <v>2</v>
      </c>
      <c r="U140" s="1">
        <f>E44</f>
        <v>41.539709494041745</v>
      </c>
      <c r="V140" s="1">
        <f t="shared" si="35"/>
        <v>42.042906459158985</v>
      </c>
    </row>
    <row r="141" spans="1:24">
      <c r="A141" s="191" t="s">
        <v>779</v>
      </c>
      <c r="B141" s="17">
        <v>-303.99574992399999</v>
      </c>
      <c r="C141" s="17"/>
      <c r="D141" s="17"/>
      <c r="E141" s="33"/>
      <c r="F141" s="17">
        <v>6.2162000000000002E-2</v>
      </c>
      <c r="G141" s="17">
        <v>7.0569999999999994E-2</v>
      </c>
      <c r="H141" s="17">
        <v>3.3999000000000001E-2</v>
      </c>
      <c r="I141" s="196">
        <f t="shared" si="28"/>
        <v>22.948641962468503</v>
      </c>
      <c r="J141" s="197">
        <f t="shared" si="29"/>
        <v>-190721.14762069177</v>
      </c>
      <c r="K141" s="197">
        <f t="shared" si="30"/>
        <v>-190721.14762069177</v>
      </c>
      <c r="L141" s="198">
        <f t="shared" si="31"/>
        <v>-190715.87152264634</v>
      </c>
      <c r="M141" s="198">
        <f t="shared" si="32"/>
        <v>-190715.87152264634</v>
      </c>
      <c r="N141" s="199">
        <f t="shared" si="33"/>
        <v>-190738.82016460877</v>
      </c>
      <c r="O141" s="199">
        <f t="shared" si="34"/>
        <v>-190738.82016460877</v>
      </c>
      <c r="S141" t="s">
        <v>720</v>
      </c>
      <c r="T141" s="135">
        <v>3</v>
      </c>
      <c r="U141" s="1">
        <f t="shared" si="35"/>
        <v>41.539709494041745</v>
      </c>
      <c r="V141" s="1">
        <f t="shared" si="35"/>
        <v>42.042906459158985</v>
      </c>
    </row>
    <row r="142" spans="1:24">
      <c r="A142" s="191" t="s">
        <v>778</v>
      </c>
      <c r="B142" s="17">
        <v>-303.939732171</v>
      </c>
      <c r="C142" s="17">
        <v>-303.94458502200001</v>
      </c>
      <c r="D142" s="17">
        <v>0.93489999999999995</v>
      </c>
      <c r="E142" s="33">
        <v>380.28</v>
      </c>
      <c r="F142" s="17">
        <v>5.8977000000000002E-2</v>
      </c>
      <c r="G142" s="17">
        <v>6.7360000000000003E-2</v>
      </c>
      <c r="H142" s="17">
        <v>3.1109000000000001E-2</v>
      </c>
      <c r="I142" s="196">
        <f t="shared" si="28"/>
        <v>22.747838992137105</v>
      </c>
      <c r="J142" s="197">
        <f t="shared" si="29"/>
        <v>-190687.99457777556</v>
      </c>
      <c r="K142" s="197">
        <f t="shared" si="30"/>
        <v>-190685.32162130284</v>
      </c>
      <c r="L142" s="198">
        <f t="shared" si="31"/>
        <v>-190682.73416746216</v>
      </c>
      <c r="M142" s="198">
        <f t="shared" si="32"/>
        <v>-190680.06121098946</v>
      </c>
      <c r="N142" s="199">
        <f t="shared" si="33"/>
        <v>-190705.48200645429</v>
      </c>
      <c r="O142" s="199">
        <f t="shared" si="34"/>
        <v>-190702.80904998159</v>
      </c>
      <c r="S142" t="s">
        <v>783</v>
      </c>
      <c r="T142" s="135">
        <v>4</v>
      </c>
      <c r="U142" s="1">
        <f t="shared" si="35"/>
        <v>41.328338639883441</v>
      </c>
      <c r="V142" s="1">
        <f t="shared" si="35"/>
        <v>41.402744493068894</v>
      </c>
    </row>
    <row r="143" spans="1:24">
      <c r="S143" t="s">
        <v>783</v>
      </c>
      <c r="T143" s="135">
        <v>5</v>
      </c>
      <c r="U143" s="1">
        <f t="shared" si="35"/>
        <v>41.328338639883441</v>
      </c>
      <c r="V143" s="1">
        <f t="shared" si="35"/>
        <v>41.402744493068894</v>
      </c>
    </row>
    <row r="144" spans="1:24">
      <c r="A144" s="15" t="s">
        <v>821</v>
      </c>
      <c r="B144" s="15"/>
      <c r="C144" s="15"/>
      <c r="D144" s="15"/>
      <c r="E144" s="15"/>
      <c r="F144" s="15"/>
      <c r="G144" s="15"/>
      <c r="S144" t="s">
        <v>786</v>
      </c>
      <c r="T144" s="135">
        <v>6</v>
      </c>
      <c r="U144" s="1">
        <f t="shared" si="35"/>
        <v>43.658839088267996</v>
      </c>
      <c r="V144" s="1">
        <f t="shared" si="35"/>
        <v>43.658839088267996</v>
      </c>
    </row>
    <row r="145" spans="1:45" ht="75">
      <c r="A145" s="178" t="s">
        <v>524</v>
      </c>
      <c r="B145" s="190" t="s">
        <v>710</v>
      </c>
      <c r="C145" s="190" t="s">
        <v>711</v>
      </c>
      <c r="D145" s="178" t="s">
        <v>712</v>
      </c>
      <c r="E145" s="178" t="s">
        <v>817</v>
      </c>
      <c r="F145" s="178" t="s">
        <v>818</v>
      </c>
      <c r="G145" s="178" t="s">
        <v>819</v>
      </c>
      <c r="H145" s="190" t="s">
        <v>477</v>
      </c>
      <c r="I145" s="190" t="s">
        <v>479</v>
      </c>
      <c r="J145" s="190" t="s">
        <v>480</v>
      </c>
      <c r="K145" s="190" t="s">
        <v>481</v>
      </c>
      <c r="L145" s="190" t="s">
        <v>543</v>
      </c>
      <c r="M145" s="202" t="s">
        <v>691</v>
      </c>
      <c r="N145" s="202" t="s">
        <v>695</v>
      </c>
      <c r="O145" s="202" t="s">
        <v>822</v>
      </c>
      <c r="P145" s="202" t="s">
        <v>820</v>
      </c>
      <c r="Q145" s="203" t="s">
        <v>694</v>
      </c>
      <c r="R145" s="203" t="s">
        <v>696</v>
      </c>
      <c r="S145" s="204" t="s">
        <v>692</v>
      </c>
      <c r="T145" s="204" t="s">
        <v>693</v>
      </c>
      <c r="W145" t="s">
        <v>786</v>
      </c>
      <c r="X145" s="135">
        <v>7</v>
      </c>
      <c r="Y145" s="1">
        <f>E49</f>
        <v>43.658839088267996</v>
      </c>
      <c r="Z145" s="1">
        <f>F49</f>
        <v>43.658839088267996</v>
      </c>
    </row>
    <row r="146" spans="1:45">
      <c r="A146" s="191" t="s">
        <v>175</v>
      </c>
      <c r="B146" s="17">
        <v>-151.61296965099999</v>
      </c>
      <c r="C146" s="17"/>
      <c r="D146" s="17"/>
      <c r="E146" s="17"/>
      <c r="F146" s="17"/>
      <c r="G146" s="17"/>
      <c r="H146" s="33"/>
      <c r="I146" s="17">
        <v>2.6585000000000001E-2</v>
      </c>
      <c r="J146" s="17">
        <v>3.0773999999999999E-2</v>
      </c>
      <c r="K146" s="17">
        <v>7.2700000000000004E-3</v>
      </c>
      <c r="L146" s="196">
        <f t="shared" ref="L146:L147" si="36">(J146-K146)*($T$3*$T$4)</f>
        <v>14.748978170841918</v>
      </c>
      <c r="M146" s="197">
        <f t="shared" ref="M146:M163" si="37">(B146+I146)*($T$3*$T$4)</f>
        <v>-95121.863436625485</v>
      </c>
      <c r="N146" s="197">
        <f t="shared" ref="N146:N163" si="38">((((2-0)/(2-D146))*B146+(1-((2-0)/(2-D146)))*C146)+I146)*($T$3*$T$4)</f>
        <v>-95121.863436625485</v>
      </c>
      <c r="O146" s="197">
        <f>(E146)</f>
        <v>0</v>
      </c>
      <c r="P146" s="197">
        <f>((((2-0)/(2-G146))*E146+(1-((2-0)/(2-G146)))*F146))</f>
        <v>0</v>
      </c>
      <c r="Q146" s="198">
        <f t="shared" ref="Q146:Q166" si="39">(B146+J146)*($T$3*$T$4)</f>
        <v>-95119.234800241989</v>
      </c>
      <c r="R146" s="198">
        <f t="shared" ref="R146:R166" si="40">((((2-0)/(2-D146))*B146+(1-((2-0)/(2-D146)))*C146)+J146)*($T$3*$T$4)</f>
        <v>-95119.234800241989</v>
      </c>
      <c r="S146" s="199">
        <f t="shared" ref="S146:S166" si="41">(B146+K146)*($T$3*$T$4)</f>
        <v>-95133.983778412832</v>
      </c>
      <c r="T146" s="199">
        <f t="shared" ref="T146:T166" si="42">((((2-0)/(2-D146))*B146+(1-((2-0)/(2-D146)))*C146)+K146)*($T$3*$T$4)</f>
        <v>-95133.983778412832</v>
      </c>
      <c r="Y146" s="1"/>
      <c r="Z146" s="1"/>
    </row>
    <row r="147" spans="1:45">
      <c r="A147" s="191" t="s">
        <v>715</v>
      </c>
      <c r="B147" s="17">
        <v>-75.766178253800007</v>
      </c>
      <c r="C147" s="17"/>
      <c r="D147" s="17"/>
      <c r="E147" s="17"/>
      <c r="F147" s="17"/>
      <c r="G147" s="17"/>
      <c r="H147" s="33"/>
      <c r="I147" s="17">
        <v>8.1390000000000004E-3</v>
      </c>
      <c r="J147" s="17">
        <v>1.1443E-2</v>
      </c>
      <c r="K147" s="17">
        <v>-5.7850000000000002E-3</v>
      </c>
      <c r="L147" s="196">
        <f t="shared" si="36"/>
        <v>10.810729915217181</v>
      </c>
      <c r="M147" s="197">
        <f t="shared" si="37"/>
        <v>-47538.872839520147</v>
      </c>
      <c r="N147" s="197">
        <f t="shared" si="38"/>
        <v>-47538.872839520147</v>
      </c>
      <c r="O147" s="197">
        <f t="shared" ref="O147:O166" si="43">(E147)</f>
        <v>0</v>
      </c>
      <c r="P147" s="197">
        <f t="shared" ref="P147:P166" si="44">((((2-0)/(2-G147))*E147+(1-((2-0)/(2-G147)))*F147))</f>
        <v>0</v>
      </c>
      <c r="Q147" s="198">
        <f t="shared" si="39"/>
        <v>-47536.799548851479</v>
      </c>
      <c r="R147" s="198">
        <f t="shared" si="40"/>
        <v>-47536.799548851479</v>
      </c>
      <c r="S147" s="199">
        <f t="shared" si="41"/>
        <v>-47547.610278766697</v>
      </c>
      <c r="T147" s="199">
        <f t="shared" si="42"/>
        <v>-47547.610278766697</v>
      </c>
      <c r="W147" s="6">
        <f>N165-(N150+N146)</f>
        <v>43.594978511566296</v>
      </c>
      <c r="Y147" s="1"/>
      <c r="Z147" s="1"/>
    </row>
    <row r="148" spans="1:45">
      <c r="A148" s="191" t="s">
        <v>482</v>
      </c>
      <c r="B148" s="17">
        <v>-76.464378689</v>
      </c>
      <c r="C148" s="17"/>
      <c r="D148" s="17"/>
      <c r="E148" s="17"/>
      <c r="F148" s="17"/>
      <c r="G148" s="17"/>
      <c r="H148" s="33"/>
      <c r="I148" s="17">
        <v>2.0750999999999999E-2</v>
      </c>
      <c r="J148" s="17">
        <v>2.453E-2</v>
      </c>
      <c r="K148" s="17">
        <v>5.4479999999999997E-3</v>
      </c>
      <c r="L148" s="196">
        <f t="shared" ref="L148:L149" si="45">(J148-K148)*($T$3*$T$4)</f>
        <v>11.974132124574776</v>
      </c>
      <c r="M148" s="197">
        <f t="shared" si="37"/>
        <v>-47969.085946435836</v>
      </c>
      <c r="N148" s="197">
        <f t="shared" si="38"/>
        <v>-47969.085946435836</v>
      </c>
      <c r="O148" s="197">
        <f t="shared" si="43"/>
        <v>0</v>
      </c>
      <c r="P148" s="197">
        <f t="shared" si="44"/>
        <v>0</v>
      </c>
      <c r="Q148" s="198">
        <f t="shared" si="39"/>
        <v>-47966.714588858085</v>
      </c>
      <c r="R148" s="198">
        <f t="shared" si="40"/>
        <v>-47966.714588858085</v>
      </c>
      <c r="S148" s="199">
        <f t="shared" si="41"/>
        <v>-47978.688720982653</v>
      </c>
      <c r="T148" s="199">
        <f t="shared" si="42"/>
        <v>-47978.688720982653</v>
      </c>
      <c r="W148" t="s">
        <v>814</v>
      </c>
      <c r="AB148" t="s">
        <v>788</v>
      </c>
    </row>
    <row r="149" spans="1:45">
      <c r="A149" s="191" t="s">
        <v>768</v>
      </c>
      <c r="B149" s="17">
        <v>-75.090912951600004</v>
      </c>
      <c r="C149" s="17"/>
      <c r="D149" s="17"/>
      <c r="E149" s="17"/>
      <c r="F149" s="17"/>
      <c r="G149" s="17"/>
      <c r="H149" s="33"/>
      <c r="I149" s="17">
        <v>0</v>
      </c>
      <c r="J149" s="17">
        <v>2.3600000000000001E-3</v>
      </c>
      <c r="K149" s="17">
        <v>-1.1932999999999999E-2</v>
      </c>
      <c r="L149" s="196">
        <f t="shared" si="45"/>
        <v>8.9689901717087963</v>
      </c>
      <c r="M149" s="197">
        <f t="shared" si="37"/>
        <v>-47120.244892432747</v>
      </c>
      <c r="N149" s="197">
        <f t="shared" si="38"/>
        <v>-47120.244892432747</v>
      </c>
      <c r="O149" s="197">
        <f t="shared" si="43"/>
        <v>0</v>
      </c>
      <c r="P149" s="197">
        <f t="shared" si="44"/>
        <v>0</v>
      </c>
      <c r="Q149" s="198">
        <f t="shared" si="39"/>
        <v>-47118.763970526554</v>
      </c>
      <c r="R149" s="198">
        <f t="shared" si="40"/>
        <v>-47118.763970526554</v>
      </c>
      <c r="S149" s="199">
        <f t="shared" si="41"/>
        <v>-47127.73296069826</v>
      </c>
      <c r="T149" s="199">
        <f t="shared" si="42"/>
        <v>-47127.73296069826</v>
      </c>
      <c r="W149" t="s">
        <v>815</v>
      </c>
      <c r="X149" s="6"/>
      <c r="Y149" s="1" t="s">
        <v>728</v>
      </c>
      <c r="Z149" s="1" t="s">
        <v>727</v>
      </c>
      <c r="AB149" t="s">
        <v>791</v>
      </c>
      <c r="AC149" s="6"/>
      <c r="AD149" s="1" t="s">
        <v>728</v>
      </c>
      <c r="AE149" s="1" t="s">
        <v>727</v>
      </c>
    </row>
    <row r="150" spans="1:45">
      <c r="A150" s="191" t="s">
        <v>780</v>
      </c>
      <c r="B150" s="17">
        <v>-527.55388452299997</v>
      </c>
      <c r="C150" s="17"/>
      <c r="D150" s="17"/>
      <c r="E150" s="17"/>
      <c r="F150" s="17"/>
      <c r="G150" s="17"/>
      <c r="H150" s="33"/>
      <c r="I150" s="17">
        <v>0</v>
      </c>
      <c r="J150" s="17">
        <v>2.3600000000000001E-3</v>
      </c>
      <c r="K150" s="17">
        <v>-1.2193000000000001E-2</v>
      </c>
      <c r="L150" s="196">
        <f>(J150-K150)*($T$3*$T$4)</f>
        <v>9.1321425851030664</v>
      </c>
      <c r="M150" s="197">
        <f t="shared" si="37"/>
        <v>-331044.95944403444</v>
      </c>
      <c r="N150" s="197">
        <f t="shared" si="38"/>
        <v>-331044.95944403444</v>
      </c>
      <c r="O150" s="197">
        <f t="shared" si="43"/>
        <v>0</v>
      </c>
      <c r="P150" s="197">
        <f t="shared" si="44"/>
        <v>0</v>
      </c>
      <c r="Q150" s="198">
        <f t="shared" si="39"/>
        <v>-331043.47852212825</v>
      </c>
      <c r="R150" s="198">
        <f t="shared" si="40"/>
        <v>-331043.47852212825</v>
      </c>
      <c r="S150" s="199">
        <f t="shared" si="41"/>
        <v>-331052.61066471337</v>
      </c>
      <c r="T150" s="199">
        <f t="shared" si="42"/>
        <v>-331052.61066471337</v>
      </c>
      <c r="W150" t="s">
        <v>175</v>
      </c>
      <c r="X150" s="135">
        <v>0</v>
      </c>
      <c r="Y150" s="1">
        <v>0</v>
      </c>
      <c r="Z150" s="1">
        <v>0</v>
      </c>
      <c r="AB150" t="s">
        <v>175</v>
      </c>
      <c r="AC150" s="135">
        <v>0</v>
      </c>
      <c r="AD150" s="1"/>
      <c r="AE150" s="1"/>
    </row>
    <row r="151" spans="1:45">
      <c r="A151" s="191" t="s">
        <v>800</v>
      </c>
      <c r="B151" s="17">
        <v>-151.53823578999999</v>
      </c>
      <c r="C151" s="17">
        <v>-151.53801844200001</v>
      </c>
      <c r="D151" s="17">
        <v>1.0053000000000001</v>
      </c>
      <c r="E151" s="17"/>
      <c r="F151" s="17"/>
      <c r="G151" s="17"/>
      <c r="H151" s="33"/>
      <c r="I151" s="17">
        <v>1.8811000000000001E-2</v>
      </c>
      <c r="J151" s="17">
        <v>2.4348000000000002E-2</v>
      </c>
      <c r="K151" s="17">
        <v>-2.5240000000000002E-3</v>
      </c>
      <c r="L151" s="196">
        <f t="shared" ref="L151" si="46">(J151-K151)*($T$3*$T$4)</f>
        <v>16.86242943357999</v>
      </c>
      <c r="M151" s="197">
        <f t="shared" si="37"/>
        <v>-95079.845502307435</v>
      </c>
      <c r="N151" s="197">
        <f t="shared" si="38"/>
        <v>-95079.983343609594</v>
      </c>
      <c r="O151" s="197">
        <f t="shared" si="43"/>
        <v>0</v>
      </c>
      <c r="P151" s="197">
        <f t="shared" si="44"/>
        <v>0</v>
      </c>
      <c r="Q151" s="198">
        <f t="shared" si="39"/>
        <v>-95076.370983411412</v>
      </c>
      <c r="R151" s="198">
        <f t="shared" si="40"/>
        <v>-95076.508824713586</v>
      </c>
      <c r="S151" s="199">
        <f t="shared" si="41"/>
        <v>-95093.233412844987</v>
      </c>
      <c r="T151" s="199">
        <f t="shared" si="42"/>
        <v>-95093.371254147161</v>
      </c>
      <c r="W151" t="s">
        <v>175</v>
      </c>
      <c r="X151" s="135">
        <v>1</v>
      </c>
      <c r="Y151" s="1">
        <v>0</v>
      </c>
      <c r="Z151" s="1">
        <v>0</v>
      </c>
      <c r="AB151" t="s">
        <v>175</v>
      </c>
      <c r="AC151" s="135">
        <v>1</v>
      </c>
      <c r="AD151" s="1"/>
      <c r="AE151" s="1"/>
    </row>
    <row r="152" spans="1:45">
      <c r="A152" s="191" t="s">
        <v>802</v>
      </c>
      <c r="B152" s="17">
        <v>-151.53801844200001</v>
      </c>
      <c r="C152" s="17"/>
      <c r="D152" s="17"/>
      <c r="E152" s="17"/>
      <c r="F152" s="17"/>
      <c r="G152" s="17"/>
      <c r="H152" s="33"/>
      <c r="I152" s="17">
        <v>1.8811000000000001E-2</v>
      </c>
      <c r="J152" s="17">
        <v>2.4348000000000002E-2</v>
      </c>
      <c r="K152" s="17">
        <v>-2.5240000000000002E-3</v>
      </c>
      <c r="L152" s="196">
        <f t="shared" ref="L152" si="47">(J152-K152)*($T$3*$T$4)</f>
        <v>16.86242943357999</v>
      </c>
      <c r="M152" s="197">
        <f t="shared" si="37"/>
        <v>-95079.709114419966</v>
      </c>
      <c r="N152" s="197">
        <f t="shared" si="38"/>
        <v>-95079.709114419966</v>
      </c>
      <c r="O152" s="197">
        <f t="shared" si="43"/>
        <v>0</v>
      </c>
      <c r="P152" s="197">
        <f t="shared" si="44"/>
        <v>0</v>
      </c>
      <c r="Q152" s="198">
        <f t="shared" si="39"/>
        <v>-95076.234595523943</v>
      </c>
      <c r="R152" s="198">
        <f t="shared" si="40"/>
        <v>-95076.234595523943</v>
      </c>
      <c r="S152" s="199">
        <f t="shared" si="41"/>
        <v>-95093.097024957518</v>
      </c>
      <c r="T152" s="199">
        <f t="shared" si="42"/>
        <v>-95093.097024957518</v>
      </c>
      <c r="W152" t="s">
        <v>720</v>
      </c>
      <c r="X152" s="135">
        <v>2</v>
      </c>
      <c r="Y152" s="1">
        <f>M165-(M150+M146)</f>
        <v>42.785803621576633</v>
      </c>
      <c r="Z152" s="1">
        <f>N165-(N150+N146)</f>
        <v>43.594978511566296</v>
      </c>
      <c r="AB152" t="s">
        <v>720</v>
      </c>
      <c r="AC152" s="135">
        <v>2</v>
      </c>
      <c r="AD152" s="1"/>
      <c r="AE152" s="1"/>
    </row>
    <row r="153" spans="1:45">
      <c r="A153" s="191" t="s">
        <v>801</v>
      </c>
      <c r="B153" s="17">
        <v>-151.53838163</v>
      </c>
      <c r="C153" s="17"/>
      <c r="D153" s="17"/>
      <c r="E153" s="17"/>
      <c r="F153" s="17"/>
      <c r="G153" s="17"/>
      <c r="H153" s="33"/>
      <c r="I153" s="17">
        <v>1.8818999999999999E-2</v>
      </c>
      <c r="J153" s="17">
        <v>2.4355000000000002E-2</v>
      </c>
      <c r="K153" s="17">
        <v>-3.5639999999999999E-3</v>
      </c>
      <c r="L153" s="196">
        <f>(J153-K153)*($T$3*$T$4)</f>
        <v>17.519431652133068</v>
      </c>
      <c r="M153" s="197">
        <f t="shared" si="37"/>
        <v>-95079.931998186905</v>
      </c>
      <c r="N153" s="197">
        <f t="shared" si="38"/>
        <v>-95079.931998186905</v>
      </c>
      <c r="O153" s="197">
        <f t="shared" si="43"/>
        <v>0</v>
      </c>
      <c r="P153" s="197">
        <f t="shared" si="44"/>
        <v>0</v>
      </c>
      <c r="Q153" s="198">
        <f t="shared" si="39"/>
        <v>-95076.458106800172</v>
      </c>
      <c r="R153" s="198">
        <f t="shared" si="40"/>
        <v>-95076.458106800172</v>
      </c>
      <c r="S153" s="199">
        <f t="shared" si="41"/>
        <v>-95093.977538452324</v>
      </c>
      <c r="T153" s="199">
        <f t="shared" si="42"/>
        <v>-95093.977538452324</v>
      </c>
      <c r="W153" t="s">
        <v>720</v>
      </c>
      <c r="X153" s="135">
        <v>3</v>
      </c>
      <c r="Y153" s="1">
        <f>M165-(M150+M146)</f>
        <v>42.785803621576633</v>
      </c>
      <c r="Z153" s="1">
        <f>N165-(N150+N146)</f>
        <v>43.594978511566296</v>
      </c>
      <c r="AB153" t="s">
        <v>720</v>
      </c>
      <c r="AC153" s="135">
        <v>3</v>
      </c>
      <c r="AD153" s="1"/>
      <c r="AE153" s="1"/>
    </row>
    <row r="154" spans="1:45">
      <c r="A154" s="191" t="s">
        <v>789</v>
      </c>
      <c r="B154" s="17">
        <v>-151.536752831</v>
      </c>
      <c r="C154" s="17">
        <v>-151.53793631900001</v>
      </c>
      <c r="D154" s="17">
        <v>0.98809999999999998</v>
      </c>
      <c r="E154" s="17"/>
      <c r="F154" s="17"/>
      <c r="G154" s="17"/>
      <c r="H154" s="33">
        <v>176.4</v>
      </c>
      <c r="I154" s="17">
        <v>1.8391999999999999E-2</v>
      </c>
      <c r="J154" s="17">
        <v>2.3392E-2</v>
      </c>
      <c r="K154" s="17">
        <v>-2.5049999999999998E-3</v>
      </c>
      <c r="L154" s="196">
        <f>(J154-K154)*($T$3*$T$4)</f>
        <v>16.250607883351481</v>
      </c>
      <c r="M154" s="197">
        <f t="shared" si="37"/>
        <v>-95079.177858158961</v>
      </c>
      <c r="N154" s="197">
        <f t="shared" si="38"/>
        <v>-95078.45267565675</v>
      </c>
      <c r="O154" s="197">
        <f t="shared" si="43"/>
        <v>0</v>
      </c>
      <c r="P154" s="197">
        <f t="shared" si="44"/>
        <v>0</v>
      </c>
      <c r="Q154" s="198">
        <f t="shared" si="39"/>
        <v>-95076.040311747536</v>
      </c>
      <c r="R154" s="198">
        <f t="shared" si="40"/>
        <v>-95075.315129245326</v>
      </c>
      <c r="S154" s="199">
        <f t="shared" si="41"/>
        <v>-95092.290919630905</v>
      </c>
      <c r="T154" s="199">
        <f t="shared" si="42"/>
        <v>-95091.565737128694</v>
      </c>
      <c r="W154" t="s">
        <v>783</v>
      </c>
      <c r="X154" s="135">
        <v>4</v>
      </c>
      <c r="Y154" s="1">
        <f>M151-M146</f>
        <v>42.017934318049811</v>
      </c>
      <c r="Z154" s="1">
        <f>N151-N146</f>
        <v>41.880093015890452</v>
      </c>
      <c r="AB154" t="s">
        <v>783</v>
      </c>
      <c r="AC154" s="135">
        <v>4</v>
      </c>
      <c r="AD154" s="1" t="e">
        <f>#REF!-M146</f>
        <v>#REF!</v>
      </c>
      <c r="AE154" s="1" t="e">
        <f>#REF!-N146</f>
        <v>#REF!</v>
      </c>
    </row>
    <row r="155" spans="1:45">
      <c r="A155" s="191" t="s">
        <v>794</v>
      </c>
      <c r="B155" s="17">
        <v>-151.536022562</v>
      </c>
      <c r="C155" s="17">
        <v>-151.535139243</v>
      </c>
      <c r="D155" s="17">
        <v>1.0028999999999999</v>
      </c>
      <c r="E155" s="17"/>
      <c r="F155" s="17"/>
      <c r="G155" s="17"/>
      <c r="H155" s="33"/>
      <c r="I155" s="17">
        <v>1.8898999999999999E-2</v>
      </c>
      <c r="J155" s="17">
        <v>2.4559000000000001E-2</v>
      </c>
      <c r="K155" s="17">
        <v>-2.8440000000000002E-3</v>
      </c>
      <c r="L155" s="196">
        <f t="shared" ref="L155" si="48">(J155-K155)*($T$3*$T$4)</f>
        <v>17.19563686247367</v>
      </c>
      <c r="M155" s="197">
        <f t="shared" si="37"/>
        <v>-95078.401460376786</v>
      </c>
      <c r="N155" s="197">
        <f t="shared" si="38"/>
        <v>-95078.958975485846</v>
      </c>
      <c r="O155" s="197">
        <f t="shared" si="43"/>
        <v>0</v>
      </c>
      <c r="P155" s="197">
        <f t="shared" si="44"/>
        <v>0</v>
      </c>
      <c r="Q155" s="198">
        <f t="shared" si="39"/>
        <v>-95074.849757839038</v>
      </c>
      <c r="R155" s="198">
        <f t="shared" si="40"/>
        <v>-95075.407272948098</v>
      </c>
      <c r="S155" s="199">
        <f t="shared" si="41"/>
        <v>-95092.045394701534</v>
      </c>
      <c r="T155" s="199">
        <f t="shared" si="42"/>
        <v>-95092.602909810594</v>
      </c>
      <c r="W155" t="s">
        <v>783</v>
      </c>
      <c r="X155" s="135">
        <v>5</v>
      </c>
      <c r="Y155" s="1">
        <f>M151-M146</f>
        <v>42.017934318049811</v>
      </c>
      <c r="Z155" s="1">
        <f>N151-N146</f>
        <v>41.880093015890452</v>
      </c>
      <c r="AB155" t="s">
        <v>783</v>
      </c>
      <c r="AC155" s="135">
        <v>5</v>
      </c>
      <c r="AD155" s="1" t="e">
        <f>#REF!-M146</f>
        <v>#REF!</v>
      </c>
      <c r="AE155" s="1" t="e">
        <f>#REF!-N146</f>
        <v>#REF!</v>
      </c>
    </row>
    <row r="156" spans="1:45">
      <c r="A156" s="191" t="s">
        <v>799</v>
      </c>
      <c r="B156" s="17">
        <v>-151.535139243</v>
      </c>
      <c r="C156" s="17"/>
      <c r="D156" s="17"/>
      <c r="E156" s="17"/>
      <c r="F156" s="17"/>
      <c r="G156" s="17"/>
      <c r="H156" s="33"/>
      <c r="I156" s="17">
        <v>1.8898999999999999E-2</v>
      </c>
      <c r="J156" s="17">
        <v>2.4559000000000001E-2</v>
      </c>
      <c r="K156" s="17">
        <v>-2.8440000000000002E-3</v>
      </c>
      <c r="L156" s="196">
        <f t="shared" ref="L156" si="49">(J156-K156)*($T$3*$T$4)</f>
        <v>17.19563686247367</v>
      </c>
      <c r="M156" s="197">
        <f t="shared" si="37"/>
        <v>-95077.847169505068</v>
      </c>
      <c r="N156" s="197">
        <f t="shared" si="38"/>
        <v>-95077.847169505068</v>
      </c>
      <c r="O156" s="197">
        <f>(E156)</f>
        <v>0</v>
      </c>
      <c r="P156" s="197">
        <f t="shared" si="44"/>
        <v>0</v>
      </c>
      <c r="Q156" s="198">
        <f t="shared" si="39"/>
        <v>-95074.29546696732</v>
      </c>
      <c r="R156" s="198">
        <f t="shared" si="40"/>
        <v>-95074.29546696732</v>
      </c>
      <c r="S156" s="199">
        <f t="shared" si="41"/>
        <v>-95091.491103829816</v>
      </c>
      <c r="T156" s="199">
        <f t="shared" si="42"/>
        <v>-95091.491103829816</v>
      </c>
      <c r="W156" t="s">
        <v>786</v>
      </c>
      <c r="X156" s="135">
        <v>6</v>
      </c>
      <c r="Y156" s="1">
        <f>2*M147-M146</f>
        <v>44.117757585190702</v>
      </c>
      <c r="Z156" s="1">
        <f>2*N147-N146</f>
        <v>44.117757585190702</v>
      </c>
      <c r="AB156" t="s">
        <v>786</v>
      </c>
      <c r="AC156" s="135">
        <v>6</v>
      </c>
      <c r="AD156" s="1"/>
      <c r="AE156" s="1"/>
    </row>
    <row r="157" spans="1:45">
      <c r="A157" s="191" t="s">
        <v>790</v>
      </c>
      <c r="B157" s="17">
        <v>-151.53713784000001</v>
      </c>
      <c r="C157" s="17"/>
      <c r="D157" s="17"/>
      <c r="E157" s="17"/>
      <c r="F157" s="17"/>
      <c r="G157" s="17"/>
      <c r="H157" s="33">
        <v>266.39</v>
      </c>
      <c r="I157" s="17">
        <v>1.8360999999999999E-2</v>
      </c>
      <c r="J157" s="17">
        <v>2.3387000000000002E-2</v>
      </c>
      <c r="K157" s="17">
        <v>-3.7369999999999999E-3</v>
      </c>
      <c r="L157" s="196">
        <f>(J157-K157)*($T$3*$T$4)</f>
        <v>17.020561772715975</v>
      </c>
      <c r="M157" s="197">
        <f t="shared" si="37"/>
        <v>-95079.438907667994</v>
      </c>
      <c r="N157" s="197">
        <f t="shared" si="38"/>
        <v>-95079.438907667994</v>
      </c>
      <c r="O157" s="197">
        <f t="shared" si="43"/>
        <v>0</v>
      </c>
      <c r="P157" s="197">
        <f t="shared" si="44"/>
        <v>0</v>
      </c>
      <c r="Q157" s="198">
        <f t="shared" si="39"/>
        <v>-95076.285046015211</v>
      </c>
      <c r="R157" s="198">
        <f t="shared" si="40"/>
        <v>-95076.285046015211</v>
      </c>
      <c r="S157" s="199">
        <f t="shared" si="41"/>
        <v>-95093.305607787945</v>
      </c>
      <c r="T157" s="199">
        <f t="shared" si="42"/>
        <v>-95093.305607787945</v>
      </c>
      <c r="W157" t="s">
        <v>786</v>
      </c>
      <c r="X157" s="135">
        <v>7</v>
      </c>
      <c r="Y157" s="1">
        <f>2*M147-M146</f>
        <v>44.117757585190702</v>
      </c>
      <c r="Z157" s="1">
        <f>2*N147-N146</f>
        <v>44.117757585190702</v>
      </c>
      <c r="AB157" t="s">
        <v>786</v>
      </c>
      <c r="AC157" s="135">
        <v>7</v>
      </c>
      <c r="AD157" s="1"/>
      <c r="AE157" s="1"/>
    </row>
    <row r="158" spans="1:45">
      <c r="A158" s="191" t="s">
        <v>792</v>
      </c>
      <c r="B158" s="17"/>
      <c r="C158" s="17"/>
      <c r="D158" s="17"/>
      <c r="E158" s="17"/>
      <c r="F158" s="17"/>
      <c r="G158" s="17"/>
      <c r="H158" s="33"/>
      <c r="I158" s="17"/>
      <c r="J158" s="17"/>
      <c r="K158" s="17"/>
      <c r="L158" s="196">
        <f t="shared" ref="L158:L159" si="50">(J158-K158)*($T$3*$T$4)</f>
        <v>0</v>
      </c>
      <c r="M158" s="197">
        <f t="shared" si="37"/>
        <v>0</v>
      </c>
      <c r="N158" s="197">
        <f t="shared" si="38"/>
        <v>0</v>
      </c>
      <c r="O158" s="197">
        <f t="shared" si="43"/>
        <v>0</v>
      </c>
      <c r="P158" s="197">
        <f t="shared" si="44"/>
        <v>0</v>
      </c>
      <c r="Q158" s="198">
        <f t="shared" si="39"/>
        <v>0</v>
      </c>
      <c r="R158" s="198">
        <f t="shared" si="40"/>
        <v>0</v>
      </c>
      <c r="S158" s="199">
        <f t="shared" si="41"/>
        <v>0</v>
      </c>
      <c r="T158" s="199">
        <f t="shared" si="42"/>
        <v>0</v>
      </c>
    </row>
    <row r="159" spans="1:45">
      <c r="A159" s="191" t="s">
        <v>793</v>
      </c>
      <c r="B159" s="17">
        <v>-151.54444541999999</v>
      </c>
      <c r="C159" s="17"/>
      <c r="D159" s="17"/>
      <c r="E159" s="17"/>
      <c r="F159" s="17"/>
      <c r="G159" s="17"/>
      <c r="H159" s="33"/>
      <c r="I159" s="17">
        <v>2.2433999999999999E-2</v>
      </c>
      <c r="J159" s="17">
        <v>2.6782E-2</v>
      </c>
      <c r="K159" s="17">
        <v>1.611E-3</v>
      </c>
      <c r="L159" s="196">
        <f t="shared" si="50"/>
        <v>15.795036144412098</v>
      </c>
      <c r="M159" s="197">
        <f t="shared" si="37"/>
        <v>-95081.468636642268</v>
      </c>
      <c r="N159" s="197">
        <f t="shared" si="38"/>
        <v>-95081.468636642268</v>
      </c>
      <c r="O159" s="197">
        <f t="shared" si="43"/>
        <v>0</v>
      </c>
      <c r="P159" s="197">
        <f t="shared" si="44"/>
        <v>0</v>
      </c>
      <c r="Q159" s="198">
        <f t="shared" si="39"/>
        <v>-95078.740226282898</v>
      </c>
      <c r="R159" s="198">
        <f t="shared" si="40"/>
        <v>-95078.740226282898</v>
      </c>
      <c r="S159" s="199">
        <f t="shared" si="41"/>
        <v>-95094.535262427307</v>
      </c>
      <c r="T159" s="199">
        <f t="shared" si="42"/>
        <v>-95094.535262427307</v>
      </c>
    </row>
    <row r="160" spans="1:45">
      <c r="A160" s="191" t="s">
        <v>804</v>
      </c>
      <c r="B160" s="17">
        <v>-151.53814944999999</v>
      </c>
      <c r="C160" s="17"/>
      <c r="D160" s="17"/>
      <c r="E160" s="17"/>
      <c r="F160" s="17"/>
      <c r="G160" s="17"/>
      <c r="H160" s="33">
        <v>1000.24</v>
      </c>
      <c r="I160" s="17">
        <v>1.6271000000000001E-2</v>
      </c>
      <c r="J160" s="17">
        <v>2.0757999999999999E-2</v>
      </c>
      <c r="K160" s="17">
        <v>-4.7089999999999996E-3</v>
      </c>
      <c r="L160" s="196">
        <f t="shared" ref="L160:L162" si="51">(J160-K160)*($T$3*$T$4)</f>
        <v>15.980778891968649</v>
      </c>
      <c r="M160" s="197">
        <f t="shared" si="37"/>
        <v>-95081.385196733012</v>
      </c>
      <c r="N160" s="197">
        <f t="shared" si="38"/>
        <v>-95081.385196733012</v>
      </c>
      <c r="O160" s="197">
        <f t="shared" si="43"/>
        <v>0</v>
      </c>
      <c r="P160" s="197">
        <f t="shared" si="44"/>
        <v>0</v>
      </c>
      <c r="Q160" s="198">
        <f t="shared" si="39"/>
        <v>-95078.569562583391</v>
      </c>
      <c r="R160" s="198">
        <f t="shared" si="40"/>
        <v>-95078.569562583391</v>
      </c>
      <c r="S160" s="199">
        <f t="shared" si="41"/>
        <v>-95094.550341475362</v>
      </c>
      <c r="T160" s="199">
        <f t="shared" si="42"/>
        <v>-95094.550341475362</v>
      </c>
      <c r="AK160" t="s">
        <v>787</v>
      </c>
      <c r="AL160" s="6"/>
      <c r="AM160" s="1" t="s">
        <v>728</v>
      </c>
      <c r="AN160" s="1" t="s">
        <v>727</v>
      </c>
      <c r="AP160" t="s">
        <v>813</v>
      </c>
      <c r="AQ160" s="6"/>
      <c r="AR160" s="1" t="s">
        <v>728</v>
      </c>
      <c r="AS160" s="1" t="s">
        <v>727</v>
      </c>
    </row>
    <row r="161" spans="1:44">
      <c r="A161" s="191" t="s">
        <v>805</v>
      </c>
      <c r="B161" s="17"/>
      <c r="C161" s="17"/>
      <c r="D161" s="17"/>
      <c r="E161" s="17"/>
      <c r="F161" s="17"/>
      <c r="G161" s="17"/>
      <c r="H161" s="33"/>
      <c r="I161" s="17"/>
      <c r="J161" s="17"/>
      <c r="K161" s="17"/>
      <c r="L161" s="196">
        <f t="shared" si="51"/>
        <v>0</v>
      </c>
      <c r="M161" s="197">
        <f t="shared" si="37"/>
        <v>0</v>
      </c>
      <c r="N161" s="197">
        <f t="shared" si="38"/>
        <v>0</v>
      </c>
      <c r="O161" s="197">
        <f t="shared" si="43"/>
        <v>0</v>
      </c>
      <c r="P161" s="197">
        <f t="shared" si="44"/>
        <v>0</v>
      </c>
      <c r="Q161" s="198">
        <f t="shared" si="39"/>
        <v>0</v>
      </c>
      <c r="R161" s="198">
        <f t="shared" si="40"/>
        <v>0</v>
      </c>
      <c r="S161" s="199">
        <f t="shared" si="41"/>
        <v>0</v>
      </c>
      <c r="T161" s="199">
        <f t="shared" si="42"/>
        <v>0</v>
      </c>
      <c r="AK161" t="s">
        <v>786</v>
      </c>
      <c r="AL161">
        <v>6</v>
      </c>
      <c r="AM161" s="1">
        <f>2*L181-L180</f>
        <v>44.663713627640391</v>
      </c>
      <c r="AN161" s="1">
        <f>2*M181-M180</f>
        <v>44.663713627640391</v>
      </c>
      <c r="AP161">
        <v>0</v>
      </c>
      <c r="AQ161" s="1">
        <f>Z228</f>
        <v>42.157559721250436</v>
      </c>
      <c r="AR161" s="6">
        <f>AJ255</f>
        <v>44.663713627640391</v>
      </c>
    </row>
    <row r="162" spans="1:44">
      <c r="A162" s="191" t="s">
        <v>806</v>
      </c>
      <c r="B162" s="17">
        <v>-151.55821243</v>
      </c>
      <c r="C162" s="17"/>
      <c r="D162" s="17"/>
      <c r="E162" s="17"/>
      <c r="F162" s="17"/>
      <c r="G162" s="17"/>
      <c r="H162" s="33"/>
      <c r="I162" s="17">
        <v>2.2249999999999999E-2</v>
      </c>
      <c r="J162" s="17">
        <v>2.7557000000000002E-2</v>
      </c>
      <c r="K162" s="17">
        <v>9.5000000000000005E-5</v>
      </c>
      <c r="L162" s="196">
        <f t="shared" si="51"/>
        <v>17.232659910128522</v>
      </c>
      <c r="M162" s="197">
        <f t="shared" si="37"/>
        <v>-95090.223024914521</v>
      </c>
      <c r="N162" s="197">
        <f t="shared" si="38"/>
        <v>-95090.223024914521</v>
      </c>
      <c r="O162" s="197">
        <f t="shared" si="43"/>
        <v>0</v>
      </c>
      <c r="P162" s="197">
        <f t="shared" si="44"/>
        <v>0</v>
      </c>
      <c r="Q162" s="198">
        <f t="shared" si="39"/>
        <v>-95086.892833153441</v>
      </c>
      <c r="R162" s="198">
        <f t="shared" si="40"/>
        <v>-95086.892833153441</v>
      </c>
      <c r="S162" s="199">
        <f t="shared" si="41"/>
        <v>-95104.125493063577</v>
      </c>
      <c r="T162" s="199">
        <f t="shared" si="42"/>
        <v>-95104.125493063577</v>
      </c>
      <c r="AK162" t="s">
        <v>786</v>
      </c>
      <c r="AL162">
        <v>7</v>
      </c>
      <c r="AM162" s="1">
        <f>2*L181-L180</f>
        <v>44.663713627640391</v>
      </c>
      <c r="AN162" s="1">
        <f>2*M181-M180</f>
        <v>44.663713627640391</v>
      </c>
      <c r="AP162">
        <v>1</v>
      </c>
      <c r="AQ162" s="1">
        <f>Z228</f>
        <v>42.157559721250436</v>
      </c>
      <c r="AR162" s="6">
        <f>AJ255</f>
        <v>44.663713627640391</v>
      </c>
    </row>
    <row r="163" spans="1:44">
      <c r="A163" s="191" t="s">
        <v>752</v>
      </c>
      <c r="B163" s="17">
        <v>-151.52752944700001</v>
      </c>
      <c r="C163" s="17"/>
      <c r="D163" s="17"/>
      <c r="E163" s="17"/>
      <c r="F163" s="17"/>
      <c r="G163" s="17"/>
      <c r="H163" s="33">
        <v>2039.62</v>
      </c>
      <c r="I163" s="17">
        <v>1.6847000000000001E-2</v>
      </c>
      <c r="J163" s="17">
        <v>2.1103E-2</v>
      </c>
      <c r="K163" s="17">
        <v>-3.9969999999999997E-3</v>
      </c>
      <c r="L163" s="196">
        <f t="shared" ref="L163:L164" si="52">(J163-K163)*($T$3*$T$4)</f>
        <v>15.750482985369818</v>
      </c>
      <c r="M163" s="197">
        <f t="shared" ref="M163:M164" si="53">(B163+I163)*($T$3*$T$4)</f>
        <v>-95074.359600926007</v>
      </c>
      <c r="N163" s="197">
        <f t="shared" ref="N163:N164" si="54">((((2-0)/(2-D163))*B163+(1-((2-0)/(2-D163)))*C163)+I163)*($T$3*$T$4)</f>
        <v>-95074.359600926007</v>
      </c>
      <c r="O163" s="197">
        <f t="shared" ref="O163:O164" si="55">(E163)</f>
        <v>0</v>
      </c>
      <c r="P163" s="197">
        <f t="shared" ref="P163:P164" si="56">((((2-0)/(2-G163))*E163+(1-((2-0)/(2-G163)))*F163))</f>
        <v>0</v>
      </c>
      <c r="Q163" s="198">
        <f t="shared" ref="Q163:Q164" si="57">(B163+J163)*($T$3*$T$4)</f>
        <v>-95071.688921420602</v>
      </c>
      <c r="R163" s="198">
        <f t="shared" ref="R163:R164" si="58">((((2-0)/(2-D163))*B163+(1-((2-0)/(2-D163)))*C163)+J163)*($T$3*$T$4)</f>
        <v>-95071.688921420602</v>
      </c>
      <c r="S163" s="199">
        <f t="shared" ref="S163:S164" si="59">(B163+K163)*($T$3*$T$4)</f>
        <v>-95087.439404405974</v>
      </c>
      <c r="T163" s="199">
        <f t="shared" ref="T163:T164" si="60">((((2-0)/(2-D163))*B163+(1-((2-0)/(2-D163)))*C163)+K163)*($T$3*$T$4)</f>
        <v>-95087.439404405974</v>
      </c>
      <c r="AK163" t="s">
        <v>801</v>
      </c>
      <c r="AL163">
        <v>8</v>
      </c>
      <c r="AM163" s="1">
        <f>L186-L180</f>
        <v>42.001731400887365</v>
      </c>
      <c r="AN163" s="1">
        <f>M186-M180</f>
        <v>42.001731400887365</v>
      </c>
      <c r="AP163">
        <v>2</v>
      </c>
      <c r="AQ163" s="1">
        <f>Z228</f>
        <v>42.157559721250436</v>
      </c>
      <c r="AR163" s="6">
        <f>AJ255</f>
        <v>44.663713627640391</v>
      </c>
    </row>
    <row r="164" spans="1:44">
      <c r="A164" s="191" t="s">
        <v>832</v>
      </c>
      <c r="B164" s="17">
        <v>-151.558016912</v>
      </c>
      <c r="C164" s="17"/>
      <c r="D164" s="17"/>
      <c r="E164" s="17"/>
      <c r="F164" s="17"/>
      <c r="G164" s="17"/>
      <c r="H164" s="33"/>
      <c r="I164" s="17">
        <v>2.1874000000000001E-2</v>
      </c>
      <c r="J164" s="17">
        <v>2.7470999999999999E-2</v>
      </c>
      <c r="K164" s="17">
        <v>-9.6900000000000003E-4</v>
      </c>
      <c r="L164" s="196">
        <f t="shared" si="52"/>
        <v>17.84636398820389</v>
      </c>
      <c r="M164" s="197">
        <f t="shared" si="53"/>
        <v>-95090.33627904483</v>
      </c>
      <c r="N164" s="197">
        <f t="shared" si="54"/>
        <v>-95090.33627904483</v>
      </c>
      <c r="O164" s="197">
        <f t="shared" si="55"/>
        <v>0</v>
      </c>
      <c r="P164" s="197">
        <f t="shared" si="56"/>
        <v>0</v>
      </c>
      <c r="Q164" s="198">
        <f t="shared" si="57"/>
        <v>-95086.824109591878</v>
      </c>
      <c r="R164" s="198">
        <f t="shared" si="58"/>
        <v>-95086.824109591878</v>
      </c>
      <c r="S164" s="199">
        <f t="shared" si="59"/>
        <v>-95104.670473580074</v>
      </c>
      <c r="T164" s="199">
        <f t="shared" si="60"/>
        <v>-95104.670473580074</v>
      </c>
      <c r="AK164" t="s">
        <v>801</v>
      </c>
      <c r="AL164">
        <v>9</v>
      </c>
      <c r="AM164" s="1">
        <f>L186-L180</f>
        <v>42.001731400887365</v>
      </c>
      <c r="AN164" s="1">
        <f>M186-M180</f>
        <v>42.001731400887365</v>
      </c>
      <c r="AP164">
        <v>3</v>
      </c>
      <c r="AQ164" s="1">
        <f>Z228</f>
        <v>42.157559721250436</v>
      </c>
      <c r="AR164" s="6">
        <f>AJ255</f>
        <v>44.663713627640391</v>
      </c>
    </row>
    <row r="165" spans="1:44">
      <c r="A165" s="191" t="s">
        <v>808</v>
      </c>
      <c r="B165" s="17">
        <v>-679.09094363500003</v>
      </c>
      <c r="C165" s="17">
        <v>-679.09226076799996</v>
      </c>
      <c r="D165" s="17">
        <v>0.98939999999999995</v>
      </c>
      <c r="E165" s="17"/>
      <c r="F165" s="17"/>
      <c r="G165" s="17"/>
      <c r="H165" s="33">
        <v>137</v>
      </c>
      <c r="I165" s="17">
        <v>1.8858E-2</v>
      </c>
      <c r="J165" s="17">
        <v>2.6280999999999999E-2</v>
      </c>
      <c r="K165" s="17">
        <v>-1.1723000000000001E-2</v>
      </c>
      <c r="L165" s="196">
        <f>(J165-K165)*($T$3*$T$4)</f>
        <v>23.847862763983844</v>
      </c>
      <c r="M165" s="197">
        <f>(B165+I165)*($T$3*$T$4)</f>
        <v>-426124.03707703837</v>
      </c>
      <c r="N165" s="197">
        <f>((((2-0)/(2-D165))*B165+(1-((2-0)/(2-D165)))*C165)+I165)*($T$3*$T$4)</f>
        <v>-426123.22790214838</v>
      </c>
      <c r="O165" s="197">
        <f>(E165)</f>
        <v>0</v>
      </c>
      <c r="P165" s="197">
        <f>((((2-0)/(2-G165))*E165+(1-((2-0)/(2-G165)))*F165))</f>
        <v>0</v>
      </c>
      <c r="Q165" s="198">
        <f>(B165+J165)*($T$3*$T$4)</f>
        <v>-426119.37907563598</v>
      </c>
      <c r="R165" s="198">
        <f>((((2-0)/(2-D165))*B165+(1-((2-0)/(2-D165)))*C165)+J165)*($T$3*$T$4)</f>
        <v>-426118.56990074599</v>
      </c>
      <c r="S165" s="199">
        <f>(B165+K165)*($T$3*$T$4)</f>
        <v>-426143.22693839995</v>
      </c>
      <c r="T165" s="199">
        <f>((((2-0)/(2-D165))*B165+(1-((2-0)/(2-D165)))*C165)+K165)*($T$3*$T$4)</f>
        <v>-426142.41776350996</v>
      </c>
      <c r="AP165">
        <v>4</v>
      </c>
      <c r="AQ165" s="1">
        <f>Z228</f>
        <v>42.157559721250436</v>
      </c>
      <c r="AR165" s="6">
        <f>AJ255</f>
        <v>44.663713627640391</v>
      </c>
    </row>
    <row r="166" spans="1:44">
      <c r="A166" s="191" t="s">
        <v>823</v>
      </c>
      <c r="B166" s="17">
        <v>-304.56223970500002</v>
      </c>
      <c r="C166" s="17"/>
      <c r="D166" s="17"/>
      <c r="E166" s="17">
        <v>-14.09</v>
      </c>
      <c r="F166" s="17"/>
      <c r="G166" s="17"/>
      <c r="H166" s="33"/>
      <c r="I166" s="17">
        <v>7.6730000000000007E-2</v>
      </c>
      <c r="J166" s="17">
        <v>8.5619000000000001E-2</v>
      </c>
      <c r="K166" s="17">
        <v>4.8446999999999997E-2</v>
      </c>
      <c r="L166" s="196">
        <f t="shared" ref="L166:L167" si="61">(J166-K166)*($T$3*$T$4)</f>
        <v>23.325775041122188</v>
      </c>
      <c r="M166" s="197">
        <f t="shared" ref="M166:M167" si="62">(B166+I166)*($T$3*$T$4)</f>
        <v>-191067.48366136491</v>
      </c>
      <c r="N166" s="197">
        <f t="shared" ref="N166:N167" si="63">((((2-0)/(2-D166))*B166+(1-((2-0)/(2-D166)))*C166)+I166)*($T$3*$T$4)</f>
        <v>-191067.48366136491</v>
      </c>
      <c r="O166" s="197">
        <f>(E166)</f>
        <v>-14.09</v>
      </c>
      <c r="P166" s="197">
        <f>((((2-0)/(2-G166))*E166+(1-((2-0)/(2-G166)))*F166))</f>
        <v>-14.09</v>
      </c>
      <c r="Q166" s="198">
        <f>(B166+J166)*($T$3*$T$4)</f>
        <v>-191061.90573135467</v>
      </c>
      <c r="R166" s="198">
        <f>((((2-0)/(2-D166))*B166+(1-((2-0)/(2-D166)))*C166)+J166)*($T$3*$T$4)</f>
        <v>-191061.90573135467</v>
      </c>
      <c r="S166" s="199">
        <f>(B166+K166)*($T$3*$T$4)</f>
        <v>-191085.23150639579</v>
      </c>
      <c r="T166" s="199">
        <f>((((2-0)/(2-D166))*B166+(1-((2-0)/(2-D166)))*C166)+K166)*($T$3*$T$4)</f>
        <v>-191085.23150639579</v>
      </c>
      <c r="AP166">
        <v>5</v>
      </c>
      <c r="AQ166" s="1">
        <f>Z228</f>
        <v>42.157559721250436</v>
      </c>
      <c r="AR166" s="6">
        <f>AJ255</f>
        <v>44.663713627640391</v>
      </c>
    </row>
    <row r="167" spans="1:44">
      <c r="A167" s="191" t="s">
        <v>824</v>
      </c>
      <c r="B167" s="17">
        <v>-304.49483698900002</v>
      </c>
      <c r="C167" s="17">
        <v>-304.48722964299998</v>
      </c>
      <c r="D167" s="17">
        <v>0.95320000000000005</v>
      </c>
      <c r="E167" s="17">
        <v>-11.11</v>
      </c>
      <c r="F167" s="17">
        <v>-12.32</v>
      </c>
      <c r="G167" s="17">
        <v>0.95389999999999997</v>
      </c>
      <c r="H167" s="33">
        <v>147.35</v>
      </c>
      <c r="I167" s="17">
        <v>7.0683999999999997E-2</v>
      </c>
      <c r="J167" s="17">
        <v>7.9384999999999997E-2</v>
      </c>
      <c r="K167" s="17">
        <v>4.2777999999999997E-2</v>
      </c>
      <c r="L167" s="196">
        <f t="shared" si="61"/>
        <v>22.971232296630795</v>
      </c>
      <c r="M167" s="197">
        <f t="shared" si="62"/>
        <v>-191028.98175254432</v>
      </c>
      <c r="N167" s="197">
        <f t="shared" si="63"/>
        <v>-191033.32859243147</v>
      </c>
      <c r="O167" s="197">
        <f>(E167)</f>
        <v>-11.11</v>
      </c>
      <c r="P167" s="197">
        <f>((((2-0)/(2-G167))*E167+(1-((2-0)/(2-G167)))*F167))</f>
        <v>-10.006645636172451</v>
      </c>
      <c r="Q167" s="198">
        <f>(B167+J167)*($T$3*$T$4)</f>
        <v>-191023.52179427916</v>
      </c>
      <c r="R167" s="198">
        <f>((((2-0)/(2-D167))*B167+(1-((2-0)/(2-D167)))*C167)+J167)*($T$3*$T$4)</f>
        <v>-191027.86863416631</v>
      </c>
      <c r="S167" s="199">
        <f>(B167+K167)*($T$3*$T$4)</f>
        <v>-191046.4930265758</v>
      </c>
      <c r="T167" s="199">
        <f>((((2-0)/(2-D167))*B167+(1-((2-0)/(2-D167)))*C167)+K167)*($T$3*$T$4)</f>
        <v>-191050.83986646295</v>
      </c>
    </row>
    <row r="168" spans="1:44">
      <c r="A168" s="191" t="s">
        <v>825</v>
      </c>
      <c r="B168" s="17"/>
      <c r="C168" s="17"/>
      <c r="D168" s="17"/>
      <c r="E168" s="17"/>
      <c r="F168" s="17"/>
      <c r="G168" s="17"/>
      <c r="H168" s="33"/>
      <c r="I168" s="17">
        <v>7.0390999999999995E-2</v>
      </c>
      <c r="J168" s="17">
        <v>7.9751000000000002E-2</v>
      </c>
      <c r="K168" s="17">
        <v>4.1362999999999997E-2</v>
      </c>
      <c r="L168" s="196">
        <f t="shared" ref="L168" si="64">(J168-K168)*($T$3*$T$4)</f>
        <v>24.08882632838154</v>
      </c>
      <c r="M168" s="197">
        <f t="shared" ref="M168" si="65">(B168+I168)*($T$3*$T$4)</f>
        <v>44.171005889369191</v>
      </c>
      <c r="N168" s="197">
        <f t="shared" ref="N168" si="66">((((2-0)/(2-D168))*B168+(1-((2-0)/(2-D168)))*C168)+I168)*($T$3*$T$4)</f>
        <v>44.171005889369191</v>
      </c>
      <c r="O168" s="197">
        <f>(E168)</f>
        <v>0</v>
      </c>
      <c r="P168" s="197">
        <f>((((2-0)/(2-G168))*E168+(1-((2-0)/(2-G168)))*F168))</f>
        <v>0</v>
      </c>
      <c r="Q168" s="198">
        <f>(B168+J168)*($T$3*$T$4)</f>
        <v>50.044492771562879</v>
      </c>
      <c r="R168" s="198">
        <f>((((2-0)/(2-D168))*B168+(1-((2-0)/(2-D168)))*C168)+J168)*($T$3*$T$4)</f>
        <v>50.044492771562879</v>
      </c>
      <c r="S168" s="199">
        <f>(B168+K168)*($T$3*$T$4)</f>
        <v>25.955666443181343</v>
      </c>
      <c r="T168" s="199">
        <f>((((2-0)/(2-D168))*B168+(1-((2-0)/(2-D168)))*C168)+K168)*($T$3*$T$4)</f>
        <v>25.955666443181343</v>
      </c>
      <c r="AJ168" s="1"/>
    </row>
    <row r="169" spans="1:44">
      <c r="A169" s="191" t="s">
        <v>826</v>
      </c>
      <c r="B169" s="17">
        <v>-304.56715001600003</v>
      </c>
      <c r="C169" s="17"/>
      <c r="D169" s="17"/>
      <c r="E169" s="17">
        <v>-15.33</v>
      </c>
      <c r="F169" s="17"/>
      <c r="G169" s="17"/>
      <c r="H169" s="33"/>
      <c r="I169" s="17">
        <v>7.639E-2</v>
      </c>
      <c r="J169" s="17">
        <v>8.5264999999999994E-2</v>
      </c>
      <c r="K169" s="17">
        <v>4.8057000000000002E-2</v>
      </c>
      <c r="L169" s="196">
        <f t="shared" ref="L169:L171" si="67">(J169-K169)*($T$3*$T$4)</f>
        <v>23.348365375284462</v>
      </c>
      <c r="M169" s="197">
        <f t="shared" ref="M169:M171" si="68">(B169+I169)*($T$3*$T$4)</f>
        <v>-191070.7782802523</v>
      </c>
      <c r="N169" s="197">
        <f t="shared" ref="N169:N171" si="69">((((2-0)/(2-D169))*B169+(1-((2-0)/(2-D169)))*C169)+I169)*($T$3*$T$4)</f>
        <v>-191070.7782802523</v>
      </c>
      <c r="O169" s="197">
        <f t="shared" ref="O169:O171" si="70">(E169)</f>
        <v>-15.33</v>
      </c>
      <c r="P169" s="197">
        <f t="shared" ref="P169:P171" si="71">((((2-0)/(2-G169))*E169+(1-((2-0)/(2-G169)))*F169))</f>
        <v>-15.33</v>
      </c>
      <c r="Q169" s="198">
        <f t="shared" ref="Q169:Q171" si="72">(B169+J169)*($T$3*$T$4)</f>
        <v>-191065.20913537202</v>
      </c>
      <c r="R169" s="198">
        <f t="shared" ref="R169:R171" si="73">((((2-0)/(2-D169))*B169+(1-((2-0)/(2-D169)))*C169)+J169)*($T$3*$T$4)</f>
        <v>-191065.20913537202</v>
      </c>
      <c r="S169" s="199">
        <f t="shared" ref="S169:S171" si="74">(B169+K169)*($T$3*$T$4)</f>
        <v>-191088.55750074732</v>
      </c>
      <c r="T169" s="199">
        <f t="shared" ref="T169:T171" si="75">((((2-0)/(2-D169))*B169+(1-((2-0)/(2-D169)))*C169)+K169)*($T$3*$T$4)</f>
        <v>-191088.55750074732</v>
      </c>
      <c r="AJ169" s="1"/>
    </row>
    <row r="170" spans="1:44">
      <c r="A170" s="191" t="s">
        <v>827</v>
      </c>
      <c r="B170" s="17">
        <v>-304.49675499300002</v>
      </c>
      <c r="C170" s="17">
        <v>-304.49473853900002</v>
      </c>
      <c r="D170" s="17">
        <v>0.91949999999999998</v>
      </c>
      <c r="E170" s="17">
        <v>-11.11</v>
      </c>
      <c r="F170" s="17">
        <v>-11.45</v>
      </c>
      <c r="G170" s="17">
        <v>0.92110000000000003</v>
      </c>
      <c r="H170" s="33">
        <v>369.4</v>
      </c>
      <c r="I170" s="17">
        <v>6.9829000000000002E-2</v>
      </c>
      <c r="J170" s="17">
        <v>7.8931000000000001E-2</v>
      </c>
      <c r="K170" s="17">
        <v>4.0931000000000002E-2</v>
      </c>
      <c r="L170" s="196">
        <f t="shared" si="67"/>
        <v>23.845352726854703</v>
      </c>
      <c r="M170" s="197">
        <f t="shared" si="68"/>
        <v>-191030.72183829415</v>
      </c>
      <c r="N170" s="197">
        <f t="shared" si="69"/>
        <v>-191031.79863925881</v>
      </c>
      <c r="O170" s="197">
        <f t="shared" si="70"/>
        <v>-11.11</v>
      </c>
      <c r="P170" s="197">
        <f t="shared" si="71"/>
        <v>-10.819728427101678</v>
      </c>
      <c r="Q170" s="198">
        <f t="shared" si="72"/>
        <v>-191025.01024880679</v>
      </c>
      <c r="R170" s="198">
        <f t="shared" si="73"/>
        <v>-191026.08704977145</v>
      </c>
      <c r="S170" s="199">
        <f t="shared" si="74"/>
        <v>-191048.85560153367</v>
      </c>
      <c r="T170" s="199">
        <f t="shared" si="75"/>
        <v>-191049.93240249832</v>
      </c>
    </row>
    <row r="171" spans="1:44">
      <c r="A171" s="191" t="s">
        <v>828</v>
      </c>
      <c r="B171" s="17"/>
      <c r="C171" s="17"/>
      <c r="D171" s="17"/>
      <c r="E171" s="17"/>
      <c r="F171" s="17"/>
      <c r="G171" s="17"/>
      <c r="H171" s="33"/>
      <c r="I171" s="17"/>
      <c r="J171" s="17"/>
      <c r="K171" s="17"/>
      <c r="L171" s="196">
        <f t="shared" si="67"/>
        <v>0</v>
      </c>
      <c r="M171" s="197">
        <f t="shared" si="68"/>
        <v>0</v>
      </c>
      <c r="N171" s="197">
        <f t="shared" si="69"/>
        <v>0</v>
      </c>
      <c r="O171" s="197">
        <f t="shared" si="70"/>
        <v>0</v>
      </c>
      <c r="P171" s="197">
        <f t="shared" si="71"/>
        <v>0</v>
      </c>
      <c r="Q171" s="198">
        <f t="shared" si="72"/>
        <v>0</v>
      </c>
      <c r="R171" s="198">
        <f t="shared" si="73"/>
        <v>0</v>
      </c>
      <c r="S171" s="199">
        <f t="shared" si="74"/>
        <v>0</v>
      </c>
      <c r="T171" s="199">
        <f t="shared" si="75"/>
        <v>0</v>
      </c>
      <c r="Y171" s="1"/>
      <c r="Z171" s="1"/>
    </row>
    <row r="172" spans="1:44">
      <c r="A172" s="191" t="s">
        <v>829</v>
      </c>
      <c r="B172" s="17">
        <v>-304.00155814300001</v>
      </c>
      <c r="C172" s="17"/>
      <c r="D172" s="17"/>
      <c r="E172" s="17">
        <v>-71.53</v>
      </c>
      <c r="F172" s="17"/>
      <c r="G172" s="17"/>
      <c r="H172" s="33"/>
      <c r="I172" s="17">
        <v>6.2162000000000002E-2</v>
      </c>
      <c r="J172" s="17">
        <v>7.0569999999999994E-2</v>
      </c>
      <c r="K172" s="17">
        <v>3.3999000000000001E-2</v>
      </c>
      <c r="L172" s="196">
        <f t="shared" ref="L172:L174" si="76">(J172-K172)*($T$3*$T$4)</f>
        <v>22.948641962468503</v>
      </c>
      <c r="M172" s="197">
        <f t="shared" ref="M172:M174" si="77">(B172+I172)*($T$3*$T$4)</f>
        <v>-190724.79233202784</v>
      </c>
      <c r="N172" s="197">
        <f t="shared" ref="N172:N174" si="78">((((2-0)/(2-D172))*B172+(1-((2-0)/(2-D172)))*C172)+I172)*($T$3*$T$4)</f>
        <v>-190724.79233202784</v>
      </c>
      <c r="O172" s="197">
        <f t="shared" ref="O172:O174" si="79">(E172)</f>
        <v>-71.53</v>
      </c>
      <c r="P172" s="197">
        <f t="shared" ref="P172:P174" si="80">((((2-0)/(2-G172))*E172+(1-((2-0)/(2-G172)))*F172))</f>
        <v>-71.53</v>
      </c>
      <c r="Q172" s="198">
        <f t="shared" ref="Q172:Q174" si="81">(B172+J172)*($T$3*$T$4)</f>
        <v>-190719.51623398237</v>
      </c>
      <c r="R172" s="198">
        <f t="shared" ref="R172:R174" si="82">((((2-0)/(2-D172))*B172+(1-((2-0)/(2-D172)))*C172)+J172)*($T$3*$T$4)</f>
        <v>-190719.51623398237</v>
      </c>
      <c r="S172" s="199">
        <f t="shared" ref="S172:S174" si="83">(B172+K172)*($T$3*$T$4)</f>
        <v>-190742.46487594483</v>
      </c>
      <c r="T172" s="199">
        <f t="shared" ref="T172:T174" si="84">((((2-0)/(2-D172))*B172+(1-((2-0)/(2-D172)))*C172)+K172)*($T$3*$T$4)</f>
        <v>-190742.46487594483</v>
      </c>
      <c r="Y172" s="1"/>
      <c r="Z172" s="1"/>
    </row>
    <row r="173" spans="1:44">
      <c r="A173" s="191" t="s">
        <v>831</v>
      </c>
      <c r="B173" s="17">
        <v>-303.94527047100001</v>
      </c>
      <c r="C173" s="17">
        <v>-303.95004474299998</v>
      </c>
      <c r="D173" s="17">
        <v>0.9345</v>
      </c>
      <c r="E173" s="17">
        <v>-61.99</v>
      </c>
      <c r="F173" s="17">
        <v>-62.05</v>
      </c>
      <c r="G173" s="17">
        <v>0.9254</v>
      </c>
      <c r="H173" s="33">
        <v>380.28</v>
      </c>
      <c r="I173" s="17">
        <v>5.8977000000000002E-2</v>
      </c>
      <c r="J173" s="17">
        <v>6.7360000000000003E-2</v>
      </c>
      <c r="K173" s="17">
        <v>3.1109000000000001E-2</v>
      </c>
      <c r="L173" s="196">
        <f t="shared" si="76"/>
        <v>22.747838992137105</v>
      </c>
      <c r="M173" s="197">
        <f t="shared" si="77"/>
        <v>-190691.46991243365</v>
      </c>
      <c r="N173" s="197">
        <f t="shared" si="78"/>
        <v>-190688.84234927417</v>
      </c>
      <c r="O173" s="197">
        <f t="shared" si="79"/>
        <v>-61.99</v>
      </c>
      <c r="P173" s="197">
        <f t="shared" si="80"/>
        <v>-61.938330541596876</v>
      </c>
      <c r="Q173" s="198">
        <f t="shared" si="81"/>
        <v>-190686.20950212024</v>
      </c>
      <c r="R173" s="198">
        <f t="shared" si="82"/>
        <v>-190683.58193896079</v>
      </c>
      <c r="S173" s="199">
        <f t="shared" si="83"/>
        <v>-190708.95734111237</v>
      </c>
      <c r="T173" s="199">
        <f t="shared" si="84"/>
        <v>-190706.32977795292</v>
      </c>
      <c r="Y173" s="1"/>
      <c r="Z173" s="1"/>
    </row>
    <row r="174" spans="1:44">
      <c r="A174" s="191" t="s">
        <v>830</v>
      </c>
      <c r="B174" s="17"/>
      <c r="C174" s="17"/>
      <c r="D174" s="17"/>
      <c r="E174" s="17"/>
      <c r="F174" s="17"/>
      <c r="G174" s="17"/>
      <c r="H174" s="33"/>
      <c r="I174" s="17">
        <v>5.8804000000000002E-2</v>
      </c>
      <c r="J174" s="17">
        <v>6.7357E-2</v>
      </c>
      <c r="K174" s="17">
        <v>3.0013000000000001E-2</v>
      </c>
      <c r="L174" s="196">
        <f t="shared" si="76"/>
        <v>23.433706637675318</v>
      </c>
      <c r="M174" s="197">
        <f t="shared" si="77"/>
        <v>36.900055835525372</v>
      </c>
      <c r="N174" s="197">
        <f t="shared" si="78"/>
        <v>36.900055835525372</v>
      </c>
      <c r="O174" s="197">
        <f t="shared" si="79"/>
        <v>0</v>
      </c>
      <c r="P174" s="197">
        <f t="shared" si="80"/>
        <v>0</v>
      </c>
      <c r="Q174" s="198">
        <f t="shared" si="81"/>
        <v>42.267142726914535</v>
      </c>
      <c r="R174" s="198">
        <f t="shared" si="82"/>
        <v>42.267142726914535</v>
      </c>
      <c r="S174" s="199">
        <f t="shared" si="83"/>
        <v>18.833436089239218</v>
      </c>
      <c r="T174" s="199">
        <f t="shared" si="84"/>
        <v>18.833436089239218</v>
      </c>
      <c r="W174" s="1"/>
      <c r="Y174" s="1"/>
      <c r="Z174" s="1"/>
    </row>
    <row r="175" spans="1:44">
      <c r="Y175" s="1"/>
      <c r="Z175" s="1"/>
      <c r="AC175" s="1"/>
      <c r="AD175" s="1"/>
    </row>
    <row r="176" spans="1:44">
      <c r="Y176" s="1"/>
      <c r="Z176" s="1"/>
    </row>
    <row r="177" spans="1:38">
      <c r="Y177" s="1"/>
      <c r="Z177" s="1"/>
    </row>
    <row r="178" spans="1:38">
      <c r="A178" s="15" t="s">
        <v>835</v>
      </c>
      <c r="B178" s="15"/>
      <c r="C178" s="15"/>
      <c r="D178" s="15"/>
      <c r="E178" s="15"/>
      <c r="F178" s="15"/>
      <c r="G178" s="15"/>
    </row>
    <row r="179" spans="1:38" ht="60">
      <c r="A179" s="178" t="s">
        <v>525</v>
      </c>
      <c r="B179" s="190" t="s">
        <v>710</v>
      </c>
      <c r="C179" s="190" t="s">
        <v>711</v>
      </c>
      <c r="D179" s="178" t="s">
        <v>712</v>
      </c>
      <c r="E179" s="190" t="s">
        <v>532</v>
      </c>
      <c r="F179" s="190" t="s">
        <v>527</v>
      </c>
      <c r="G179" s="190" t="s">
        <v>528</v>
      </c>
      <c r="H179" s="190" t="s">
        <v>529</v>
      </c>
      <c r="I179" s="190" t="s">
        <v>542</v>
      </c>
      <c r="J179" s="212" t="s">
        <v>844</v>
      </c>
      <c r="K179" s="212" t="s">
        <v>845</v>
      </c>
      <c r="L179" s="202" t="s">
        <v>691</v>
      </c>
      <c r="M179" s="202" t="s">
        <v>695</v>
      </c>
      <c r="N179" s="203" t="s">
        <v>694</v>
      </c>
      <c r="O179" s="203" t="s">
        <v>696</v>
      </c>
      <c r="P179" s="204" t="s">
        <v>692</v>
      </c>
      <c r="Q179" s="204" t="s">
        <v>693</v>
      </c>
    </row>
    <row r="180" spans="1:38">
      <c r="A180" s="191" t="s">
        <v>175</v>
      </c>
      <c r="B180" s="17">
        <v>-151.61319538000001</v>
      </c>
      <c r="C180" s="17"/>
      <c r="D180" s="17"/>
      <c r="E180" s="33"/>
      <c r="F180" s="17">
        <v>2.6237E-2</v>
      </c>
      <c r="G180" s="17">
        <v>3.0397E-2</v>
      </c>
      <c r="H180" s="17">
        <v>6.9740000000000002E-3</v>
      </c>
      <c r="I180" s="196">
        <f t="shared" ref="I180:I191" si="85">(G180-H180)*($T$3*$T$4)</f>
        <v>14.698149918976782</v>
      </c>
      <c r="J180" s="213">
        <f>(B180)*($T$3*$T$4)</f>
        <v>-95138.68741793785</v>
      </c>
      <c r="K180" s="213">
        <f>((((2-0)/(2-D180))*B180+(1-((2-0)/(2-D180)))*C180))*($T$3*$T$4)</f>
        <v>-95138.68741793785</v>
      </c>
      <c r="L180" s="197">
        <f>(B180+F180)*($T$3*$T$4)</f>
        <v>-95122.223456898515</v>
      </c>
      <c r="M180" s="197">
        <f>((((2-0)/(2-D180))*B180+(1-((2-0)/(2-D180)))*C180)+F180)*($T$3*$T$4)</f>
        <v>-95122.223456898515</v>
      </c>
      <c r="N180" s="198">
        <f>(B180+G180)*($T$3*$T$4)</f>
        <v>-95119.613018284217</v>
      </c>
      <c r="O180" s="198">
        <f>((((2-0)/(2-D180))*B180+(1-((2-0)/(2-D180)))*C180)+G180)*($T$3*$T$4)</f>
        <v>-95119.613018284217</v>
      </c>
      <c r="P180" s="199">
        <f>(B180+H180)*($T$3*$T$4)</f>
        <v>-95134.311168203174</v>
      </c>
      <c r="Q180" s="199">
        <f>((((2-0)/(2-D180))*B180+(1-((2-0)/(2-D180)))*C180)+H180)*($T$3*$T$4)</f>
        <v>-95134.311168203174</v>
      </c>
      <c r="AC180" s="6"/>
      <c r="AK180" s="18"/>
    </row>
    <row r="181" spans="1:38">
      <c r="A181" s="191" t="s">
        <v>715</v>
      </c>
      <c r="B181" s="17">
        <v>-75.766244099999994</v>
      </c>
      <c r="C181" s="17"/>
      <c r="D181" s="17"/>
      <c r="E181" s="33"/>
      <c r="F181" s="17">
        <v>8.3529999999999993E-3</v>
      </c>
      <c r="G181" s="17">
        <v>1.1658E-2</v>
      </c>
      <c r="H181" s="17">
        <v>-5.5529999999999998E-3</v>
      </c>
      <c r="I181" s="196">
        <f t="shared" si="85"/>
        <v>10.800062257418324</v>
      </c>
      <c r="J181" s="213">
        <f t="shared" ref="J181:J199" si="86">(B181)*($T$3*$T$4)</f>
        <v>-47544.021456670365</v>
      </c>
      <c r="K181" s="213">
        <f t="shared" ref="K181:K199" si="87">((((2-0)/(2-D181))*B181+(1-((2-0)/(2-D181)))*C181))*($T$3*$T$4)</f>
        <v>-47544.021456670365</v>
      </c>
      <c r="L181" s="197">
        <f>(B181+F181)*($T$3*$T$4)</f>
        <v>-47538.779871635437</v>
      </c>
      <c r="M181" s="197">
        <f>((((2-0)/(2-D181))*B181+(1-((2-0)/(2-D181)))*C181)+F181)*($T$3*$T$4)</f>
        <v>-47538.779871635437</v>
      </c>
      <c r="N181" s="198">
        <f>(B181+G181)*($T$3*$T$4)</f>
        <v>-47536.705953457487</v>
      </c>
      <c r="O181" s="198">
        <f>((((2-0)/(2-D181))*B181+(1-((2-0)/(2-D181)))*C181)+G181)*($T$3*$T$4)</f>
        <v>-47536.705953457487</v>
      </c>
      <c r="P181" s="199">
        <f>(B181+H181)*($T$3*$T$4)</f>
        <v>-47547.506015714906</v>
      </c>
      <c r="Q181" s="199">
        <f>((((2-0)/(2-D181))*B181+(1-((2-0)/(2-D181)))*C181)+H181)*($T$3*$T$4)</f>
        <v>-47547.506015714906</v>
      </c>
    </row>
    <row r="182" spans="1:38">
      <c r="A182" s="191" t="s">
        <v>482</v>
      </c>
      <c r="B182" s="17">
        <v>-76.464512740000004</v>
      </c>
      <c r="C182" s="17"/>
      <c r="D182" s="17"/>
      <c r="E182" s="33"/>
      <c r="F182" s="17">
        <v>2.1045000000000001E-2</v>
      </c>
      <c r="G182" s="17">
        <v>2.4825E-2</v>
      </c>
      <c r="H182" s="17">
        <v>5.7689999999999998E-3</v>
      </c>
      <c r="I182" s="196">
        <f t="shared" si="85"/>
        <v>11.957816883235349</v>
      </c>
      <c r="J182" s="213">
        <f t="shared" si="86"/>
        <v>-47982.191509799348</v>
      </c>
      <c r="K182" s="213">
        <f t="shared" si="87"/>
        <v>-47982.191509799348</v>
      </c>
      <c r="L182" s="197">
        <f>(B182+F182)*($T$3*$T$4)</f>
        <v>-47968.985576953652</v>
      </c>
      <c r="M182" s="197">
        <f>((((2-0)/(2-D182))*B182+(1-((2-0)/(2-D182)))*C182)+F182)*($T$3*$T$4)</f>
        <v>-47968.985576953652</v>
      </c>
      <c r="N182" s="198">
        <f>(B182+G182)*($T$3*$T$4)</f>
        <v>-47966.613591866604</v>
      </c>
      <c r="O182" s="198">
        <f>((((2-0)/(2-D182))*B182+(1-((2-0)/(2-D182)))*C182)+G182)*($T$3*$T$4)</f>
        <v>-47966.613591866604</v>
      </c>
      <c r="P182" s="199">
        <f>(B182+H182)*($T$3*$T$4)</f>
        <v>-47978.571408749842</v>
      </c>
      <c r="Q182" s="199">
        <f>((((2-0)/(2-D182))*B182+(1-((2-0)/(2-D182)))*C182)+H182)*($T$3*$T$4)</f>
        <v>-47978.571408749842</v>
      </c>
    </row>
    <row r="183" spans="1:38">
      <c r="A183" s="191" t="s">
        <v>768</v>
      </c>
      <c r="B183" s="17">
        <v>-75.090913009999994</v>
      </c>
      <c r="C183" s="17"/>
      <c r="D183" s="17"/>
      <c r="E183" s="33"/>
      <c r="F183" s="17">
        <v>0</v>
      </c>
      <c r="G183" s="17">
        <v>2.3600000000000001E-3</v>
      </c>
      <c r="H183" s="17">
        <v>-1.1932999999999999E-2</v>
      </c>
      <c r="I183" s="196">
        <f t="shared" si="85"/>
        <v>8.9689901717087963</v>
      </c>
      <c r="J183" s="213">
        <f t="shared" si="86"/>
        <v>-47120.244929079279</v>
      </c>
      <c r="K183" s="213">
        <f t="shared" si="87"/>
        <v>-47120.244929079279</v>
      </c>
      <c r="L183" s="197">
        <f>(B183+F183)*($T$3*$T$4)</f>
        <v>-47120.244929079279</v>
      </c>
      <c r="M183" s="197">
        <f>((((2-0)/(2-D183))*B183+(1-((2-0)/(2-D183)))*C183)+F183)*($T$3*$T$4)</f>
        <v>-47120.244929079279</v>
      </c>
      <c r="N183" s="198">
        <f>(B183+G183)*($T$3*$T$4)</f>
        <v>-47118.764007173093</v>
      </c>
      <c r="O183" s="198">
        <f>((((2-0)/(2-D183))*B183+(1-((2-0)/(2-D183)))*C183)+G183)*($T$3*$T$4)</f>
        <v>-47118.764007173093</v>
      </c>
      <c r="P183" s="199">
        <f>(B183+H183)*($T$3*$T$4)</f>
        <v>-47127.7329973448</v>
      </c>
      <c r="Q183" s="199">
        <f>((((2-0)/(2-D183))*B183+(1-((2-0)/(2-D183)))*C183)+H183)*($T$3*$T$4)</f>
        <v>-47127.7329973448</v>
      </c>
      <c r="AL183" s="6"/>
    </row>
    <row r="184" spans="1:38">
      <c r="A184" s="191"/>
      <c r="B184" s="17"/>
      <c r="C184" s="17"/>
      <c r="D184" s="17"/>
      <c r="E184" s="33"/>
      <c r="F184" s="17"/>
      <c r="G184" s="17"/>
      <c r="H184" s="17"/>
      <c r="I184" s="196">
        <f t="shared" ref="I184" si="88">(G184-H184)*($T$3*$T$4)</f>
        <v>0</v>
      </c>
      <c r="J184" s="213">
        <f t="shared" si="86"/>
        <v>0</v>
      </c>
      <c r="K184" s="213">
        <f t="shared" si="87"/>
        <v>0</v>
      </c>
      <c r="L184" s="197">
        <f>(B184+F184)*($T$3*$T$4)</f>
        <v>0</v>
      </c>
      <c r="M184" s="197">
        <f>((((2-0)/(2-D184))*B184+(1-((2-0)/(2-D184)))*C184)+F184)*($T$3*$T$4)</f>
        <v>0</v>
      </c>
      <c r="N184" s="198">
        <f>(B184+G184)*($T$3*$T$4)</f>
        <v>0</v>
      </c>
      <c r="O184" s="198">
        <f>((((2-0)/(2-D184))*B184+(1-((2-0)/(2-D184)))*C184)+G184)*($T$3*$T$4)</f>
        <v>0</v>
      </c>
      <c r="P184" s="199">
        <f>(B184+H184)*($T$3*$T$4)</f>
        <v>0</v>
      </c>
      <c r="Q184" s="199">
        <f>((((2-0)/(2-D184))*B184+(1-((2-0)/(2-D184)))*C184)+H184)*($T$3*$T$4)</f>
        <v>0</v>
      </c>
    </row>
    <row r="185" spans="1:38">
      <c r="A185" s="191" t="s">
        <v>836</v>
      </c>
      <c r="B185" s="17">
        <v>-151.53851868999999</v>
      </c>
      <c r="C185" s="17">
        <v>-151.53820861</v>
      </c>
      <c r="D185" s="17">
        <v>1.0052000000000001</v>
      </c>
      <c r="E185" s="33"/>
      <c r="F185" s="17">
        <v>1.9056E-2</v>
      </c>
      <c r="G185" s="17">
        <v>2.4662E-2</v>
      </c>
      <c r="H185" s="17">
        <v>-2.3189999999999999E-3</v>
      </c>
      <c r="I185" s="196">
        <f>(G185-H185)*($T$3*$T$4)</f>
        <v>16.930827945349122</v>
      </c>
      <c r="J185" s="213">
        <f t="shared" si="86"/>
        <v>-95091.827101792471</v>
      </c>
      <c r="K185" s="213">
        <f t="shared" si="87"/>
        <v>-95092.023714060502</v>
      </c>
      <c r="L185" s="197">
        <f>(B185+F185)*($T$3*$T$4)</f>
        <v>-95079.869284909233</v>
      </c>
      <c r="M185" s="197">
        <f>((((2-0)/(2-D185))*B185+(1-((2-0)/(2-D185)))*C185)+F185)*($T$3*$T$4)</f>
        <v>-95080.065897177265</v>
      </c>
      <c r="N185" s="198">
        <f>(B185+G185)*($T$3*$T$4)</f>
        <v>-95076.351467872737</v>
      </c>
      <c r="O185" s="198">
        <f>((((2-0)/(2-D185))*B185+(1-((2-0)/(2-D185)))*C185)+G185)*($T$3*$T$4)</f>
        <v>-95076.548080140783</v>
      </c>
      <c r="P185" s="199">
        <f>(B185+H185)*($T$3*$T$4)</f>
        <v>-95093.282295818091</v>
      </c>
      <c r="Q185" s="199">
        <f>((((2-0)/(2-D185))*B185+(1-((2-0)/(2-D185)))*C185)+H185)*($T$3*$T$4)</f>
        <v>-95093.478908086123</v>
      </c>
    </row>
    <row r="186" spans="1:38">
      <c r="A186" s="191" t="s">
        <v>837</v>
      </c>
      <c r="B186" s="17">
        <v>-151.53865633999999</v>
      </c>
      <c r="C186" s="17"/>
      <c r="D186" s="17"/>
      <c r="E186" s="33"/>
      <c r="F186" s="17">
        <v>1.8631999999999999E-2</v>
      </c>
      <c r="G186" s="17">
        <v>2.4471E-2</v>
      </c>
      <c r="H186" s="17">
        <v>-4.0720000000000001E-3</v>
      </c>
      <c r="I186" s="196">
        <f>(G186-H186)*($T$3*$T$4)</f>
        <v>17.91099744427931</v>
      </c>
      <c r="J186" s="213">
        <f t="shared" si="86"/>
        <v>-95091.913478445174</v>
      </c>
      <c r="K186" s="213">
        <f t="shared" si="87"/>
        <v>-95091.913478445174</v>
      </c>
      <c r="L186" s="197">
        <f>(B186+F186)*($T$3*$T$4)</f>
        <v>-95080.221725497628</v>
      </c>
      <c r="M186" s="197">
        <f>((((2-0)/(2-D186))*B186+(1-((2-0)/(2-D186)))*C186)+F186)*($T$3*$T$4)</f>
        <v>-95080.221725497628</v>
      </c>
      <c r="N186" s="198">
        <f>(B186+G186)*($T$3*$T$4)</f>
        <v>-95076.557698798351</v>
      </c>
      <c r="O186" s="198">
        <f>((((2-0)/(2-D186))*B186+(1-((2-0)/(2-D186)))*C186)+G186)*($T$3*$T$4)</f>
        <v>-95076.557698798351</v>
      </c>
      <c r="P186" s="199">
        <f>(B186+H186)*($T$3*$T$4)</f>
        <v>-95094.468696242649</v>
      </c>
      <c r="Q186" s="199">
        <f>((((2-0)/(2-D186))*B186+(1-((2-0)/(2-D186)))*C186)+H186)*($T$3*$T$4)</f>
        <v>-95094.468696242649</v>
      </c>
    </row>
    <row r="187" spans="1:38">
      <c r="A187" s="191"/>
      <c r="B187" s="17"/>
      <c r="C187" s="17"/>
      <c r="D187" s="17"/>
      <c r="E187" s="33"/>
      <c r="F187" s="17"/>
      <c r="G187" s="17"/>
      <c r="H187" s="17"/>
      <c r="I187" s="196">
        <f>(G187-H187)*($T$3*$T$4)</f>
        <v>0</v>
      </c>
      <c r="J187" s="213">
        <f t="shared" si="86"/>
        <v>0</v>
      </c>
      <c r="K187" s="213">
        <f t="shared" si="87"/>
        <v>0</v>
      </c>
      <c r="L187" s="197">
        <f>(B187+F187)*($T$3*$T$4)</f>
        <v>0</v>
      </c>
      <c r="M187" s="197">
        <f>((((2-0)/(2-D187))*B187+(1-((2-0)/(2-D187)))*C187)+F187)*($T$3*$T$4)</f>
        <v>0</v>
      </c>
      <c r="N187" s="198">
        <f>(B187+G187)*($T$3*$T$4)</f>
        <v>0</v>
      </c>
      <c r="O187" s="198">
        <f>((((2-0)/(2-D187))*B187+(1-((2-0)/(2-D187)))*C187)+G187)*($T$3*$T$4)</f>
        <v>0</v>
      </c>
      <c r="P187" s="199">
        <f>(B187+H187)*($T$3*$T$4)</f>
        <v>0</v>
      </c>
      <c r="Q187" s="199">
        <f>((((2-0)/(2-D187))*B187+(1-((2-0)/(2-D187)))*C187)+H187)*($T$3*$T$4)</f>
        <v>0</v>
      </c>
    </row>
    <row r="188" spans="1:38">
      <c r="A188" s="191" t="s">
        <v>789</v>
      </c>
      <c r="B188" s="194">
        <v>-151.53736918000001</v>
      </c>
      <c r="C188" s="17">
        <v>-151.53818158999999</v>
      </c>
      <c r="D188" s="17">
        <v>0.99119999999999997</v>
      </c>
      <c r="E188" s="33">
        <v>217.52</v>
      </c>
      <c r="F188" s="17">
        <v>1.8324E-2</v>
      </c>
      <c r="G188" s="17">
        <v>2.3525000000000001E-2</v>
      </c>
      <c r="H188" s="17">
        <v>-2.7539999999999999E-3</v>
      </c>
      <c r="I188" s="196">
        <f>(G188-H188)*($T$3*$T$4)</f>
        <v>16.490316429184599</v>
      </c>
      <c r="J188" s="213">
        <f t="shared" si="86"/>
        <v>-95091.105773597403</v>
      </c>
      <c r="K188" s="213">
        <f t="shared" si="87"/>
        <v>-95090.604872901895</v>
      </c>
      <c r="L188" s="197">
        <f>(B188+F188)*($T$3*$T$4)</f>
        <v>-95079.607293508801</v>
      </c>
      <c r="M188" s="197">
        <f>((((2-0)/(2-D188))*B188+(1-((2-0)/(2-D188)))*C188)+F188)*($T$3*$T$4)</f>
        <v>-95079.106392813293</v>
      </c>
      <c r="N188" s="198">
        <f>(B188+G188)*($T$3*$T$4)</f>
        <v>-95076.343617731633</v>
      </c>
      <c r="O188" s="198">
        <f>((((2-0)/(2-D188))*B188+(1-((2-0)/(2-D188)))*C188)+G188)*($T$3*$T$4)</f>
        <v>-95075.842717036125</v>
      </c>
      <c r="P188" s="199">
        <f>(B188+H188)*($T$3*$T$4)</f>
        <v>-95092.833934160823</v>
      </c>
      <c r="Q188" s="199">
        <f>((((2-0)/(2-D188))*B188+(1-((2-0)/(2-D188)))*C188)+H188)*($T$3*$T$4)</f>
        <v>-95092.333033465329</v>
      </c>
    </row>
    <row r="189" spans="1:38">
      <c r="A189" s="191" t="s">
        <v>790</v>
      </c>
      <c r="B189" s="17">
        <v>-151.53848395</v>
      </c>
      <c r="C189" s="17"/>
      <c r="D189" s="17"/>
      <c r="E189" s="33">
        <v>145.66</v>
      </c>
      <c r="F189" s="17">
        <v>1.8526000000000001E-2</v>
      </c>
      <c r="G189" s="17">
        <v>2.3501999999999999E-2</v>
      </c>
      <c r="H189" s="17">
        <v>-3.235E-3</v>
      </c>
      <c r="I189" s="196">
        <f>(G189-H189)*($T$3*$T$4)</f>
        <v>16.777715680471424</v>
      </c>
      <c r="J189" s="213">
        <f t="shared" si="86"/>
        <v>-95091.805302120003</v>
      </c>
      <c r="K189" s="213">
        <f t="shared" si="87"/>
        <v>-95091.805302120003</v>
      </c>
      <c r="L189" s="197">
        <f>(B189+F189)*($T$3*$T$4)</f>
        <v>-95080.180065156383</v>
      </c>
      <c r="M189" s="197">
        <f>((((2-0)/(2-D189))*B189+(1-((2-0)/(2-D189)))*C189)+F189)*($T$3*$T$4)</f>
        <v>-95080.180065156383</v>
      </c>
      <c r="N189" s="198">
        <f>(B189+G189)*($T$3*$T$4)</f>
        <v>-95077.057578967724</v>
      </c>
      <c r="O189" s="198">
        <f>((((2-0)/(2-D189))*B189+(1-((2-0)/(2-D189)))*C189)+G189)*($T$3*$T$4)</f>
        <v>-95077.057578967724</v>
      </c>
      <c r="P189" s="199">
        <f>(B189+H189)*($T$3*$T$4)</f>
        <v>-95093.83529464819</v>
      </c>
      <c r="Q189" s="199">
        <f>((((2-0)/(2-D189))*B189+(1-((2-0)/(2-D189)))*C189)+H189)*($T$3*$T$4)</f>
        <v>-95093.83529464819</v>
      </c>
    </row>
    <row r="190" spans="1:38">
      <c r="A190" s="191" t="s">
        <v>793</v>
      </c>
      <c r="B190" s="17">
        <v>-151.54459338999999</v>
      </c>
      <c r="C190" s="17"/>
      <c r="D190" s="17"/>
      <c r="E190" s="33"/>
      <c r="F190" s="17">
        <v>2.2603999999999999E-2</v>
      </c>
      <c r="G190" s="17">
        <v>2.6983E-2</v>
      </c>
      <c r="H190" s="17">
        <v>2.4120000000000001E-3</v>
      </c>
      <c r="I190" s="196">
        <f>(G190-H190)*($T$3*$T$4)</f>
        <v>15.418530575040709</v>
      </c>
      <c r="J190" s="213">
        <f t="shared" si="86"/>
        <v>-95095.639032429564</v>
      </c>
      <c r="K190" s="213">
        <f t="shared" si="87"/>
        <v>-95095.639032429564</v>
      </c>
      <c r="L190" s="197">
        <f>(B190+F190)*($T$3*$T$4)</f>
        <v>-95081.454812612777</v>
      </c>
      <c r="M190" s="197">
        <f>((((2-0)/(2-D190))*B190+(1-((2-0)/(2-D190)))*C190)+F190)*($T$3*$T$4)</f>
        <v>-95081.454812612777</v>
      </c>
      <c r="N190" s="198">
        <f>(B190+G190)*($T$3*$T$4)</f>
        <v>-95078.706949465646</v>
      </c>
      <c r="O190" s="198">
        <f>((((2-0)/(2-D190))*B190+(1-((2-0)/(2-D190)))*C190)+G190)*($T$3*$T$4)</f>
        <v>-95078.706949465646</v>
      </c>
      <c r="P190" s="199">
        <f>(B190+H190)*($T$3*$T$4)</f>
        <v>-95094.125480040704</v>
      </c>
      <c r="Q190" s="199">
        <f>((((2-0)/(2-D190))*B190+(1-((2-0)/(2-D190)))*C190)+H190)*($T$3*$T$4)</f>
        <v>-95094.125480040704</v>
      </c>
    </row>
    <row r="191" spans="1:38">
      <c r="A191" s="191"/>
      <c r="B191" s="17"/>
      <c r="C191" s="17"/>
      <c r="D191" s="17"/>
      <c r="E191" s="33"/>
      <c r="F191" s="17"/>
      <c r="G191" s="17"/>
      <c r="H191" s="17"/>
      <c r="I191" s="196">
        <f>(G191-H191)*($T$3*$T$4)</f>
        <v>0</v>
      </c>
      <c r="J191" s="213">
        <f t="shared" si="86"/>
        <v>0</v>
      </c>
      <c r="K191" s="213">
        <f t="shared" si="87"/>
        <v>0</v>
      </c>
      <c r="L191" s="197">
        <f>(B191+F191)*($T$3*$T$4)</f>
        <v>0</v>
      </c>
      <c r="M191" s="197">
        <f>((((2-0)/(2-D191))*B191+(1-((2-0)/(2-D191)))*C191)+F191)*($T$3*$T$4)</f>
        <v>0</v>
      </c>
      <c r="N191" s="198">
        <f>(B191+G191)*($T$3*$T$4)</f>
        <v>0</v>
      </c>
      <c r="O191" s="198">
        <f>((((2-0)/(2-D191))*B191+(1-((2-0)/(2-D191)))*C191)+G191)*($T$3*$T$4)</f>
        <v>0</v>
      </c>
      <c r="P191" s="199">
        <f>(B191+H191)*($T$3*$T$4)</f>
        <v>0</v>
      </c>
      <c r="Q191" s="199">
        <f>((((2-0)/(2-D191))*B191+(1-((2-0)/(2-D191)))*C191)+H191)*($T$3*$T$4)</f>
        <v>0</v>
      </c>
      <c r="AI191" s="6" t="s">
        <v>841</v>
      </c>
      <c r="AJ191" t="s">
        <v>842</v>
      </c>
      <c r="AK191" t="s">
        <v>843</v>
      </c>
    </row>
    <row r="192" spans="1:38">
      <c r="A192" s="191" t="s">
        <v>804</v>
      </c>
      <c r="B192" s="17">
        <v>-151.53866572999999</v>
      </c>
      <c r="C192" s="17"/>
      <c r="D192" s="17"/>
      <c r="E192" s="33">
        <v>784.07</v>
      </c>
      <c r="F192" s="17">
        <v>1.6056000000000001E-2</v>
      </c>
      <c r="G192" s="17">
        <v>2.0826999999999998E-2</v>
      </c>
      <c r="H192" s="17">
        <v>-5.2110000000000004E-3</v>
      </c>
      <c r="I192" s="196">
        <f>(G192-H192)*($T$3*$T$4)</f>
        <v>16.339086692153757</v>
      </c>
      <c r="J192" s="213">
        <f t="shared" si="86"/>
        <v>-95091.919370757329</v>
      </c>
      <c r="K192" s="213">
        <f t="shared" si="87"/>
        <v>-95091.919370757329</v>
      </c>
      <c r="L192" s="197">
        <f>(B192+F192)*($T$3*$T$4)</f>
        <v>-95081.844081720963</v>
      </c>
      <c r="M192" s="197">
        <f>((((2-0)/(2-D192))*B192+(1-((2-0)/(2-D192)))*C192)+F192)*($T$3*$T$4)</f>
        <v>-95081.844081720963</v>
      </c>
      <c r="N192" s="198">
        <f>(B192+G192)*($T$3*$T$4)</f>
        <v>-95078.850234935177</v>
      </c>
      <c r="O192" s="198">
        <f>((((2-0)/(2-D192))*B192+(1-((2-0)/(2-D192)))*C192)+G192)*($T$3*$T$4)</f>
        <v>-95078.850234935177</v>
      </c>
      <c r="P192" s="199">
        <f>(B192+H192)*($T$3*$T$4)</f>
        <v>-95095.189321627331</v>
      </c>
      <c r="Q192" s="199">
        <f>((((2-0)/(2-D192))*B192+(1-((2-0)/(2-D192)))*C192)+H192)*($T$3*$T$4)</f>
        <v>-95095.189321627331</v>
      </c>
      <c r="AH192">
        <v>0</v>
      </c>
      <c r="AI192" s="6">
        <f>21250*$T$15</f>
        <v>42.228079049756218</v>
      </c>
      <c r="AJ192" s="6">
        <f>21962*$T$15</f>
        <v>43.642968098388046</v>
      </c>
      <c r="AK192">
        <v>48.75</v>
      </c>
    </row>
    <row r="193" spans="1:45">
      <c r="A193" s="191" t="s">
        <v>806</v>
      </c>
      <c r="B193" s="17">
        <v>-151.55889199000001</v>
      </c>
      <c r="C193" s="17"/>
      <c r="D193" s="17"/>
      <c r="E193" s="33"/>
      <c r="F193" s="17">
        <v>2.2093000000000002E-2</v>
      </c>
      <c r="G193" s="17">
        <v>2.7744999999999999E-2</v>
      </c>
      <c r="H193" s="17">
        <v>-9.1600000000000004E-4</v>
      </c>
      <c r="I193" s="196">
        <f t="shared" ref="I193:I199" si="89">(G193-H193)*($T$3*$T$4)</f>
        <v>17.985043539589018</v>
      </c>
      <c r="J193" s="213">
        <f t="shared" si="86"/>
        <v>-95104.611536653261</v>
      </c>
      <c r="K193" s="213">
        <f t="shared" si="87"/>
        <v>-95104.611536653261</v>
      </c>
      <c r="L193" s="197">
        <f>(B193+F193)*($T$3*$T$4)</f>
        <v>-95090.747974079728</v>
      </c>
      <c r="M193" s="197">
        <f>((((2-0)/(2-D193))*B193+(1-((2-0)/(2-D193)))*C193)+F193)*($T$3*$T$4)</f>
        <v>-95090.747974079728</v>
      </c>
      <c r="N193" s="198">
        <f>(B193+G193)*($T$3*$T$4)</f>
        <v>-95087.201291616249</v>
      </c>
      <c r="O193" s="198">
        <f>((((2-0)/(2-D193))*B193+(1-((2-0)/(2-D193)))*C193)+G193)*($T$3*$T$4)</f>
        <v>-95087.201291616249</v>
      </c>
      <c r="P193" s="199">
        <f>(B193+H193)*($T$3*$T$4)</f>
        <v>-95105.186335155842</v>
      </c>
      <c r="Q193" s="199">
        <f>((((2-0)/(2-D193))*B193+(1-((2-0)/(2-D193)))*C193)+H193)*($T$3*$T$4)</f>
        <v>-95105.186335155842</v>
      </c>
      <c r="AH193">
        <v>1</v>
      </c>
      <c r="AI193" s="6">
        <f t="shared" ref="AI193:AI212" si="90">21250*$T$15</f>
        <v>42.228079049756218</v>
      </c>
      <c r="AJ193" s="6">
        <f t="shared" ref="AJ193:AJ212" si="91">21962*$T$15</f>
        <v>43.642968098388046</v>
      </c>
      <c r="AK193">
        <v>48.75</v>
      </c>
      <c r="AQ193" s="6">
        <f t="shared" ref="AQ193:AQ212" si="92">-1063*$T$15</f>
        <v>-2.1123975543478051</v>
      </c>
      <c r="AS193">
        <v>-15</v>
      </c>
    </row>
    <row r="194" spans="1:45">
      <c r="A194" s="191"/>
      <c r="B194" s="17"/>
      <c r="C194" s="17"/>
      <c r="D194" s="17"/>
      <c r="E194" s="33"/>
      <c r="F194" s="17"/>
      <c r="G194" s="17"/>
      <c r="H194" s="17"/>
      <c r="I194" s="196">
        <f t="shared" si="89"/>
        <v>0</v>
      </c>
      <c r="J194" s="213">
        <f t="shared" si="86"/>
        <v>0</v>
      </c>
      <c r="K194" s="213">
        <f t="shared" si="87"/>
        <v>0</v>
      </c>
      <c r="L194" s="197">
        <f>(B194+F194)*($T$3*$T$4)</f>
        <v>0</v>
      </c>
      <c r="M194" s="197">
        <f>((((2-0)/(2-D194))*B194+(1-((2-0)/(2-D194)))*C194)+F194)*($T$3*$T$4)</f>
        <v>0</v>
      </c>
      <c r="N194" s="198">
        <f>(B194+G194)*($T$3*$T$4)</f>
        <v>0</v>
      </c>
      <c r="O194" s="198">
        <f>((((2-0)/(2-D194))*B194+(1-((2-0)/(2-D194)))*C194)+G194)*($T$3*$T$4)</f>
        <v>0</v>
      </c>
      <c r="P194" s="199">
        <f>(B194+H194)*($T$3*$T$4)</f>
        <v>0</v>
      </c>
      <c r="Q194" s="199">
        <f>((((2-0)/(2-D194))*B194+(1-((2-0)/(2-D194)))*C194)+H194)*($T$3*$T$4)</f>
        <v>0</v>
      </c>
      <c r="T194" s="1"/>
      <c r="AH194">
        <v>2</v>
      </c>
      <c r="AI194" s="6">
        <f t="shared" si="90"/>
        <v>42.228079049756218</v>
      </c>
      <c r="AJ194" s="6">
        <f t="shared" si="91"/>
        <v>43.642968098388046</v>
      </c>
      <c r="AK194">
        <v>48.75</v>
      </c>
      <c r="AQ194" s="6">
        <f t="shared" si="92"/>
        <v>-2.1123975543478051</v>
      </c>
      <c r="AS194">
        <v>-15</v>
      </c>
    </row>
    <row r="195" spans="1:45">
      <c r="A195" s="191" t="s">
        <v>839</v>
      </c>
      <c r="B195" s="17">
        <v>-151.52762962</v>
      </c>
      <c r="C195" s="17"/>
      <c r="D195" s="17"/>
      <c r="E195" s="33">
        <v>2029.13</v>
      </c>
      <c r="F195" s="17">
        <v>1.7392000000000001E-2</v>
      </c>
      <c r="G195" s="17">
        <v>2.1621999999999999E-2</v>
      </c>
      <c r="H195" s="17">
        <v>-3.4099999999999998E-3</v>
      </c>
      <c r="I195" s="196">
        <f t="shared" si="89"/>
        <v>15.707812354174392</v>
      </c>
      <c r="J195" s="213">
        <f t="shared" si="86"/>
        <v>-95084.99410929202</v>
      </c>
      <c r="K195" s="213">
        <f t="shared" si="87"/>
        <v>-95084.99410929202</v>
      </c>
      <c r="L195" s="197">
        <f>(B195+F195)*($T$3*$T$4)</f>
        <v>-95074.080467854496</v>
      </c>
      <c r="M195" s="197">
        <f>((((2-0)/(2-D195))*B195+(1-((2-0)/(2-D195)))*C195)+F195)*($T$3*$T$4)</f>
        <v>-95074.080467854496</v>
      </c>
      <c r="N195" s="198">
        <f>(B195+G195)*($T$3*$T$4)</f>
        <v>-95071.426103590435</v>
      </c>
      <c r="O195" s="198">
        <f>((((2-0)/(2-D195))*B195+(1-((2-0)/(2-D195)))*C195)+G195)*($T$3*$T$4)</f>
        <v>-95071.426103590435</v>
      </c>
      <c r="P195" s="199">
        <f>(B195+H195)*($T$3*$T$4)</f>
        <v>-95087.133915944607</v>
      </c>
      <c r="Q195" s="199">
        <f>((((2-0)/(2-D195))*B195+(1-((2-0)/(2-D195)))*C195)+H195)*($T$3*$T$4)</f>
        <v>-95087.133915944607</v>
      </c>
      <c r="AH195">
        <v>3</v>
      </c>
      <c r="AI195" s="6">
        <f t="shared" si="90"/>
        <v>42.228079049756218</v>
      </c>
      <c r="AJ195" s="6">
        <f t="shared" si="91"/>
        <v>43.642968098388046</v>
      </c>
      <c r="AK195">
        <v>48.75</v>
      </c>
      <c r="AQ195" s="6">
        <f t="shared" si="92"/>
        <v>-2.1123975543478051</v>
      </c>
      <c r="AS195">
        <v>-15</v>
      </c>
    </row>
    <row r="196" spans="1:45">
      <c r="A196" s="191" t="s">
        <v>840</v>
      </c>
      <c r="B196" s="17">
        <v>-151.55817601000001</v>
      </c>
      <c r="C196" s="17"/>
      <c r="D196" s="17"/>
      <c r="E196" s="33"/>
      <c r="F196" s="17">
        <v>2.2141999999999998E-2</v>
      </c>
      <c r="G196" s="17">
        <v>2.7723000000000001E-2</v>
      </c>
      <c r="H196" s="17">
        <v>-6.6799999999999997E-4</v>
      </c>
      <c r="I196" s="196">
        <f t="shared" si="89"/>
        <v>17.815616033371892</v>
      </c>
      <c r="J196" s="213">
        <f t="shared" si="86"/>
        <v>-95104.162252557333</v>
      </c>
      <c r="K196" s="213">
        <f t="shared" si="87"/>
        <v>-95104.162252557333</v>
      </c>
      <c r="L196" s="197">
        <f>(B196+F196)*($T$3*$T$4)</f>
        <v>-95090.267942028964</v>
      </c>
      <c r="M196" s="197">
        <f>((((2-0)/(2-D196))*B196+(1-((2-0)/(2-D196)))*C196)+F196)*($T$3*$T$4)</f>
        <v>-95090.267942028964</v>
      </c>
      <c r="N196" s="198">
        <f>(B196+G196)*($T$3*$T$4)</f>
        <v>-95086.765812724523</v>
      </c>
      <c r="O196" s="198">
        <f>((((2-0)/(2-D196))*B196+(1-((2-0)/(2-D196)))*C196)+G196)*($T$3*$T$4)</f>
        <v>-95086.765812724523</v>
      </c>
      <c r="P196" s="199">
        <f>(B196+H196)*($T$3*$T$4)</f>
        <v>-95104.581428757898</v>
      </c>
      <c r="Q196" s="199">
        <f>((((2-0)/(2-D196))*B196+(1-((2-0)/(2-D196)))*C196)+H196)*($T$3*$T$4)</f>
        <v>-95104.581428757898</v>
      </c>
      <c r="AH196">
        <v>4</v>
      </c>
      <c r="AI196" s="6">
        <f t="shared" si="90"/>
        <v>42.228079049756218</v>
      </c>
      <c r="AJ196" s="6">
        <f t="shared" si="91"/>
        <v>43.642968098388046</v>
      </c>
      <c r="AK196">
        <v>48.75</v>
      </c>
      <c r="AQ196" s="6">
        <f t="shared" si="92"/>
        <v>-2.1123975543478051</v>
      </c>
      <c r="AS196">
        <v>-15</v>
      </c>
    </row>
    <row r="197" spans="1:45">
      <c r="A197" s="191"/>
      <c r="B197" s="17"/>
      <c r="C197" s="17"/>
      <c r="D197" s="17"/>
      <c r="E197" s="33"/>
      <c r="F197" s="17"/>
      <c r="G197" s="17"/>
      <c r="H197" s="17"/>
      <c r="I197" s="196">
        <f t="shared" si="89"/>
        <v>0</v>
      </c>
      <c r="J197" s="213">
        <f t="shared" si="86"/>
        <v>0</v>
      </c>
      <c r="K197" s="213">
        <f t="shared" si="87"/>
        <v>0</v>
      </c>
      <c r="L197" s="197">
        <f>(B197+F197)*($T$3*$T$4)</f>
        <v>0</v>
      </c>
      <c r="M197" s="197">
        <f>((((2-0)/(2-D197))*B197+(1-((2-0)/(2-D197)))*C197)+F197)*($T$3*$T$4)</f>
        <v>0</v>
      </c>
      <c r="N197" s="198">
        <f>(B197+G197)*($T$3*$T$4)</f>
        <v>0</v>
      </c>
      <c r="O197" s="198">
        <f>((((2-0)/(2-D197))*B197+(1-((2-0)/(2-D197)))*C197)+G197)*($T$3*$T$4)</f>
        <v>0</v>
      </c>
      <c r="P197" s="199">
        <f>(B197+H197)*($T$3*$T$4)</f>
        <v>0</v>
      </c>
      <c r="Q197" s="199">
        <f>((((2-0)/(2-D197))*B197+(1-((2-0)/(2-D197)))*C197)+H197)*($T$3*$T$4)</f>
        <v>0</v>
      </c>
      <c r="AH197">
        <v>5</v>
      </c>
      <c r="AI197" s="6">
        <f t="shared" si="90"/>
        <v>42.228079049756218</v>
      </c>
      <c r="AJ197" s="6">
        <f t="shared" si="91"/>
        <v>43.642968098388046</v>
      </c>
      <c r="AK197">
        <v>48.75</v>
      </c>
      <c r="AQ197" s="6">
        <f t="shared" si="92"/>
        <v>-2.1123975543478051</v>
      </c>
      <c r="AS197">
        <v>-15</v>
      </c>
    </row>
    <row r="198" spans="1:45">
      <c r="A198" s="191"/>
      <c r="B198" s="17"/>
      <c r="C198" s="17"/>
      <c r="D198" s="17"/>
      <c r="E198" s="33"/>
      <c r="F198" s="17"/>
      <c r="G198" s="17"/>
      <c r="H198" s="17"/>
      <c r="I198" s="196">
        <f t="shared" si="89"/>
        <v>0</v>
      </c>
      <c r="J198" s="213">
        <f t="shared" si="86"/>
        <v>0</v>
      </c>
      <c r="K198" s="213">
        <f t="shared" si="87"/>
        <v>0</v>
      </c>
      <c r="L198" s="197">
        <f>(B198+F198)*($T$3*$T$4)</f>
        <v>0</v>
      </c>
      <c r="M198" s="197">
        <f>((((2-0)/(2-D198))*B198+(1-((2-0)/(2-D198)))*C198)+F198)*($T$3*$T$4)</f>
        <v>0</v>
      </c>
      <c r="N198" s="198">
        <f>(B198+G198)*($T$3*$T$4)</f>
        <v>0</v>
      </c>
      <c r="O198" s="198">
        <f>((((2-0)/(2-D198))*B198+(1-((2-0)/(2-D198)))*C198)+G198)*($T$3*$T$4)</f>
        <v>0</v>
      </c>
      <c r="P198" s="199">
        <f>(B198+H198)*($T$3*$T$4)</f>
        <v>0</v>
      </c>
      <c r="Q198" s="199">
        <f>((((2-0)/(2-D198))*B198+(1-((2-0)/(2-D198)))*C198)+H198)*($T$3*$T$4)</f>
        <v>0</v>
      </c>
      <c r="AH198">
        <v>6</v>
      </c>
      <c r="AI198" s="6">
        <f t="shared" si="90"/>
        <v>42.228079049756218</v>
      </c>
      <c r="AJ198" s="6">
        <f t="shared" si="91"/>
        <v>43.642968098388046</v>
      </c>
      <c r="AK198">
        <v>48.75</v>
      </c>
      <c r="AQ198" s="6">
        <f t="shared" si="92"/>
        <v>-2.1123975543478051</v>
      </c>
      <c r="AS198">
        <v>-15</v>
      </c>
    </row>
    <row r="199" spans="1:45">
      <c r="A199" s="191"/>
      <c r="B199" s="17"/>
      <c r="C199" s="17"/>
      <c r="D199" s="17"/>
      <c r="E199" s="33"/>
      <c r="F199" s="17"/>
      <c r="G199" s="17"/>
      <c r="H199" s="17"/>
      <c r="I199" s="196">
        <f t="shared" si="89"/>
        <v>0</v>
      </c>
      <c r="J199" s="213">
        <f t="shared" si="86"/>
        <v>0</v>
      </c>
      <c r="K199" s="213">
        <f t="shared" si="87"/>
        <v>0</v>
      </c>
      <c r="L199" s="197">
        <f>(B199+F199)*($T$3*$T$4)</f>
        <v>0</v>
      </c>
      <c r="M199" s="197">
        <f>((((2-0)/(2-D199))*B199+(1-((2-0)/(2-D199)))*C199)+F199)*($T$3*$T$4)</f>
        <v>0</v>
      </c>
      <c r="N199" s="198">
        <f>(B199+G199)*($T$3*$T$4)</f>
        <v>0</v>
      </c>
      <c r="O199" s="198">
        <f>((((2-0)/(2-D199))*B199+(1-((2-0)/(2-D199)))*C199)+G199)*($T$3*$T$4)</f>
        <v>0</v>
      </c>
      <c r="P199" s="199">
        <f>(B199+H199)*($T$3*$T$4)</f>
        <v>0</v>
      </c>
      <c r="Q199" s="199">
        <f>((((2-0)/(2-D199))*B199+(1-((2-0)/(2-D199)))*C199)+H199)*($T$3*$T$4)</f>
        <v>0</v>
      </c>
      <c r="AH199">
        <v>7</v>
      </c>
      <c r="AI199" s="6">
        <f t="shared" si="90"/>
        <v>42.228079049756218</v>
      </c>
      <c r="AJ199" s="6">
        <f t="shared" si="91"/>
        <v>43.642968098388046</v>
      </c>
      <c r="AK199">
        <v>48.75</v>
      </c>
      <c r="AQ199" s="6">
        <f t="shared" si="92"/>
        <v>-2.1123975543478051</v>
      </c>
      <c r="AS199">
        <v>-15</v>
      </c>
    </row>
    <row r="200" spans="1:45">
      <c r="AH200">
        <v>8</v>
      </c>
      <c r="AI200" s="6">
        <f t="shared" si="90"/>
        <v>42.228079049756218</v>
      </c>
      <c r="AJ200" s="6">
        <f t="shared" si="91"/>
        <v>43.642968098388046</v>
      </c>
      <c r="AK200">
        <v>48.75</v>
      </c>
      <c r="AQ200" s="6">
        <f t="shared" si="92"/>
        <v>-2.1123975543478051</v>
      </c>
      <c r="AS200">
        <v>-15</v>
      </c>
    </row>
    <row r="201" spans="1:45">
      <c r="AH201">
        <v>9</v>
      </c>
      <c r="AI201" s="6">
        <f t="shared" si="90"/>
        <v>42.228079049756218</v>
      </c>
      <c r="AJ201" s="6">
        <f t="shared" si="91"/>
        <v>43.642968098388046</v>
      </c>
      <c r="AK201">
        <v>48.75</v>
      </c>
      <c r="AQ201" s="6">
        <f t="shared" si="92"/>
        <v>-2.1123975543478051</v>
      </c>
      <c r="AS201">
        <v>-15</v>
      </c>
    </row>
    <row r="202" spans="1:45">
      <c r="A202" s="15" t="s">
        <v>857</v>
      </c>
      <c r="B202" s="15"/>
      <c r="C202" s="15"/>
      <c r="D202" s="15"/>
      <c r="E202" s="15"/>
      <c r="F202" s="15"/>
      <c r="G202" s="15"/>
      <c r="AH202">
        <v>10</v>
      </c>
      <c r="AI202" s="6">
        <f t="shared" si="90"/>
        <v>42.228079049756218</v>
      </c>
      <c r="AJ202" s="6">
        <f t="shared" si="91"/>
        <v>43.642968098388046</v>
      </c>
      <c r="AK202">
        <v>48.75</v>
      </c>
      <c r="AQ202" s="6">
        <f t="shared" si="92"/>
        <v>-2.1123975543478051</v>
      </c>
      <c r="AS202">
        <v>-15</v>
      </c>
    </row>
    <row r="203" spans="1:45" ht="60">
      <c r="A203" s="178" t="s">
        <v>525</v>
      </c>
      <c r="B203" s="190" t="s">
        <v>710</v>
      </c>
      <c r="C203" s="190" t="s">
        <v>711</v>
      </c>
      <c r="D203" s="178" t="s">
        <v>712</v>
      </c>
      <c r="E203" s="190" t="s">
        <v>532</v>
      </c>
      <c r="F203" s="190" t="s">
        <v>527</v>
      </c>
      <c r="G203" s="190" t="s">
        <v>528</v>
      </c>
      <c r="H203" s="190" t="s">
        <v>529</v>
      </c>
      <c r="I203" s="190" t="s">
        <v>542</v>
      </c>
      <c r="J203" s="212" t="s">
        <v>844</v>
      </c>
      <c r="K203" s="212" t="s">
        <v>845</v>
      </c>
      <c r="L203" s="202" t="s">
        <v>691</v>
      </c>
      <c r="M203" s="202" t="s">
        <v>695</v>
      </c>
      <c r="N203" s="203" t="s">
        <v>694</v>
      </c>
      <c r="O203" s="203" t="s">
        <v>696</v>
      </c>
      <c r="P203" s="204" t="s">
        <v>692</v>
      </c>
      <c r="Q203" s="204" t="s">
        <v>693</v>
      </c>
      <c r="AH203">
        <v>11</v>
      </c>
      <c r="AI203" s="6">
        <f t="shared" si="90"/>
        <v>42.228079049756218</v>
      </c>
      <c r="AJ203" s="6">
        <f t="shared" si="91"/>
        <v>43.642968098388046</v>
      </c>
      <c r="AK203">
        <v>48.75</v>
      </c>
      <c r="AQ203" s="6">
        <f t="shared" si="92"/>
        <v>-2.1123975543478051</v>
      </c>
      <c r="AS203">
        <v>-15</v>
      </c>
    </row>
    <row r="204" spans="1:45">
      <c r="A204" s="191" t="s">
        <v>175</v>
      </c>
      <c r="B204" s="17">
        <v>-151.53331660399999</v>
      </c>
      <c r="C204" s="17"/>
      <c r="D204" s="17"/>
      <c r="E204" s="33"/>
      <c r="F204" s="17">
        <v>2.6237E-2</v>
      </c>
      <c r="G204" s="17">
        <v>3.0397E-2</v>
      </c>
      <c r="H204" s="17">
        <v>6.9740000000000002E-3</v>
      </c>
      <c r="I204" s="196">
        <f t="shared" ref="I204:I215" si="93">(G204-H204)*($T$3*$T$4)</f>
        <v>14.698149918976782</v>
      </c>
      <c r="J204" s="213">
        <f>(B204)*($T$3*$T$4)</f>
        <v>-95088.562744540221</v>
      </c>
      <c r="K204" s="213">
        <f>((((2-0)/(2-D204))*B204+(1-((2-0)/(2-D204)))*C204))*($T$3*$T$4)</f>
        <v>-95088.562744540221</v>
      </c>
      <c r="L204" s="197">
        <f>(B204+F204)*($T$3*$T$4)</f>
        <v>-95072.098783500885</v>
      </c>
      <c r="M204" s="197">
        <f>((((2-0)/(2-D204))*B204+(1-((2-0)/(2-D204)))*C204)+F204)*($T$3*$T$4)</f>
        <v>-95072.098783500885</v>
      </c>
      <c r="N204" s="198">
        <f>(B204+G204)*($T$3*$T$4)</f>
        <v>-95069.488344886588</v>
      </c>
      <c r="O204" s="198">
        <f>((((2-0)/(2-D204))*B204+(1-((2-0)/(2-D204)))*C204)+G204)*($T$3*$T$4)</f>
        <v>-95069.488344886588</v>
      </c>
      <c r="P204" s="199">
        <f>(B204+H204)*($T$3*$T$4)</f>
        <v>-95084.186494805559</v>
      </c>
      <c r="Q204" s="199">
        <f>((((2-0)/(2-D204))*B204+(1-((2-0)/(2-D204)))*C204)+H204)*($T$3*$T$4)</f>
        <v>-95084.186494805559</v>
      </c>
      <c r="T204" t="s">
        <v>870</v>
      </c>
      <c r="AH204">
        <v>12</v>
      </c>
      <c r="AI204" s="6">
        <f t="shared" si="90"/>
        <v>42.228079049756218</v>
      </c>
      <c r="AJ204" s="6">
        <f t="shared" si="91"/>
        <v>43.642968098388046</v>
      </c>
      <c r="AK204">
        <v>48.75</v>
      </c>
      <c r="AQ204" s="6">
        <f t="shared" si="92"/>
        <v>-2.1123975543478051</v>
      </c>
      <c r="AS204">
        <v>-15</v>
      </c>
    </row>
    <row r="205" spans="1:45">
      <c r="A205" s="191" t="s">
        <v>715</v>
      </c>
      <c r="B205" s="17">
        <v>-75.727050269399996</v>
      </c>
      <c r="C205" s="17"/>
      <c r="D205" s="17"/>
      <c r="E205" s="33"/>
      <c r="F205" s="17">
        <v>8.3529999999999993E-3</v>
      </c>
      <c r="G205" s="17">
        <v>1.1658E-2</v>
      </c>
      <c r="H205" s="17">
        <v>-5.5529999999999998E-3</v>
      </c>
      <c r="I205" s="196">
        <f t="shared" si="93"/>
        <v>10.800062257418324</v>
      </c>
      <c r="J205" s="213">
        <f t="shared" ref="J205:J223" si="94">(B205)*($T$3*$T$4)</f>
        <v>-47519.426964160535</v>
      </c>
      <c r="K205" s="213">
        <f t="shared" ref="K205:K223" si="95">((((2-0)/(2-D205))*B205+(1-((2-0)/(2-D205)))*C205))*($T$3*$T$4)</f>
        <v>-47519.426964160535</v>
      </c>
      <c r="L205" s="197">
        <f>(B205+F205)*($T$3*$T$4)</f>
        <v>-47514.185379125607</v>
      </c>
      <c r="M205" s="197">
        <f>((((2-0)/(2-D205))*B205+(1-((2-0)/(2-D205)))*C205)+F205)*($T$3*$T$4)</f>
        <v>-47514.185379125607</v>
      </c>
      <c r="N205" s="198">
        <f>(B205+G205)*($T$3*$T$4)</f>
        <v>-47512.11146094765</v>
      </c>
      <c r="O205" s="198">
        <f>((((2-0)/(2-D205))*B205+(1-((2-0)/(2-D205)))*C205)+G205)*($T$3*$T$4)</f>
        <v>-47512.11146094765</v>
      </c>
      <c r="P205" s="199">
        <f>(B205+H205)*($T$3*$T$4)</f>
        <v>-47522.911523205075</v>
      </c>
      <c r="Q205" s="199">
        <f>((((2-0)/(2-D205))*B205+(1-((2-0)/(2-D205)))*C205)+H205)*($T$3*$T$4)</f>
        <v>-47522.911523205075</v>
      </c>
      <c r="T205" t="s">
        <v>871</v>
      </c>
      <c r="AH205">
        <v>13</v>
      </c>
      <c r="AI205" s="6">
        <f t="shared" si="90"/>
        <v>42.228079049756218</v>
      </c>
      <c r="AJ205" s="6">
        <f t="shared" si="91"/>
        <v>43.642968098388046</v>
      </c>
      <c r="AK205">
        <v>48.75</v>
      </c>
      <c r="AQ205" s="6">
        <f t="shared" si="92"/>
        <v>-2.1123975543478051</v>
      </c>
      <c r="AS205">
        <v>-15</v>
      </c>
    </row>
    <row r="206" spans="1:45">
      <c r="A206" s="191" t="s">
        <v>482</v>
      </c>
      <c r="B206" s="17">
        <v>-76.4233798124</v>
      </c>
      <c r="C206" s="17"/>
      <c r="D206" s="17"/>
      <c r="E206" s="33"/>
      <c r="F206" s="17">
        <v>2.1045000000000001E-2</v>
      </c>
      <c r="G206" s="17">
        <v>2.4825E-2</v>
      </c>
      <c r="H206" s="17">
        <v>5.7689999999999998E-3</v>
      </c>
      <c r="I206" s="196">
        <f t="shared" si="93"/>
        <v>11.957816883235349</v>
      </c>
      <c r="J206" s="213">
        <f t="shared" si="94"/>
        <v>-47956.380215922763</v>
      </c>
      <c r="K206" s="213">
        <f t="shared" si="95"/>
        <v>-47956.380215922763</v>
      </c>
      <c r="L206" s="197">
        <f>(B206+F206)*($T$3*$T$4)</f>
        <v>-47943.17428307706</v>
      </c>
      <c r="M206" s="197">
        <f>((((2-0)/(2-D206))*B206+(1-((2-0)/(2-D206)))*C206)+F206)*($T$3*$T$4)</f>
        <v>-47943.17428307706</v>
      </c>
      <c r="N206" s="198">
        <f>(B206+G206)*($T$3*$T$4)</f>
        <v>-47940.80229799002</v>
      </c>
      <c r="O206" s="198">
        <f>((((2-0)/(2-D206))*B206+(1-((2-0)/(2-D206)))*C206)+G206)*($T$3*$T$4)</f>
        <v>-47940.80229799002</v>
      </c>
      <c r="P206" s="199">
        <f>(B206+H206)*($T$3*$T$4)</f>
        <v>-47952.760114873257</v>
      </c>
      <c r="Q206" s="199">
        <f>((((2-0)/(2-D206))*B206+(1-((2-0)/(2-D206)))*C206)+H206)*($T$3*$T$4)</f>
        <v>-47952.760114873257</v>
      </c>
      <c r="T206" t="s">
        <v>872</v>
      </c>
      <c r="AH206">
        <v>14</v>
      </c>
      <c r="AI206" s="6">
        <f t="shared" si="90"/>
        <v>42.228079049756218</v>
      </c>
      <c r="AJ206" s="6">
        <f t="shared" si="91"/>
        <v>43.642968098388046</v>
      </c>
      <c r="AK206">
        <v>48.75</v>
      </c>
      <c r="AQ206" s="6">
        <f t="shared" si="92"/>
        <v>-2.1123975543478051</v>
      </c>
      <c r="AS206">
        <v>-15</v>
      </c>
    </row>
    <row r="207" spans="1:45">
      <c r="A207" s="191" t="s">
        <v>768</v>
      </c>
      <c r="B207" s="17">
        <v>-75.059349964600003</v>
      </c>
      <c r="C207" s="17"/>
      <c r="D207" s="17"/>
      <c r="E207" s="33"/>
      <c r="F207" s="17">
        <v>0</v>
      </c>
      <c r="G207" s="17">
        <v>2.3600000000000001E-3</v>
      </c>
      <c r="H207" s="17">
        <v>-1.1932999999999999E-2</v>
      </c>
      <c r="I207" s="196">
        <f t="shared" si="93"/>
        <v>8.9689901717087963</v>
      </c>
      <c r="J207" s="213">
        <f t="shared" si="94"/>
        <v>-47100.438825113582</v>
      </c>
      <c r="K207" s="213">
        <f t="shared" si="95"/>
        <v>-47100.438825113582</v>
      </c>
      <c r="L207" s="197">
        <f>(B207+F207)*($T$3*$T$4)</f>
        <v>-47100.438825113582</v>
      </c>
      <c r="M207" s="197">
        <f>((((2-0)/(2-D207))*B207+(1-((2-0)/(2-D207)))*C207)+F207)*($T$3*$T$4)</f>
        <v>-47100.438825113582</v>
      </c>
      <c r="N207" s="198">
        <f>(B207+G207)*($T$3*$T$4)</f>
        <v>-47098.957903207389</v>
      </c>
      <c r="O207" s="198">
        <f>((((2-0)/(2-D207))*B207+(1-((2-0)/(2-D207)))*C207)+G207)*($T$3*$T$4)</f>
        <v>-47098.957903207389</v>
      </c>
      <c r="P207" s="199">
        <f>(B207+H207)*($T$3*$T$4)</f>
        <v>-47107.926893379095</v>
      </c>
      <c r="Q207" s="199">
        <f>((((2-0)/(2-D207))*B207+(1-((2-0)/(2-D207)))*C207)+H207)*($T$3*$T$4)</f>
        <v>-47107.926893379095</v>
      </c>
      <c r="T207" t="s">
        <v>873</v>
      </c>
      <c r="AH207">
        <v>15</v>
      </c>
      <c r="AI207" s="6">
        <f t="shared" si="90"/>
        <v>42.228079049756218</v>
      </c>
      <c r="AJ207" s="6">
        <f t="shared" si="91"/>
        <v>43.642968098388046</v>
      </c>
      <c r="AK207">
        <v>48.75</v>
      </c>
      <c r="AQ207" s="6">
        <f t="shared" si="92"/>
        <v>-2.1123975543478051</v>
      </c>
      <c r="AS207">
        <v>-15</v>
      </c>
    </row>
    <row r="208" spans="1:45">
      <c r="A208" s="191"/>
      <c r="B208" s="17"/>
      <c r="C208" s="17"/>
      <c r="D208" s="17"/>
      <c r="E208" s="33"/>
      <c r="F208" s="17"/>
      <c r="G208" s="17"/>
      <c r="H208" s="17"/>
      <c r="I208" s="196">
        <f t="shared" si="93"/>
        <v>0</v>
      </c>
      <c r="J208" s="213">
        <f t="shared" si="94"/>
        <v>0</v>
      </c>
      <c r="K208" s="213">
        <f t="shared" si="95"/>
        <v>0</v>
      </c>
      <c r="L208" s="197">
        <f>(B208+F208)*($T$3*$T$4)</f>
        <v>0</v>
      </c>
      <c r="M208" s="197">
        <f>((((2-0)/(2-D208))*B208+(1-((2-0)/(2-D208)))*C208)+F208)*($T$3*$T$4)</f>
        <v>0</v>
      </c>
      <c r="N208" s="198">
        <f>(B208+G208)*($T$3*$T$4)</f>
        <v>0</v>
      </c>
      <c r="O208" s="198">
        <f>((((2-0)/(2-D208))*B208+(1-((2-0)/(2-D208)))*C208)+G208)*($T$3*$T$4)</f>
        <v>0</v>
      </c>
      <c r="P208" s="199">
        <f>(B208+H208)*($T$3*$T$4)</f>
        <v>0</v>
      </c>
      <c r="Q208" s="199">
        <f>((((2-0)/(2-D208))*B208+(1-((2-0)/(2-D208)))*C208)+H208)*($T$3*$T$4)</f>
        <v>0</v>
      </c>
      <c r="T208" t="s">
        <v>849</v>
      </c>
      <c r="AH208">
        <v>16</v>
      </c>
      <c r="AI208" s="6">
        <f t="shared" si="90"/>
        <v>42.228079049756218</v>
      </c>
      <c r="AJ208" s="6">
        <f t="shared" si="91"/>
        <v>43.642968098388046</v>
      </c>
      <c r="AK208">
        <v>48.75</v>
      </c>
      <c r="AQ208" s="6">
        <f t="shared" si="92"/>
        <v>-2.1123975543478051</v>
      </c>
      <c r="AS208">
        <v>-15</v>
      </c>
    </row>
    <row r="209" spans="1:45">
      <c r="A209" s="191" t="s">
        <v>836</v>
      </c>
      <c r="B209" s="17">
        <v>-151.46110918900001</v>
      </c>
      <c r="C209" s="17">
        <v>-151.46080760999999</v>
      </c>
      <c r="D209" s="17">
        <v>1.0093000000000001</v>
      </c>
      <c r="E209" s="33"/>
      <c r="F209" s="17">
        <v>1.9056E-2</v>
      </c>
      <c r="G209" s="17">
        <v>2.4662E-2</v>
      </c>
      <c r="H209" s="17">
        <v>-2.3189999999999999E-3</v>
      </c>
      <c r="I209" s="196">
        <f>(G209-H209)*($T$3*$T$4)</f>
        <v>16.930827945349122</v>
      </c>
      <c r="J209" s="213">
        <f t="shared" si="94"/>
        <v>-95043.251921377887</v>
      </c>
      <c r="K209" s="213">
        <f t="shared" si="95"/>
        <v>-95043.444717973762</v>
      </c>
      <c r="L209" s="197">
        <f>(B209+F209)*($T$3*$T$4)</f>
        <v>-95031.294104494649</v>
      </c>
      <c r="M209" s="197">
        <f>((((2-0)/(2-D209))*B209+(1-((2-0)/(2-D209)))*C209)+F209)*($T$3*$T$4)</f>
        <v>-95031.486901090524</v>
      </c>
      <c r="N209" s="198">
        <f>(B209+G209)*($T$3*$T$4)</f>
        <v>-95027.776287458153</v>
      </c>
      <c r="O209" s="198">
        <f>((((2-0)/(2-D209))*B209+(1-((2-0)/(2-D209)))*C209)+G209)*($T$3*$T$4)</f>
        <v>-95027.969084054028</v>
      </c>
      <c r="P209" s="199">
        <f>(B209+H209)*($T$3*$T$4)</f>
        <v>-95044.707115403507</v>
      </c>
      <c r="Q209" s="199">
        <f>((((2-0)/(2-D209))*B209+(1-((2-0)/(2-D209)))*C209)+H209)*($T$3*$T$4)</f>
        <v>-95044.899911999382</v>
      </c>
      <c r="T209" t="s">
        <v>851</v>
      </c>
      <c r="AH209">
        <v>17</v>
      </c>
      <c r="AI209" s="6">
        <f t="shared" si="90"/>
        <v>42.228079049756218</v>
      </c>
      <c r="AJ209" s="6">
        <f t="shared" si="91"/>
        <v>43.642968098388046</v>
      </c>
      <c r="AK209">
        <v>48.75</v>
      </c>
      <c r="AQ209" s="6">
        <f t="shared" si="92"/>
        <v>-2.1123975543478051</v>
      </c>
      <c r="AS209">
        <v>-15</v>
      </c>
    </row>
    <row r="210" spans="1:45">
      <c r="A210" s="191" t="s">
        <v>837</v>
      </c>
      <c r="B210" s="17">
        <v>-151.46119578700001</v>
      </c>
      <c r="C210" s="17"/>
      <c r="D210" s="17"/>
      <c r="E210" s="33"/>
      <c r="F210" s="17">
        <v>1.8631999999999999E-2</v>
      </c>
      <c r="G210" s="17">
        <v>2.4471E-2</v>
      </c>
      <c r="H210" s="17">
        <v>-4.0720000000000001E-3</v>
      </c>
      <c r="I210" s="196">
        <f>(G210-H210)*($T$3*$T$4)</f>
        <v>17.91099744427931</v>
      </c>
      <c r="J210" s="213">
        <f t="shared" si="94"/>
        <v>-95043.306262426704</v>
      </c>
      <c r="K210" s="213">
        <f t="shared" si="95"/>
        <v>-95043.306262426704</v>
      </c>
      <c r="L210" s="197">
        <f>(B210+F210)*($T$3*$T$4)</f>
        <v>-95031.614509479157</v>
      </c>
      <c r="M210" s="197">
        <f>((((2-0)/(2-D210))*B210+(1-((2-0)/(2-D210)))*C210)+F210)*($T$3*$T$4)</f>
        <v>-95031.614509479157</v>
      </c>
      <c r="N210" s="198">
        <f>(B210+G210)*($T$3*$T$4)</f>
        <v>-95027.950482779896</v>
      </c>
      <c r="O210" s="198">
        <f>((((2-0)/(2-D210))*B210+(1-((2-0)/(2-D210)))*C210)+G210)*($T$3*$T$4)</f>
        <v>-95027.950482779896</v>
      </c>
      <c r="P210" s="199">
        <f>(B210+H210)*($T$3*$T$4)</f>
        <v>-95045.861480224179</v>
      </c>
      <c r="Q210" s="199">
        <f>((((2-0)/(2-D210))*B210+(1-((2-0)/(2-D210)))*C210)+H210)*($T$3*$T$4)</f>
        <v>-95045.861480224179</v>
      </c>
      <c r="T210" t="s">
        <v>852</v>
      </c>
      <c r="AH210">
        <v>18</v>
      </c>
      <c r="AI210" s="6">
        <f t="shared" si="90"/>
        <v>42.228079049756218</v>
      </c>
      <c r="AJ210" s="6">
        <f t="shared" si="91"/>
        <v>43.642968098388046</v>
      </c>
      <c r="AK210">
        <v>48.75</v>
      </c>
      <c r="AQ210" s="6">
        <f t="shared" si="92"/>
        <v>-2.1123975543478051</v>
      </c>
      <c r="AS210">
        <v>-15</v>
      </c>
    </row>
    <row r="211" spans="1:45">
      <c r="A211" s="191"/>
      <c r="B211" s="17"/>
      <c r="C211" s="17"/>
      <c r="D211" s="17"/>
      <c r="E211" s="33"/>
      <c r="F211" s="17"/>
      <c r="G211" s="17"/>
      <c r="H211" s="17"/>
      <c r="I211" s="196">
        <f>(G211-H211)*($T$3*$T$4)</f>
        <v>0</v>
      </c>
      <c r="J211" s="213">
        <f t="shared" si="94"/>
        <v>0</v>
      </c>
      <c r="K211" s="213">
        <f t="shared" si="95"/>
        <v>0</v>
      </c>
      <c r="L211" s="197">
        <f>(B211+F211)*($T$3*$T$4)</f>
        <v>0</v>
      </c>
      <c r="M211" s="197">
        <f>((((2-0)/(2-D211))*B211+(1-((2-0)/(2-D211)))*C211)+F211)*($T$3*$T$4)</f>
        <v>0</v>
      </c>
      <c r="N211" s="198">
        <f>(B211+G211)*($T$3*$T$4)</f>
        <v>0</v>
      </c>
      <c r="O211" s="198">
        <f>((((2-0)/(2-D211))*B211+(1-((2-0)/(2-D211)))*C211)+G211)*($T$3*$T$4)</f>
        <v>0</v>
      </c>
      <c r="P211" s="199">
        <f>(B211+H211)*($T$3*$T$4)</f>
        <v>0</v>
      </c>
      <c r="Q211" s="199">
        <f>((((2-0)/(2-D211))*B211+(1-((2-0)/(2-D211)))*C211)+H211)*($T$3*$T$4)</f>
        <v>0</v>
      </c>
      <c r="T211" t="s">
        <v>850</v>
      </c>
      <c r="AH211">
        <v>19</v>
      </c>
      <c r="AI211" s="6">
        <f t="shared" si="90"/>
        <v>42.228079049756218</v>
      </c>
      <c r="AJ211" s="6">
        <f t="shared" si="91"/>
        <v>43.642968098388046</v>
      </c>
      <c r="AK211">
        <v>48.75</v>
      </c>
      <c r="AQ211" s="6">
        <f t="shared" si="92"/>
        <v>-2.1123975543478051</v>
      </c>
      <c r="AS211">
        <v>-15</v>
      </c>
    </row>
    <row r="212" spans="1:45">
      <c r="A212" s="191" t="s">
        <v>789</v>
      </c>
      <c r="B212" s="194">
        <v>-151.46004115100001</v>
      </c>
      <c r="C212" s="17">
        <v>-151.46106391399999</v>
      </c>
      <c r="D212" s="17">
        <v>0.99229999999999996</v>
      </c>
      <c r="E212" s="33">
        <v>217.52</v>
      </c>
      <c r="F212" s="17">
        <v>1.8324E-2</v>
      </c>
      <c r="G212" s="17">
        <v>2.3525000000000001E-2</v>
      </c>
      <c r="H212" s="17">
        <v>-2.7539999999999999E-3</v>
      </c>
      <c r="I212" s="196">
        <f>(G212-H212)*($T$3*$T$4)</f>
        <v>16.490316429184599</v>
      </c>
      <c r="J212" s="213">
        <f t="shared" si="94"/>
        <v>-95042.581717619047</v>
      </c>
      <c r="K212" s="213">
        <f t="shared" si="95"/>
        <v>-95041.949732437104</v>
      </c>
      <c r="L212" s="197">
        <f>(B212+F212)*($T$3*$T$4)</f>
        <v>-95031.083237530445</v>
      </c>
      <c r="M212" s="197">
        <f>((((2-0)/(2-D212))*B212+(1-((2-0)/(2-D212)))*C212)+F212)*($T$3*$T$4)</f>
        <v>-95030.451252348503</v>
      </c>
      <c r="N212" s="198">
        <f>(B212+G212)*($T$3*$T$4)</f>
        <v>-95027.819561753277</v>
      </c>
      <c r="O212" s="198">
        <f>((((2-0)/(2-D212))*B212+(1-((2-0)/(2-D212)))*C212)+G212)*($T$3*$T$4)</f>
        <v>-95027.187576571334</v>
      </c>
      <c r="P212" s="199">
        <f>(B212+H212)*($T$3*$T$4)</f>
        <v>-95044.309878182466</v>
      </c>
      <c r="Q212" s="199">
        <f>((((2-0)/(2-D212))*B212+(1-((2-0)/(2-D212)))*C212)+H212)*($T$3*$T$4)</f>
        <v>-95043.677893000524</v>
      </c>
      <c r="T212" t="s">
        <v>874</v>
      </c>
      <c r="AH212">
        <v>20</v>
      </c>
      <c r="AI212" s="6">
        <f t="shared" si="90"/>
        <v>42.228079049756218</v>
      </c>
      <c r="AJ212" s="6">
        <f t="shared" si="91"/>
        <v>43.642968098388046</v>
      </c>
      <c r="AK212">
        <v>48.75</v>
      </c>
      <c r="AQ212" s="6">
        <f t="shared" si="92"/>
        <v>-2.1123975543478051</v>
      </c>
      <c r="AS212">
        <v>-15</v>
      </c>
    </row>
    <row r="213" spans="1:45">
      <c r="A213" s="191" t="s">
        <v>790</v>
      </c>
      <c r="B213" s="17">
        <v>-151.46102904</v>
      </c>
      <c r="C213" s="17"/>
      <c r="D213" s="17"/>
      <c r="E213" s="33">
        <v>145.66</v>
      </c>
      <c r="F213" s="17">
        <v>1.8526000000000001E-2</v>
      </c>
      <c r="G213" s="17">
        <v>2.3501999999999999E-2</v>
      </c>
      <c r="H213" s="17">
        <v>-3.235E-3</v>
      </c>
      <c r="I213" s="196">
        <f>(G213-H213)*($T$3*$T$4)</f>
        <v>16.777715680471424</v>
      </c>
      <c r="J213" s="213">
        <f t="shared" si="94"/>
        <v>-95043.201627136412</v>
      </c>
      <c r="K213" s="213">
        <f t="shared" si="95"/>
        <v>-95043.201627136412</v>
      </c>
      <c r="L213" s="197">
        <f>(B213+F213)*($T$3*$T$4)</f>
        <v>-95031.576390172777</v>
      </c>
      <c r="M213" s="197">
        <f>((((2-0)/(2-D213))*B213+(1-((2-0)/(2-D213)))*C213)+F213)*($T$3*$T$4)</f>
        <v>-95031.576390172777</v>
      </c>
      <c r="N213" s="198">
        <f>(B213+G213)*($T$3*$T$4)</f>
        <v>-95028.453903984118</v>
      </c>
      <c r="O213" s="198">
        <f>((((2-0)/(2-D213))*B213+(1-((2-0)/(2-D213)))*C213)+G213)*($T$3*$T$4)</f>
        <v>-95028.453903984118</v>
      </c>
      <c r="P213" s="199">
        <f>(B213+H213)*($T$3*$T$4)</f>
        <v>-95045.231619664599</v>
      </c>
      <c r="Q213" s="199">
        <f>((((2-0)/(2-D213))*B213+(1-((2-0)/(2-D213)))*C213)+H213)*($T$3*$T$4)</f>
        <v>-95045.231619664599</v>
      </c>
      <c r="T213" t="s">
        <v>875</v>
      </c>
      <c r="AI213" s="6"/>
    </row>
    <row r="214" spans="1:45">
      <c r="A214" s="191" t="s">
        <v>793</v>
      </c>
      <c r="B214" s="17">
        <v>-151.45815862399999</v>
      </c>
      <c r="C214" s="17"/>
      <c r="D214" s="17"/>
      <c r="E214" s="33"/>
      <c r="F214" s="17">
        <v>2.2603999999999999E-2</v>
      </c>
      <c r="G214" s="17">
        <v>2.6983E-2</v>
      </c>
      <c r="H214" s="17">
        <v>2.4120000000000001E-3</v>
      </c>
      <c r="I214" s="196">
        <f>(G214-H214)*($T$3*$T$4)</f>
        <v>15.418530575040709</v>
      </c>
      <c r="J214" s="213">
        <f t="shared" si="94"/>
        <v>-95041.400414452379</v>
      </c>
      <c r="K214" s="213">
        <f t="shared" si="95"/>
        <v>-95041.400414452379</v>
      </c>
      <c r="L214" s="197">
        <f>(B214+F214)*($T$3*$T$4)</f>
        <v>-95027.216194635592</v>
      </c>
      <c r="M214" s="197">
        <f>((((2-0)/(2-D214))*B214+(1-((2-0)/(2-D214)))*C214)+F214)*($T$3*$T$4)</f>
        <v>-95027.216194635592</v>
      </c>
      <c r="N214" s="198">
        <f>(B214+G214)*($T$3*$T$4)</f>
        <v>-95024.468331488461</v>
      </c>
      <c r="O214" s="198">
        <f>((((2-0)/(2-D214))*B214+(1-((2-0)/(2-D214)))*C214)+G214)*($T$3*$T$4)</f>
        <v>-95024.468331488461</v>
      </c>
      <c r="P214" s="199">
        <f>(B214+H214)*($T$3*$T$4)</f>
        <v>-95039.886862063518</v>
      </c>
      <c r="Q214" s="199">
        <f>((((2-0)/(2-D214))*B214+(1-((2-0)/(2-D214)))*C214)+H214)*($T$3*$T$4)</f>
        <v>-95039.886862063518</v>
      </c>
      <c r="T214" t="s">
        <v>876</v>
      </c>
    </row>
    <row r="215" spans="1:45">
      <c r="A215" s="191"/>
      <c r="B215" s="17"/>
      <c r="C215" s="17"/>
      <c r="D215" s="17"/>
      <c r="E215" s="33"/>
      <c r="F215" s="17"/>
      <c r="G215" s="17"/>
      <c r="H215" s="17"/>
      <c r="I215" s="196">
        <f>(G215-H215)*($T$3*$T$4)</f>
        <v>0</v>
      </c>
      <c r="J215" s="213">
        <f t="shared" si="94"/>
        <v>0</v>
      </c>
      <c r="K215" s="213">
        <f t="shared" si="95"/>
        <v>0</v>
      </c>
      <c r="L215" s="197">
        <f>(B215+F215)*($T$3*$T$4)</f>
        <v>0</v>
      </c>
      <c r="M215" s="197">
        <f>((((2-0)/(2-D215))*B215+(1-((2-0)/(2-D215)))*C215)+F215)*($T$3*$T$4)</f>
        <v>0</v>
      </c>
      <c r="N215" s="198">
        <f>(B215+G215)*($T$3*$T$4)</f>
        <v>0</v>
      </c>
      <c r="O215" s="198">
        <f>((((2-0)/(2-D215))*B215+(1-((2-0)/(2-D215)))*C215)+G215)*($T$3*$T$4)</f>
        <v>0</v>
      </c>
      <c r="P215" s="199">
        <f>(B215+H215)*($T$3*$T$4)</f>
        <v>0</v>
      </c>
      <c r="Q215" s="199">
        <f>((((2-0)/(2-D215))*B215+(1-((2-0)/(2-D215)))*C215)+H215)*($T$3*$T$4)</f>
        <v>0</v>
      </c>
      <c r="T215" t="s">
        <v>877</v>
      </c>
    </row>
    <row r="216" spans="1:45">
      <c r="A216" s="191" t="s">
        <v>804</v>
      </c>
      <c r="B216" s="17">
        <v>-151.456749785</v>
      </c>
      <c r="C216" s="17"/>
      <c r="D216" s="17"/>
      <c r="E216" s="33">
        <v>784.07</v>
      </c>
      <c r="F216" s="17">
        <v>1.6056000000000001E-2</v>
      </c>
      <c r="G216" s="17">
        <v>2.0826999999999998E-2</v>
      </c>
      <c r="H216" s="17">
        <v>-5.2110000000000004E-3</v>
      </c>
      <c r="I216" s="196">
        <f>(G216-H216)*($T$3*$T$4)</f>
        <v>16.339086692153757</v>
      </c>
      <c r="J216" s="213">
        <f t="shared" si="94"/>
        <v>-95040.516354902633</v>
      </c>
      <c r="K216" s="213">
        <f t="shared" si="95"/>
        <v>-95040.516354902633</v>
      </c>
      <c r="L216" s="197">
        <f>(B216+F216)*($T$3*$T$4)</f>
        <v>-95030.441065866267</v>
      </c>
      <c r="M216" s="197">
        <f>((((2-0)/(2-D216))*B216+(1-((2-0)/(2-D216)))*C216)+F216)*($T$3*$T$4)</f>
        <v>-95030.441065866267</v>
      </c>
      <c r="N216" s="198">
        <f>(B216+G216)*($T$3*$T$4)</f>
        <v>-95027.447219080481</v>
      </c>
      <c r="O216" s="198">
        <f>((((2-0)/(2-D216))*B216+(1-((2-0)/(2-D216)))*C216)+G216)*($T$3*$T$4)</f>
        <v>-95027.447219080481</v>
      </c>
      <c r="P216" s="199">
        <f>(B216+H216)*($T$3*$T$4)</f>
        <v>-95043.786305772635</v>
      </c>
      <c r="Q216" s="199">
        <f>((((2-0)/(2-D216))*B216+(1-((2-0)/(2-D216)))*C216)+H216)*($T$3*$T$4)</f>
        <v>-95043.786305772635</v>
      </c>
      <c r="T216" t="s">
        <v>878</v>
      </c>
    </row>
    <row r="217" spans="1:45">
      <c r="A217" s="191" t="s">
        <v>806</v>
      </c>
      <c r="B217" s="17">
        <v>-151.48633527499999</v>
      </c>
      <c r="C217" s="17"/>
      <c r="D217" s="17"/>
      <c r="E217" s="33"/>
      <c r="F217" s="17">
        <v>2.2093000000000002E-2</v>
      </c>
      <c r="G217" s="17">
        <v>2.7744999999999999E-2</v>
      </c>
      <c r="H217" s="17">
        <v>-9.1600000000000004E-4</v>
      </c>
      <c r="I217" s="196">
        <f t="shared" ref="I217:I223" si="96">(G217-H217)*($T$3*$T$4)</f>
        <v>17.985043539589018</v>
      </c>
      <c r="J217" s="213">
        <f t="shared" si="94"/>
        <v>-95059.081524498601</v>
      </c>
      <c r="K217" s="213">
        <f t="shared" si="95"/>
        <v>-95059.081524498601</v>
      </c>
      <c r="L217" s="197">
        <f>(B217+F217)*($T$3*$T$4)</f>
        <v>-95045.217961925053</v>
      </c>
      <c r="M217" s="197">
        <f>((((2-0)/(2-D217))*B217+(1-((2-0)/(2-D217)))*C217)+F217)*($T$3*$T$4)</f>
        <v>-95045.217961925053</v>
      </c>
      <c r="N217" s="198">
        <f>(B217+G217)*($T$3*$T$4)</f>
        <v>-95041.671279461574</v>
      </c>
      <c r="O217" s="198">
        <f>((((2-0)/(2-D217))*B217+(1-((2-0)/(2-D217)))*C217)+G217)*($T$3*$T$4)</f>
        <v>-95041.671279461574</v>
      </c>
      <c r="P217" s="199">
        <f>(B217+H217)*($T$3*$T$4)</f>
        <v>-95059.656323001167</v>
      </c>
      <c r="Q217" s="199">
        <f>((((2-0)/(2-D217))*B217+(1-((2-0)/(2-D217)))*C217)+H217)*($T$3*$T$4)</f>
        <v>-95059.656323001167</v>
      </c>
      <c r="T217" t="s">
        <v>879</v>
      </c>
    </row>
    <row r="218" spans="1:45">
      <c r="A218" s="191"/>
      <c r="B218" s="17"/>
      <c r="C218" s="17"/>
      <c r="D218" s="17"/>
      <c r="E218" s="33"/>
      <c r="F218" s="17"/>
      <c r="G218" s="17"/>
      <c r="H218" s="17"/>
      <c r="I218" s="196">
        <f t="shared" si="96"/>
        <v>0</v>
      </c>
      <c r="J218" s="213">
        <f t="shared" si="94"/>
        <v>0</v>
      </c>
      <c r="K218" s="213">
        <f t="shared" si="95"/>
        <v>0</v>
      </c>
      <c r="L218" s="197">
        <f>(B218+F218)*($T$3*$T$4)</f>
        <v>0</v>
      </c>
      <c r="M218" s="197">
        <f>((((2-0)/(2-D218))*B218+(1-((2-0)/(2-D218)))*C218)+F218)*($T$3*$T$4)</f>
        <v>0</v>
      </c>
      <c r="N218" s="198">
        <f>(B218+G218)*($T$3*$T$4)</f>
        <v>0</v>
      </c>
      <c r="O218" s="198">
        <f>((((2-0)/(2-D218))*B218+(1-((2-0)/(2-D218)))*C218)+G218)*($T$3*$T$4)</f>
        <v>0</v>
      </c>
      <c r="P218" s="199">
        <f>(B218+H218)*($T$3*$T$4)</f>
        <v>0</v>
      </c>
      <c r="Q218" s="199">
        <f>((((2-0)/(2-D218))*B218+(1-((2-0)/(2-D218)))*C218)+H218)*($T$3*$T$4)</f>
        <v>0</v>
      </c>
      <c r="T218" t="s">
        <v>237</v>
      </c>
    </row>
    <row r="219" spans="1:45">
      <c r="A219" s="191" t="s">
        <v>839</v>
      </c>
      <c r="B219" s="17">
        <v>-151.44370244199999</v>
      </c>
      <c r="C219" s="17"/>
      <c r="D219" s="17"/>
      <c r="E219" s="33">
        <v>2029.13</v>
      </c>
      <c r="F219" s="17">
        <v>1.7392000000000001E-2</v>
      </c>
      <c r="G219" s="17">
        <v>2.1621999999999999E-2</v>
      </c>
      <c r="H219" s="17">
        <v>-3.4099999999999998E-3</v>
      </c>
      <c r="I219" s="196">
        <f t="shared" si="96"/>
        <v>15.707812354174392</v>
      </c>
      <c r="J219" s="213">
        <f t="shared" si="94"/>
        <v>-95032.329026060965</v>
      </c>
      <c r="K219" s="213">
        <f t="shared" si="95"/>
        <v>-95032.329026060965</v>
      </c>
      <c r="L219" s="197">
        <f>(B219+F219)*($T$3*$T$4)</f>
        <v>-95021.415384623455</v>
      </c>
      <c r="M219" s="197">
        <f>((((2-0)/(2-D219))*B219+(1-((2-0)/(2-D219)))*C219)+F219)*($T$3*$T$4)</f>
        <v>-95021.415384623455</v>
      </c>
      <c r="N219" s="198">
        <f>(B219+G219)*($T$3*$T$4)</f>
        <v>-95018.761020359379</v>
      </c>
      <c r="O219" s="198">
        <f>((((2-0)/(2-D219))*B219+(1-((2-0)/(2-D219)))*C219)+G219)*($T$3*$T$4)</f>
        <v>-95018.761020359379</v>
      </c>
      <c r="P219" s="199">
        <f>(B219+H219)*($T$3*$T$4)</f>
        <v>-95034.468832713566</v>
      </c>
      <c r="Q219" s="199">
        <f>((((2-0)/(2-D219))*B219+(1-((2-0)/(2-D219)))*C219)+H219)*($T$3*$T$4)</f>
        <v>-95034.468832713566</v>
      </c>
    </row>
    <row r="220" spans="1:45">
      <c r="A220" s="191" t="s">
        <v>840</v>
      </c>
      <c r="B220" s="17">
        <v>-151.48630803200001</v>
      </c>
      <c r="C220" s="17"/>
      <c r="D220" s="17"/>
      <c r="E220" s="33"/>
      <c r="F220" s="17">
        <v>2.2141999999999998E-2</v>
      </c>
      <c r="G220" s="17">
        <v>2.7723000000000001E-2</v>
      </c>
      <c r="H220" s="17">
        <v>-6.6799999999999997E-4</v>
      </c>
      <c r="I220" s="196">
        <f t="shared" si="96"/>
        <v>17.815616033371892</v>
      </c>
      <c r="J220" s="213">
        <f t="shared" si="94"/>
        <v>-95059.064429263235</v>
      </c>
      <c r="K220" s="213">
        <f t="shared" si="95"/>
        <v>-95059.064429263235</v>
      </c>
      <c r="L220" s="197">
        <f>(B220+F220)*($T$3*$T$4)</f>
        <v>-95045.170118734866</v>
      </c>
      <c r="M220" s="197">
        <f>((((2-0)/(2-D220))*B220+(1-((2-0)/(2-D220)))*C220)+F220)*($T$3*$T$4)</f>
        <v>-95045.170118734866</v>
      </c>
      <c r="N220" s="198">
        <f>(B220+G220)*($T$3*$T$4)</f>
        <v>-95041.667989430425</v>
      </c>
      <c r="O220" s="198">
        <f>((((2-0)/(2-D220))*B220+(1-((2-0)/(2-D220)))*C220)+G220)*($T$3*$T$4)</f>
        <v>-95041.667989430425</v>
      </c>
      <c r="P220" s="199">
        <f>(B220+H220)*($T$3*$T$4)</f>
        <v>-95059.4836054638</v>
      </c>
      <c r="Q220" s="199">
        <f>((((2-0)/(2-D220))*B220+(1-((2-0)/(2-D220)))*C220)+H220)*($T$3*$T$4)</f>
        <v>-95059.4836054638</v>
      </c>
    </row>
    <row r="221" spans="1:45">
      <c r="A221" s="191"/>
      <c r="B221" s="17"/>
      <c r="C221" s="17"/>
      <c r="D221" s="17"/>
      <c r="E221" s="33"/>
      <c r="F221" s="17"/>
      <c r="G221" s="17"/>
      <c r="H221" s="17"/>
      <c r="I221" s="196">
        <f t="shared" si="96"/>
        <v>0</v>
      </c>
      <c r="J221" s="213">
        <f t="shared" si="94"/>
        <v>0</v>
      </c>
      <c r="K221" s="213">
        <f t="shared" si="95"/>
        <v>0</v>
      </c>
      <c r="L221" s="197">
        <f>(B221+F221)*($T$3*$T$4)</f>
        <v>0</v>
      </c>
      <c r="M221" s="197">
        <f>((((2-0)/(2-D221))*B221+(1-((2-0)/(2-D221)))*C221)+F221)*($T$3*$T$4)</f>
        <v>0</v>
      </c>
      <c r="N221" s="198">
        <f>(B221+G221)*($T$3*$T$4)</f>
        <v>0</v>
      </c>
      <c r="O221" s="198">
        <f>((((2-0)/(2-D221))*B221+(1-((2-0)/(2-D221)))*C221)+G221)*($T$3*$T$4)</f>
        <v>0</v>
      </c>
      <c r="P221" s="199">
        <f>(B221+H221)*($T$3*$T$4)</f>
        <v>0</v>
      </c>
      <c r="Q221" s="199">
        <f>((((2-0)/(2-D221))*B221+(1-((2-0)/(2-D221)))*C221)+H221)*($T$3*$T$4)</f>
        <v>0</v>
      </c>
    </row>
    <row r="222" spans="1:45">
      <c r="A222" s="191"/>
      <c r="B222" s="17"/>
      <c r="C222" s="17"/>
      <c r="D222" s="17"/>
      <c r="E222" s="33"/>
      <c r="F222" s="17"/>
      <c r="G222" s="17"/>
      <c r="H222" s="17"/>
      <c r="I222" s="196">
        <f t="shared" si="96"/>
        <v>0</v>
      </c>
      <c r="J222" s="213">
        <f t="shared" si="94"/>
        <v>0</v>
      </c>
      <c r="K222" s="213">
        <f t="shared" si="95"/>
        <v>0</v>
      </c>
      <c r="L222" s="197">
        <f>(B222+F222)*($T$3*$T$4)</f>
        <v>0</v>
      </c>
      <c r="M222" s="197">
        <f>((((2-0)/(2-D222))*B222+(1-((2-0)/(2-D222)))*C222)+F222)*($T$3*$T$4)</f>
        <v>0</v>
      </c>
      <c r="N222" s="198">
        <f>(B222+G222)*($T$3*$T$4)</f>
        <v>0</v>
      </c>
      <c r="O222" s="198">
        <f>((((2-0)/(2-D222))*B222+(1-((2-0)/(2-D222)))*C222)+G222)*($T$3*$T$4)</f>
        <v>0</v>
      </c>
      <c r="P222" s="199">
        <f>(B222+H222)*($T$3*$T$4)</f>
        <v>0</v>
      </c>
      <c r="Q222" s="199">
        <f>((((2-0)/(2-D222))*B222+(1-((2-0)/(2-D222)))*C222)+H222)*($T$3*$T$4)</f>
        <v>0</v>
      </c>
      <c r="AA222" t="s">
        <v>856</v>
      </c>
      <c r="AB222" t="s">
        <v>855</v>
      </c>
      <c r="AC222" t="s">
        <v>854</v>
      </c>
      <c r="AD222" t="s">
        <v>853</v>
      </c>
      <c r="AE222" t="s">
        <v>863</v>
      </c>
      <c r="AG222" t="s">
        <v>863</v>
      </c>
      <c r="AI222" t="s">
        <v>863</v>
      </c>
      <c r="AJ222" t="s">
        <v>864</v>
      </c>
      <c r="AK222" t="s">
        <v>864</v>
      </c>
      <c r="AL222" t="s">
        <v>864</v>
      </c>
      <c r="AM222" t="s">
        <v>864</v>
      </c>
    </row>
    <row r="223" spans="1:45">
      <c r="A223" s="191"/>
      <c r="B223" s="17"/>
      <c r="C223" s="17"/>
      <c r="D223" s="17"/>
      <c r="E223" s="33"/>
      <c r="F223" s="17"/>
      <c r="G223" s="17"/>
      <c r="H223" s="17"/>
      <c r="I223" s="196">
        <f t="shared" si="96"/>
        <v>0</v>
      </c>
      <c r="J223" s="213">
        <f t="shared" si="94"/>
        <v>0</v>
      </c>
      <c r="K223" s="213">
        <f t="shared" si="95"/>
        <v>0</v>
      </c>
      <c r="L223" s="197">
        <f>(B223+F223)*($T$3*$T$4)</f>
        <v>0</v>
      </c>
      <c r="M223" s="197">
        <f>((((2-0)/(2-D223))*B223+(1-((2-0)/(2-D223)))*C223)+F223)*($T$3*$T$4)</f>
        <v>0</v>
      </c>
      <c r="N223" s="198">
        <f>(B223+G223)*($T$3*$T$4)</f>
        <v>0</v>
      </c>
      <c r="O223" s="198">
        <f>((((2-0)/(2-D223))*B223+(1-((2-0)/(2-D223)))*C223)+G223)*($T$3*$T$4)</f>
        <v>0</v>
      </c>
      <c r="P223" s="199">
        <f>(B223+H223)*($T$3*$T$4)</f>
        <v>0</v>
      </c>
      <c r="Q223" s="199">
        <f>((((2-0)/(2-D223))*B223+(1-((2-0)/(2-D223)))*C223)+H223)*($T$3*$T$4)</f>
        <v>0</v>
      </c>
      <c r="U223" s="6"/>
      <c r="V223" s="1" t="s">
        <v>728</v>
      </c>
      <c r="W223" s="1" t="s">
        <v>727</v>
      </c>
      <c r="X223" t="s">
        <v>237</v>
      </c>
      <c r="Y223" s="1" t="s">
        <v>846</v>
      </c>
      <c r="Z223" s="1" t="s">
        <v>847</v>
      </c>
      <c r="AA223" s="1" t="s">
        <v>848</v>
      </c>
      <c r="AB223" t="s">
        <v>848</v>
      </c>
      <c r="AC223" t="s">
        <v>848</v>
      </c>
      <c r="AD223" t="s">
        <v>848</v>
      </c>
      <c r="AE223" t="s">
        <v>860</v>
      </c>
      <c r="AF223" t="s">
        <v>869</v>
      </c>
      <c r="AG223" t="s">
        <v>868</v>
      </c>
      <c r="AH223" t="s">
        <v>867</v>
      </c>
      <c r="AI223" t="s">
        <v>862</v>
      </c>
      <c r="AJ223" t="s">
        <v>860</v>
      </c>
      <c r="AK223" t="s">
        <v>861</v>
      </c>
      <c r="AL223" t="s">
        <v>867</v>
      </c>
      <c r="AM223" t="s">
        <v>862</v>
      </c>
    </row>
    <row r="224" spans="1:45">
      <c r="T224" t="s">
        <v>175</v>
      </c>
      <c r="U224">
        <v>0</v>
      </c>
      <c r="V224" s="1">
        <v>0</v>
      </c>
      <c r="W224" s="1">
        <v>0</v>
      </c>
      <c r="X224">
        <v>0</v>
      </c>
      <c r="Y224" s="1">
        <v>0</v>
      </c>
      <c r="Z224" s="1">
        <v>0</v>
      </c>
      <c r="AA224" s="1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>
      <c r="A225" s="15" t="s">
        <v>858</v>
      </c>
      <c r="B225" s="15"/>
      <c r="C225" s="15"/>
      <c r="D225" s="15"/>
      <c r="E225" s="15"/>
      <c r="F225" s="15"/>
      <c r="G225" s="15"/>
      <c r="T225" t="s">
        <v>175</v>
      </c>
      <c r="U225">
        <v>1</v>
      </c>
      <c r="V225" s="1">
        <v>0</v>
      </c>
      <c r="W225" s="1">
        <v>0</v>
      </c>
      <c r="X225">
        <v>0</v>
      </c>
      <c r="Y225" s="1">
        <v>0</v>
      </c>
      <c r="Z225" s="1">
        <v>0</v>
      </c>
      <c r="AA225" s="1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ht="60">
      <c r="A226" s="178" t="s">
        <v>525</v>
      </c>
      <c r="B226" s="190" t="s">
        <v>710</v>
      </c>
      <c r="C226" s="190" t="s">
        <v>711</v>
      </c>
      <c r="D226" s="178" t="s">
        <v>712</v>
      </c>
      <c r="E226" s="190" t="s">
        <v>532</v>
      </c>
      <c r="F226" s="190" t="s">
        <v>527</v>
      </c>
      <c r="G226" s="190" t="s">
        <v>528</v>
      </c>
      <c r="H226" s="190" t="s">
        <v>529</v>
      </c>
      <c r="I226" s="190" t="s">
        <v>542</v>
      </c>
      <c r="J226" s="212" t="s">
        <v>844</v>
      </c>
      <c r="K226" s="212" t="s">
        <v>845</v>
      </c>
      <c r="L226" s="202" t="s">
        <v>691</v>
      </c>
      <c r="M226" s="202" t="s">
        <v>695</v>
      </c>
      <c r="N226" s="203" t="s">
        <v>694</v>
      </c>
      <c r="O226" s="203" t="s">
        <v>696</v>
      </c>
      <c r="P226" s="204" t="s">
        <v>692</v>
      </c>
      <c r="Q226" s="204" t="s">
        <v>693</v>
      </c>
      <c r="T226" t="s">
        <v>795</v>
      </c>
      <c r="U226">
        <v>2</v>
      </c>
      <c r="V226" s="1">
        <f>J188-J180</f>
        <v>47.581644340447383</v>
      </c>
      <c r="W226" s="1">
        <f>K188-K180</f>
        <v>48.082545035955263</v>
      </c>
      <c r="Y226" s="1">
        <f>L188-L180</f>
        <v>42.61616338971362</v>
      </c>
      <c r="Z226" s="1">
        <f>M188-M180</f>
        <v>43.1170640852215</v>
      </c>
      <c r="AA226">
        <v>47.67</v>
      </c>
      <c r="AE226" s="1">
        <f>J212-J204</f>
        <v>45.981026921173907</v>
      </c>
      <c r="AF226" s="1">
        <f>K212-K204</f>
        <v>46.613012103116489</v>
      </c>
      <c r="AG226" s="1">
        <f>J235-J227</f>
        <v>48.013374491725699</v>
      </c>
      <c r="AH226" s="1">
        <f>K235-K227</f>
        <v>47.962534641686943</v>
      </c>
      <c r="AI226" s="1">
        <f>J258-J250</f>
        <v>40.497301741954288</v>
      </c>
      <c r="AJ226" s="1">
        <f>L212-L204</f>
        <v>41.015545970440144</v>
      </c>
      <c r="AK226" s="1">
        <f>L235-L227</f>
        <v>43.047893541006488</v>
      </c>
      <c r="AL226" s="1">
        <f>M235-M227</f>
        <v>42.99705369095318</v>
      </c>
      <c r="AM226" s="1">
        <f>L258-L250</f>
        <v>35.531820791220525</v>
      </c>
    </row>
    <row r="227" spans="1:39">
      <c r="A227" s="191" t="s">
        <v>175</v>
      </c>
      <c r="B227" s="17">
        <v>-151.58189038200001</v>
      </c>
      <c r="C227" s="17"/>
      <c r="D227" s="17"/>
      <c r="E227" s="33"/>
      <c r="F227" s="17">
        <v>2.6237E-2</v>
      </c>
      <c r="G227" s="17">
        <v>3.0397E-2</v>
      </c>
      <c r="H227" s="17">
        <v>6.9740000000000002E-3</v>
      </c>
      <c r="I227" s="196">
        <f t="shared" ref="I227:I238" si="97">(G227-H227)*($T$3*$T$4)</f>
        <v>14.698149918976782</v>
      </c>
      <c r="J227" s="213">
        <f>(B227)*($T$3*$T$4)</f>
        <v>-95119.043241110921</v>
      </c>
      <c r="K227" s="213">
        <f>((((2-0)/(2-D227))*B227+(1-((2-0)/(2-D227)))*C227))*($T$3*$T$4)</f>
        <v>-95119.043241110921</v>
      </c>
      <c r="L227" s="197">
        <f>(B227+F227)*($T$3*$T$4)</f>
        <v>-95102.579280071586</v>
      </c>
      <c r="M227" s="197">
        <f>((((2-0)/(2-D227))*B227+(1-((2-0)/(2-D227)))*C227)+F227)*($T$3*$T$4)</f>
        <v>-95102.579280071586</v>
      </c>
      <c r="N227" s="198">
        <f>(B227+G227)*($T$3*$T$4)</f>
        <v>-95099.968841457288</v>
      </c>
      <c r="O227" s="198">
        <f>((((2-0)/(2-D227))*B227+(1-((2-0)/(2-D227)))*C227)+G227)*($T$3*$T$4)</f>
        <v>-95099.968841457288</v>
      </c>
      <c r="P227" s="199">
        <f>(B227+H227)*($T$3*$T$4)</f>
        <v>-95114.666991376245</v>
      </c>
      <c r="Q227" s="199">
        <f>((((2-0)/(2-D227))*B227+(1-((2-0)/(2-D227)))*C227)+H227)*($T$3*$T$4)</f>
        <v>-95114.666991376245</v>
      </c>
      <c r="T227" t="s">
        <v>795</v>
      </c>
      <c r="U227">
        <v>3</v>
      </c>
      <c r="V227" s="1">
        <f>J188-J180</f>
        <v>47.581644340447383</v>
      </c>
      <c r="W227" s="1">
        <f>K188-K180</f>
        <v>48.082545035955263</v>
      </c>
      <c r="Y227" s="1">
        <f>L188-L180</f>
        <v>42.61616338971362</v>
      </c>
      <c r="Z227" s="1">
        <f>M188-M180</f>
        <v>43.1170640852215</v>
      </c>
      <c r="AA227">
        <v>47.67</v>
      </c>
      <c r="AE227" s="1">
        <f>J212-J204</f>
        <v>45.981026921173907</v>
      </c>
      <c r="AF227" s="1">
        <f>K212-K204</f>
        <v>46.613012103116489</v>
      </c>
      <c r="AG227" s="1">
        <f>J235-J227</f>
        <v>48.013374491725699</v>
      </c>
      <c r="AH227" s="1">
        <f>K235-K227</f>
        <v>47.962534641686943</v>
      </c>
      <c r="AI227" s="1">
        <f>J258-J250</f>
        <v>40.497301741954288</v>
      </c>
      <c r="AJ227" s="1">
        <f>L212-L204</f>
        <v>41.015545970440144</v>
      </c>
      <c r="AK227" s="1">
        <f>L235-L227</f>
        <v>43.047893541006488</v>
      </c>
      <c r="AL227" s="1">
        <f>M235-M227</f>
        <v>42.99705369095318</v>
      </c>
      <c r="AM227" s="1">
        <f>L258-L250</f>
        <v>35.531820791220525</v>
      </c>
    </row>
    <row r="228" spans="1:39">
      <c r="A228" s="191" t="s">
        <v>715</v>
      </c>
      <c r="B228" s="17">
        <v>-75.749902807500007</v>
      </c>
      <c r="C228" s="17"/>
      <c r="D228" s="17"/>
      <c r="E228" s="33"/>
      <c r="F228" s="17">
        <v>8.3529999999999993E-3</v>
      </c>
      <c r="G228" s="17">
        <v>1.1658E-2</v>
      </c>
      <c r="H228" s="17">
        <v>-5.5529999999999998E-3</v>
      </c>
      <c r="I228" s="196">
        <f t="shared" si="97"/>
        <v>10.800062257418324</v>
      </c>
      <c r="J228" s="213">
        <f t="shared" ref="J228:J246" si="98">(B228)*($T$3*$T$4)</f>
        <v>-47533.767143942081</v>
      </c>
      <c r="K228" s="213">
        <f t="shared" ref="K228:K246" si="99">((((2-0)/(2-D228))*B228+(1-((2-0)/(2-D228)))*C228))*($T$3*$T$4)</f>
        <v>-47533.767143942081</v>
      </c>
      <c r="L228" s="197">
        <f>(B228+F228)*($T$3*$T$4)</f>
        <v>-47528.525558907146</v>
      </c>
      <c r="M228" s="197">
        <f>((((2-0)/(2-D228))*B228+(1-((2-0)/(2-D228)))*C228)+F228)*($T$3*$T$4)</f>
        <v>-47528.525558907146</v>
      </c>
      <c r="N228" s="198">
        <f>(B228+G228)*($T$3*$T$4)</f>
        <v>-47526.451640729196</v>
      </c>
      <c r="O228" s="198">
        <f>((((2-0)/(2-D228))*B228+(1-((2-0)/(2-D228)))*C228)+G228)*($T$3*$T$4)</f>
        <v>-47526.451640729196</v>
      </c>
      <c r="P228" s="199">
        <f>(B228+H228)*($T$3*$T$4)</f>
        <v>-47537.251702986614</v>
      </c>
      <c r="Q228" s="199">
        <f>((((2-0)/(2-D228))*B228+(1-((2-0)/(2-D228)))*C228)+H228)*($T$3*$T$4)</f>
        <v>-47537.251702986614</v>
      </c>
      <c r="T228" t="s">
        <v>800</v>
      </c>
      <c r="U228">
        <v>4</v>
      </c>
      <c r="V228" s="1">
        <f>J185-J180</f>
        <v>46.860316145379329</v>
      </c>
      <c r="W228" s="1">
        <f>K185-K180</f>
        <v>46.663703877347871</v>
      </c>
      <c r="Y228" s="1">
        <f>L185-L180</f>
        <v>42.354171989281895</v>
      </c>
      <c r="Z228" s="1">
        <f>M185-M180</f>
        <v>42.157559721250436</v>
      </c>
      <c r="AA228" s="1">
        <v>47.31</v>
      </c>
      <c r="AE228" s="1">
        <f>J209-J204</f>
        <v>45.310823162333691</v>
      </c>
      <c r="AF228" s="1">
        <f>K209-K204</f>
        <v>45.118026566458866</v>
      </c>
      <c r="AG228" s="1">
        <f>J232-J227</f>
        <v>47.523098351928638</v>
      </c>
      <c r="AH228" s="1">
        <f>K232-K227</f>
        <v>47.528230207579327</v>
      </c>
      <c r="AI228" s="1">
        <f>J255-J250</f>
        <v>39.365495879974333</v>
      </c>
      <c r="AJ228" s="1">
        <f>L209-L204</f>
        <v>40.804679006236256</v>
      </c>
      <c r="AK228" s="1">
        <f>L232-L227</f>
        <v>43.016954195831204</v>
      </c>
      <c r="AL228" s="1">
        <f>M232-M227</f>
        <v>43.022086051481892</v>
      </c>
      <c r="AM228" s="1">
        <f>L255-L250</f>
        <v>34.85935172389145</v>
      </c>
    </row>
    <row r="229" spans="1:39">
      <c r="A229" s="191" t="s">
        <v>482</v>
      </c>
      <c r="B229" s="17">
        <v>-76.448147286400001</v>
      </c>
      <c r="C229" s="17"/>
      <c r="D229" s="17"/>
      <c r="E229" s="33"/>
      <c r="F229" s="17">
        <v>2.1045000000000001E-2</v>
      </c>
      <c r="G229" s="17">
        <v>2.4825E-2</v>
      </c>
      <c r="H229" s="17">
        <v>5.7689999999999998E-3</v>
      </c>
      <c r="I229" s="196">
        <f t="shared" si="97"/>
        <v>11.957816883235349</v>
      </c>
      <c r="J229" s="213">
        <f t="shared" si="98"/>
        <v>-47971.922035756535</v>
      </c>
      <c r="K229" s="213">
        <f t="shared" si="99"/>
        <v>-47971.922035756535</v>
      </c>
      <c r="L229" s="197">
        <f>(B229+F229)*($T$3*$T$4)</f>
        <v>-47958.716102910832</v>
      </c>
      <c r="M229" s="197">
        <f>((((2-0)/(2-D229))*B229+(1-((2-0)/(2-D229)))*C229)+F229)*($T$3*$T$4)</f>
        <v>-47958.716102910832</v>
      </c>
      <c r="N229" s="198">
        <f>(B229+G229)*($T$3*$T$4)</f>
        <v>-47956.344117823792</v>
      </c>
      <c r="O229" s="198">
        <f>((((2-0)/(2-D229))*B229+(1-((2-0)/(2-D229)))*C229)+G229)*($T$3*$T$4)</f>
        <v>-47956.344117823792</v>
      </c>
      <c r="P229" s="199">
        <f>(B229+H229)*($T$3*$T$4)</f>
        <v>-47968.301934707029</v>
      </c>
      <c r="Q229" s="199">
        <f>((((2-0)/(2-D229))*B229+(1-((2-0)/(2-D229)))*C229)+H229)*($T$3*$T$4)</f>
        <v>-47968.301934707029</v>
      </c>
      <c r="T229" t="s">
        <v>800</v>
      </c>
      <c r="U229">
        <v>5</v>
      </c>
      <c r="V229" s="1">
        <f>J185-J180</f>
        <v>46.860316145379329</v>
      </c>
      <c r="W229" s="1">
        <f>K185-K180</f>
        <v>46.663703877347871</v>
      </c>
      <c r="Y229" s="1">
        <f>L185-L180</f>
        <v>42.354171989281895</v>
      </c>
      <c r="Z229" s="1">
        <f>M185-M180</f>
        <v>42.157559721250436</v>
      </c>
      <c r="AA229" s="1">
        <v>47.31</v>
      </c>
      <c r="AE229" s="1">
        <f>J209-J204</f>
        <v>45.310823162333691</v>
      </c>
      <c r="AF229" s="1">
        <f>K209-K204</f>
        <v>45.118026566458866</v>
      </c>
      <c r="AG229" s="1">
        <f>J232-J227</f>
        <v>47.523098351928638</v>
      </c>
      <c r="AH229" s="1">
        <f>K232-K227</f>
        <v>47.528230207579327</v>
      </c>
      <c r="AI229" s="1">
        <f>J255-J250</f>
        <v>39.365495879974333</v>
      </c>
      <c r="AJ229" s="1">
        <f>L209-L204</f>
        <v>40.804679006236256</v>
      </c>
      <c r="AK229" s="1">
        <f>L232-L227</f>
        <v>43.016954195831204</v>
      </c>
      <c r="AL229" s="1">
        <f>M232-M227</f>
        <v>43.022086051481892</v>
      </c>
      <c r="AM229" s="1">
        <f>L255-L250</f>
        <v>34.85935172389145</v>
      </c>
    </row>
    <row r="230" spans="1:39">
      <c r="A230" s="191" t="s">
        <v>768</v>
      </c>
      <c r="B230" s="17">
        <v>-75.080494016399996</v>
      </c>
      <c r="C230" s="17"/>
      <c r="D230" s="17"/>
      <c r="E230" s="33"/>
      <c r="F230" s="17">
        <v>0</v>
      </c>
      <c r="G230" s="17">
        <v>2.3600000000000001E-3</v>
      </c>
      <c r="H230" s="17">
        <v>-1.1932999999999999E-2</v>
      </c>
      <c r="I230" s="196">
        <f t="shared" si="97"/>
        <v>8.9689901717087963</v>
      </c>
      <c r="J230" s="213">
        <f t="shared" si="98"/>
        <v>-47113.706913883208</v>
      </c>
      <c r="K230" s="213">
        <f t="shared" si="99"/>
        <v>-47113.706913883208</v>
      </c>
      <c r="L230" s="197">
        <f>(B230+F230)*($T$3*$T$4)</f>
        <v>-47113.706913883208</v>
      </c>
      <c r="M230" s="197">
        <f>((((2-0)/(2-D230))*B230+(1-((2-0)/(2-D230)))*C230)+F230)*($T$3*$T$4)</f>
        <v>-47113.706913883208</v>
      </c>
      <c r="N230" s="198">
        <f>(B230+G230)*($T$3*$T$4)</f>
        <v>-47112.225991977015</v>
      </c>
      <c r="O230" s="198">
        <f>((((2-0)/(2-D230))*B230+(1-((2-0)/(2-D230)))*C230)+G230)*($T$3*$T$4)</f>
        <v>-47112.225991977015</v>
      </c>
      <c r="P230" s="199">
        <f>(B230+H230)*($T$3*$T$4)</f>
        <v>-47121.194982148721</v>
      </c>
      <c r="Q230" s="199">
        <f>((((2-0)/(2-D230))*B230+(1-((2-0)/(2-D230)))*C230)+H230)*($T$3*$T$4)</f>
        <v>-47121.194982148721</v>
      </c>
      <c r="T230" t="s">
        <v>786</v>
      </c>
      <c r="U230">
        <v>6</v>
      </c>
      <c r="V230" s="1">
        <f>2*J181-J180</f>
        <v>50.644504597119521</v>
      </c>
      <c r="W230" s="1">
        <f>2*K181-K180</f>
        <v>50.644504597119521</v>
      </c>
      <c r="X230" s="1">
        <f>(2*(-75.649756)--151.378801)*($T$3*$T$4)</f>
        <v>49.754583483157603</v>
      </c>
      <c r="Y230" s="1">
        <f>2*L181-L180</f>
        <v>44.663713627640391</v>
      </c>
      <c r="Z230" s="1">
        <f>2*M181-M180</f>
        <v>44.663713627640391</v>
      </c>
      <c r="AA230" s="1">
        <v>51.2</v>
      </c>
      <c r="AB230">
        <v>48.7</v>
      </c>
      <c r="AC230">
        <v>46.4</v>
      </c>
      <c r="AD230" s="1">
        <v>45.4</v>
      </c>
      <c r="AE230" s="1">
        <f>2*J205-J204</f>
        <v>49.708816219150322</v>
      </c>
      <c r="AF230" s="1">
        <f>2*K205-K204</f>
        <v>49.708816219150322</v>
      </c>
      <c r="AG230" s="1">
        <f>2*J228-J227</f>
        <v>51.508953226759331</v>
      </c>
      <c r="AH230" s="1">
        <f>2*K228-K227</f>
        <v>51.508953226759331</v>
      </c>
      <c r="AI230" s="1"/>
      <c r="AJ230" s="1">
        <f>2*L205-L204</f>
        <v>43.728025249671191</v>
      </c>
      <c r="AK230" s="1">
        <f>2*N228-N227</f>
        <v>47.065559998896788</v>
      </c>
      <c r="AL230" s="1">
        <f>2*M228-M227</f>
        <v>45.528162257294753</v>
      </c>
      <c r="AM230" s="1"/>
    </row>
    <row r="231" spans="1:39">
      <c r="A231" s="191"/>
      <c r="B231" s="17"/>
      <c r="C231" s="17"/>
      <c r="D231" s="17"/>
      <c r="E231" s="33"/>
      <c r="F231" s="17"/>
      <c r="G231" s="17"/>
      <c r="H231" s="17"/>
      <c r="I231" s="196">
        <f t="shared" si="97"/>
        <v>0</v>
      </c>
      <c r="J231" s="213">
        <f t="shared" si="98"/>
        <v>0</v>
      </c>
      <c r="K231" s="213">
        <f t="shared" si="99"/>
        <v>0</v>
      </c>
      <c r="L231" s="197">
        <f>(B231+F231)*($T$3*$T$4)</f>
        <v>0</v>
      </c>
      <c r="M231" s="197">
        <f>((((2-0)/(2-D231))*B231+(1-((2-0)/(2-D231)))*C231)+F231)*($T$3*$T$4)</f>
        <v>0</v>
      </c>
      <c r="N231" s="198">
        <f>(B231+G231)*($T$3*$T$4)</f>
        <v>0</v>
      </c>
      <c r="O231" s="198">
        <f>((((2-0)/(2-D231))*B231+(1-((2-0)/(2-D231)))*C231)+G231)*($T$3*$T$4)</f>
        <v>0</v>
      </c>
      <c r="P231" s="199">
        <f>(B231+H231)*($T$3*$T$4)</f>
        <v>0</v>
      </c>
      <c r="Q231" s="199">
        <f>((((2-0)/(2-D231))*B231+(1-((2-0)/(2-D231)))*C231)+H231)*($T$3*$T$4)</f>
        <v>0</v>
      </c>
      <c r="T231" t="s">
        <v>786</v>
      </c>
      <c r="U231">
        <v>7</v>
      </c>
      <c r="V231" s="1">
        <f>2*J181-J180</f>
        <v>50.644504597119521</v>
      </c>
      <c r="W231" s="1">
        <f>2*K181-K180</f>
        <v>50.644504597119521</v>
      </c>
      <c r="X231" s="1">
        <f>(2*(-75.649756)--151.378801)*($T$3*$T$4)</f>
        <v>49.754583483157603</v>
      </c>
      <c r="Y231" s="1">
        <f>2*L181-L180</f>
        <v>44.663713627640391</v>
      </c>
      <c r="Z231" s="1">
        <f>2*M181-M180</f>
        <v>44.663713627640391</v>
      </c>
      <c r="AA231" s="1">
        <v>51.2</v>
      </c>
      <c r="AB231">
        <v>48.7</v>
      </c>
      <c r="AC231">
        <v>46.4</v>
      </c>
      <c r="AD231" s="1">
        <v>45.4</v>
      </c>
      <c r="AE231" s="1">
        <f>2*J205-J204</f>
        <v>49.708816219150322</v>
      </c>
      <c r="AF231" s="1">
        <f>2*K205-K204</f>
        <v>49.708816219150322</v>
      </c>
      <c r="AG231" s="1">
        <f>2*J228-J227</f>
        <v>51.508953226759331</v>
      </c>
      <c r="AH231" s="1">
        <f>2*K228-K227</f>
        <v>51.508953226759331</v>
      </c>
      <c r="AI231" s="1"/>
      <c r="AJ231" s="1">
        <f>2*L205-L204</f>
        <v>43.728025249671191</v>
      </c>
      <c r="AK231" s="1">
        <f>2*L228-L227</f>
        <v>45.528162257294753</v>
      </c>
      <c r="AL231" s="1">
        <f>2*M228-M227</f>
        <v>45.528162257294753</v>
      </c>
      <c r="AM231" s="1"/>
    </row>
    <row r="232" spans="1:39">
      <c r="A232" s="191" t="s">
        <v>836</v>
      </c>
      <c r="B232" s="17">
        <v>-151.506157481</v>
      </c>
      <c r="C232" s="17">
        <v>-151.506165581</v>
      </c>
      <c r="D232" s="17">
        <v>1.0047999999999999</v>
      </c>
      <c r="E232" s="33"/>
      <c r="F232" s="17">
        <v>1.9056E-2</v>
      </c>
      <c r="G232" s="17">
        <v>2.4662E-2</v>
      </c>
      <c r="H232" s="17">
        <v>-2.3189999999999999E-3</v>
      </c>
      <c r="I232" s="196">
        <f>(G232-H232)*($T$3*$T$4)</f>
        <v>16.930827945349122</v>
      </c>
      <c r="J232" s="213">
        <f t="shared" si="98"/>
        <v>-95071.520142758993</v>
      </c>
      <c r="K232" s="213">
        <f t="shared" si="99"/>
        <v>-95071.515010903342</v>
      </c>
      <c r="L232" s="197">
        <f>(B232+F232)*($T$3*$T$4)</f>
        <v>-95059.562325875755</v>
      </c>
      <c r="M232" s="197">
        <f>((((2-0)/(2-D232))*B232+(1-((2-0)/(2-D232)))*C232)+F232)*($T$3*$T$4)</f>
        <v>-95059.557194020104</v>
      </c>
      <c r="N232" s="198">
        <f>(B232+G232)*($T$3*$T$4)</f>
        <v>-95056.044508839259</v>
      </c>
      <c r="O232" s="198">
        <f>((((2-0)/(2-D232))*B232+(1-((2-0)/(2-D232)))*C232)+G232)*($T$3*$T$4)</f>
        <v>-95056.039376983608</v>
      </c>
      <c r="P232" s="199">
        <f>(B232+H232)*($T$3*$T$4)</f>
        <v>-95072.975336784613</v>
      </c>
      <c r="Q232" s="199">
        <f>((((2-0)/(2-D232))*B232+(1-((2-0)/(2-D232)))*C232)+H232)*($T$3*$T$4)</f>
        <v>-95072.970204928963</v>
      </c>
      <c r="AD232" s="1"/>
      <c r="AE232" s="1"/>
      <c r="AF232" s="1"/>
      <c r="AG232" s="1"/>
      <c r="AH232" s="1"/>
      <c r="AI232" s="1"/>
    </row>
    <row r="233" spans="1:39">
      <c r="A233" s="191" t="s">
        <v>837</v>
      </c>
      <c r="B233" s="17">
        <v>-151.50612551</v>
      </c>
      <c r="C233" s="17"/>
      <c r="D233" s="17"/>
      <c r="E233" s="33"/>
      <c r="F233" s="17">
        <v>1.8631999999999999E-2</v>
      </c>
      <c r="G233" s="17">
        <v>2.4471E-2</v>
      </c>
      <c r="H233" s="17">
        <v>-4.0720000000000001E-3</v>
      </c>
      <c r="I233" s="196">
        <f>(G233-H233)*($T$3*$T$4)</f>
        <v>17.91099744427931</v>
      </c>
      <c r="J233" s="213">
        <f t="shared" si="98"/>
        <v>-95071.500080659724</v>
      </c>
      <c r="K233" s="213">
        <f t="shared" si="99"/>
        <v>-95071.500080659724</v>
      </c>
      <c r="L233" s="197">
        <f>(B233+F233)*($T$3*$T$4)</f>
        <v>-95059.808327712177</v>
      </c>
      <c r="M233" s="197">
        <f>((((2-0)/(2-D233))*B233+(1-((2-0)/(2-D233)))*C233)+F233)*($T$3*$T$4)</f>
        <v>-95059.808327712177</v>
      </c>
      <c r="N233" s="198">
        <f>(B233+G233)*($T$3*$T$4)</f>
        <v>-95056.144301012915</v>
      </c>
      <c r="O233" s="198">
        <f>((((2-0)/(2-D233))*B233+(1-((2-0)/(2-D233)))*C233)+G233)*($T$3*$T$4)</f>
        <v>-95056.144301012915</v>
      </c>
      <c r="P233" s="199">
        <f>(B233+H233)*($T$3*$T$4)</f>
        <v>-95074.055298457199</v>
      </c>
      <c r="Q233" s="199">
        <f>((((2-0)/(2-D233))*B233+(1-((2-0)/(2-D233)))*C233)+H233)*($T$3*$T$4)</f>
        <v>-95074.055298457199</v>
      </c>
    </row>
    <row r="234" spans="1:39">
      <c r="A234" s="191"/>
      <c r="B234" s="17"/>
      <c r="C234" s="17"/>
      <c r="D234" s="17"/>
      <c r="E234" s="33"/>
      <c r="F234" s="17"/>
      <c r="G234" s="17"/>
      <c r="H234" s="17"/>
      <c r="I234" s="196">
        <f>(G234-H234)*($T$3*$T$4)</f>
        <v>0</v>
      </c>
      <c r="J234" s="213">
        <f t="shared" si="98"/>
        <v>0</v>
      </c>
      <c r="K234" s="213">
        <f t="shared" si="99"/>
        <v>0</v>
      </c>
      <c r="L234" s="197">
        <f>(B234+F234)*($T$3*$T$4)</f>
        <v>0</v>
      </c>
      <c r="M234" s="197">
        <f>((((2-0)/(2-D234))*B234+(1-((2-0)/(2-D234)))*C234)+F234)*($T$3*$T$4)</f>
        <v>0</v>
      </c>
      <c r="N234" s="198">
        <f>(B234+G234)*($T$3*$T$4)</f>
        <v>0</v>
      </c>
      <c r="O234" s="198">
        <f>((((2-0)/(2-D234))*B234+(1-((2-0)/(2-D234)))*C234)+G234)*($T$3*$T$4)</f>
        <v>0</v>
      </c>
      <c r="P234" s="199">
        <f>(B234+H234)*($T$3*$T$4)</f>
        <v>0</v>
      </c>
      <c r="Q234" s="199">
        <f>((((2-0)/(2-D234))*B234+(1-((2-0)/(2-D234)))*C234)+H234)*($T$3*$T$4)</f>
        <v>0</v>
      </c>
    </row>
    <row r="235" spans="1:39">
      <c r="A235" s="191" t="s">
        <v>789</v>
      </c>
      <c r="B235" s="194">
        <v>-151.505376176</v>
      </c>
      <c r="C235" s="17">
        <v>-151.50529424499999</v>
      </c>
      <c r="D235" s="17">
        <v>0.99439999999999995</v>
      </c>
      <c r="E235" s="33">
        <v>217.52</v>
      </c>
      <c r="F235" s="17">
        <v>1.8324E-2</v>
      </c>
      <c r="G235" s="17">
        <v>2.3525000000000001E-2</v>
      </c>
      <c r="H235" s="17">
        <v>-2.7539999999999999E-3</v>
      </c>
      <c r="I235" s="196">
        <f>(G235-H235)*($T$3*$T$4)</f>
        <v>16.490316429184599</v>
      </c>
      <c r="J235" s="213">
        <f t="shared" si="98"/>
        <v>-95071.029866619196</v>
      </c>
      <c r="K235" s="213">
        <f t="shared" si="99"/>
        <v>-95071.080706469234</v>
      </c>
      <c r="L235" s="197">
        <f>(B235+F235)*($T$3*$T$4)</f>
        <v>-95059.53138653058</v>
      </c>
      <c r="M235" s="197">
        <f>((((2-0)/(2-D235))*B235+(1-((2-0)/(2-D235)))*C235)+F235)*($T$3*$T$4)</f>
        <v>-95059.582226380633</v>
      </c>
      <c r="N235" s="198">
        <f>(B235+G235)*($T$3*$T$4)</f>
        <v>-95056.267710753411</v>
      </c>
      <c r="O235" s="198">
        <f>((((2-0)/(2-D235))*B235+(1-((2-0)/(2-D235)))*C235)+G235)*($T$3*$T$4)</f>
        <v>-95056.318550603464</v>
      </c>
      <c r="P235" s="199">
        <f>(B235+H235)*($T$3*$T$4)</f>
        <v>-95072.758027182615</v>
      </c>
      <c r="Q235" s="199">
        <f>((((2-0)/(2-D235))*B235+(1-((2-0)/(2-D235)))*C235)+H235)*($T$3*$T$4)</f>
        <v>-95072.808867032654</v>
      </c>
    </row>
    <row r="236" spans="1:39">
      <c r="A236" s="191" t="s">
        <v>790</v>
      </c>
      <c r="B236" s="17">
        <v>-151.50546084699999</v>
      </c>
      <c r="C236" s="17"/>
      <c r="D236" s="17"/>
      <c r="E236" s="33">
        <v>145.66</v>
      </c>
      <c r="F236" s="17">
        <v>1.8526000000000001E-2</v>
      </c>
      <c r="G236" s="17">
        <v>2.3501999999999999E-2</v>
      </c>
      <c r="H236" s="17">
        <v>-3.235E-3</v>
      </c>
      <c r="I236" s="196">
        <f>(G236-H236)*($T$3*$T$4)</f>
        <v>16.777715680471424</v>
      </c>
      <c r="J236" s="213">
        <f t="shared" si="98"/>
        <v>-95071.082998457627</v>
      </c>
      <c r="K236" s="213">
        <f t="shared" si="99"/>
        <v>-95071.082998457627</v>
      </c>
      <c r="L236" s="197">
        <f>(B236+F236)*($T$3*$T$4)</f>
        <v>-95059.457761494006</v>
      </c>
      <c r="M236" s="197">
        <f>((((2-0)/(2-D236))*B236+(1-((2-0)/(2-D236)))*C236)+F236)*($T$3*$T$4)</f>
        <v>-95059.457761494006</v>
      </c>
      <c r="N236" s="198">
        <f>(B236+G236)*($T$3*$T$4)</f>
        <v>-95056.335275305348</v>
      </c>
      <c r="O236" s="198">
        <f>((((2-0)/(2-D236))*B236+(1-((2-0)/(2-D236)))*C236)+G236)*($T$3*$T$4)</f>
        <v>-95056.335275305348</v>
      </c>
      <c r="P236" s="199">
        <f>(B236+H236)*($T$3*$T$4)</f>
        <v>-95073.112990985814</v>
      </c>
      <c r="Q236" s="199">
        <f>((((2-0)/(2-D236))*B236+(1-((2-0)/(2-D236)))*C236)+H236)*($T$3*$T$4)</f>
        <v>-95073.112990985814</v>
      </c>
    </row>
    <row r="237" spans="1:39">
      <c r="A237" s="191" t="s">
        <v>793</v>
      </c>
      <c r="B237" s="17">
        <v>-151.49535007</v>
      </c>
      <c r="C237" s="17"/>
      <c r="D237" s="17"/>
      <c r="E237" s="33"/>
      <c r="F237" s="17">
        <v>2.2603999999999999E-2</v>
      </c>
      <c r="G237" s="17">
        <v>2.6983E-2</v>
      </c>
      <c r="H237" s="17">
        <v>2.4120000000000001E-3</v>
      </c>
      <c r="I237" s="196">
        <f>(G237-H237)*($T$3*$T$4)</f>
        <v>15.418530575040709</v>
      </c>
      <c r="J237" s="213">
        <f t="shared" si="98"/>
        <v>-95064.738392039013</v>
      </c>
      <c r="K237" s="213">
        <f t="shared" si="99"/>
        <v>-95064.738392039013</v>
      </c>
      <c r="L237" s="197">
        <f>(B237+F237)*($T$3*$T$4)</f>
        <v>-95050.554172222226</v>
      </c>
      <c r="M237" s="197">
        <f>((((2-0)/(2-D237))*B237+(1-((2-0)/(2-D237)))*C237)+F237)*($T$3*$T$4)</f>
        <v>-95050.554172222226</v>
      </c>
      <c r="N237" s="198">
        <f>(B237+G237)*($T$3*$T$4)</f>
        <v>-95047.806309075095</v>
      </c>
      <c r="O237" s="198">
        <f>((((2-0)/(2-D237))*B237+(1-((2-0)/(2-D237)))*C237)+G237)*($T$3*$T$4)</f>
        <v>-95047.806309075095</v>
      </c>
      <c r="P237" s="199">
        <f>(B237+H237)*($T$3*$T$4)</f>
        <v>-95063.224839650138</v>
      </c>
      <c r="Q237" s="199">
        <f>((((2-0)/(2-D237))*B237+(1-((2-0)/(2-D237)))*C237)+H237)*($T$3*$T$4)</f>
        <v>-95063.224839650138</v>
      </c>
    </row>
    <row r="238" spans="1:39">
      <c r="A238" s="191"/>
      <c r="B238" s="17"/>
      <c r="C238" s="17"/>
      <c r="D238" s="17"/>
      <c r="E238" s="33"/>
      <c r="F238" s="17"/>
      <c r="G238" s="17"/>
      <c r="H238" s="17"/>
      <c r="I238" s="196">
        <f>(G238-H238)*($T$3*$T$4)</f>
        <v>0</v>
      </c>
      <c r="J238" s="213">
        <f t="shared" si="98"/>
        <v>0</v>
      </c>
      <c r="K238" s="213">
        <f t="shared" si="99"/>
        <v>0</v>
      </c>
      <c r="L238" s="197">
        <f>(B238+F238)*($T$3*$T$4)</f>
        <v>0</v>
      </c>
      <c r="M238" s="197">
        <f>((((2-0)/(2-D238))*B238+(1-((2-0)/(2-D238)))*C238)+F238)*($T$3*$T$4)</f>
        <v>0</v>
      </c>
      <c r="N238" s="198">
        <f>(B238+G238)*($T$3*$T$4)</f>
        <v>0</v>
      </c>
      <c r="O238" s="198">
        <f>((((2-0)/(2-D238))*B238+(1-((2-0)/(2-D238)))*C238)+G238)*($T$3*$T$4)</f>
        <v>0</v>
      </c>
      <c r="P238" s="199">
        <f>(B238+H238)*($T$3*$T$4)</f>
        <v>0</v>
      </c>
      <c r="Q238" s="199">
        <f>((((2-0)/(2-D238))*B238+(1-((2-0)/(2-D238)))*C238)+H238)*($T$3*$T$4)</f>
        <v>0</v>
      </c>
    </row>
    <row r="239" spans="1:39">
      <c r="A239" s="191" t="s">
        <v>804</v>
      </c>
      <c r="B239" s="17">
        <v>-151.49904029800001</v>
      </c>
      <c r="C239" s="17"/>
      <c r="D239" s="17"/>
      <c r="E239" s="33">
        <v>784.07</v>
      </c>
      <c r="F239" s="17">
        <v>1.6056000000000001E-2</v>
      </c>
      <c r="G239" s="17">
        <v>2.0826999999999998E-2</v>
      </c>
      <c r="H239" s="17">
        <v>-5.2110000000000004E-3</v>
      </c>
      <c r="I239" s="196">
        <f>(G239-H239)*($T$3*$T$4)</f>
        <v>16.339086692153757</v>
      </c>
      <c r="J239" s="213">
        <f t="shared" si="98"/>
        <v>-95067.054044362769</v>
      </c>
      <c r="K239" s="213">
        <f t="shared" si="99"/>
        <v>-95067.054044362769</v>
      </c>
      <c r="L239" s="197">
        <f>(B239+F239)*($T$3*$T$4)</f>
        <v>-95056.978755326403</v>
      </c>
      <c r="M239" s="197">
        <f>((((2-0)/(2-D239))*B239+(1-((2-0)/(2-D239)))*C239)+F239)*($T$3*$T$4)</f>
        <v>-95056.978755326403</v>
      </c>
      <c r="N239" s="198">
        <f>(B239+G239)*($T$3*$T$4)</f>
        <v>-95053.984908540602</v>
      </c>
      <c r="O239" s="198">
        <f>((((2-0)/(2-D239))*B239+(1-((2-0)/(2-D239)))*C239)+G239)*($T$3*$T$4)</f>
        <v>-95053.984908540602</v>
      </c>
      <c r="P239" s="199">
        <f>(B239+H239)*($T$3*$T$4)</f>
        <v>-95070.323995232757</v>
      </c>
      <c r="Q239" s="199">
        <f>((((2-0)/(2-D239))*B239+(1-((2-0)/(2-D239)))*C239)+H239)*($T$3*$T$4)</f>
        <v>-95070.323995232757</v>
      </c>
    </row>
    <row r="240" spans="1:39">
      <c r="A240" s="191" t="s">
        <v>806</v>
      </c>
      <c r="B240" s="17">
        <v>-151.53123322100001</v>
      </c>
      <c r="C240" s="17"/>
      <c r="D240" s="17"/>
      <c r="E240" s="33"/>
      <c r="F240" s="17">
        <v>2.2093000000000002E-2</v>
      </c>
      <c r="G240" s="17">
        <v>2.7744999999999999E-2</v>
      </c>
      <c r="H240" s="17">
        <v>-9.1600000000000004E-4</v>
      </c>
      <c r="I240" s="196">
        <f t="shared" ref="I240:I246" si="100">(G240-H240)*($T$3*$T$4)</f>
        <v>17.985043539589018</v>
      </c>
      <c r="J240" s="213">
        <f t="shared" si="98"/>
        <v>-95087.255402369177</v>
      </c>
      <c r="K240" s="213">
        <f t="shared" si="99"/>
        <v>-95087.255402369177</v>
      </c>
      <c r="L240" s="197">
        <f>(B240+F240)*($T$3*$T$4)</f>
        <v>-95073.391839795629</v>
      </c>
      <c r="M240" s="197">
        <f>((((2-0)/(2-D240))*B240+(1-((2-0)/(2-D240)))*C240)+F240)*($T$3*$T$4)</f>
        <v>-95073.391839795629</v>
      </c>
      <c r="N240" s="198">
        <f>(B240+G240)*($T$3*$T$4)</f>
        <v>-95069.845157332151</v>
      </c>
      <c r="O240" s="198">
        <f>((((2-0)/(2-D240))*B240+(1-((2-0)/(2-D240)))*C240)+G240)*($T$3*$T$4)</f>
        <v>-95069.845157332151</v>
      </c>
      <c r="P240" s="199">
        <f>(B240+H240)*($T$3*$T$4)</f>
        <v>-95087.830200871744</v>
      </c>
      <c r="Q240" s="199">
        <f>((((2-0)/(2-D240))*B240+(1-((2-0)/(2-D240)))*C240)+H240)*($T$3*$T$4)</f>
        <v>-95087.830200871744</v>
      </c>
    </row>
    <row r="241" spans="1:52">
      <c r="A241" s="191"/>
      <c r="B241" s="17"/>
      <c r="C241" s="17"/>
      <c r="D241" s="17"/>
      <c r="E241" s="33"/>
      <c r="F241" s="17"/>
      <c r="G241" s="17"/>
      <c r="H241" s="17"/>
      <c r="I241" s="196">
        <f t="shared" si="100"/>
        <v>0</v>
      </c>
      <c r="J241" s="213">
        <f t="shared" si="98"/>
        <v>0</v>
      </c>
      <c r="K241" s="213">
        <f t="shared" si="99"/>
        <v>0</v>
      </c>
      <c r="L241" s="197">
        <f>(B241+F241)*($T$3*$T$4)</f>
        <v>0</v>
      </c>
      <c r="M241" s="197">
        <f>((((2-0)/(2-D241))*B241+(1-((2-0)/(2-D241)))*C241)+F241)*($T$3*$T$4)</f>
        <v>0</v>
      </c>
      <c r="N241" s="198">
        <f>(B241+G241)*($T$3*$T$4)</f>
        <v>0</v>
      </c>
      <c r="O241" s="198">
        <f>((((2-0)/(2-D241))*B241+(1-((2-0)/(2-D241)))*C241)+G241)*($T$3*$T$4)</f>
        <v>0</v>
      </c>
      <c r="P241" s="199">
        <f>(B241+H241)*($T$3*$T$4)</f>
        <v>0</v>
      </c>
      <c r="Q241" s="199">
        <f>((((2-0)/(2-D241))*B241+(1-((2-0)/(2-D241)))*C241)+H241)*($T$3*$T$4)</f>
        <v>0</v>
      </c>
    </row>
    <row r="242" spans="1:52">
      <c r="A242" s="191" t="s">
        <v>839</v>
      </c>
      <c r="B242" s="17">
        <v>-151.47877683799999</v>
      </c>
      <c r="C242" s="17"/>
      <c r="D242" s="17"/>
      <c r="E242" s="33">
        <v>2029.13</v>
      </c>
      <c r="F242" s="17">
        <v>1.7392000000000001E-2</v>
      </c>
      <c r="G242" s="17">
        <v>2.1621999999999999E-2</v>
      </c>
      <c r="H242" s="17">
        <v>-3.4099999999999998E-3</v>
      </c>
      <c r="I242" s="196">
        <f t="shared" si="100"/>
        <v>15.707812354174392</v>
      </c>
      <c r="J242" s="213">
        <f t="shared" si="98"/>
        <v>-95054.338535121526</v>
      </c>
      <c r="K242" s="213">
        <f t="shared" si="99"/>
        <v>-95054.338535121526</v>
      </c>
      <c r="L242" s="197">
        <f>(B242+F242)*($T$3*$T$4)</f>
        <v>-95043.424893684016</v>
      </c>
      <c r="M242" s="197">
        <f>((((2-0)/(2-D242))*B242+(1-((2-0)/(2-D242)))*C242)+F242)*($T$3*$T$4)</f>
        <v>-95043.424893684016</v>
      </c>
      <c r="N242" s="198">
        <f>(B242+G242)*($T$3*$T$4)</f>
        <v>-95040.77052941994</v>
      </c>
      <c r="O242" s="198">
        <f>((((2-0)/(2-D242))*B242+(1-((2-0)/(2-D242)))*C242)+G242)*($T$3*$T$4)</f>
        <v>-95040.77052941994</v>
      </c>
      <c r="P242" s="199">
        <f>(B242+H242)*($T$3*$T$4)</f>
        <v>-95056.478341774127</v>
      </c>
      <c r="Q242" s="199">
        <f>((((2-0)/(2-D242))*B242+(1-((2-0)/(2-D242)))*C242)+H242)*($T$3*$T$4)</f>
        <v>-95056.478341774127</v>
      </c>
    </row>
    <row r="243" spans="1:52">
      <c r="A243" s="191" t="s">
        <v>840</v>
      </c>
      <c r="B243" s="17">
        <v>-151.53164726399999</v>
      </c>
      <c r="C243" s="17"/>
      <c r="D243" s="17"/>
      <c r="E243" s="33"/>
      <c r="F243" s="17">
        <v>2.2141999999999998E-2</v>
      </c>
      <c r="G243" s="17">
        <v>2.7723000000000001E-2</v>
      </c>
      <c r="H243" s="17">
        <v>-6.6799999999999997E-4</v>
      </c>
      <c r="I243" s="196">
        <f t="shared" si="100"/>
        <v>17.815616033371892</v>
      </c>
      <c r="J243" s="213">
        <f t="shared" si="98"/>
        <v>-95087.515218194923</v>
      </c>
      <c r="K243" s="213">
        <f t="shared" si="99"/>
        <v>-95087.515218194923</v>
      </c>
      <c r="L243" s="197">
        <f>(B243+F243)*($T$3*$T$4)</f>
        <v>-95073.620907666555</v>
      </c>
      <c r="M243" s="197">
        <f>((((2-0)/(2-D243))*B243+(1-((2-0)/(2-D243)))*C243)+F243)*($T$3*$T$4)</f>
        <v>-95073.620907666555</v>
      </c>
      <c r="N243" s="198">
        <f>(B243+G243)*($T$3*$T$4)</f>
        <v>-95070.118778362114</v>
      </c>
      <c r="O243" s="198">
        <f>((((2-0)/(2-D243))*B243+(1-((2-0)/(2-D243)))*C243)+G243)*($T$3*$T$4)</f>
        <v>-95070.118778362114</v>
      </c>
      <c r="P243" s="199">
        <f>(B243+H243)*($T$3*$T$4)</f>
        <v>-95087.934394395488</v>
      </c>
      <c r="Q243" s="199">
        <f>((((2-0)/(2-D243))*B243+(1-((2-0)/(2-D243)))*C243)+H243)*($T$3*$T$4)</f>
        <v>-95087.934394395488</v>
      </c>
    </row>
    <row r="244" spans="1:52">
      <c r="A244" s="191"/>
      <c r="B244" s="17"/>
      <c r="C244" s="17"/>
      <c r="D244" s="17"/>
      <c r="E244" s="33"/>
      <c r="F244" s="17"/>
      <c r="G244" s="17"/>
      <c r="H244" s="17"/>
      <c r="I244" s="196">
        <f t="shared" si="100"/>
        <v>0</v>
      </c>
      <c r="J244" s="213">
        <f t="shared" si="98"/>
        <v>0</v>
      </c>
      <c r="K244" s="213">
        <f t="shared" si="99"/>
        <v>0</v>
      </c>
      <c r="L244" s="197">
        <f>(B244+F244)*($T$3*$T$4)</f>
        <v>0</v>
      </c>
      <c r="M244" s="197">
        <f>((((2-0)/(2-D244))*B244+(1-((2-0)/(2-D244)))*C244)+F244)*($T$3*$T$4)</f>
        <v>0</v>
      </c>
      <c r="N244" s="198">
        <f>(B244+G244)*($T$3*$T$4)</f>
        <v>0</v>
      </c>
      <c r="O244" s="198">
        <f>((((2-0)/(2-D244))*B244+(1-((2-0)/(2-D244)))*C244)+G244)*($T$3*$T$4)</f>
        <v>0</v>
      </c>
      <c r="P244" s="199">
        <f>(B244+H244)*($T$3*$T$4)</f>
        <v>0</v>
      </c>
      <c r="Q244" s="199">
        <f>((((2-0)/(2-D244))*B244+(1-((2-0)/(2-D244)))*C244)+H244)*($T$3*$T$4)</f>
        <v>0</v>
      </c>
    </row>
    <row r="245" spans="1:52">
      <c r="A245" s="191"/>
      <c r="B245" s="17"/>
      <c r="C245" s="17"/>
      <c r="D245" s="17"/>
      <c r="E245" s="33"/>
      <c r="F245" s="17"/>
      <c r="G245" s="17"/>
      <c r="H245" s="17"/>
      <c r="I245" s="196">
        <f t="shared" si="100"/>
        <v>0</v>
      </c>
      <c r="J245" s="213">
        <f t="shared" si="98"/>
        <v>0</v>
      </c>
      <c r="K245" s="213">
        <f t="shared" si="99"/>
        <v>0</v>
      </c>
      <c r="L245" s="197">
        <f>(B245+F245)*($T$3*$T$4)</f>
        <v>0</v>
      </c>
      <c r="M245" s="197">
        <f>((((2-0)/(2-D245))*B245+(1-((2-0)/(2-D245)))*C245)+F245)*($T$3*$T$4)</f>
        <v>0</v>
      </c>
      <c r="N245" s="198">
        <f>(B245+G245)*($T$3*$T$4)</f>
        <v>0</v>
      </c>
      <c r="O245" s="198">
        <f>((((2-0)/(2-D245))*B245+(1-((2-0)/(2-D245)))*C245)+G245)*($T$3*$T$4)</f>
        <v>0</v>
      </c>
      <c r="P245" s="199">
        <f>(B245+H245)*($T$3*$T$4)</f>
        <v>0</v>
      </c>
      <c r="Q245" s="199">
        <f>((((2-0)/(2-D245))*B245+(1-((2-0)/(2-D245)))*C245)+H245)*($T$3*$T$4)</f>
        <v>0</v>
      </c>
    </row>
    <row r="246" spans="1:52">
      <c r="A246" s="191"/>
      <c r="B246" s="17"/>
      <c r="C246" s="17"/>
      <c r="D246" s="17"/>
      <c r="E246" s="33"/>
      <c r="F246" s="17"/>
      <c r="G246" s="17"/>
      <c r="H246" s="17"/>
      <c r="I246" s="196">
        <f t="shared" si="100"/>
        <v>0</v>
      </c>
      <c r="J246" s="213">
        <f t="shared" si="98"/>
        <v>0</v>
      </c>
      <c r="K246" s="213">
        <f t="shared" si="99"/>
        <v>0</v>
      </c>
      <c r="L246" s="197">
        <f>(B246+F246)*($T$3*$T$4)</f>
        <v>0</v>
      </c>
      <c r="M246" s="197">
        <f>((((2-0)/(2-D246))*B246+(1-((2-0)/(2-D246)))*C246)+F246)*($T$3*$T$4)</f>
        <v>0</v>
      </c>
      <c r="N246" s="198">
        <f>(B246+G246)*($T$3*$T$4)</f>
        <v>0</v>
      </c>
      <c r="O246" s="198">
        <f>((((2-0)/(2-D246))*B246+(1-((2-0)/(2-D246)))*C246)+G246)*($T$3*$T$4)</f>
        <v>0</v>
      </c>
      <c r="P246" s="199">
        <f>(B246+H246)*($T$3*$T$4)</f>
        <v>0</v>
      </c>
      <c r="Q246" s="199">
        <f>((((2-0)/(2-D246))*B246+(1-((2-0)/(2-D246)))*C246)+H246)*($T$3*$T$4)</f>
        <v>0</v>
      </c>
    </row>
    <row r="248" spans="1:52">
      <c r="A248" s="15" t="s">
        <v>859</v>
      </c>
      <c r="B248" s="15"/>
      <c r="C248" s="15"/>
      <c r="D248" s="15"/>
      <c r="E248" s="15"/>
      <c r="F248" s="15"/>
      <c r="G248" s="15"/>
    </row>
    <row r="249" spans="1:52" ht="60">
      <c r="A249" s="178" t="s">
        <v>525</v>
      </c>
      <c r="B249" s="190" t="s">
        <v>710</v>
      </c>
      <c r="C249" s="190" t="s">
        <v>711</v>
      </c>
      <c r="D249" s="178" t="s">
        <v>712</v>
      </c>
      <c r="E249" s="190" t="s">
        <v>532</v>
      </c>
      <c r="F249" s="190" t="s">
        <v>527</v>
      </c>
      <c r="G249" s="190" t="s">
        <v>528</v>
      </c>
      <c r="H249" s="190" t="s">
        <v>529</v>
      </c>
      <c r="I249" s="190" t="s">
        <v>542</v>
      </c>
      <c r="J249" s="212" t="s">
        <v>844</v>
      </c>
      <c r="K249" s="212" t="s">
        <v>845</v>
      </c>
      <c r="L249" s="202" t="s">
        <v>691</v>
      </c>
      <c r="M249" s="202" t="s">
        <v>695</v>
      </c>
      <c r="N249" s="203" t="s">
        <v>694</v>
      </c>
      <c r="O249" s="203" t="s">
        <v>696</v>
      </c>
      <c r="P249" s="204" t="s">
        <v>692</v>
      </c>
      <c r="Q249" s="204" t="s">
        <v>693</v>
      </c>
    </row>
    <row r="250" spans="1:52">
      <c r="A250" s="191" t="s">
        <v>175</v>
      </c>
      <c r="B250" s="17">
        <v>-151.54498057800001</v>
      </c>
      <c r="C250" s="17"/>
      <c r="D250" s="17"/>
      <c r="E250" s="33"/>
      <c r="F250" s="17">
        <v>2.6237E-2</v>
      </c>
      <c r="G250" s="17">
        <v>3.0397E-2</v>
      </c>
      <c r="H250" s="17">
        <v>6.9740000000000002E-3</v>
      </c>
      <c r="I250" s="196">
        <f t="shared" ref="I250:I261" si="101">(G250-H250)*($T$3*$T$4)</f>
        <v>14.698149918976782</v>
      </c>
      <c r="J250" s="213">
        <f>(B250)*($T$3*$T$4)</f>
        <v>-95095.881996493568</v>
      </c>
      <c r="K250" s="213">
        <f>((((2-0)/(2-D250))*B250+(1-((2-0)/(2-D250)))*C250))*($T$3*$T$4)</f>
        <v>-95095.881996493568</v>
      </c>
      <c r="L250" s="197">
        <f>(B250+F250)*($T$3*$T$4)</f>
        <v>-95079.418035454233</v>
      </c>
      <c r="M250" s="197">
        <f>((((2-0)/(2-D250))*B250+(1-((2-0)/(2-D250)))*C250)+F250)*($T$3*$T$4)</f>
        <v>-95079.418035454233</v>
      </c>
      <c r="N250" s="198">
        <f>(B250+G250)*($T$3*$T$4)</f>
        <v>-95076.807596839935</v>
      </c>
      <c r="O250" s="198">
        <f>((((2-0)/(2-D250))*B250+(1-((2-0)/(2-D250)))*C250)+G250)*($T$3*$T$4)</f>
        <v>-95076.807596839935</v>
      </c>
      <c r="P250" s="199">
        <f>(B250+H250)*($T$3*$T$4)</f>
        <v>-95091.505746758907</v>
      </c>
      <c r="Q250" s="199">
        <f>((((2-0)/(2-D250))*B250+(1-((2-0)/(2-D250)))*C250)+H250)*($T$3*$T$4)</f>
        <v>-95091.505746758907</v>
      </c>
    </row>
    <row r="251" spans="1:52">
      <c r="A251" s="191" t="s">
        <v>715</v>
      </c>
      <c r="B251" s="17"/>
      <c r="C251" s="17"/>
      <c r="D251" s="17"/>
      <c r="E251" s="33"/>
      <c r="F251" s="17">
        <v>8.3529999999999993E-3</v>
      </c>
      <c r="G251" s="17">
        <v>1.1658E-2</v>
      </c>
      <c r="H251" s="17">
        <v>-5.5529999999999998E-3</v>
      </c>
      <c r="I251" s="196">
        <f t="shared" si="101"/>
        <v>10.800062257418324</v>
      </c>
      <c r="J251" s="213">
        <f t="shared" ref="J251:J269" si="102">(B251)*($T$3*$T$4)</f>
        <v>0</v>
      </c>
      <c r="K251" s="213">
        <f t="shared" ref="K251:K269" si="103">((((2-0)/(2-D251))*B251+(1-((2-0)/(2-D251)))*C251))*($T$3*$T$4)</f>
        <v>0</v>
      </c>
      <c r="L251" s="197">
        <f>(B251+F251)*($T$3*$T$4)</f>
        <v>5.2415850349320348</v>
      </c>
      <c r="M251" s="197">
        <f>((((2-0)/(2-D251))*B251+(1-((2-0)/(2-D251)))*C251)+F251)*($T$3*$T$4)</f>
        <v>5.2415850349320348</v>
      </c>
      <c r="N251" s="198">
        <f>(B251+G251)*($T$3*$T$4)</f>
        <v>7.3155032128861093</v>
      </c>
      <c r="O251" s="198">
        <f>((((2-0)/(2-D251))*B251+(1-((2-0)/(2-D251)))*C251)+G251)*($T$3*$T$4)</f>
        <v>7.3155032128861093</v>
      </c>
      <c r="P251" s="199">
        <f>(B251+H251)*($T$3*$T$4)</f>
        <v>-3.4845590445322148</v>
      </c>
      <c r="Q251" s="199">
        <f>((((2-0)/(2-D251))*B251+(1-((2-0)/(2-D251)))*C251)+H251)*($T$3*$T$4)</f>
        <v>-3.4845590445322148</v>
      </c>
      <c r="AZ251" t="s">
        <v>866</v>
      </c>
    </row>
    <row r="252" spans="1:52">
      <c r="A252" s="191" t="s">
        <v>482</v>
      </c>
      <c r="B252" s="17">
        <v>-76.4323536144</v>
      </c>
      <c r="C252" s="17"/>
      <c r="D252" s="17"/>
      <c r="E252" s="33"/>
      <c r="F252" s="17">
        <v>2.1045000000000001E-2</v>
      </c>
      <c r="G252" s="17">
        <v>2.4825E-2</v>
      </c>
      <c r="H252" s="17">
        <v>5.7689999999999998E-3</v>
      </c>
      <c r="I252" s="196">
        <f t="shared" si="101"/>
        <v>11.957816883235349</v>
      </c>
      <c r="J252" s="213">
        <f t="shared" si="102"/>
        <v>-47962.011359975157</v>
      </c>
      <c r="K252" s="213">
        <f t="shared" si="103"/>
        <v>-47962.011359975157</v>
      </c>
      <c r="L252" s="197">
        <f>(B252+F252)*($T$3*$T$4)</f>
        <v>-47948.805427129453</v>
      </c>
      <c r="M252" s="197">
        <f>((((2-0)/(2-D252))*B252+(1-((2-0)/(2-D252)))*C252)+F252)*($T$3*$T$4)</f>
        <v>-47948.805427129453</v>
      </c>
      <c r="N252" s="198">
        <f>(B252+G252)*($T$3*$T$4)</f>
        <v>-47946.433442042413</v>
      </c>
      <c r="O252" s="198">
        <f>((((2-0)/(2-D252))*B252+(1-((2-0)/(2-D252)))*C252)+G252)*($T$3*$T$4)</f>
        <v>-47946.433442042413</v>
      </c>
      <c r="P252" s="199">
        <f>(B252+H252)*($T$3*$T$4)</f>
        <v>-47958.391258925651</v>
      </c>
      <c r="Q252" s="199">
        <f>((((2-0)/(2-D252))*B252+(1-((2-0)/(2-D252)))*C252)+H252)*($T$3*$T$4)</f>
        <v>-47958.391258925651</v>
      </c>
      <c r="AX252" t="s">
        <v>786</v>
      </c>
      <c r="AY252">
        <v>6</v>
      </c>
      <c r="AZ252">
        <v>46.1</v>
      </c>
    </row>
    <row r="253" spans="1:52">
      <c r="A253" s="191" t="s">
        <v>768</v>
      </c>
      <c r="B253" s="17"/>
      <c r="C253" s="17"/>
      <c r="D253" s="17"/>
      <c r="E253" s="33"/>
      <c r="F253" s="17">
        <v>0</v>
      </c>
      <c r="G253" s="17">
        <v>2.3600000000000001E-3</v>
      </c>
      <c r="H253" s="17">
        <v>-1.1932999999999999E-2</v>
      </c>
      <c r="I253" s="196">
        <f t="shared" si="101"/>
        <v>8.9689901717087963</v>
      </c>
      <c r="J253" s="213">
        <f t="shared" si="102"/>
        <v>0</v>
      </c>
      <c r="K253" s="213">
        <f t="shared" si="103"/>
        <v>0</v>
      </c>
      <c r="L253" s="197">
        <f>(B253+F253)*($T$3*$T$4)</f>
        <v>0</v>
      </c>
      <c r="M253" s="197">
        <f>((((2-0)/(2-D253))*B253+(1-((2-0)/(2-D253)))*C253)+F253)*($T$3*$T$4)</f>
        <v>0</v>
      </c>
      <c r="N253" s="198">
        <f>(B253+G253)*($T$3*$T$4)</f>
        <v>1.4809219061941343</v>
      </c>
      <c r="O253" s="198">
        <f>((((2-0)/(2-D253))*B253+(1-((2-0)/(2-D253)))*C253)+G253)*($T$3*$T$4)</f>
        <v>1.4809219061941343</v>
      </c>
      <c r="P253" s="199">
        <f>(B253+H253)*($T$3*$T$4)</f>
        <v>-7.488068265514662</v>
      </c>
      <c r="Q253" s="199">
        <f>((((2-0)/(2-D253))*B253+(1-((2-0)/(2-D253)))*C253)+H253)*($T$3*$T$4)</f>
        <v>-7.488068265514662</v>
      </c>
      <c r="AL253" t="s">
        <v>182</v>
      </c>
      <c r="AP253" t="s">
        <v>205</v>
      </c>
      <c r="AX253" t="s">
        <v>786</v>
      </c>
      <c r="AY253">
        <v>7</v>
      </c>
      <c r="AZ253">
        <v>46.1</v>
      </c>
    </row>
    <row r="254" spans="1:52">
      <c r="A254" s="191"/>
      <c r="B254" s="17"/>
      <c r="C254" s="17"/>
      <c r="D254" s="17"/>
      <c r="E254" s="33"/>
      <c r="F254" s="17"/>
      <c r="G254" s="17"/>
      <c r="H254" s="17"/>
      <c r="I254" s="196">
        <f t="shared" si="101"/>
        <v>0</v>
      </c>
      <c r="J254" s="213">
        <f t="shared" si="102"/>
        <v>0</v>
      </c>
      <c r="K254" s="213">
        <f t="shared" si="103"/>
        <v>0</v>
      </c>
      <c r="L254" s="197">
        <f>(B254+F254)*($T$3*$T$4)</f>
        <v>0</v>
      </c>
      <c r="M254" s="197">
        <f>((((2-0)/(2-D254))*B254+(1-((2-0)/(2-D254)))*C254)+F254)*($T$3*$T$4)</f>
        <v>0</v>
      </c>
      <c r="N254" s="198">
        <f>(B254+G254)*($T$3*$T$4)</f>
        <v>0</v>
      </c>
      <c r="O254" s="198">
        <f>((((2-0)/(2-D254))*B254+(1-((2-0)/(2-D254)))*C254)+G254)*($T$3*$T$4)</f>
        <v>0</v>
      </c>
      <c r="P254" s="199">
        <f>(B254+H254)*($T$3*$T$4)</f>
        <v>0</v>
      </c>
      <c r="Q254" s="199">
        <f>((((2-0)/(2-D254))*B254+(1-((2-0)/(2-D254)))*C254)+H254)*($T$3*$T$4)</f>
        <v>0</v>
      </c>
      <c r="AF254" t="s">
        <v>838</v>
      </c>
      <c r="AG254" s="6"/>
      <c r="AH254" t="s">
        <v>728</v>
      </c>
      <c r="AI254" t="s">
        <v>727</v>
      </c>
      <c r="AJ254" s="1" t="s">
        <v>846</v>
      </c>
      <c r="AK254" s="1" t="s">
        <v>847</v>
      </c>
      <c r="AL254" t="s">
        <v>728</v>
      </c>
      <c r="AM254" t="s">
        <v>727</v>
      </c>
      <c r="AN254" t="s">
        <v>846</v>
      </c>
      <c r="AO254" t="s">
        <v>847</v>
      </c>
      <c r="AP254" t="s">
        <v>728</v>
      </c>
      <c r="AQ254" t="s">
        <v>727</v>
      </c>
      <c r="AR254" t="s">
        <v>846</v>
      </c>
      <c r="AS254" t="s">
        <v>847</v>
      </c>
      <c r="AU254" t="s">
        <v>866</v>
      </c>
      <c r="AX254" t="s">
        <v>801</v>
      </c>
      <c r="AY254">
        <v>8</v>
      </c>
      <c r="AZ254">
        <v>43.6</v>
      </c>
    </row>
    <row r="255" spans="1:52">
      <c r="A255" s="191" t="s">
        <v>836</v>
      </c>
      <c r="B255" s="17">
        <v>-151.482247648</v>
      </c>
      <c r="C255" s="17">
        <v>-151.48224049300001</v>
      </c>
      <c r="D255" s="17">
        <v>1.0067999999999999</v>
      </c>
      <c r="E255" s="33"/>
      <c r="F255" s="17">
        <v>1.9056E-2</v>
      </c>
      <c r="G255" s="17">
        <v>2.4662E-2</v>
      </c>
      <c r="H255" s="17">
        <v>-2.3189999999999999E-3</v>
      </c>
      <c r="I255" s="196">
        <f>(G255-H255)*($T$3*$T$4)</f>
        <v>16.930827945349122</v>
      </c>
      <c r="J255" s="213">
        <f t="shared" si="102"/>
        <v>-95056.516500613594</v>
      </c>
      <c r="K255" s="213">
        <f t="shared" si="103"/>
        <v>-95056.521051922216</v>
      </c>
      <c r="L255" s="197">
        <f>(B255+F255)*($T$3*$T$4)</f>
        <v>-95044.558683730342</v>
      </c>
      <c r="M255" s="197">
        <f>((((2-0)/(2-D255))*B255+(1-((2-0)/(2-D255)))*C255)+F255)*($T$3*$T$4)</f>
        <v>-95044.563235038979</v>
      </c>
      <c r="N255" s="198">
        <f>(B255+G255)*($T$3*$T$4)</f>
        <v>-95041.04086669386</v>
      </c>
      <c r="O255" s="198">
        <f>((((2-0)/(2-D255))*B255+(1-((2-0)/(2-D255)))*C255)+G255)*($T$3*$T$4)</f>
        <v>-95041.045418002483</v>
      </c>
      <c r="P255" s="199">
        <f>(B255+H255)*($T$3*$T$4)</f>
        <v>-95057.9716946392</v>
      </c>
      <c r="Q255" s="199">
        <f>((((2-0)/(2-D255))*B255+(1-((2-0)/(2-D255)))*C255)+H255)*($T$3*$T$4)</f>
        <v>-95057.976245947837</v>
      </c>
      <c r="AF255" t="s">
        <v>786</v>
      </c>
      <c r="AG255">
        <v>6</v>
      </c>
      <c r="AH255" s="13">
        <f>2*J181-J180</f>
        <v>50.644504597119521</v>
      </c>
      <c r="AI255" s="1">
        <f>2*K181-K180</f>
        <v>50.644504597119521</v>
      </c>
      <c r="AJ255" s="1">
        <f>2*L181-L180</f>
        <v>44.663713627640391</v>
      </c>
      <c r="AK255" s="1">
        <f>2*M181-M180</f>
        <v>44.663713627640391</v>
      </c>
      <c r="AL255" s="1">
        <f>2*J205-J204</f>
        <v>49.708816219150322</v>
      </c>
      <c r="AM255" s="1">
        <f>2*K205-K204</f>
        <v>49.708816219150322</v>
      </c>
      <c r="AN255" s="1">
        <f>2*L205-L204</f>
        <v>43.728025249671191</v>
      </c>
      <c r="AO255" s="1">
        <f>2*M205-M204</f>
        <v>43.728025249671191</v>
      </c>
      <c r="AP255" s="1">
        <f>2*J228-J227</f>
        <v>51.508953226759331</v>
      </c>
      <c r="AQ255" s="1">
        <f>2*K228-K227</f>
        <v>51.508953226759331</v>
      </c>
      <c r="AR255" s="1">
        <f t="shared" ref="AQ255:AS255" si="104">2*L228-L227</f>
        <v>45.528162257294753</v>
      </c>
      <c r="AS255" s="1">
        <f t="shared" si="104"/>
        <v>45.528162257294753</v>
      </c>
      <c r="AX255" t="s">
        <v>801</v>
      </c>
      <c r="AY255">
        <v>9</v>
      </c>
      <c r="AZ255">
        <v>43.6</v>
      </c>
    </row>
    <row r="256" spans="1:52">
      <c r="A256" s="191" t="s">
        <v>837</v>
      </c>
      <c r="B256" s="17"/>
      <c r="C256" s="17"/>
      <c r="D256" s="17"/>
      <c r="E256" s="33"/>
      <c r="F256" s="17">
        <v>1.8631999999999999E-2</v>
      </c>
      <c r="G256" s="17">
        <v>2.4471E-2</v>
      </c>
      <c r="H256" s="17">
        <v>-4.0720000000000001E-3</v>
      </c>
      <c r="I256" s="196">
        <f>(G256-H256)*($T$3*$T$4)</f>
        <v>17.91099744427931</v>
      </c>
      <c r="J256" s="213">
        <f t="shared" si="102"/>
        <v>0</v>
      </c>
      <c r="K256" s="213">
        <f t="shared" si="103"/>
        <v>0</v>
      </c>
      <c r="L256" s="197">
        <f>(B256+F256)*($T$3*$T$4)</f>
        <v>11.691752947546233</v>
      </c>
      <c r="M256" s="197">
        <f>((((2-0)/(2-D256))*B256+(1-((2-0)/(2-D256)))*C256)+F256)*($T$3*$T$4)</f>
        <v>11.691752947546233</v>
      </c>
      <c r="N256" s="198">
        <f>(B256+G256)*($T$3*$T$4)</f>
        <v>15.355779646812143</v>
      </c>
      <c r="O256" s="198">
        <f>((((2-0)/(2-D256))*B256+(1-((2-0)/(2-D256)))*C256)+G256)*($T$3*$T$4)</f>
        <v>15.355779646812143</v>
      </c>
      <c r="P256" s="199">
        <f>(B256+H256)*($T$3*$T$4)</f>
        <v>-2.5552177974671673</v>
      </c>
      <c r="Q256" s="199">
        <f>((((2-0)/(2-D256))*B256+(1-((2-0)/(2-D256)))*C256)+H256)*($T$3*$T$4)</f>
        <v>-2.5552177974671673</v>
      </c>
      <c r="AF256" t="s">
        <v>786</v>
      </c>
      <c r="AG256">
        <v>7</v>
      </c>
      <c r="AH256" s="13">
        <f>2*J181-J180</f>
        <v>50.644504597119521</v>
      </c>
      <c r="AI256" s="1">
        <f>2*K181-K180</f>
        <v>50.644504597119521</v>
      </c>
      <c r="AJ256" s="1">
        <f>2*L181-L180</f>
        <v>44.663713627640391</v>
      </c>
      <c r="AK256" s="1">
        <f>2*M181-M180</f>
        <v>44.663713627640391</v>
      </c>
      <c r="AL256" s="1">
        <f>2*J205-J204</f>
        <v>49.708816219150322</v>
      </c>
      <c r="AM256" s="1">
        <f>2*K205-K204</f>
        <v>49.708816219150322</v>
      </c>
      <c r="AN256" s="1">
        <f t="shared" ref="AN256:AO256" si="105">2*L205-L204</f>
        <v>43.728025249671191</v>
      </c>
      <c r="AO256" s="1">
        <f t="shared" si="105"/>
        <v>43.728025249671191</v>
      </c>
      <c r="AP256" s="1">
        <f>2*J228-J227</f>
        <v>51.508953226759331</v>
      </c>
      <c r="AQ256" s="1">
        <f t="shared" ref="AQ256:AS256" si="106">2*K228-K227</f>
        <v>51.508953226759331</v>
      </c>
      <c r="AR256" s="1">
        <f t="shared" si="106"/>
        <v>45.528162257294753</v>
      </c>
      <c r="AS256" s="1">
        <f t="shared" si="106"/>
        <v>45.528162257294753</v>
      </c>
      <c r="AX256" t="s">
        <v>833</v>
      </c>
      <c r="AY256">
        <v>14</v>
      </c>
      <c r="AZ256">
        <v>47.6</v>
      </c>
    </row>
    <row r="257" spans="1:52">
      <c r="A257" s="191"/>
      <c r="B257" s="17"/>
      <c r="C257" s="17"/>
      <c r="D257" s="17"/>
      <c r="E257" s="33"/>
      <c r="F257" s="17"/>
      <c r="G257" s="17"/>
      <c r="H257" s="17"/>
      <c r="I257" s="196">
        <f>(G257-H257)*($T$3*$T$4)</f>
        <v>0</v>
      </c>
      <c r="J257" s="213">
        <f t="shared" si="102"/>
        <v>0</v>
      </c>
      <c r="K257" s="213">
        <f t="shared" si="103"/>
        <v>0</v>
      </c>
      <c r="L257" s="197">
        <f>(B257+F257)*($T$3*$T$4)</f>
        <v>0</v>
      </c>
      <c r="M257" s="197">
        <f>((((2-0)/(2-D257))*B257+(1-((2-0)/(2-D257)))*C257)+F257)*($T$3*$T$4)</f>
        <v>0</v>
      </c>
      <c r="N257" s="198">
        <f>(B257+G257)*($T$3*$T$4)</f>
        <v>0</v>
      </c>
      <c r="O257" s="198">
        <f>((((2-0)/(2-D257))*B257+(1-((2-0)/(2-D257)))*C257)+G257)*($T$3*$T$4)</f>
        <v>0</v>
      </c>
      <c r="P257" s="199">
        <f>(B257+H257)*($T$3*$T$4)</f>
        <v>0</v>
      </c>
      <c r="Q257" s="199">
        <f>((((2-0)/(2-D257))*B257+(1-((2-0)/(2-D257)))*C257)+H257)*($T$3*$T$4)</f>
        <v>0</v>
      </c>
      <c r="AF257" t="s">
        <v>801</v>
      </c>
      <c r="AG257">
        <v>8</v>
      </c>
      <c r="AH257" s="13">
        <f>J186-J180</f>
        <v>46.773939492675709</v>
      </c>
      <c r="AI257" s="1">
        <f>K186-K180</f>
        <v>46.773939492675709</v>
      </c>
      <c r="AJ257" s="1">
        <f>L186-L180</f>
        <v>42.001731400887365</v>
      </c>
      <c r="AK257" s="1">
        <f>M186-M180</f>
        <v>42.001731400887365</v>
      </c>
      <c r="AL257" s="1">
        <f>J210-J204</f>
        <v>45.25648211351654</v>
      </c>
      <c r="AM257" s="1">
        <f>K210-K204</f>
        <v>45.25648211351654</v>
      </c>
      <c r="AN257" s="1">
        <f t="shared" ref="AN257:AO257" si="107">L210-L204</f>
        <v>40.484274021728197</v>
      </c>
      <c r="AO257" s="1">
        <f t="shared" si="107"/>
        <v>40.484274021728197</v>
      </c>
      <c r="AP257" s="1">
        <f>J233-J227</f>
        <v>47.543160451197764</v>
      </c>
      <c r="AQ257" s="1">
        <f t="shared" ref="AQ257:AS257" si="108">K233-K227</f>
        <v>47.543160451197764</v>
      </c>
      <c r="AR257" s="1">
        <f t="shared" si="108"/>
        <v>42.770952359409421</v>
      </c>
      <c r="AS257" s="1">
        <f t="shared" si="108"/>
        <v>42.770952359409421</v>
      </c>
      <c r="AU257">
        <v>43.6</v>
      </c>
      <c r="AX257" t="s">
        <v>833</v>
      </c>
      <c r="AY257">
        <v>15</v>
      </c>
      <c r="AZ257">
        <v>47.6</v>
      </c>
    </row>
    <row r="258" spans="1:52">
      <c r="A258" s="191" t="s">
        <v>789</v>
      </c>
      <c r="B258" s="194">
        <v>-151.48044400000001</v>
      </c>
      <c r="C258" s="17">
        <v>-151.480323809</v>
      </c>
      <c r="D258" s="17">
        <v>0.99950000000000006</v>
      </c>
      <c r="E258" s="33">
        <v>217.52</v>
      </c>
      <c r="F258" s="17">
        <v>1.8324E-2</v>
      </c>
      <c r="G258" s="17">
        <v>2.3525000000000001E-2</v>
      </c>
      <c r="H258" s="17">
        <v>-2.7539999999999999E-3</v>
      </c>
      <c r="I258" s="196">
        <f>(G258-H258)*($T$3*$T$4)</f>
        <v>16.490316429184599</v>
      </c>
      <c r="J258" s="213">
        <f t="shared" si="102"/>
        <v>-95055.384694751614</v>
      </c>
      <c r="K258" s="213">
        <f t="shared" si="103"/>
        <v>-95055.460040336504</v>
      </c>
      <c r="L258" s="197">
        <f>(B258+F258)*($T$3*$T$4)</f>
        <v>-95043.886214663013</v>
      </c>
      <c r="M258" s="197">
        <f>((((2-0)/(2-D258))*B258+(1-((2-0)/(2-D258)))*C258)+F258)*($T$3*$T$4)</f>
        <v>-95043.961560247888</v>
      </c>
      <c r="N258" s="198">
        <f>(B258+G258)*($T$3*$T$4)</f>
        <v>-95040.622538885844</v>
      </c>
      <c r="O258" s="198">
        <f>((((2-0)/(2-D258))*B258+(1-((2-0)/(2-D258)))*C258)+G258)*($T$3*$T$4)</f>
        <v>-95040.697884470719</v>
      </c>
      <c r="P258" s="199">
        <f>(B258+H258)*($T$3*$T$4)</f>
        <v>-95057.112855315034</v>
      </c>
      <c r="Q258" s="199">
        <f>((((2-0)/(2-D258))*B258+(1-((2-0)/(2-D258)))*C258)+H258)*($T$3*$T$4)</f>
        <v>-95057.188200899924</v>
      </c>
      <c r="AF258" t="s">
        <v>801</v>
      </c>
      <c r="AG258">
        <v>9</v>
      </c>
      <c r="AH258" s="13">
        <f>J186-J180</f>
        <v>46.773939492675709</v>
      </c>
      <c r="AI258" s="1">
        <f>K186-K180</f>
        <v>46.773939492675709</v>
      </c>
      <c r="AJ258" s="1">
        <f>L186-L180</f>
        <v>42.001731400887365</v>
      </c>
      <c r="AK258" s="1">
        <f>M186-M180</f>
        <v>42.001731400887365</v>
      </c>
      <c r="AL258" s="1">
        <f>J210-J204</f>
        <v>45.25648211351654</v>
      </c>
      <c r="AM258" s="1">
        <f>K210-K204</f>
        <v>45.25648211351654</v>
      </c>
      <c r="AN258" s="1">
        <f t="shared" ref="AN258:AO258" si="109">L210-L204</f>
        <v>40.484274021728197</v>
      </c>
      <c r="AO258" s="1">
        <f t="shared" si="109"/>
        <v>40.484274021728197</v>
      </c>
      <c r="AP258" s="1">
        <f>J233-J227</f>
        <v>47.543160451197764</v>
      </c>
      <c r="AQ258" s="1">
        <f t="shared" ref="AQ258:AS258" si="110">K233-K227</f>
        <v>47.543160451197764</v>
      </c>
      <c r="AR258" s="1">
        <f t="shared" si="110"/>
        <v>42.770952359409421</v>
      </c>
      <c r="AS258" s="1">
        <f t="shared" si="110"/>
        <v>42.770952359409421</v>
      </c>
      <c r="AU258">
        <v>43.6</v>
      </c>
      <c r="AX258" t="s">
        <v>834</v>
      </c>
      <c r="AY258">
        <v>16</v>
      </c>
      <c r="AZ258">
        <v>28.8</v>
      </c>
    </row>
    <row r="259" spans="1:52">
      <c r="A259" s="191" t="s">
        <v>790</v>
      </c>
      <c r="B259" s="17"/>
      <c r="C259" s="17"/>
      <c r="D259" s="17"/>
      <c r="E259" s="33">
        <v>145.66</v>
      </c>
      <c r="F259" s="17">
        <v>1.8526000000000001E-2</v>
      </c>
      <c r="G259" s="17">
        <v>2.3501999999999999E-2</v>
      </c>
      <c r="H259" s="17">
        <v>-3.235E-3</v>
      </c>
      <c r="I259" s="196">
        <f>(G259-H259)*($T$3*$T$4)</f>
        <v>16.777715680471424</v>
      </c>
      <c r="J259" s="213">
        <f t="shared" si="102"/>
        <v>0</v>
      </c>
      <c r="K259" s="213">
        <f t="shared" si="103"/>
        <v>0</v>
      </c>
      <c r="L259" s="197">
        <f>(B259+F259)*($T$3*$T$4)</f>
        <v>11.625236963623955</v>
      </c>
      <c r="M259" s="197">
        <f>((((2-0)/(2-D259))*B259+(1-((2-0)/(2-D259)))*C259)+F259)*($T$3*$T$4)</f>
        <v>11.625236963623955</v>
      </c>
      <c r="N259" s="198">
        <f>(B259+G259)*($T$3*$T$4)</f>
        <v>14.747723152277349</v>
      </c>
      <c r="O259" s="198">
        <f>((((2-0)/(2-D259))*B259+(1-((2-0)/(2-D259)))*C259)+G259)*($T$3*$T$4)</f>
        <v>14.747723152277349</v>
      </c>
      <c r="P259" s="199">
        <f>(B259+H259)*($T$3*$T$4)</f>
        <v>-2.0299925281940783</v>
      </c>
      <c r="Q259" s="199">
        <f>((((2-0)/(2-D259))*B259+(1-((2-0)/(2-D259)))*C259)+H259)*($T$3*$T$4)</f>
        <v>-2.0299925281940783</v>
      </c>
      <c r="AF259" t="s">
        <v>796</v>
      </c>
      <c r="AG259">
        <v>10</v>
      </c>
      <c r="AH259" s="13">
        <f>J189-J180</f>
        <v>46.88211581784708</v>
      </c>
      <c r="AI259" s="1">
        <f>K189-K180</f>
        <v>46.88211581784708</v>
      </c>
      <c r="AJ259" s="1">
        <f>L189-L180</f>
        <v>42.043391742132371</v>
      </c>
      <c r="AK259" s="1">
        <f>M189-M180</f>
        <v>42.043391742132371</v>
      </c>
      <c r="AL259" s="1">
        <f>J213-J204</f>
        <v>45.361117403808748</v>
      </c>
      <c r="AM259" s="1">
        <f>K213-K204</f>
        <v>45.361117403808748</v>
      </c>
      <c r="AN259" s="1">
        <f t="shared" ref="AN259:AO259" si="111">L213-L204</f>
        <v>40.522393328108592</v>
      </c>
      <c r="AO259" s="1">
        <f t="shared" si="111"/>
        <v>40.522393328108592</v>
      </c>
      <c r="AP259" s="1">
        <f>J236-J227</f>
        <v>47.960242653294699</v>
      </c>
      <c r="AQ259" s="1">
        <f t="shared" ref="AQ259:AS259" si="112">K236-K227</f>
        <v>47.960242653294699</v>
      </c>
      <c r="AR259" s="1">
        <f t="shared" si="112"/>
        <v>43.121518577579991</v>
      </c>
      <c r="AS259" s="1">
        <f t="shared" si="112"/>
        <v>43.121518577579991</v>
      </c>
      <c r="AX259" t="s">
        <v>834</v>
      </c>
      <c r="AY259">
        <v>17</v>
      </c>
      <c r="AZ259">
        <v>28.8</v>
      </c>
    </row>
    <row r="260" spans="1:52">
      <c r="A260" s="191" t="s">
        <v>793</v>
      </c>
      <c r="B260" s="17"/>
      <c r="C260" s="17"/>
      <c r="D260" s="17"/>
      <c r="E260" s="33"/>
      <c r="F260" s="17">
        <v>2.2603999999999999E-2</v>
      </c>
      <c r="G260" s="17">
        <v>2.6983E-2</v>
      </c>
      <c r="H260" s="17">
        <v>2.4120000000000001E-3</v>
      </c>
      <c r="I260" s="196">
        <f>(G260-H260)*($T$3*$T$4)</f>
        <v>15.418530575040709</v>
      </c>
      <c r="J260" s="213">
        <f t="shared" si="102"/>
        <v>0</v>
      </c>
      <c r="K260" s="213">
        <f t="shared" si="103"/>
        <v>0</v>
      </c>
      <c r="L260" s="197">
        <f>(B260+F260)*($T$3*$T$4)</f>
        <v>14.184219816784834</v>
      </c>
      <c r="M260" s="197">
        <f>((((2-0)/(2-D260))*B260+(1-((2-0)/(2-D260)))*C260)+F260)*($T$3*$T$4)</f>
        <v>14.184219816784834</v>
      </c>
      <c r="N260" s="198">
        <f>(B260+G260)*($T$3*$T$4)</f>
        <v>16.932082963913697</v>
      </c>
      <c r="O260" s="198">
        <f>((((2-0)/(2-D260))*B260+(1-((2-0)/(2-D260)))*C260)+G260)*($T$3*$T$4)</f>
        <v>16.932082963913697</v>
      </c>
      <c r="P260" s="199">
        <f>(B260+H260)*($T$3*$T$4)</f>
        <v>1.513552388872988</v>
      </c>
      <c r="Q260" s="199">
        <f>((((2-0)/(2-D260))*B260+(1-((2-0)/(2-D260)))*C260)+H260)*($T$3*$T$4)</f>
        <v>1.513552388872988</v>
      </c>
      <c r="AF260" t="s">
        <v>796</v>
      </c>
      <c r="AG260">
        <v>11</v>
      </c>
      <c r="AH260" s="13">
        <f>J189-J180</f>
        <v>46.88211581784708</v>
      </c>
      <c r="AI260" s="1">
        <f>K189-K180</f>
        <v>46.88211581784708</v>
      </c>
      <c r="AJ260" s="1">
        <f>L189-L180</f>
        <v>42.043391742132371</v>
      </c>
      <c r="AK260" s="1">
        <f>M189-M180</f>
        <v>42.043391742132371</v>
      </c>
      <c r="AL260" s="1">
        <f>J213-J204</f>
        <v>45.361117403808748</v>
      </c>
      <c r="AM260" s="1">
        <f>K213-K204</f>
        <v>45.361117403808748</v>
      </c>
      <c r="AN260" s="1">
        <f t="shared" ref="AN260:AO260" si="113">L213-L204</f>
        <v>40.522393328108592</v>
      </c>
      <c r="AO260" s="1">
        <f t="shared" si="113"/>
        <v>40.522393328108592</v>
      </c>
      <c r="AP260" s="1">
        <f>J236-J227</f>
        <v>47.960242653294699</v>
      </c>
      <c r="AQ260" s="1">
        <f t="shared" ref="AQ260:AS260" si="114">K236-K227</f>
        <v>47.960242653294699</v>
      </c>
      <c r="AR260" s="1">
        <f t="shared" si="114"/>
        <v>43.121518577579991</v>
      </c>
      <c r="AS260" s="1">
        <f t="shared" si="114"/>
        <v>43.121518577579991</v>
      </c>
      <c r="AX260" t="s">
        <v>798</v>
      </c>
      <c r="AY260">
        <v>18</v>
      </c>
      <c r="AZ260">
        <v>30</v>
      </c>
    </row>
    <row r="261" spans="1:52">
      <c r="A261" s="191"/>
      <c r="B261" s="17"/>
      <c r="C261" s="17"/>
      <c r="D261" s="17"/>
      <c r="E261" s="33"/>
      <c r="F261" s="17"/>
      <c r="G261" s="17"/>
      <c r="H261" s="17"/>
      <c r="I261" s="196">
        <f>(G261-H261)*($T$3*$T$4)</f>
        <v>0</v>
      </c>
      <c r="J261" s="213">
        <f t="shared" si="102"/>
        <v>0</v>
      </c>
      <c r="K261" s="213">
        <f t="shared" si="103"/>
        <v>0</v>
      </c>
      <c r="L261" s="197">
        <f>(B261+F261)*($T$3*$T$4)</f>
        <v>0</v>
      </c>
      <c r="M261" s="197">
        <f>((((2-0)/(2-D261))*B261+(1-((2-0)/(2-D261)))*C261)+F261)*($T$3*$T$4)</f>
        <v>0</v>
      </c>
      <c r="N261" s="198">
        <f>(B261+G261)*($T$3*$T$4)</f>
        <v>0</v>
      </c>
      <c r="O261" s="198">
        <f>((((2-0)/(2-D261))*B261+(1-((2-0)/(2-D261)))*C261)+G261)*($T$3*$T$4)</f>
        <v>0</v>
      </c>
      <c r="P261" s="199">
        <f>(B261+H261)*($T$3*$T$4)</f>
        <v>0</v>
      </c>
      <c r="Q261" s="199">
        <f>((((2-0)/(2-D261))*B261+(1-((2-0)/(2-D261)))*C261)+H261)*($T$3*$T$4)</f>
        <v>0</v>
      </c>
      <c r="AF261" t="s">
        <v>797</v>
      </c>
      <c r="AG261">
        <v>12</v>
      </c>
      <c r="AH261" s="13">
        <f>J190-J180</f>
        <v>43.048385508285719</v>
      </c>
      <c r="AI261" s="1">
        <f>K190-K180</f>
        <v>43.048385508285719</v>
      </c>
      <c r="AJ261" s="1">
        <f>L190-L180</f>
        <v>40.768644285737537</v>
      </c>
      <c r="AK261" s="1">
        <f>M190-M180</f>
        <v>40.768644285737537</v>
      </c>
      <c r="AL261" s="1">
        <f>J214-J204</f>
        <v>47.162330087841838</v>
      </c>
      <c r="AM261" s="1">
        <f>K214-K204</f>
        <v>47.162330087841838</v>
      </c>
      <c r="AN261" s="1">
        <f t="shared" ref="AN261:AO261" si="115">L214-L204</f>
        <v>44.882588865293656</v>
      </c>
      <c r="AO261" s="1">
        <f t="shared" si="115"/>
        <v>44.882588865293656</v>
      </c>
      <c r="AP261" s="1">
        <f>J237-J227</f>
        <v>54.304849071908393</v>
      </c>
      <c r="AQ261" s="1">
        <f t="shared" ref="AQ261:AS261" si="116">K237-K227</f>
        <v>54.304849071908393</v>
      </c>
      <c r="AR261" s="1">
        <f t="shared" si="116"/>
        <v>52.025107849360211</v>
      </c>
      <c r="AS261" s="1">
        <f t="shared" si="116"/>
        <v>52.025107849360211</v>
      </c>
      <c r="AU261">
        <v>46.2</v>
      </c>
      <c r="AX261" t="s">
        <v>798</v>
      </c>
      <c r="AY261">
        <v>19</v>
      </c>
      <c r="AZ261">
        <v>30</v>
      </c>
    </row>
    <row r="262" spans="1:52">
      <c r="A262" s="191" t="s">
        <v>804</v>
      </c>
      <c r="B262" s="17"/>
      <c r="C262" s="17"/>
      <c r="D262" s="17"/>
      <c r="E262" s="33">
        <v>784.07</v>
      </c>
      <c r="F262" s="17">
        <v>1.6056000000000001E-2</v>
      </c>
      <c r="G262" s="17">
        <v>2.0826999999999998E-2</v>
      </c>
      <c r="H262" s="17">
        <v>-5.2110000000000004E-3</v>
      </c>
      <c r="I262" s="196">
        <f>(G262-H262)*($T$3*$T$4)</f>
        <v>16.339086692153757</v>
      </c>
      <c r="J262" s="213">
        <f t="shared" si="102"/>
        <v>0</v>
      </c>
      <c r="K262" s="213">
        <f t="shared" si="103"/>
        <v>0</v>
      </c>
      <c r="L262" s="197">
        <f>(B262+F262)*($T$3*$T$4)</f>
        <v>10.075289036378399</v>
      </c>
      <c r="M262" s="197">
        <f>((((2-0)/(2-D262))*B262+(1-((2-0)/(2-D262)))*C262)+F262)*($T$3*$T$4)</f>
        <v>10.075289036378399</v>
      </c>
      <c r="N262" s="198">
        <f>(B262+G262)*($T$3*$T$4)</f>
        <v>13.069135822163233</v>
      </c>
      <c r="O262" s="198">
        <f>((((2-0)/(2-D262))*B262+(1-((2-0)/(2-D262)))*C262)+G262)*($T$3*$T$4)</f>
        <v>13.069135822163233</v>
      </c>
      <c r="P262" s="199">
        <f>(B262+H262)*($T$3*$T$4)</f>
        <v>-3.2699508699905229</v>
      </c>
      <c r="Q262" s="199">
        <f>((((2-0)/(2-D262))*B262+(1-((2-0)/(2-D262)))*C262)+H262)*($T$3*$T$4)</f>
        <v>-3.2699508699905229</v>
      </c>
      <c r="AF262" t="s">
        <v>797</v>
      </c>
      <c r="AG262">
        <v>13</v>
      </c>
      <c r="AH262" s="13">
        <f>J190-J180</f>
        <v>43.048385508285719</v>
      </c>
      <c r="AI262" s="1">
        <f>K190-K180</f>
        <v>43.048385508285719</v>
      </c>
      <c r="AJ262" s="1">
        <f>L190-L180</f>
        <v>40.768644285737537</v>
      </c>
      <c r="AK262" s="1">
        <f>M190-M180</f>
        <v>40.768644285737537</v>
      </c>
      <c r="AL262" s="1">
        <f>J214-J204</f>
        <v>47.162330087841838</v>
      </c>
      <c r="AM262" s="1">
        <f>K214-K204</f>
        <v>47.162330087841838</v>
      </c>
      <c r="AN262" s="1">
        <f t="shared" ref="AN262:AO262" si="117">L214-L204</f>
        <v>44.882588865293656</v>
      </c>
      <c r="AO262" s="1">
        <f t="shared" si="117"/>
        <v>44.882588865293656</v>
      </c>
      <c r="AP262" s="1">
        <f>J237-J227</f>
        <v>54.304849071908393</v>
      </c>
      <c r="AQ262" s="1">
        <f t="shared" ref="AQ262:AS262" si="118">K237-K227</f>
        <v>54.304849071908393</v>
      </c>
      <c r="AR262" s="1">
        <f t="shared" si="118"/>
        <v>52.025107849360211</v>
      </c>
      <c r="AS262" s="1">
        <f t="shared" si="118"/>
        <v>52.025107849360211</v>
      </c>
      <c r="AU262">
        <v>46.2</v>
      </c>
    </row>
    <row r="263" spans="1:52">
      <c r="A263" s="191" t="s">
        <v>806</v>
      </c>
      <c r="B263" s="17"/>
      <c r="C263" s="17"/>
      <c r="D263" s="17"/>
      <c r="E263" s="33"/>
      <c r="F263" s="17">
        <v>2.2093000000000002E-2</v>
      </c>
      <c r="G263" s="17">
        <v>2.7744999999999999E-2</v>
      </c>
      <c r="H263" s="17">
        <v>-9.1600000000000004E-4</v>
      </c>
      <c r="I263" s="196">
        <f t="shared" ref="I263:I269" si="119">(G263-H263)*($T$3*$T$4)</f>
        <v>17.985043539589018</v>
      </c>
      <c r="J263" s="213">
        <f t="shared" si="102"/>
        <v>0</v>
      </c>
      <c r="K263" s="213">
        <f t="shared" si="103"/>
        <v>0</v>
      </c>
      <c r="L263" s="197">
        <f>(B263+F263)*($T$3*$T$4)</f>
        <v>13.863562573536869</v>
      </c>
      <c r="M263" s="197">
        <f>((((2-0)/(2-D263))*B263+(1-((2-0)/(2-D263)))*C263)+F263)*($T$3*$T$4)</f>
        <v>13.863562573536869</v>
      </c>
      <c r="N263" s="198">
        <f>(B263+G263)*($T$3*$T$4)</f>
        <v>17.410245037015361</v>
      </c>
      <c r="O263" s="198">
        <f>((((2-0)/(2-D263))*B263+(1-((2-0)/(2-D263)))*C263)+G263)*($T$3*$T$4)</f>
        <v>17.410245037015361</v>
      </c>
      <c r="P263" s="199">
        <f>(B263+H263)*($T$3*$T$4)</f>
        <v>-0.5747985025736555</v>
      </c>
      <c r="Q263" s="199">
        <f>((((2-0)/(2-D263))*B263+(1-((2-0)/(2-D263)))*C263)+H263)*($T$3*$T$4)</f>
        <v>-0.5747985025736555</v>
      </c>
      <c r="AF263" t="s">
        <v>803</v>
      </c>
      <c r="AG263">
        <v>14</v>
      </c>
      <c r="AH263" s="13">
        <f>J192-J180</f>
        <v>46.768047180521535</v>
      </c>
      <c r="AI263" s="1">
        <f>K192-K180</f>
        <v>46.768047180521535</v>
      </c>
      <c r="AJ263" s="1">
        <f>L192-L180</f>
        <v>40.379375177551992</v>
      </c>
      <c r="AK263" s="1">
        <f>M192-M180</f>
        <v>40.379375177551992</v>
      </c>
      <c r="AL263" s="1">
        <f>J216-J204</f>
        <v>48.046389637587708</v>
      </c>
      <c r="AM263" s="1">
        <f>K216-K204</f>
        <v>48.046389637587708</v>
      </c>
      <c r="AN263" s="1">
        <f t="shared" ref="AN263:AO263" si="120">L216-L204</f>
        <v>41.657717634618166</v>
      </c>
      <c r="AO263" s="1">
        <f t="shared" si="120"/>
        <v>41.657717634618166</v>
      </c>
      <c r="AP263" s="1">
        <f>J239-J227</f>
        <v>51.989196748152608</v>
      </c>
      <c r="AQ263" s="1">
        <f t="shared" ref="AQ263:AS263" si="121">K239-K227</f>
        <v>51.989196748152608</v>
      </c>
      <c r="AR263" s="1">
        <f t="shared" si="121"/>
        <v>45.600524745183066</v>
      </c>
      <c r="AS263" s="1">
        <f t="shared" si="121"/>
        <v>45.600524745183066</v>
      </c>
    </row>
    <row r="264" spans="1:52">
      <c r="A264" s="191"/>
      <c r="B264" s="17"/>
      <c r="C264" s="17"/>
      <c r="D264" s="17"/>
      <c r="E264" s="33"/>
      <c r="F264" s="17"/>
      <c r="G264" s="17"/>
      <c r="H264" s="17"/>
      <c r="I264" s="196">
        <f t="shared" si="119"/>
        <v>0</v>
      </c>
      <c r="J264" s="213">
        <f t="shared" si="102"/>
        <v>0</v>
      </c>
      <c r="K264" s="213">
        <f t="shared" si="103"/>
        <v>0</v>
      </c>
      <c r="L264" s="197">
        <f>(B264+F264)*($T$3*$T$4)</f>
        <v>0</v>
      </c>
      <c r="M264" s="197">
        <f>((((2-0)/(2-D264))*B264+(1-((2-0)/(2-D264)))*C264)+F264)*($T$3*$T$4)</f>
        <v>0</v>
      </c>
      <c r="N264" s="198">
        <f>(B264+G264)*($T$3*$T$4)</f>
        <v>0</v>
      </c>
      <c r="O264" s="198">
        <f>((((2-0)/(2-D264))*B264+(1-((2-0)/(2-D264)))*C264)+G264)*($T$3*$T$4)</f>
        <v>0</v>
      </c>
      <c r="P264" s="199">
        <f>(B264+H264)*($T$3*$T$4)</f>
        <v>0</v>
      </c>
      <c r="Q264" s="199">
        <f>((((2-0)/(2-D264))*B264+(1-((2-0)/(2-D264)))*C264)+H264)*($T$3*$T$4)</f>
        <v>0</v>
      </c>
      <c r="AF264" t="s">
        <v>803</v>
      </c>
      <c r="AG264">
        <v>15</v>
      </c>
      <c r="AH264" s="13">
        <f>J192-J180</f>
        <v>46.768047180521535</v>
      </c>
      <c r="AI264" s="1">
        <f>K192-K180</f>
        <v>46.768047180521535</v>
      </c>
      <c r="AJ264" s="1">
        <f>L192-L180</f>
        <v>40.379375177551992</v>
      </c>
      <c r="AK264" s="1">
        <f>M192-M180</f>
        <v>40.379375177551992</v>
      </c>
      <c r="AL264" s="1">
        <f>J216-J204</f>
        <v>48.046389637587708</v>
      </c>
      <c r="AM264" s="1">
        <f>K216-K204</f>
        <v>48.046389637587708</v>
      </c>
      <c r="AN264" s="1">
        <f t="shared" ref="AN264:AO264" si="122">L216-L204</f>
        <v>41.657717634618166</v>
      </c>
      <c r="AO264" s="1">
        <f t="shared" si="122"/>
        <v>41.657717634618166</v>
      </c>
      <c r="AP264" s="1">
        <f>J239-J227</f>
        <v>51.989196748152608</v>
      </c>
      <c r="AQ264" s="1">
        <f t="shared" ref="AQ264:AS264" si="123">K239-K227</f>
        <v>51.989196748152608</v>
      </c>
      <c r="AR264" s="1">
        <f t="shared" si="123"/>
        <v>45.600524745183066</v>
      </c>
      <c r="AS264" s="1">
        <f t="shared" si="123"/>
        <v>45.600524745183066</v>
      </c>
    </row>
    <row r="265" spans="1:52">
      <c r="A265" s="191" t="s">
        <v>839</v>
      </c>
      <c r="B265" s="17"/>
      <c r="C265" s="17"/>
      <c r="D265" s="17"/>
      <c r="E265" s="33">
        <v>2029.13</v>
      </c>
      <c r="F265" s="17">
        <v>1.7392000000000001E-2</v>
      </c>
      <c r="G265" s="17">
        <v>2.1621999999999999E-2</v>
      </c>
      <c r="H265" s="17">
        <v>-3.4099999999999998E-3</v>
      </c>
      <c r="I265" s="196">
        <f t="shared" si="119"/>
        <v>15.707812354174392</v>
      </c>
      <c r="J265" s="213">
        <f t="shared" si="102"/>
        <v>0</v>
      </c>
      <c r="K265" s="213">
        <f t="shared" si="103"/>
        <v>0</v>
      </c>
      <c r="L265" s="197">
        <f>(B265+F265)*($T$3*$T$4)</f>
        <v>10.913641437512027</v>
      </c>
      <c r="M265" s="197">
        <f>((((2-0)/(2-D265))*B265+(1-((2-0)/(2-D265)))*C265)+F265)*($T$3*$T$4)</f>
        <v>10.913641437512027</v>
      </c>
      <c r="N265" s="198">
        <f>(B265+G265)*($T$3*$T$4)</f>
        <v>13.568005701580326</v>
      </c>
      <c r="O265" s="198">
        <f>((((2-0)/(2-D265))*B265+(1-((2-0)/(2-D265)))*C265)+G265)*($T$3*$T$4)</f>
        <v>13.568005701580326</v>
      </c>
      <c r="P265" s="199">
        <f>(B265+H265)*($T$3*$T$4)</f>
        <v>-2.1398066525940669</v>
      </c>
      <c r="Q265" s="199">
        <f>((((2-0)/(2-D265))*B265+(1-((2-0)/(2-D265)))*C265)+H265)*($T$3*$T$4)</f>
        <v>-2.1398066525940669</v>
      </c>
      <c r="AF265" t="s">
        <v>807</v>
      </c>
      <c r="AG265">
        <v>16</v>
      </c>
      <c r="AH265" s="13">
        <f>J193-J180</f>
        <v>34.075881284588831</v>
      </c>
      <c r="AI265" s="1">
        <f>K193-K180</f>
        <v>34.075881284588831</v>
      </c>
      <c r="AJ265" s="1">
        <f>L193-L180</f>
        <v>31.475482818786986</v>
      </c>
      <c r="AK265" s="1">
        <f>M193-M180</f>
        <v>31.475482818786986</v>
      </c>
      <c r="AL265" s="1">
        <f>J217-J204</f>
        <v>29.481220041619963</v>
      </c>
      <c r="AM265" s="1">
        <f>K217-K204</f>
        <v>29.481220041619963</v>
      </c>
      <c r="AN265" s="1">
        <f t="shared" ref="AN265:AO265" si="124">L217-L204</f>
        <v>26.88082157583267</v>
      </c>
      <c r="AO265" s="1">
        <f t="shared" si="124"/>
        <v>26.88082157583267</v>
      </c>
      <c r="AP265" s="1">
        <f>J243-J227</f>
        <v>31.528022915998008</v>
      </c>
      <c r="AQ265" s="1">
        <f t="shared" ref="AQ265:AS265" si="125">K243-K227</f>
        <v>31.528022915998008</v>
      </c>
      <c r="AR265" s="1">
        <f t="shared" si="125"/>
        <v>28.958372405031696</v>
      </c>
      <c r="AS265" s="1">
        <f t="shared" si="125"/>
        <v>28.958372405031696</v>
      </c>
    </row>
    <row r="266" spans="1:52">
      <c r="A266" s="191" t="s">
        <v>840</v>
      </c>
      <c r="B266" s="17"/>
      <c r="C266" s="17"/>
      <c r="D266" s="17"/>
      <c r="E266" s="33"/>
      <c r="F266" s="17">
        <v>2.2141999999999998E-2</v>
      </c>
      <c r="G266" s="17">
        <v>2.7723000000000001E-2</v>
      </c>
      <c r="H266" s="17">
        <v>-6.6799999999999997E-4</v>
      </c>
      <c r="I266" s="196">
        <f t="shared" si="119"/>
        <v>17.815616033371892</v>
      </c>
      <c r="J266" s="213">
        <f t="shared" si="102"/>
        <v>0</v>
      </c>
      <c r="K266" s="213">
        <f t="shared" si="103"/>
        <v>0</v>
      </c>
      <c r="L266" s="197">
        <f>(B266+F266)*($T$3*$T$4)</f>
        <v>13.894310528368864</v>
      </c>
      <c r="M266" s="197">
        <f>((((2-0)/(2-D266))*B266+(1-((2-0)/(2-D266)))*C266)+F266)*($T$3*$T$4)</f>
        <v>13.894310528368864</v>
      </c>
      <c r="N266" s="198">
        <f>(B266+G266)*($T$3*$T$4)</f>
        <v>17.396439832805079</v>
      </c>
      <c r="O266" s="198">
        <f>((((2-0)/(2-D266))*B266+(1-((2-0)/(2-D266)))*C266)+G266)*($T$3*$T$4)</f>
        <v>17.396439832805079</v>
      </c>
      <c r="P266" s="199">
        <f>(B266+H266)*($T$3*$T$4)</f>
        <v>-0.41917620056681426</v>
      </c>
      <c r="Q266" s="199">
        <f>((((2-0)/(2-D266))*B266+(1-((2-0)/(2-D266)))*C266)+H266)*($T$3*$T$4)</f>
        <v>-0.41917620056681426</v>
      </c>
      <c r="AF266" t="s">
        <v>807</v>
      </c>
      <c r="AG266">
        <v>17</v>
      </c>
      <c r="AH266" s="13">
        <f>J193-J180</f>
        <v>34.075881284588831</v>
      </c>
      <c r="AI266" s="1">
        <f>K193-K180</f>
        <v>34.075881284588831</v>
      </c>
      <c r="AJ266" s="1">
        <f>L193-L180</f>
        <v>31.475482818786986</v>
      </c>
      <c r="AK266" s="1">
        <f>M193-M180</f>
        <v>31.475482818786986</v>
      </c>
      <c r="AL266" s="1">
        <f>J217-J204</f>
        <v>29.481220041619963</v>
      </c>
      <c r="AM266" s="1">
        <f>K217-K204</f>
        <v>29.481220041619963</v>
      </c>
      <c r="AN266" s="1">
        <f t="shared" ref="AN266:AO266" si="126">L217-L204</f>
        <v>26.88082157583267</v>
      </c>
      <c r="AO266" s="1">
        <f t="shared" si="126"/>
        <v>26.88082157583267</v>
      </c>
      <c r="AP266" s="1">
        <f>J243-J227</f>
        <v>31.528022915998008</v>
      </c>
      <c r="AQ266" s="1">
        <f t="shared" ref="AQ266:AS266" si="127">K243-K227</f>
        <v>31.528022915998008</v>
      </c>
      <c r="AR266" s="1">
        <f t="shared" si="127"/>
        <v>28.958372405031696</v>
      </c>
      <c r="AS266" s="1">
        <f t="shared" si="127"/>
        <v>28.958372405031696</v>
      </c>
    </row>
    <row r="267" spans="1:52">
      <c r="A267" s="191"/>
      <c r="B267" s="17"/>
      <c r="C267" s="17"/>
      <c r="D267" s="17"/>
      <c r="E267" s="33"/>
      <c r="F267" s="17"/>
      <c r="G267" s="17"/>
      <c r="H267" s="17"/>
      <c r="I267" s="196">
        <f t="shared" si="119"/>
        <v>0</v>
      </c>
      <c r="J267" s="213">
        <f t="shared" si="102"/>
        <v>0</v>
      </c>
      <c r="K267" s="213">
        <f t="shared" si="103"/>
        <v>0</v>
      </c>
      <c r="L267" s="197">
        <f>(B267+F267)*($T$3*$T$4)</f>
        <v>0</v>
      </c>
      <c r="M267" s="197">
        <f>((((2-0)/(2-D267))*B267+(1-((2-0)/(2-D267)))*C267)+F267)*($T$3*$T$4)</f>
        <v>0</v>
      </c>
      <c r="N267" s="198">
        <f>(B267+G267)*($T$3*$T$4)</f>
        <v>0</v>
      </c>
      <c r="O267" s="198">
        <f>((((2-0)/(2-D267))*B267+(1-((2-0)/(2-D267)))*C267)+G267)*($T$3*$T$4)</f>
        <v>0</v>
      </c>
      <c r="P267" s="199">
        <f>(B267+H267)*($T$3*$T$4)</f>
        <v>0</v>
      </c>
      <c r="Q267" s="199">
        <f>((((2-0)/(2-D267))*B267+(1-((2-0)/(2-D267)))*C267)+H267)*($T$3*$T$4)</f>
        <v>0</v>
      </c>
      <c r="AF267" t="s">
        <v>798</v>
      </c>
      <c r="AG267">
        <v>18</v>
      </c>
      <c r="AH267" s="13">
        <f>(J183+J182)-J180</f>
        <v>36.250979059230303</v>
      </c>
      <c r="AI267" s="1">
        <f>(K183+K182)-K180</f>
        <v>36.250979059230303</v>
      </c>
      <c r="AJ267" s="1">
        <f>(L183+L182)-L180</f>
        <v>32.992950865576859</v>
      </c>
      <c r="AK267" s="1">
        <f>(M183+M182)-M180</f>
        <v>32.992950865576859</v>
      </c>
      <c r="AL267" s="1">
        <f>(J207+J206)-J204</f>
        <v>31.743703503874713</v>
      </c>
      <c r="AM267" s="1">
        <f>(K207+K206)-K204</f>
        <v>31.743703503874713</v>
      </c>
      <c r="AN267" s="1">
        <f t="shared" ref="AN267:AO267" si="128">(L207+L206)-L204</f>
        <v>28.48567531023582</v>
      </c>
      <c r="AO267" s="1">
        <f t="shared" si="128"/>
        <v>28.48567531023582</v>
      </c>
      <c r="AP267" s="1">
        <f>(J230+J229)-J227</f>
        <v>33.414291471184697</v>
      </c>
      <c r="AQ267" s="1">
        <f t="shared" ref="AQ267:AS267" si="129">(K230+K229)-K227</f>
        <v>33.414291471184697</v>
      </c>
      <c r="AR267" s="1">
        <f t="shared" si="129"/>
        <v>30.156263277545804</v>
      </c>
      <c r="AS267" s="1">
        <f t="shared" si="129"/>
        <v>30.156263277545804</v>
      </c>
    </row>
    <row r="268" spans="1:52">
      <c r="A268" s="191"/>
      <c r="B268" s="17"/>
      <c r="C268" s="17"/>
      <c r="D268" s="17"/>
      <c r="E268" s="33"/>
      <c r="F268" s="17"/>
      <c r="G268" s="17"/>
      <c r="H268" s="17"/>
      <c r="I268" s="196">
        <f t="shared" si="119"/>
        <v>0</v>
      </c>
      <c r="J268" s="213">
        <f t="shared" si="102"/>
        <v>0</v>
      </c>
      <c r="K268" s="213">
        <f t="shared" si="103"/>
        <v>0</v>
      </c>
      <c r="L268" s="197">
        <f>(B268+F268)*($T$3*$T$4)</f>
        <v>0</v>
      </c>
      <c r="M268" s="197">
        <f>((((2-0)/(2-D268))*B268+(1-((2-0)/(2-D268)))*C268)+F268)*($T$3*$T$4)</f>
        <v>0</v>
      </c>
      <c r="N268" s="198">
        <f>(B268+G268)*($T$3*$T$4)</f>
        <v>0</v>
      </c>
      <c r="O268" s="198">
        <f>((((2-0)/(2-D268))*B268+(1-((2-0)/(2-D268)))*C268)+G268)*($T$3*$T$4)</f>
        <v>0</v>
      </c>
      <c r="P268" s="199">
        <f>(B268+H268)*($T$3*$T$4)</f>
        <v>0</v>
      </c>
      <c r="Q268" s="199">
        <f>((((2-0)/(2-D268))*B268+(1-((2-0)/(2-D268)))*C268)+H268)*($T$3*$T$4)</f>
        <v>0</v>
      </c>
      <c r="AF268" t="s">
        <v>798</v>
      </c>
      <c r="AG268">
        <v>19</v>
      </c>
      <c r="AH268" s="13">
        <f>(J183+J182)-J180</f>
        <v>36.250979059230303</v>
      </c>
      <c r="AI268" s="1">
        <f>(K183+K182)-K180</f>
        <v>36.250979059230303</v>
      </c>
      <c r="AJ268" s="1">
        <f>(L183+L182)-L180</f>
        <v>32.992950865576859</v>
      </c>
      <c r="AK268" s="1">
        <f>(M183+M182)-M180</f>
        <v>32.992950865576859</v>
      </c>
      <c r="AL268" s="1">
        <f>(J207+J206)-J204</f>
        <v>31.743703503874713</v>
      </c>
      <c r="AM268" s="1">
        <f>(K207+K206)-K204</f>
        <v>31.743703503874713</v>
      </c>
      <c r="AN268" s="1">
        <f t="shared" ref="AN268:AO268" si="130">(L207+L206)-L204</f>
        <v>28.48567531023582</v>
      </c>
      <c r="AO268" s="1">
        <f t="shared" si="130"/>
        <v>28.48567531023582</v>
      </c>
      <c r="AP268" s="1">
        <f>(J230+J229)-J227</f>
        <v>33.414291471184697</v>
      </c>
      <c r="AQ268" s="1">
        <f t="shared" ref="AQ268:AS268" si="131">(K230+K229)-K227</f>
        <v>33.414291471184697</v>
      </c>
      <c r="AR268" s="1">
        <f t="shared" si="131"/>
        <v>30.156263277545804</v>
      </c>
      <c r="AS268" s="1">
        <f t="shared" si="131"/>
        <v>30.156263277545804</v>
      </c>
    </row>
    <row r="269" spans="1:52">
      <c r="A269" s="191"/>
      <c r="B269" s="17"/>
      <c r="C269" s="17"/>
      <c r="D269" s="17"/>
      <c r="E269" s="33"/>
      <c r="F269" s="17"/>
      <c r="G269" s="17"/>
      <c r="H269" s="17"/>
      <c r="I269" s="196">
        <f t="shared" si="119"/>
        <v>0</v>
      </c>
      <c r="J269" s="213">
        <f t="shared" si="102"/>
        <v>0</v>
      </c>
      <c r="K269" s="213">
        <f t="shared" si="103"/>
        <v>0</v>
      </c>
      <c r="L269" s="197">
        <f>(B269+F269)*($T$3*$T$4)</f>
        <v>0</v>
      </c>
      <c r="M269" s="197">
        <f>((((2-0)/(2-D269))*B269+(1-((2-0)/(2-D269)))*C269)+F269)*($T$3*$T$4)</f>
        <v>0</v>
      </c>
      <c r="N269" s="198">
        <f>(B269+G269)*($T$3*$T$4)</f>
        <v>0</v>
      </c>
      <c r="O269" s="198">
        <f>((((2-0)/(2-D269))*B269+(1-((2-0)/(2-D269)))*C269)+G269)*($T$3*$T$4)</f>
        <v>0</v>
      </c>
      <c r="P269" s="199">
        <f>(B269+H269)*($T$3*$T$4)</f>
        <v>0</v>
      </c>
      <c r="Q269" s="199">
        <f>((((2-0)/(2-D269))*B269+(1-((2-0)/(2-D269)))*C269)+H269)*($T$3*$T$4)</f>
        <v>0</v>
      </c>
    </row>
    <row r="271" spans="1:52">
      <c r="A271" s="15" t="s">
        <v>865</v>
      </c>
      <c r="B271" s="15"/>
      <c r="C271" s="15"/>
      <c r="D271" s="15"/>
      <c r="E271" s="15"/>
      <c r="F271" s="15"/>
      <c r="G271" s="15"/>
    </row>
    <row r="272" spans="1:52" ht="60">
      <c r="A272" s="178" t="s">
        <v>525</v>
      </c>
      <c r="B272" s="190" t="s">
        <v>710</v>
      </c>
      <c r="C272" s="190" t="s">
        <v>711</v>
      </c>
      <c r="D272" s="178" t="s">
        <v>712</v>
      </c>
      <c r="E272" s="190" t="s">
        <v>532</v>
      </c>
      <c r="F272" s="190" t="s">
        <v>527</v>
      </c>
      <c r="G272" s="190" t="s">
        <v>528</v>
      </c>
      <c r="H272" s="190" t="s">
        <v>529</v>
      </c>
      <c r="I272" s="190" t="s">
        <v>542</v>
      </c>
      <c r="J272" s="212" t="s">
        <v>844</v>
      </c>
      <c r="K272" s="212" t="s">
        <v>845</v>
      </c>
      <c r="L272" s="202" t="s">
        <v>691</v>
      </c>
      <c r="M272" s="202" t="s">
        <v>695</v>
      </c>
      <c r="N272" s="203" t="s">
        <v>694</v>
      </c>
      <c r="O272" s="203" t="s">
        <v>696</v>
      </c>
      <c r="P272" s="204" t="s">
        <v>692</v>
      </c>
      <c r="Q272" s="204" t="s">
        <v>693</v>
      </c>
    </row>
    <row r="273" spans="1:43">
      <c r="A273" s="191" t="s">
        <v>175</v>
      </c>
      <c r="B273" s="17">
        <v>-151.58238262</v>
      </c>
      <c r="C273" s="17"/>
      <c r="D273" s="17"/>
      <c r="E273" s="33"/>
      <c r="F273" s="17">
        <v>2.6343999999999999E-2</v>
      </c>
      <c r="G273" s="17">
        <v>3.0484000000000001E-2</v>
      </c>
      <c r="H273" s="17">
        <v>7.1329999999999996E-3</v>
      </c>
      <c r="I273" s="196">
        <f t="shared" ref="I273:I284" si="132">(G273-H273)*($T$3*$T$4)</f>
        <v>14.652969250652216</v>
      </c>
      <c r="J273" s="213">
        <f>(B273)*($T$3*$T$4)</f>
        <v>-95119.352125025005</v>
      </c>
      <c r="K273" s="213">
        <f>((((2-0)/(2-D273))*B273+(1-((2-0)/(2-D273)))*C273))*($T$3*$T$4)</f>
        <v>-95119.352125025005</v>
      </c>
      <c r="L273" s="197">
        <f>(B273+F273)*($T$3*$T$4)</f>
        <v>-95102.821020492469</v>
      </c>
      <c r="M273" s="197">
        <f>((((2-0)/(2-D273))*B273+(1-((2-0)/(2-D273)))*C273)+F273)*($T$3*$T$4)</f>
        <v>-95102.821020492469</v>
      </c>
      <c r="N273" s="198">
        <f>(B273+G273)*($T$3*$T$4)</f>
        <v>-95100.223132063809</v>
      </c>
      <c r="O273" s="198">
        <f>((((2-0)/(2-D273))*B273+(1-((2-0)/(2-D273)))*C273)+G273)*($T$3*$T$4)</f>
        <v>-95100.223132063809</v>
      </c>
      <c r="P273" s="199">
        <f>(B273+H273)*($T$3*$T$4)</f>
        <v>-95114.876101314454</v>
      </c>
      <c r="Q273" s="199">
        <f>((((2-0)/(2-D273))*B273+(1-((2-0)/(2-D273)))*C273)+H273)*($T$3*$T$4)</f>
        <v>-95114.876101314454</v>
      </c>
      <c r="AH273" t="s">
        <v>225</v>
      </c>
      <c r="AL273" t="s">
        <v>182</v>
      </c>
      <c r="AP273" t="s">
        <v>205</v>
      </c>
    </row>
    <row r="274" spans="1:43">
      <c r="A274" s="191" t="s">
        <v>715</v>
      </c>
      <c r="B274" s="17">
        <v>-75.749930129999996</v>
      </c>
      <c r="C274" s="17"/>
      <c r="D274" s="17"/>
      <c r="E274" s="33"/>
      <c r="F274" s="17">
        <v>8.3379999999999999E-3</v>
      </c>
      <c r="G274" s="17">
        <v>1.1643000000000001E-2</v>
      </c>
      <c r="H274" s="17">
        <v>-5.5579999999999996E-3</v>
      </c>
      <c r="I274" s="196">
        <f t="shared" si="132"/>
        <v>10.793787164595468</v>
      </c>
      <c r="J274" s="213">
        <f t="shared" ref="J274:J292" si="133">(B274)*($T$3*$T$4)</f>
        <v>-47533.784289064439</v>
      </c>
      <c r="K274" s="213">
        <f t="shared" ref="K274:K292" si="134">((((2-0)/(2-D274))*B274+(1-((2-0)/(2-D274)))*C274))*($T$3*$T$4)</f>
        <v>-47533.784289064439</v>
      </c>
      <c r="L274" s="197">
        <f>(B274+F274)*($T$3*$T$4)</f>
        <v>-47528.552116668747</v>
      </c>
      <c r="M274" s="197">
        <f>((((2-0)/(2-D274))*B274+(1-((2-0)/(2-D274)))*C274)+F274)*($T$3*$T$4)</f>
        <v>-47528.552116668747</v>
      </c>
      <c r="N274" s="198">
        <f>(B274+G274)*($T$3*$T$4)</f>
        <v>-47526.478198490782</v>
      </c>
      <c r="O274" s="198">
        <f>((((2-0)/(2-D274))*B274+(1-((2-0)/(2-D274)))*C274)+G274)*($T$3*$T$4)</f>
        <v>-47526.478198490782</v>
      </c>
      <c r="P274" s="199">
        <f>(B274+H274)*($T$3*$T$4)</f>
        <v>-47537.271985655381</v>
      </c>
      <c r="Q274" s="199">
        <f>((((2-0)/(2-D274))*B274+(1-((2-0)/(2-D274)))*C274)+H274)*($T$3*$T$4)</f>
        <v>-47537.271985655381</v>
      </c>
      <c r="AF274" t="s">
        <v>816</v>
      </c>
      <c r="AG274" s="6"/>
      <c r="AH274" s="1" t="s">
        <v>728</v>
      </c>
      <c r="AI274" s="1" t="s">
        <v>727</v>
      </c>
      <c r="AJ274" t="s">
        <v>846</v>
      </c>
      <c r="AK274" t="s">
        <v>847</v>
      </c>
      <c r="AL274" t="s">
        <v>728</v>
      </c>
      <c r="AM274" t="s">
        <v>727</v>
      </c>
      <c r="AN274" t="s">
        <v>846</v>
      </c>
      <c r="AO274" t="s">
        <v>847</v>
      </c>
      <c r="AP274" t="s">
        <v>728</v>
      </c>
      <c r="AQ274" t="s">
        <v>727</v>
      </c>
    </row>
    <row r="275" spans="1:43">
      <c r="A275" s="191" t="s">
        <v>482</v>
      </c>
      <c r="B275" s="17"/>
      <c r="C275" s="17"/>
      <c r="D275" s="17"/>
      <c r="E275" s="33"/>
      <c r="F275" s="17"/>
      <c r="G275" s="17"/>
      <c r="H275" s="17"/>
      <c r="I275" s="196">
        <f t="shared" si="132"/>
        <v>0</v>
      </c>
      <c r="J275" s="213">
        <f t="shared" si="133"/>
        <v>0</v>
      </c>
      <c r="K275" s="213">
        <f t="shared" si="134"/>
        <v>0</v>
      </c>
      <c r="L275" s="197">
        <f>(B275+F275)*($T$3*$T$4)</f>
        <v>0</v>
      </c>
      <c r="M275" s="197">
        <f>((((2-0)/(2-D275))*B275+(1-((2-0)/(2-D275)))*C275)+F275)*($T$3*$T$4)</f>
        <v>0</v>
      </c>
      <c r="N275" s="198">
        <f>(B275+G275)*($T$3*$T$4)</f>
        <v>0</v>
      </c>
      <c r="O275" s="198">
        <f>((((2-0)/(2-D275))*B275+(1-((2-0)/(2-D275)))*C275)+G275)*($T$3*$T$4)</f>
        <v>0</v>
      </c>
      <c r="P275" s="199">
        <f>(B275+H275)*($T$3*$T$4)</f>
        <v>0</v>
      </c>
      <c r="Q275" s="199">
        <f>((((2-0)/(2-D275))*B275+(1-((2-0)/(2-D275)))*C275)+H275)*($T$3*$T$4)</f>
        <v>0</v>
      </c>
      <c r="AF275" t="s">
        <v>786</v>
      </c>
      <c r="AG275">
        <v>7</v>
      </c>
      <c r="AH275" s="1">
        <f>2*J181-J180</f>
        <v>50.644504597119521</v>
      </c>
      <c r="AI275" s="1">
        <f>2*K181-K180</f>
        <v>50.644504597119521</v>
      </c>
      <c r="AJ275" s="1">
        <f>2*L181-L180</f>
        <v>44.663713627640391</v>
      </c>
      <c r="AK275" s="1">
        <f>2*M181-M180</f>
        <v>44.663713627640391</v>
      </c>
      <c r="AL275" s="1">
        <f>2*J205-J204</f>
        <v>49.708816219150322</v>
      </c>
      <c r="AM275" s="1">
        <f>2*K205-K204</f>
        <v>49.708816219150322</v>
      </c>
      <c r="AN275" s="1">
        <f>2*L205-L204</f>
        <v>43.728025249671191</v>
      </c>
      <c r="AO275" s="1">
        <f>2*M205-M204</f>
        <v>43.728025249671191</v>
      </c>
      <c r="AP275" s="1">
        <f>2*J228-J227</f>
        <v>51.508953226759331</v>
      </c>
      <c r="AQ275" s="1">
        <f>2*K228-K227</f>
        <v>51.508953226759331</v>
      </c>
    </row>
    <row r="276" spans="1:43">
      <c r="A276" s="191" t="s">
        <v>768</v>
      </c>
      <c r="B276" s="17"/>
      <c r="C276" s="17"/>
      <c r="D276" s="17"/>
      <c r="E276" s="33"/>
      <c r="F276" s="17"/>
      <c r="G276" s="17"/>
      <c r="H276" s="17"/>
      <c r="I276" s="196">
        <f t="shared" si="132"/>
        <v>0</v>
      </c>
      <c r="J276" s="213">
        <f t="shared" si="133"/>
        <v>0</v>
      </c>
      <c r="K276" s="213">
        <f t="shared" si="134"/>
        <v>0</v>
      </c>
      <c r="L276" s="197">
        <f>(B276+F276)*($T$3*$T$4)</f>
        <v>0</v>
      </c>
      <c r="M276" s="197">
        <f>((((2-0)/(2-D276))*B276+(1-((2-0)/(2-D276)))*C276)+F276)*($T$3*$T$4)</f>
        <v>0</v>
      </c>
      <c r="N276" s="198">
        <f>(B276+G276)*($T$3*$T$4)</f>
        <v>0</v>
      </c>
      <c r="O276" s="198">
        <f>((((2-0)/(2-D276))*B276+(1-((2-0)/(2-D276)))*C276)+G276)*($T$3*$T$4)</f>
        <v>0</v>
      </c>
      <c r="P276" s="199">
        <f>(B276+H276)*($T$3*$T$4)</f>
        <v>0</v>
      </c>
      <c r="Q276" s="199">
        <f>((((2-0)/(2-D276))*B276+(1-((2-0)/(2-D276)))*C276)+H276)*($T$3*$T$4)</f>
        <v>0</v>
      </c>
      <c r="AF276" t="s">
        <v>801</v>
      </c>
      <c r="AG276">
        <v>8</v>
      </c>
      <c r="AH276" s="1">
        <f>J186-J180</f>
        <v>46.773939492675709</v>
      </c>
      <c r="AI276" s="1">
        <f>K186-K180</f>
        <v>46.773939492675709</v>
      </c>
      <c r="AJ276" s="1">
        <f>L186-L180</f>
        <v>42.001731400887365</v>
      </c>
      <c r="AK276" s="1">
        <f>M186-M180</f>
        <v>42.001731400887365</v>
      </c>
      <c r="AL276" s="1">
        <f>J210-J204</f>
        <v>45.25648211351654</v>
      </c>
      <c r="AM276" s="1">
        <f>K210-K204</f>
        <v>45.25648211351654</v>
      </c>
      <c r="AN276" s="1">
        <f>L210-L204</f>
        <v>40.484274021728197</v>
      </c>
      <c r="AO276" s="1">
        <f>M210-M204</f>
        <v>40.484274021728197</v>
      </c>
      <c r="AP276" s="1">
        <f>J233-J227</f>
        <v>47.543160451197764</v>
      </c>
      <c r="AQ276" s="1">
        <f>K233-K227</f>
        <v>47.543160451197764</v>
      </c>
    </row>
    <row r="277" spans="1:43">
      <c r="A277" s="191"/>
      <c r="B277" s="17"/>
      <c r="C277" s="17"/>
      <c r="D277" s="17"/>
      <c r="E277" s="33"/>
      <c r="F277" s="17"/>
      <c r="G277" s="17"/>
      <c r="H277" s="17"/>
      <c r="I277" s="196">
        <f t="shared" si="132"/>
        <v>0</v>
      </c>
      <c r="J277" s="213">
        <f t="shared" si="133"/>
        <v>0</v>
      </c>
      <c r="K277" s="213">
        <f t="shared" si="134"/>
        <v>0</v>
      </c>
      <c r="L277" s="197">
        <f>(B277+F277)*($T$3*$T$4)</f>
        <v>0</v>
      </c>
      <c r="M277" s="197">
        <f>((((2-0)/(2-D277))*B277+(1-((2-0)/(2-D277)))*C277)+F277)*($T$3*$T$4)</f>
        <v>0</v>
      </c>
      <c r="N277" s="198">
        <f>(B277+G277)*($T$3*$T$4)</f>
        <v>0</v>
      </c>
      <c r="O277" s="198">
        <f>((((2-0)/(2-D277))*B277+(1-((2-0)/(2-D277)))*C277)+G277)*($T$3*$T$4)</f>
        <v>0</v>
      </c>
      <c r="P277" s="199">
        <f>(B277+H277)*($T$3*$T$4)</f>
        <v>0</v>
      </c>
      <c r="Q277" s="199">
        <f>((((2-0)/(2-D277))*B277+(1-((2-0)/(2-D277)))*C277)+H277)*($T$3*$T$4)</f>
        <v>0</v>
      </c>
      <c r="AF277" t="s">
        <v>801</v>
      </c>
      <c r="AG277">
        <v>9</v>
      </c>
      <c r="AH277" s="1">
        <f>J186-J180</f>
        <v>46.773939492675709</v>
      </c>
      <c r="AI277" s="1">
        <f>K186-K180</f>
        <v>46.773939492675709</v>
      </c>
      <c r="AJ277" s="1">
        <f>L186-L180</f>
        <v>42.001731400887365</v>
      </c>
      <c r="AK277" s="1">
        <f>M186-M180</f>
        <v>42.001731400887365</v>
      </c>
      <c r="AL277" s="1">
        <f>J210-J204</f>
        <v>45.25648211351654</v>
      </c>
      <c r="AM277" s="1">
        <f>K210-K204</f>
        <v>45.25648211351654</v>
      </c>
      <c r="AN277" s="1">
        <f>L210-L204</f>
        <v>40.484274021728197</v>
      </c>
      <c r="AO277" s="1">
        <f>M210-M204</f>
        <v>40.484274021728197</v>
      </c>
      <c r="AP277" s="1">
        <f>J233-J227</f>
        <v>47.543160451197764</v>
      </c>
      <c r="AQ277" s="1">
        <f>K233-K227</f>
        <v>47.543160451197764</v>
      </c>
    </row>
    <row r="278" spans="1:43">
      <c r="A278" s="191" t="s">
        <v>836</v>
      </c>
      <c r="B278" s="17"/>
      <c r="C278" s="17"/>
      <c r="D278" s="17"/>
      <c r="E278" s="33"/>
      <c r="F278" s="17"/>
      <c r="G278" s="17"/>
      <c r="H278" s="17"/>
      <c r="I278" s="196">
        <f>(G278-H278)*($T$3*$T$4)</f>
        <v>0</v>
      </c>
      <c r="J278" s="213">
        <f t="shared" si="133"/>
        <v>0</v>
      </c>
      <c r="K278" s="213">
        <f t="shared" si="134"/>
        <v>0</v>
      </c>
      <c r="L278" s="197">
        <f>(B278+F278)*($T$3*$T$4)</f>
        <v>0</v>
      </c>
      <c r="M278" s="197">
        <f>((((2-0)/(2-D278))*B278+(1-((2-0)/(2-D278)))*C278)+F278)*($T$3*$T$4)</f>
        <v>0</v>
      </c>
      <c r="N278" s="198">
        <f>(B278+G278)*($T$3*$T$4)</f>
        <v>0</v>
      </c>
      <c r="O278" s="198">
        <f>((((2-0)/(2-D278))*B278+(1-((2-0)/(2-D278)))*C278)+G278)*($T$3*$T$4)</f>
        <v>0</v>
      </c>
      <c r="P278" s="199">
        <f>(B278+H278)*($T$3*$T$4)</f>
        <v>0</v>
      </c>
      <c r="Q278" s="199">
        <f>((((2-0)/(2-D278))*B278+(1-((2-0)/(2-D278)))*C278)+H278)*($T$3*$T$4)</f>
        <v>0</v>
      </c>
      <c r="AF278" t="s">
        <v>833</v>
      </c>
      <c r="AG278">
        <v>10</v>
      </c>
      <c r="AH278" s="211">
        <f>J195-J180</f>
        <v>53.693308645830257</v>
      </c>
      <c r="AI278" s="211">
        <f>K195-K180</f>
        <v>53.693308645830257</v>
      </c>
      <c r="AJ278" s="211">
        <f>L195-L180</f>
        <v>48.142989044019487</v>
      </c>
      <c r="AK278" s="211">
        <f>M195-M180</f>
        <v>48.142989044019487</v>
      </c>
      <c r="AL278" s="1">
        <f>J219-J204</f>
        <v>56.233718479255913</v>
      </c>
      <c r="AM278" s="1">
        <f>K219-K204</f>
        <v>56.233718479255913</v>
      </c>
      <c r="AN278" s="1">
        <f>L219-L204</f>
        <v>50.683398877430591</v>
      </c>
      <c r="AO278" s="1">
        <f>M219-M204</f>
        <v>50.683398877430591</v>
      </c>
      <c r="AP278" s="1">
        <f>J242-J227</f>
        <v>64.704705989395734</v>
      </c>
      <c r="AQ278" s="1">
        <f>K242-K227</f>
        <v>64.704705989395734</v>
      </c>
    </row>
    <row r="279" spans="1:43">
      <c r="A279" s="191" t="s">
        <v>837</v>
      </c>
      <c r="B279" s="17"/>
      <c r="C279" s="17"/>
      <c r="D279" s="17"/>
      <c r="E279" s="33"/>
      <c r="F279" s="17"/>
      <c r="G279" s="17"/>
      <c r="H279" s="17"/>
      <c r="I279" s="196">
        <f>(G279-H279)*($T$3*$T$4)</f>
        <v>0</v>
      </c>
      <c r="J279" s="213">
        <f t="shared" si="133"/>
        <v>0</v>
      </c>
      <c r="K279" s="213">
        <f t="shared" si="134"/>
        <v>0</v>
      </c>
      <c r="L279" s="197">
        <f>(B279+F279)*($T$3*$T$4)</f>
        <v>0</v>
      </c>
      <c r="M279" s="197">
        <f>((((2-0)/(2-D279))*B279+(1-((2-0)/(2-D279)))*C279)+F279)*($T$3*$T$4)</f>
        <v>0</v>
      </c>
      <c r="N279" s="198">
        <f>(B279+G279)*($T$3*$T$4)</f>
        <v>0</v>
      </c>
      <c r="O279" s="198">
        <f>((((2-0)/(2-D279))*B279+(1-((2-0)/(2-D279)))*C279)+G279)*($T$3*$T$4)</f>
        <v>0</v>
      </c>
      <c r="P279" s="199">
        <f>(B279+H279)*($T$3*$T$4)</f>
        <v>0</v>
      </c>
      <c r="Q279" s="199">
        <f>((((2-0)/(2-D279))*B279+(1-((2-0)/(2-D279)))*C279)+H279)*($T$3*$T$4)</f>
        <v>0</v>
      </c>
      <c r="AF279" t="s">
        <v>833</v>
      </c>
      <c r="AG279">
        <v>11</v>
      </c>
      <c r="AH279" s="1">
        <f>J195-J180</f>
        <v>53.693308645830257</v>
      </c>
      <c r="AI279" s="1">
        <f>K195-K180</f>
        <v>53.693308645830257</v>
      </c>
      <c r="AJ279" s="1">
        <f>L195-L180</f>
        <v>48.142989044019487</v>
      </c>
      <c r="AK279" s="1">
        <f>M195-M180</f>
        <v>48.142989044019487</v>
      </c>
      <c r="AL279" s="1">
        <f>J219-J204</f>
        <v>56.233718479255913</v>
      </c>
      <c r="AM279" s="1">
        <f>K219-K204</f>
        <v>56.233718479255913</v>
      </c>
      <c r="AN279" s="1">
        <f>L219-L204</f>
        <v>50.683398877430591</v>
      </c>
      <c r="AO279" s="1">
        <f>M219-M204</f>
        <v>50.683398877430591</v>
      </c>
      <c r="AP279" s="1">
        <f>J242-J227</f>
        <v>64.704705989395734</v>
      </c>
      <c r="AQ279" s="1">
        <f>K242-K227</f>
        <v>64.704705989395734</v>
      </c>
    </row>
    <row r="280" spans="1:43">
      <c r="A280" s="191"/>
      <c r="B280" s="17"/>
      <c r="C280" s="17"/>
      <c r="D280" s="17"/>
      <c r="E280" s="33"/>
      <c r="F280" s="17"/>
      <c r="G280" s="17"/>
      <c r="H280" s="17"/>
      <c r="I280" s="196">
        <f>(G280-H280)*($T$3*$T$4)</f>
        <v>0</v>
      </c>
      <c r="J280" s="213">
        <f t="shared" si="133"/>
        <v>0</v>
      </c>
      <c r="K280" s="213">
        <f t="shared" si="134"/>
        <v>0</v>
      </c>
      <c r="L280" s="197">
        <f>(B280+F280)*($T$3*$T$4)</f>
        <v>0</v>
      </c>
      <c r="M280" s="197">
        <f>((((2-0)/(2-D280))*B280+(1-((2-0)/(2-D280)))*C280)+F280)*($T$3*$T$4)</f>
        <v>0</v>
      </c>
      <c r="N280" s="198">
        <f>(B280+G280)*($T$3*$T$4)</f>
        <v>0</v>
      </c>
      <c r="O280" s="198">
        <f>((((2-0)/(2-D280))*B280+(1-((2-0)/(2-D280)))*C280)+G280)*($T$3*$T$4)</f>
        <v>0</v>
      </c>
      <c r="P280" s="199">
        <f>(B280+H280)*($T$3*$T$4)</f>
        <v>0</v>
      </c>
      <c r="Q280" s="199">
        <f>((((2-0)/(2-D280))*B280+(1-((2-0)/(2-D280)))*C280)+H280)*($T$3*$T$4)</f>
        <v>0</v>
      </c>
      <c r="AF280" t="s">
        <v>834</v>
      </c>
      <c r="AG280">
        <v>12</v>
      </c>
      <c r="AH280" s="1">
        <f>J196-J180</f>
        <v>34.525165380517137</v>
      </c>
      <c r="AI280" s="1">
        <f>K196-K180</f>
        <v>34.525165380517137</v>
      </c>
      <c r="AJ280" s="1">
        <f>L196-L180</f>
        <v>31.955514869550825</v>
      </c>
      <c r="AK280" s="1">
        <f>M196-M180</f>
        <v>31.955514869550825</v>
      </c>
      <c r="AL280" s="1">
        <f>J220-J204</f>
        <v>29.498315276985522</v>
      </c>
      <c r="AM280" s="1">
        <f>K220-K204</f>
        <v>29.498315276985522</v>
      </c>
      <c r="AN280" s="1">
        <f>L220-L204</f>
        <v>26.92866476601921</v>
      </c>
      <c r="AO280" s="1">
        <f>M220-M204</f>
        <v>26.92866476601921</v>
      </c>
      <c r="AP280" s="1">
        <f>J243-J227</f>
        <v>31.528022915998008</v>
      </c>
      <c r="AQ280" s="1">
        <f>K243-K227</f>
        <v>31.528022915998008</v>
      </c>
    </row>
    <row r="281" spans="1:43">
      <c r="A281" s="191" t="s">
        <v>789</v>
      </c>
      <c r="B281" s="194"/>
      <c r="C281" s="17"/>
      <c r="D281" s="17"/>
      <c r="E281" s="33"/>
      <c r="F281" s="17"/>
      <c r="G281" s="17"/>
      <c r="H281" s="17"/>
      <c r="I281" s="196">
        <f>(G281-H281)*($T$3*$T$4)</f>
        <v>0</v>
      </c>
      <c r="J281" s="213">
        <f t="shared" si="133"/>
        <v>0</v>
      </c>
      <c r="K281" s="213">
        <f t="shared" si="134"/>
        <v>0</v>
      </c>
      <c r="L281" s="197">
        <f>(B281+F281)*($T$3*$T$4)</f>
        <v>0</v>
      </c>
      <c r="M281" s="197">
        <f>((((2-0)/(2-D281))*B281+(1-((2-0)/(2-D281)))*C281)+F281)*($T$3*$T$4)</f>
        <v>0</v>
      </c>
      <c r="N281" s="198">
        <f>(B281+G281)*($T$3*$T$4)</f>
        <v>0</v>
      </c>
      <c r="O281" s="198">
        <f>((((2-0)/(2-D281))*B281+(1-((2-0)/(2-D281)))*C281)+G281)*($T$3*$T$4)</f>
        <v>0</v>
      </c>
      <c r="P281" s="199">
        <f>(B281+H281)*($T$3*$T$4)</f>
        <v>0</v>
      </c>
      <c r="Q281" s="199">
        <f>((((2-0)/(2-D281))*B281+(1-((2-0)/(2-D281)))*C281)+H281)*($T$3*$T$4)</f>
        <v>0</v>
      </c>
      <c r="AF281" t="s">
        <v>834</v>
      </c>
      <c r="AG281">
        <v>13</v>
      </c>
      <c r="AH281" s="1">
        <f>J196-J180</f>
        <v>34.525165380517137</v>
      </c>
      <c r="AI281" s="1">
        <f>K196-K180</f>
        <v>34.525165380517137</v>
      </c>
      <c r="AJ281" s="1">
        <f>L196-L180</f>
        <v>31.955514869550825</v>
      </c>
      <c r="AK281" s="1">
        <f>M196-M180</f>
        <v>31.955514869550825</v>
      </c>
      <c r="AL281" s="1">
        <f>J220-J204</f>
        <v>29.498315276985522</v>
      </c>
      <c r="AM281" s="1">
        <f>K220-K204</f>
        <v>29.498315276985522</v>
      </c>
      <c r="AN281" s="1">
        <f>L220-L204</f>
        <v>26.92866476601921</v>
      </c>
      <c r="AO281" s="1">
        <f>M220-M204</f>
        <v>26.92866476601921</v>
      </c>
      <c r="AP281" s="1">
        <f>J243-J227</f>
        <v>31.528022915998008</v>
      </c>
      <c r="AQ281" s="1">
        <f>K243-K227</f>
        <v>31.528022915998008</v>
      </c>
    </row>
    <row r="282" spans="1:43">
      <c r="A282" s="191" t="s">
        <v>790</v>
      </c>
      <c r="B282" s="17"/>
      <c r="C282" s="17"/>
      <c r="D282" s="17"/>
      <c r="E282" s="33"/>
      <c r="F282" s="17"/>
      <c r="G282" s="17"/>
      <c r="H282" s="17"/>
      <c r="I282" s="196">
        <f>(G282-H282)*($T$3*$T$4)</f>
        <v>0</v>
      </c>
      <c r="J282" s="213">
        <f t="shared" si="133"/>
        <v>0</v>
      </c>
      <c r="K282" s="213">
        <f t="shared" si="134"/>
        <v>0</v>
      </c>
      <c r="L282" s="197">
        <f>(B282+F282)*($T$3*$T$4)</f>
        <v>0</v>
      </c>
      <c r="M282" s="197">
        <f>((((2-0)/(2-D282))*B282+(1-((2-0)/(2-D282)))*C282)+F282)*($T$3*$T$4)</f>
        <v>0</v>
      </c>
      <c r="N282" s="198">
        <f>(B282+G282)*($T$3*$T$4)</f>
        <v>0</v>
      </c>
      <c r="O282" s="198">
        <f>((((2-0)/(2-D282))*B282+(1-((2-0)/(2-D282)))*C282)+G282)*($T$3*$T$4)</f>
        <v>0</v>
      </c>
      <c r="P282" s="199">
        <f>(B282+H282)*($T$3*$T$4)</f>
        <v>0</v>
      </c>
      <c r="Q282" s="199">
        <f>((((2-0)/(2-D282))*B282+(1-((2-0)/(2-D282)))*C282)+H282)*($T$3*$T$4)</f>
        <v>0</v>
      </c>
      <c r="AF282" t="s">
        <v>798</v>
      </c>
      <c r="AG282">
        <v>14</v>
      </c>
      <c r="AH282" s="1">
        <f>(J183+J182)-J180</f>
        <v>36.250979059230303</v>
      </c>
      <c r="AI282" s="1">
        <f>(K183+K182)-K180</f>
        <v>36.250979059230303</v>
      </c>
      <c r="AJ282" s="1">
        <f>(L183+L182)-L180</f>
        <v>32.992950865576859</v>
      </c>
      <c r="AK282" s="1">
        <f>(M183+M182)-M180</f>
        <v>32.992950865576859</v>
      </c>
      <c r="AL282" s="1">
        <f>(J207+J206)-J204</f>
        <v>31.743703503874713</v>
      </c>
      <c r="AM282" s="1">
        <f>(K207+K206)-K204</f>
        <v>31.743703503874713</v>
      </c>
      <c r="AN282" s="1">
        <f>(L207+L206)-L204</f>
        <v>28.48567531023582</v>
      </c>
      <c r="AO282" s="1">
        <f>(M207+M206)-M204</f>
        <v>28.48567531023582</v>
      </c>
      <c r="AP282" s="1">
        <f>(J230+J229)-J227</f>
        <v>33.414291471184697</v>
      </c>
      <c r="AQ282" s="1">
        <f>(K230+K229)-K227</f>
        <v>33.414291471184697</v>
      </c>
    </row>
    <row r="283" spans="1:43">
      <c r="A283" s="191" t="s">
        <v>793</v>
      </c>
      <c r="B283" s="17"/>
      <c r="C283" s="17"/>
      <c r="D283" s="17"/>
      <c r="E283" s="33"/>
      <c r="F283" s="17"/>
      <c r="G283" s="17"/>
      <c r="H283" s="17"/>
      <c r="I283" s="196">
        <f>(G283-H283)*($T$3*$T$4)</f>
        <v>0</v>
      </c>
      <c r="J283" s="213">
        <f t="shared" si="133"/>
        <v>0</v>
      </c>
      <c r="K283" s="213">
        <f t="shared" si="134"/>
        <v>0</v>
      </c>
      <c r="L283" s="197">
        <f>(B283+F283)*($T$3*$T$4)</f>
        <v>0</v>
      </c>
      <c r="M283" s="197">
        <f>((((2-0)/(2-D283))*B283+(1-((2-0)/(2-D283)))*C283)+F283)*($T$3*$T$4)</f>
        <v>0</v>
      </c>
      <c r="N283" s="198">
        <f>(B283+G283)*($T$3*$T$4)</f>
        <v>0</v>
      </c>
      <c r="O283" s="198">
        <f>((((2-0)/(2-D283))*B283+(1-((2-0)/(2-D283)))*C283)+G283)*($T$3*$T$4)</f>
        <v>0</v>
      </c>
      <c r="P283" s="199">
        <f>(B283+H283)*($T$3*$T$4)</f>
        <v>0</v>
      </c>
      <c r="Q283" s="199">
        <f>((((2-0)/(2-D283))*B283+(1-((2-0)/(2-D283)))*C283)+H283)*($T$3*$T$4)</f>
        <v>0</v>
      </c>
      <c r="AF283" t="s">
        <v>798</v>
      </c>
      <c r="AG283">
        <v>15</v>
      </c>
      <c r="AH283" s="1">
        <f>(J183+J182)-J180</f>
        <v>36.250979059230303</v>
      </c>
      <c r="AI283" s="1">
        <f>(K183+K182)-K180</f>
        <v>36.250979059230303</v>
      </c>
      <c r="AJ283" s="1">
        <f>(L183+L182)-L180</f>
        <v>32.992950865576859</v>
      </c>
      <c r="AK283" s="1">
        <f>(M183+M182)-M180</f>
        <v>32.992950865576859</v>
      </c>
      <c r="AL283" s="1">
        <f>(J207+J206)-J204</f>
        <v>31.743703503874713</v>
      </c>
      <c r="AM283" s="1">
        <f>(K207+K206)-K204</f>
        <v>31.743703503874713</v>
      </c>
      <c r="AN283" s="1">
        <f>(L207+L206)-L204</f>
        <v>28.48567531023582</v>
      </c>
      <c r="AO283" s="1">
        <f>(M207+M206)-M204</f>
        <v>28.48567531023582</v>
      </c>
      <c r="AP283" s="1">
        <f>(J230+J229)-J227</f>
        <v>33.414291471184697</v>
      </c>
      <c r="AQ283" s="1">
        <f>(K230+K229)-K227</f>
        <v>33.414291471184697</v>
      </c>
    </row>
    <row r="284" spans="1:43">
      <c r="A284" s="191"/>
      <c r="B284" s="17"/>
      <c r="C284" s="17"/>
      <c r="D284" s="17"/>
      <c r="E284" s="33"/>
      <c r="F284" s="17"/>
      <c r="G284" s="17"/>
      <c r="H284" s="17"/>
      <c r="I284" s="196">
        <f>(G284-H284)*($T$3*$T$4)</f>
        <v>0</v>
      </c>
      <c r="J284" s="213">
        <f t="shared" si="133"/>
        <v>0</v>
      </c>
      <c r="K284" s="213">
        <f t="shared" si="134"/>
        <v>0</v>
      </c>
      <c r="L284" s="197">
        <f>(B284+F284)*($T$3*$T$4)</f>
        <v>0</v>
      </c>
      <c r="M284" s="197">
        <f>((((2-0)/(2-D284))*B284+(1-((2-0)/(2-D284)))*C284)+F284)*($T$3*$T$4)</f>
        <v>0</v>
      </c>
      <c r="N284" s="198">
        <f>(B284+G284)*($T$3*$T$4)</f>
        <v>0</v>
      </c>
      <c r="O284" s="198">
        <f>((((2-0)/(2-D284))*B284+(1-((2-0)/(2-D284)))*C284)+G284)*($T$3*$T$4)</f>
        <v>0</v>
      </c>
      <c r="P284" s="199">
        <f>(B284+H284)*($T$3*$T$4)</f>
        <v>0</v>
      </c>
      <c r="Q284" s="199">
        <f>((((2-0)/(2-D284))*B284+(1-((2-0)/(2-D284)))*C284)+H284)*($T$3*$T$4)</f>
        <v>0</v>
      </c>
    </row>
    <row r="285" spans="1:43">
      <c r="A285" s="191" t="s">
        <v>804</v>
      </c>
      <c r="B285" s="17"/>
      <c r="C285" s="17"/>
      <c r="D285" s="17"/>
      <c r="E285" s="33"/>
      <c r="F285" s="17"/>
      <c r="G285" s="17"/>
      <c r="H285" s="17"/>
      <c r="I285" s="196">
        <f>(G285-H285)*($T$3*$T$4)</f>
        <v>0</v>
      </c>
      <c r="J285" s="213">
        <f t="shared" si="133"/>
        <v>0</v>
      </c>
      <c r="K285" s="213">
        <f t="shared" si="134"/>
        <v>0</v>
      </c>
      <c r="L285" s="197">
        <f>(B285+F285)*($T$3*$T$4)</f>
        <v>0</v>
      </c>
      <c r="M285" s="197">
        <f>((((2-0)/(2-D285))*B285+(1-((2-0)/(2-D285)))*C285)+F285)*($T$3*$T$4)</f>
        <v>0</v>
      </c>
      <c r="N285" s="198">
        <f>(B285+G285)*($T$3*$T$4)</f>
        <v>0</v>
      </c>
      <c r="O285" s="198">
        <f>((((2-0)/(2-D285))*B285+(1-((2-0)/(2-D285)))*C285)+G285)*($T$3*$T$4)</f>
        <v>0</v>
      </c>
      <c r="P285" s="199">
        <f>(B285+H285)*($T$3*$T$4)</f>
        <v>0</v>
      </c>
      <c r="Q285" s="199">
        <f>((((2-0)/(2-D285))*B285+(1-((2-0)/(2-D285)))*C285)+H285)*($T$3*$T$4)</f>
        <v>0</v>
      </c>
    </row>
    <row r="286" spans="1:43">
      <c r="A286" s="191" t="s">
        <v>806</v>
      </c>
      <c r="B286" s="17"/>
      <c r="C286" s="17"/>
      <c r="D286" s="17"/>
      <c r="E286" s="33"/>
      <c r="F286" s="17"/>
      <c r="G286" s="17"/>
      <c r="H286" s="17"/>
      <c r="I286" s="196">
        <f t="shared" ref="I286:I292" si="135">(G286-H286)*($T$3*$T$4)</f>
        <v>0</v>
      </c>
      <c r="J286" s="213">
        <f t="shared" si="133"/>
        <v>0</v>
      </c>
      <c r="K286" s="213">
        <f t="shared" si="134"/>
        <v>0</v>
      </c>
      <c r="L286" s="197">
        <f>(B286+F286)*($T$3*$T$4)</f>
        <v>0</v>
      </c>
      <c r="M286" s="197">
        <f>((((2-0)/(2-D286))*B286+(1-((2-0)/(2-D286)))*C286)+F286)*($T$3*$T$4)</f>
        <v>0</v>
      </c>
      <c r="N286" s="198">
        <f>(B286+G286)*($T$3*$T$4)</f>
        <v>0</v>
      </c>
      <c r="O286" s="198">
        <f>((((2-0)/(2-D286))*B286+(1-((2-0)/(2-D286)))*C286)+G286)*($T$3*$T$4)</f>
        <v>0</v>
      </c>
      <c r="P286" s="199">
        <f>(B286+H286)*($T$3*$T$4)</f>
        <v>0</v>
      </c>
      <c r="Q286" s="199">
        <f>((((2-0)/(2-D286))*B286+(1-((2-0)/(2-D286)))*C286)+H286)*($T$3*$T$4)</f>
        <v>0</v>
      </c>
    </row>
    <row r="287" spans="1:43">
      <c r="A287" s="191"/>
      <c r="B287" s="17"/>
      <c r="C287" s="17"/>
      <c r="D287" s="17"/>
      <c r="E287" s="33"/>
      <c r="F287" s="17"/>
      <c r="G287" s="17"/>
      <c r="H287" s="17"/>
      <c r="I287" s="196">
        <f t="shared" si="135"/>
        <v>0</v>
      </c>
      <c r="J287" s="213">
        <f t="shared" si="133"/>
        <v>0</v>
      </c>
      <c r="K287" s="213">
        <f t="shared" si="134"/>
        <v>0</v>
      </c>
      <c r="L287" s="197">
        <f>(B287+F287)*($T$3*$T$4)</f>
        <v>0</v>
      </c>
      <c r="M287" s="197">
        <f>((((2-0)/(2-D287))*B287+(1-((2-0)/(2-D287)))*C287)+F287)*($T$3*$T$4)</f>
        <v>0</v>
      </c>
      <c r="N287" s="198">
        <f>(B287+G287)*($T$3*$T$4)</f>
        <v>0</v>
      </c>
      <c r="O287" s="198">
        <f>((((2-0)/(2-D287))*B287+(1-((2-0)/(2-D287)))*C287)+G287)*($T$3*$T$4)</f>
        <v>0</v>
      </c>
      <c r="P287" s="199">
        <f>(B287+H287)*($T$3*$T$4)</f>
        <v>0</v>
      </c>
      <c r="Q287" s="199">
        <f>((((2-0)/(2-D287))*B287+(1-((2-0)/(2-D287)))*C287)+H287)*($T$3*$T$4)</f>
        <v>0</v>
      </c>
    </row>
    <row r="288" spans="1:43">
      <c r="A288" s="191" t="s">
        <v>839</v>
      </c>
      <c r="B288" s="17"/>
      <c r="C288" s="17"/>
      <c r="D288" s="17"/>
      <c r="E288" s="33"/>
      <c r="F288" s="17"/>
      <c r="G288" s="17"/>
      <c r="H288" s="17"/>
      <c r="I288" s="196">
        <f t="shared" si="135"/>
        <v>0</v>
      </c>
      <c r="J288" s="213">
        <f t="shared" si="133"/>
        <v>0</v>
      </c>
      <c r="K288" s="213">
        <f t="shared" si="134"/>
        <v>0</v>
      </c>
      <c r="L288" s="197">
        <f>(B288+F288)*($T$3*$T$4)</f>
        <v>0</v>
      </c>
      <c r="M288" s="197">
        <f>((((2-0)/(2-D288))*B288+(1-((2-0)/(2-D288)))*C288)+F288)*($T$3*$T$4)</f>
        <v>0</v>
      </c>
      <c r="N288" s="198">
        <f>(B288+G288)*($T$3*$T$4)</f>
        <v>0</v>
      </c>
      <c r="O288" s="198">
        <f>((((2-0)/(2-D288))*B288+(1-((2-0)/(2-D288)))*C288)+G288)*($T$3*$T$4)</f>
        <v>0</v>
      </c>
      <c r="P288" s="199">
        <f>(B288+H288)*($T$3*$T$4)</f>
        <v>0</v>
      </c>
      <c r="Q288" s="199">
        <f>((((2-0)/(2-D288))*B288+(1-((2-0)/(2-D288)))*C288)+H288)*($T$3*$T$4)</f>
        <v>0</v>
      </c>
    </row>
    <row r="289" spans="1:17">
      <c r="A289" s="191" t="s">
        <v>840</v>
      </c>
      <c r="B289" s="17"/>
      <c r="C289" s="17"/>
      <c r="D289" s="17"/>
      <c r="E289" s="33"/>
      <c r="F289" s="17"/>
      <c r="G289" s="17"/>
      <c r="H289" s="17"/>
      <c r="I289" s="196">
        <f t="shared" si="135"/>
        <v>0</v>
      </c>
      <c r="J289" s="213">
        <f t="shared" si="133"/>
        <v>0</v>
      </c>
      <c r="K289" s="213">
        <f t="shared" si="134"/>
        <v>0</v>
      </c>
      <c r="L289" s="197">
        <f>(B289+F289)*($T$3*$T$4)</f>
        <v>0</v>
      </c>
      <c r="M289" s="197">
        <f>((((2-0)/(2-D289))*B289+(1-((2-0)/(2-D289)))*C289)+F289)*($T$3*$T$4)</f>
        <v>0</v>
      </c>
      <c r="N289" s="198">
        <f>(B289+G289)*($T$3*$T$4)</f>
        <v>0</v>
      </c>
      <c r="O289" s="198">
        <f>((((2-0)/(2-D289))*B289+(1-((2-0)/(2-D289)))*C289)+G289)*($T$3*$T$4)</f>
        <v>0</v>
      </c>
      <c r="P289" s="199">
        <f>(B289+H289)*($T$3*$T$4)</f>
        <v>0</v>
      </c>
      <c r="Q289" s="199">
        <f>((((2-0)/(2-D289))*B289+(1-((2-0)/(2-D289)))*C289)+H289)*($T$3*$T$4)</f>
        <v>0</v>
      </c>
    </row>
    <row r="290" spans="1:17">
      <c r="A290" s="191"/>
      <c r="B290" s="17"/>
      <c r="C290" s="17"/>
      <c r="D290" s="17"/>
      <c r="E290" s="33"/>
      <c r="F290" s="17"/>
      <c r="G290" s="17"/>
      <c r="H290" s="17"/>
      <c r="I290" s="196">
        <f t="shared" si="135"/>
        <v>0</v>
      </c>
      <c r="J290" s="213">
        <f t="shared" si="133"/>
        <v>0</v>
      </c>
      <c r="K290" s="213">
        <f t="shared" si="134"/>
        <v>0</v>
      </c>
      <c r="L290" s="197">
        <f>(B290+F290)*($T$3*$T$4)</f>
        <v>0</v>
      </c>
      <c r="M290" s="197">
        <f>((((2-0)/(2-D290))*B290+(1-((2-0)/(2-D290)))*C290)+F290)*($T$3*$T$4)</f>
        <v>0</v>
      </c>
      <c r="N290" s="198">
        <f>(B290+G290)*($T$3*$T$4)</f>
        <v>0</v>
      </c>
      <c r="O290" s="198">
        <f>((((2-0)/(2-D290))*B290+(1-((2-0)/(2-D290)))*C290)+G290)*($T$3*$T$4)</f>
        <v>0</v>
      </c>
      <c r="P290" s="199">
        <f>(B290+H290)*($T$3*$T$4)</f>
        <v>0</v>
      </c>
      <c r="Q290" s="199">
        <f>((((2-0)/(2-D290))*B290+(1-((2-0)/(2-D290)))*C290)+H290)*($T$3*$T$4)</f>
        <v>0</v>
      </c>
    </row>
    <row r="291" spans="1:17">
      <c r="A291" s="191"/>
      <c r="B291" s="17"/>
      <c r="C291" s="17"/>
      <c r="D291" s="17"/>
      <c r="E291" s="33"/>
      <c r="F291" s="17"/>
      <c r="G291" s="17"/>
      <c r="H291" s="17"/>
      <c r="I291" s="196">
        <f t="shared" si="135"/>
        <v>0</v>
      </c>
      <c r="J291" s="213">
        <f t="shared" si="133"/>
        <v>0</v>
      </c>
      <c r="K291" s="213">
        <f t="shared" si="134"/>
        <v>0</v>
      </c>
      <c r="L291" s="197">
        <f>(B291+F291)*($T$3*$T$4)</f>
        <v>0</v>
      </c>
      <c r="M291" s="197">
        <f>((((2-0)/(2-D291))*B291+(1-((2-0)/(2-D291)))*C291)+F291)*($T$3*$T$4)</f>
        <v>0</v>
      </c>
      <c r="N291" s="198">
        <f>(B291+G291)*($T$3*$T$4)</f>
        <v>0</v>
      </c>
      <c r="O291" s="198">
        <f>((((2-0)/(2-D291))*B291+(1-((2-0)/(2-D291)))*C291)+G291)*($T$3*$T$4)</f>
        <v>0</v>
      </c>
      <c r="P291" s="199">
        <f>(B291+H291)*($T$3*$T$4)</f>
        <v>0</v>
      </c>
      <c r="Q291" s="199">
        <f>((((2-0)/(2-D291))*B291+(1-((2-0)/(2-D291)))*C291)+H291)*($T$3*$T$4)</f>
        <v>0</v>
      </c>
    </row>
    <row r="292" spans="1:17">
      <c r="A292" s="191"/>
      <c r="B292" s="17"/>
      <c r="C292" s="17"/>
      <c r="D292" s="17"/>
      <c r="E292" s="33"/>
      <c r="F292" s="17"/>
      <c r="G292" s="17"/>
      <c r="H292" s="17"/>
      <c r="I292" s="196">
        <f t="shared" si="135"/>
        <v>0</v>
      </c>
      <c r="J292" s="213">
        <f t="shared" si="133"/>
        <v>0</v>
      </c>
      <c r="K292" s="213">
        <f t="shared" si="134"/>
        <v>0</v>
      </c>
      <c r="L292" s="197">
        <f>(B292+F292)*($T$3*$T$4)</f>
        <v>0</v>
      </c>
      <c r="M292" s="197">
        <f>((((2-0)/(2-D292))*B292+(1-((2-0)/(2-D292)))*C292)+F292)*($T$3*$T$4)</f>
        <v>0</v>
      </c>
      <c r="N292" s="198">
        <f>(B292+G292)*($T$3*$T$4)</f>
        <v>0</v>
      </c>
      <c r="O292" s="198">
        <f>((((2-0)/(2-D292))*B292+(1-((2-0)/(2-D292)))*C292)+G292)*($T$3*$T$4)</f>
        <v>0</v>
      </c>
      <c r="P292" s="199">
        <f>(B292+H292)*($T$3*$T$4)</f>
        <v>0</v>
      </c>
      <c r="Q292" s="199">
        <f>((((2-0)/(2-D292))*B292+(1-((2-0)/(2-D292)))*C292)+H292)*($T$3*$T$4)</f>
        <v>0</v>
      </c>
    </row>
    <row r="299" spans="1:17">
      <c r="L299">
        <f>2*L274-L273</f>
        <v>45.716787154975464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Sheet6</vt:lpstr>
      <vt:lpstr>Sheet7</vt:lpstr>
      <vt:lpstr>Sheet8</vt:lpstr>
      <vt:lpstr>Sheet9</vt:lpstr>
      <vt:lpstr>Sheet10</vt:lpstr>
      <vt:lpstr>Sheet7!S</vt:lpstr>
      <vt:lpstr>Sheet7!S_5</vt:lpstr>
      <vt:lpstr>Sheet7!S_6</vt:lpstr>
      <vt:lpstr>Sheet7!T</vt:lpstr>
      <vt:lpstr>Sheet7!T_4</vt:lpstr>
      <vt:lpstr>Sheet7!T_5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2013-04-06T14:27:41Z</dcterms:modified>
</cp:coreProperties>
</file>