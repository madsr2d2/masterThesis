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anes" sheetId="1" r:id="rId4"/>
    <sheet state="visible" name="Sheet1" sheetId="2" r:id="rId5"/>
    <sheet state="visible" name="Sheet2" sheetId="3" r:id="rId6"/>
  </sheets>
  <definedNames>
    <definedName localSheetId="2" name="data52">Sheet2!$A$1:$H$71</definedName>
  </definedNames>
  <calcPr/>
  <extLst>
    <ext uri="GoogleSheetsCustomDataVersion1">
      <go:sheetsCustomData xmlns:go="http://customooxmlschemas.google.com/" r:id="rId7" roundtripDataSignature="AMtx7mgjHZg6/Gtbw8CmdHQ4THx8gqbCsw=="/>
    </ext>
  </extLst>
</workbook>
</file>

<file path=xl/sharedStrings.xml><?xml version="1.0" encoding="utf-8"?>
<sst xmlns="http://schemas.openxmlformats.org/spreadsheetml/2006/main" count="175" uniqueCount="114">
  <si>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</si>
  <si>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</si>
  <si>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</si>
  <si>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</si>
  <si>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</si>
  <si>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</si>
  <si>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</si>
  <si>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</si>
  <si>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</si>
  <si>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</si>
  <si>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</si>
  <si>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</si>
  <si>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</si>
  <si>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</si>
  <si>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</si>
  <si>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Total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</si>
  <si>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</si>
  <si>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</si>
  <si>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</si>
  <si>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</si>
  <si>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</si>
  <si>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</si>
  <si>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</si>
  <si>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Intercept</t>
  </si>
  <si>
    <t>X Variable 1</t>
  </si>
  <si>
    <t>RESIDUAL OUTPUT</t>
  </si>
  <si>
    <t>PROBABILITY OUTPUT</t>
  </si>
  <si>
    <t>Observation</t>
  </si>
  <si>
    <t>Predicted Y</t>
  </si>
  <si>
    <t>Residuals</t>
  </si>
  <si>
    <t>Standard Residuals</t>
  </si>
  <si>
    <t>Percentile</t>
  </si>
  <si>
    <t>Y</t>
  </si>
  <si>
    <t>nm</t>
  </si>
  <si>
    <t>e</t>
  </si>
  <si>
    <t>4-methoxy-benzylalkohol</t>
  </si>
  <si>
    <t>Enz</t>
  </si>
  <si>
    <t>H202 30%</t>
  </si>
  <si>
    <t>H2O</t>
  </si>
  <si>
    <t>a-diesterketon</t>
  </si>
  <si>
    <t>ml</t>
  </si>
  <si>
    <t>Total vol. ml.</t>
  </si>
  <si>
    <t>g/mol</t>
  </si>
  <si>
    <t>g</t>
  </si>
  <si>
    <t>[H2O2]</t>
  </si>
  <si>
    <t>l</t>
  </si>
  <si>
    <t>mol/l</t>
  </si>
  <si>
    <t>mol</t>
  </si>
  <si>
    <t>pH</t>
  </si>
  <si>
    <t>mmol/l</t>
  </si>
  <si>
    <t>T</t>
  </si>
  <si>
    <t>kuv</t>
  </si>
  <si>
    <t>[sub]</t>
  </si>
  <si>
    <t>[Enz]</t>
  </si>
  <si>
    <t>Buf [ml]</t>
  </si>
  <si>
    <t>H2O [ml]</t>
  </si>
  <si>
    <t>Enz [ml]</t>
  </si>
  <si>
    <t>Sub [ml]</t>
  </si>
  <si>
    <t>H2O2 [ml]</t>
  </si>
  <si>
    <t>Vol [ml]</t>
  </si>
  <si>
    <t>Vmax</t>
  </si>
  <si>
    <t>U/min</t>
  </si>
  <si>
    <t>mM/min</t>
  </si>
  <si>
    <t>Km</t>
  </si>
  <si>
    <t>mmol/L</t>
  </si>
  <si>
    <t>kcat</t>
  </si>
  <si>
    <t>min^-1</t>
  </si>
  <si>
    <t>s-1</t>
  </si>
  <si>
    <t>kuncat</t>
  </si>
  <si>
    <t>s^-1</t>
  </si>
  <si>
    <t>kcat/uncat</t>
  </si>
  <si>
    <t xml:space="preserve">The cuvetts were washed three times in water and three times in iso-propyl aclohole and dried in the owen for 20 min. </t>
  </si>
  <si>
    <t>The buffer was added as 1*1ml plus x*0,2 ml, with x=3,2,1 respectivly.</t>
  </si>
  <si>
    <t>The substrate was added as x*0.2 ml, with x=1,2,3,4 respectivly.</t>
  </si>
  <si>
    <t xml:space="preserve">The cuvetts were stired for 10 sec each on the "automatic stirrer" at full speed before they were placed in the spectrometer. </t>
  </si>
  <si>
    <t>Sample002</t>
  </si>
  <si>
    <t>Yes</t>
  </si>
  <si>
    <t>Kinetics Experiment - 052 best fit 2</t>
  </si>
  <si>
    <t>Conc. Units</t>
  </si>
  <si>
    <t>Raw Data</t>
  </si>
  <si>
    <t>[S] [mM]</t>
  </si>
  <si>
    <t>V [mM/s]</t>
  </si>
  <si>
    <t>kuncat [1/s]</t>
  </si>
  <si>
    <t>Sample</t>
  </si>
  <si>
    <t>[S]</t>
  </si>
  <si>
    <t>[I]</t>
  </si>
  <si>
    <t>V</t>
  </si>
  <si>
    <t>Use</t>
  </si>
  <si>
    <t>Sample001</t>
  </si>
  <si>
    <t>Sample003</t>
  </si>
  <si>
    <t>Sample004</t>
  </si>
  <si>
    <t>Batch</t>
  </si>
  <si>
    <t>rate052.rre</t>
  </si>
  <si>
    <t>Evolution 600</t>
  </si>
  <si>
    <t>Data Mode</t>
  </si>
  <si>
    <t>A</t>
  </si>
  <si>
    <t>Smoothing</t>
  </si>
  <si>
    <t>None</t>
  </si>
  <si>
    <t>Date Collected</t>
  </si>
  <si>
    <t>Time Collected</t>
  </si>
  <si>
    <t>12:04:04PM</t>
  </si>
  <si>
    <t>12:04:12PM</t>
  </si>
  <si>
    <t>12:33:49PM</t>
  </si>
  <si>
    <t>12:04:27PM</t>
  </si>
  <si>
    <t>Substrate Conc.</t>
  </si>
  <si>
    <t>0.0476 mmol/l</t>
  </si>
  <si>
    <t>0.0953 mmol/l</t>
  </si>
  <si>
    <t>0.1429 mmol/l</t>
  </si>
  <si>
    <t>0.1906 mmol/l</t>
  </si>
  <si>
    <t>ss.sss</t>
  </si>
  <si>
    <t>Value</t>
  </si>
  <si>
    <t>S</t>
  </si>
  <si>
    <t>S/V</t>
  </si>
  <si>
    <t>Baselined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</si>
</sst>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</font>
    <font>
      <color theme="1"/>
      <name val="Calibri"/>
    </font>
    <font>
      <i/>
      <sz val="10.0"/>
      <color theme="1"/>
      <name val="Arial"/>
    </font>
    <font/>
    <font>
      <sz val="10.0"/>
      <color theme="1"/>
      <name val="Arial"/>
    </font>
    <font>
      <b/>
      <sz val="10.0"/>
      <color theme="1"/>
      <name val="Arial"/>
    </font>
  </fonts>
  <fills count="2">
    <fill>
      <patternFill patternType="none"/>
    </fill>
    <fill>
      <patternFill patternType="lightGray"/>
    </fill>
  </fills>
  <borders count="13">
    <border/>
    <border>
      <top style="medium">
        <color rgb="FF000000"/>
      </top>
      <bottom style="thin">
        <color rgb="FF000000"/>
      </bottom>
    </border>
    <border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right style="thin">
        <color rgb="FF000000"/>
      </right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Border="1" applyFont="1"/>
    <xf borderId="0" fillId="0" fontId="4" numFmtId="0" xfId="0" applyAlignment="1" applyFont="1">
      <alignment shrinkToFit="0" vertical="bottom" wrapText="0"/>
    </xf>
    <xf borderId="2" fillId="0" fontId="4" numFmtId="0" xfId="0" applyAlignment="1" applyBorder="1" applyFont="1">
      <alignment shrinkToFit="0" vertical="bottom" wrapText="0"/>
    </xf>
    <xf borderId="3" fillId="0" fontId="4" numFmtId="0" xfId="0" applyAlignment="1" applyBorder="1" applyFont="1">
      <alignment shrinkToFit="0" vertical="bottom" wrapText="0"/>
    </xf>
    <xf borderId="4" fillId="0" fontId="4" numFmtId="0" xfId="0" applyAlignment="1" applyBorder="1" applyFont="1">
      <alignment shrinkToFit="0" vertical="bottom" wrapText="0"/>
    </xf>
    <xf borderId="5" fillId="0" fontId="4" numFmtId="0" xfId="0" applyAlignment="1" applyBorder="1" applyFont="1">
      <alignment shrinkToFit="0" vertical="bottom" wrapText="0"/>
    </xf>
    <xf borderId="6" fillId="0" fontId="4" numFmtId="0" xfId="0" applyAlignment="1" applyBorder="1" applyFont="1">
      <alignment shrinkToFit="0" vertical="bottom" wrapText="0"/>
    </xf>
    <xf borderId="7" fillId="0" fontId="4" numFmtId="0" xfId="0" applyAlignment="1" applyBorder="1" applyFont="1">
      <alignment shrinkToFit="0" vertical="bottom" wrapText="0"/>
    </xf>
    <xf borderId="8" fillId="0" fontId="4" numFmtId="0" xfId="0" applyAlignment="1" applyBorder="1" applyFont="1">
      <alignment shrinkToFit="0" vertical="bottom" wrapText="0"/>
    </xf>
    <xf borderId="9" fillId="0" fontId="4" numFmtId="0" xfId="0" applyAlignment="1" applyBorder="1" applyFont="1">
      <alignment shrinkToFit="0" vertical="bottom" wrapText="0"/>
    </xf>
    <xf borderId="10" fillId="0" fontId="4" numFmtId="0" xfId="0" applyAlignment="1" applyBorder="1" applyFont="1">
      <alignment shrinkToFit="0" vertical="bottom" wrapText="0"/>
    </xf>
    <xf borderId="11" fillId="0" fontId="4" numFmtId="0" xfId="0" applyAlignment="1" applyBorder="1" applyFont="1">
      <alignment shrinkToFit="0" vertical="bottom" wrapText="0"/>
    </xf>
    <xf borderId="12" fillId="0" fontId="4" numFmtId="0" xfId="0" applyAlignment="1" applyBorder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0" fillId="0" fontId="4" numFmtId="11" xfId="0" applyAlignment="1" applyFont="1" applyNumberFormat="1">
      <alignment shrinkToFit="0" vertical="bottom" wrapText="0"/>
    </xf>
    <xf borderId="0" fillId="0" fontId="1" numFmtId="11" xfId="0" applyFont="1" applyNumberFormat="1"/>
    <xf borderId="0" fillId="0" fontId="4" numFmtId="14" xfId="0" applyAlignment="1" applyFont="1" applyNumberFormat="1">
      <alignment shrinkToFit="0" vertical="bottom" wrapText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+mn-lt"/>
              </a:defRPr>
            </a:pPr>
            <a:r>
              <a:rPr b="1" i="0" sz="1200">
                <a:solidFill>
                  <a:srgbClr val="000000"/>
                </a:solidFill>
                <a:latin typeface="+mn-lt"/>
              </a:rPr>
              <a:t>X Variable 1  Residual Plot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rgbClr val="000080"/>
              </a:solidFill>
              <a:ln cmpd="sng">
                <a:solidFill>
                  <a:srgbClr val="000080"/>
                </a:solidFill>
              </a:ln>
            </c:spPr>
          </c:marker>
          <c:yVal>
            <c:numRef>
              <c:f>hanes!$C$25:$C$27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3323971"/>
        <c:axId val="1673837156"/>
      </c:scatterChart>
      <c:valAx>
        <c:axId val="8033239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+mn-lt"/>
                  </a:rPr>
                  <a:t>X Variable 1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3837156"/>
      </c:valAx>
      <c:valAx>
        <c:axId val="16738371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+mn-lt"/>
                  </a:rPr>
                  <a:t>Residuals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3323971"/>
      </c:valAx>
    </c:plotArea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+mn-lt"/>
              </a:defRPr>
            </a:pPr>
            <a:r>
              <a:rPr b="1" i="0" sz="1200">
                <a:solidFill>
                  <a:srgbClr val="000000"/>
                </a:solidFill>
                <a:latin typeface="+mn-lt"/>
              </a:rPr>
              <a:t>X Variable 1 Line Fit  Plot</a:t>
            </a:r>
          </a:p>
        </c:rich>
      </c:tx>
      <c:overlay val="0"/>
    </c:title>
    <c:plotArea>
      <c:layout/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1418776789"/>
        <c:axId val="1115098977"/>
      </c:scatterChart>
      <c:valAx>
        <c:axId val="14187767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+mn-lt"/>
                  </a:rPr>
                  <a:t>X Variable 1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5098977"/>
      </c:valAx>
      <c:valAx>
        <c:axId val="1115098977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4187767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</c:chart>
  <c:spPr>
    <a:solidFill>
      <a:srgbClr val="FFFFFF"/>
    </a:solidFill>
  </c:spPr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+mn-lt"/>
              </a:defRPr>
            </a:pPr>
            <a:r>
              <a:rPr b="1" i="0" sz="1200">
                <a:solidFill>
                  <a:srgbClr val="000000"/>
                </a:solidFill>
                <a:latin typeface="+mn-lt"/>
              </a:rPr>
              <a:t>Normal Probability Plot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rgbClr val="000080"/>
              </a:solidFill>
              <a:ln cmpd="sng">
                <a:solidFill>
                  <a:srgbClr val="000080"/>
                </a:solidFill>
              </a:ln>
            </c:spPr>
          </c:marker>
          <c:xVal>
            <c:numRef>
              <c:f>hanes!$F$25:$F$27</c:f>
            </c:numRef>
          </c:xVal>
          <c:yVal>
            <c:numRef>
              <c:f>hanes!$G$25:$G$27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0716326"/>
        <c:axId val="1642535666"/>
      </c:scatterChart>
      <c:valAx>
        <c:axId val="4807163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+mn-lt"/>
                  </a:rPr>
                  <a:t>Sample Percentile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42535666"/>
      </c:valAx>
      <c:valAx>
        <c:axId val="164253566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+mn-lt"/>
                  </a:rPr>
                  <a:t>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0716326"/>
      </c:valAx>
    </c:plotArea>
  </c:chart>
  <c:spPr>
    <a:solidFill>
      <a:srgbClr val="FFFFFF"/>
    </a:solidFill>
  </c:spPr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200">
                <a:solidFill>
                  <a:srgbClr val="000000"/>
                </a:solidFill>
                <a:latin typeface="+mn-lt"/>
              </a:defRPr>
            </a:pPr>
            <a:r>
              <a:rPr b="1" i="0" sz="1200">
                <a:solidFill>
                  <a:srgbClr val="000000"/>
                </a:solidFill>
                <a:latin typeface="+mn-lt"/>
              </a:rPr>
              <a:t>V([S])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rgbClr val="000080"/>
              </a:solidFill>
              <a:ln cmpd="sng">
                <a:solidFill>
                  <a:srgbClr val="000080"/>
                </a:solidFill>
              </a:ln>
            </c:spPr>
          </c:marker>
          <c:trendline>
            <c:name>Trendline for Series 1</c:name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0"/>
            <c:dispEq val="0"/>
          </c:trendline>
          <c:xVal>
            <c:numRef>
              <c:f>Sheet1!$K$100:$K$103</c:f>
            </c:numRef>
          </c:xVal>
          <c:yVal>
            <c:numRef>
              <c:f>Sheet1!$L$100:$L$103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8630756"/>
        <c:axId val="1542364613"/>
      </c:scatterChart>
      <c:valAx>
        <c:axId val="15086307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+mn-lt"/>
                  </a:rPr>
                  <a:t>[s] mM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2364613"/>
      </c:valAx>
      <c:valAx>
        <c:axId val="15423646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 sz="1000">
                    <a:solidFill>
                      <a:srgbClr val="000000"/>
                    </a:solidFill>
                    <a:latin typeface="+mn-lt"/>
                  </a:rPr>
                  <a:t>V [mM/s]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8630756"/>
      </c:valAx>
    </c:plotArea>
  </c:chart>
  <c:spPr>
    <a:solidFill>
      <a:srgbClr val="FFFFFF"/>
    </a:solidFill>
  </c:spPr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S, V og S/V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Sheet2!$R$47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</c:trendline>
          <c:xVal>
            <c:numRef>
              <c:f>Sheet2!$Q$48:$Q$51</c:f>
            </c:numRef>
          </c:xVal>
          <c:yVal>
            <c:numRef>
              <c:f>Sheet2!$R$48:$R$51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3335409"/>
        <c:axId val="64032385"/>
      </c:scatterChart>
      <c:valAx>
        <c:axId val="823335409"/>
        <c:scaling>
          <c:orientation val="minMax"/>
          <c:min val="0.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032385"/>
      </c:valAx>
      <c:valAx>
        <c:axId val="640323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33354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Sheet2!$K$76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exp"/>
            <c:dispRSqr val="1"/>
            <c:dispEq val="1"/>
          </c:trendline>
          <c:cat>
            <c:strRef>
              <c:f>Sheet2!$J$77:$J$122</c:f>
            </c:strRef>
          </c:cat>
          <c:val>
            <c:numRef>
              <c:f>Sheet2!$K$77:$K$122</c:f>
              <c:numCache/>
            </c:numRef>
          </c:val>
          <c:smooth val="0"/>
        </c:ser>
        <c:ser>
          <c:idx val="1"/>
          <c:order val="1"/>
          <c:tx>
            <c:strRef>
              <c:f>Sheet2!$M$76</c:f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exp"/>
            <c:dispRSqr val="1"/>
            <c:dispEq val="1"/>
          </c:trendline>
          <c:cat>
            <c:strRef>
              <c:f>Sheet2!$J$77:$J$122</c:f>
            </c:strRef>
          </c:cat>
          <c:val>
            <c:numRef>
              <c:f>Sheet2!$M$77:$M$122</c:f>
              <c:numCache/>
            </c:numRef>
          </c:val>
          <c:smooth val="0"/>
        </c:ser>
        <c:ser>
          <c:idx val="2"/>
          <c:order val="2"/>
          <c:tx>
            <c:strRef>
              <c:f>Sheet2!$O$76</c:f>
            </c:strRef>
          </c:tx>
          <c:spPr>
            <a:ln cmpd="sng">
              <a:solidFill>
                <a:srgbClr val="9BBB59"/>
              </a:solidFill>
            </a:ln>
          </c:spPr>
          <c:marker>
            <c:symbol val="none"/>
          </c:marke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exp"/>
            <c:dispRSqr val="1"/>
            <c:dispEq val="1"/>
          </c:trendline>
          <c:cat>
            <c:strRef>
              <c:f>Sheet2!$J$77:$J$122</c:f>
            </c:strRef>
          </c:cat>
          <c:val>
            <c:numRef>
              <c:f>Sheet2!$O$77:$O$122</c:f>
              <c:numCache/>
            </c:numRef>
          </c:val>
          <c:smooth val="0"/>
        </c:ser>
        <c:ser>
          <c:idx val="3"/>
          <c:order val="3"/>
          <c:tx>
            <c:strRef>
              <c:f>Sheet2!$Q$76</c:f>
            </c:strRef>
          </c:tx>
          <c:spPr>
            <a:ln cmpd="sng">
              <a:solidFill>
                <a:srgbClr val="8064A2"/>
              </a:solidFill>
            </a:ln>
          </c:spPr>
          <c:marker>
            <c:symbol val="none"/>
          </c:marke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exp"/>
            <c:dispRSqr val="1"/>
            <c:dispEq val="1"/>
          </c:trendline>
          <c:cat>
            <c:strRef>
              <c:f>Sheet2!$J$77:$J$122</c:f>
            </c:strRef>
          </c:cat>
          <c:val>
            <c:numRef>
              <c:f>Sheet2!$Q$77:$Q$122</c:f>
              <c:numCache/>
            </c:numRef>
          </c:val>
          <c:smooth val="0"/>
        </c:ser>
        <c:axId val="785528916"/>
        <c:axId val="1581679626"/>
      </c:lineChart>
      <c:catAx>
        <c:axId val="7855289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Baselined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1679626"/>
      </c:catAx>
      <c:valAx>
        <c:axId val="15816796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55289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0</xdr:colOff>
      <xdr:row>0</xdr:row>
      <xdr:rowOff>0</xdr:rowOff>
    </xdr:from>
    <xdr:ext cx="3200400" cy="1647825"/>
    <xdr:graphicFrame>
      <xdr:nvGraphicFramePr>
        <xdr:cNvPr descr="Chart 0" id="1105345717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0</xdr:colOff>
      <xdr:row>2</xdr:row>
      <xdr:rowOff>0</xdr:rowOff>
    </xdr:from>
    <xdr:ext cx="3200400" cy="1638300"/>
    <xdr:graphicFrame>
      <xdr:nvGraphicFramePr>
        <xdr:cNvPr descr="Chart 1" id="155657512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11</xdr:col>
      <xdr:colOff>0</xdr:colOff>
      <xdr:row>4</xdr:row>
      <xdr:rowOff>0</xdr:rowOff>
    </xdr:from>
    <xdr:ext cx="3200400" cy="1647825"/>
    <xdr:graphicFrame>
      <xdr:nvGraphicFramePr>
        <xdr:cNvPr descr="Chart 2" id="98955410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371475</xdr:colOff>
      <xdr:row>109</xdr:row>
      <xdr:rowOff>142875</xdr:rowOff>
    </xdr:from>
    <xdr:ext cx="4400550" cy="3724275"/>
    <xdr:graphicFrame>
      <xdr:nvGraphicFramePr>
        <xdr:cNvPr descr="Chart 0" id="761803967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15</xdr:col>
      <xdr:colOff>133350</xdr:colOff>
      <xdr:row>55</xdr:row>
      <xdr:rowOff>85725</xdr:rowOff>
    </xdr:from>
    <xdr:ext cx="5715000" cy="3533775"/>
    <xdr:graphicFrame>
      <xdr:nvGraphicFramePr>
        <xdr:cNvPr id="808916304" name="Chart 5" title="Diagra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276225</xdr:colOff>
      <xdr:row>52</xdr:row>
      <xdr:rowOff>85725</xdr:rowOff>
    </xdr:from>
    <xdr:ext cx="5715000" cy="5305425"/>
    <xdr:graphicFrame>
      <xdr:nvGraphicFramePr>
        <xdr:cNvPr id="1992773188" name="Chart 6" title="Diagra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0"/>
  </cols>
  <sheetData>
    <row r="1" ht="12.75" customHeight="1">
      <c r="A1" s="1" t="s">
        <v>0</v>
      </c>
    </row>
    <row r="2" ht="13.5" customHeight="1"/>
    <row r="3" ht="12.75" customHeight="1">
      <c r="A3" s="2" t="s">
        <v>1</v>
      </c>
      <c r="B3" s="3"/>
    </row>
    <row r="4" ht="12.75" customHeight="1">
      <c r="A4" s="4" t="s">
        <v>2</v>
      </c>
      <c r="B4" s="4">
        <v>0.9883700546222159</v>
      </c>
    </row>
    <row r="5" ht="12.75" customHeight="1">
      <c r="A5" s="4" t="s">
        <v>3</v>
      </c>
      <c r="B5" s="4">
        <v>0.9768753648739221</v>
      </c>
    </row>
    <row r="6" ht="12.75" customHeight="1">
      <c r="A6" s="4" t="s">
        <v>4</v>
      </c>
      <c r="B6" s="4">
        <v>0.9537507297478443</v>
      </c>
    </row>
    <row r="7" ht="12.75" customHeight="1">
      <c r="A7" s="4" t="s">
        <v>5</v>
      </c>
      <c r="B7" s="4">
        <v>13082.107927875064</v>
      </c>
    </row>
    <row r="8" ht="13.5" customHeight="1">
      <c r="A8" s="5" t="s">
        <v>6</v>
      </c>
      <c r="B8" s="5">
        <v>3.0</v>
      </c>
    </row>
    <row r="9" ht="12.75" customHeight="1"/>
    <row r="10" ht="13.5" customHeight="1">
      <c r="A10" s="1" t="s">
        <v>7</v>
      </c>
    </row>
    <row r="11" ht="12.75" customHeight="1">
      <c r="A11" s="2"/>
      <c r="B11" s="2" t="s">
        <v>8</v>
      </c>
      <c r="C11" s="2" t="s">
        <v>9</v>
      </c>
      <c r="D11" s="2" t="s">
        <v>10</v>
      </c>
      <c r="E11" s="2" t="s">
        <v>11</v>
      </c>
      <c r="F11" s="2" t="s">
        <v>12</v>
      </c>
    </row>
    <row r="12" ht="12.75" customHeight="1">
      <c r="A12" s="4" t="s">
        <v>13</v>
      </c>
      <c r="B12" s="4">
        <v>1.0</v>
      </c>
      <c r="C12" s="4">
        <v>7.229690807073693E9</v>
      </c>
      <c r="D12" s="4">
        <v>7.229690807073693E9</v>
      </c>
      <c r="E12" s="4">
        <v>42.243925560247646</v>
      </c>
      <c r="F12" s="4">
        <v>0.09718645932501202</v>
      </c>
    </row>
    <row r="13" ht="12.75" customHeight="1">
      <c r="A13" s="4" t="s">
        <v>14</v>
      </c>
      <c r="B13" s="4">
        <v>1.0</v>
      </c>
      <c r="C13" s="4">
        <v>1.7114154783657163E8</v>
      </c>
      <c r="D13" s="4">
        <v>1.7114154783657163E8</v>
      </c>
      <c r="E13" s="4"/>
      <c r="F13" s="4"/>
    </row>
    <row r="14" ht="13.5" customHeight="1">
      <c r="A14" s="5" t="s">
        <v>15</v>
      </c>
      <c r="B14" s="5">
        <v>2.0</v>
      </c>
      <c r="C14" s="5">
        <v>7.400832354910265E9</v>
      </c>
      <c r="D14" s="5"/>
      <c r="E14" s="5"/>
      <c r="F14" s="5"/>
    </row>
    <row r="15" ht="13.5" customHeight="1"/>
    <row r="16" ht="12.75" customHeight="1">
      <c r="A16" s="2"/>
      <c r="B16" s="2" t="s">
        <v>16</v>
      </c>
      <c r="C16" s="2" t="s">
        <v>5</v>
      </c>
      <c r="D16" s="2" t="s">
        <v>17</v>
      </c>
      <c r="E16" s="2" t="s">
        <v>18</v>
      </c>
      <c r="F16" s="2" t="s">
        <v>19</v>
      </c>
      <c r="G16" s="2" t="s">
        <v>20</v>
      </c>
      <c r="H16" s="2" t="s">
        <v>21</v>
      </c>
      <c r="I16" s="2" t="s">
        <v>22</v>
      </c>
    </row>
    <row r="17" ht="12.75" customHeight="1">
      <c r="A17" s="4" t="s">
        <v>23</v>
      </c>
      <c r="B17" s="4">
        <v>17635.36363643467</v>
      </c>
      <c r="C17" s="4">
        <v>15949.909032199663</v>
      </c>
      <c r="D17" s="4">
        <v>1.1056717377404732</v>
      </c>
      <c r="E17" s="4">
        <v>0.4680784391806955</v>
      </c>
      <c r="F17" s="4">
        <v>-185026.5778107945</v>
      </c>
      <c r="G17" s="4">
        <v>220297.3050836638</v>
      </c>
      <c r="H17" s="4">
        <v>-185026.5778107945</v>
      </c>
      <c r="I17" s="4">
        <v>220297.3050836638</v>
      </c>
    </row>
    <row r="18" ht="13.5" customHeight="1">
      <c r="A18" s="5" t="s">
        <v>24</v>
      </c>
      <c r="B18" s="5">
        <v>8854.546632317708</v>
      </c>
      <c r="C18" s="5">
        <v>1362.3358810039101</v>
      </c>
      <c r="D18" s="5">
        <v>6.499532718607369</v>
      </c>
      <c r="E18" s="5">
        <v>0.09718645932501198</v>
      </c>
      <c r="F18" s="5">
        <v>-8455.49783189185</v>
      </c>
      <c r="G18" s="5">
        <v>26164.591096527263</v>
      </c>
      <c r="H18" s="5">
        <v>-8455.49783189185</v>
      </c>
      <c r="I18" s="5">
        <v>26164.591096527263</v>
      </c>
    </row>
    <row r="19" ht="12.75" customHeight="1"/>
    <row r="20" ht="12.75" customHeight="1"/>
    <row r="21" ht="12.75" customHeight="1"/>
    <row r="22" ht="12.75" customHeight="1">
      <c r="A22" s="1" t="s">
        <v>25</v>
      </c>
      <c r="F22" s="1" t="s">
        <v>26</v>
      </c>
    </row>
    <row r="23" ht="13.5" customHeight="1"/>
    <row r="24" ht="12.75" customHeight="1">
      <c r="A24" s="2" t="s">
        <v>27</v>
      </c>
      <c r="B24" s="2" t="s">
        <v>28</v>
      </c>
      <c r="C24" s="2" t="s">
        <v>29</v>
      </c>
      <c r="D24" s="2" t="s">
        <v>30</v>
      </c>
      <c r="F24" s="2" t="s">
        <v>31</v>
      </c>
      <c r="G24" s="2" t="s">
        <v>32</v>
      </c>
    </row>
    <row r="25" ht="12.75" customHeight="1">
      <c r="A25" s="4">
        <v>1.0</v>
      </c>
      <c r="B25" s="4">
        <v>51875.43216789323</v>
      </c>
      <c r="C25" s="4">
        <v>-6083.056625629033</v>
      </c>
      <c r="D25" s="4">
        <v>-0.657595949221422</v>
      </c>
      <c r="F25" s="4">
        <v>16.666666666666668</v>
      </c>
      <c r="G25" s="4">
        <v>45792.3755422642</v>
      </c>
    </row>
    <row r="26" ht="12.75" customHeight="1">
      <c r="A26" s="4">
        <v>2.0</v>
      </c>
      <c r="B26" s="4">
        <v>103235.53496508107</v>
      </c>
      <c r="C26" s="4">
        <v>10645.349094850957</v>
      </c>
      <c r="D26" s="4">
        <v>1.1507929111375046</v>
      </c>
      <c r="F26" s="4">
        <v>50.0</v>
      </c>
      <c r="G26" s="4">
        <v>113880.88405993202</v>
      </c>
    </row>
    <row r="27" ht="13.5" customHeight="1">
      <c r="A27" s="5">
        <v>3.0</v>
      </c>
      <c r="B27" s="5">
        <v>171715.6720279982</v>
      </c>
      <c r="C27" s="5">
        <v>-4562.292469221837</v>
      </c>
      <c r="D27" s="5">
        <v>-0.49319696191607315</v>
      </c>
      <c r="F27" s="5">
        <v>83.33333333333334</v>
      </c>
      <c r="G27" s="5">
        <v>167153.37955877636</v>
      </c>
    </row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">
    <mergeCell ref="A3:B3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8.0"/>
    <col customWidth="1" min="3" max="3" width="15.14"/>
    <col customWidth="1" min="4" max="6" width="8.0"/>
    <col customWidth="1" min="7" max="7" width="12.43"/>
    <col customWidth="1" min="8" max="9" width="8.0"/>
    <col customWidth="1" min="10" max="10" width="12.43"/>
    <col customWidth="1" min="11" max="11" width="8.0"/>
    <col customWidth="1" min="12" max="12" width="10.86"/>
    <col customWidth="1" min="13" max="26" width="8.0"/>
  </cols>
  <sheetData>
    <row r="1" ht="12.75" customHeight="1">
      <c r="A1" s="1">
        <v>52.0</v>
      </c>
    </row>
    <row r="2" ht="13.5" customHeight="1">
      <c r="C2" s="1">
        <v>300.0</v>
      </c>
      <c r="D2" s="1" t="s">
        <v>33</v>
      </c>
      <c r="H2" s="1" t="s">
        <v>34</v>
      </c>
      <c r="I2" s="1">
        <v>7.53</v>
      </c>
    </row>
    <row r="3" ht="13.5" customHeight="1">
      <c r="J3" s="6"/>
      <c r="K3" s="7"/>
      <c r="L3" s="8"/>
    </row>
    <row r="4" ht="12.75" customHeight="1">
      <c r="B4" s="6"/>
      <c r="C4" s="7" t="s">
        <v>35</v>
      </c>
      <c r="D4" s="8"/>
      <c r="F4" s="6"/>
      <c r="G4" s="7" t="s">
        <v>36</v>
      </c>
      <c r="H4" s="8"/>
      <c r="J4" s="9"/>
      <c r="K4" s="4" t="s">
        <v>37</v>
      </c>
      <c r="L4" s="10" t="s">
        <v>38</v>
      </c>
    </row>
    <row r="5" ht="12.75" customHeight="1">
      <c r="B5" s="9"/>
      <c r="C5" s="4"/>
      <c r="D5" s="10"/>
      <c r="F5" s="9"/>
      <c r="G5" s="4" t="s">
        <v>39</v>
      </c>
      <c r="H5" s="10"/>
      <c r="J5" s="9" t="s">
        <v>40</v>
      </c>
      <c r="K5" s="4">
        <v>5.0</v>
      </c>
      <c r="L5" s="10">
        <v>45.0</v>
      </c>
      <c r="O5" s="1">
        <v>1.0</v>
      </c>
      <c r="P5" s="1">
        <v>9.0</v>
      </c>
    </row>
    <row r="6" ht="12.75" customHeight="1">
      <c r="B6" s="9"/>
      <c r="C6" s="4"/>
      <c r="D6" s="10"/>
      <c r="F6" s="9"/>
      <c r="G6" s="4"/>
      <c r="H6" s="10"/>
      <c r="J6" s="9" t="s">
        <v>41</v>
      </c>
      <c r="K6" s="4">
        <f>K5+L5</f>
        <v>50</v>
      </c>
      <c r="L6" s="10"/>
    </row>
    <row r="7" ht="12.75" customHeight="1">
      <c r="B7" s="9" t="s">
        <v>42</v>
      </c>
      <c r="C7" s="4">
        <v>138.17</v>
      </c>
      <c r="D7" s="10"/>
      <c r="F7" s="9" t="s">
        <v>42</v>
      </c>
      <c r="G7" s="4">
        <v>1054.29</v>
      </c>
      <c r="H7" s="10"/>
      <c r="J7" s="9"/>
      <c r="K7" s="4"/>
      <c r="L7" s="10"/>
    </row>
    <row r="8" ht="12.75" customHeight="1">
      <c r="B8" s="9" t="s">
        <v>43</v>
      </c>
      <c r="C8" s="4">
        <v>0.0158</v>
      </c>
      <c r="D8" s="10"/>
      <c r="F8" s="9" t="s">
        <v>43</v>
      </c>
      <c r="G8" s="4">
        <v>0.0203</v>
      </c>
      <c r="H8" s="10"/>
      <c r="J8" s="9"/>
      <c r="K8" s="4" t="s">
        <v>44</v>
      </c>
      <c r="L8" s="10"/>
      <c r="O8" s="1">
        <v>1.65</v>
      </c>
    </row>
    <row r="9" ht="12.75" customHeight="1">
      <c r="B9" s="9" t="s">
        <v>45</v>
      </c>
      <c r="C9" s="4">
        <v>0.12</v>
      </c>
      <c r="D9" s="10"/>
      <c r="F9" s="9" t="s">
        <v>45</v>
      </c>
      <c r="G9" s="4">
        <v>0.004</v>
      </c>
      <c r="H9" s="10"/>
      <c r="J9" s="9" t="s">
        <v>46</v>
      </c>
      <c r="K9" s="4">
        <f>55*(0.3*(K5/K6))</f>
        <v>1.65</v>
      </c>
      <c r="L9" s="10"/>
    </row>
    <row r="10" ht="12.75" customHeight="1">
      <c r="B10" s="9" t="s">
        <v>47</v>
      </c>
      <c r="C10" s="4">
        <f>C8/C7</f>
        <v>0.0001143518854</v>
      </c>
      <c r="D10" s="10"/>
      <c r="F10" s="9" t="s">
        <v>47</v>
      </c>
      <c r="G10" s="4">
        <f>G8/G7</f>
        <v>0.00001925466428</v>
      </c>
      <c r="H10" s="10"/>
      <c r="J10" s="9"/>
      <c r="K10" s="4"/>
      <c r="L10" s="10"/>
    </row>
    <row r="11" ht="12.75" customHeight="1">
      <c r="B11" s="9" t="s">
        <v>46</v>
      </c>
      <c r="C11" s="4">
        <f>C10/C9</f>
        <v>0.000952932378</v>
      </c>
      <c r="D11" s="10"/>
      <c r="F11" s="9" t="s">
        <v>46</v>
      </c>
      <c r="G11" s="4">
        <f>G10/G9</f>
        <v>0.004813666069</v>
      </c>
      <c r="H11" s="10"/>
      <c r="J11" s="9"/>
      <c r="K11" s="4" t="s">
        <v>48</v>
      </c>
      <c r="L11" s="10">
        <v>7.5</v>
      </c>
    </row>
    <row r="12" ht="13.5" customHeight="1">
      <c r="B12" s="11" t="s">
        <v>49</v>
      </c>
      <c r="C12" s="5">
        <f>C11*1000</f>
        <v>0.952932378</v>
      </c>
      <c r="D12" s="12"/>
      <c r="F12" s="9" t="s">
        <v>49</v>
      </c>
      <c r="G12" s="4">
        <f>G11*1000</f>
        <v>4.813666069</v>
      </c>
      <c r="H12" s="10"/>
      <c r="J12" s="9"/>
      <c r="K12" s="4" t="s">
        <v>50</v>
      </c>
      <c r="L12" s="10">
        <v>25.0</v>
      </c>
    </row>
    <row r="13" ht="13.5" customHeight="1">
      <c r="F13" s="11" t="s">
        <v>51</v>
      </c>
      <c r="G13" s="5">
        <f>E20*G12/H20</f>
        <v>0</v>
      </c>
      <c r="H13" s="12" t="s">
        <v>49</v>
      </c>
      <c r="J13" s="11"/>
      <c r="K13" s="5"/>
      <c r="L13" s="12"/>
    </row>
    <row r="14" ht="12.75" customHeight="1"/>
    <row r="15" ht="12.75" customHeight="1">
      <c r="G15" s="1">
        <v>0.240683303</v>
      </c>
    </row>
    <row r="16" ht="12.75" customHeight="1"/>
    <row r="17" ht="12.75" customHeight="1"/>
    <row r="18" ht="12.75" customHeight="1">
      <c r="I18" s="1" t="s">
        <v>52</v>
      </c>
      <c r="J18" s="1" t="s">
        <v>52</v>
      </c>
      <c r="K18" s="1" t="s">
        <v>44</v>
      </c>
      <c r="L18" s="1" t="s">
        <v>44</v>
      </c>
      <c r="M18" s="1" t="s">
        <v>53</v>
      </c>
    </row>
    <row r="19" ht="13.5" customHeight="1">
      <c r="B19" s="13" t="s">
        <v>51</v>
      </c>
      <c r="C19" s="5" t="s">
        <v>54</v>
      </c>
      <c r="D19" s="5" t="s">
        <v>55</v>
      </c>
      <c r="E19" s="5" t="s">
        <v>56</v>
      </c>
      <c r="F19" s="5" t="s">
        <v>57</v>
      </c>
      <c r="G19" s="5" t="s">
        <v>58</v>
      </c>
      <c r="H19" s="5" t="s">
        <v>59</v>
      </c>
      <c r="I19" s="5" t="s">
        <v>46</v>
      </c>
      <c r="J19" s="5" t="s">
        <v>49</v>
      </c>
      <c r="K19" s="5" t="s">
        <v>46</v>
      </c>
      <c r="L19" s="5" t="s">
        <v>49</v>
      </c>
      <c r="M19" s="5" t="s">
        <v>49</v>
      </c>
    </row>
    <row r="20" ht="12.75" customHeight="1">
      <c r="B20" s="14">
        <v>1.0</v>
      </c>
      <c r="C20" s="1">
        <v>1.8</v>
      </c>
      <c r="D20" s="1">
        <v>0.0</v>
      </c>
      <c r="E20" s="1">
        <v>0.0</v>
      </c>
      <c r="F20" s="4">
        <v>0.1</v>
      </c>
      <c r="G20" s="1">
        <v>0.1</v>
      </c>
      <c r="H20" s="1">
        <f t="shared" ref="H20:H27" si="1">SUM(C20:G20)</f>
        <v>2</v>
      </c>
      <c r="I20" s="1">
        <f t="shared" ref="I20:I27" si="2">F20*$C$11/H20</f>
        <v>0.0000476466189</v>
      </c>
      <c r="J20" s="1">
        <f t="shared" ref="J20:J27" si="3">I20*1000</f>
        <v>0.0476466189</v>
      </c>
      <c r="K20" s="4">
        <f t="shared" ref="K20:K27" si="4">(G20*$K$9)/H20</f>
        <v>0.0825</v>
      </c>
      <c r="L20" s="4">
        <f t="shared" ref="L20:L27" si="5">K20*1000</f>
        <v>82.5</v>
      </c>
      <c r="M20" s="1">
        <f t="shared" ref="M20:M27" si="6">E20*$G$12/H20</f>
        <v>0</v>
      </c>
    </row>
    <row r="21" ht="12.75" customHeight="1">
      <c r="B21" s="14">
        <v>2.0</v>
      </c>
      <c r="C21" s="1">
        <v>1.7</v>
      </c>
      <c r="D21" s="1">
        <v>0.0</v>
      </c>
      <c r="E21" s="1">
        <v>0.0</v>
      </c>
      <c r="F21" s="4">
        <v>0.2</v>
      </c>
      <c r="G21" s="1">
        <v>0.1</v>
      </c>
      <c r="H21" s="1">
        <f t="shared" si="1"/>
        <v>2</v>
      </c>
      <c r="I21" s="1">
        <f t="shared" si="2"/>
        <v>0.0000952932378</v>
      </c>
      <c r="J21" s="1">
        <f t="shared" si="3"/>
        <v>0.0952932378</v>
      </c>
      <c r="K21" s="4">
        <f t="shared" si="4"/>
        <v>0.0825</v>
      </c>
      <c r="L21" s="4">
        <f t="shared" si="5"/>
        <v>82.5</v>
      </c>
      <c r="M21" s="1">
        <f t="shared" si="6"/>
        <v>0</v>
      </c>
    </row>
    <row r="22" ht="12.75" customHeight="1">
      <c r="B22" s="14">
        <v>3.0</v>
      </c>
      <c r="C22" s="1">
        <v>1.6</v>
      </c>
      <c r="D22" s="1">
        <v>0.0</v>
      </c>
      <c r="E22" s="1">
        <v>0.0</v>
      </c>
      <c r="F22" s="4">
        <v>0.3</v>
      </c>
      <c r="G22" s="1">
        <v>0.1</v>
      </c>
      <c r="H22" s="1">
        <f t="shared" si="1"/>
        <v>2</v>
      </c>
      <c r="I22" s="1">
        <f t="shared" si="2"/>
        <v>0.0001429398567</v>
      </c>
      <c r="J22" s="1">
        <f t="shared" si="3"/>
        <v>0.1429398567</v>
      </c>
      <c r="K22" s="4">
        <f t="shared" si="4"/>
        <v>0.0825</v>
      </c>
      <c r="L22" s="4">
        <f t="shared" si="5"/>
        <v>82.5</v>
      </c>
      <c r="M22" s="1">
        <f t="shared" si="6"/>
        <v>0</v>
      </c>
    </row>
    <row r="23" ht="12.75" customHeight="1">
      <c r="B23" s="15">
        <v>4.0</v>
      </c>
      <c r="C23" s="15">
        <v>1.5</v>
      </c>
      <c r="D23" s="15">
        <v>0.0</v>
      </c>
      <c r="E23" s="15">
        <v>0.0</v>
      </c>
      <c r="F23" s="15">
        <v>0.4</v>
      </c>
      <c r="G23" s="15">
        <v>0.1</v>
      </c>
      <c r="H23" s="15">
        <f t="shared" si="1"/>
        <v>2</v>
      </c>
      <c r="I23" s="15">
        <f t="shared" si="2"/>
        <v>0.0001905864756</v>
      </c>
      <c r="J23" s="15">
        <f t="shared" si="3"/>
        <v>0.1905864756</v>
      </c>
      <c r="K23" s="15">
        <f t="shared" si="4"/>
        <v>0.0825</v>
      </c>
      <c r="L23" s="15">
        <f t="shared" si="5"/>
        <v>82.5</v>
      </c>
      <c r="M23" s="1">
        <f t="shared" si="6"/>
        <v>0</v>
      </c>
      <c r="N23" s="16"/>
    </row>
    <row r="24" ht="12.75" customHeight="1">
      <c r="B24" s="14">
        <v>5.0</v>
      </c>
      <c r="C24" s="1">
        <v>1.8</v>
      </c>
      <c r="D24" s="4">
        <v>0.1</v>
      </c>
      <c r="E24" s="4">
        <v>0.0</v>
      </c>
      <c r="F24" s="4">
        <v>0.1</v>
      </c>
      <c r="G24" s="4">
        <v>0.0</v>
      </c>
      <c r="H24" s="1">
        <f t="shared" si="1"/>
        <v>2</v>
      </c>
      <c r="I24" s="1">
        <f t="shared" si="2"/>
        <v>0.0000476466189</v>
      </c>
      <c r="J24" s="1">
        <f t="shared" si="3"/>
        <v>0.0476466189</v>
      </c>
      <c r="K24" s="4">
        <f t="shared" si="4"/>
        <v>0</v>
      </c>
      <c r="L24" s="4">
        <f t="shared" si="5"/>
        <v>0</v>
      </c>
      <c r="M24" s="1">
        <f t="shared" si="6"/>
        <v>0</v>
      </c>
    </row>
    <row r="25" ht="12.75" customHeight="1">
      <c r="B25" s="14">
        <v>6.0</v>
      </c>
      <c r="C25" s="1">
        <v>1.7</v>
      </c>
      <c r="D25" s="4">
        <v>0.1</v>
      </c>
      <c r="E25" s="4">
        <v>0.0</v>
      </c>
      <c r="F25" s="4">
        <v>0.2</v>
      </c>
      <c r="G25" s="4">
        <v>0.0</v>
      </c>
      <c r="H25" s="1">
        <f t="shared" si="1"/>
        <v>2</v>
      </c>
      <c r="I25" s="1">
        <f t="shared" si="2"/>
        <v>0.0000952932378</v>
      </c>
      <c r="J25" s="1">
        <f t="shared" si="3"/>
        <v>0.0952932378</v>
      </c>
      <c r="K25" s="4">
        <f t="shared" si="4"/>
        <v>0</v>
      </c>
      <c r="L25" s="4">
        <f t="shared" si="5"/>
        <v>0</v>
      </c>
      <c r="M25" s="1">
        <f t="shared" si="6"/>
        <v>0</v>
      </c>
    </row>
    <row r="26" ht="12.75" customHeight="1">
      <c r="B26" s="14">
        <v>7.0</v>
      </c>
      <c r="C26" s="1">
        <v>1.6</v>
      </c>
      <c r="D26" s="4">
        <v>0.1</v>
      </c>
      <c r="E26" s="4">
        <v>0.0</v>
      </c>
      <c r="F26" s="4">
        <v>0.3</v>
      </c>
      <c r="G26" s="4">
        <v>0.0</v>
      </c>
      <c r="H26" s="1">
        <f t="shared" si="1"/>
        <v>2</v>
      </c>
      <c r="I26" s="1">
        <f t="shared" si="2"/>
        <v>0.0001429398567</v>
      </c>
      <c r="J26" s="1">
        <f t="shared" si="3"/>
        <v>0.1429398567</v>
      </c>
      <c r="K26" s="4">
        <f t="shared" si="4"/>
        <v>0</v>
      </c>
      <c r="L26" s="4">
        <f t="shared" si="5"/>
        <v>0</v>
      </c>
      <c r="M26" s="1">
        <f t="shared" si="6"/>
        <v>0</v>
      </c>
    </row>
    <row r="27" ht="13.5" customHeight="1">
      <c r="B27" s="13">
        <v>8.0</v>
      </c>
      <c r="C27" s="5">
        <v>1.5</v>
      </c>
      <c r="D27" s="5">
        <v>0.1</v>
      </c>
      <c r="E27" s="5">
        <v>0.0</v>
      </c>
      <c r="F27" s="5">
        <v>0.4</v>
      </c>
      <c r="G27" s="5">
        <v>0.0</v>
      </c>
      <c r="H27" s="5">
        <f t="shared" si="1"/>
        <v>2</v>
      </c>
      <c r="I27" s="5">
        <f t="shared" si="2"/>
        <v>0.0001905864756</v>
      </c>
      <c r="J27" s="5">
        <f t="shared" si="3"/>
        <v>0.1905864756</v>
      </c>
      <c r="K27" s="5">
        <f t="shared" si="4"/>
        <v>0</v>
      </c>
      <c r="L27" s="5">
        <f t="shared" si="5"/>
        <v>0</v>
      </c>
      <c r="M27" s="5">
        <f t="shared" si="6"/>
        <v>0</v>
      </c>
      <c r="N27" s="16"/>
    </row>
    <row r="28" ht="12.75" customHeight="1">
      <c r="C28" s="1">
        <f t="shared" ref="C28:G28" si="7">SUM(C20:C27)</f>
        <v>13.2</v>
      </c>
      <c r="D28" s="1">
        <f t="shared" si="7"/>
        <v>0.4</v>
      </c>
      <c r="E28" s="1">
        <f t="shared" si="7"/>
        <v>0</v>
      </c>
      <c r="F28" s="1">
        <f t="shared" si="7"/>
        <v>2</v>
      </c>
      <c r="G28" s="1">
        <f t="shared" si="7"/>
        <v>0.4</v>
      </c>
    </row>
    <row r="29" ht="12.75" customHeight="1"/>
    <row r="30" ht="12.75" customHeight="1"/>
    <row r="31" ht="12.75" customHeight="1"/>
    <row r="32" ht="12.75" customHeight="1"/>
    <row r="33" ht="12.75" customHeight="1"/>
    <row r="34" ht="12.75" customHeight="1">
      <c r="L34" s="17"/>
      <c r="M34" s="17">
        <v>2.91092E-5</v>
      </c>
    </row>
    <row r="35" ht="12.75" customHeight="1"/>
    <row r="36" ht="12.75" customHeight="1"/>
    <row r="37" ht="12.75" customHeight="1"/>
    <row r="38" ht="13.5" customHeight="1">
      <c r="I38" s="1" t="s">
        <v>60</v>
      </c>
      <c r="J38" s="5">
        <v>0.004727457530707</v>
      </c>
      <c r="K38" s="1" t="s">
        <v>61</v>
      </c>
    </row>
    <row r="39" ht="12.75" customHeight="1">
      <c r="H39" s="17"/>
      <c r="I39" s="1" t="s">
        <v>60</v>
      </c>
      <c r="J39" s="1">
        <f>J38/I2</f>
        <v>0.0006278164051</v>
      </c>
      <c r="K39" s="1" t="s">
        <v>62</v>
      </c>
    </row>
    <row r="40" ht="12.75" customHeight="1">
      <c r="I40" s="1" t="s">
        <v>63</v>
      </c>
      <c r="J40" s="4">
        <v>1.35003298051701</v>
      </c>
      <c r="K40" s="1" t="s">
        <v>64</v>
      </c>
    </row>
    <row r="41" ht="12.75" customHeight="1">
      <c r="I41" s="1" t="s">
        <v>65</v>
      </c>
      <c r="J41" s="1" t="str">
        <f>J39/G13</f>
        <v>#DIV/0!</v>
      </c>
      <c r="K41" s="1" t="s">
        <v>66</v>
      </c>
    </row>
    <row r="42" ht="12.75" customHeight="1">
      <c r="J42" s="1" t="str">
        <f>J41/60</f>
        <v>#DIV/0!</v>
      </c>
      <c r="K42" s="1" t="s">
        <v>67</v>
      </c>
    </row>
    <row r="43" ht="12.75" customHeight="1">
      <c r="I43" s="1" t="s">
        <v>68</v>
      </c>
      <c r="J43" s="17">
        <v>1.43E-9</v>
      </c>
      <c r="K43" s="1" t="s">
        <v>69</v>
      </c>
    </row>
    <row r="44" ht="12.75" customHeight="1">
      <c r="J44" s="18">
        <f>60*J43</f>
        <v>0.0000000858</v>
      </c>
      <c r="K44" s="1" t="s">
        <v>66</v>
      </c>
    </row>
    <row r="45" ht="12.75" customHeight="1">
      <c r="I45" s="1" t="s">
        <v>70</v>
      </c>
      <c r="J45" s="17" t="str">
        <f>J42/J43</f>
        <v>#DIV/0!</v>
      </c>
    </row>
    <row r="46" ht="12.75" customHeight="1">
      <c r="D46" s="15"/>
    </row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</row>
    <row r="85" ht="13.5" customHeight="1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</row>
    <row r="86" ht="12.75" customHeight="1">
      <c r="B86" s="4"/>
      <c r="C86" s="6" t="s">
        <v>71</v>
      </c>
      <c r="D86" s="7"/>
      <c r="E86" s="7"/>
      <c r="F86" s="7"/>
      <c r="G86" s="7"/>
      <c r="H86" s="7"/>
      <c r="I86" s="7"/>
      <c r="J86" s="7"/>
      <c r="K86" s="7"/>
      <c r="L86" s="8"/>
      <c r="M86" s="4"/>
    </row>
    <row r="87" ht="12.75" customHeight="1">
      <c r="B87" s="4"/>
      <c r="C87" s="9" t="s">
        <v>72</v>
      </c>
      <c r="D87" s="4"/>
      <c r="E87" s="4"/>
      <c r="F87" s="4"/>
      <c r="G87" s="4"/>
      <c r="H87" s="4"/>
      <c r="I87" s="4"/>
      <c r="J87" s="4"/>
      <c r="K87" s="4"/>
      <c r="L87" s="10"/>
      <c r="M87" s="4"/>
    </row>
    <row r="88" ht="12.75" customHeight="1">
      <c r="B88" s="4"/>
      <c r="C88" s="9" t="s">
        <v>73</v>
      </c>
      <c r="D88" s="4"/>
      <c r="E88" s="4"/>
      <c r="F88" s="4"/>
      <c r="G88" s="4"/>
      <c r="H88" s="4"/>
      <c r="I88" s="4"/>
      <c r="J88" s="4"/>
      <c r="K88" s="4"/>
      <c r="L88" s="10"/>
      <c r="M88" s="4"/>
    </row>
    <row r="89" ht="13.5" customHeight="1">
      <c r="B89" s="4"/>
      <c r="C89" s="11" t="s">
        <v>74</v>
      </c>
      <c r="D89" s="5"/>
      <c r="E89" s="5"/>
      <c r="F89" s="5"/>
      <c r="G89" s="5"/>
      <c r="H89" s="5"/>
      <c r="I89" s="5"/>
      <c r="J89" s="5"/>
      <c r="K89" s="5"/>
      <c r="L89" s="12"/>
      <c r="M89" s="4"/>
    </row>
    <row r="90" ht="12.75" customHeight="1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</row>
    <row r="91" ht="12.75" customHeight="1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</row>
    <row r="92" ht="12.75" customHeight="1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</row>
    <row r="93" ht="12.75" customHeight="1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</row>
    <row r="94" ht="12.75" customHeight="1">
      <c r="B94" s="4"/>
      <c r="C94" s="4"/>
      <c r="D94" s="4"/>
      <c r="E94" s="4"/>
      <c r="F94" s="4"/>
      <c r="G94" s="4"/>
      <c r="H94" s="4"/>
      <c r="I94" s="4"/>
      <c r="J94" s="4"/>
      <c r="K94" s="16"/>
      <c r="L94" s="4"/>
      <c r="M94" s="4"/>
    </row>
    <row r="95" ht="12.75" customHeight="1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</row>
    <row r="96" ht="13.5" customHeight="1">
      <c r="B96" s="4"/>
      <c r="C96" s="4"/>
      <c r="D96" s="4"/>
      <c r="E96" s="4"/>
      <c r="F96" s="4"/>
      <c r="G96" s="4"/>
      <c r="H96" s="4"/>
      <c r="I96" s="4"/>
      <c r="J96" s="4"/>
      <c r="K96" s="4" t="s">
        <v>75</v>
      </c>
      <c r="L96" s="4">
        <v>0.19059999972192</v>
      </c>
      <c r="M96" s="4">
        <v>0.0</v>
      </c>
      <c r="N96" s="1">
        <v>0.004446182513963</v>
      </c>
      <c r="O96" s="1" t="s">
        <v>76</v>
      </c>
    </row>
    <row r="97" ht="12.75" customHeight="1">
      <c r="B97" s="4"/>
      <c r="C97" s="4"/>
      <c r="D97" s="6" t="s">
        <v>77</v>
      </c>
      <c r="E97" s="7"/>
      <c r="F97" s="7"/>
      <c r="G97" s="7"/>
      <c r="H97" s="8"/>
      <c r="L97" s="4"/>
      <c r="M97" s="4"/>
      <c r="N97" s="4"/>
      <c r="O97" s="4"/>
      <c r="P97" s="4"/>
      <c r="Q97" s="4"/>
      <c r="R97" s="4"/>
    </row>
    <row r="98" ht="12.75" customHeight="1">
      <c r="B98" s="4"/>
      <c r="C98" s="4"/>
      <c r="D98" s="9" t="s">
        <v>78</v>
      </c>
      <c r="E98" s="4"/>
      <c r="F98" s="4"/>
      <c r="G98" s="4"/>
      <c r="H98" s="10"/>
      <c r="L98" s="4"/>
      <c r="M98" s="4"/>
      <c r="N98" s="4"/>
      <c r="O98" s="4"/>
      <c r="P98" s="4"/>
      <c r="Q98" s="4"/>
      <c r="R98" s="4"/>
    </row>
    <row r="99" ht="12.75" customHeight="1">
      <c r="D99" s="9" t="s">
        <v>79</v>
      </c>
      <c r="E99" s="4"/>
      <c r="F99" s="4"/>
      <c r="G99" s="4"/>
      <c r="H99" s="10"/>
      <c r="K99" s="1" t="s">
        <v>80</v>
      </c>
      <c r="L99" s="4" t="s">
        <v>81</v>
      </c>
      <c r="M99" s="4" t="s">
        <v>82</v>
      </c>
      <c r="N99" s="4"/>
      <c r="O99" s="4"/>
      <c r="P99" s="4"/>
      <c r="Q99" s="4"/>
      <c r="R99" s="4"/>
    </row>
    <row r="100" ht="12.75" customHeight="1">
      <c r="D100" s="9" t="s">
        <v>83</v>
      </c>
      <c r="E100" s="4" t="s">
        <v>84</v>
      </c>
      <c r="F100" s="4" t="s">
        <v>85</v>
      </c>
      <c r="G100" s="4" t="s">
        <v>86</v>
      </c>
      <c r="H100" s="10" t="s">
        <v>87</v>
      </c>
      <c r="K100" s="4">
        <f t="shared" ref="K100:K103" si="8">J20</f>
        <v>0.0476466189</v>
      </c>
      <c r="L100" s="4">
        <f t="shared" ref="L100:L103" si="9">(G101/$I$2)/31</f>
        <v>0.000002137100833</v>
      </c>
      <c r="M100" s="4">
        <f t="shared" ref="M100:M103" si="10">L100/K100</f>
        <v>0.00004485314766</v>
      </c>
      <c r="N100" s="4"/>
      <c r="O100" s="4"/>
      <c r="P100" s="4"/>
      <c r="Q100" s="4"/>
      <c r="R100" s="4"/>
    </row>
    <row r="101" ht="12.75" customHeight="1">
      <c r="D101" s="9" t="s">
        <v>88</v>
      </c>
      <c r="E101" s="4">
        <v>0.047600000093042</v>
      </c>
      <c r="F101" s="4">
        <v>0.0</v>
      </c>
      <c r="G101" s="4">
        <v>4.98863447429E-4</v>
      </c>
      <c r="H101" s="10" t="s">
        <v>76</v>
      </c>
      <c r="K101" s="4">
        <f t="shared" si="8"/>
        <v>0.0952932378</v>
      </c>
      <c r="L101" s="4">
        <f t="shared" si="9"/>
        <v>0.00000379734907</v>
      </c>
      <c r="M101" s="4">
        <f t="shared" si="10"/>
        <v>0.00003984909273</v>
      </c>
      <c r="N101" s="4"/>
      <c r="O101" s="4"/>
      <c r="P101" s="4"/>
      <c r="Q101" s="4"/>
      <c r="R101" s="4"/>
    </row>
    <row r="102" ht="12.75" customHeight="1">
      <c r="D102" s="9" t="s">
        <v>75</v>
      </c>
      <c r="E102" s="4">
        <v>0.09529999986096</v>
      </c>
      <c r="F102" s="4">
        <v>0.0</v>
      </c>
      <c r="G102" s="4">
        <v>8.86415193303E-4</v>
      </c>
      <c r="H102" s="10" t="s">
        <v>76</v>
      </c>
      <c r="K102" s="4">
        <f t="shared" si="8"/>
        <v>0.1429398567</v>
      </c>
      <c r="L102" s="4">
        <f t="shared" si="9"/>
        <v>0.000004721319902</v>
      </c>
      <c r="M102" s="4">
        <f t="shared" si="10"/>
        <v>0.00003303011498</v>
      </c>
      <c r="N102" s="4"/>
      <c r="O102" s="4"/>
      <c r="P102" s="4"/>
      <c r="Q102" s="4"/>
      <c r="R102" s="4"/>
    </row>
    <row r="103" ht="12.75" customHeight="1">
      <c r="D103" s="9" t="s">
        <v>89</v>
      </c>
      <c r="E103" s="4">
        <v>0.142899999954002</v>
      </c>
      <c r="F103" s="4">
        <v>0.0</v>
      </c>
      <c r="G103" s="4">
        <v>0.001102097704632</v>
      </c>
      <c r="H103" s="10" t="s">
        <v>76</v>
      </c>
      <c r="K103" s="4">
        <f t="shared" si="8"/>
        <v>0.1905864756</v>
      </c>
      <c r="L103" s="4">
        <f t="shared" si="9"/>
        <v>0.000005863787761</v>
      </c>
      <c r="M103" s="4">
        <f t="shared" si="10"/>
        <v>0.0000307670717</v>
      </c>
      <c r="N103" s="4"/>
      <c r="O103" s="4"/>
      <c r="P103" s="4"/>
      <c r="Q103" s="4"/>
      <c r="R103" s="4"/>
    </row>
    <row r="104" ht="13.5" customHeight="1">
      <c r="D104" s="11" t="s">
        <v>90</v>
      </c>
      <c r="E104" s="5">
        <v>0.19059999972192</v>
      </c>
      <c r="F104" s="5">
        <v>0.0</v>
      </c>
      <c r="G104" s="5">
        <v>0.001368783976982</v>
      </c>
      <c r="H104" s="12" t="s">
        <v>76</v>
      </c>
      <c r="L104" s="4"/>
      <c r="M104" s="4"/>
      <c r="N104" s="4"/>
      <c r="O104" s="4"/>
      <c r="P104" s="4"/>
      <c r="Q104" s="4"/>
      <c r="R104" s="4"/>
    </row>
    <row r="105" ht="12.75" customHeight="1"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</row>
    <row r="106" ht="12.75" customHeight="1"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</row>
    <row r="107" ht="12.75" customHeight="1"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</row>
    <row r="108" ht="12.75" customHeight="1"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</row>
    <row r="109" ht="12.75" customHeight="1"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</row>
    <row r="110" ht="12.75" customHeight="1"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</row>
    <row r="111" ht="12.75" customHeight="1">
      <c r="G111" s="4"/>
      <c r="H111" s="4"/>
      <c r="I111" s="4"/>
      <c r="J111" s="4"/>
      <c r="K111" s="4"/>
      <c r="L111" s="4"/>
      <c r="M111" s="4"/>
      <c r="N111" s="4"/>
      <c r="O111" s="4"/>
    </row>
    <row r="112" ht="12.75" customHeight="1">
      <c r="G112" s="4"/>
      <c r="H112" s="4"/>
      <c r="I112" s="4"/>
      <c r="J112" s="4"/>
      <c r="K112" s="4"/>
      <c r="L112" s="4"/>
      <c r="M112" s="4"/>
      <c r="N112" s="4"/>
      <c r="O112" s="4"/>
    </row>
    <row r="113" ht="12.75" customHeight="1">
      <c r="G113" s="4"/>
      <c r="H113" s="4"/>
      <c r="I113" s="4"/>
      <c r="J113" s="4"/>
      <c r="K113" s="16"/>
      <c r="L113" s="4"/>
      <c r="M113" s="4"/>
      <c r="N113" s="4"/>
      <c r="O113" s="4"/>
    </row>
    <row r="114" ht="12.75" customHeight="1">
      <c r="G114" s="4"/>
      <c r="H114" s="4"/>
      <c r="I114" s="4"/>
      <c r="J114" s="4"/>
      <c r="K114" s="4"/>
      <c r="L114" s="4"/>
      <c r="M114" s="4"/>
      <c r="N114" s="4"/>
      <c r="O114" s="4"/>
    </row>
    <row r="115" ht="12.75" customHeight="1">
      <c r="G115" s="4"/>
      <c r="H115" s="4"/>
      <c r="I115" s="4"/>
      <c r="J115" s="4"/>
      <c r="K115" s="4"/>
      <c r="L115" s="4"/>
      <c r="M115" s="4"/>
      <c r="N115" s="4"/>
      <c r="O115" s="4"/>
    </row>
    <row r="116" ht="12.75" customHeight="1">
      <c r="G116" s="4"/>
      <c r="H116" s="4"/>
      <c r="I116" s="4"/>
      <c r="J116" s="4"/>
      <c r="K116" s="4"/>
      <c r="L116" s="4"/>
      <c r="M116" s="4"/>
      <c r="N116" s="4"/>
      <c r="O116" s="4"/>
    </row>
    <row r="117" ht="12.75" customHeight="1">
      <c r="B117" s="4"/>
      <c r="H117" s="4"/>
      <c r="I117" s="4"/>
      <c r="J117" s="4"/>
      <c r="K117" s="4"/>
      <c r="L117" s="4"/>
      <c r="M117" s="4"/>
      <c r="N117" s="4"/>
      <c r="O117" s="4"/>
    </row>
    <row r="118" ht="12.75" customHeight="1">
      <c r="B118" s="4"/>
      <c r="H118" s="4"/>
      <c r="I118" s="4"/>
      <c r="J118" s="4"/>
      <c r="K118" s="4"/>
      <c r="L118" s="4"/>
      <c r="M118" s="4"/>
      <c r="N118" s="4"/>
      <c r="O118" s="4"/>
    </row>
    <row r="119" ht="12.75" customHeight="1">
      <c r="B119" s="4"/>
      <c r="H119" s="4"/>
      <c r="I119" s="4"/>
      <c r="J119" s="4"/>
      <c r="K119" s="4"/>
    </row>
    <row r="120" ht="12.75" customHeight="1">
      <c r="B120" s="4"/>
      <c r="H120" s="4"/>
    </row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>
      <c r="C128" s="4"/>
      <c r="D128" s="4"/>
    </row>
    <row r="129" ht="12.75" customHeight="1">
      <c r="C129" s="4"/>
      <c r="D129" s="4"/>
    </row>
    <row r="130" ht="12.75" customHeight="1"/>
    <row r="131" ht="12.75" customHeight="1">
      <c r="C131" s="4"/>
      <c r="D131" s="4"/>
    </row>
    <row r="132" ht="12.75" customHeight="1">
      <c r="C132" s="4"/>
      <c r="D132" s="4"/>
    </row>
    <row r="133" ht="12.75" customHeight="1"/>
    <row r="134" ht="12.75" customHeight="1">
      <c r="C134" s="4"/>
      <c r="D134" s="4"/>
    </row>
    <row r="135" ht="12.75" customHeight="1"/>
    <row r="136" ht="12.75" customHeight="1"/>
    <row r="137" ht="12.75" customHeight="1">
      <c r="C137" s="4"/>
      <c r="D137" s="4"/>
    </row>
    <row r="138" ht="12.75" customHeight="1">
      <c r="C138" s="4"/>
      <c r="D138" s="4"/>
    </row>
    <row r="139" ht="12.75" customHeight="1">
      <c r="C139" s="4"/>
      <c r="D139" s="4"/>
    </row>
    <row r="140" ht="12.75" customHeight="1">
      <c r="C140" s="4"/>
      <c r="D140" s="4"/>
    </row>
    <row r="141" ht="12.75" customHeight="1">
      <c r="C141" s="4"/>
      <c r="D141" s="4"/>
      <c r="F141" s="4"/>
    </row>
    <row r="142" ht="12.75" customHeight="1">
      <c r="C142" s="4"/>
      <c r="D142" s="4"/>
      <c r="F142" s="4"/>
    </row>
    <row r="143" ht="12.75" customHeight="1">
      <c r="C143" s="4"/>
      <c r="D143" s="4"/>
      <c r="F143" s="4"/>
    </row>
    <row r="144" ht="12.75" customHeight="1">
      <c r="C144" s="4"/>
      <c r="D144" s="4"/>
      <c r="F144" s="4"/>
    </row>
    <row r="145" ht="12.75" customHeight="1">
      <c r="C145" s="4"/>
      <c r="D145" s="4"/>
      <c r="K145" s="4"/>
    </row>
    <row r="146" ht="12.75" customHeight="1">
      <c r="C146" s="4"/>
      <c r="D146" s="4"/>
      <c r="K146" s="4"/>
    </row>
    <row r="147" ht="12.75" customHeight="1">
      <c r="K147" s="4"/>
    </row>
    <row r="148" ht="12.75" customHeight="1">
      <c r="K148" s="4"/>
    </row>
    <row r="149" ht="12.75" customHeight="1"/>
    <row r="150" ht="12.75" customHeight="1">
      <c r="J150" s="4"/>
    </row>
    <row r="151" ht="12.75" customHeight="1">
      <c r="E151" s="4"/>
      <c r="F151" s="4"/>
      <c r="G151" s="4"/>
      <c r="H151" s="4"/>
      <c r="I151" s="4"/>
      <c r="J151" s="4"/>
      <c r="K151" s="4"/>
      <c r="L151" s="4"/>
    </row>
    <row r="152" ht="12.75" customHeight="1">
      <c r="E152" s="4"/>
      <c r="F152" s="4"/>
      <c r="G152" s="4"/>
      <c r="H152" s="4"/>
      <c r="I152" s="4"/>
      <c r="J152" s="4"/>
      <c r="K152" s="4"/>
      <c r="L152" s="4"/>
    </row>
    <row r="153" ht="12.75" customHeight="1">
      <c r="E153" s="4"/>
      <c r="F153" s="4"/>
      <c r="G153" s="4"/>
      <c r="H153" s="4"/>
      <c r="I153" s="4"/>
      <c r="J153" s="4"/>
      <c r="K153" s="4"/>
      <c r="L153" s="4"/>
    </row>
    <row r="154" ht="12.75" customHeight="1">
      <c r="E154" s="4"/>
      <c r="F154" s="4"/>
      <c r="G154" s="4"/>
      <c r="H154" s="4"/>
      <c r="I154" s="4"/>
      <c r="J154" s="4"/>
      <c r="K154" s="4"/>
      <c r="L154" s="4"/>
    </row>
    <row r="155" ht="12.75" customHeight="1">
      <c r="E155" s="4"/>
      <c r="F155" s="4"/>
      <c r="G155" s="4"/>
      <c r="H155" s="4"/>
      <c r="I155" s="4"/>
      <c r="J155" s="4"/>
      <c r="K155" s="4"/>
      <c r="L155" s="4"/>
    </row>
    <row r="156" ht="12.75" customHeight="1">
      <c r="E156" s="4"/>
      <c r="F156" s="4"/>
      <c r="G156" s="4"/>
      <c r="H156" s="4"/>
      <c r="I156" s="4"/>
      <c r="J156" s="4"/>
      <c r="K156" s="4"/>
      <c r="L156" s="4"/>
    </row>
    <row r="157" ht="12.75" customHeight="1">
      <c r="E157" s="4"/>
      <c r="F157" s="4"/>
      <c r="G157" s="4"/>
      <c r="H157" s="4"/>
      <c r="I157" s="4"/>
      <c r="J157" s="4"/>
      <c r="K157" s="4"/>
      <c r="L157" s="4"/>
    </row>
    <row r="158" ht="12.75" customHeight="1">
      <c r="E158" s="4"/>
      <c r="F158" s="4"/>
      <c r="G158" s="4"/>
      <c r="H158" s="4"/>
      <c r="I158" s="4"/>
      <c r="J158" s="4"/>
      <c r="K158" s="4"/>
      <c r="L158" s="4"/>
    </row>
    <row r="159" ht="12.75" customHeight="1">
      <c r="E159" s="4"/>
      <c r="F159" s="4"/>
      <c r="G159" s="4"/>
      <c r="H159" s="4"/>
      <c r="I159" s="4"/>
      <c r="J159" s="4"/>
      <c r="K159" s="4"/>
      <c r="L159" s="4"/>
    </row>
    <row r="160" ht="12.75" customHeight="1">
      <c r="E160" s="4"/>
      <c r="F160" s="4"/>
      <c r="G160" s="4"/>
      <c r="H160" s="4"/>
      <c r="I160" s="4"/>
      <c r="J160" s="4"/>
      <c r="K160" s="4"/>
      <c r="L160" s="4"/>
    </row>
    <row r="161" ht="12.75" customHeight="1">
      <c r="E161" s="4"/>
      <c r="F161" s="4"/>
      <c r="G161" s="4"/>
      <c r="H161" s="4"/>
      <c r="I161" s="4"/>
      <c r="J161" s="4"/>
      <c r="K161" s="4"/>
      <c r="L161" s="4"/>
    </row>
    <row r="162" ht="12.75" customHeight="1">
      <c r="E162" s="4"/>
      <c r="F162" s="4"/>
      <c r="G162" s="4"/>
      <c r="H162" s="4"/>
      <c r="I162" s="4"/>
      <c r="J162" s="4"/>
      <c r="K162" s="4"/>
      <c r="L162" s="4"/>
    </row>
    <row r="163" ht="12.75" customHeight="1">
      <c r="E163" s="4"/>
      <c r="F163" s="4"/>
      <c r="G163" s="4"/>
      <c r="H163" s="4"/>
      <c r="I163" s="4"/>
      <c r="J163" s="4"/>
      <c r="K163" s="4"/>
      <c r="L163" s="4"/>
    </row>
    <row r="164" ht="12.75" customHeight="1">
      <c r="E164" s="4"/>
      <c r="F164" s="4"/>
      <c r="G164" s="4"/>
      <c r="H164" s="4"/>
      <c r="I164" s="4"/>
      <c r="J164" s="4"/>
      <c r="K164" s="4"/>
      <c r="L164" s="4"/>
    </row>
    <row r="165" ht="12.75" customHeight="1">
      <c r="E165" s="4"/>
      <c r="F165" s="4"/>
      <c r="G165" s="4"/>
      <c r="H165" s="4"/>
      <c r="I165" s="4"/>
      <c r="J165" s="4"/>
      <c r="K165" s="4"/>
      <c r="L165" s="4"/>
    </row>
    <row r="166" ht="12.75" customHeight="1">
      <c r="E166" s="4"/>
      <c r="F166" s="4"/>
      <c r="G166" s="4"/>
      <c r="H166" s="4"/>
      <c r="I166" s="4"/>
      <c r="J166" s="4"/>
      <c r="K166" s="4"/>
      <c r="L166" s="4"/>
    </row>
    <row r="167" ht="12.75" customHeight="1">
      <c r="E167" s="4"/>
      <c r="F167" s="4"/>
      <c r="G167" s="4"/>
      <c r="H167" s="4"/>
      <c r="I167" s="4"/>
      <c r="J167" s="4"/>
      <c r="K167" s="4"/>
      <c r="L167" s="4"/>
    </row>
    <row r="168" ht="12.75" customHeight="1">
      <c r="E168" s="4"/>
      <c r="F168" s="4"/>
      <c r="G168" s="4"/>
      <c r="H168" s="4"/>
      <c r="I168" s="4"/>
      <c r="J168" s="4"/>
      <c r="K168" s="4"/>
      <c r="L168" s="4"/>
    </row>
    <row r="169" ht="12.75" customHeight="1">
      <c r="E169" s="4"/>
      <c r="F169" s="4"/>
      <c r="G169" s="4"/>
      <c r="H169" s="4"/>
      <c r="I169" s="4"/>
      <c r="J169" s="4"/>
      <c r="K169" s="4"/>
      <c r="L169" s="4"/>
    </row>
    <row r="170" ht="12.75" customHeight="1">
      <c r="E170" s="4"/>
      <c r="F170" s="4"/>
      <c r="G170" s="4"/>
      <c r="H170" s="4"/>
      <c r="I170" s="4"/>
      <c r="J170" s="4"/>
      <c r="K170" s="4"/>
      <c r="L170" s="4"/>
    </row>
    <row r="171" ht="12.75" customHeight="1">
      <c r="E171" s="4"/>
      <c r="F171" s="4"/>
      <c r="G171" s="4"/>
      <c r="H171" s="4"/>
      <c r="I171" s="4"/>
      <c r="J171" s="4"/>
      <c r="K171" s="4"/>
      <c r="L171" s="4"/>
    </row>
    <row r="172" ht="12.75" customHeight="1">
      <c r="E172" s="4"/>
      <c r="F172" s="4"/>
      <c r="G172" s="4"/>
      <c r="H172" s="4"/>
      <c r="I172" s="4"/>
      <c r="J172" s="4"/>
      <c r="K172" s="4"/>
      <c r="L172" s="4"/>
    </row>
    <row r="173" ht="12.75" customHeight="1">
      <c r="E173" s="4"/>
      <c r="F173" s="4"/>
      <c r="G173" s="4"/>
      <c r="H173" s="4"/>
      <c r="I173" s="4"/>
      <c r="J173" s="4"/>
      <c r="K173" s="4"/>
      <c r="L173" s="4"/>
    </row>
    <row r="174" ht="12.75" customHeight="1">
      <c r="E174" s="4"/>
      <c r="F174" s="4"/>
      <c r="G174" s="4"/>
      <c r="H174" s="4"/>
      <c r="I174" s="4"/>
      <c r="J174" s="4"/>
      <c r="K174" s="4"/>
      <c r="L174" s="4"/>
    </row>
    <row r="175" ht="12.75" customHeight="1">
      <c r="E175" s="4"/>
      <c r="F175" s="4"/>
      <c r="G175" s="4"/>
      <c r="H175" s="4"/>
      <c r="I175" s="4"/>
      <c r="J175" s="4"/>
      <c r="K175" s="4"/>
      <c r="L175" s="4"/>
    </row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57"/>
    <col customWidth="1" min="2" max="2" width="12.71"/>
    <col customWidth="1" min="3" max="3" width="14.57"/>
    <col customWidth="1" min="4" max="4" width="12.71"/>
    <col customWidth="1" min="5" max="5" width="14.57"/>
    <col customWidth="1" min="6" max="6" width="12.71"/>
    <col customWidth="1" min="7" max="7" width="14.57"/>
    <col customWidth="1" min="8" max="8" width="12.71"/>
    <col customWidth="1" min="9" max="26" width="8.0"/>
  </cols>
  <sheetData>
    <row r="1" ht="12.75" customHeight="1">
      <c r="A1" s="1" t="s">
        <v>91</v>
      </c>
      <c r="B1" s="1" t="s">
        <v>92</v>
      </c>
    </row>
    <row r="2" ht="12.75" customHeight="1">
      <c r="A2" s="1" t="s">
        <v>93</v>
      </c>
      <c r="B2" s="1">
        <v>161008.0</v>
      </c>
    </row>
    <row r="3" ht="12.75" customHeight="1">
      <c r="A3" s="1" t="s">
        <v>83</v>
      </c>
      <c r="B3" s="1" t="s">
        <v>88</v>
      </c>
      <c r="C3" s="1" t="s">
        <v>83</v>
      </c>
      <c r="D3" s="1" t="s">
        <v>75</v>
      </c>
      <c r="E3" s="1" t="s">
        <v>83</v>
      </c>
      <c r="F3" s="1" t="s">
        <v>89</v>
      </c>
      <c r="G3" s="1" t="s">
        <v>83</v>
      </c>
      <c r="H3" s="1" t="s">
        <v>90</v>
      </c>
    </row>
    <row r="4" ht="12.75" customHeight="1">
      <c r="A4" s="1" t="s">
        <v>94</v>
      </c>
      <c r="B4" s="1" t="s">
        <v>95</v>
      </c>
      <c r="C4" s="1" t="s">
        <v>94</v>
      </c>
      <c r="D4" s="1" t="s">
        <v>95</v>
      </c>
      <c r="E4" s="1" t="s">
        <v>94</v>
      </c>
      <c r="F4" s="1" t="s">
        <v>95</v>
      </c>
      <c r="G4" s="1" t="s">
        <v>94</v>
      </c>
      <c r="H4" s="1" t="s">
        <v>95</v>
      </c>
    </row>
    <row r="5" ht="12.75" customHeight="1">
      <c r="A5" s="1" t="s">
        <v>96</v>
      </c>
      <c r="B5" s="1" t="s">
        <v>97</v>
      </c>
      <c r="C5" s="1" t="s">
        <v>96</v>
      </c>
      <c r="D5" s="1" t="s">
        <v>97</v>
      </c>
      <c r="E5" s="1" t="s">
        <v>96</v>
      </c>
      <c r="F5" s="1" t="s">
        <v>97</v>
      </c>
      <c r="G5" s="1" t="s">
        <v>96</v>
      </c>
      <c r="H5" s="1" t="s">
        <v>97</v>
      </c>
    </row>
    <row r="6" ht="12.75" customHeight="1">
      <c r="A6" s="1" t="s">
        <v>98</v>
      </c>
      <c r="B6" s="19">
        <v>40304.0</v>
      </c>
      <c r="C6" s="1" t="s">
        <v>98</v>
      </c>
      <c r="D6" s="19">
        <v>40304.0</v>
      </c>
      <c r="E6" s="1" t="s">
        <v>98</v>
      </c>
      <c r="F6" s="19">
        <v>40304.0</v>
      </c>
      <c r="G6" s="1" t="s">
        <v>98</v>
      </c>
      <c r="H6" s="19">
        <v>40304.0</v>
      </c>
    </row>
    <row r="7" ht="12.75" customHeight="1">
      <c r="A7" s="1" t="s">
        <v>99</v>
      </c>
      <c r="B7" s="1" t="s">
        <v>100</v>
      </c>
      <c r="C7" s="1" t="s">
        <v>99</v>
      </c>
      <c r="D7" s="1" t="s">
        <v>101</v>
      </c>
      <c r="E7" s="1" t="s">
        <v>99</v>
      </c>
      <c r="F7" s="1" t="s">
        <v>102</v>
      </c>
      <c r="G7" s="1" t="s">
        <v>99</v>
      </c>
      <c r="H7" s="1" t="s">
        <v>103</v>
      </c>
    </row>
    <row r="8" ht="12.75" customHeight="1"/>
    <row r="9" ht="12.75" customHeight="1">
      <c r="A9" s="1" t="s">
        <v>104</v>
      </c>
      <c r="B9" s="1" t="s">
        <v>105</v>
      </c>
      <c r="C9" s="1" t="s">
        <v>104</v>
      </c>
      <c r="D9" s="1" t="s">
        <v>106</v>
      </c>
      <c r="E9" s="1" t="s">
        <v>104</v>
      </c>
      <c r="F9" s="1" t="s">
        <v>107</v>
      </c>
      <c r="G9" s="1" t="s">
        <v>104</v>
      </c>
      <c r="H9" s="1" t="s">
        <v>108</v>
      </c>
    </row>
    <row r="10" ht="12.75" customHeight="1">
      <c r="A10" s="1" t="s">
        <v>109</v>
      </c>
      <c r="B10" s="1" t="s">
        <v>110</v>
      </c>
      <c r="C10" s="1" t="s">
        <v>109</v>
      </c>
      <c r="D10" s="1" t="s">
        <v>110</v>
      </c>
      <c r="E10" s="1" t="s">
        <v>109</v>
      </c>
      <c r="F10" s="1" t="s">
        <v>110</v>
      </c>
      <c r="G10" s="1" t="s">
        <v>109</v>
      </c>
      <c r="H10" s="1" t="s">
        <v>110</v>
      </c>
    </row>
    <row r="11" ht="12.75" customHeight="1">
      <c r="A11" s="1">
        <v>0.0</v>
      </c>
      <c r="B11" s="1">
        <v>0.0</v>
      </c>
      <c r="C11" s="1">
        <v>0.0</v>
      </c>
      <c r="D11" s="1">
        <v>-0.001</v>
      </c>
      <c r="E11" s="1">
        <v>0.0</v>
      </c>
      <c r="F11" s="1">
        <v>0.001</v>
      </c>
      <c r="G11" s="1">
        <v>0.0</v>
      </c>
      <c r="H11" s="1">
        <v>0.004</v>
      </c>
    </row>
    <row r="12" ht="12.75" customHeight="1">
      <c r="A12" s="1">
        <v>31.0</v>
      </c>
      <c r="B12" s="1">
        <v>0.0</v>
      </c>
      <c r="C12" s="1">
        <v>31.0</v>
      </c>
      <c r="D12" s="1">
        <v>-0.001</v>
      </c>
      <c r="E12" s="1">
        <v>31.0</v>
      </c>
      <c r="F12" s="1">
        <v>0.002</v>
      </c>
      <c r="G12" s="1">
        <v>31.0</v>
      </c>
      <c r="H12" s="1">
        <v>0.005</v>
      </c>
    </row>
    <row r="13" ht="12.75" customHeight="1">
      <c r="A13" s="1">
        <v>62.0</v>
      </c>
      <c r="B13" s="1">
        <v>0.001</v>
      </c>
      <c r="C13" s="1">
        <v>62.0</v>
      </c>
      <c r="D13" s="1">
        <v>0.0</v>
      </c>
      <c r="E13" s="1">
        <v>62.0</v>
      </c>
      <c r="F13" s="1">
        <v>0.002</v>
      </c>
      <c r="G13" s="1">
        <v>62.0</v>
      </c>
      <c r="H13" s="1">
        <v>0.006</v>
      </c>
    </row>
    <row r="14" ht="12.75" customHeight="1">
      <c r="A14" s="1">
        <v>93.0</v>
      </c>
      <c r="B14" s="1">
        <v>0.001</v>
      </c>
      <c r="C14" s="1">
        <v>93.0</v>
      </c>
      <c r="D14" s="1">
        <v>0.0</v>
      </c>
      <c r="E14" s="1">
        <v>93.0</v>
      </c>
      <c r="F14" s="1">
        <v>0.003</v>
      </c>
      <c r="G14" s="1">
        <v>93.0</v>
      </c>
      <c r="H14" s="1">
        <v>0.006</v>
      </c>
    </row>
    <row r="15" ht="12.75" customHeight="1">
      <c r="A15" s="1">
        <v>124.0</v>
      </c>
      <c r="B15" s="1">
        <v>0.001</v>
      </c>
      <c r="C15" s="1">
        <v>124.0</v>
      </c>
      <c r="D15" s="1">
        <v>0.001</v>
      </c>
      <c r="E15" s="1">
        <v>124.0</v>
      </c>
      <c r="F15" s="1">
        <v>0.003</v>
      </c>
      <c r="G15" s="1">
        <v>124.0</v>
      </c>
      <c r="H15" s="1">
        <v>0.007</v>
      </c>
    </row>
    <row r="16" ht="12.75" customHeight="1">
      <c r="A16" s="1">
        <v>155.0</v>
      </c>
      <c r="B16" s="1">
        <v>0.002</v>
      </c>
      <c r="C16" s="1">
        <v>155.0</v>
      </c>
      <c r="D16" s="1">
        <v>0.001</v>
      </c>
      <c r="E16" s="1">
        <v>155.0</v>
      </c>
      <c r="F16" s="1">
        <v>0.004</v>
      </c>
      <c r="G16" s="1">
        <v>155.0</v>
      </c>
      <c r="H16" s="1">
        <v>0.007</v>
      </c>
    </row>
    <row r="17" ht="12.75" customHeight="1">
      <c r="A17" s="1">
        <v>186.0</v>
      </c>
      <c r="B17" s="1">
        <v>0.002</v>
      </c>
      <c r="C17" s="1">
        <v>186.0</v>
      </c>
      <c r="D17" s="1">
        <v>0.002</v>
      </c>
      <c r="E17" s="1">
        <v>186.0</v>
      </c>
      <c r="F17" s="1">
        <v>0.004</v>
      </c>
      <c r="G17" s="1">
        <v>186.0</v>
      </c>
      <c r="H17" s="1">
        <v>0.008</v>
      </c>
    </row>
    <row r="18" ht="12.75" customHeight="1">
      <c r="A18" s="1">
        <v>217.0</v>
      </c>
      <c r="B18" s="1">
        <v>0.002</v>
      </c>
      <c r="C18" s="1">
        <v>217.0</v>
      </c>
      <c r="D18" s="1">
        <v>0.002</v>
      </c>
      <c r="E18" s="1">
        <v>217.0</v>
      </c>
      <c r="F18" s="1">
        <v>0.005</v>
      </c>
      <c r="G18" s="1">
        <v>217.0</v>
      </c>
      <c r="H18" s="1">
        <v>0.009</v>
      </c>
    </row>
    <row r="19" ht="12.75" customHeight="1">
      <c r="A19" s="1">
        <v>248.0</v>
      </c>
      <c r="B19" s="1">
        <v>0.002</v>
      </c>
      <c r="C19" s="1">
        <v>248.0</v>
      </c>
      <c r="D19" s="1">
        <v>0.002</v>
      </c>
      <c r="E19" s="1">
        <v>248.0</v>
      </c>
      <c r="F19" s="1">
        <v>0.006</v>
      </c>
      <c r="G19" s="1">
        <v>248.0</v>
      </c>
      <c r="H19" s="1">
        <v>0.01</v>
      </c>
    </row>
    <row r="20" ht="12.75" customHeight="1">
      <c r="A20" s="1">
        <v>279.0</v>
      </c>
      <c r="B20" s="1">
        <v>0.003</v>
      </c>
      <c r="C20" s="1">
        <v>279.0</v>
      </c>
      <c r="D20" s="1">
        <v>0.003</v>
      </c>
      <c r="E20" s="1">
        <v>279.0</v>
      </c>
      <c r="F20" s="1">
        <v>0.007</v>
      </c>
      <c r="G20" s="1">
        <v>279.0</v>
      </c>
      <c r="H20" s="1">
        <v>0.01</v>
      </c>
    </row>
    <row r="21" ht="12.75" customHeight="1">
      <c r="A21" s="1">
        <v>310.0</v>
      </c>
      <c r="B21" s="1">
        <v>0.003</v>
      </c>
      <c r="C21" s="1">
        <v>310.0</v>
      </c>
      <c r="D21" s="1">
        <v>0.003</v>
      </c>
      <c r="E21" s="1">
        <v>310.0</v>
      </c>
      <c r="F21" s="1">
        <v>0.007</v>
      </c>
      <c r="G21" s="1">
        <v>310.0</v>
      </c>
      <c r="H21" s="1">
        <v>0.011</v>
      </c>
    </row>
    <row r="22" ht="12.75" customHeight="1">
      <c r="A22" s="1">
        <v>341.0</v>
      </c>
      <c r="B22" s="1">
        <v>0.003</v>
      </c>
      <c r="C22" s="1">
        <v>341.0</v>
      </c>
      <c r="D22" s="1">
        <v>0.004</v>
      </c>
      <c r="E22" s="1">
        <v>341.0</v>
      </c>
      <c r="F22" s="1">
        <v>0.007</v>
      </c>
      <c r="G22" s="1">
        <v>341.0</v>
      </c>
      <c r="H22" s="1">
        <v>0.012</v>
      </c>
    </row>
    <row r="23" ht="12.75" customHeight="1">
      <c r="A23" s="1">
        <v>372.0</v>
      </c>
      <c r="B23" s="1">
        <v>0.003</v>
      </c>
      <c r="C23" s="1">
        <v>372.0</v>
      </c>
      <c r="D23" s="1">
        <v>0.005</v>
      </c>
      <c r="E23" s="1">
        <v>372.0</v>
      </c>
      <c r="F23" s="1">
        <v>0.008</v>
      </c>
      <c r="G23" s="1">
        <v>372.0</v>
      </c>
      <c r="H23" s="1">
        <v>0.012</v>
      </c>
    </row>
    <row r="24" ht="12.75" customHeight="1">
      <c r="A24" s="1">
        <v>403.0</v>
      </c>
      <c r="B24" s="1">
        <v>0.003</v>
      </c>
      <c r="C24" s="1">
        <v>403.0</v>
      </c>
      <c r="D24" s="1">
        <v>0.005</v>
      </c>
      <c r="E24" s="1">
        <v>403.0</v>
      </c>
      <c r="F24" s="1">
        <v>0.009</v>
      </c>
      <c r="G24" s="1">
        <v>403.0</v>
      </c>
      <c r="H24" s="1">
        <v>0.013</v>
      </c>
    </row>
    <row r="25" ht="12.75" customHeight="1">
      <c r="A25" s="1">
        <v>434.0</v>
      </c>
      <c r="B25" s="1">
        <v>0.004</v>
      </c>
      <c r="C25" s="1">
        <v>434.0</v>
      </c>
      <c r="D25" s="1">
        <v>0.005</v>
      </c>
      <c r="E25" s="1">
        <v>434.0</v>
      </c>
      <c r="F25" s="1">
        <v>0.009</v>
      </c>
      <c r="G25" s="1">
        <v>434.0</v>
      </c>
      <c r="H25" s="1">
        <v>0.014</v>
      </c>
    </row>
    <row r="26" ht="12.75" customHeight="1">
      <c r="A26" s="1">
        <v>465.0</v>
      </c>
      <c r="B26" s="1">
        <v>0.004</v>
      </c>
      <c r="C26" s="1">
        <v>465.0</v>
      </c>
      <c r="D26" s="1">
        <v>0.006</v>
      </c>
      <c r="E26" s="1">
        <v>465.0</v>
      </c>
      <c r="F26" s="1">
        <v>0.01</v>
      </c>
      <c r="G26" s="1">
        <v>465.0</v>
      </c>
      <c r="H26" s="1">
        <v>0.014</v>
      </c>
    </row>
    <row r="27" ht="12.75" customHeight="1">
      <c r="A27" s="1">
        <v>496.0</v>
      </c>
      <c r="B27" s="1">
        <v>0.004</v>
      </c>
      <c r="C27" s="1">
        <v>496.0</v>
      </c>
      <c r="D27" s="1">
        <v>0.006</v>
      </c>
      <c r="E27" s="1">
        <v>496.0</v>
      </c>
      <c r="F27" s="1">
        <v>0.01</v>
      </c>
      <c r="G27" s="1">
        <v>496.0</v>
      </c>
      <c r="H27" s="1">
        <v>0.015</v>
      </c>
    </row>
    <row r="28" ht="12.75" customHeight="1">
      <c r="A28" s="1">
        <v>527.0</v>
      </c>
      <c r="B28" s="1">
        <v>0.005</v>
      </c>
      <c r="C28" s="1">
        <v>527.0</v>
      </c>
      <c r="D28" s="1">
        <v>0.007</v>
      </c>
      <c r="E28" s="1">
        <v>527.0</v>
      </c>
      <c r="F28" s="1">
        <v>0.011</v>
      </c>
      <c r="G28" s="1">
        <v>527.0</v>
      </c>
      <c r="H28" s="1">
        <v>0.016</v>
      </c>
    </row>
    <row r="29" ht="12.75" customHeight="1">
      <c r="A29" s="1">
        <v>558.0</v>
      </c>
      <c r="B29" s="1">
        <v>0.004</v>
      </c>
      <c r="C29" s="1">
        <v>558.0</v>
      </c>
      <c r="D29" s="1">
        <v>0.007</v>
      </c>
      <c r="E29" s="1">
        <v>558.0</v>
      </c>
      <c r="F29" s="1">
        <v>0.011</v>
      </c>
      <c r="G29" s="1">
        <v>558.0</v>
      </c>
      <c r="H29" s="1">
        <v>0.017</v>
      </c>
    </row>
    <row r="30" ht="12.75" customHeight="1">
      <c r="A30" s="1">
        <v>589.0</v>
      </c>
      <c r="B30" s="1">
        <v>0.005</v>
      </c>
      <c r="C30" s="1">
        <v>589.0</v>
      </c>
      <c r="D30" s="1">
        <v>0.008</v>
      </c>
      <c r="E30" s="1">
        <v>589.0</v>
      </c>
      <c r="F30" s="1">
        <v>0.012</v>
      </c>
      <c r="G30" s="1">
        <v>589.0</v>
      </c>
      <c r="H30" s="1">
        <v>0.017</v>
      </c>
    </row>
    <row r="31" ht="12.75" customHeight="1">
      <c r="A31" s="1">
        <v>620.0</v>
      </c>
      <c r="B31" s="1">
        <v>0.005</v>
      </c>
      <c r="C31" s="1">
        <v>620.0</v>
      </c>
      <c r="D31" s="1">
        <v>0.008</v>
      </c>
      <c r="E31" s="1">
        <v>620.0</v>
      </c>
      <c r="F31" s="1">
        <v>0.013</v>
      </c>
      <c r="G31" s="1">
        <v>620.0</v>
      </c>
      <c r="H31" s="1">
        <v>0.017</v>
      </c>
    </row>
    <row r="32" ht="12.75" customHeight="1">
      <c r="A32" s="1">
        <v>651.0</v>
      </c>
      <c r="B32" s="1">
        <v>0.005</v>
      </c>
      <c r="C32" s="1">
        <v>651.0</v>
      </c>
      <c r="D32" s="1">
        <v>0.009</v>
      </c>
      <c r="E32" s="1">
        <v>651.0</v>
      </c>
      <c r="F32" s="1">
        <v>0.013</v>
      </c>
      <c r="G32" s="1">
        <v>651.0</v>
      </c>
      <c r="H32" s="1">
        <v>0.018</v>
      </c>
    </row>
    <row r="33" ht="12.75" customHeight="1">
      <c r="A33" s="1">
        <v>682.0</v>
      </c>
      <c r="B33" s="1">
        <v>0.006</v>
      </c>
      <c r="C33" s="1">
        <v>682.0</v>
      </c>
      <c r="D33" s="1">
        <v>0.009</v>
      </c>
      <c r="E33" s="1">
        <v>682.0</v>
      </c>
      <c r="F33" s="1">
        <v>0.013</v>
      </c>
      <c r="G33" s="1">
        <v>682.0</v>
      </c>
      <c r="H33" s="1">
        <v>0.019</v>
      </c>
    </row>
    <row r="34" ht="12.75" customHeight="1">
      <c r="A34" s="1">
        <v>713.0</v>
      </c>
      <c r="B34" s="1">
        <v>0.006</v>
      </c>
      <c r="C34" s="1">
        <v>713.0</v>
      </c>
      <c r="D34" s="1">
        <v>0.009</v>
      </c>
      <c r="E34" s="1">
        <v>713.0</v>
      </c>
      <c r="F34" s="1">
        <v>0.014</v>
      </c>
      <c r="G34" s="1">
        <v>713.0</v>
      </c>
      <c r="H34" s="1">
        <v>0.02</v>
      </c>
    </row>
    <row r="35" ht="12.75" customHeight="1">
      <c r="A35" s="1">
        <v>744.0</v>
      </c>
      <c r="B35" s="1">
        <v>0.006</v>
      </c>
      <c r="C35" s="1">
        <v>744.0</v>
      </c>
      <c r="D35" s="1">
        <v>0.009</v>
      </c>
      <c r="E35" s="1">
        <v>744.0</v>
      </c>
      <c r="F35" s="1">
        <v>0.014</v>
      </c>
      <c r="G35" s="1">
        <v>744.0</v>
      </c>
      <c r="H35" s="1">
        <v>0.02</v>
      </c>
    </row>
    <row r="36" ht="12.75" customHeight="1">
      <c r="A36" s="1">
        <v>775.0</v>
      </c>
      <c r="B36" s="1">
        <v>0.006</v>
      </c>
      <c r="C36" s="1">
        <v>775.0</v>
      </c>
      <c r="D36" s="1">
        <v>0.01</v>
      </c>
      <c r="E36" s="1">
        <v>775.0</v>
      </c>
      <c r="F36" s="1">
        <v>0.014</v>
      </c>
      <c r="G36" s="1">
        <v>775.0</v>
      </c>
      <c r="H36" s="1">
        <v>0.021</v>
      </c>
    </row>
    <row r="37" ht="12.75" customHeight="1">
      <c r="A37" s="1">
        <v>806.0</v>
      </c>
      <c r="B37" s="1">
        <v>0.006</v>
      </c>
      <c r="C37" s="1">
        <v>806.0</v>
      </c>
      <c r="D37" s="1">
        <v>0.01</v>
      </c>
      <c r="E37" s="1">
        <v>806.0</v>
      </c>
      <c r="F37" s="1">
        <v>0.015</v>
      </c>
      <c r="G37" s="1">
        <v>806.0</v>
      </c>
      <c r="H37" s="1">
        <v>0.021</v>
      </c>
    </row>
    <row r="38" ht="12.75" customHeight="1">
      <c r="A38" s="1">
        <v>837.0</v>
      </c>
      <c r="B38" s="1">
        <v>0.007</v>
      </c>
      <c r="C38" s="1">
        <v>837.0</v>
      </c>
      <c r="D38" s="1">
        <v>0.01</v>
      </c>
      <c r="E38" s="1">
        <v>837.0</v>
      </c>
      <c r="F38" s="1">
        <v>0.015</v>
      </c>
      <c r="G38" s="1">
        <v>837.0</v>
      </c>
      <c r="H38" s="1">
        <v>0.022</v>
      </c>
    </row>
    <row r="39" ht="12.75" customHeight="1">
      <c r="A39" s="1">
        <v>868.0</v>
      </c>
      <c r="B39" s="1">
        <v>0.007</v>
      </c>
      <c r="C39" s="1">
        <v>868.0</v>
      </c>
      <c r="D39" s="1">
        <v>0.011</v>
      </c>
      <c r="E39" s="1">
        <v>868.0</v>
      </c>
      <c r="F39" s="1">
        <v>0.016</v>
      </c>
      <c r="G39" s="1">
        <v>868.0</v>
      </c>
      <c r="H39" s="1">
        <v>0.022</v>
      </c>
    </row>
    <row r="40" ht="12.75" customHeight="1">
      <c r="A40" s="1">
        <v>899.0</v>
      </c>
      <c r="B40" s="1">
        <v>0.007</v>
      </c>
      <c r="C40" s="1">
        <v>899.0</v>
      </c>
      <c r="D40" s="1">
        <v>0.011</v>
      </c>
      <c r="E40" s="1">
        <v>899.0</v>
      </c>
      <c r="F40" s="1">
        <v>0.016</v>
      </c>
      <c r="G40" s="1">
        <v>899.0</v>
      </c>
      <c r="H40" s="1">
        <v>0.022</v>
      </c>
    </row>
    <row r="41" ht="12.75" customHeight="1">
      <c r="A41" s="1">
        <v>930.0</v>
      </c>
      <c r="B41" s="1">
        <v>0.008</v>
      </c>
      <c r="C41" s="1">
        <v>930.0</v>
      </c>
      <c r="D41" s="1">
        <v>0.012</v>
      </c>
      <c r="E41" s="1">
        <v>930.0</v>
      </c>
      <c r="F41" s="1">
        <v>0.016</v>
      </c>
      <c r="G41" s="1">
        <v>930.0</v>
      </c>
      <c r="H41" s="1">
        <v>0.023</v>
      </c>
    </row>
    <row r="42" ht="12.75" customHeight="1">
      <c r="A42" s="1">
        <v>961.0</v>
      </c>
      <c r="B42" s="1">
        <v>0.007</v>
      </c>
      <c r="C42" s="1">
        <v>961.0</v>
      </c>
      <c r="D42" s="1">
        <v>0.012</v>
      </c>
      <c r="E42" s="1">
        <v>961.0</v>
      </c>
      <c r="F42" s="1">
        <v>0.017</v>
      </c>
      <c r="G42" s="1">
        <v>961.0</v>
      </c>
      <c r="H42" s="1">
        <v>0.024</v>
      </c>
    </row>
    <row r="43" ht="12.75" customHeight="1">
      <c r="A43" s="1">
        <v>992.0</v>
      </c>
      <c r="B43" s="1">
        <v>0.008</v>
      </c>
      <c r="C43" s="1">
        <v>992.0</v>
      </c>
      <c r="D43" s="1">
        <v>0.012</v>
      </c>
      <c r="E43" s="1">
        <v>992.0</v>
      </c>
      <c r="F43" s="1">
        <v>0.018</v>
      </c>
      <c r="G43" s="1">
        <v>992.0</v>
      </c>
      <c r="H43" s="1">
        <v>0.024</v>
      </c>
    </row>
    <row r="44" ht="12.75" customHeight="1">
      <c r="A44" s="1">
        <v>1023.0</v>
      </c>
      <c r="B44" s="1">
        <v>0.008</v>
      </c>
      <c r="C44" s="1">
        <v>1023.0</v>
      </c>
      <c r="D44" s="1">
        <v>0.013</v>
      </c>
      <c r="E44" s="1">
        <v>1023.0</v>
      </c>
      <c r="F44" s="1">
        <v>0.018</v>
      </c>
      <c r="G44" s="1">
        <v>1023.0</v>
      </c>
      <c r="H44" s="1">
        <v>0.025</v>
      </c>
    </row>
    <row r="45" ht="12.75" customHeight="1">
      <c r="A45" s="1">
        <v>1054.0</v>
      </c>
      <c r="B45" s="1">
        <v>0.008</v>
      </c>
      <c r="C45" s="1">
        <v>1054.0</v>
      </c>
      <c r="D45" s="1">
        <v>0.013</v>
      </c>
      <c r="E45" s="1">
        <v>1054.0</v>
      </c>
      <c r="F45" s="1">
        <v>0.018</v>
      </c>
      <c r="G45" s="1">
        <v>1054.0</v>
      </c>
      <c r="H45" s="1">
        <v>0.025</v>
      </c>
    </row>
    <row r="46" ht="12.75" customHeight="1">
      <c r="A46" s="1">
        <v>1085.0</v>
      </c>
      <c r="B46" s="1">
        <v>0.008</v>
      </c>
      <c r="C46" s="1">
        <v>1085.0</v>
      </c>
      <c r="D46" s="1">
        <v>0.013</v>
      </c>
      <c r="E46" s="1">
        <v>1085.0</v>
      </c>
      <c r="F46" s="1">
        <v>0.019</v>
      </c>
      <c r="G46" s="1">
        <v>1085.0</v>
      </c>
      <c r="H46" s="1">
        <v>0.026</v>
      </c>
    </row>
    <row r="47" ht="12.75" customHeight="1">
      <c r="A47" s="1">
        <v>1116.0</v>
      </c>
      <c r="B47" s="1">
        <v>0.008</v>
      </c>
      <c r="C47" s="1">
        <v>1116.0</v>
      </c>
      <c r="D47" s="1">
        <v>0.013</v>
      </c>
      <c r="E47" s="1">
        <v>1116.0</v>
      </c>
      <c r="F47" s="1">
        <v>0.019</v>
      </c>
      <c r="G47" s="1">
        <v>1116.0</v>
      </c>
      <c r="H47" s="1">
        <v>0.026</v>
      </c>
      <c r="Q47" s="20" t="s">
        <v>111</v>
      </c>
      <c r="R47" s="20" t="s">
        <v>86</v>
      </c>
      <c r="S47" s="20" t="s">
        <v>112</v>
      </c>
    </row>
    <row r="48" ht="12.75" customHeight="1">
      <c r="A48" s="1">
        <v>1147.0</v>
      </c>
      <c r="B48" s="1">
        <v>0.008</v>
      </c>
      <c r="C48" s="1">
        <v>1147.0</v>
      </c>
      <c r="D48" s="1">
        <v>0.014</v>
      </c>
      <c r="E48" s="1">
        <v>1147.0</v>
      </c>
      <c r="F48" s="1">
        <v>0.02</v>
      </c>
      <c r="G48" s="1">
        <v>1147.0</v>
      </c>
      <c r="H48" s="1">
        <v>0.027</v>
      </c>
      <c r="Q48" s="1">
        <v>0.047646618899423426</v>
      </c>
      <c r="R48" s="20">
        <v>0.885</v>
      </c>
      <c r="S48" s="1">
        <f t="shared" ref="S48:S51" si="1">Q48/R48</f>
        <v>0.05383798746</v>
      </c>
    </row>
    <row r="49" ht="12.75" customHeight="1">
      <c r="A49" s="1">
        <v>1178.0</v>
      </c>
      <c r="B49" s="1">
        <v>0.009</v>
      </c>
      <c r="C49" s="1">
        <v>1178.0</v>
      </c>
      <c r="D49" s="1">
        <v>0.014</v>
      </c>
      <c r="E49" s="1">
        <v>1178.0</v>
      </c>
      <c r="F49" s="1">
        <v>0.02</v>
      </c>
      <c r="G49" s="1">
        <v>1178.0</v>
      </c>
      <c r="H49" s="1">
        <v>0.028</v>
      </c>
      <c r="Q49" s="1">
        <v>0.09529323779884685</v>
      </c>
      <c r="R49" s="20">
        <v>1.67</v>
      </c>
      <c r="S49" s="1">
        <f t="shared" si="1"/>
        <v>0.05706181904</v>
      </c>
    </row>
    <row r="50" ht="12.75" customHeight="1">
      <c r="A50" s="1">
        <v>1209.0</v>
      </c>
      <c r="B50" s="1">
        <v>0.009</v>
      </c>
      <c r="C50" s="1">
        <v>1209.0</v>
      </c>
      <c r="D50" s="1">
        <v>0.015</v>
      </c>
      <c r="E50" s="1">
        <v>1209.0</v>
      </c>
      <c r="F50" s="1">
        <v>0.02</v>
      </c>
      <c r="G50" s="1">
        <v>1209.0</v>
      </c>
      <c r="H50" s="1">
        <v>0.028</v>
      </c>
      <c r="Q50" s="1">
        <v>0.14293985669827025</v>
      </c>
      <c r="R50" s="20">
        <v>1.99</v>
      </c>
      <c r="S50" s="1">
        <f t="shared" si="1"/>
        <v>0.07182907372</v>
      </c>
    </row>
    <row r="51" ht="12.75" customHeight="1">
      <c r="A51" s="1">
        <v>1240.0</v>
      </c>
      <c r="B51" s="1">
        <v>0.009</v>
      </c>
      <c r="C51" s="1">
        <v>1240.0</v>
      </c>
      <c r="D51" s="1">
        <v>0.015</v>
      </c>
      <c r="E51" s="1">
        <v>1240.0</v>
      </c>
      <c r="F51" s="1">
        <v>0.021</v>
      </c>
      <c r="G51" s="1">
        <v>1240.0</v>
      </c>
      <c r="H51" s="1">
        <v>0.028</v>
      </c>
      <c r="Q51" s="1">
        <v>0.1905864755976937</v>
      </c>
      <c r="R51" s="20">
        <v>2.43</v>
      </c>
      <c r="S51" s="1">
        <f t="shared" si="1"/>
        <v>0.07843064839</v>
      </c>
    </row>
    <row r="52" ht="12.75" customHeight="1">
      <c r="A52" s="1">
        <v>1271.0</v>
      </c>
      <c r="B52" s="1">
        <v>0.009</v>
      </c>
      <c r="C52" s="1">
        <v>1271.0</v>
      </c>
      <c r="D52" s="1">
        <v>0.015</v>
      </c>
      <c r="E52" s="1">
        <v>1271.0</v>
      </c>
      <c r="F52" s="1">
        <v>0.021</v>
      </c>
      <c r="G52" s="1">
        <v>1271.0</v>
      </c>
      <c r="H52" s="1">
        <v>0.029</v>
      </c>
    </row>
    <row r="53" ht="12.75" customHeight="1">
      <c r="A53" s="1">
        <v>1302.0</v>
      </c>
      <c r="B53" s="1">
        <v>0.009</v>
      </c>
      <c r="C53" s="1">
        <v>1302.0</v>
      </c>
      <c r="D53" s="1">
        <v>0.015</v>
      </c>
      <c r="E53" s="1">
        <v>1302.0</v>
      </c>
      <c r="F53" s="1">
        <v>0.022</v>
      </c>
      <c r="G53" s="1">
        <v>1302.0</v>
      </c>
      <c r="H53" s="1">
        <v>0.029</v>
      </c>
    </row>
    <row r="54" ht="12.75" customHeight="1">
      <c r="A54" s="1">
        <v>1333.0</v>
      </c>
      <c r="B54" s="1">
        <v>0.01</v>
      </c>
      <c r="C54" s="1">
        <v>1333.0</v>
      </c>
      <c r="D54" s="1">
        <v>0.016</v>
      </c>
      <c r="E54" s="1">
        <v>1333.0</v>
      </c>
      <c r="F54" s="1">
        <v>0.022</v>
      </c>
      <c r="G54" s="1">
        <v>1333.0</v>
      </c>
      <c r="H54" s="1">
        <v>0.03</v>
      </c>
    </row>
    <row r="55" ht="12.75" customHeight="1">
      <c r="A55" s="1">
        <v>1364.0</v>
      </c>
      <c r="B55" s="1">
        <v>0.01</v>
      </c>
      <c r="C55" s="1">
        <v>1364.0</v>
      </c>
      <c r="D55" s="1">
        <v>0.016</v>
      </c>
      <c r="E55" s="1">
        <v>1364.0</v>
      </c>
      <c r="F55" s="1">
        <v>0.022</v>
      </c>
      <c r="G55" s="1">
        <v>1364.0</v>
      </c>
      <c r="H55" s="1">
        <v>0.03</v>
      </c>
    </row>
    <row r="56" ht="12.75" customHeight="1">
      <c r="A56" s="1">
        <v>1395.0</v>
      </c>
      <c r="B56" s="1">
        <v>0.01</v>
      </c>
      <c r="C56" s="1">
        <v>1395.0</v>
      </c>
      <c r="D56" s="1">
        <v>0.016</v>
      </c>
      <c r="E56" s="1">
        <v>1395.0</v>
      </c>
      <c r="F56" s="1">
        <v>0.023</v>
      </c>
      <c r="G56" s="1">
        <v>1395.0</v>
      </c>
      <c r="H56" s="1">
        <v>0.03</v>
      </c>
    </row>
    <row r="57" ht="12.75" customHeight="1">
      <c r="A57" s="1">
        <v>1426.0</v>
      </c>
      <c r="B57" s="1">
        <v>0.01</v>
      </c>
      <c r="C57" s="1">
        <v>1426.0</v>
      </c>
      <c r="D57" s="1">
        <v>0.017</v>
      </c>
      <c r="E57" s="1">
        <v>1426.0</v>
      </c>
      <c r="F57" s="1">
        <v>0.023</v>
      </c>
      <c r="G57" s="1">
        <v>1426.0</v>
      </c>
      <c r="H57" s="1">
        <v>0.031</v>
      </c>
    </row>
    <row r="58" ht="12.75" customHeight="1">
      <c r="A58" s="1">
        <v>1457.0</v>
      </c>
      <c r="B58" s="1">
        <v>0.01</v>
      </c>
      <c r="C58" s="1">
        <v>1457.0</v>
      </c>
      <c r="D58" s="1">
        <v>0.017</v>
      </c>
      <c r="E58" s="1">
        <v>1457.0</v>
      </c>
      <c r="F58" s="1">
        <v>0.023</v>
      </c>
      <c r="G58" s="1">
        <v>1457.0</v>
      </c>
      <c r="H58" s="1">
        <v>0.031</v>
      </c>
    </row>
    <row r="59" ht="12.75" customHeight="1">
      <c r="A59" s="1">
        <v>1488.0</v>
      </c>
      <c r="B59" s="1">
        <v>0.01</v>
      </c>
      <c r="C59" s="1">
        <v>1488.0</v>
      </c>
      <c r="D59" s="1">
        <v>0.017</v>
      </c>
      <c r="E59" s="1">
        <v>1488.0</v>
      </c>
      <c r="F59" s="1">
        <v>0.024</v>
      </c>
      <c r="G59" s="1">
        <v>1488.0</v>
      </c>
      <c r="H59" s="1">
        <v>0.033</v>
      </c>
    </row>
    <row r="60" ht="12.75" customHeight="1">
      <c r="A60" s="1">
        <v>1519.0</v>
      </c>
      <c r="B60" s="1">
        <v>0.01</v>
      </c>
      <c r="C60" s="1">
        <v>1519.0</v>
      </c>
      <c r="D60" s="1">
        <v>0.017</v>
      </c>
      <c r="E60" s="1">
        <v>1519.0</v>
      </c>
      <c r="F60" s="1">
        <v>0.024</v>
      </c>
      <c r="G60" s="1">
        <v>1519.0</v>
      </c>
      <c r="H60" s="1">
        <v>0.032</v>
      </c>
    </row>
    <row r="61" ht="12.75" customHeight="1">
      <c r="A61" s="1">
        <v>1550.0</v>
      </c>
      <c r="B61" s="1">
        <v>0.01</v>
      </c>
      <c r="C61" s="1">
        <v>1550.0</v>
      </c>
      <c r="D61" s="1">
        <v>0.018</v>
      </c>
      <c r="E61" s="1">
        <v>1550.0</v>
      </c>
      <c r="F61" s="1">
        <v>0.025</v>
      </c>
      <c r="G61" s="1">
        <v>1550.0</v>
      </c>
      <c r="H61" s="1">
        <v>0.033</v>
      </c>
    </row>
    <row r="62" ht="12.75" customHeight="1">
      <c r="A62" s="1">
        <v>1581.0</v>
      </c>
      <c r="B62" s="1">
        <v>0.011</v>
      </c>
      <c r="C62" s="1">
        <v>1581.0</v>
      </c>
      <c r="D62" s="1">
        <v>0.018</v>
      </c>
      <c r="E62" s="1">
        <v>1581.0</v>
      </c>
      <c r="F62" s="1">
        <v>0.025</v>
      </c>
      <c r="G62" s="1">
        <v>1581.0</v>
      </c>
      <c r="H62" s="1">
        <v>0.034</v>
      </c>
    </row>
    <row r="63" ht="12.75" customHeight="1">
      <c r="A63" s="1">
        <v>1612.0</v>
      </c>
      <c r="B63" s="1">
        <v>0.011</v>
      </c>
      <c r="C63" s="1">
        <v>1612.0</v>
      </c>
      <c r="D63" s="1">
        <v>0.018</v>
      </c>
      <c r="E63" s="1">
        <v>1612.0</v>
      </c>
      <c r="F63" s="1">
        <v>0.025</v>
      </c>
      <c r="G63" s="1">
        <v>1612.0</v>
      </c>
      <c r="H63" s="1">
        <v>0.034</v>
      </c>
    </row>
    <row r="64" ht="12.75" customHeight="1">
      <c r="A64" s="1">
        <v>1643.0</v>
      </c>
      <c r="B64" s="1">
        <v>0.011</v>
      </c>
      <c r="C64" s="1">
        <v>1643.0</v>
      </c>
      <c r="D64" s="1">
        <v>0.018</v>
      </c>
      <c r="E64" s="1">
        <v>1643.0</v>
      </c>
      <c r="F64" s="1">
        <v>0.026</v>
      </c>
      <c r="G64" s="1">
        <v>1643.0</v>
      </c>
      <c r="H64" s="1">
        <v>0.034</v>
      </c>
    </row>
    <row r="65" ht="12.75" customHeight="1">
      <c r="A65" s="1">
        <v>1674.0</v>
      </c>
      <c r="B65" s="1">
        <v>0.011</v>
      </c>
      <c r="C65" s="1">
        <v>1674.0</v>
      </c>
      <c r="D65" s="1">
        <v>0.019</v>
      </c>
      <c r="E65" s="1">
        <v>1674.0</v>
      </c>
      <c r="F65" s="1">
        <v>0.026</v>
      </c>
      <c r="G65" s="1">
        <v>1674.0</v>
      </c>
      <c r="H65" s="1">
        <v>0.035</v>
      </c>
    </row>
    <row r="66" ht="12.75" customHeight="1">
      <c r="A66" s="1">
        <v>1705.0</v>
      </c>
      <c r="B66" s="1">
        <v>0.011</v>
      </c>
      <c r="C66" s="1">
        <v>1705.0</v>
      </c>
      <c r="D66" s="1">
        <v>0.019</v>
      </c>
      <c r="E66" s="1">
        <v>1705.0</v>
      </c>
      <c r="F66" s="1">
        <v>0.026</v>
      </c>
      <c r="G66" s="1">
        <v>1705.0</v>
      </c>
      <c r="H66" s="1">
        <v>0.035</v>
      </c>
    </row>
    <row r="67" ht="12.75" customHeight="1">
      <c r="A67" s="1">
        <v>1736.0</v>
      </c>
      <c r="B67" s="1">
        <v>0.011</v>
      </c>
      <c r="C67" s="1">
        <v>1736.0</v>
      </c>
      <c r="D67" s="1">
        <v>0.019</v>
      </c>
      <c r="E67" s="1">
        <v>1736.0</v>
      </c>
      <c r="F67" s="1">
        <v>0.027</v>
      </c>
      <c r="G67" s="1">
        <v>1736.0</v>
      </c>
      <c r="H67" s="1">
        <v>0.036</v>
      </c>
    </row>
    <row r="68" ht="12.75" customHeight="1">
      <c r="A68" s="1">
        <v>1767.0</v>
      </c>
      <c r="B68" s="1">
        <v>0.012</v>
      </c>
      <c r="C68" s="1">
        <v>1767.0</v>
      </c>
      <c r="D68" s="1">
        <v>0.019</v>
      </c>
    </row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>
      <c r="J76" s="20" t="s">
        <v>113</v>
      </c>
    </row>
    <row r="77" ht="12.75" customHeight="1">
      <c r="J77" s="1">
        <f t="shared" ref="J77:J122" si="2">A11-$A$11</f>
        <v>0</v>
      </c>
      <c r="K77" s="1">
        <f t="shared" ref="K77:K122" si="3">B11-$B$11</f>
        <v>0</v>
      </c>
      <c r="L77" s="1">
        <f t="shared" ref="L77:L122" si="4">C11-$C$11</f>
        <v>0</v>
      </c>
      <c r="M77" s="1">
        <f t="shared" ref="M77:M122" si="5">D11-$D$11</f>
        <v>0</v>
      </c>
      <c r="N77" s="1">
        <f t="shared" ref="N77:N122" si="6">E11-$E$11</f>
        <v>0</v>
      </c>
      <c r="O77" s="1">
        <f t="shared" ref="O77:O122" si="7">F11-$F$11</f>
        <v>0</v>
      </c>
      <c r="P77" s="1">
        <f t="shared" ref="P77:P122" si="8">G11-$G$11</f>
        <v>0</v>
      </c>
      <c r="Q77" s="1">
        <f t="shared" ref="Q77:Q122" si="9">H11-$H$11</f>
        <v>0</v>
      </c>
    </row>
    <row r="78" ht="12.75" customHeight="1">
      <c r="J78" s="1">
        <f t="shared" si="2"/>
        <v>31</v>
      </c>
      <c r="K78" s="1">
        <f t="shared" si="3"/>
        <v>0</v>
      </c>
      <c r="L78" s="1">
        <f t="shared" si="4"/>
        <v>31</v>
      </c>
      <c r="M78" s="1">
        <f t="shared" si="5"/>
        <v>0</v>
      </c>
      <c r="N78" s="1">
        <f t="shared" si="6"/>
        <v>31</v>
      </c>
      <c r="O78" s="1">
        <f t="shared" si="7"/>
        <v>0.001</v>
      </c>
      <c r="P78" s="1">
        <f t="shared" si="8"/>
        <v>31</v>
      </c>
      <c r="Q78" s="1">
        <f t="shared" si="9"/>
        <v>0.001</v>
      </c>
    </row>
    <row r="79" ht="12.75" customHeight="1">
      <c r="J79" s="1">
        <f t="shared" si="2"/>
        <v>62</v>
      </c>
      <c r="K79" s="1">
        <f t="shared" si="3"/>
        <v>0.001</v>
      </c>
      <c r="L79" s="1">
        <f t="shared" si="4"/>
        <v>62</v>
      </c>
      <c r="M79" s="1">
        <f t="shared" si="5"/>
        <v>0.001</v>
      </c>
      <c r="N79" s="1">
        <f t="shared" si="6"/>
        <v>62</v>
      </c>
      <c r="O79" s="1">
        <f t="shared" si="7"/>
        <v>0.001</v>
      </c>
      <c r="P79" s="1">
        <f t="shared" si="8"/>
        <v>62</v>
      </c>
      <c r="Q79" s="1">
        <f t="shared" si="9"/>
        <v>0.002</v>
      </c>
    </row>
    <row r="80" ht="12.75" customHeight="1">
      <c r="J80" s="1">
        <f t="shared" si="2"/>
        <v>93</v>
      </c>
      <c r="K80" s="1">
        <f t="shared" si="3"/>
        <v>0.001</v>
      </c>
      <c r="L80" s="1">
        <f t="shared" si="4"/>
        <v>93</v>
      </c>
      <c r="M80" s="1">
        <f t="shared" si="5"/>
        <v>0.001</v>
      </c>
      <c r="N80" s="1">
        <f t="shared" si="6"/>
        <v>93</v>
      </c>
      <c r="O80" s="1">
        <f t="shared" si="7"/>
        <v>0.002</v>
      </c>
      <c r="P80" s="1">
        <f t="shared" si="8"/>
        <v>93</v>
      </c>
      <c r="Q80" s="1">
        <f t="shared" si="9"/>
        <v>0.002</v>
      </c>
    </row>
    <row r="81" ht="12.75" customHeight="1">
      <c r="J81" s="1">
        <f t="shared" si="2"/>
        <v>124</v>
      </c>
      <c r="K81" s="1">
        <f t="shared" si="3"/>
        <v>0.001</v>
      </c>
      <c r="L81" s="1">
        <f t="shared" si="4"/>
        <v>124</v>
      </c>
      <c r="M81" s="1">
        <f t="shared" si="5"/>
        <v>0.002</v>
      </c>
      <c r="N81" s="1">
        <f t="shared" si="6"/>
        <v>124</v>
      </c>
      <c r="O81" s="1">
        <f t="shared" si="7"/>
        <v>0.002</v>
      </c>
      <c r="P81" s="1">
        <f t="shared" si="8"/>
        <v>124</v>
      </c>
      <c r="Q81" s="1">
        <f t="shared" si="9"/>
        <v>0.003</v>
      </c>
    </row>
    <row r="82" ht="12.75" customHeight="1">
      <c r="J82" s="1">
        <f t="shared" si="2"/>
        <v>155</v>
      </c>
      <c r="K82" s="1">
        <f t="shared" si="3"/>
        <v>0.002</v>
      </c>
      <c r="L82" s="1">
        <f t="shared" si="4"/>
        <v>155</v>
      </c>
      <c r="M82" s="1">
        <f t="shared" si="5"/>
        <v>0.002</v>
      </c>
      <c r="N82" s="1">
        <f t="shared" si="6"/>
        <v>155</v>
      </c>
      <c r="O82" s="1">
        <f t="shared" si="7"/>
        <v>0.003</v>
      </c>
      <c r="P82" s="1">
        <f t="shared" si="8"/>
        <v>155</v>
      </c>
      <c r="Q82" s="1">
        <f t="shared" si="9"/>
        <v>0.003</v>
      </c>
    </row>
    <row r="83" ht="12.75" customHeight="1">
      <c r="J83" s="1">
        <f t="shared" si="2"/>
        <v>186</v>
      </c>
      <c r="K83" s="1">
        <f t="shared" si="3"/>
        <v>0.002</v>
      </c>
      <c r="L83" s="1">
        <f t="shared" si="4"/>
        <v>186</v>
      </c>
      <c r="M83" s="1">
        <f t="shared" si="5"/>
        <v>0.003</v>
      </c>
      <c r="N83" s="1">
        <f t="shared" si="6"/>
        <v>186</v>
      </c>
      <c r="O83" s="1">
        <f t="shared" si="7"/>
        <v>0.003</v>
      </c>
      <c r="P83" s="1">
        <f t="shared" si="8"/>
        <v>186</v>
      </c>
      <c r="Q83" s="1">
        <f t="shared" si="9"/>
        <v>0.004</v>
      </c>
    </row>
    <row r="84" ht="12.75" customHeight="1">
      <c r="J84" s="1">
        <f t="shared" si="2"/>
        <v>217</v>
      </c>
      <c r="K84" s="1">
        <f t="shared" si="3"/>
        <v>0.002</v>
      </c>
      <c r="L84" s="1">
        <f t="shared" si="4"/>
        <v>217</v>
      </c>
      <c r="M84" s="1">
        <f t="shared" si="5"/>
        <v>0.003</v>
      </c>
      <c r="N84" s="1">
        <f t="shared" si="6"/>
        <v>217</v>
      </c>
      <c r="O84" s="1">
        <f t="shared" si="7"/>
        <v>0.004</v>
      </c>
      <c r="P84" s="1">
        <f t="shared" si="8"/>
        <v>217</v>
      </c>
      <c r="Q84" s="1">
        <f t="shared" si="9"/>
        <v>0.005</v>
      </c>
    </row>
    <row r="85" ht="12.75" customHeight="1">
      <c r="J85" s="1">
        <f t="shared" si="2"/>
        <v>248</v>
      </c>
      <c r="K85" s="1">
        <f t="shared" si="3"/>
        <v>0.002</v>
      </c>
      <c r="L85" s="1">
        <f t="shared" si="4"/>
        <v>248</v>
      </c>
      <c r="M85" s="1">
        <f t="shared" si="5"/>
        <v>0.003</v>
      </c>
      <c r="N85" s="1">
        <f t="shared" si="6"/>
        <v>248</v>
      </c>
      <c r="O85" s="1">
        <f t="shared" si="7"/>
        <v>0.005</v>
      </c>
      <c r="P85" s="1">
        <f t="shared" si="8"/>
        <v>248</v>
      </c>
      <c r="Q85" s="1">
        <f t="shared" si="9"/>
        <v>0.006</v>
      </c>
    </row>
    <row r="86" ht="12.75" customHeight="1">
      <c r="J86" s="1">
        <f t="shared" si="2"/>
        <v>279</v>
      </c>
      <c r="K86" s="1">
        <f t="shared" si="3"/>
        <v>0.003</v>
      </c>
      <c r="L86" s="1">
        <f t="shared" si="4"/>
        <v>279</v>
      </c>
      <c r="M86" s="1">
        <f t="shared" si="5"/>
        <v>0.004</v>
      </c>
      <c r="N86" s="1">
        <f t="shared" si="6"/>
        <v>279</v>
      </c>
      <c r="O86" s="1">
        <f t="shared" si="7"/>
        <v>0.006</v>
      </c>
      <c r="P86" s="1">
        <f t="shared" si="8"/>
        <v>279</v>
      </c>
      <c r="Q86" s="1">
        <f t="shared" si="9"/>
        <v>0.006</v>
      </c>
    </row>
    <row r="87" ht="12.75" customHeight="1">
      <c r="J87" s="1">
        <f t="shared" si="2"/>
        <v>310</v>
      </c>
      <c r="K87" s="1">
        <f t="shared" si="3"/>
        <v>0.003</v>
      </c>
      <c r="L87" s="1">
        <f t="shared" si="4"/>
        <v>310</v>
      </c>
      <c r="M87" s="1">
        <f t="shared" si="5"/>
        <v>0.004</v>
      </c>
      <c r="N87" s="1">
        <f t="shared" si="6"/>
        <v>310</v>
      </c>
      <c r="O87" s="1">
        <f t="shared" si="7"/>
        <v>0.006</v>
      </c>
      <c r="P87" s="1">
        <f t="shared" si="8"/>
        <v>310</v>
      </c>
      <c r="Q87" s="1">
        <f t="shared" si="9"/>
        <v>0.007</v>
      </c>
    </row>
    <row r="88" ht="12.75" customHeight="1">
      <c r="J88" s="1">
        <f t="shared" si="2"/>
        <v>341</v>
      </c>
      <c r="K88" s="1">
        <f t="shared" si="3"/>
        <v>0.003</v>
      </c>
      <c r="L88" s="1">
        <f t="shared" si="4"/>
        <v>341</v>
      </c>
      <c r="M88" s="1">
        <f t="shared" si="5"/>
        <v>0.005</v>
      </c>
      <c r="N88" s="1">
        <f t="shared" si="6"/>
        <v>341</v>
      </c>
      <c r="O88" s="1">
        <f t="shared" si="7"/>
        <v>0.006</v>
      </c>
      <c r="P88" s="1">
        <f t="shared" si="8"/>
        <v>341</v>
      </c>
      <c r="Q88" s="1">
        <f t="shared" si="9"/>
        <v>0.008</v>
      </c>
    </row>
    <row r="89" ht="12.75" customHeight="1">
      <c r="J89" s="1">
        <f t="shared" si="2"/>
        <v>372</v>
      </c>
      <c r="K89" s="1">
        <f t="shared" si="3"/>
        <v>0.003</v>
      </c>
      <c r="L89" s="1">
        <f t="shared" si="4"/>
        <v>372</v>
      </c>
      <c r="M89" s="1">
        <f t="shared" si="5"/>
        <v>0.006</v>
      </c>
      <c r="N89" s="1">
        <f t="shared" si="6"/>
        <v>372</v>
      </c>
      <c r="O89" s="1">
        <f t="shared" si="7"/>
        <v>0.007</v>
      </c>
      <c r="P89" s="1">
        <f t="shared" si="8"/>
        <v>372</v>
      </c>
      <c r="Q89" s="1">
        <f t="shared" si="9"/>
        <v>0.008</v>
      </c>
    </row>
    <row r="90" ht="12.75" customHeight="1">
      <c r="J90" s="1">
        <f t="shared" si="2"/>
        <v>403</v>
      </c>
      <c r="K90" s="1">
        <f t="shared" si="3"/>
        <v>0.003</v>
      </c>
      <c r="L90" s="1">
        <f t="shared" si="4"/>
        <v>403</v>
      </c>
      <c r="M90" s="1">
        <f t="shared" si="5"/>
        <v>0.006</v>
      </c>
      <c r="N90" s="1">
        <f t="shared" si="6"/>
        <v>403</v>
      </c>
      <c r="O90" s="1">
        <f t="shared" si="7"/>
        <v>0.008</v>
      </c>
      <c r="P90" s="1">
        <f t="shared" si="8"/>
        <v>403</v>
      </c>
      <c r="Q90" s="1">
        <f t="shared" si="9"/>
        <v>0.009</v>
      </c>
    </row>
    <row r="91" ht="12.75" customHeight="1">
      <c r="J91" s="1">
        <f t="shared" si="2"/>
        <v>434</v>
      </c>
      <c r="K91" s="1">
        <f t="shared" si="3"/>
        <v>0.004</v>
      </c>
      <c r="L91" s="1">
        <f t="shared" si="4"/>
        <v>434</v>
      </c>
      <c r="M91" s="1">
        <f t="shared" si="5"/>
        <v>0.006</v>
      </c>
      <c r="N91" s="1">
        <f t="shared" si="6"/>
        <v>434</v>
      </c>
      <c r="O91" s="1">
        <f t="shared" si="7"/>
        <v>0.008</v>
      </c>
      <c r="P91" s="1">
        <f t="shared" si="8"/>
        <v>434</v>
      </c>
      <c r="Q91" s="1">
        <f t="shared" si="9"/>
        <v>0.01</v>
      </c>
    </row>
    <row r="92" ht="12.75" customHeight="1">
      <c r="J92" s="1">
        <f t="shared" si="2"/>
        <v>465</v>
      </c>
      <c r="K92" s="1">
        <f t="shared" si="3"/>
        <v>0.004</v>
      </c>
      <c r="L92" s="1">
        <f t="shared" si="4"/>
        <v>465</v>
      </c>
      <c r="M92" s="1">
        <f t="shared" si="5"/>
        <v>0.007</v>
      </c>
      <c r="N92" s="1">
        <f t="shared" si="6"/>
        <v>465</v>
      </c>
      <c r="O92" s="1">
        <f t="shared" si="7"/>
        <v>0.009</v>
      </c>
      <c r="P92" s="1">
        <f t="shared" si="8"/>
        <v>465</v>
      </c>
      <c r="Q92" s="1">
        <f t="shared" si="9"/>
        <v>0.01</v>
      </c>
    </row>
    <row r="93" ht="12.75" customHeight="1">
      <c r="J93" s="1">
        <f t="shared" si="2"/>
        <v>496</v>
      </c>
      <c r="K93" s="1">
        <f t="shared" si="3"/>
        <v>0.004</v>
      </c>
      <c r="L93" s="1">
        <f t="shared" si="4"/>
        <v>496</v>
      </c>
      <c r="M93" s="1">
        <f t="shared" si="5"/>
        <v>0.007</v>
      </c>
      <c r="N93" s="1">
        <f t="shared" si="6"/>
        <v>496</v>
      </c>
      <c r="O93" s="1">
        <f t="shared" si="7"/>
        <v>0.009</v>
      </c>
      <c r="P93" s="1">
        <f t="shared" si="8"/>
        <v>496</v>
      </c>
      <c r="Q93" s="1">
        <f t="shared" si="9"/>
        <v>0.011</v>
      </c>
    </row>
    <row r="94" ht="12.75" customHeight="1">
      <c r="J94" s="1">
        <f t="shared" si="2"/>
        <v>527</v>
      </c>
      <c r="K94" s="1">
        <f t="shared" si="3"/>
        <v>0.005</v>
      </c>
      <c r="L94" s="1">
        <f t="shared" si="4"/>
        <v>527</v>
      </c>
      <c r="M94" s="1">
        <f t="shared" si="5"/>
        <v>0.008</v>
      </c>
      <c r="N94" s="1">
        <f t="shared" si="6"/>
        <v>527</v>
      </c>
      <c r="O94" s="1">
        <f t="shared" si="7"/>
        <v>0.01</v>
      </c>
      <c r="P94" s="1">
        <f t="shared" si="8"/>
        <v>527</v>
      </c>
      <c r="Q94" s="1">
        <f t="shared" si="9"/>
        <v>0.012</v>
      </c>
    </row>
    <row r="95" ht="12.75" customHeight="1">
      <c r="J95" s="1">
        <f t="shared" si="2"/>
        <v>558</v>
      </c>
      <c r="K95" s="1">
        <f t="shared" si="3"/>
        <v>0.004</v>
      </c>
      <c r="L95" s="1">
        <f t="shared" si="4"/>
        <v>558</v>
      </c>
      <c r="M95" s="1">
        <f t="shared" si="5"/>
        <v>0.008</v>
      </c>
      <c r="N95" s="1">
        <f t="shared" si="6"/>
        <v>558</v>
      </c>
      <c r="O95" s="1">
        <f t="shared" si="7"/>
        <v>0.01</v>
      </c>
      <c r="P95" s="1">
        <f t="shared" si="8"/>
        <v>558</v>
      </c>
      <c r="Q95" s="1">
        <f t="shared" si="9"/>
        <v>0.013</v>
      </c>
    </row>
    <row r="96" ht="12.75" customHeight="1">
      <c r="J96" s="1">
        <f t="shared" si="2"/>
        <v>589</v>
      </c>
      <c r="K96" s="1">
        <f t="shared" si="3"/>
        <v>0.005</v>
      </c>
      <c r="L96" s="1">
        <f t="shared" si="4"/>
        <v>589</v>
      </c>
      <c r="M96" s="1">
        <f t="shared" si="5"/>
        <v>0.009</v>
      </c>
      <c r="N96" s="1">
        <f t="shared" si="6"/>
        <v>589</v>
      </c>
      <c r="O96" s="1">
        <f t="shared" si="7"/>
        <v>0.011</v>
      </c>
      <c r="P96" s="1">
        <f t="shared" si="8"/>
        <v>589</v>
      </c>
      <c r="Q96" s="1">
        <f t="shared" si="9"/>
        <v>0.013</v>
      </c>
    </row>
    <row r="97" ht="12.75" customHeight="1">
      <c r="J97" s="1">
        <f t="shared" si="2"/>
        <v>620</v>
      </c>
      <c r="K97" s="1">
        <f t="shared" si="3"/>
        <v>0.005</v>
      </c>
      <c r="L97" s="1">
        <f t="shared" si="4"/>
        <v>620</v>
      </c>
      <c r="M97" s="1">
        <f t="shared" si="5"/>
        <v>0.009</v>
      </c>
      <c r="N97" s="1">
        <f t="shared" si="6"/>
        <v>620</v>
      </c>
      <c r="O97" s="1">
        <f t="shared" si="7"/>
        <v>0.012</v>
      </c>
      <c r="P97" s="1">
        <f t="shared" si="8"/>
        <v>620</v>
      </c>
      <c r="Q97" s="1">
        <f t="shared" si="9"/>
        <v>0.013</v>
      </c>
    </row>
    <row r="98" ht="12.75" customHeight="1">
      <c r="J98" s="1">
        <f t="shared" si="2"/>
        <v>651</v>
      </c>
      <c r="K98" s="1">
        <f t="shared" si="3"/>
        <v>0.005</v>
      </c>
      <c r="L98" s="1">
        <f t="shared" si="4"/>
        <v>651</v>
      </c>
      <c r="M98" s="1">
        <f t="shared" si="5"/>
        <v>0.01</v>
      </c>
      <c r="N98" s="1">
        <f t="shared" si="6"/>
        <v>651</v>
      </c>
      <c r="O98" s="1">
        <f t="shared" si="7"/>
        <v>0.012</v>
      </c>
      <c r="P98" s="1">
        <f t="shared" si="8"/>
        <v>651</v>
      </c>
      <c r="Q98" s="1">
        <f t="shared" si="9"/>
        <v>0.014</v>
      </c>
    </row>
    <row r="99" ht="12.75" customHeight="1">
      <c r="J99" s="1">
        <f t="shared" si="2"/>
        <v>682</v>
      </c>
      <c r="K99" s="1">
        <f t="shared" si="3"/>
        <v>0.006</v>
      </c>
      <c r="L99" s="1">
        <f t="shared" si="4"/>
        <v>682</v>
      </c>
      <c r="M99" s="1">
        <f t="shared" si="5"/>
        <v>0.01</v>
      </c>
      <c r="N99" s="1">
        <f t="shared" si="6"/>
        <v>682</v>
      </c>
      <c r="O99" s="1">
        <f t="shared" si="7"/>
        <v>0.012</v>
      </c>
      <c r="P99" s="1">
        <f t="shared" si="8"/>
        <v>682</v>
      </c>
      <c r="Q99" s="1">
        <f t="shared" si="9"/>
        <v>0.015</v>
      </c>
    </row>
    <row r="100" ht="12.75" customHeight="1">
      <c r="J100" s="1">
        <f t="shared" si="2"/>
        <v>713</v>
      </c>
      <c r="K100" s="1">
        <f t="shared" si="3"/>
        <v>0.006</v>
      </c>
      <c r="L100" s="1">
        <f t="shared" si="4"/>
        <v>713</v>
      </c>
      <c r="M100" s="1">
        <f t="shared" si="5"/>
        <v>0.01</v>
      </c>
      <c r="N100" s="1">
        <f t="shared" si="6"/>
        <v>713</v>
      </c>
      <c r="O100" s="1">
        <f t="shared" si="7"/>
        <v>0.013</v>
      </c>
      <c r="P100" s="1">
        <f t="shared" si="8"/>
        <v>713</v>
      </c>
      <c r="Q100" s="1">
        <f t="shared" si="9"/>
        <v>0.016</v>
      </c>
    </row>
    <row r="101" ht="12.75" customHeight="1">
      <c r="J101" s="1">
        <f t="shared" si="2"/>
        <v>744</v>
      </c>
      <c r="K101" s="1">
        <f t="shared" si="3"/>
        <v>0.006</v>
      </c>
      <c r="L101" s="1">
        <f t="shared" si="4"/>
        <v>744</v>
      </c>
      <c r="M101" s="1">
        <f t="shared" si="5"/>
        <v>0.01</v>
      </c>
      <c r="N101" s="1">
        <f t="shared" si="6"/>
        <v>744</v>
      </c>
      <c r="O101" s="1">
        <f t="shared" si="7"/>
        <v>0.013</v>
      </c>
      <c r="P101" s="1">
        <f t="shared" si="8"/>
        <v>744</v>
      </c>
      <c r="Q101" s="1">
        <f t="shared" si="9"/>
        <v>0.016</v>
      </c>
    </row>
    <row r="102" ht="12.75" customHeight="1">
      <c r="J102" s="1">
        <f t="shared" si="2"/>
        <v>775</v>
      </c>
      <c r="K102" s="1">
        <f t="shared" si="3"/>
        <v>0.006</v>
      </c>
      <c r="L102" s="1">
        <f t="shared" si="4"/>
        <v>775</v>
      </c>
      <c r="M102" s="1">
        <f t="shared" si="5"/>
        <v>0.011</v>
      </c>
      <c r="N102" s="1">
        <f t="shared" si="6"/>
        <v>775</v>
      </c>
      <c r="O102" s="1">
        <f t="shared" si="7"/>
        <v>0.013</v>
      </c>
      <c r="P102" s="1">
        <f t="shared" si="8"/>
        <v>775</v>
      </c>
      <c r="Q102" s="1">
        <f t="shared" si="9"/>
        <v>0.017</v>
      </c>
    </row>
    <row r="103" ht="12.75" customHeight="1">
      <c r="J103" s="1">
        <f t="shared" si="2"/>
        <v>806</v>
      </c>
      <c r="K103" s="1">
        <f t="shared" si="3"/>
        <v>0.006</v>
      </c>
      <c r="L103" s="1">
        <f t="shared" si="4"/>
        <v>806</v>
      </c>
      <c r="M103" s="1">
        <f t="shared" si="5"/>
        <v>0.011</v>
      </c>
      <c r="N103" s="1">
        <f t="shared" si="6"/>
        <v>806</v>
      </c>
      <c r="O103" s="1">
        <f t="shared" si="7"/>
        <v>0.014</v>
      </c>
      <c r="P103" s="1">
        <f t="shared" si="8"/>
        <v>806</v>
      </c>
      <c r="Q103" s="1">
        <f t="shared" si="9"/>
        <v>0.017</v>
      </c>
    </row>
    <row r="104" ht="12.75" customHeight="1">
      <c r="J104" s="1">
        <f t="shared" si="2"/>
        <v>837</v>
      </c>
      <c r="K104" s="1">
        <f t="shared" si="3"/>
        <v>0.007</v>
      </c>
      <c r="L104" s="1">
        <f t="shared" si="4"/>
        <v>837</v>
      </c>
      <c r="M104" s="1">
        <f t="shared" si="5"/>
        <v>0.011</v>
      </c>
      <c r="N104" s="1">
        <f t="shared" si="6"/>
        <v>837</v>
      </c>
      <c r="O104" s="1">
        <f t="shared" si="7"/>
        <v>0.014</v>
      </c>
      <c r="P104" s="1">
        <f t="shared" si="8"/>
        <v>837</v>
      </c>
      <c r="Q104" s="1">
        <f t="shared" si="9"/>
        <v>0.018</v>
      </c>
    </row>
    <row r="105" ht="12.75" customHeight="1">
      <c r="J105" s="1">
        <f t="shared" si="2"/>
        <v>868</v>
      </c>
      <c r="K105" s="1">
        <f t="shared" si="3"/>
        <v>0.007</v>
      </c>
      <c r="L105" s="1">
        <f t="shared" si="4"/>
        <v>868</v>
      </c>
      <c r="M105" s="1">
        <f t="shared" si="5"/>
        <v>0.012</v>
      </c>
      <c r="N105" s="1">
        <f t="shared" si="6"/>
        <v>868</v>
      </c>
      <c r="O105" s="1">
        <f t="shared" si="7"/>
        <v>0.015</v>
      </c>
      <c r="P105" s="1">
        <f t="shared" si="8"/>
        <v>868</v>
      </c>
      <c r="Q105" s="1">
        <f t="shared" si="9"/>
        <v>0.018</v>
      </c>
    </row>
    <row r="106" ht="12.75" customHeight="1">
      <c r="J106" s="1">
        <f t="shared" si="2"/>
        <v>899</v>
      </c>
      <c r="K106" s="1">
        <f t="shared" si="3"/>
        <v>0.007</v>
      </c>
      <c r="L106" s="1">
        <f t="shared" si="4"/>
        <v>899</v>
      </c>
      <c r="M106" s="1">
        <f t="shared" si="5"/>
        <v>0.012</v>
      </c>
      <c r="N106" s="1">
        <f t="shared" si="6"/>
        <v>899</v>
      </c>
      <c r="O106" s="1">
        <f t="shared" si="7"/>
        <v>0.015</v>
      </c>
      <c r="P106" s="1">
        <f t="shared" si="8"/>
        <v>899</v>
      </c>
      <c r="Q106" s="1">
        <f t="shared" si="9"/>
        <v>0.018</v>
      </c>
    </row>
    <row r="107" ht="12.75" customHeight="1">
      <c r="J107" s="1">
        <f t="shared" si="2"/>
        <v>930</v>
      </c>
      <c r="K107" s="1">
        <f t="shared" si="3"/>
        <v>0.008</v>
      </c>
      <c r="L107" s="1">
        <f t="shared" si="4"/>
        <v>930</v>
      </c>
      <c r="M107" s="1">
        <f t="shared" si="5"/>
        <v>0.013</v>
      </c>
      <c r="N107" s="1">
        <f t="shared" si="6"/>
        <v>930</v>
      </c>
      <c r="O107" s="1">
        <f t="shared" si="7"/>
        <v>0.015</v>
      </c>
      <c r="P107" s="1">
        <f t="shared" si="8"/>
        <v>930</v>
      </c>
      <c r="Q107" s="1">
        <f t="shared" si="9"/>
        <v>0.019</v>
      </c>
    </row>
    <row r="108" ht="12.75" customHeight="1">
      <c r="J108" s="1">
        <f t="shared" si="2"/>
        <v>961</v>
      </c>
      <c r="K108" s="1">
        <f t="shared" si="3"/>
        <v>0.007</v>
      </c>
      <c r="L108" s="1">
        <f t="shared" si="4"/>
        <v>961</v>
      </c>
      <c r="M108" s="1">
        <f t="shared" si="5"/>
        <v>0.013</v>
      </c>
      <c r="N108" s="1">
        <f t="shared" si="6"/>
        <v>961</v>
      </c>
      <c r="O108" s="1">
        <f t="shared" si="7"/>
        <v>0.016</v>
      </c>
      <c r="P108" s="1">
        <f t="shared" si="8"/>
        <v>961</v>
      </c>
      <c r="Q108" s="1">
        <f t="shared" si="9"/>
        <v>0.02</v>
      </c>
    </row>
    <row r="109" ht="12.75" customHeight="1">
      <c r="J109" s="1">
        <f t="shared" si="2"/>
        <v>992</v>
      </c>
      <c r="K109" s="1">
        <f t="shared" si="3"/>
        <v>0.008</v>
      </c>
      <c r="L109" s="1">
        <f t="shared" si="4"/>
        <v>992</v>
      </c>
      <c r="M109" s="1">
        <f t="shared" si="5"/>
        <v>0.013</v>
      </c>
      <c r="N109" s="1">
        <f t="shared" si="6"/>
        <v>992</v>
      </c>
      <c r="O109" s="1">
        <f t="shared" si="7"/>
        <v>0.017</v>
      </c>
      <c r="P109" s="1">
        <f t="shared" si="8"/>
        <v>992</v>
      </c>
      <c r="Q109" s="1">
        <f t="shared" si="9"/>
        <v>0.02</v>
      </c>
    </row>
    <row r="110" ht="12.75" customHeight="1">
      <c r="J110" s="1">
        <f t="shared" si="2"/>
        <v>1023</v>
      </c>
      <c r="K110" s="1">
        <f t="shared" si="3"/>
        <v>0.008</v>
      </c>
      <c r="L110" s="1">
        <f t="shared" si="4"/>
        <v>1023</v>
      </c>
      <c r="M110" s="1">
        <f t="shared" si="5"/>
        <v>0.014</v>
      </c>
      <c r="N110" s="1">
        <f t="shared" si="6"/>
        <v>1023</v>
      </c>
      <c r="O110" s="1">
        <f t="shared" si="7"/>
        <v>0.017</v>
      </c>
      <c r="P110" s="1">
        <f t="shared" si="8"/>
        <v>1023</v>
      </c>
      <c r="Q110" s="1">
        <f t="shared" si="9"/>
        <v>0.021</v>
      </c>
    </row>
    <row r="111" ht="12.75" customHeight="1">
      <c r="J111" s="1">
        <f t="shared" si="2"/>
        <v>1054</v>
      </c>
      <c r="K111" s="1">
        <f t="shared" si="3"/>
        <v>0.008</v>
      </c>
      <c r="L111" s="1">
        <f t="shared" si="4"/>
        <v>1054</v>
      </c>
      <c r="M111" s="1">
        <f t="shared" si="5"/>
        <v>0.014</v>
      </c>
      <c r="N111" s="1">
        <f t="shared" si="6"/>
        <v>1054</v>
      </c>
      <c r="O111" s="1">
        <f t="shared" si="7"/>
        <v>0.017</v>
      </c>
      <c r="P111" s="1">
        <f t="shared" si="8"/>
        <v>1054</v>
      </c>
      <c r="Q111" s="1">
        <f t="shared" si="9"/>
        <v>0.021</v>
      </c>
    </row>
    <row r="112" ht="12.75" customHeight="1">
      <c r="J112" s="1">
        <f t="shared" si="2"/>
        <v>1085</v>
      </c>
      <c r="K112" s="1">
        <f t="shared" si="3"/>
        <v>0.008</v>
      </c>
      <c r="L112" s="1">
        <f t="shared" si="4"/>
        <v>1085</v>
      </c>
      <c r="M112" s="1">
        <f t="shared" si="5"/>
        <v>0.014</v>
      </c>
      <c r="N112" s="1">
        <f t="shared" si="6"/>
        <v>1085</v>
      </c>
      <c r="O112" s="1">
        <f t="shared" si="7"/>
        <v>0.018</v>
      </c>
      <c r="P112" s="1">
        <f t="shared" si="8"/>
        <v>1085</v>
      </c>
      <c r="Q112" s="1">
        <f t="shared" si="9"/>
        <v>0.022</v>
      </c>
    </row>
    <row r="113" ht="12.75" customHeight="1">
      <c r="J113" s="1">
        <f t="shared" si="2"/>
        <v>1116</v>
      </c>
      <c r="K113" s="1">
        <f t="shared" si="3"/>
        <v>0.008</v>
      </c>
      <c r="L113" s="1">
        <f t="shared" si="4"/>
        <v>1116</v>
      </c>
      <c r="M113" s="1">
        <f t="shared" si="5"/>
        <v>0.014</v>
      </c>
      <c r="N113" s="1">
        <f t="shared" si="6"/>
        <v>1116</v>
      </c>
      <c r="O113" s="1">
        <f t="shared" si="7"/>
        <v>0.018</v>
      </c>
      <c r="P113" s="1">
        <f t="shared" si="8"/>
        <v>1116</v>
      </c>
      <c r="Q113" s="1">
        <f t="shared" si="9"/>
        <v>0.022</v>
      </c>
    </row>
    <row r="114" ht="12.75" customHeight="1">
      <c r="J114" s="1">
        <f t="shared" si="2"/>
        <v>1147</v>
      </c>
      <c r="K114" s="1">
        <f t="shared" si="3"/>
        <v>0.008</v>
      </c>
      <c r="L114" s="1">
        <f t="shared" si="4"/>
        <v>1147</v>
      </c>
      <c r="M114" s="1">
        <f t="shared" si="5"/>
        <v>0.015</v>
      </c>
      <c r="N114" s="1">
        <f t="shared" si="6"/>
        <v>1147</v>
      </c>
      <c r="O114" s="1">
        <f t="shared" si="7"/>
        <v>0.019</v>
      </c>
      <c r="P114" s="1">
        <f t="shared" si="8"/>
        <v>1147</v>
      </c>
      <c r="Q114" s="1">
        <f t="shared" si="9"/>
        <v>0.023</v>
      </c>
    </row>
    <row r="115" ht="12.75" customHeight="1">
      <c r="J115" s="1">
        <f t="shared" si="2"/>
        <v>1178</v>
      </c>
      <c r="K115" s="1">
        <f t="shared" si="3"/>
        <v>0.009</v>
      </c>
      <c r="L115" s="1">
        <f t="shared" si="4"/>
        <v>1178</v>
      </c>
      <c r="M115" s="1">
        <f t="shared" si="5"/>
        <v>0.015</v>
      </c>
      <c r="N115" s="1">
        <f t="shared" si="6"/>
        <v>1178</v>
      </c>
      <c r="O115" s="1">
        <f t="shared" si="7"/>
        <v>0.019</v>
      </c>
      <c r="P115" s="1">
        <f t="shared" si="8"/>
        <v>1178</v>
      </c>
      <c r="Q115" s="1">
        <f t="shared" si="9"/>
        <v>0.024</v>
      </c>
    </row>
    <row r="116" ht="12.75" customHeight="1">
      <c r="J116" s="1">
        <f t="shared" si="2"/>
        <v>1209</v>
      </c>
      <c r="K116" s="1">
        <f t="shared" si="3"/>
        <v>0.009</v>
      </c>
      <c r="L116" s="1">
        <f t="shared" si="4"/>
        <v>1209</v>
      </c>
      <c r="M116" s="1">
        <f t="shared" si="5"/>
        <v>0.016</v>
      </c>
      <c r="N116" s="1">
        <f t="shared" si="6"/>
        <v>1209</v>
      </c>
      <c r="O116" s="1">
        <f t="shared" si="7"/>
        <v>0.019</v>
      </c>
      <c r="P116" s="1">
        <f t="shared" si="8"/>
        <v>1209</v>
      </c>
      <c r="Q116" s="1">
        <f t="shared" si="9"/>
        <v>0.024</v>
      </c>
    </row>
    <row r="117" ht="12.75" customHeight="1">
      <c r="J117" s="1">
        <f t="shared" si="2"/>
        <v>1240</v>
      </c>
      <c r="K117" s="1">
        <f t="shared" si="3"/>
        <v>0.009</v>
      </c>
      <c r="L117" s="1">
        <f t="shared" si="4"/>
        <v>1240</v>
      </c>
      <c r="M117" s="1">
        <f t="shared" si="5"/>
        <v>0.016</v>
      </c>
      <c r="N117" s="1">
        <f t="shared" si="6"/>
        <v>1240</v>
      </c>
      <c r="O117" s="1">
        <f t="shared" si="7"/>
        <v>0.02</v>
      </c>
      <c r="P117" s="1">
        <f t="shared" si="8"/>
        <v>1240</v>
      </c>
      <c r="Q117" s="1">
        <f t="shared" si="9"/>
        <v>0.024</v>
      </c>
    </row>
    <row r="118" ht="12.75" customHeight="1">
      <c r="J118" s="1">
        <f t="shared" si="2"/>
        <v>1271</v>
      </c>
      <c r="K118" s="1">
        <f t="shared" si="3"/>
        <v>0.009</v>
      </c>
      <c r="L118" s="1">
        <f t="shared" si="4"/>
        <v>1271</v>
      </c>
      <c r="M118" s="1">
        <f t="shared" si="5"/>
        <v>0.016</v>
      </c>
      <c r="N118" s="1">
        <f t="shared" si="6"/>
        <v>1271</v>
      </c>
      <c r="O118" s="1">
        <f t="shared" si="7"/>
        <v>0.02</v>
      </c>
      <c r="P118" s="1">
        <f t="shared" si="8"/>
        <v>1271</v>
      </c>
      <c r="Q118" s="1">
        <f t="shared" si="9"/>
        <v>0.025</v>
      </c>
    </row>
    <row r="119" ht="12.75" customHeight="1">
      <c r="J119" s="1">
        <f t="shared" si="2"/>
        <v>1302</v>
      </c>
      <c r="K119" s="1">
        <f t="shared" si="3"/>
        <v>0.009</v>
      </c>
      <c r="L119" s="1">
        <f t="shared" si="4"/>
        <v>1302</v>
      </c>
      <c r="M119" s="1">
        <f t="shared" si="5"/>
        <v>0.016</v>
      </c>
      <c r="N119" s="1">
        <f t="shared" si="6"/>
        <v>1302</v>
      </c>
      <c r="O119" s="1">
        <f t="shared" si="7"/>
        <v>0.021</v>
      </c>
      <c r="P119" s="1">
        <f t="shared" si="8"/>
        <v>1302</v>
      </c>
      <c r="Q119" s="1">
        <f t="shared" si="9"/>
        <v>0.025</v>
      </c>
    </row>
    <row r="120" ht="12.75" customHeight="1">
      <c r="J120" s="1">
        <f t="shared" si="2"/>
        <v>1333</v>
      </c>
      <c r="K120" s="1">
        <f t="shared" si="3"/>
        <v>0.01</v>
      </c>
      <c r="L120" s="1">
        <f t="shared" si="4"/>
        <v>1333</v>
      </c>
      <c r="M120" s="1">
        <f t="shared" si="5"/>
        <v>0.017</v>
      </c>
      <c r="N120" s="1">
        <f t="shared" si="6"/>
        <v>1333</v>
      </c>
      <c r="O120" s="1">
        <f t="shared" si="7"/>
        <v>0.021</v>
      </c>
      <c r="P120" s="1">
        <f t="shared" si="8"/>
        <v>1333</v>
      </c>
      <c r="Q120" s="1">
        <f t="shared" si="9"/>
        <v>0.026</v>
      </c>
    </row>
    <row r="121" ht="12.75" customHeight="1">
      <c r="J121" s="1">
        <f t="shared" si="2"/>
        <v>1364</v>
      </c>
      <c r="K121" s="1">
        <f t="shared" si="3"/>
        <v>0.01</v>
      </c>
      <c r="L121" s="1">
        <f t="shared" si="4"/>
        <v>1364</v>
      </c>
      <c r="M121" s="1">
        <f t="shared" si="5"/>
        <v>0.017</v>
      </c>
      <c r="N121" s="1">
        <f t="shared" si="6"/>
        <v>1364</v>
      </c>
      <c r="O121" s="1">
        <f t="shared" si="7"/>
        <v>0.021</v>
      </c>
      <c r="P121" s="1">
        <f t="shared" si="8"/>
        <v>1364</v>
      </c>
      <c r="Q121" s="1">
        <f t="shared" si="9"/>
        <v>0.026</v>
      </c>
    </row>
    <row r="122" ht="12.75" customHeight="1">
      <c r="J122" s="1">
        <f t="shared" si="2"/>
        <v>1395</v>
      </c>
      <c r="K122" s="1">
        <f t="shared" si="3"/>
        <v>0.01</v>
      </c>
      <c r="L122" s="1">
        <f t="shared" si="4"/>
        <v>1395</v>
      </c>
      <c r="M122" s="1">
        <f t="shared" si="5"/>
        <v>0.017</v>
      </c>
      <c r="N122" s="1">
        <f t="shared" si="6"/>
        <v>1395</v>
      </c>
      <c r="O122" s="1">
        <f t="shared" si="7"/>
        <v>0.022</v>
      </c>
      <c r="P122" s="1">
        <f t="shared" si="8"/>
        <v>1395</v>
      </c>
      <c r="Q122" s="1">
        <f t="shared" si="9"/>
        <v>0.026</v>
      </c>
    </row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2010-04-07T07:35:01Z</dcterms:created>
  <dc:creator>kemmb6</dc:creator>
</cp:coreProperties>
</file>