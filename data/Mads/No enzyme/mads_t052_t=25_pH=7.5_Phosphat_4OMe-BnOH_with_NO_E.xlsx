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52" vbProcedure="false">Sheet2!$A$1:$H$71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<sst xmlns="http://schemas.openxmlformats.org/spreadsheetml/2006/main" count="175" uniqueCount="114">
  <si>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</si>
  <si>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</si>
  <si>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</si>
  <si>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</si>
  <si>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</si>
  <si>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</si>
  <si>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</si>
  <si>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</si>
  <si>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</si>
  <si>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</si>
  <si>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</si>
  <si>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</si>
  <si>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</si>
  <si>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</si>
  <si>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</si>
  <si>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</si>
  <si>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</si>
  <si>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</si>
  <si>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</si>
  <si>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</si>
  <si>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</si>
  <si>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</si>
  <si>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</si>
  <si>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</si>
  <si>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</si>
  <si>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</si>
  <si>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</si>
  <si>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</si>
  <si>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</si>
  <si>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</si>
  <si>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</si>
  <si>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</si>
  <si>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</si>
  <si>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</si>
  <si>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</si>
  <si>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</si>
  <si>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</si>
  <si>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</si>
  <si>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</si>
  <si>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</si>
  <si>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</si>
  <si>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Total vol. ml.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</si>
  <si>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</si>
  <si>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</si>
  <si>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</si>
  <si>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</si>
  <si>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</si>
  <si>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</si>
  <si>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</si>
  <si>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</si>
  <si>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</si>
  <si>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</si>
  <si>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</si>
  <si>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</si>
  <si>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</si>
  <si>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</si>
  <si>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</si>
  <si>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</si>
  <si>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</si>
  <si>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</si>
  <si>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</si>
  <si>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</si>
  <si>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</si>
  <si>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</si>
  <si>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</si>
  <si>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</si>
  <si>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</si>
  <si>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</si>
  <si>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</si>
  <si>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</si>
  <si>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</si>
  <si>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</si>
  <si>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</si>
  <si>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</si>
  <si>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</si>
  <si>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Sample002</t>
  </si>
  <si>
    <t xml:space="preserve">Yes</t>
  </si>
  <si>
    <t xml:space="preserve">Kinetics Experiment - 052 best fit 2</t>
  </si>
  <si>
    <t xml:space="preserve">Conc. Units</t>
  </si>
  <si>
    <t xml:space="preserve">Raw Data</t>
  </si>
  <si>
    <t xml:space="preserve">[S] [mM]</t>
  </si>
  <si>
    <t xml:space="preserve">V [mM/s]</t>
  </si>
  <si>
    <t xml:space="preserve">kuncat [1/s]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</si>
  <si>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</si>
  <si>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</si>
  <si>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</si>
  <si>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</si>
  <si>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</si>
  <si>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Sample001</t>
  </si>
  <si>
    <t xml:space="preserve">Sample003</t>
  </si>
  <si>
    <t xml:space="preserve">Sample004</t>
  </si>
  <si>
    <t xml:space="preserve">Batch</t>
  </si>
  <si>
    <t xml:space="preserve">rate052.rre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</si>
  <si>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</si>
  <si>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</si>
  <si>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</si>
  <si>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</si>
  <si>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</si>
  <si>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</si>
  <si>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</si>
  <si>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12:04:04PM</t>
  </si>
  <si>
    <t xml:space="preserve">12:04:12PM</t>
  </si>
  <si>
    <t xml:space="preserve">12:33:49PM</t>
  </si>
  <si>
    <t xml:space="preserve">12:04:27PM</t>
  </si>
  <si>
    <t xml:space="preserve">Substrate Conc.</t>
  </si>
  <si>
    <t xml:space="preserve">0.0476 mmol/l</t>
  </si>
  <si>
    <t xml:space="preserve">0.0953 mmol/l</t>
  </si>
  <si>
    <t xml:space="preserve">0.1429 mmol/l</t>
  </si>
  <si>
    <t xml:space="preserve">0.1906 mmol/l</t>
  </si>
  <si>
    <t xml:space="preserve">ss.sss</t>
  </si>
  <si>
    <t xml:space="preserve">Value</t>
  </si>
  <si>
    <t xml:space="preserve">S</t>
  </si>
  <si>
    <t xml:space="preserve">S/V</t>
  </si>
  <si>
    <t xml:space="preserve">Baselined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</si>
</sst>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64968461"/>
        <c:axId val="88354409"/>
      </c:scatterChart>
      <c:valAx>
        <c:axId val="64968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354409"/>
        <c:crosses val="autoZero"/>
        <c:crossBetween val="midCat"/>
      </c:valAx>
      <c:valAx>
        <c:axId val="8835440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9684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45343795"/>
        <c:axId val="69554443"/>
      </c:barChart>
      <c:catAx>
        <c:axId val="45343795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9554443"/>
        <c:auto val="1"/>
        <c:lblAlgn val="ctr"/>
        <c:lblOffset val="100"/>
        <c:noMultiLvlLbl val="0"/>
      </c:catAx>
      <c:valAx>
        <c:axId val="69554443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5343795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98864562"/>
        <c:axId val="76017684"/>
      </c:scatterChart>
      <c:valAx>
        <c:axId val="98864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017684"/>
        <c:crosses val="autoZero"/>
        <c:crossBetween val="midCat"/>
      </c:valAx>
      <c:valAx>
        <c:axId val="760176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864562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V([S])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Trendline for Series 1</c:name>
            <c:spPr>
              <a:ln w="19080">
                <a:solidFill>
                  <a:srgbClr val="000000">
                    <a:alpha val="0"/>
                  </a:srgbClr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Sheet1!$K$100:$K$103</c:f>
              <c:numCache>
                <c:formatCode>General</c:formatCode>
                <c:ptCount val="4"/>
                <c:pt idx="0">
                  <c:v>0.0476466189</c:v>
                </c:pt>
                <c:pt idx="1">
                  <c:v>0.0952932378</c:v>
                </c:pt>
                <c:pt idx="2">
                  <c:v>0.1429398567</c:v>
                </c:pt>
                <c:pt idx="3">
                  <c:v>0.1905864756</c:v>
                </c:pt>
              </c:numCache>
            </c:numRef>
          </c:xVal>
          <c:yVal>
            <c:numRef>
              <c:f>Sheet1!$L$100:$L$103</c:f>
              <c:numCache>
                <c:formatCode>General</c:formatCode>
                <c:ptCount val="4"/>
                <c:pt idx="0">
                  <c:v>2.13710083292207E-006</c:v>
                </c:pt>
                <c:pt idx="1">
                  <c:v>3.79734906954119E-006</c:v>
                </c:pt>
                <c:pt idx="2">
                  <c:v>4.72131990160648E-006</c:v>
                </c:pt>
                <c:pt idx="3">
                  <c:v>5.86378776070771E-006</c:v>
                </c:pt>
              </c:numCache>
            </c:numRef>
          </c:yVal>
          <c:smooth val="1"/>
        </c:ser>
        <c:axId val="85074791"/>
        <c:axId val="45754988"/>
      </c:scatterChart>
      <c:valAx>
        <c:axId val="85074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[s]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754988"/>
        <c:crosses val="autoZero"/>
        <c:crossBetween val="midCat"/>
      </c:valAx>
      <c:valAx>
        <c:axId val="4575498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V [mM/s]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0747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Sheet2!$R$47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Sheet2!$Q$48:$Q$51</c:f>
              <c:numCache>
                <c:formatCode>General</c:formatCode>
                <c:ptCount val="4"/>
                <c:pt idx="0">
                  <c:v>0.0476466188994234</c:v>
                </c:pt>
                <c:pt idx="1">
                  <c:v>0.0952932377988468</c:v>
                </c:pt>
                <c:pt idx="2">
                  <c:v>0.14293985669827</c:v>
                </c:pt>
                <c:pt idx="3">
                  <c:v>0.190586475597694</c:v>
                </c:pt>
              </c:numCache>
            </c:numRef>
          </c:xVal>
          <c:yVal>
            <c:numRef>
              <c:f>Sheet2!$R$48:$R$51</c:f>
              <c:numCache>
                <c:formatCode>General</c:formatCode>
                <c:ptCount val="4"/>
                <c:pt idx="0">
                  <c:v>0.885</c:v>
                </c:pt>
                <c:pt idx="1">
                  <c:v>1.67</c:v>
                </c:pt>
                <c:pt idx="2">
                  <c:v>1.99</c:v>
                </c:pt>
                <c:pt idx="3">
                  <c:v>2.43</c:v>
                </c:pt>
              </c:numCache>
            </c:numRef>
          </c:yVal>
          <c:smooth val="1"/>
        </c:ser>
        <c:axId val="48527620"/>
        <c:axId val="16619029"/>
      </c:scatterChart>
      <c:valAx>
        <c:axId val="48527620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619029"/>
        <c:crosses val="autoZero"/>
        <c:crossBetween val="midCat"/>
      </c:valAx>
      <c:valAx>
        <c:axId val="1661902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52762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Sheet2!$K$76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cat>
            <c:strRef>
              <c:f>Sheet2!$J$77:$J$122</c:f>
              <c:strCache>
                <c:ptCount val="46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93</c:v>
                </c:pt>
                <c:pt idx="4">
                  <c:v>124</c:v>
                </c:pt>
                <c:pt idx="5">
                  <c:v>155</c:v>
                </c:pt>
                <c:pt idx="6">
                  <c:v>186</c:v>
                </c:pt>
                <c:pt idx="7">
                  <c:v>217</c:v>
                </c:pt>
                <c:pt idx="8">
                  <c:v>248</c:v>
                </c:pt>
                <c:pt idx="9">
                  <c:v>279</c:v>
                </c:pt>
                <c:pt idx="10">
                  <c:v>310</c:v>
                </c:pt>
                <c:pt idx="11">
                  <c:v>341</c:v>
                </c:pt>
                <c:pt idx="12">
                  <c:v>372</c:v>
                </c:pt>
                <c:pt idx="13">
                  <c:v>403</c:v>
                </c:pt>
                <c:pt idx="14">
                  <c:v>434</c:v>
                </c:pt>
                <c:pt idx="15">
                  <c:v>465</c:v>
                </c:pt>
                <c:pt idx="16">
                  <c:v>496</c:v>
                </c:pt>
                <c:pt idx="17">
                  <c:v>527</c:v>
                </c:pt>
                <c:pt idx="18">
                  <c:v>558</c:v>
                </c:pt>
                <c:pt idx="19">
                  <c:v>589</c:v>
                </c:pt>
                <c:pt idx="20">
                  <c:v>620</c:v>
                </c:pt>
                <c:pt idx="21">
                  <c:v>651</c:v>
                </c:pt>
                <c:pt idx="22">
                  <c:v>682</c:v>
                </c:pt>
                <c:pt idx="23">
                  <c:v>713</c:v>
                </c:pt>
                <c:pt idx="24">
                  <c:v>744</c:v>
                </c:pt>
                <c:pt idx="25">
                  <c:v>775</c:v>
                </c:pt>
                <c:pt idx="26">
                  <c:v>806</c:v>
                </c:pt>
                <c:pt idx="27">
                  <c:v>837</c:v>
                </c:pt>
                <c:pt idx="28">
                  <c:v>868</c:v>
                </c:pt>
                <c:pt idx="29">
                  <c:v>899</c:v>
                </c:pt>
                <c:pt idx="30">
                  <c:v>930</c:v>
                </c:pt>
                <c:pt idx="31">
                  <c:v>961</c:v>
                </c:pt>
                <c:pt idx="32">
                  <c:v>992</c:v>
                </c:pt>
                <c:pt idx="33">
                  <c:v>1023</c:v>
                </c:pt>
                <c:pt idx="34">
                  <c:v>1054</c:v>
                </c:pt>
                <c:pt idx="35">
                  <c:v>1085</c:v>
                </c:pt>
                <c:pt idx="36">
                  <c:v>1116</c:v>
                </c:pt>
                <c:pt idx="37">
                  <c:v>1147</c:v>
                </c:pt>
                <c:pt idx="38">
                  <c:v>1178</c:v>
                </c:pt>
                <c:pt idx="39">
                  <c:v>1209</c:v>
                </c:pt>
                <c:pt idx="40">
                  <c:v>1240</c:v>
                </c:pt>
                <c:pt idx="41">
                  <c:v>1271</c:v>
                </c:pt>
                <c:pt idx="42">
                  <c:v>1302</c:v>
                </c:pt>
                <c:pt idx="43">
                  <c:v>1333</c:v>
                </c:pt>
                <c:pt idx="44">
                  <c:v>1364</c:v>
                </c:pt>
                <c:pt idx="45">
                  <c:v>1395</c:v>
                </c:pt>
              </c:strCache>
            </c:strRef>
          </c:cat>
          <c:val>
            <c:numRef>
              <c:f>Sheet2!$K$77:$K$122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0.002</c:v>
                </c:pt>
                <c:pt idx="6">
                  <c:v>0.002</c:v>
                </c:pt>
                <c:pt idx="7">
                  <c:v>0.002</c:v>
                </c:pt>
                <c:pt idx="8">
                  <c:v>0.002</c:v>
                </c:pt>
                <c:pt idx="9">
                  <c:v>0.003</c:v>
                </c:pt>
                <c:pt idx="10">
                  <c:v>0.003</c:v>
                </c:pt>
                <c:pt idx="11">
                  <c:v>0.003</c:v>
                </c:pt>
                <c:pt idx="12">
                  <c:v>0.003</c:v>
                </c:pt>
                <c:pt idx="13">
                  <c:v>0.003</c:v>
                </c:pt>
                <c:pt idx="14">
                  <c:v>0.004</c:v>
                </c:pt>
                <c:pt idx="15">
                  <c:v>0.004</c:v>
                </c:pt>
                <c:pt idx="16">
                  <c:v>0.004</c:v>
                </c:pt>
                <c:pt idx="17">
                  <c:v>0.005</c:v>
                </c:pt>
                <c:pt idx="18">
                  <c:v>0.004</c:v>
                </c:pt>
                <c:pt idx="19">
                  <c:v>0.005</c:v>
                </c:pt>
                <c:pt idx="20">
                  <c:v>0.005</c:v>
                </c:pt>
                <c:pt idx="21">
                  <c:v>0.005</c:v>
                </c:pt>
                <c:pt idx="22">
                  <c:v>0.006</c:v>
                </c:pt>
                <c:pt idx="23">
                  <c:v>0.006</c:v>
                </c:pt>
                <c:pt idx="24">
                  <c:v>0.006</c:v>
                </c:pt>
                <c:pt idx="25">
                  <c:v>0.006</c:v>
                </c:pt>
                <c:pt idx="26">
                  <c:v>0.006</c:v>
                </c:pt>
                <c:pt idx="27">
                  <c:v>0.007</c:v>
                </c:pt>
                <c:pt idx="28">
                  <c:v>0.007</c:v>
                </c:pt>
                <c:pt idx="29">
                  <c:v>0.007</c:v>
                </c:pt>
                <c:pt idx="30">
                  <c:v>0.008</c:v>
                </c:pt>
                <c:pt idx="31">
                  <c:v>0.007</c:v>
                </c:pt>
                <c:pt idx="32">
                  <c:v>0.008</c:v>
                </c:pt>
                <c:pt idx="33">
                  <c:v>0.008</c:v>
                </c:pt>
                <c:pt idx="34">
                  <c:v>0.008</c:v>
                </c:pt>
                <c:pt idx="35">
                  <c:v>0.008</c:v>
                </c:pt>
                <c:pt idx="36">
                  <c:v>0.008</c:v>
                </c:pt>
                <c:pt idx="37">
                  <c:v>0.008</c:v>
                </c:pt>
                <c:pt idx="38">
                  <c:v>0.009</c:v>
                </c:pt>
                <c:pt idx="39">
                  <c:v>0.009</c:v>
                </c:pt>
                <c:pt idx="40">
                  <c:v>0.009</c:v>
                </c:pt>
                <c:pt idx="41">
                  <c:v>0.009</c:v>
                </c:pt>
                <c:pt idx="42">
                  <c:v>0.009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Sheet2!$M$76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cat>
            <c:strRef>
              <c:f>Sheet2!$J$77:$J$122</c:f>
              <c:strCache>
                <c:ptCount val="46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93</c:v>
                </c:pt>
                <c:pt idx="4">
                  <c:v>124</c:v>
                </c:pt>
                <c:pt idx="5">
                  <c:v>155</c:v>
                </c:pt>
                <c:pt idx="6">
                  <c:v>186</c:v>
                </c:pt>
                <c:pt idx="7">
                  <c:v>217</c:v>
                </c:pt>
                <c:pt idx="8">
                  <c:v>248</c:v>
                </c:pt>
                <c:pt idx="9">
                  <c:v>279</c:v>
                </c:pt>
                <c:pt idx="10">
                  <c:v>310</c:v>
                </c:pt>
                <c:pt idx="11">
                  <c:v>341</c:v>
                </c:pt>
                <c:pt idx="12">
                  <c:v>372</c:v>
                </c:pt>
                <c:pt idx="13">
                  <c:v>403</c:v>
                </c:pt>
                <c:pt idx="14">
                  <c:v>434</c:v>
                </c:pt>
                <c:pt idx="15">
                  <c:v>465</c:v>
                </c:pt>
                <c:pt idx="16">
                  <c:v>496</c:v>
                </c:pt>
                <c:pt idx="17">
                  <c:v>527</c:v>
                </c:pt>
                <c:pt idx="18">
                  <c:v>558</c:v>
                </c:pt>
                <c:pt idx="19">
                  <c:v>589</c:v>
                </c:pt>
                <c:pt idx="20">
                  <c:v>620</c:v>
                </c:pt>
                <c:pt idx="21">
                  <c:v>651</c:v>
                </c:pt>
                <c:pt idx="22">
                  <c:v>682</c:v>
                </c:pt>
                <c:pt idx="23">
                  <c:v>713</c:v>
                </c:pt>
                <c:pt idx="24">
                  <c:v>744</c:v>
                </c:pt>
                <c:pt idx="25">
                  <c:v>775</c:v>
                </c:pt>
                <c:pt idx="26">
                  <c:v>806</c:v>
                </c:pt>
                <c:pt idx="27">
                  <c:v>837</c:v>
                </c:pt>
                <c:pt idx="28">
                  <c:v>868</c:v>
                </c:pt>
                <c:pt idx="29">
                  <c:v>899</c:v>
                </c:pt>
                <c:pt idx="30">
                  <c:v>930</c:v>
                </c:pt>
                <c:pt idx="31">
                  <c:v>961</c:v>
                </c:pt>
                <c:pt idx="32">
                  <c:v>992</c:v>
                </c:pt>
                <c:pt idx="33">
                  <c:v>1023</c:v>
                </c:pt>
                <c:pt idx="34">
                  <c:v>1054</c:v>
                </c:pt>
                <c:pt idx="35">
                  <c:v>1085</c:v>
                </c:pt>
                <c:pt idx="36">
                  <c:v>1116</c:v>
                </c:pt>
                <c:pt idx="37">
                  <c:v>1147</c:v>
                </c:pt>
                <c:pt idx="38">
                  <c:v>1178</c:v>
                </c:pt>
                <c:pt idx="39">
                  <c:v>1209</c:v>
                </c:pt>
                <c:pt idx="40">
                  <c:v>1240</c:v>
                </c:pt>
                <c:pt idx="41">
                  <c:v>1271</c:v>
                </c:pt>
                <c:pt idx="42">
                  <c:v>1302</c:v>
                </c:pt>
                <c:pt idx="43">
                  <c:v>1333</c:v>
                </c:pt>
                <c:pt idx="44">
                  <c:v>1364</c:v>
                </c:pt>
                <c:pt idx="45">
                  <c:v>1395</c:v>
                </c:pt>
              </c:strCache>
            </c:strRef>
          </c:cat>
          <c:val>
            <c:numRef>
              <c:f>Sheet2!$M$77:$M$122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0.001</c:v>
                </c:pt>
                <c:pt idx="3">
                  <c:v>0.001</c:v>
                </c:pt>
                <c:pt idx="4">
                  <c:v>0.002</c:v>
                </c:pt>
                <c:pt idx="5">
                  <c:v>0.002</c:v>
                </c:pt>
                <c:pt idx="6">
                  <c:v>0.003</c:v>
                </c:pt>
                <c:pt idx="7">
                  <c:v>0.003</c:v>
                </c:pt>
                <c:pt idx="8">
                  <c:v>0.003</c:v>
                </c:pt>
                <c:pt idx="9">
                  <c:v>0.004</c:v>
                </c:pt>
                <c:pt idx="10">
                  <c:v>0.004</c:v>
                </c:pt>
                <c:pt idx="11">
                  <c:v>0.005</c:v>
                </c:pt>
                <c:pt idx="12">
                  <c:v>0.006</c:v>
                </c:pt>
                <c:pt idx="13">
                  <c:v>0.006</c:v>
                </c:pt>
                <c:pt idx="14">
                  <c:v>0.006</c:v>
                </c:pt>
                <c:pt idx="15">
                  <c:v>0.007</c:v>
                </c:pt>
                <c:pt idx="16">
                  <c:v>0.007</c:v>
                </c:pt>
                <c:pt idx="17">
                  <c:v>0.008</c:v>
                </c:pt>
                <c:pt idx="18">
                  <c:v>0.008</c:v>
                </c:pt>
                <c:pt idx="19">
                  <c:v>0.009</c:v>
                </c:pt>
                <c:pt idx="20">
                  <c:v>0.009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0.011</c:v>
                </c:pt>
                <c:pt idx="26">
                  <c:v>0.011</c:v>
                </c:pt>
                <c:pt idx="27">
                  <c:v>0.011</c:v>
                </c:pt>
                <c:pt idx="28">
                  <c:v>0.012</c:v>
                </c:pt>
                <c:pt idx="29">
                  <c:v>0.012</c:v>
                </c:pt>
                <c:pt idx="30">
                  <c:v>0.013</c:v>
                </c:pt>
                <c:pt idx="31">
                  <c:v>0.013</c:v>
                </c:pt>
                <c:pt idx="32">
                  <c:v>0.013</c:v>
                </c:pt>
                <c:pt idx="33">
                  <c:v>0.014</c:v>
                </c:pt>
                <c:pt idx="34">
                  <c:v>0.014</c:v>
                </c:pt>
                <c:pt idx="35">
                  <c:v>0.014</c:v>
                </c:pt>
                <c:pt idx="36">
                  <c:v>0.014</c:v>
                </c:pt>
                <c:pt idx="37">
                  <c:v>0.015</c:v>
                </c:pt>
                <c:pt idx="38">
                  <c:v>0.015</c:v>
                </c:pt>
                <c:pt idx="39">
                  <c:v>0.016</c:v>
                </c:pt>
                <c:pt idx="40">
                  <c:v>0.016</c:v>
                </c:pt>
                <c:pt idx="41">
                  <c:v>0.016</c:v>
                </c:pt>
                <c:pt idx="42">
                  <c:v>0.016</c:v>
                </c:pt>
                <c:pt idx="43">
                  <c:v>0.017</c:v>
                </c:pt>
                <c:pt idx="44">
                  <c:v>0.017</c:v>
                </c:pt>
                <c:pt idx="45">
                  <c:v>0.017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Sheet2!$O$76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cat>
            <c:strRef>
              <c:f>Sheet2!$J$77:$J$122</c:f>
              <c:strCache>
                <c:ptCount val="46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93</c:v>
                </c:pt>
                <c:pt idx="4">
                  <c:v>124</c:v>
                </c:pt>
                <c:pt idx="5">
                  <c:v>155</c:v>
                </c:pt>
                <c:pt idx="6">
                  <c:v>186</c:v>
                </c:pt>
                <c:pt idx="7">
                  <c:v>217</c:v>
                </c:pt>
                <c:pt idx="8">
                  <c:v>248</c:v>
                </c:pt>
                <c:pt idx="9">
                  <c:v>279</c:v>
                </c:pt>
                <c:pt idx="10">
                  <c:v>310</c:v>
                </c:pt>
                <c:pt idx="11">
                  <c:v>341</c:v>
                </c:pt>
                <c:pt idx="12">
                  <c:v>372</c:v>
                </c:pt>
                <c:pt idx="13">
                  <c:v>403</c:v>
                </c:pt>
                <c:pt idx="14">
                  <c:v>434</c:v>
                </c:pt>
                <c:pt idx="15">
                  <c:v>465</c:v>
                </c:pt>
                <c:pt idx="16">
                  <c:v>496</c:v>
                </c:pt>
                <c:pt idx="17">
                  <c:v>527</c:v>
                </c:pt>
                <c:pt idx="18">
                  <c:v>558</c:v>
                </c:pt>
                <c:pt idx="19">
                  <c:v>589</c:v>
                </c:pt>
                <c:pt idx="20">
                  <c:v>620</c:v>
                </c:pt>
                <c:pt idx="21">
                  <c:v>651</c:v>
                </c:pt>
                <c:pt idx="22">
                  <c:v>682</c:v>
                </c:pt>
                <c:pt idx="23">
                  <c:v>713</c:v>
                </c:pt>
                <c:pt idx="24">
                  <c:v>744</c:v>
                </c:pt>
                <c:pt idx="25">
                  <c:v>775</c:v>
                </c:pt>
                <c:pt idx="26">
                  <c:v>806</c:v>
                </c:pt>
                <c:pt idx="27">
                  <c:v>837</c:v>
                </c:pt>
                <c:pt idx="28">
                  <c:v>868</c:v>
                </c:pt>
                <c:pt idx="29">
                  <c:v>899</c:v>
                </c:pt>
                <c:pt idx="30">
                  <c:v>930</c:v>
                </c:pt>
                <c:pt idx="31">
                  <c:v>961</c:v>
                </c:pt>
                <c:pt idx="32">
                  <c:v>992</c:v>
                </c:pt>
                <c:pt idx="33">
                  <c:v>1023</c:v>
                </c:pt>
                <c:pt idx="34">
                  <c:v>1054</c:v>
                </c:pt>
                <c:pt idx="35">
                  <c:v>1085</c:v>
                </c:pt>
                <c:pt idx="36">
                  <c:v>1116</c:v>
                </c:pt>
                <c:pt idx="37">
                  <c:v>1147</c:v>
                </c:pt>
                <c:pt idx="38">
                  <c:v>1178</c:v>
                </c:pt>
                <c:pt idx="39">
                  <c:v>1209</c:v>
                </c:pt>
                <c:pt idx="40">
                  <c:v>1240</c:v>
                </c:pt>
                <c:pt idx="41">
                  <c:v>1271</c:v>
                </c:pt>
                <c:pt idx="42">
                  <c:v>1302</c:v>
                </c:pt>
                <c:pt idx="43">
                  <c:v>1333</c:v>
                </c:pt>
                <c:pt idx="44">
                  <c:v>1364</c:v>
                </c:pt>
                <c:pt idx="45">
                  <c:v>1395</c:v>
                </c:pt>
              </c:strCache>
            </c:strRef>
          </c:cat>
          <c:val>
            <c:numRef>
              <c:f>Sheet2!$O$77:$O$122</c:f>
              <c:numCache>
                <c:formatCode>General</c:formatCode>
                <c:ptCount val="46"/>
                <c:pt idx="0">
                  <c:v>0</c:v>
                </c:pt>
                <c:pt idx="1">
                  <c:v>0.001</c:v>
                </c:pt>
                <c:pt idx="2">
                  <c:v>0.001</c:v>
                </c:pt>
                <c:pt idx="3">
                  <c:v>0.002</c:v>
                </c:pt>
                <c:pt idx="4">
                  <c:v>0.002</c:v>
                </c:pt>
                <c:pt idx="5">
                  <c:v>0.003</c:v>
                </c:pt>
                <c:pt idx="6">
                  <c:v>0.003</c:v>
                </c:pt>
                <c:pt idx="7">
                  <c:v>0.004</c:v>
                </c:pt>
                <c:pt idx="8">
                  <c:v>0.005</c:v>
                </c:pt>
                <c:pt idx="9">
                  <c:v>0.006</c:v>
                </c:pt>
                <c:pt idx="10">
                  <c:v>0.006</c:v>
                </c:pt>
                <c:pt idx="11">
                  <c:v>0.006</c:v>
                </c:pt>
                <c:pt idx="12">
                  <c:v>0.007</c:v>
                </c:pt>
                <c:pt idx="13">
                  <c:v>0.008</c:v>
                </c:pt>
                <c:pt idx="14">
                  <c:v>0.008</c:v>
                </c:pt>
                <c:pt idx="15">
                  <c:v>0.009</c:v>
                </c:pt>
                <c:pt idx="16">
                  <c:v>0.009</c:v>
                </c:pt>
                <c:pt idx="17">
                  <c:v>0.01</c:v>
                </c:pt>
                <c:pt idx="18">
                  <c:v>0.01</c:v>
                </c:pt>
                <c:pt idx="19">
                  <c:v>0.011</c:v>
                </c:pt>
                <c:pt idx="20">
                  <c:v>0.012</c:v>
                </c:pt>
                <c:pt idx="21">
                  <c:v>0.012</c:v>
                </c:pt>
                <c:pt idx="22">
                  <c:v>0.012</c:v>
                </c:pt>
                <c:pt idx="23">
                  <c:v>0.013</c:v>
                </c:pt>
                <c:pt idx="24">
                  <c:v>0.013</c:v>
                </c:pt>
                <c:pt idx="25">
                  <c:v>0.013</c:v>
                </c:pt>
                <c:pt idx="26">
                  <c:v>0.014</c:v>
                </c:pt>
                <c:pt idx="27">
                  <c:v>0.014</c:v>
                </c:pt>
                <c:pt idx="28">
                  <c:v>0.015</c:v>
                </c:pt>
                <c:pt idx="29">
                  <c:v>0.015</c:v>
                </c:pt>
                <c:pt idx="30">
                  <c:v>0.015</c:v>
                </c:pt>
                <c:pt idx="31">
                  <c:v>0.016</c:v>
                </c:pt>
                <c:pt idx="32">
                  <c:v>0.017</c:v>
                </c:pt>
                <c:pt idx="33">
                  <c:v>0.017</c:v>
                </c:pt>
                <c:pt idx="34">
                  <c:v>0.017</c:v>
                </c:pt>
                <c:pt idx="35">
                  <c:v>0.018</c:v>
                </c:pt>
                <c:pt idx="36">
                  <c:v>0.018</c:v>
                </c:pt>
                <c:pt idx="37">
                  <c:v>0.019</c:v>
                </c:pt>
                <c:pt idx="38">
                  <c:v>0.019</c:v>
                </c:pt>
                <c:pt idx="39">
                  <c:v>0.019</c:v>
                </c:pt>
                <c:pt idx="40">
                  <c:v>0.02</c:v>
                </c:pt>
                <c:pt idx="41">
                  <c:v>0.02</c:v>
                </c:pt>
                <c:pt idx="42">
                  <c:v>0.021</c:v>
                </c:pt>
                <c:pt idx="43">
                  <c:v>0.021</c:v>
                </c:pt>
                <c:pt idx="44">
                  <c:v>0.021</c:v>
                </c:pt>
                <c:pt idx="45">
                  <c:v>0.022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Sheet2!$Q$76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cat>
            <c:strRef>
              <c:f>Sheet2!$J$77:$J$122</c:f>
              <c:strCache>
                <c:ptCount val="46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93</c:v>
                </c:pt>
                <c:pt idx="4">
                  <c:v>124</c:v>
                </c:pt>
                <c:pt idx="5">
                  <c:v>155</c:v>
                </c:pt>
                <c:pt idx="6">
                  <c:v>186</c:v>
                </c:pt>
                <c:pt idx="7">
                  <c:v>217</c:v>
                </c:pt>
                <c:pt idx="8">
                  <c:v>248</c:v>
                </c:pt>
                <c:pt idx="9">
                  <c:v>279</c:v>
                </c:pt>
                <c:pt idx="10">
                  <c:v>310</c:v>
                </c:pt>
                <c:pt idx="11">
                  <c:v>341</c:v>
                </c:pt>
                <c:pt idx="12">
                  <c:v>372</c:v>
                </c:pt>
                <c:pt idx="13">
                  <c:v>403</c:v>
                </c:pt>
                <c:pt idx="14">
                  <c:v>434</c:v>
                </c:pt>
                <c:pt idx="15">
                  <c:v>465</c:v>
                </c:pt>
                <c:pt idx="16">
                  <c:v>496</c:v>
                </c:pt>
                <c:pt idx="17">
                  <c:v>527</c:v>
                </c:pt>
                <c:pt idx="18">
                  <c:v>558</c:v>
                </c:pt>
                <c:pt idx="19">
                  <c:v>589</c:v>
                </c:pt>
                <c:pt idx="20">
                  <c:v>620</c:v>
                </c:pt>
                <c:pt idx="21">
                  <c:v>651</c:v>
                </c:pt>
                <c:pt idx="22">
                  <c:v>682</c:v>
                </c:pt>
                <c:pt idx="23">
                  <c:v>713</c:v>
                </c:pt>
                <c:pt idx="24">
                  <c:v>744</c:v>
                </c:pt>
                <c:pt idx="25">
                  <c:v>775</c:v>
                </c:pt>
                <c:pt idx="26">
                  <c:v>806</c:v>
                </c:pt>
                <c:pt idx="27">
                  <c:v>837</c:v>
                </c:pt>
                <c:pt idx="28">
                  <c:v>868</c:v>
                </c:pt>
                <c:pt idx="29">
                  <c:v>899</c:v>
                </c:pt>
                <c:pt idx="30">
                  <c:v>930</c:v>
                </c:pt>
                <c:pt idx="31">
                  <c:v>961</c:v>
                </c:pt>
                <c:pt idx="32">
                  <c:v>992</c:v>
                </c:pt>
                <c:pt idx="33">
                  <c:v>1023</c:v>
                </c:pt>
                <c:pt idx="34">
                  <c:v>1054</c:v>
                </c:pt>
                <c:pt idx="35">
                  <c:v>1085</c:v>
                </c:pt>
                <c:pt idx="36">
                  <c:v>1116</c:v>
                </c:pt>
                <c:pt idx="37">
                  <c:v>1147</c:v>
                </c:pt>
                <c:pt idx="38">
                  <c:v>1178</c:v>
                </c:pt>
                <c:pt idx="39">
                  <c:v>1209</c:v>
                </c:pt>
                <c:pt idx="40">
                  <c:v>1240</c:v>
                </c:pt>
                <c:pt idx="41">
                  <c:v>1271</c:v>
                </c:pt>
                <c:pt idx="42">
                  <c:v>1302</c:v>
                </c:pt>
                <c:pt idx="43">
                  <c:v>1333</c:v>
                </c:pt>
                <c:pt idx="44">
                  <c:v>1364</c:v>
                </c:pt>
                <c:pt idx="45">
                  <c:v>1395</c:v>
                </c:pt>
              </c:strCache>
            </c:strRef>
          </c:cat>
          <c:val>
            <c:numRef>
              <c:f>Sheet2!$Q$77:$Q$122</c:f>
              <c:numCache>
                <c:formatCode>General</c:formatCode>
                <c:ptCount val="46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0.002</c:v>
                </c:pt>
                <c:pt idx="4">
                  <c:v>0.003</c:v>
                </c:pt>
                <c:pt idx="5">
                  <c:v>0.003</c:v>
                </c:pt>
                <c:pt idx="6">
                  <c:v>0.004</c:v>
                </c:pt>
                <c:pt idx="7">
                  <c:v>0.005</c:v>
                </c:pt>
                <c:pt idx="8">
                  <c:v>0.006</c:v>
                </c:pt>
                <c:pt idx="9">
                  <c:v>0.006</c:v>
                </c:pt>
                <c:pt idx="10">
                  <c:v>0.007</c:v>
                </c:pt>
                <c:pt idx="11">
                  <c:v>0.008</c:v>
                </c:pt>
                <c:pt idx="12">
                  <c:v>0.008</c:v>
                </c:pt>
                <c:pt idx="13">
                  <c:v>0.009</c:v>
                </c:pt>
                <c:pt idx="14">
                  <c:v>0.01</c:v>
                </c:pt>
                <c:pt idx="15">
                  <c:v>0.01</c:v>
                </c:pt>
                <c:pt idx="16">
                  <c:v>0.011</c:v>
                </c:pt>
                <c:pt idx="17">
                  <c:v>0.012</c:v>
                </c:pt>
                <c:pt idx="18">
                  <c:v>0.013</c:v>
                </c:pt>
                <c:pt idx="19">
                  <c:v>0.013</c:v>
                </c:pt>
                <c:pt idx="20">
                  <c:v>0.013</c:v>
                </c:pt>
                <c:pt idx="21">
                  <c:v>0.014</c:v>
                </c:pt>
                <c:pt idx="22">
                  <c:v>0.015</c:v>
                </c:pt>
                <c:pt idx="23">
                  <c:v>0.016</c:v>
                </c:pt>
                <c:pt idx="24">
                  <c:v>0.016</c:v>
                </c:pt>
                <c:pt idx="25">
                  <c:v>0.017</c:v>
                </c:pt>
                <c:pt idx="26">
                  <c:v>0.017</c:v>
                </c:pt>
                <c:pt idx="27">
                  <c:v>0.018</c:v>
                </c:pt>
                <c:pt idx="28">
                  <c:v>0.018</c:v>
                </c:pt>
                <c:pt idx="29">
                  <c:v>0.018</c:v>
                </c:pt>
                <c:pt idx="30">
                  <c:v>0.019</c:v>
                </c:pt>
                <c:pt idx="31">
                  <c:v>0.02</c:v>
                </c:pt>
                <c:pt idx="32">
                  <c:v>0.02</c:v>
                </c:pt>
                <c:pt idx="33">
                  <c:v>0.021</c:v>
                </c:pt>
                <c:pt idx="34">
                  <c:v>0.021</c:v>
                </c:pt>
                <c:pt idx="35">
                  <c:v>0.022</c:v>
                </c:pt>
                <c:pt idx="36">
                  <c:v>0.022</c:v>
                </c:pt>
                <c:pt idx="37">
                  <c:v>0.023</c:v>
                </c:pt>
                <c:pt idx="38">
                  <c:v>0.024</c:v>
                </c:pt>
                <c:pt idx="39">
                  <c:v>0.024</c:v>
                </c:pt>
                <c:pt idx="40">
                  <c:v>0.024</c:v>
                </c:pt>
                <c:pt idx="41">
                  <c:v>0.025</c:v>
                </c:pt>
                <c:pt idx="42">
                  <c:v>0.025</c:v>
                </c:pt>
                <c:pt idx="43">
                  <c:v>0.026</c:v>
                </c:pt>
                <c:pt idx="44">
                  <c:v>0.026</c:v>
                </c:pt>
                <c:pt idx="45">
                  <c:v>0.026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094812"/>
        <c:axId val="64346071"/>
      </c:lineChart>
      <c:catAx>
        <c:axId val="290948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Baselined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346071"/>
        <c:crosses val="autoZero"/>
        <c:auto val="1"/>
        <c:lblAlgn val="ctr"/>
        <c:lblOffset val="100"/>
        <c:noMultiLvlLbl val="0"/>
      </c:catAx>
      <c:valAx>
        <c:axId val="6434607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094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371520</xdr:colOff>
      <xdr:row>109</xdr:row>
      <xdr:rowOff>142920</xdr:rowOff>
    </xdr:from>
    <xdr:to>
      <xdr:col>10</xdr:col>
      <xdr:colOff>195480</xdr:colOff>
      <xdr:row>132</xdr:row>
      <xdr:rowOff>142200</xdr:rowOff>
    </xdr:to>
    <xdr:graphicFrame>
      <xdr:nvGraphicFramePr>
        <xdr:cNvPr id="3" name="Chart 4"/>
        <xdr:cNvGraphicFramePr/>
      </xdr:nvGraphicFramePr>
      <xdr:xfrm>
        <a:off x="2568600" y="17897400"/>
        <a:ext cx="4400280" cy="37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133200</xdr:colOff>
      <xdr:row>55</xdr:row>
      <xdr:rowOff>85680</xdr:rowOff>
    </xdr:from>
    <xdr:to>
      <xdr:col>25</xdr:col>
      <xdr:colOff>202680</xdr:colOff>
      <xdr:row>77</xdr:row>
      <xdr:rowOff>56880</xdr:rowOff>
    </xdr:to>
    <xdr:graphicFrame>
      <xdr:nvGraphicFramePr>
        <xdr:cNvPr id="4" name="Chart 5"/>
        <xdr:cNvGraphicFramePr/>
      </xdr:nvGraphicFramePr>
      <xdr:xfrm>
        <a:off x="11783520" y="89917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276120</xdr:colOff>
      <xdr:row>52</xdr:row>
      <xdr:rowOff>85680</xdr:rowOff>
    </xdr:from>
    <xdr:to>
      <xdr:col>11</xdr:col>
      <xdr:colOff>447840</xdr:colOff>
      <xdr:row>85</xdr:row>
      <xdr:rowOff>47160</xdr:rowOff>
    </xdr:to>
    <xdr:graphicFrame>
      <xdr:nvGraphicFramePr>
        <xdr:cNvPr id="5" name="Chart 6"/>
        <xdr:cNvGraphicFramePr/>
      </xdr:nvGraphicFramePr>
      <xdr:xfrm>
        <a:off x="4125600" y="8505720"/>
        <a:ext cx="5714640" cy="530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5.14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52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5</v>
      </c>
      <c r="L5" s="9" t="n">
        <v>45</v>
      </c>
      <c r="O5" s="1" t="n">
        <v>1</v>
      </c>
      <c r="P5" s="1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 t="s">
        <v>41</v>
      </c>
      <c r="K6" s="3" t="n">
        <f aca="false">K5+L5</f>
        <v>50</v>
      </c>
      <c r="L6" s="9"/>
    </row>
    <row r="7" customFormat="false" ht="12.75" hidden="false" customHeight="true" outlineLevel="0" collapsed="false">
      <c r="B7" s="8" t="s">
        <v>42</v>
      </c>
      <c r="C7" s="3" t="n">
        <v>138.17</v>
      </c>
      <c r="D7" s="9"/>
      <c r="F7" s="8" t="s">
        <v>42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43</v>
      </c>
      <c r="C8" s="3" t="n">
        <v>0.0158</v>
      </c>
      <c r="D8" s="9"/>
      <c r="F8" s="8" t="s">
        <v>43</v>
      </c>
      <c r="G8" s="3" t="n">
        <v>0.0203</v>
      </c>
      <c r="H8" s="9"/>
      <c r="J8" s="8"/>
      <c r="K8" s="3" t="s">
        <v>44</v>
      </c>
      <c r="L8" s="9"/>
      <c r="O8" s="1" t="n">
        <v>1.65</v>
      </c>
    </row>
    <row r="9" customFormat="false" ht="12.75" hidden="false" customHeight="true" outlineLevel="0" collapsed="false">
      <c r="B9" s="8" t="s">
        <v>45</v>
      </c>
      <c r="C9" s="3" t="n">
        <v>0.12</v>
      </c>
      <c r="D9" s="9"/>
      <c r="F9" s="8" t="s">
        <v>45</v>
      </c>
      <c r="G9" s="3" t="n">
        <v>0.004</v>
      </c>
      <c r="H9" s="9"/>
      <c r="J9" s="8" t="s">
        <v>46</v>
      </c>
      <c r="K9" s="3" t="n">
        <f aca="false">55*(0.3*(K5/K6))</f>
        <v>1.65</v>
      </c>
      <c r="L9" s="9"/>
    </row>
    <row r="10" customFormat="false" ht="12.75" hidden="false" customHeight="true" outlineLevel="0" collapsed="false">
      <c r="B10" s="8" t="s">
        <v>47</v>
      </c>
      <c r="C10" s="3" t="n">
        <f aca="false">C8/C7</f>
        <v>0.0001143518854</v>
      </c>
      <c r="D10" s="9"/>
      <c r="F10" s="8" t="s">
        <v>47</v>
      </c>
      <c r="G10" s="3" t="n">
        <f aca="false">G8/G7</f>
        <v>1.925466428E-005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46</v>
      </c>
      <c r="C11" s="3" t="n">
        <f aca="false">C10/C9</f>
        <v>0.000952932378</v>
      </c>
      <c r="D11" s="9"/>
      <c r="F11" s="8" t="s">
        <v>46</v>
      </c>
      <c r="G11" s="3" t="n">
        <f aca="false">G10/G9</f>
        <v>0.004813666069</v>
      </c>
      <c r="H11" s="9"/>
      <c r="J11" s="8"/>
      <c r="K11" s="3" t="s">
        <v>48</v>
      </c>
      <c r="L11" s="9" t="n">
        <v>7.5</v>
      </c>
    </row>
    <row r="12" customFormat="false" ht="13.5" hidden="false" customHeight="true" outlineLevel="0" collapsed="false">
      <c r="B12" s="10" t="s">
        <v>49</v>
      </c>
      <c r="C12" s="4" t="n">
        <f aca="false">C11*1000</f>
        <v>0.952932378</v>
      </c>
      <c r="D12" s="11"/>
      <c r="F12" s="8" t="s">
        <v>49</v>
      </c>
      <c r="G12" s="3" t="n">
        <f aca="false">G11*1000</f>
        <v>4.813666069</v>
      </c>
      <c r="H12" s="9"/>
      <c r="J12" s="8"/>
      <c r="K12" s="3" t="s">
        <v>50</v>
      </c>
      <c r="L12" s="9" t="n">
        <v>25</v>
      </c>
    </row>
    <row r="13" customFormat="false" ht="13.5" hidden="false" customHeight="true" outlineLevel="0" collapsed="false">
      <c r="F13" s="10" t="s">
        <v>51</v>
      </c>
      <c r="G13" s="4" t="n">
        <f aca="false">E20*G12/H20</f>
        <v>0</v>
      </c>
      <c r="H13" s="11" t="s">
        <v>49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>
      <c r="G15" s="1" t="n">
        <v>0.240683303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52</v>
      </c>
      <c r="J18" s="1" t="s">
        <v>52</v>
      </c>
      <c r="K18" s="1" t="s">
        <v>44</v>
      </c>
      <c r="L18" s="1" t="s">
        <v>44</v>
      </c>
      <c r="M18" s="1" t="s">
        <v>53</v>
      </c>
    </row>
    <row r="19" customFormat="false" ht="13.5" hidden="false" customHeight="true" outlineLevel="0" collapsed="false">
      <c r="B19" s="12" t="s">
        <v>51</v>
      </c>
      <c r="C19" s="4" t="s">
        <v>54</v>
      </c>
      <c r="D19" s="4" t="s">
        <v>55</v>
      </c>
      <c r="E19" s="4" t="s">
        <v>56</v>
      </c>
      <c r="F19" s="4" t="s">
        <v>57</v>
      </c>
      <c r="G19" s="4" t="s">
        <v>58</v>
      </c>
      <c r="H19" s="4" t="s">
        <v>59</v>
      </c>
      <c r="I19" s="4" t="s">
        <v>46</v>
      </c>
      <c r="J19" s="4" t="s">
        <v>49</v>
      </c>
      <c r="K19" s="4" t="s">
        <v>46</v>
      </c>
      <c r="L19" s="4" t="s">
        <v>49</v>
      </c>
      <c r="M19" s="4" t="s">
        <v>49</v>
      </c>
    </row>
    <row r="20" customFormat="false" ht="12.75" hidden="false" customHeight="true" outlineLevel="0" collapsed="false">
      <c r="B20" s="13" t="n">
        <v>1</v>
      </c>
      <c r="C20" s="1" t="n">
        <v>1.8</v>
      </c>
      <c r="D20" s="1" t="n">
        <v>0</v>
      </c>
      <c r="E20" s="1" t="n">
        <v>0</v>
      </c>
      <c r="F20" s="3" t="n">
        <v>0.1</v>
      </c>
      <c r="G20" s="1" t="n">
        <v>0.1</v>
      </c>
      <c r="H20" s="1" t="n">
        <f aca="false">SUM(C20:G20)</f>
        <v>2</v>
      </c>
      <c r="I20" s="1" t="n">
        <f aca="false">F20*$C$11/H20</f>
        <v>4.76466189E-005</v>
      </c>
      <c r="J20" s="14" t="n">
        <f aca="false">I20*1000</f>
        <v>0.0476466189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</v>
      </c>
    </row>
    <row r="21" customFormat="false" ht="12.75" hidden="false" customHeight="true" outlineLevel="0" collapsed="false">
      <c r="B21" s="13" t="n">
        <v>2</v>
      </c>
      <c r="C21" s="1" t="n">
        <v>1.7</v>
      </c>
      <c r="D21" s="1" t="n">
        <v>0</v>
      </c>
      <c r="E21" s="1" t="n">
        <v>0</v>
      </c>
      <c r="F21" s="3" t="n">
        <v>0.2</v>
      </c>
      <c r="G21" s="1" t="n">
        <v>0.1</v>
      </c>
      <c r="H21" s="1" t="n">
        <f aca="false">SUM(C21:G21)</f>
        <v>2</v>
      </c>
      <c r="I21" s="1" t="n">
        <f aca="false">F21*$C$11/H21</f>
        <v>9.52932378E-005</v>
      </c>
      <c r="J21" s="14" t="n">
        <f aca="false">I21*1000</f>
        <v>0.0952932378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</v>
      </c>
    </row>
    <row r="22" customFormat="false" ht="12.75" hidden="false" customHeight="true" outlineLevel="0" collapsed="false">
      <c r="B22" s="13" t="n">
        <v>3</v>
      </c>
      <c r="C22" s="1" t="n">
        <v>1.6</v>
      </c>
      <c r="D22" s="1" t="n">
        <v>0</v>
      </c>
      <c r="E22" s="1" t="n">
        <v>0</v>
      </c>
      <c r="F22" s="3" t="n">
        <v>0.3</v>
      </c>
      <c r="G22" s="1" t="n">
        <v>0.1</v>
      </c>
      <c r="H22" s="1" t="n">
        <f aca="false">SUM(C22:G22)</f>
        <v>2</v>
      </c>
      <c r="I22" s="1" t="n">
        <f aca="false">F22*$C$11/H22</f>
        <v>0.0001429398567</v>
      </c>
      <c r="J22" s="14" t="n">
        <f aca="false">I22*1000</f>
        <v>0.1429398567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</v>
      </c>
    </row>
    <row r="23" customFormat="false" ht="12.75" hidden="false" customHeight="true" outlineLevel="0" collapsed="false">
      <c r="B23" s="16" t="n">
        <v>4</v>
      </c>
      <c r="C23" s="16" t="n">
        <v>1.5</v>
      </c>
      <c r="D23" s="16" t="n">
        <v>0</v>
      </c>
      <c r="E23" s="16" t="n">
        <v>0</v>
      </c>
      <c r="F23" s="16" t="n">
        <v>0.4</v>
      </c>
      <c r="G23" s="16" t="n">
        <v>0.1</v>
      </c>
      <c r="H23" s="16" t="n">
        <f aca="false">SUM(C23:G23)</f>
        <v>2</v>
      </c>
      <c r="I23" s="16" t="n">
        <f aca="false">F23*$C$11/H23</f>
        <v>0.0001905864756</v>
      </c>
      <c r="J23" s="17" t="n">
        <f aca="false">I23*1000</f>
        <v>0.1905864756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</v>
      </c>
      <c r="N23" s="18"/>
    </row>
    <row r="24" customFormat="false" ht="12.75" hidden="false" customHeight="true" outlineLevel="0" collapsed="false">
      <c r="B24" s="13" t="n">
        <v>5</v>
      </c>
      <c r="C24" s="1" t="n">
        <v>1.8</v>
      </c>
      <c r="D24" s="3" t="n">
        <v>0.1</v>
      </c>
      <c r="E24" s="3" t="n">
        <v>0</v>
      </c>
      <c r="F24" s="3" t="n">
        <v>0.1</v>
      </c>
      <c r="G24" s="3" t="n">
        <v>0</v>
      </c>
      <c r="H24" s="1" t="n">
        <f aca="false">SUM(C24:G24)</f>
        <v>2</v>
      </c>
      <c r="I24" s="1" t="n">
        <f aca="false">F24*$C$11/H24</f>
        <v>4.76466189E-005</v>
      </c>
      <c r="J24" s="1" t="n">
        <f aca="false">I24*1000</f>
        <v>0.0476466189</v>
      </c>
      <c r="K24" s="3" t="n">
        <f aca="false">(G24*$K$9)/H24</f>
        <v>0</v>
      </c>
      <c r="L24" s="3" t="n">
        <f aca="false">K24*1000</f>
        <v>0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1.7</v>
      </c>
      <c r="D25" s="3" t="n">
        <v>0.1</v>
      </c>
      <c r="E25" s="3" t="n">
        <v>0</v>
      </c>
      <c r="F25" s="3" t="n">
        <v>0.2</v>
      </c>
      <c r="G25" s="3" t="n">
        <v>0</v>
      </c>
      <c r="H25" s="1" t="n">
        <f aca="false">SUM(C25:G25)</f>
        <v>2</v>
      </c>
      <c r="I25" s="1" t="n">
        <f aca="false">F25*$C$11/H25</f>
        <v>9.52932378E-005</v>
      </c>
      <c r="J25" s="1" t="n">
        <f aca="false">I25*1000</f>
        <v>0.0952932378</v>
      </c>
      <c r="K25" s="3" t="n">
        <f aca="false">(G25*$K$9)/H25</f>
        <v>0</v>
      </c>
      <c r="L25" s="3" t="n">
        <f aca="false">K25*1000</f>
        <v>0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1.6</v>
      </c>
      <c r="D26" s="3" t="n">
        <v>0.1</v>
      </c>
      <c r="E26" s="3" t="n">
        <v>0</v>
      </c>
      <c r="F26" s="3" t="n">
        <v>0.3</v>
      </c>
      <c r="G26" s="3" t="n">
        <v>0</v>
      </c>
      <c r="H26" s="1" t="n">
        <f aca="false">SUM(C26:G26)</f>
        <v>2</v>
      </c>
      <c r="I26" s="1" t="n">
        <f aca="false">F26*$C$11/H26</f>
        <v>0.0001429398567</v>
      </c>
      <c r="J26" s="1" t="n">
        <f aca="false">I26*1000</f>
        <v>0.1429398567</v>
      </c>
      <c r="K26" s="3" t="n">
        <f aca="false">(G26*$K$9)/H26</f>
        <v>0</v>
      </c>
      <c r="L26" s="3" t="n">
        <f aca="false">K26*1000</f>
        <v>0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1.5</v>
      </c>
      <c r="D27" s="4" t="n">
        <v>0.1</v>
      </c>
      <c r="E27" s="4" t="n">
        <v>0</v>
      </c>
      <c r="F27" s="4" t="n">
        <v>0.4</v>
      </c>
      <c r="G27" s="4" t="n">
        <v>0</v>
      </c>
      <c r="H27" s="4" t="n">
        <f aca="false">SUM(C27:G27)</f>
        <v>2</v>
      </c>
      <c r="I27" s="4" t="n">
        <f aca="false">F27*$C$11/H27</f>
        <v>0.0001905864756</v>
      </c>
      <c r="J27" s="4" t="n">
        <f aca="false">I27*1000</f>
        <v>0.1905864756</v>
      </c>
      <c r="K27" s="4" t="n">
        <f aca="false">(G27*$K$9)/H27</f>
        <v>0</v>
      </c>
      <c r="L27" s="4" t="n">
        <f aca="false">K27*1000</f>
        <v>0</v>
      </c>
      <c r="M27" s="4" t="n">
        <f aca="false">E27*$G$12/H27</f>
        <v>0</v>
      </c>
      <c r="N27" s="18"/>
    </row>
    <row r="28" customFormat="false" ht="12.75" hidden="false" customHeight="true" outlineLevel="0" collapsed="false">
      <c r="C28" s="1" t="n">
        <f aca="false">SUM(C20:C27)</f>
        <v>13.2</v>
      </c>
      <c r="D28" s="1" t="n">
        <f aca="false">SUM(D20:D27)</f>
        <v>0.4</v>
      </c>
      <c r="E28" s="1" t="n">
        <f aca="false">SUM(E20:E27)</f>
        <v>0</v>
      </c>
      <c r="F28" s="1" t="n">
        <f aca="false">SUM(F20:F27)</f>
        <v>2</v>
      </c>
      <c r="G28" s="1" t="n">
        <f aca="false">SUM(G20:G27)</f>
        <v>0.4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L34" s="19"/>
      <c r="M34" s="19" t="n">
        <v>2.91092E-005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3.5" hidden="false" customHeight="true" outlineLevel="0" collapsed="false">
      <c r="I38" s="1" t="s">
        <v>60</v>
      </c>
      <c r="J38" s="4" t="n">
        <v>0.004727457530707</v>
      </c>
      <c r="K38" s="1" t="s">
        <v>61</v>
      </c>
    </row>
    <row r="39" customFormat="false" ht="12.75" hidden="false" customHeight="true" outlineLevel="0" collapsed="false">
      <c r="H39" s="19"/>
      <c r="I39" s="1" t="s">
        <v>60</v>
      </c>
      <c r="J39" s="1" t="n">
        <f aca="false">J38/I2</f>
        <v>0.0006278164051</v>
      </c>
      <c r="K39" s="1" t="s">
        <v>62</v>
      </c>
    </row>
    <row r="40" customFormat="false" ht="12.75" hidden="false" customHeight="true" outlineLevel="0" collapsed="false">
      <c r="I40" s="1" t="s">
        <v>63</v>
      </c>
      <c r="J40" s="3" t="n">
        <v>1.35003298051701</v>
      </c>
      <c r="K40" s="1" t="s">
        <v>64</v>
      </c>
    </row>
    <row r="41" customFormat="false" ht="12.75" hidden="false" customHeight="true" outlineLevel="0" collapsed="false">
      <c r="I41" s="1" t="s">
        <v>65</v>
      </c>
      <c r="J41" s="1" t="e">
        <f aca="false">J39/G13</f>
        <v>#DIV/0!</v>
      </c>
      <c r="K41" s="1" t="s">
        <v>66</v>
      </c>
    </row>
    <row r="42" customFormat="false" ht="12.75" hidden="false" customHeight="true" outlineLevel="0" collapsed="false">
      <c r="J42" s="1" t="e">
        <f aca="false">J41/60</f>
        <v>#DIV/0!</v>
      </c>
      <c r="K42" s="1" t="s">
        <v>67</v>
      </c>
    </row>
    <row r="43" customFormat="false" ht="12.75" hidden="false" customHeight="true" outlineLevel="0" collapsed="false">
      <c r="I43" s="1" t="s">
        <v>68</v>
      </c>
      <c r="J43" s="19" t="n">
        <v>1.43E-009</v>
      </c>
      <c r="K43" s="1" t="s">
        <v>69</v>
      </c>
    </row>
    <row r="44" customFormat="false" ht="12.75" hidden="false" customHeight="true" outlineLevel="0" collapsed="false">
      <c r="J44" s="20" t="n">
        <f aca="false">60*J43</f>
        <v>8.58E-008</v>
      </c>
      <c r="K44" s="1" t="s">
        <v>66</v>
      </c>
    </row>
    <row r="45" customFormat="false" ht="12.75" hidden="false" customHeight="true" outlineLevel="0" collapsed="false">
      <c r="I45" s="1" t="s">
        <v>70</v>
      </c>
      <c r="J45" s="19" t="e">
        <f aca="false">J42/J43</f>
        <v>#DIV/0!</v>
      </c>
    </row>
    <row r="46" customFormat="false" ht="12.75" hidden="false" customHeight="true" outlineLevel="0" collapsed="false">
      <c r="D46" s="16"/>
    </row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71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72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73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74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18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 t="s">
        <v>75</v>
      </c>
      <c r="L96" s="3" t="n">
        <v>0.19059999972192</v>
      </c>
      <c r="M96" s="3" t="n">
        <v>0</v>
      </c>
      <c r="N96" s="1" t="n">
        <v>0.004446182513963</v>
      </c>
      <c r="O96" s="1" t="s">
        <v>76</v>
      </c>
    </row>
    <row r="97" customFormat="false" ht="12.75" hidden="false" customHeight="true" outlineLevel="0" collapsed="false">
      <c r="B97" s="3"/>
      <c r="C97" s="3"/>
      <c r="D97" s="5" t="s">
        <v>77</v>
      </c>
      <c r="E97" s="6"/>
      <c r="F97" s="6"/>
      <c r="G97" s="6"/>
      <c r="H97" s="7"/>
      <c r="L97" s="3"/>
      <c r="M97" s="3"/>
      <c r="N97" s="3"/>
      <c r="O97" s="3"/>
      <c r="P97" s="3"/>
      <c r="Q97" s="3"/>
      <c r="R97" s="3"/>
    </row>
    <row r="98" customFormat="false" ht="12.75" hidden="false" customHeight="true" outlineLevel="0" collapsed="false">
      <c r="B98" s="3"/>
      <c r="C98" s="3"/>
      <c r="D98" s="8" t="s">
        <v>78</v>
      </c>
      <c r="E98" s="3"/>
      <c r="F98" s="3"/>
      <c r="G98" s="3"/>
      <c r="H98" s="9"/>
      <c r="L98" s="3"/>
      <c r="M98" s="3"/>
      <c r="N98" s="3"/>
      <c r="O98" s="3"/>
      <c r="P98" s="3"/>
      <c r="Q98" s="3"/>
      <c r="R98" s="3"/>
    </row>
    <row r="99" customFormat="false" ht="12.75" hidden="false" customHeight="true" outlineLevel="0" collapsed="false">
      <c r="D99" s="8" t="s">
        <v>79</v>
      </c>
      <c r="E99" s="3"/>
      <c r="F99" s="3"/>
      <c r="G99" s="3"/>
      <c r="H99" s="9"/>
      <c r="K99" s="1" t="s">
        <v>80</v>
      </c>
      <c r="L99" s="3" t="s">
        <v>81</v>
      </c>
      <c r="M99" s="3" t="s">
        <v>82</v>
      </c>
      <c r="N99" s="3"/>
      <c r="O99" s="3"/>
      <c r="P99" s="3"/>
      <c r="Q99" s="3"/>
      <c r="R99" s="3"/>
    </row>
    <row r="100" customFormat="false" ht="12.75" hidden="false" customHeight="true" outlineLevel="0" collapsed="false">
      <c r="D100" s="8" t="s">
        <v>83</v>
      </c>
      <c r="E100" s="3" t="s">
        <v>84</v>
      </c>
      <c r="F100" s="3" t="s">
        <v>85</v>
      </c>
      <c r="G100" s="3" t="s">
        <v>86</v>
      </c>
      <c r="H100" s="9" t="s">
        <v>87</v>
      </c>
      <c r="K100" s="3" t="n">
        <f aca="false">J20</f>
        <v>0.0476466189</v>
      </c>
      <c r="L100" s="3" t="n">
        <f aca="false">(G101/$I$2)/31</f>
        <v>2.13710083292207E-006</v>
      </c>
      <c r="M100" s="3" t="n">
        <f aca="false">L100/K100</f>
        <v>4.48531476579144E-005</v>
      </c>
      <c r="N100" s="3"/>
      <c r="O100" s="3"/>
      <c r="P100" s="3"/>
      <c r="Q100" s="3"/>
      <c r="R100" s="3"/>
    </row>
    <row r="101" customFormat="false" ht="12.75" hidden="false" customHeight="true" outlineLevel="0" collapsed="false">
      <c r="D101" s="8" t="s">
        <v>88</v>
      </c>
      <c r="E101" s="3" t="n">
        <v>0.047600000093042</v>
      </c>
      <c r="F101" s="3" t="n">
        <v>0</v>
      </c>
      <c r="G101" s="3" t="n">
        <v>0.000498863447429</v>
      </c>
      <c r="H101" s="9" t="s">
        <v>76</v>
      </c>
      <c r="K101" s="3" t="n">
        <f aca="false">J21</f>
        <v>0.0952932378</v>
      </c>
      <c r="L101" s="3" t="n">
        <f aca="false">(G102/$I$2)/31</f>
        <v>3.79734906954119E-006</v>
      </c>
      <c r="M101" s="3" t="n">
        <f aca="false">L101/K101</f>
        <v>3.98490927290246E-005</v>
      </c>
      <c r="N101" s="3"/>
      <c r="O101" s="3"/>
      <c r="P101" s="3"/>
      <c r="Q101" s="3"/>
      <c r="R101" s="3"/>
    </row>
    <row r="102" customFormat="false" ht="12.75" hidden="false" customHeight="true" outlineLevel="0" collapsed="false">
      <c r="D102" s="8" t="s">
        <v>75</v>
      </c>
      <c r="E102" s="3" t="n">
        <v>0.09529999986096</v>
      </c>
      <c r="F102" s="3" t="n">
        <v>0</v>
      </c>
      <c r="G102" s="3" t="n">
        <v>0.000886415193303</v>
      </c>
      <c r="H102" s="9" t="s">
        <v>76</v>
      </c>
      <c r="K102" s="3" t="n">
        <f aca="false">J22</f>
        <v>0.1429398567</v>
      </c>
      <c r="L102" s="3" t="n">
        <f aca="false">(G103/$I$2)/31</f>
        <v>4.72131990160648E-006</v>
      </c>
      <c r="M102" s="3" t="n">
        <f aca="false">L102/K102</f>
        <v>3.3030114977067E-005</v>
      </c>
      <c r="N102" s="3"/>
      <c r="O102" s="3"/>
      <c r="P102" s="3"/>
      <c r="Q102" s="3"/>
      <c r="R102" s="3"/>
    </row>
    <row r="103" customFormat="false" ht="12.75" hidden="false" customHeight="true" outlineLevel="0" collapsed="false">
      <c r="D103" s="8" t="s">
        <v>89</v>
      </c>
      <c r="E103" s="3" t="n">
        <v>0.142899999954002</v>
      </c>
      <c r="F103" s="3" t="n">
        <v>0</v>
      </c>
      <c r="G103" s="3" t="n">
        <v>0.001102097704632</v>
      </c>
      <c r="H103" s="9" t="s">
        <v>76</v>
      </c>
      <c r="K103" s="3" t="n">
        <f aca="false">J23</f>
        <v>0.1905864756</v>
      </c>
      <c r="L103" s="3" t="n">
        <f aca="false">(G104/$I$2)/31</f>
        <v>5.86378776070771E-006</v>
      </c>
      <c r="M103" s="3" t="n">
        <f aca="false">L103/K103</f>
        <v>3.07670717045764E-005</v>
      </c>
      <c r="N103" s="3"/>
      <c r="O103" s="3"/>
      <c r="P103" s="3"/>
      <c r="Q103" s="3"/>
      <c r="R103" s="3"/>
    </row>
    <row r="104" customFormat="false" ht="13.5" hidden="false" customHeight="true" outlineLevel="0" collapsed="false">
      <c r="D104" s="10" t="s">
        <v>90</v>
      </c>
      <c r="E104" s="4" t="n">
        <v>0.19059999972192</v>
      </c>
      <c r="F104" s="4" t="n">
        <v>0</v>
      </c>
      <c r="G104" s="4" t="n">
        <v>0.001368783976982</v>
      </c>
      <c r="H104" s="11" t="s">
        <v>76</v>
      </c>
      <c r="L104" s="3"/>
      <c r="M104" s="3"/>
      <c r="N104" s="3"/>
      <c r="O104" s="3"/>
      <c r="P104" s="3"/>
      <c r="Q104" s="3"/>
      <c r="R104" s="3"/>
    </row>
    <row r="105" customFormat="false" ht="12.75" hidden="false" customHeight="true" outlineLevel="0" collapsed="false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customFormat="false" ht="12.75" hidden="false" customHeight="true" outlineLevel="0" collapsed="false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customFormat="false" ht="12.7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customFormat="false" ht="12.75" hidden="false" customHeight="true" outlineLevel="0" collapsed="false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customFormat="false" ht="12.75" hidden="false" customHeight="true" outlineLevel="0" collapsed="false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customFormat="false" ht="12.75" hidden="false" customHeight="true" outlineLevel="0" collapsed="false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customFormat="false" ht="12.75" hidden="false" customHeight="true" outlineLevel="0" collapsed="false">
      <c r="G111" s="3"/>
      <c r="H111" s="3"/>
      <c r="I111" s="3"/>
      <c r="J111" s="3"/>
      <c r="K111" s="3"/>
      <c r="L111" s="3"/>
      <c r="M111" s="3"/>
      <c r="N111" s="3"/>
      <c r="O111" s="3"/>
    </row>
    <row r="112" customFormat="false" ht="12.75" hidden="false" customHeight="true" outlineLevel="0" collapsed="false">
      <c r="G112" s="3"/>
      <c r="H112" s="3"/>
      <c r="I112" s="3"/>
      <c r="J112" s="3"/>
      <c r="K112" s="3"/>
      <c r="L112" s="3"/>
      <c r="M112" s="3"/>
      <c r="N112" s="3"/>
      <c r="O112" s="3"/>
    </row>
    <row r="113" customFormat="false" ht="12.75" hidden="false" customHeight="true" outlineLevel="0" collapsed="false">
      <c r="G113" s="3"/>
      <c r="H113" s="3"/>
      <c r="I113" s="3"/>
      <c r="J113" s="3"/>
      <c r="K113" s="18"/>
      <c r="L113" s="3"/>
      <c r="M113" s="3"/>
      <c r="N113" s="3"/>
      <c r="O113" s="3"/>
    </row>
    <row r="114" customFormat="false" ht="12.75" hidden="false" customHeight="true" outlineLevel="0" collapsed="false">
      <c r="G114" s="3"/>
      <c r="H114" s="3"/>
      <c r="I114" s="3"/>
      <c r="J114" s="3"/>
      <c r="K114" s="3"/>
      <c r="L114" s="3"/>
      <c r="M114" s="3"/>
      <c r="N114" s="3"/>
      <c r="O114" s="3"/>
    </row>
    <row r="115" customFormat="false" ht="12.75" hidden="false" customHeight="true" outlineLevel="0" collapsed="false">
      <c r="G115" s="3"/>
      <c r="H115" s="3"/>
      <c r="I115" s="3"/>
      <c r="J115" s="3"/>
      <c r="K115" s="3"/>
      <c r="L115" s="3"/>
      <c r="M115" s="3"/>
      <c r="N115" s="3"/>
      <c r="O115" s="3"/>
    </row>
    <row r="116" customFormat="false" ht="12.75" hidden="false" customHeight="true" outlineLevel="0" collapsed="false">
      <c r="G116" s="3"/>
      <c r="H116" s="3"/>
      <c r="I116" s="3"/>
      <c r="J116" s="3"/>
      <c r="K116" s="3"/>
      <c r="L116" s="3"/>
      <c r="M116" s="3"/>
      <c r="N116" s="3"/>
      <c r="O116" s="3"/>
    </row>
    <row r="117" customFormat="false" ht="12.75" hidden="false" customHeight="true" outlineLevel="0" collapsed="false">
      <c r="B117" s="3"/>
      <c r="H117" s="3"/>
      <c r="I117" s="3"/>
      <c r="J117" s="3"/>
      <c r="K117" s="3"/>
      <c r="L117" s="3"/>
      <c r="M117" s="3"/>
      <c r="N117" s="3"/>
      <c r="O117" s="3"/>
    </row>
    <row r="118" customFormat="false" ht="12.75" hidden="false" customHeight="true" outlineLevel="0" collapsed="false">
      <c r="B118" s="3"/>
      <c r="H118" s="3"/>
      <c r="I118" s="3"/>
      <c r="J118" s="3"/>
      <c r="K118" s="3"/>
      <c r="L118" s="3"/>
      <c r="M118" s="3"/>
      <c r="N118" s="3"/>
      <c r="O118" s="3"/>
    </row>
    <row r="119" customFormat="false" ht="12.75" hidden="false" customHeight="true" outlineLevel="0" collapsed="false">
      <c r="B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H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>
      <c r="C128" s="3"/>
      <c r="D128" s="3"/>
    </row>
    <row r="129" customFormat="false" ht="12.75" hidden="false" customHeight="true" outlineLevel="0" collapsed="false">
      <c r="C129" s="3"/>
      <c r="D129" s="3"/>
    </row>
    <row r="130" customFormat="false" ht="12.75" hidden="false" customHeight="true" outlineLevel="0" collapsed="false"/>
    <row r="131" customFormat="false" ht="12.75" hidden="false" customHeight="true" outlineLevel="0" collapsed="false">
      <c r="C131" s="3"/>
      <c r="D131" s="3"/>
    </row>
    <row r="132" customFormat="false" ht="12.75" hidden="false" customHeight="true" outlineLevel="0" collapsed="false">
      <c r="C132" s="3"/>
      <c r="D132" s="3"/>
    </row>
    <row r="133" customFormat="false" ht="12.75" hidden="false" customHeight="true" outlineLevel="0" collapsed="false"/>
    <row r="134" customFormat="false" ht="12.75" hidden="false" customHeight="true" outlineLevel="0" collapsed="false">
      <c r="C134" s="3"/>
      <c r="D134" s="3"/>
    </row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>
      <c r="C137" s="3"/>
      <c r="D137" s="3"/>
    </row>
    <row r="138" customFormat="false" ht="12.75" hidden="false" customHeight="true" outlineLevel="0" collapsed="false">
      <c r="C138" s="3"/>
      <c r="D138" s="3"/>
    </row>
    <row r="139" customFormat="false" ht="12.75" hidden="false" customHeight="true" outlineLevel="0" collapsed="false">
      <c r="C139" s="3"/>
      <c r="D139" s="3"/>
    </row>
    <row r="140" customFormat="false" ht="12.75" hidden="false" customHeight="true" outlineLevel="0" collapsed="false">
      <c r="C140" s="3"/>
      <c r="D140" s="3"/>
    </row>
    <row r="141" customFormat="false" ht="12.75" hidden="false" customHeight="true" outlineLevel="0" collapsed="false">
      <c r="C141" s="3"/>
      <c r="D141" s="3"/>
      <c r="F141" s="3"/>
    </row>
    <row r="142" customFormat="false" ht="12.75" hidden="false" customHeight="true" outlineLevel="0" collapsed="false">
      <c r="C142" s="3"/>
      <c r="D142" s="3"/>
      <c r="F142" s="3"/>
    </row>
    <row r="143" customFormat="false" ht="12.75" hidden="false" customHeight="true" outlineLevel="0" collapsed="false">
      <c r="C143" s="3"/>
      <c r="D143" s="3"/>
      <c r="F143" s="3"/>
    </row>
    <row r="144" customFormat="false" ht="12.75" hidden="false" customHeight="true" outlineLevel="0" collapsed="false">
      <c r="C144" s="3"/>
      <c r="D144" s="3"/>
      <c r="F144" s="3"/>
    </row>
    <row r="145" customFormat="false" ht="12.75" hidden="false" customHeight="true" outlineLevel="0" collapsed="false">
      <c r="C145" s="3"/>
      <c r="D145" s="3"/>
      <c r="K145" s="3"/>
    </row>
    <row r="146" customFormat="false" ht="12.75" hidden="false" customHeight="true" outlineLevel="0" collapsed="false">
      <c r="C146" s="3"/>
      <c r="D146" s="3"/>
      <c r="K146" s="3"/>
    </row>
    <row r="147" customFormat="false" ht="12.75" hidden="false" customHeight="true" outlineLevel="0" collapsed="false">
      <c r="K147" s="3"/>
    </row>
    <row r="148" customFormat="false" ht="12.75" hidden="false" customHeight="true" outlineLevel="0" collapsed="false">
      <c r="K148" s="3"/>
    </row>
    <row r="149" customFormat="false" ht="12.75" hidden="false" customHeight="true" outlineLevel="0" collapsed="false"/>
    <row r="150" customFormat="false" ht="12.75" hidden="false" customHeight="true" outlineLevel="0" collapsed="false">
      <c r="J150" s="3"/>
    </row>
    <row r="151" customFormat="false" ht="12.75" hidden="false" customHeight="true" outlineLevel="0" collapsed="false">
      <c r="E151" s="3"/>
      <c r="F151" s="3"/>
      <c r="G151" s="3"/>
      <c r="H151" s="3"/>
      <c r="I151" s="3"/>
      <c r="J151" s="3"/>
      <c r="K151" s="3"/>
      <c r="L151" s="3"/>
    </row>
    <row r="152" customFormat="false" ht="12.75" hidden="false" customHeight="true" outlineLevel="0" collapsed="false">
      <c r="E152" s="3"/>
      <c r="F152" s="3"/>
      <c r="G152" s="3"/>
      <c r="H152" s="3"/>
      <c r="I152" s="3"/>
      <c r="J152" s="3"/>
      <c r="K152" s="3"/>
      <c r="L152" s="3"/>
    </row>
    <row r="153" customFormat="false" ht="12.75" hidden="false" customHeight="true" outlineLevel="0" collapsed="false">
      <c r="E153" s="3"/>
      <c r="F153" s="3"/>
      <c r="G153" s="3"/>
      <c r="H153" s="3"/>
      <c r="I153" s="3"/>
      <c r="J153" s="3"/>
      <c r="K153" s="3"/>
      <c r="L153" s="3"/>
    </row>
    <row r="154" customFormat="false" ht="12.75" hidden="false" customHeight="true" outlineLevel="0" collapsed="false">
      <c r="E154" s="3"/>
      <c r="F154" s="3"/>
      <c r="G154" s="3"/>
      <c r="H154" s="3"/>
      <c r="I154" s="3"/>
      <c r="J154" s="3"/>
      <c r="K154" s="3"/>
      <c r="L154" s="3"/>
    </row>
    <row r="155" customFormat="false" ht="12.75" hidden="false" customHeight="true" outlineLevel="0" collapsed="false">
      <c r="E155" s="3"/>
      <c r="F155" s="3"/>
      <c r="G155" s="3"/>
      <c r="H155" s="3"/>
      <c r="I155" s="3"/>
      <c r="J155" s="3"/>
      <c r="K155" s="3"/>
      <c r="L155" s="3"/>
    </row>
    <row r="156" customFormat="false" ht="12.75" hidden="false" customHeight="true" outlineLevel="0" collapsed="false">
      <c r="E156" s="3"/>
      <c r="F156" s="3"/>
      <c r="G156" s="3"/>
      <c r="H156" s="3"/>
      <c r="I156" s="3"/>
      <c r="J156" s="3"/>
      <c r="K156" s="3"/>
      <c r="L156" s="3"/>
    </row>
    <row r="157" customFormat="false" ht="12.75" hidden="false" customHeight="true" outlineLevel="0" collapsed="false">
      <c r="E157" s="3"/>
      <c r="F157" s="3"/>
      <c r="G157" s="3"/>
      <c r="H157" s="3"/>
      <c r="I157" s="3"/>
      <c r="J157" s="3"/>
      <c r="K157" s="3"/>
      <c r="L157" s="3"/>
    </row>
    <row r="158" customFormat="false" ht="12.75" hidden="false" customHeight="true" outlineLevel="0" collapsed="false">
      <c r="E158" s="3"/>
      <c r="F158" s="3"/>
      <c r="G158" s="3"/>
      <c r="H158" s="3"/>
      <c r="I158" s="3"/>
      <c r="J158" s="3"/>
      <c r="K158" s="3"/>
      <c r="L158" s="3"/>
    </row>
    <row r="159" customFormat="false" ht="12.75" hidden="false" customHeight="true" outlineLevel="0" collapsed="false">
      <c r="E159" s="3"/>
      <c r="F159" s="3"/>
      <c r="G159" s="3"/>
      <c r="H159" s="3"/>
      <c r="I159" s="3"/>
      <c r="J159" s="3"/>
      <c r="K159" s="3"/>
      <c r="L159" s="3"/>
    </row>
    <row r="160" customFormat="false" ht="12.75" hidden="false" customHeight="true" outlineLevel="0" collapsed="false">
      <c r="E160" s="3"/>
      <c r="F160" s="3"/>
      <c r="G160" s="3"/>
      <c r="H160" s="3"/>
      <c r="I160" s="3"/>
      <c r="J160" s="3"/>
      <c r="K160" s="3"/>
      <c r="L160" s="3"/>
    </row>
    <row r="161" customFormat="false" ht="12.75" hidden="false" customHeight="true" outlineLevel="0" collapsed="false">
      <c r="E161" s="3"/>
      <c r="F161" s="3"/>
      <c r="G161" s="3"/>
      <c r="H161" s="3"/>
      <c r="I161" s="3"/>
      <c r="J161" s="3"/>
      <c r="K161" s="3"/>
      <c r="L161" s="3"/>
    </row>
    <row r="162" customFormat="false" ht="12.75" hidden="false" customHeight="true" outlineLevel="0" collapsed="false">
      <c r="E162" s="3"/>
      <c r="F162" s="3"/>
      <c r="G162" s="3"/>
      <c r="H162" s="3"/>
      <c r="I162" s="3"/>
      <c r="J162" s="3"/>
      <c r="K162" s="3"/>
      <c r="L162" s="3"/>
    </row>
    <row r="163" customFormat="false" ht="12.75" hidden="false" customHeight="true" outlineLevel="0" collapsed="false">
      <c r="E163" s="3"/>
      <c r="F163" s="3"/>
      <c r="G163" s="3"/>
      <c r="H163" s="3"/>
      <c r="I163" s="3"/>
      <c r="J163" s="3"/>
      <c r="K163" s="3"/>
      <c r="L163" s="3"/>
    </row>
    <row r="164" customFormat="false" ht="12.75" hidden="false" customHeight="true" outlineLevel="0" collapsed="false">
      <c r="E164" s="3"/>
      <c r="F164" s="3"/>
      <c r="G164" s="3"/>
      <c r="H164" s="3"/>
      <c r="I164" s="3"/>
      <c r="J164" s="3"/>
      <c r="K164" s="3"/>
      <c r="L164" s="3"/>
    </row>
    <row r="165" customFormat="false" ht="12.75" hidden="false" customHeight="true" outlineLevel="0" collapsed="false">
      <c r="E165" s="3"/>
      <c r="F165" s="3"/>
      <c r="G165" s="3"/>
      <c r="H165" s="3"/>
      <c r="I165" s="3"/>
      <c r="J165" s="3"/>
      <c r="K165" s="3"/>
      <c r="L165" s="3"/>
    </row>
    <row r="166" customFormat="false" ht="12.75" hidden="false" customHeight="true" outlineLevel="0" collapsed="false">
      <c r="E166" s="3"/>
      <c r="F166" s="3"/>
      <c r="G166" s="3"/>
      <c r="H166" s="3"/>
      <c r="I166" s="3"/>
      <c r="J166" s="3"/>
      <c r="K166" s="3"/>
      <c r="L166" s="3"/>
    </row>
    <row r="167" customFormat="false" ht="12.75" hidden="false" customHeight="true" outlineLevel="0" collapsed="false">
      <c r="E167" s="3"/>
      <c r="F167" s="3"/>
      <c r="G167" s="3"/>
      <c r="H167" s="3"/>
      <c r="I167" s="3"/>
      <c r="J167" s="3"/>
      <c r="K167" s="3"/>
      <c r="L167" s="3"/>
    </row>
    <row r="168" customFormat="false" ht="12.75" hidden="false" customHeight="true" outlineLevel="0" collapsed="false">
      <c r="E168" s="3"/>
      <c r="F168" s="3"/>
      <c r="G168" s="3"/>
      <c r="H168" s="3"/>
      <c r="I168" s="3"/>
      <c r="J168" s="3"/>
      <c r="K168" s="3"/>
      <c r="L168" s="3"/>
    </row>
    <row r="169" customFormat="false" ht="12.75" hidden="false" customHeight="true" outlineLevel="0" collapsed="false">
      <c r="E169" s="3"/>
      <c r="F169" s="3"/>
      <c r="G169" s="3"/>
      <c r="H169" s="3"/>
      <c r="I169" s="3"/>
      <c r="J169" s="3"/>
      <c r="K169" s="3"/>
      <c r="L169" s="3"/>
    </row>
    <row r="170" customFormat="false" ht="12.75" hidden="false" customHeight="true" outlineLevel="0" collapsed="false">
      <c r="E170" s="3"/>
      <c r="F170" s="3"/>
      <c r="G170" s="3"/>
      <c r="H170" s="3"/>
      <c r="I170" s="3"/>
      <c r="J170" s="3"/>
      <c r="K170" s="3"/>
      <c r="L170" s="3"/>
    </row>
    <row r="171" customFormat="false" ht="12.75" hidden="false" customHeight="true" outlineLevel="0" collapsed="false">
      <c r="E171" s="3"/>
      <c r="F171" s="3"/>
      <c r="G171" s="3"/>
      <c r="H171" s="3"/>
      <c r="I171" s="3"/>
      <c r="J171" s="3"/>
      <c r="K171" s="3"/>
      <c r="L171" s="3"/>
    </row>
    <row r="172" customFormat="false" ht="12.75" hidden="false" customHeight="true" outlineLevel="0" collapsed="false">
      <c r="E172" s="3"/>
      <c r="F172" s="3"/>
      <c r="G172" s="3"/>
      <c r="H172" s="3"/>
      <c r="I172" s="3"/>
      <c r="J172" s="3"/>
      <c r="K172" s="3"/>
      <c r="L172" s="3"/>
    </row>
    <row r="173" customFormat="false" ht="12.75" hidden="false" customHeight="true" outlineLevel="0" collapsed="false">
      <c r="E173" s="3"/>
      <c r="F173" s="3"/>
      <c r="G173" s="3"/>
      <c r="H173" s="3"/>
      <c r="I173" s="3"/>
      <c r="J173" s="3"/>
      <c r="K173" s="3"/>
      <c r="L173" s="3"/>
    </row>
    <row r="174" customFormat="false" ht="12.75" hidden="false" customHeight="true" outlineLevel="0" collapsed="false">
      <c r="E174" s="3"/>
      <c r="F174" s="3"/>
      <c r="G174" s="3"/>
      <c r="H174" s="3"/>
      <c r="I174" s="3"/>
      <c r="J174" s="3"/>
      <c r="K174" s="3"/>
      <c r="L174" s="3"/>
    </row>
    <row r="175" customFormat="false" ht="12.75" hidden="false" customHeight="true" outlineLevel="0" collapsed="false">
      <c r="E175" s="3"/>
      <c r="F175" s="3"/>
      <c r="G175" s="3"/>
      <c r="H175" s="3"/>
      <c r="I175" s="3"/>
      <c r="J175" s="3"/>
      <c r="K175" s="3"/>
      <c r="L175" s="3"/>
    </row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71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91</v>
      </c>
      <c r="B1" s="1" t="s">
        <v>92</v>
      </c>
    </row>
    <row r="2" customFormat="false" ht="12.75" hidden="false" customHeight="true" outlineLevel="0" collapsed="false">
      <c r="A2" s="1" t="s">
        <v>93</v>
      </c>
      <c r="B2" s="1" t="n">
        <v>161008</v>
      </c>
    </row>
    <row r="3" customFormat="false" ht="12.75" hidden="false" customHeight="true" outlineLevel="0" collapsed="false">
      <c r="A3" s="1" t="s">
        <v>83</v>
      </c>
      <c r="B3" s="1" t="s">
        <v>88</v>
      </c>
      <c r="C3" s="1" t="s">
        <v>83</v>
      </c>
      <c r="D3" s="1" t="s">
        <v>75</v>
      </c>
      <c r="E3" s="1" t="s">
        <v>83</v>
      </c>
      <c r="F3" s="1" t="s">
        <v>89</v>
      </c>
      <c r="G3" s="1" t="s">
        <v>83</v>
      </c>
      <c r="H3" s="1" t="s">
        <v>90</v>
      </c>
    </row>
    <row r="4" customFormat="false" ht="12.75" hidden="false" customHeight="true" outlineLevel="0" collapsed="false">
      <c r="A4" s="1" t="s">
        <v>94</v>
      </c>
      <c r="B4" s="1" t="s">
        <v>95</v>
      </c>
      <c r="C4" s="1" t="s">
        <v>94</v>
      </c>
      <c r="D4" s="1" t="s">
        <v>95</v>
      </c>
      <c r="E4" s="1" t="s">
        <v>94</v>
      </c>
      <c r="F4" s="1" t="s">
        <v>95</v>
      </c>
      <c r="G4" s="1" t="s">
        <v>94</v>
      </c>
      <c r="H4" s="1" t="s">
        <v>95</v>
      </c>
    </row>
    <row r="5" customFormat="false" ht="12.75" hidden="false" customHeight="true" outlineLevel="0" collapsed="false">
      <c r="A5" s="1" t="s">
        <v>96</v>
      </c>
      <c r="B5" s="1" t="s">
        <v>97</v>
      </c>
      <c r="C5" s="1" t="s">
        <v>96</v>
      </c>
      <c r="D5" s="1" t="s">
        <v>97</v>
      </c>
      <c r="E5" s="1" t="s">
        <v>96</v>
      </c>
      <c r="F5" s="1" t="s">
        <v>97</v>
      </c>
      <c r="G5" s="1" t="s">
        <v>96</v>
      </c>
      <c r="H5" s="1" t="s">
        <v>97</v>
      </c>
    </row>
    <row r="6" customFormat="false" ht="12.75" hidden="false" customHeight="true" outlineLevel="0" collapsed="false">
      <c r="A6" s="1" t="s">
        <v>98</v>
      </c>
      <c r="B6" s="21" t="n">
        <v>40304</v>
      </c>
      <c r="C6" s="1" t="s">
        <v>98</v>
      </c>
      <c r="D6" s="21" t="n">
        <v>40304</v>
      </c>
      <c r="E6" s="1" t="s">
        <v>98</v>
      </c>
      <c r="F6" s="21" t="n">
        <v>40304</v>
      </c>
      <c r="G6" s="1" t="s">
        <v>98</v>
      </c>
      <c r="H6" s="21" t="n">
        <v>40304</v>
      </c>
    </row>
    <row r="7" customFormat="false" ht="12.75" hidden="false" customHeight="true" outlineLevel="0" collapsed="false">
      <c r="A7" s="1" t="s">
        <v>99</v>
      </c>
      <c r="B7" s="1" t="s">
        <v>100</v>
      </c>
      <c r="C7" s="1" t="s">
        <v>99</v>
      </c>
      <c r="D7" s="1" t="s">
        <v>101</v>
      </c>
      <c r="E7" s="1" t="s">
        <v>99</v>
      </c>
      <c r="F7" s="1" t="s">
        <v>102</v>
      </c>
      <c r="G7" s="1" t="s">
        <v>99</v>
      </c>
      <c r="H7" s="1" t="s">
        <v>103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104</v>
      </c>
      <c r="B9" s="1" t="s">
        <v>105</v>
      </c>
      <c r="C9" s="1" t="s">
        <v>104</v>
      </c>
      <c r="D9" s="1" t="s">
        <v>106</v>
      </c>
      <c r="E9" s="1" t="s">
        <v>104</v>
      </c>
      <c r="F9" s="1" t="s">
        <v>107</v>
      </c>
      <c r="G9" s="1" t="s">
        <v>104</v>
      </c>
      <c r="H9" s="1" t="s">
        <v>108</v>
      </c>
    </row>
    <row r="10" customFormat="false" ht="12.75" hidden="false" customHeight="true" outlineLevel="0" collapsed="false">
      <c r="A10" s="1" t="s">
        <v>109</v>
      </c>
      <c r="B10" s="1" t="s">
        <v>110</v>
      </c>
      <c r="C10" s="1" t="s">
        <v>109</v>
      </c>
      <c r="D10" s="1" t="s">
        <v>110</v>
      </c>
      <c r="E10" s="1" t="s">
        <v>109</v>
      </c>
      <c r="F10" s="1" t="s">
        <v>110</v>
      </c>
      <c r="G10" s="1" t="s">
        <v>109</v>
      </c>
      <c r="H10" s="1" t="s">
        <v>110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-0.001</v>
      </c>
      <c r="E11" s="1" t="n">
        <v>0</v>
      </c>
      <c r="F11" s="1" t="n">
        <v>0.001</v>
      </c>
      <c r="G11" s="1" t="n">
        <v>0</v>
      </c>
      <c r="H11" s="1" t="n">
        <v>0.004</v>
      </c>
    </row>
    <row r="12" customFormat="false" ht="12.75" hidden="false" customHeight="true" outlineLevel="0" collapsed="false">
      <c r="A12" s="1" t="n">
        <v>31</v>
      </c>
      <c r="B12" s="1" t="n">
        <v>0</v>
      </c>
      <c r="C12" s="1" t="n">
        <v>31</v>
      </c>
      <c r="D12" s="1" t="n">
        <v>-0.001</v>
      </c>
      <c r="E12" s="1" t="n">
        <v>31</v>
      </c>
      <c r="F12" s="1" t="n">
        <v>0.002</v>
      </c>
      <c r="G12" s="1" t="n">
        <v>31</v>
      </c>
      <c r="H12" s="1" t="n">
        <v>0.005</v>
      </c>
    </row>
    <row r="13" customFormat="false" ht="12.75" hidden="false" customHeight="true" outlineLevel="0" collapsed="false">
      <c r="A13" s="1" t="n">
        <v>62</v>
      </c>
      <c r="B13" s="1" t="n">
        <v>0.001</v>
      </c>
      <c r="C13" s="1" t="n">
        <v>62</v>
      </c>
      <c r="D13" s="1" t="n">
        <v>0</v>
      </c>
      <c r="E13" s="1" t="n">
        <v>62</v>
      </c>
      <c r="F13" s="1" t="n">
        <v>0.002</v>
      </c>
      <c r="G13" s="1" t="n">
        <v>62</v>
      </c>
      <c r="H13" s="1" t="n">
        <v>0.006</v>
      </c>
    </row>
    <row r="14" customFormat="false" ht="12.75" hidden="false" customHeight="true" outlineLevel="0" collapsed="false">
      <c r="A14" s="1" t="n">
        <v>93</v>
      </c>
      <c r="B14" s="1" t="n">
        <v>0.001</v>
      </c>
      <c r="C14" s="1" t="n">
        <v>93</v>
      </c>
      <c r="D14" s="1" t="n">
        <v>0</v>
      </c>
      <c r="E14" s="1" t="n">
        <v>93</v>
      </c>
      <c r="F14" s="1" t="n">
        <v>0.003</v>
      </c>
      <c r="G14" s="1" t="n">
        <v>93</v>
      </c>
      <c r="H14" s="1" t="n">
        <v>0.006</v>
      </c>
    </row>
    <row r="15" customFormat="false" ht="12.75" hidden="false" customHeight="true" outlineLevel="0" collapsed="false">
      <c r="A15" s="1" t="n">
        <v>124</v>
      </c>
      <c r="B15" s="1" t="n">
        <v>0.001</v>
      </c>
      <c r="C15" s="1" t="n">
        <v>124</v>
      </c>
      <c r="D15" s="1" t="n">
        <v>0.001</v>
      </c>
      <c r="E15" s="1" t="n">
        <v>124</v>
      </c>
      <c r="F15" s="1" t="n">
        <v>0.003</v>
      </c>
      <c r="G15" s="1" t="n">
        <v>124</v>
      </c>
      <c r="H15" s="1" t="n">
        <v>0.007</v>
      </c>
    </row>
    <row r="16" customFormat="false" ht="12.75" hidden="false" customHeight="true" outlineLevel="0" collapsed="false">
      <c r="A16" s="1" t="n">
        <v>155</v>
      </c>
      <c r="B16" s="1" t="n">
        <v>0.002</v>
      </c>
      <c r="C16" s="1" t="n">
        <v>155</v>
      </c>
      <c r="D16" s="1" t="n">
        <v>0.001</v>
      </c>
      <c r="E16" s="1" t="n">
        <v>155</v>
      </c>
      <c r="F16" s="1" t="n">
        <v>0.004</v>
      </c>
      <c r="G16" s="1" t="n">
        <v>155</v>
      </c>
      <c r="H16" s="1" t="n">
        <v>0.007</v>
      </c>
    </row>
    <row r="17" customFormat="false" ht="12.75" hidden="false" customHeight="true" outlineLevel="0" collapsed="false">
      <c r="A17" s="1" t="n">
        <v>186</v>
      </c>
      <c r="B17" s="1" t="n">
        <v>0.002</v>
      </c>
      <c r="C17" s="1" t="n">
        <v>186</v>
      </c>
      <c r="D17" s="1" t="n">
        <v>0.002</v>
      </c>
      <c r="E17" s="1" t="n">
        <v>186</v>
      </c>
      <c r="F17" s="1" t="n">
        <v>0.004</v>
      </c>
      <c r="G17" s="1" t="n">
        <v>186</v>
      </c>
      <c r="H17" s="1" t="n">
        <v>0.008</v>
      </c>
    </row>
    <row r="18" customFormat="false" ht="12.75" hidden="false" customHeight="true" outlineLevel="0" collapsed="false">
      <c r="A18" s="1" t="n">
        <v>217</v>
      </c>
      <c r="B18" s="1" t="n">
        <v>0.002</v>
      </c>
      <c r="C18" s="1" t="n">
        <v>217</v>
      </c>
      <c r="D18" s="1" t="n">
        <v>0.002</v>
      </c>
      <c r="E18" s="1" t="n">
        <v>217</v>
      </c>
      <c r="F18" s="1" t="n">
        <v>0.005</v>
      </c>
      <c r="G18" s="1" t="n">
        <v>217</v>
      </c>
      <c r="H18" s="1" t="n">
        <v>0.009</v>
      </c>
    </row>
    <row r="19" customFormat="false" ht="12.75" hidden="false" customHeight="true" outlineLevel="0" collapsed="false">
      <c r="A19" s="1" t="n">
        <v>248</v>
      </c>
      <c r="B19" s="1" t="n">
        <v>0.002</v>
      </c>
      <c r="C19" s="1" t="n">
        <v>248</v>
      </c>
      <c r="D19" s="1" t="n">
        <v>0.002</v>
      </c>
      <c r="E19" s="1" t="n">
        <v>248</v>
      </c>
      <c r="F19" s="1" t="n">
        <v>0.006</v>
      </c>
      <c r="G19" s="1" t="n">
        <v>248</v>
      </c>
      <c r="H19" s="1" t="n">
        <v>0.01</v>
      </c>
    </row>
    <row r="20" customFormat="false" ht="12.75" hidden="false" customHeight="true" outlineLevel="0" collapsed="false">
      <c r="A20" s="1" t="n">
        <v>279</v>
      </c>
      <c r="B20" s="1" t="n">
        <v>0.003</v>
      </c>
      <c r="C20" s="1" t="n">
        <v>279</v>
      </c>
      <c r="D20" s="1" t="n">
        <v>0.003</v>
      </c>
      <c r="E20" s="1" t="n">
        <v>279</v>
      </c>
      <c r="F20" s="1" t="n">
        <v>0.007</v>
      </c>
      <c r="G20" s="1" t="n">
        <v>279</v>
      </c>
      <c r="H20" s="1" t="n">
        <v>0.01</v>
      </c>
    </row>
    <row r="21" customFormat="false" ht="12.75" hidden="false" customHeight="true" outlineLevel="0" collapsed="false">
      <c r="A21" s="1" t="n">
        <v>310</v>
      </c>
      <c r="B21" s="1" t="n">
        <v>0.003</v>
      </c>
      <c r="C21" s="1" t="n">
        <v>310</v>
      </c>
      <c r="D21" s="1" t="n">
        <v>0.003</v>
      </c>
      <c r="E21" s="1" t="n">
        <v>310</v>
      </c>
      <c r="F21" s="1" t="n">
        <v>0.007</v>
      </c>
      <c r="G21" s="1" t="n">
        <v>310</v>
      </c>
      <c r="H21" s="1" t="n">
        <v>0.011</v>
      </c>
    </row>
    <row r="22" customFormat="false" ht="12.75" hidden="false" customHeight="true" outlineLevel="0" collapsed="false">
      <c r="A22" s="1" t="n">
        <v>341</v>
      </c>
      <c r="B22" s="1" t="n">
        <v>0.003</v>
      </c>
      <c r="C22" s="1" t="n">
        <v>341</v>
      </c>
      <c r="D22" s="1" t="n">
        <v>0.004</v>
      </c>
      <c r="E22" s="1" t="n">
        <v>341</v>
      </c>
      <c r="F22" s="1" t="n">
        <v>0.007</v>
      </c>
      <c r="G22" s="1" t="n">
        <v>341</v>
      </c>
      <c r="H22" s="1" t="n">
        <v>0.012</v>
      </c>
    </row>
    <row r="23" customFormat="false" ht="12.75" hidden="false" customHeight="true" outlineLevel="0" collapsed="false">
      <c r="A23" s="1" t="n">
        <v>372</v>
      </c>
      <c r="B23" s="1" t="n">
        <v>0.003</v>
      </c>
      <c r="C23" s="1" t="n">
        <v>372</v>
      </c>
      <c r="D23" s="1" t="n">
        <v>0.005</v>
      </c>
      <c r="E23" s="1" t="n">
        <v>372</v>
      </c>
      <c r="F23" s="1" t="n">
        <v>0.008</v>
      </c>
      <c r="G23" s="1" t="n">
        <v>372</v>
      </c>
      <c r="H23" s="1" t="n">
        <v>0.012</v>
      </c>
    </row>
    <row r="24" customFormat="false" ht="12.75" hidden="false" customHeight="true" outlineLevel="0" collapsed="false">
      <c r="A24" s="1" t="n">
        <v>403</v>
      </c>
      <c r="B24" s="1" t="n">
        <v>0.003</v>
      </c>
      <c r="C24" s="1" t="n">
        <v>403</v>
      </c>
      <c r="D24" s="1" t="n">
        <v>0.005</v>
      </c>
      <c r="E24" s="1" t="n">
        <v>403</v>
      </c>
      <c r="F24" s="1" t="n">
        <v>0.009</v>
      </c>
      <c r="G24" s="1" t="n">
        <v>403</v>
      </c>
      <c r="H24" s="1" t="n">
        <v>0.013</v>
      </c>
    </row>
    <row r="25" customFormat="false" ht="12.75" hidden="false" customHeight="true" outlineLevel="0" collapsed="false">
      <c r="A25" s="1" t="n">
        <v>434</v>
      </c>
      <c r="B25" s="1" t="n">
        <v>0.004</v>
      </c>
      <c r="C25" s="1" t="n">
        <v>434</v>
      </c>
      <c r="D25" s="1" t="n">
        <v>0.005</v>
      </c>
      <c r="E25" s="1" t="n">
        <v>434</v>
      </c>
      <c r="F25" s="1" t="n">
        <v>0.009</v>
      </c>
      <c r="G25" s="1" t="n">
        <v>434</v>
      </c>
      <c r="H25" s="1" t="n">
        <v>0.014</v>
      </c>
    </row>
    <row r="26" customFormat="false" ht="12.75" hidden="false" customHeight="true" outlineLevel="0" collapsed="false">
      <c r="A26" s="1" t="n">
        <v>465</v>
      </c>
      <c r="B26" s="1" t="n">
        <v>0.004</v>
      </c>
      <c r="C26" s="1" t="n">
        <v>465</v>
      </c>
      <c r="D26" s="1" t="n">
        <v>0.006</v>
      </c>
      <c r="E26" s="1" t="n">
        <v>465</v>
      </c>
      <c r="F26" s="1" t="n">
        <v>0.01</v>
      </c>
      <c r="G26" s="1" t="n">
        <v>465</v>
      </c>
      <c r="H26" s="1" t="n">
        <v>0.014</v>
      </c>
    </row>
    <row r="27" customFormat="false" ht="12.75" hidden="false" customHeight="true" outlineLevel="0" collapsed="false">
      <c r="A27" s="1" t="n">
        <v>496</v>
      </c>
      <c r="B27" s="1" t="n">
        <v>0.004</v>
      </c>
      <c r="C27" s="1" t="n">
        <v>496</v>
      </c>
      <c r="D27" s="1" t="n">
        <v>0.006</v>
      </c>
      <c r="E27" s="1" t="n">
        <v>496</v>
      </c>
      <c r="F27" s="1" t="n">
        <v>0.01</v>
      </c>
      <c r="G27" s="1" t="n">
        <v>496</v>
      </c>
      <c r="H27" s="1" t="n">
        <v>0.015</v>
      </c>
    </row>
    <row r="28" customFormat="false" ht="12.75" hidden="false" customHeight="true" outlineLevel="0" collapsed="false">
      <c r="A28" s="1" t="n">
        <v>527</v>
      </c>
      <c r="B28" s="1" t="n">
        <v>0.005</v>
      </c>
      <c r="C28" s="1" t="n">
        <v>527</v>
      </c>
      <c r="D28" s="1" t="n">
        <v>0.007</v>
      </c>
      <c r="E28" s="1" t="n">
        <v>527</v>
      </c>
      <c r="F28" s="1" t="n">
        <v>0.011</v>
      </c>
      <c r="G28" s="1" t="n">
        <v>527</v>
      </c>
      <c r="H28" s="1" t="n">
        <v>0.016</v>
      </c>
    </row>
    <row r="29" customFormat="false" ht="12.75" hidden="false" customHeight="true" outlineLevel="0" collapsed="false">
      <c r="A29" s="1" t="n">
        <v>558</v>
      </c>
      <c r="B29" s="1" t="n">
        <v>0.004</v>
      </c>
      <c r="C29" s="1" t="n">
        <v>558</v>
      </c>
      <c r="D29" s="1" t="n">
        <v>0.007</v>
      </c>
      <c r="E29" s="1" t="n">
        <v>558</v>
      </c>
      <c r="F29" s="1" t="n">
        <v>0.011</v>
      </c>
      <c r="G29" s="1" t="n">
        <v>558</v>
      </c>
      <c r="H29" s="1" t="n">
        <v>0.017</v>
      </c>
    </row>
    <row r="30" customFormat="false" ht="12.75" hidden="false" customHeight="true" outlineLevel="0" collapsed="false">
      <c r="A30" s="1" t="n">
        <v>589</v>
      </c>
      <c r="B30" s="1" t="n">
        <v>0.005</v>
      </c>
      <c r="C30" s="1" t="n">
        <v>589</v>
      </c>
      <c r="D30" s="1" t="n">
        <v>0.008</v>
      </c>
      <c r="E30" s="1" t="n">
        <v>589</v>
      </c>
      <c r="F30" s="1" t="n">
        <v>0.012</v>
      </c>
      <c r="G30" s="1" t="n">
        <v>589</v>
      </c>
      <c r="H30" s="1" t="n">
        <v>0.017</v>
      </c>
    </row>
    <row r="31" customFormat="false" ht="12.75" hidden="false" customHeight="true" outlineLevel="0" collapsed="false">
      <c r="A31" s="1" t="n">
        <v>620</v>
      </c>
      <c r="B31" s="1" t="n">
        <v>0.005</v>
      </c>
      <c r="C31" s="1" t="n">
        <v>620</v>
      </c>
      <c r="D31" s="1" t="n">
        <v>0.008</v>
      </c>
      <c r="E31" s="1" t="n">
        <v>620</v>
      </c>
      <c r="F31" s="1" t="n">
        <v>0.013</v>
      </c>
      <c r="G31" s="1" t="n">
        <v>620</v>
      </c>
      <c r="H31" s="1" t="n">
        <v>0.017</v>
      </c>
    </row>
    <row r="32" customFormat="false" ht="12.75" hidden="false" customHeight="true" outlineLevel="0" collapsed="false">
      <c r="A32" s="1" t="n">
        <v>651</v>
      </c>
      <c r="B32" s="1" t="n">
        <v>0.005</v>
      </c>
      <c r="C32" s="1" t="n">
        <v>651</v>
      </c>
      <c r="D32" s="1" t="n">
        <v>0.009</v>
      </c>
      <c r="E32" s="1" t="n">
        <v>651</v>
      </c>
      <c r="F32" s="1" t="n">
        <v>0.013</v>
      </c>
      <c r="G32" s="1" t="n">
        <v>651</v>
      </c>
      <c r="H32" s="1" t="n">
        <v>0.018</v>
      </c>
    </row>
    <row r="33" customFormat="false" ht="12.75" hidden="false" customHeight="true" outlineLevel="0" collapsed="false">
      <c r="A33" s="1" t="n">
        <v>682</v>
      </c>
      <c r="B33" s="1" t="n">
        <v>0.006</v>
      </c>
      <c r="C33" s="1" t="n">
        <v>682</v>
      </c>
      <c r="D33" s="1" t="n">
        <v>0.009</v>
      </c>
      <c r="E33" s="1" t="n">
        <v>682</v>
      </c>
      <c r="F33" s="1" t="n">
        <v>0.013</v>
      </c>
      <c r="G33" s="1" t="n">
        <v>682</v>
      </c>
      <c r="H33" s="1" t="n">
        <v>0.019</v>
      </c>
    </row>
    <row r="34" customFormat="false" ht="12.75" hidden="false" customHeight="true" outlineLevel="0" collapsed="false">
      <c r="A34" s="1" t="n">
        <v>713</v>
      </c>
      <c r="B34" s="1" t="n">
        <v>0.006</v>
      </c>
      <c r="C34" s="1" t="n">
        <v>713</v>
      </c>
      <c r="D34" s="1" t="n">
        <v>0.009</v>
      </c>
      <c r="E34" s="1" t="n">
        <v>713</v>
      </c>
      <c r="F34" s="1" t="n">
        <v>0.014</v>
      </c>
      <c r="G34" s="1" t="n">
        <v>713</v>
      </c>
      <c r="H34" s="1" t="n">
        <v>0.02</v>
      </c>
    </row>
    <row r="35" customFormat="false" ht="12.75" hidden="false" customHeight="true" outlineLevel="0" collapsed="false">
      <c r="A35" s="1" t="n">
        <v>744</v>
      </c>
      <c r="B35" s="1" t="n">
        <v>0.006</v>
      </c>
      <c r="C35" s="1" t="n">
        <v>744</v>
      </c>
      <c r="D35" s="1" t="n">
        <v>0.009</v>
      </c>
      <c r="E35" s="1" t="n">
        <v>744</v>
      </c>
      <c r="F35" s="1" t="n">
        <v>0.014</v>
      </c>
      <c r="G35" s="1" t="n">
        <v>744</v>
      </c>
      <c r="H35" s="1" t="n">
        <v>0.02</v>
      </c>
    </row>
    <row r="36" customFormat="false" ht="12.75" hidden="false" customHeight="true" outlineLevel="0" collapsed="false">
      <c r="A36" s="1" t="n">
        <v>775</v>
      </c>
      <c r="B36" s="1" t="n">
        <v>0.006</v>
      </c>
      <c r="C36" s="1" t="n">
        <v>775</v>
      </c>
      <c r="D36" s="1" t="n">
        <v>0.01</v>
      </c>
      <c r="E36" s="1" t="n">
        <v>775</v>
      </c>
      <c r="F36" s="1" t="n">
        <v>0.014</v>
      </c>
      <c r="G36" s="1" t="n">
        <v>775</v>
      </c>
      <c r="H36" s="1" t="n">
        <v>0.021</v>
      </c>
    </row>
    <row r="37" customFormat="false" ht="12.75" hidden="false" customHeight="true" outlineLevel="0" collapsed="false">
      <c r="A37" s="1" t="n">
        <v>806</v>
      </c>
      <c r="B37" s="1" t="n">
        <v>0.006</v>
      </c>
      <c r="C37" s="1" t="n">
        <v>806</v>
      </c>
      <c r="D37" s="1" t="n">
        <v>0.01</v>
      </c>
      <c r="E37" s="1" t="n">
        <v>806</v>
      </c>
      <c r="F37" s="1" t="n">
        <v>0.015</v>
      </c>
      <c r="G37" s="1" t="n">
        <v>806</v>
      </c>
      <c r="H37" s="1" t="n">
        <v>0.021</v>
      </c>
    </row>
    <row r="38" customFormat="false" ht="12.75" hidden="false" customHeight="true" outlineLevel="0" collapsed="false">
      <c r="A38" s="1" t="n">
        <v>837</v>
      </c>
      <c r="B38" s="1" t="n">
        <v>0.007</v>
      </c>
      <c r="C38" s="1" t="n">
        <v>837</v>
      </c>
      <c r="D38" s="1" t="n">
        <v>0.01</v>
      </c>
      <c r="E38" s="1" t="n">
        <v>837</v>
      </c>
      <c r="F38" s="1" t="n">
        <v>0.015</v>
      </c>
      <c r="G38" s="1" t="n">
        <v>837</v>
      </c>
      <c r="H38" s="1" t="n">
        <v>0.022</v>
      </c>
    </row>
    <row r="39" customFormat="false" ht="12.75" hidden="false" customHeight="true" outlineLevel="0" collapsed="false">
      <c r="A39" s="1" t="n">
        <v>868</v>
      </c>
      <c r="B39" s="1" t="n">
        <v>0.007</v>
      </c>
      <c r="C39" s="1" t="n">
        <v>868</v>
      </c>
      <c r="D39" s="1" t="n">
        <v>0.011</v>
      </c>
      <c r="E39" s="1" t="n">
        <v>868</v>
      </c>
      <c r="F39" s="1" t="n">
        <v>0.016</v>
      </c>
      <c r="G39" s="1" t="n">
        <v>868</v>
      </c>
      <c r="H39" s="1" t="n">
        <v>0.022</v>
      </c>
    </row>
    <row r="40" customFormat="false" ht="12.75" hidden="false" customHeight="true" outlineLevel="0" collapsed="false">
      <c r="A40" s="1" t="n">
        <v>899</v>
      </c>
      <c r="B40" s="1" t="n">
        <v>0.007</v>
      </c>
      <c r="C40" s="1" t="n">
        <v>899</v>
      </c>
      <c r="D40" s="1" t="n">
        <v>0.011</v>
      </c>
      <c r="E40" s="1" t="n">
        <v>899</v>
      </c>
      <c r="F40" s="1" t="n">
        <v>0.016</v>
      </c>
      <c r="G40" s="1" t="n">
        <v>899</v>
      </c>
      <c r="H40" s="1" t="n">
        <v>0.022</v>
      </c>
    </row>
    <row r="41" customFormat="false" ht="12.75" hidden="false" customHeight="true" outlineLevel="0" collapsed="false">
      <c r="A41" s="1" t="n">
        <v>930</v>
      </c>
      <c r="B41" s="1" t="n">
        <v>0.008</v>
      </c>
      <c r="C41" s="1" t="n">
        <v>930</v>
      </c>
      <c r="D41" s="1" t="n">
        <v>0.012</v>
      </c>
      <c r="E41" s="1" t="n">
        <v>930</v>
      </c>
      <c r="F41" s="1" t="n">
        <v>0.016</v>
      </c>
      <c r="G41" s="1" t="n">
        <v>930</v>
      </c>
      <c r="H41" s="1" t="n">
        <v>0.023</v>
      </c>
    </row>
    <row r="42" customFormat="false" ht="12.75" hidden="false" customHeight="true" outlineLevel="0" collapsed="false">
      <c r="A42" s="1" t="n">
        <v>961</v>
      </c>
      <c r="B42" s="1" t="n">
        <v>0.007</v>
      </c>
      <c r="C42" s="1" t="n">
        <v>961</v>
      </c>
      <c r="D42" s="1" t="n">
        <v>0.012</v>
      </c>
      <c r="E42" s="1" t="n">
        <v>961</v>
      </c>
      <c r="F42" s="1" t="n">
        <v>0.017</v>
      </c>
      <c r="G42" s="1" t="n">
        <v>961</v>
      </c>
      <c r="H42" s="1" t="n">
        <v>0.024</v>
      </c>
    </row>
    <row r="43" customFormat="false" ht="12.75" hidden="false" customHeight="true" outlineLevel="0" collapsed="false">
      <c r="A43" s="1" t="n">
        <v>992</v>
      </c>
      <c r="B43" s="1" t="n">
        <v>0.008</v>
      </c>
      <c r="C43" s="1" t="n">
        <v>992</v>
      </c>
      <c r="D43" s="1" t="n">
        <v>0.012</v>
      </c>
      <c r="E43" s="1" t="n">
        <v>992</v>
      </c>
      <c r="F43" s="1" t="n">
        <v>0.018</v>
      </c>
      <c r="G43" s="1" t="n">
        <v>992</v>
      </c>
      <c r="H43" s="1" t="n">
        <v>0.024</v>
      </c>
    </row>
    <row r="44" customFormat="false" ht="12.75" hidden="false" customHeight="true" outlineLevel="0" collapsed="false">
      <c r="A44" s="1" t="n">
        <v>1023</v>
      </c>
      <c r="B44" s="1" t="n">
        <v>0.008</v>
      </c>
      <c r="C44" s="1" t="n">
        <v>1023</v>
      </c>
      <c r="D44" s="1" t="n">
        <v>0.013</v>
      </c>
      <c r="E44" s="1" t="n">
        <v>1023</v>
      </c>
      <c r="F44" s="1" t="n">
        <v>0.018</v>
      </c>
      <c r="G44" s="1" t="n">
        <v>1023</v>
      </c>
      <c r="H44" s="1" t="n">
        <v>0.025</v>
      </c>
    </row>
    <row r="45" customFormat="false" ht="12.75" hidden="false" customHeight="true" outlineLevel="0" collapsed="false">
      <c r="A45" s="1" t="n">
        <v>1054</v>
      </c>
      <c r="B45" s="1" t="n">
        <v>0.008</v>
      </c>
      <c r="C45" s="1" t="n">
        <v>1054</v>
      </c>
      <c r="D45" s="1" t="n">
        <v>0.013</v>
      </c>
      <c r="E45" s="1" t="n">
        <v>1054</v>
      </c>
      <c r="F45" s="1" t="n">
        <v>0.018</v>
      </c>
      <c r="G45" s="1" t="n">
        <v>1054</v>
      </c>
      <c r="H45" s="1" t="n">
        <v>0.025</v>
      </c>
    </row>
    <row r="46" customFormat="false" ht="12.75" hidden="false" customHeight="true" outlineLevel="0" collapsed="false">
      <c r="A46" s="1" t="n">
        <v>1085</v>
      </c>
      <c r="B46" s="1" t="n">
        <v>0.008</v>
      </c>
      <c r="C46" s="1" t="n">
        <v>1085</v>
      </c>
      <c r="D46" s="1" t="n">
        <v>0.013</v>
      </c>
      <c r="E46" s="1" t="n">
        <v>1085</v>
      </c>
      <c r="F46" s="1" t="n">
        <v>0.019</v>
      </c>
      <c r="G46" s="1" t="n">
        <v>1085</v>
      </c>
      <c r="H46" s="1" t="n">
        <v>0.026</v>
      </c>
    </row>
    <row r="47" customFormat="false" ht="12.75" hidden="false" customHeight="true" outlineLevel="0" collapsed="false">
      <c r="A47" s="1" t="n">
        <v>1116</v>
      </c>
      <c r="B47" s="1" t="n">
        <v>0.008</v>
      </c>
      <c r="C47" s="1" t="n">
        <v>1116</v>
      </c>
      <c r="D47" s="1" t="n">
        <v>0.013</v>
      </c>
      <c r="E47" s="1" t="n">
        <v>1116</v>
      </c>
      <c r="F47" s="1" t="n">
        <v>0.019</v>
      </c>
      <c r="G47" s="1" t="n">
        <v>1116</v>
      </c>
      <c r="H47" s="1" t="n">
        <v>0.026</v>
      </c>
      <c r="Q47" s="22" t="s">
        <v>111</v>
      </c>
      <c r="R47" s="22" t="s">
        <v>86</v>
      </c>
      <c r="S47" s="22" t="s">
        <v>112</v>
      </c>
    </row>
    <row r="48" customFormat="false" ht="12.75" hidden="false" customHeight="true" outlineLevel="0" collapsed="false">
      <c r="A48" s="1" t="n">
        <v>1147</v>
      </c>
      <c r="B48" s="1" t="n">
        <v>0.008</v>
      </c>
      <c r="C48" s="1" t="n">
        <v>1147</v>
      </c>
      <c r="D48" s="1" t="n">
        <v>0.014</v>
      </c>
      <c r="E48" s="1" t="n">
        <v>1147</v>
      </c>
      <c r="F48" s="1" t="n">
        <v>0.02</v>
      </c>
      <c r="G48" s="1" t="n">
        <v>1147</v>
      </c>
      <c r="H48" s="1" t="n">
        <v>0.027</v>
      </c>
      <c r="Q48" s="1" t="n">
        <v>0.0476466188994234</v>
      </c>
      <c r="R48" s="22" t="n">
        <v>0.885</v>
      </c>
      <c r="S48" s="1" t="n">
        <f aca="false">Q48/R48</f>
        <v>0.0538379874569756</v>
      </c>
    </row>
    <row r="49" customFormat="false" ht="12.75" hidden="false" customHeight="true" outlineLevel="0" collapsed="false">
      <c r="A49" s="1" t="n">
        <v>1178</v>
      </c>
      <c r="B49" s="1" t="n">
        <v>0.009</v>
      </c>
      <c r="C49" s="1" t="n">
        <v>1178</v>
      </c>
      <c r="D49" s="1" t="n">
        <v>0.014</v>
      </c>
      <c r="E49" s="1" t="n">
        <v>1178</v>
      </c>
      <c r="F49" s="1" t="n">
        <v>0.02</v>
      </c>
      <c r="G49" s="1" t="n">
        <v>1178</v>
      </c>
      <c r="H49" s="1" t="n">
        <v>0.028</v>
      </c>
      <c r="Q49" s="1" t="n">
        <v>0.0952932377988468</v>
      </c>
      <c r="R49" s="22" t="n">
        <v>1.67</v>
      </c>
      <c r="S49" s="1" t="n">
        <f aca="false">Q49/R49</f>
        <v>0.0570618190412257</v>
      </c>
    </row>
    <row r="50" customFormat="false" ht="12.75" hidden="false" customHeight="true" outlineLevel="0" collapsed="false">
      <c r="A50" s="1" t="n">
        <v>1209</v>
      </c>
      <c r="B50" s="1" t="n">
        <v>0.009</v>
      </c>
      <c r="C50" s="1" t="n">
        <v>1209</v>
      </c>
      <c r="D50" s="1" t="n">
        <v>0.015</v>
      </c>
      <c r="E50" s="1" t="n">
        <v>1209</v>
      </c>
      <c r="F50" s="1" t="n">
        <v>0.02</v>
      </c>
      <c r="G50" s="1" t="n">
        <v>1209</v>
      </c>
      <c r="H50" s="1" t="n">
        <v>0.028</v>
      </c>
      <c r="Q50" s="1" t="n">
        <v>0.14293985669827</v>
      </c>
      <c r="R50" s="22" t="n">
        <v>1.99</v>
      </c>
      <c r="S50" s="1" t="n">
        <f aca="false">Q50/R50</f>
        <v>0.0718290737177238</v>
      </c>
    </row>
    <row r="51" customFormat="false" ht="12.75" hidden="false" customHeight="true" outlineLevel="0" collapsed="false">
      <c r="A51" s="1" t="n">
        <v>1240</v>
      </c>
      <c r="B51" s="1" t="n">
        <v>0.009</v>
      </c>
      <c r="C51" s="1" t="n">
        <v>1240</v>
      </c>
      <c r="D51" s="1" t="n">
        <v>0.015</v>
      </c>
      <c r="E51" s="1" t="n">
        <v>1240</v>
      </c>
      <c r="F51" s="1" t="n">
        <v>0.021</v>
      </c>
      <c r="G51" s="1" t="n">
        <v>1240</v>
      </c>
      <c r="H51" s="1" t="n">
        <v>0.028</v>
      </c>
      <c r="Q51" s="1" t="n">
        <v>0.190586475597694</v>
      </c>
      <c r="R51" s="22" t="n">
        <v>2.43</v>
      </c>
      <c r="S51" s="1" t="n">
        <f aca="false">Q51/R51</f>
        <v>0.0784306483941126</v>
      </c>
    </row>
    <row r="52" customFormat="false" ht="12.75" hidden="false" customHeight="true" outlineLevel="0" collapsed="false">
      <c r="A52" s="1" t="n">
        <v>1271</v>
      </c>
      <c r="B52" s="1" t="n">
        <v>0.009</v>
      </c>
      <c r="C52" s="1" t="n">
        <v>1271</v>
      </c>
      <c r="D52" s="1" t="n">
        <v>0.015</v>
      </c>
      <c r="E52" s="1" t="n">
        <v>1271</v>
      </c>
      <c r="F52" s="1" t="n">
        <v>0.021</v>
      </c>
      <c r="G52" s="1" t="n">
        <v>1271</v>
      </c>
      <c r="H52" s="1" t="n">
        <v>0.029</v>
      </c>
    </row>
    <row r="53" customFormat="false" ht="12.75" hidden="false" customHeight="true" outlineLevel="0" collapsed="false">
      <c r="A53" s="1" t="n">
        <v>1302</v>
      </c>
      <c r="B53" s="1" t="n">
        <v>0.009</v>
      </c>
      <c r="C53" s="1" t="n">
        <v>1302</v>
      </c>
      <c r="D53" s="1" t="n">
        <v>0.015</v>
      </c>
      <c r="E53" s="1" t="n">
        <v>1302</v>
      </c>
      <c r="F53" s="1" t="n">
        <v>0.022</v>
      </c>
      <c r="G53" s="1" t="n">
        <v>1302</v>
      </c>
      <c r="H53" s="1" t="n">
        <v>0.029</v>
      </c>
    </row>
    <row r="54" customFormat="false" ht="12.75" hidden="false" customHeight="true" outlineLevel="0" collapsed="false">
      <c r="A54" s="1" t="n">
        <v>1333</v>
      </c>
      <c r="B54" s="1" t="n">
        <v>0.01</v>
      </c>
      <c r="C54" s="1" t="n">
        <v>1333</v>
      </c>
      <c r="D54" s="1" t="n">
        <v>0.016</v>
      </c>
      <c r="E54" s="1" t="n">
        <v>1333</v>
      </c>
      <c r="F54" s="1" t="n">
        <v>0.022</v>
      </c>
      <c r="G54" s="1" t="n">
        <v>1333</v>
      </c>
      <c r="H54" s="1" t="n">
        <v>0.03</v>
      </c>
    </row>
    <row r="55" customFormat="false" ht="12.75" hidden="false" customHeight="true" outlineLevel="0" collapsed="false">
      <c r="A55" s="1" t="n">
        <v>1364</v>
      </c>
      <c r="B55" s="1" t="n">
        <v>0.01</v>
      </c>
      <c r="C55" s="1" t="n">
        <v>1364</v>
      </c>
      <c r="D55" s="1" t="n">
        <v>0.016</v>
      </c>
      <c r="E55" s="1" t="n">
        <v>1364</v>
      </c>
      <c r="F55" s="1" t="n">
        <v>0.022</v>
      </c>
      <c r="G55" s="1" t="n">
        <v>1364</v>
      </c>
      <c r="H55" s="1" t="n">
        <v>0.03</v>
      </c>
    </row>
    <row r="56" customFormat="false" ht="12.75" hidden="false" customHeight="true" outlineLevel="0" collapsed="false">
      <c r="A56" s="1" t="n">
        <v>1395</v>
      </c>
      <c r="B56" s="1" t="n">
        <v>0.01</v>
      </c>
      <c r="C56" s="1" t="n">
        <v>1395</v>
      </c>
      <c r="D56" s="1" t="n">
        <v>0.016</v>
      </c>
      <c r="E56" s="1" t="n">
        <v>1395</v>
      </c>
      <c r="F56" s="1" t="n">
        <v>0.023</v>
      </c>
      <c r="G56" s="1" t="n">
        <v>1395</v>
      </c>
      <c r="H56" s="1" t="n">
        <v>0.03</v>
      </c>
    </row>
    <row r="57" customFormat="false" ht="12.75" hidden="false" customHeight="true" outlineLevel="0" collapsed="false">
      <c r="A57" s="1" t="n">
        <v>1426</v>
      </c>
      <c r="B57" s="1" t="n">
        <v>0.01</v>
      </c>
      <c r="C57" s="1" t="n">
        <v>1426</v>
      </c>
      <c r="D57" s="1" t="n">
        <v>0.017</v>
      </c>
      <c r="E57" s="1" t="n">
        <v>1426</v>
      </c>
      <c r="F57" s="1" t="n">
        <v>0.023</v>
      </c>
      <c r="G57" s="1" t="n">
        <v>1426</v>
      </c>
      <c r="H57" s="1" t="n">
        <v>0.031</v>
      </c>
    </row>
    <row r="58" customFormat="false" ht="12.75" hidden="false" customHeight="true" outlineLevel="0" collapsed="false">
      <c r="A58" s="1" t="n">
        <v>1457</v>
      </c>
      <c r="B58" s="1" t="n">
        <v>0.01</v>
      </c>
      <c r="C58" s="1" t="n">
        <v>1457</v>
      </c>
      <c r="D58" s="1" t="n">
        <v>0.017</v>
      </c>
      <c r="E58" s="1" t="n">
        <v>1457</v>
      </c>
      <c r="F58" s="1" t="n">
        <v>0.023</v>
      </c>
      <c r="G58" s="1" t="n">
        <v>1457</v>
      </c>
      <c r="H58" s="1" t="n">
        <v>0.031</v>
      </c>
    </row>
    <row r="59" customFormat="false" ht="12.75" hidden="false" customHeight="true" outlineLevel="0" collapsed="false">
      <c r="A59" s="1" t="n">
        <v>1488</v>
      </c>
      <c r="B59" s="1" t="n">
        <v>0.01</v>
      </c>
      <c r="C59" s="1" t="n">
        <v>1488</v>
      </c>
      <c r="D59" s="1" t="n">
        <v>0.017</v>
      </c>
      <c r="E59" s="1" t="n">
        <v>1488</v>
      </c>
      <c r="F59" s="1" t="n">
        <v>0.024</v>
      </c>
      <c r="G59" s="1" t="n">
        <v>1488</v>
      </c>
      <c r="H59" s="1" t="n">
        <v>0.033</v>
      </c>
    </row>
    <row r="60" customFormat="false" ht="12.75" hidden="false" customHeight="true" outlineLevel="0" collapsed="false">
      <c r="A60" s="1" t="n">
        <v>1519</v>
      </c>
      <c r="B60" s="1" t="n">
        <v>0.01</v>
      </c>
      <c r="C60" s="1" t="n">
        <v>1519</v>
      </c>
      <c r="D60" s="1" t="n">
        <v>0.017</v>
      </c>
      <c r="E60" s="1" t="n">
        <v>1519</v>
      </c>
      <c r="F60" s="1" t="n">
        <v>0.024</v>
      </c>
      <c r="G60" s="1" t="n">
        <v>1519</v>
      </c>
      <c r="H60" s="1" t="n">
        <v>0.032</v>
      </c>
    </row>
    <row r="61" customFormat="false" ht="12.75" hidden="false" customHeight="true" outlineLevel="0" collapsed="false">
      <c r="A61" s="1" t="n">
        <v>1550</v>
      </c>
      <c r="B61" s="1" t="n">
        <v>0.01</v>
      </c>
      <c r="C61" s="1" t="n">
        <v>1550</v>
      </c>
      <c r="D61" s="1" t="n">
        <v>0.018</v>
      </c>
      <c r="E61" s="1" t="n">
        <v>1550</v>
      </c>
      <c r="F61" s="1" t="n">
        <v>0.025</v>
      </c>
      <c r="G61" s="1" t="n">
        <v>1550</v>
      </c>
      <c r="H61" s="1" t="n">
        <v>0.033</v>
      </c>
    </row>
    <row r="62" customFormat="false" ht="12.75" hidden="false" customHeight="true" outlineLevel="0" collapsed="false">
      <c r="A62" s="1" t="n">
        <v>1581</v>
      </c>
      <c r="B62" s="1" t="n">
        <v>0.011</v>
      </c>
      <c r="C62" s="1" t="n">
        <v>1581</v>
      </c>
      <c r="D62" s="1" t="n">
        <v>0.018</v>
      </c>
      <c r="E62" s="1" t="n">
        <v>1581</v>
      </c>
      <c r="F62" s="1" t="n">
        <v>0.025</v>
      </c>
      <c r="G62" s="1" t="n">
        <v>1581</v>
      </c>
      <c r="H62" s="1" t="n">
        <v>0.034</v>
      </c>
    </row>
    <row r="63" customFormat="false" ht="12.75" hidden="false" customHeight="true" outlineLevel="0" collapsed="false">
      <c r="A63" s="1" t="n">
        <v>1612</v>
      </c>
      <c r="B63" s="1" t="n">
        <v>0.011</v>
      </c>
      <c r="C63" s="1" t="n">
        <v>1612</v>
      </c>
      <c r="D63" s="1" t="n">
        <v>0.018</v>
      </c>
      <c r="E63" s="1" t="n">
        <v>1612</v>
      </c>
      <c r="F63" s="1" t="n">
        <v>0.025</v>
      </c>
      <c r="G63" s="1" t="n">
        <v>1612</v>
      </c>
      <c r="H63" s="1" t="n">
        <v>0.034</v>
      </c>
    </row>
    <row r="64" customFormat="false" ht="12.75" hidden="false" customHeight="true" outlineLevel="0" collapsed="false">
      <c r="A64" s="1" t="n">
        <v>1643</v>
      </c>
      <c r="B64" s="1" t="n">
        <v>0.011</v>
      </c>
      <c r="C64" s="1" t="n">
        <v>1643</v>
      </c>
      <c r="D64" s="1" t="n">
        <v>0.018</v>
      </c>
      <c r="E64" s="1" t="n">
        <v>1643</v>
      </c>
      <c r="F64" s="1" t="n">
        <v>0.026</v>
      </c>
      <c r="G64" s="1" t="n">
        <v>1643</v>
      </c>
      <c r="H64" s="1" t="n">
        <v>0.034</v>
      </c>
    </row>
    <row r="65" customFormat="false" ht="12.75" hidden="false" customHeight="true" outlineLevel="0" collapsed="false">
      <c r="A65" s="1" t="n">
        <v>1674</v>
      </c>
      <c r="B65" s="1" t="n">
        <v>0.011</v>
      </c>
      <c r="C65" s="1" t="n">
        <v>1674</v>
      </c>
      <c r="D65" s="1" t="n">
        <v>0.019</v>
      </c>
      <c r="E65" s="1" t="n">
        <v>1674</v>
      </c>
      <c r="F65" s="1" t="n">
        <v>0.026</v>
      </c>
      <c r="G65" s="1" t="n">
        <v>1674</v>
      </c>
      <c r="H65" s="1" t="n">
        <v>0.035</v>
      </c>
    </row>
    <row r="66" customFormat="false" ht="12.75" hidden="false" customHeight="true" outlineLevel="0" collapsed="false">
      <c r="A66" s="1" t="n">
        <v>1705</v>
      </c>
      <c r="B66" s="1" t="n">
        <v>0.011</v>
      </c>
      <c r="C66" s="1" t="n">
        <v>1705</v>
      </c>
      <c r="D66" s="1" t="n">
        <v>0.019</v>
      </c>
      <c r="E66" s="1" t="n">
        <v>1705</v>
      </c>
      <c r="F66" s="1" t="n">
        <v>0.026</v>
      </c>
      <c r="G66" s="1" t="n">
        <v>1705</v>
      </c>
      <c r="H66" s="1" t="n">
        <v>0.035</v>
      </c>
    </row>
    <row r="67" customFormat="false" ht="12.75" hidden="false" customHeight="true" outlineLevel="0" collapsed="false">
      <c r="A67" s="1" t="n">
        <v>1736</v>
      </c>
      <c r="B67" s="1" t="n">
        <v>0.011</v>
      </c>
      <c r="C67" s="1" t="n">
        <v>1736</v>
      </c>
      <c r="D67" s="1" t="n">
        <v>0.019</v>
      </c>
      <c r="E67" s="1" t="n">
        <v>1736</v>
      </c>
      <c r="F67" s="1" t="n">
        <v>0.027</v>
      </c>
      <c r="G67" s="1" t="n">
        <v>1736</v>
      </c>
      <c r="H67" s="1" t="n">
        <v>0.036</v>
      </c>
    </row>
    <row r="68" customFormat="false" ht="12.75" hidden="false" customHeight="true" outlineLevel="0" collapsed="false">
      <c r="A68" s="1" t="n">
        <v>1767</v>
      </c>
      <c r="B68" s="1" t="n">
        <v>0.012</v>
      </c>
      <c r="C68" s="1" t="n">
        <v>1767</v>
      </c>
      <c r="D68" s="1" t="n">
        <v>0.019</v>
      </c>
    </row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>
      <c r="J76" s="22" t="s">
        <v>113</v>
      </c>
    </row>
    <row r="77" customFormat="false" ht="12.75" hidden="false" customHeight="true" outlineLevel="0" collapsed="false">
      <c r="J77" s="1" t="n">
        <f aca="false">A11-$A$11</f>
        <v>0</v>
      </c>
      <c r="K77" s="1" t="n">
        <f aca="false">B11-$B$11</f>
        <v>0</v>
      </c>
      <c r="L77" s="1" t="n">
        <f aca="false">C11-$C$11</f>
        <v>0</v>
      </c>
      <c r="M77" s="1" t="n">
        <f aca="false">D11-$D$11</f>
        <v>0</v>
      </c>
      <c r="N77" s="1" t="n">
        <f aca="false">E11-$E$11</f>
        <v>0</v>
      </c>
      <c r="O77" s="1" t="n">
        <f aca="false">F11-$F$11</f>
        <v>0</v>
      </c>
      <c r="P77" s="1" t="n">
        <f aca="false">G11-$G$11</f>
        <v>0</v>
      </c>
      <c r="Q77" s="1" t="n">
        <f aca="false">H11-$H$11</f>
        <v>0</v>
      </c>
    </row>
    <row r="78" customFormat="false" ht="12.75" hidden="false" customHeight="true" outlineLevel="0" collapsed="false">
      <c r="J78" s="1" t="n">
        <f aca="false">A12-$A$11</f>
        <v>31</v>
      </c>
      <c r="K78" s="1" t="n">
        <f aca="false">B12-$B$11</f>
        <v>0</v>
      </c>
      <c r="L78" s="1" t="n">
        <f aca="false">C12-$C$11</f>
        <v>31</v>
      </c>
      <c r="M78" s="1" t="n">
        <f aca="false">D12-$D$11</f>
        <v>0</v>
      </c>
      <c r="N78" s="1" t="n">
        <f aca="false">E12-$E$11</f>
        <v>31</v>
      </c>
      <c r="O78" s="1" t="n">
        <f aca="false">F12-$F$11</f>
        <v>0.001</v>
      </c>
      <c r="P78" s="1" t="n">
        <f aca="false">G12-$G$11</f>
        <v>31</v>
      </c>
      <c r="Q78" s="1" t="n">
        <f aca="false">H12-$H$11</f>
        <v>0.001</v>
      </c>
    </row>
    <row r="79" customFormat="false" ht="12.75" hidden="false" customHeight="true" outlineLevel="0" collapsed="false">
      <c r="J79" s="1" t="n">
        <f aca="false">A13-$A$11</f>
        <v>62</v>
      </c>
      <c r="K79" s="1" t="n">
        <f aca="false">B13-$B$11</f>
        <v>0.001</v>
      </c>
      <c r="L79" s="1" t="n">
        <f aca="false">C13-$C$11</f>
        <v>62</v>
      </c>
      <c r="M79" s="1" t="n">
        <f aca="false">D13-$D$11</f>
        <v>0.001</v>
      </c>
      <c r="N79" s="1" t="n">
        <f aca="false">E13-$E$11</f>
        <v>62</v>
      </c>
      <c r="O79" s="1" t="n">
        <f aca="false">F13-$F$11</f>
        <v>0.001</v>
      </c>
      <c r="P79" s="1" t="n">
        <f aca="false">G13-$G$11</f>
        <v>62</v>
      </c>
      <c r="Q79" s="1" t="n">
        <f aca="false">H13-$H$11</f>
        <v>0.002</v>
      </c>
    </row>
    <row r="80" customFormat="false" ht="12.75" hidden="false" customHeight="true" outlineLevel="0" collapsed="false">
      <c r="J80" s="1" t="n">
        <f aca="false">A14-$A$11</f>
        <v>93</v>
      </c>
      <c r="K80" s="1" t="n">
        <f aca="false">B14-$B$11</f>
        <v>0.001</v>
      </c>
      <c r="L80" s="1" t="n">
        <f aca="false">C14-$C$11</f>
        <v>93</v>
      </c>
      <c r="M80" s="1" t="n">
        <f aca="false">D14-$D$11</f>
        <v>0.001</v>
      </c>
      <c r="N80" s="1" t="n">
        <f aca="false">E14-$E$11</f>
        <v>93</v>
      </c>
      <c r="O80" s="1" t="n">
        <f aca="false">F14-$F$11</f>
        <v>0.002</v>
      </c>
      <c r="P80" s="1" t="n">
        <f aca="false">G14-$G$11</f>
        <v>93</v>
      </c>
      <c r="Q80" s="1" t="n">
        <f aca="false">H14-$H$11</f>
        <v>0.002</v>
      </c>
    </row>
    <row r="81" customFormat="false" ht="12.75" hidden="false" customHeight="true" outlineLevel="0" collapsed="false">
      <c r="J81" s="1" t="n">
        <f aca="false">A15-$A$11</f>
        <v>124</v>
      </c>
      <c r="K81" s="1" t="n">
        <f aca="false">B15-$B$11</f>
        <v>0.001</v>
      </c>
      <c r="L81" s="1" t="n">
        <f aca="false">C15-$C$11</f>
        <v>124</v>
      </c>
      <c r="M81" s="1" t="n">
        <f aca="false">D15-$D$11</f>
        <v>0.002</v>
      </c>
      <c r="N81" s="1" t="n">
        <f aca="false">E15-$E$11</f>
        <v>124</v>
      </c>
      <c r="O81" s="1" t="n">
        <f aca="false">F15-$F$11</f>
        <v>0.002</v>
      </c>
      <c r="P81" s="1" t="n">
        <f aca="false">G15-$G$11</f>
        <v>124</v>
      </c>
      <c r="Q81" s="1" t="n">
        <f aca="false">H15-$H$11</f>
        <v>0.003</v>
      </c>
    </row>
    <row r="82" customFormat="false" ht="12.75" hidden="false" customHeight="true" outlineLevel="0" collapsed="false">
      <c r="J82" s="1" t="n">
        <f aca="false">A16-$A$11</f>
        <v>155</v>
      </c>
      <c r="K82" s="1" t="n">
        <f aca="false">B16-$B$11</f>
        <v>0.002</v>
      </c>
      <c r="L82" s="1" t="n">
        <f aca="false">C16-$C$11</f>
        <v>155</v>
      </c>
      <c r="M82" s="1" t="n">
        <f aca="false">D16-$D$11</f>
        <v>0.002</v>
      </c>
      <c r="N82" s="1" t="n">
        <f aca="false">E16-$E$11</f>
        <v>155</v>
      </c>
      <c r="O82" s="1" t="n">
        <f aca="false">F16-$F$11</f>
        <v>0.003</v>
      </c>
      <c r="P82" s="1" t="n">
        <f aca="false">G16-$G$11</f>
        <v>155</v>
      </c>
      <c r="Q82" s="1" t="n">
        <f aca="false">H16-$H$11</f>
        <v>0.003</v>
      </c>
    </row>
    <row r="83" customFormat="false" ht="12.75" hidden="false" customHeight="true" outlineLevel="0" collapsed="false">
      <c r="J83" s="1" t="n">
        <f aca="false">A17-$A$11</f>
        <v>186</v>
      </c>
      <c r="K83" s="1" t="n">
        <f aca="false">B17-$B$11</f>
        <v>0.002</v>
      </c>
      <c r="L83" s="1" t="n">
        <f aca="false">C17-$C$11</f>
        <v>186</v>
      </c>
      <c r="M83" s="1" t="n">
        <f aca="false">D17-$D$11</f>
        <v>0.003</v>
      </c>
      <c r="N83" s="1" t="n">
        <f aca="false">E17-$E$11</f>
        <v>186</v>
      </c>
      <c r="O83" s="1" t="n">
        <f aca="false">F17-$F$11</f>
        <v>0.003</v>
      </c>
      <c r="P83" s="1" t="n">
        <f aca="false">G17-$G$11</f>
        <v>186</v>
      </c>
      <c r="Q83" s="1" t="n">
        <f aca="false">H17-$H$11</f>
        <v>0.004</v>
      </c>
    </row>
    <row r="84" customFormat="false" ht="12.75" hidden="false" customHeight="true" outlineLevel="0" collapsed="false">
      <c r="J84" s="1" t="n">
        <f aca="false">A18-$A$11</f>
        <v>217</v>
      </c>
      <c r="K84" s="1" t="n">
        <f aca="false">B18-$B$11</f>
        <v>0.002</v>
      </c>
      <c r="L84" s="1" t="n">
        <f aca="false">C18-$C$11</f>
        <v>217</v>
      </c>
      <c r="M84" s="1" t="n">
        <f aca="false">D18-$D$11</f>
        <v>0.003</v>
      </c>
      <c r="N84" s="1" t="n">
        <f aca="false">E18-$E$11</f>
        <v>217</v>
      </c>
      <c r="O84" s="1" t="n">
        <f aca="false">F18-$F$11</f>
        <v>0.004</v>
      </c>
      <c r="P84" s="1" t="n">
        <f aca="false">G18-$G$11</f>
        <v>217</v>
      </c>
      <c r="Q84" s="1" t="n">
        <f aca="false">H18-$H$11</f>
        <v>0.005</v>
      </c>
    </row>
    <row r="85" customFormat="false" ht="12.75" hidden="false" customHeight="true" outlineLevel="0" collapsed="false">
      <c r="J85" s="1" t="n">
        <f aca="false">A19-$A$11</f>
        <v>248</v>
      </c>
      <c r="K85" s="1" t="n">
        <f aca="false">B19-$B$11</f>
        <v>0.002</v>
      </c>
      <c r="L85" s="1" t="n">
        <f aca="false">C19-$C$11</f>
        <v>248</v>
      </c>
      <c r="M85" s="1" t="n">
        <f aca="false">D19-$D$11</f>
        <v>0.003</v>
      </c>
      <c r="N85" s="1" t="n">
        <f aca="false">E19-$E$11</f>
        <v>248</v>
      </c>
      <c r="O85" s="1" t="n">
        <f aca="false">F19-$F$11</f>
        <v>0.005</v>
      </c>
      <c r="P85" s="1" t="n">
        <f aca="false">G19-$G$11</f>
        <v>248</v>
      </c>
      <c r="Q85" s="1" t="n">
        <f aca="false">H19-$H$11</f>
        <v>0.006</v>
      </c>
    </row>
    <row r="86" customFormat="false" ht="12.75" hidden="false" customHeight="true" outlineLevel="0" collapsed="false">
      <c r="J86" s="1" t="n">
        <f aca="false">A20-$A$11</f>
        <v>279</v>
      </c>
      <c r="K86" s="1" t="n">
        <f aca="false">B20-$B$11</f>
        <v>0.003</v>
      </c>
      <c r="L86" s="1" t="n">
        <f aca="false">C20-$C$11</f>
        <v>279</v>
      </c>
      <c r="M86" s="1" t="n">
        <f aca="false">D20-$D$11</f>
        <v>0.004</v>
      </c>
      <c r="N86" s="1" t="n">
        <f aca="false">E20-$E$11</f>
        <v>279</v>
      </c>
      <c r="O86" s="1" t="n">
        <f aca="false">F20-$F$11</f>
        <v>0.006</v>
      </c>
      <c r="P86" s="1" t="n">
        <f aca="false">G20-$G$11</f>
        <v>279</v>
      </c>
      <c r="Q86" s="1" t="n">
        <f aca="false">H20-$H$11</f>
        <v>0.006</v>
      </c>
    </row>
    <row r="87" customFormat="false" ht="12.75" hidden="false" customHeight="true" outlineLevel="0" collapsed="false">
      <c r="J87" s="1" t="n">
        <f aca="false">A21-$A$11</f>
        <v>310</v>
      </c>
      <c r="K87" s="1" t="n">
        <f aca="false">B21-$B$11</f>
        <v>0.003</v>
      </c>
      <c r="L87" s="1" t="n">
        <f aca="false">C21-$C$11</f>
        <v>310</v>
      </c>
      <c r="M87" s="1" t="n">
        <f aca="false">D21-$D$11</f>
        <v>0.004</v>
      </c>
      <c r="N87" s="1" t="n">
        <f aca="false">E21-$E$11</f>
        <v>310</v>
      </c>
      <c r="O87" s="1" t="n">
        <f aca="false">F21-$F$11</f>
        <v>0.006</v>
      </c>
      <c r="P87" s="1" t="n">
        <f aca="false">G21-$G$11</f>
        <v>310</v>
      </c>
      <c r="Q87" s="1" t="n">
        <f aca="false">H21-$H$11</f>
        <v>0.007</v>
      </c>
    </row>
    <row r="88" customFormat="false" ht="12.75" hidden="false" customHeight="true" outlineLevel="0" collapsed="false">
      <c r="J88" s="1" t="n">
        <f aca="false">A22-$A$11</f>
        <v>341</v>
      </c>
      <c r="K88" s="1" t="n">
        <f aca="false">B22-$B$11</f>
        <v>0.003</v>
      </c>
      <c r="L88" s="1" t="n">
        <f aca="false">C22-$C$11</f>
        <v>341</v>
      </c>
      <c r="M88" s="1" t="n">
        <f aca="false">D22-$D$11</f>
        <v>0.005</v>
      </c>
      <c r="N88" s="1" t="n">
        <f aca="false">E22-$E$11</f>
        <v>341</v>
      </c>
      <c r="O88" s="1" t="n">
        <f aca="false">F22-$F$11</f>
        <v>0.006</v>
      </c>
      <c r="P88" s="1" t="n">
        <f aca="false">G22-$G$11</f>
        <v>341</v>
      </c>
      <c r="Q88" s="1" t="n">
        <f aca="false">H22-$H$11</f>
        <v>0.008</v>
      </c>
    </row>
    <row r="89" customFormat="false" ht="12.75" hidden="false" customHeight="true" outlineLevel="0" collapsed="false">
      <c r="J89" s="1" t="n">
        <f aca="false">A23-$A$11</f>
        <v>372</v>
      </c>
      <c r="K89" s="1" t="n">
        <f aca="false">B23-$B$11</f>
        <v>0.003</v>
      </c>
      <c r="L89" s="1" t="n">
        <f aca="false">C23-$C$11</f>
        <v>372</v>
      </c>
      <c r="M89" s="1" t="n">
        <f aca="false">D23-$D$11</f>
        <v>0.006</v>
      </c>
      <c r="N89" s="1" t="n">
        <f aca="false">E23-$E$11</f>
        <v>372</v>
      </c>
      <c r="O89" s="1" t="n">
        <f aca="false">F23-$F$11</f>
        <v>0.007</v>
      </c>
      <c r="P89" s="1" t="n">
        <f aca="false">G23-$G$11</f>
        <v>372</v>
      </c>
      <c r="Q89" s="1" t="n">
        <f aca="false">H23-$H$11</f>
        <v>0.008</v>
      </c>
    </row>
    <row r="90" customFormat="false" ht="12.75" hidden="false" customHeight="true" outlineLevel="0" collapsed="false">
      <c r="J90" s="1" t="n">
        <f aca="false">A24-$A$11</f>
        <v>403</v>
      </c>
      <c r="K90" s="1" t="n">
        <f aca="false">B24-$B$11</f>
        <v>0.003</v>
      </c>
      <c r="L90" s="1" t="n">
        <f aca="false">C24-$C$11</f>
        <v>403</v>
      </c>
      <c r="M90" s="1" t="n">
        <f aca="false">D24-$D$11</f>
        <v>0.006</v>
      </c>
      <c r="N90" s="1" t="n">
        <f aca="false">E24-$E$11</f>
        <v>403</v>
      </c>
      <c r="O90" s="1" t="n">
        <f aca="false">F24-$F$11</f>
        <v>0.008</v>
      </c>
      <c r="P90" s="1" t="n">
        <f aca="false">G24-$G$11</f>
        <v>403</v>
      </c>
      <c r="Q90" s="1" t="n">
        <f aca="false">H24-$H$11</f>
        <v>0.009</v>
      </c>
    </row>
    <row r="91" customFormat="false" ht="12.75" hidden="false" customHeight="true" outlineLevel="0" collapsed="false">
      <c r="J91" s="1" t="n">
        <f aca="false">A25-$A$11</f>
        <v>434</v>
      </c>
      <c r="K91" s="1" t="n">
        <f aca="false">B25-$B$11</f>
        <v>0.004</v>
      </c>
      <c r="L91" s="1" t="n">
        <f aca="false">C25-$C$11</f>
        <v>434</v>
      </c>
      <c r="M91" s="1" t="n">
        <f aca="false">D25-$D$11</f>
        <v>0.006</v>
      </c>
      <c r="N91" s="1" t="n">
        <f aca="false">E25-$E$11</f>
        <v>434</v>
      </c>
      <c r="O91" s="1" t="n">
        <f aca="false">F25-$F$11</f>
        <v>0.008</v>
      </c>
      <c r="P91" s="1" t="n">
        <f aca="false">G25-$G$11</f>
        <v>434</v>
      </c>
      <c r="Q91" s="1" t="n">
        <f aca="false">H25-$H$11</f>
        <v>0.01</v>
      </c>
    </row>
    <row r="92" customFormat="false" ht="12.75" hidden="false" customHeight="true" outlineLevel="0" collapsed="false">
      <c r="J92" s="1" t="n">
        <f aca="false">A26-$A$11</f>
        <v>465</v>
      </c>
      <c r="K92" s="1" t="n">
        <f aca="false">B26-$B$11</f>
        <v>0.004</v>
      </c>
      <c r="L92" s="1" t="n">
        <f aca="false">C26-$C$11</f>
        <v>465</v>
      </c>
      <c r="M92" s="1" t="n">
        <f aca="false">D26-$D$11</f>
        <v>0.007</v>
      </c>
      <c r="N92" s="1" t="n">
        <f aca="false">E26-$E$11</f>
        <v>465</v>
      </c>
      <c r="O92" s="1" t="n">
        <f aca="false">F26-$F$11</f>
        <v>0.009</v>
      </c>
      <c r="P92" s="1" t="n">
        <f aca="false">G26-$G$11</f>
        <v>465</v>
      </c>
      <c r="Q92" s="1" t="n">
        <f aca="false">H26-$H$11</f>
        <v>0.01</v>
      </c>
    </row>
    <row r="93" customFormat="false" ht="12.75" hidden="false" customHeight="true" outlineLevel="0" collapsed="false">
      <c r="J93" s="1" t="n">
        <f aca="false">A27-$A$11</f>
        <v>496</v>
      </c>
      <c r="K93" s="1" t="n">
        <f aca="false">B27-$B$11</f>
        <v>0.004</v>
      </c>
      <c r="L93" s="1" t="n">
        <f aca="false">C27-$C$11</f>
        <v>496</v>
      </c>
      <c r="M93" s="1" t="n">
        <f aca="false">D27-$D$11</f>
        <v>0.007</v>
      </c>
      <c r="N93" s="1" t="n">
        <f aca="false">E27-$E$11</f>
        <v>496</v>
      </c>
      <c r="O93" s="1" t="n">
        <f aca="false">F27-$F$11</f>
        <v>0.009</v>
      </c>
      <c r="P93" s="1" t="n">
        <f aca="false">G27-$G$11</f>
        <v>496</v>
      </c>
      <c r="Q93" s="1" t="n">
        <f aca="false">H27-$H$11</f>
        <v>0.011</v>
      </c>
    </row>
    <row r="94" customFormat="false" ht="12.75" hidden="false" customHeight="true" outlineLevel="0" collapsed="false">
      <c r="J94" s="1" t="n">
        <f aca="false">A28-$A$11</f>
        <v>527</v>
      </c>
      <c r="K94" s="1" t="n">
        <f aca="false">B28-$B$11</f>
        <v>0.005</v>
      </c>
      <c r="L94" s="1" t="n">
        <f aca="false">C28-$C$11</f>
        <v>527</v>
      </c>
      <c r="M94" s="1" t="n">
        <f aca="false">D28-$D$11</f>
        <v>0.008</v>
      </c>
      <c r="N94" s="1" t="n">
        <f aca="false">E28-$E$11</f>
        <v>527</v>
      </c>
      <c r="O94" s="1" t="n">
        <f aca="false">F28-$F$11</f>
        <v>0.01</v>
      </c>
      <c r="P94" s="1" t="n">
        <f aca="false">G28-$G$11</f>
        <v>527</v>
      </c>
      <c r="Q94" s="1" t="n">
        <f aca="false">H28-$H$11</f>
        <v>0.012</v>
      </c>
    </row>
    <row r="95" customFormat="false" ht="12.75" hidden="false" customHeight="true" outlineLevel="0" collapsed="false">
      <c r="J95" s="1" t="n">
        <f aca="false">A29-$A$11</f>
        <v>558</v>
      </c>
      <c r="K95" s="1" t="n">
        <f aca="false">B29-$B$11</f>
        <v>0.004</v>
      </c>
      <c r="L95" s="1" t="n">
        <f aca="false">C29-$C$11</f>
        <v>558</v>
      </c>
      <c r="M95" s="1" t="n">
        <f aca="false">D29-$D$11</f>
        <v>0.008</v>
      </c>
      <c r="N95" s="1" t="n">
        <f aca="false">E29-$E$11</f>
        <v>558</v>
      </c>
      <c r="O95" s="1" t="n">
        <f aca="false">F29-$F$11</f>
        <v>0.01</v>
      </c>
      <c r="P95" s="1" t="n">
        <f aca="false">G29-$G$11</f>
        <v>558</v>
      </c>
      <c r="Q95" s="1" t="n">
        <f aca="false">H29-$H$11</f>
        <v>0.013</v>
      </c>
    </row>
    <row r="96" customFormat="false" ht="12.75" hidden="false" customHeight="true" outlineLevel="0" collapsed="false">
      <c r="J96" s="1" t="n">
        <f aca="false">A30-$A$11</f>
        <v>589</v>
      </c>
      <c r="K96" s="1" t="n">
        <f aca="false">B30-$B$11</f>
        <v>0.005</v>
      </c>
      <c r="L96" s="1" t="n">
        <f aca="false">C30-$C$11</f>
        <v>589</v>
      </c>
      <c r="M96" s="1" t="n">
        <f aca="false">D30-$D$11</f>
        <v>0.009</v>
      </c>
      <c r="N96" s="1" t="n">
        <f aca="false">E30-$E$11</f>
        <v>589</v>
      </c>
      <c r="O96" s="1" t="n">
        <f aca="false">F30-$F$11</f>
        <v>0.011</v>
      </c>
      <c r="P96" s="1" t="n">
        <f aca="false">G30-$G$11</f>
        <v>589</v>
      </c>
      <c r="Q96" s="1" t="n">
        <f aca="false">H30-$H$11</f>
        <v>0.013</v>
      </c>
    </row>
    <row r="97" customFormat="false" ht="12.75" hidden="false" customHeight="true" outlineLevel="0" collapsed="false">
      <c r="J97" s="1" t="n">
        <f aca="false">A31-$A$11</f>
        <v>620</v>
      </c>
      <c r="K97" s="1" t="n">
        <f aca="false">B31-$B$11</f>
        <v>0.005</v>
      </c>
      <c r="L97" s="1" t="n">
        <f aca="false">C31-$C$11</f>
        <v>620</v>
      </c>
      <c r="M97" s="1" t="n">
        <f aca="false">D31-$D$11</f>
        <v>0.009</v>
      </c>
      <c r="N97" s="1" t="n">
        <f aca="false">E31-$E$11</f>
        <v>620</v>
      </c>
      <c r="O97" s="1" t="n">
        <f aca="false">F31-$F$11</f>
        <v>0.012</v>
      </c>
      <c r="P97" s="1" t="n">
        <f aca="false">G31-$G$11</f>
        <v>620</v>
      </c>
      <c r="Q97" s="1" t="n">
        <f aca="false">H31-$H$11</f>
        <v>0.013</v>
      </c>
    </row>
    <row r="98" customFormat="false" ht="12.75" hidden="false" customHeight="true" outlineLevel="0" collapsed="false">
      <c r="J98" s="1" t="n">
        <f aca="false">A32-$A$11</f>
        <v>651</v>
      </c>
      <c r="K98" s="1" t="n">
        <f aca="false">B32-$B$11</f>
        <v>0.005</v>
      </c>
      <c r="L98" s="1" t="n">
        <f aca="false">C32-$C$11</f>
        <v>651</v>
      </c>
      <c r="M98" s="1" t="n">
        <f aca="false">D32-$D$11</f>
        <v>0.01</v>
      </c>
      <c r="N98" s="1" t="n">
        <f aca="false">E32-$E$11</f>
        <v>651</v>
      </c>
      <c r="O98" s="1" t="n">
        <f aca="false">F32-$F$11</f>
        <v>0.012</v>
      </c>
      <c r="P98" s="1" t="n">
        <f aca="false">G32-$G$11</f>
        <v>651</v>
      </c>
      <c r="Q98" s="1" t="n">
        <f aca="false">H32-$H$11</f>
        <v>0.014</v>
      </c>
    </row>
    <row r="99" customFormat="false" ht="12.75" hidden="false" customHeight="true" outlineLevel="0" collapsed="false">
      <c r="J99" s="1" t="n">
        <f aca="false">A33-$A$11</f>
        <v>682</v>
      </c>
      <c r="K99" s="1" t="n">
        <f aca="false">B33-$B$11</f>
        <v>0.006</v>
      </c>
      <c r="L99" s="1" t="n">
        <f aca="false">C33-$C$11</f>
        <v>682</v>
      </c>
      <c r="M99" s="1" t="n">
        <f aca="false">D33-$D$11</f>
        <v>0.01</v>
      </c>
      <c r="N99" s="1" t="n">
        <f aca="false">E33-$E$11</f>
        <v>682</v>
      </c>
      <c r="O99" s="1" t="n">
        <f aca="false">F33-$F$11</f>
        <v>0.012</v>
      </c>
      <c r="P99" s="1" t="n">
        <f aca="false">G33-$G$11</f>
        <v>682</v>
      </c>
      <c r="Q99" s="1" t="n">
        <f aca="false">H33-$H$11</f>
        <v>0.015</v>
      </c>
    </row>
    <row r="100" customFormat="false" ht="12.75" hidden="false" customHeight="true" outlineLevel="0" collapsed="false">
      <c r="J100" s="1" t="n">
        <f aca="false">A34-$A$11</f>
        <v>713</v>
      </c>
      <c r="K100" s="1" t="n">
        <f aca="false">B34-$B$11</f>
        <v>0.006</v>
      </c>
      <c r="L100" s="1" t="n">
        <f aca="false">C34-$C$11</f>
        <v>713</v>
      </c>
      <c r="M100" s="1" t="n">
        <f aca="false">D34-$D$11</f>
        <v>0.01</v>
      </c>
      <c r="N100" s="1" t="n">
        <f aca="false">E34-$E$11</f>
        <v>713</v>
      </c>
      <c r="O100" s="1" t="n">
        <f aca="false">F34-$F$11</f>
        <v>0.013</v>
      </c>
      <c r="P100" s="1" t="n">
        <f aca="false">G34-$G$11</f>
        <v>713</v>
      </c>
      <c r="Q100" s="1" t="n">
        <f aca="false">H34-$H$11</f>
        <v>0.016</v>
      </c>
    </row>
    <row r="101" customFormat="false" ht="12.75" hidden="false" customHeight="true" outlineLevel="0" collapsed="false">
      <c r="J101" s="1" t="n">
        <f aca="false">A35-$A$11</f>
        <v>744</v>
      </c>
      <c r="K101" s="1" t="n">
        <f aca="false">B35-$B$11</f>
        <v>0.006</v>
      </c>
      <c r="L101" s="1" t="n">
        <f aca="false">C35-$C$11</f>
        <v>744</v>
      </c>
      <c r="M101" s="1" t="n">
        <f aca="false">D35-$D$11</f>
        <v>0.01</v>
      </c>
      <c r="N101" s="1" t="n">
        <f aca="false">E35-$E$11</f>
        <v>744</v>
      </c>
      <c r="O101" s="1" t="n">
        <f aca="false">F35-$F$11</f>
        <v>0.013</v>
      </c>
      <c r="P101" s="1" t="n">
        <f aca="false">G35-$G$11</f>
        <v>744</v>
      </c>
      <c r="Q101" s="1" t="n">
        <f aca="false">H35-$H$11</f>
        <v>0.016</v>
      </c>
    </row>
    <row r="102" customFormat="false" ht="12.75" hidden="false" customHeight="true" outlineLevel="0" collapsed="false">
      <c r="J102" s="1" t="n">
        <f aca="false">A36-$A$11</f>
        <v>775</v>
      </c>
      <c r="K102" s="1" t="n">
        <f aca="false">B36-$B$11</f>
        <v>0.006</v>
      </c>
      <c r="L102" s="1" t="n">
        <f aca="false">C36-$C$11</f>
        <v>775</v>
      </c>
      <c r="M102" s="1" t="n">
        <f aca="false">D36-$D$11</f>
        <v>0.011</v>
      </c>
      <c r="N102" s="1" t="n">
        <f aca="false">E36-$E$11</f>
        <v>775</v>
      </c>
      <c r="O102" s="1" t="n">
        <f aca="false">F36-$F$11</f>
        <v>0.013</v>
      </c>
      <c r="P102" s="1" t="n">
        <f aca="false">G36-$G$11</f>
        <v>775</v>
      </c>
      <c r="Q102" s="1" t="n">
        <f aca="false">H36-$H$11</f>
        <v>0.017</v>
      </c>
    </row>
    <row r="103" customFormat="false" ht="12.75" hidden="false" customHeight="true" outlineLevel="0" collapsed="false">
      <c r="J103" s="1" t="n">
        <f aca="false">A37-$A$11</f>
        <v>806</v>
      </c>
      <c r="K103" s="1" t="n">
        <f aca="false">B37-$B$11</f>
        <v>0.006</v>
      </c>
      <c r="L103" s="1" t="n">
        <f aca="false">C37-$C$11</f>
        <v>806</v>
      </c>
      <c r="M103" s="1" t="n">
        <f aca="false">D37-$D$11</f>
        <v>0.011</v>
      </c>
      <c r="N103" s="1" t="n">
        <f aca="false">E37-$E$11</f>
        <v>806</v>
      </c>
      <c r="O103" s="1" t="n">
        <f aca="false">F37-$F$11</f>
        <v>0.014</v>
      </c>
      <c r="P103" s="1" t="n">
        <f aca="false">G37-$G$11</f>
        <v>806</v>
      </c>
      <c r="Q103" s="1" t="n">
        <f aca="false">H37-$H$11</f>
        <v>0.017</v>
      </c>
    </row>
    <row r="104" customFormat="false" ht="12.75" hidden="false" customHeight="true" outlineLevel="0" collapsed="false">
      <c r="J104" s="1" t="n">
        <f aca="false">A38-$A$11</f>
        <v>837</v>
      </c>
      <c r="K104" s="1" t="n">
        <f aca="false">B38-$B$11</f>
        <v>0.007</v>
      </c>
      <c r="L104" s="1" t="n">
        <f aca="false">C38-$C$11</f>
        <v>837</v>
      </c>
      <c r="M104" s="1" t="n">
        <f aca="false">D38-$D$11</f>
        <v>0.011</v>
      </c>
      <c r="N104" s="1" t="n">
        <f aca="false">E38-$E$11</f>
        <v>837</v>
      </c>
      <c r="O104" s="1" t="n">
        <f aca="false">F38-$F$11</f>
        <v>0.014</v>
      </c>
      <c r="P104" s="1" t="n">
        <f aca="false">G38-$G$11</f>
        <v>837</v>
      </c>
      <c r="Q104" s="1" t="n">
        <f aca="false">H38-$H$11</f>
        <v>0.018</v>
      </c>
    </row>
    <row r="105" customFormat="false" ht="12.75" hidden="false" customHeight="true" outlineLevel="0" collapsed="false">
      <c r="J105" s="1" t="n">
        <f aca="false">A39-$A$11</f>
        <v>868</v>
      </c>
      <c r="K105" s="1" t="n">
        <f aca="false">B39-$B$11</f>
        <v>0.007</v>
      </c>
      <c r="L105" s="1" t="n">
        <f aca="false">C39-$C$11</f>
        <v>868</v>
      </c>
      <c r="M105" s="1" t="n">
        <f aca="false">D39-$D$11</f>
        <v>0.012</v>
      </c>
      <c r="N105" s="1" t="n">
        <f aca="false">E39-$E$11</f>
        <v>868</v>
      </c>
      <c r="O105" s="1" t="n">
        <f aca="false">F39-$F$11</f>
        <v>0.015</v>
      </c>
      <c r="P105" s="1" t="n">
        <f aca="false">G39-$G$11</f>
        <v>868</v>
      </c>
      <c r="Q105" s="1" t="n">
        <f aca="false">H39-$H$11</f>
        <v>0.018</v>
      </c>
    </row>
    <row r="106" customFormat="false" ht="12.75" hidden="false" customHeight="true" outlineLevel="0" collapsed="false">
      <c r="J106" s="1" t="n">
        <f aca="false">A40-$A$11</f>
        <v>899</v>
      </c>
      <c r="K106" s="1" t="n">
        <f aca="false">B40-$B$11</f>
        <v>0.007</v>
      </c>
      <c r="L106" s="1" t="n">
        <f aca="false">C40-$C$11</f>
        <v>899</v>
      </c>
      <c r="M106" s="1" t="n">
        <f aca="false">D40-$D$11</f>
        <v>0.012</v>
      </c>
      <c r="N106" s="1" t="n">
        <f aca="false">E40-$E$11</f>
        <v>899</v>
      </c>
      <c r="O106" s="1" t="n">
        <f aca="false">F40-$F$11</f>
        <v>0.015</v>
      </c>
      <c r="P106" s="1" t="n">
        <f aca="false">G40-$G$11</f>
        <v>899</v>
      </c>
      <c r="Q106" s="1" t="n">
        <f aca="false">H40-$H$11</f>
        <v>0.018</v>
      </c>
    </row>
    <row r="107" customFormat="false" ht="12.75" hidden="false" customHeight="true" outlineLevel="0" collapsed="false">
      <c r="J107" s="1" t="n">
        <f aca="false">A41-$A$11</f>
        <v>930</v>
      </c>
      <c r="K107" s="1" t="n">
        <f aca="false">B41-$B$11</f>
        <v>0.008</v>
      </c>
      <c r="L107" s="1" t="n">
        <f aca="false">C41-$C$11</f>
        <v>930</v>
      </c>
      <c r="M107" s="1" t="n">
        <f aca="false">D41-$D$11</f>
        <v>0.013</v>
      </c>
      <c r="N107" s="1" t="n">
        <f aca="false">E41-$E$11</f>
        <v>930</v>
      </c>
      <c r="O107" s="1" t="n">
        <f aca="false">F41-$F$11</f>
        <v>0.015</v>
      </c>
      <c r="P107" s="1" t="n">
        <f aca="false">G41-$G$11</f>
        <v>930</v>
      </c>
      <c r="Q107" s="1" t="n">
        <f aca="false">H41-$H$11</f>
        <v>0.019</v>
      </c>
    </row>
    <row r="108" customFormat="false" ht="12.75" hidden="false" customHeight="true" outlineLevel="0" collapsed="false">
      <c r="J108" s="1" t="n">
        <f aca="false">A42-$A$11</f>
        <v>961</v>
      </c>
      <c r="K108" s="1" t="n">
        <f aca="false">B42-$B$11</f>
        <v>0.007</v>
      </c>
      <c r="L108" s="1" t="n">
        <f aca="false">C42-$C$11</f>
        <v>961</v>
      </c>
      <c r="M108" s="1" t="n">
        <f aca="false">D42-$D$11</f>
        <v>0.013</v>
      </c>
      <c r="N108" s="1" t="n">
        <f aca="false">E42-$E$11</f>
        <v>961</v>
      </c>
      <c r="O108" s="1" t="n">
        <f aca="false">F42-$F$11</f>
        <v>0.016</v>
      </c>
      <c r="P108" s="1" t="n">
        <f aca="false">G42-$G$11</f>
        <v>961</v>
      </c>
      <c r="Q108" s="1" t="n">
        <f aca="false">H42-$H$11</f>
        <v>0.02</v>
      </c>
    </row>
    <row r="109" customFormat="false" ht="12.75" hidden="false" customHeight="true" outlineLevel="0" collapsed="false">
      <c r="J109" s="1" t="n">
        <f aca="false">A43-$A$11</f>
        <v>992</v>
      </c>
      <c r="K109" s="1" t="n">
        <f aca="false">B43-$B$11</f>
        <v>0.008</v>
      </c>
      <c r="L109" s="1" t="n">
        <f aca="false">C43-$C$11</f>
        <v>992</v>
      </c>
      <c r="M109" s="1" t="n">
        <f aca="false">D43-$D$11</f>
        <v>0.013</v>
      </c>
      <c r="N109" s="1" t="n">
        <f aca="false">E43-$E$11</f>
        <v>992</v>
      </c>
      <c r="O109" s="1" t="n">
        <f aca="false">F43-$F$11</f>
        <v>0.017</v>
      </c>
      <c r="P109" s="1" t="n">
        <f aca="false">G43-$G$11</f>
        <v>992</v>
      </c>
      <c r="Q109" s="1" t="n">
        <f aca="false">H43-$H$11</f>
        <v>0.02</v>
      </c>
    </row>
    <row r="110" customFormat="false" ht="12.75" hidden="false" customHeight="true" outlineLevel="0" collapsed="false">
      <c r="J110" s="1" t="n">
        <f aca="false">A44-$A$11</f>
        <v>1023</v>
      </c>
      <c r="K110" s="1" t="n">
        <f aca="false">B44-$B$11</f>
        <v>0.008</v>
      </c>
      <c r="L110" s="1" t="n">
        <f aca="false">C44-$C$11</f>
        <v>1023</v>
      </c>
      <c r="M110" s="1" t="n">
        <f aca="false">D44-$D$11</f>
        <v>0.014</v>
      </c>
      <c r="N110" s="1" t="n">
        <f aca="false">E44-$E$11</f>
        <v>1023</v>
      </c>
      <c r="O110" s="1" t="n">
        <f aca="false">F44-$F$11</f>
        <v>0.017</v>
      </c>
      <c r="P110" s="1" t="n">
        <f aca="false">G44-$G$11</f>
        <v>1023</v>
      </c>
      <c r="Q110" s="1" t="n">
        <f aca="false">H44-$H$11</f>
        <v>0.021</v>
      </c>
    </row>
    <row r="111" customFormat="false" ht="12.75" hidden="false" customHeight="true" outlineLevel="0" collapsed="false">
      <c r="J111" s="1" t="n">
        <f aca="false">A45-$A$11</f>
        <v>1054</v>
      </c>
      <c r="K111" s="1" t="n">
        <f aca="false">B45-$B$11</f>
        <v>0.008</v>
      </c>
      <c r="L111" s="1" t="n">
        <f aca="false">C45-$C$11</f>
        <v>1054</v>
      </c>
      <c r="M111" s="1" t="n">
        <f aca="false">D45-$D$11</f>
        <v>0.014</v>
      </c>
      <c r="N111" s="1" t="n">
        <f aca="false">E45-$E$11</f>
        <v>1054</v>
      </c>
      <c r="O111" s="1" t="n">
        <f aca="false">F45-$F$11</f>
        <v>0.017</v>
      </c>
      <c r="P111" s="1" t="n">
        <f aca="false">G45-$G$11</f>
        <v>1054</v>
      </c>
      <c r="Q111" s="1" t="n">
        <f aca="false">H45-$H$11</f>
        <v>0.021</v>
      </c>
    </row>
    <row r="112" customFormat="false" ht="12.75" hidden="false" customHeight="true" outlineLevel="0" collapsed="false">
      <c r="J112" s="1" t="n">
        <f aca="false">A46-$A$11</f>
        <v>1085</v>
      </c>
      <c r="K112" s="1" t="n">
        <f aca="false">B46-$B$11</f>
        <v>0.008</v>
      </c>
      <c r="L112" s="1" t="n">
        <f aca="false">C46-$C$11</f>
        <v>1085</v>
      </c>
      <c r="M112" s="1" t="n">
        <f aca="false">D46-$D$11</f>
        <v>0.014</v>
      </c>
      <c r="N112" s="1" t="n">
        <f aca="false">E46-$E$11</f>
        <v>1085</v>
      </c>
      <c r="O112" s="1" t="n">
        <f aca="false">F46-$F$11</f>
        <v>0.018</v>
      </c>
      <c r="P112" s="1" t="n">
        <f aca="false">G46-$G$11</f>
        <v>1085</v>
      </c>
      <c r="Q112" s="1" t="n">
        <f aca="false">H46-$H$11</f>
        <v>0.022</v>
      </c>
    </row>
    <row r="113" customFormat="false" ht="12.75" hidden="false" customHeight="true" outlineLevel="0" collapsed="false">
      <c r="J113" s="1" t="n">
        <f aca="false">A47-$A$11</f>
        <v>1116</v>
      </c>
      <c r="K113" s="1" t="n">
        <f aca="false">B47-$B$11</f>
        <v>0.008</v>
      </c>
      <c r="L113" s="1" t="n">
        <f aca="false">C47-$C$11</f>
        <v>1116</v>
      </c>
      <c r="M113" s="1" t="n">
        <f aca="false">D47-$D$11</f>
        <v>0.014</v>
      </c>
      <c r="N113" s="1" t="n">
        <f aca="false">E47-$E$11</f>
        <v>1116</v>
      </c>
      <c r="O113" s="1" t="n">
        <f aca="false">F47-$F$11</f>
        <v>0.018</v>
      </c>
      <c r="P113" s="1" t="n">
        <f aca="false">G47-$G$11</f>
        <v>1116</v>
      </c>
      <c r="Q113" s="1" t="n">
        <f aca="false">H47-$H$11</f>
        <v>0.022</v>
      </c>
    </row>
    <row r="114" customFormat="false" ht="12.75" hidden="false" customHeight="true" outlineLevel="0" collapsed="false">
      <c r="J114" s="1" t="n">
        <f aca="false">A48-$A$11</f>
        <v>1147</v>
      </c>
      <c r="K114" s="1" t="n">
        <f aca="false">B48-$B$11</f>
        <v>0.008</v>
      </c>
      <c r="L114" s="1" t="n">
        <f aca="false">C48-$C$11</f>
        <v>1147</v>
      </c>
      <c r="M114" s="1" t="n">
        <f aca="false">D48-$D$11</f>
        <v>0.015</v>
      </c>
      <c r="N114" s="1" t="n">
        <f aca="false">E48-$E$11</f>
        <v>1147</v>
      </c>
      <c r="O114" s="1" t="n">
        <f aca="false">F48-$F$11</f>
        <v>0.019</v>
      </c>
      <c r="P114" s="1" t="n">
        <f aca="false">G48-$G$11</f>
        <v>1147</v>
      </c>
      <c r="Q114" s="1" t="n">
        <f aca="false">H48-$H$11</f>
        <v>0.023</v>
      </c>
    </row>
    <row r="115" customFormat="false" ht="12.75" hidden="false" customHeight="true" outlineLevel="0" collapsed="false">
      <c r="J115" s="1" t="n">
        <f aca="false">A49-$A$11</f>
        <v>1178</v>
      </c>
      <c r="K115" s="1" t="n">
        <f aca="false">B49-$B$11</f>
        <v>0.009</v>
      </c>
      <c r="L115" s="1" t="n">
        <f aca="false">C49-$C$11</f>
        <v>1178</v>
      </c>
      <c r="M115" s="1" t="n">
        <f aca="false">D49-$D$11</f>
        <v>0.015</v>
      </c>
      <c r="N115" s="1" t="n">
        <f aca="false">E49-$E$11</f>
        <v>1178</v>
      </c>
      <c r="O115" s="1" t="n">
        <f aca="false">F49-$F$11</f>
        <v>0.019</v>
      </c>
      <c r="P115" s="1" t="n">
        <f aca="false">G49-$G$11</f>
        <v>1178</v>
      </c>
      <c r="Q115" s="1" t="n">
        <f aca="false">H49-$H$11</f>
        <v>0.024</v>
      </c>
    </row>
    <row r="116" customFormat="false" ht="12.75" hidden="false" customHeight="true" outlineLevel="0" collapsed="false">
      <c r="J116" s="1" t="n">
        <f aca="false">A50-$A$11</f>
        <v>1209</v>
      </c>
      <c r="K116" s="1" t="n">
        <f aca="false">B50-$B$11</f>
        <v>0.009</v>
      </c>
      <c r="L116" s="1" t="n">
        <f aca="false">C50-$C$11</f>
        <v>1209</v>
      </c>
      <c r="M116" s="1" t="n">
        <f aca="false">D50-$D$11</f>
        <v>0.016</v>
      </c>
      <c r="N116" s="1" t="n">
        <f aca="false">E50-$E$11</f>
        <v>1209</v>
      </c>
      <c r="O116" s="1" t="n">
        <f aca="false">F50-$F$11</f>
        <v>0.019</v>
      </c>
      <c r="P116" s="1" t="n">
        <f aca="false">G50-$G$11</f>
        <v>1209</v>
      </c>
      <c r="Q116" s="1" t="n">
        <f aca="false">H50-$H$11</f>
        <v>0.024</v>
      </c>
    </row>
    <row r="117" customFormat="false" ht="12.75" hidden="false" customHeight="true" outlineLevel="0" collapsed="false">
      <c r="J117" s="1" t="n">
        <f aca="false">A51-$A$11</f>
        <v>1240</v>
      </c>
      <c r="K117" s="1" t="n">
        <f aca="false">B51-$B$11</f>
        <v>0.009</v>
      </c>
      <c r="L117" s="1" t="n">
        <f aca="false">C51-$C$11</f>
        <v>1240</v>
      </c>
      <c r="M117" s="1" t="n">
        <f aca="false">D51-$D$11</f>
        <v>0.016</v>
      </c>
      <c r="N117" s="1" t="n">
        <f aca="false">E51-$E$11</f>
        <v>1240</v>
      </c>
      <c r="O117" s="1" t="n">
        <f aca="false">F51-$F$11</f>
        <v>0.02</v>
      </c>
      <c r="P117" s="1" t="n">
        <f aca="false">G51-$G$11</f>
        <v>1240</v>
      </c>
      <c r="Q117" s="1" t="n">
        <f aca="false">H51-$H$11</f>
        <v>0.024</v>
      </c>
    </row>
    <row r="118" customFormat="false" ht="12.75" hidden="false" customHeight="true" outlineLevel="0" collapsed="false">
      <c r="J118" s="1" t="n">
        <f aca="false">A52-$A$11</f>
        <v>1271</v>
      </c>
      <c r="K118" s="1" t="n">
        <f aca="false">B52-$B$11</f>
        <v>0.009</v>
      </c>
      <c r="L118" s="1" t="n">
        <f aca="false">C52-$C$11</f>
        <v>1271</v>
      </c>
      <c r="M118" s="1" t="n">
        <f aca="false">D52-$D$11</f>
        <v>0.016</v>
      </c>
      <c r="N118" s="1" t="n">
        <f aca="false">E52-$E$11</f>
        <v>1271</v>
      </c>
      <c r="O118" s="1" t="n">
        <f aca="false">F52-$F$11</f>
        <v>0.02</v>
      </c>
      <c r="P118" s="1" t="n">
        <f aca="false">G52-$G$11</f>
        <v>1271</v>
      </c>
      <c r="Q118" s="1" t="n">
        <f aca="false">H52-$H$11</f>
        <v>0.025</v>
      </c>
    </row>
    <row r="119" customFormat="false" ht="12.75" hidden="false" customHeight="true" outlineLevel="0" collapsed="false">
      <c r="J119" s="1" t="n">
        <f aca="false">A53-$A$11</f>
        <v>1302</v>
      </c>
      <c r="K119" s="1" t="n">
        <f aca="false">B53-$B$11</f>
        <v>0.009</v>
      </c>
      <c r="L119" s="1" t="n">
        <f aca="false">C53-$C$11</f>
        <v>1302</v>
      </c>
      <c r="M119" s="1" t="n">
        <f aca="false">D53-$D$11</f>
        <v>0.016</v>
      </c>
      <c r="N119" s="1" t="n">
        <f aca="false">E53-$E$11</f>
        <v>1302</v>
      </c>
      <c r="O119" s="1" t="n">
        <f aca="false">F53-$F$11</f>
        <v>0.021</v>
      </c>
      <c r="P119" s="1" t="n">
        <f aca="false">G53-$G$11</f>
        <v>1302</v>
      </c>
      <c r="Q119" s="1" t="n">
        <f aca="false">H53-$H$11</f>
        <v>0.025</v>
      </c>
    </row>
    <row r="120" customFormat="false" ht="12.75" hidden="false" customHeight="true" outlineLevel="0" collapsed="false">
      <c r="J120" s="1" t="n">
        <f aca="false">A54-$A$11</f>
        <v>1333</v>
      </c>
      <c r="K120" s="1" t="n">
        <f aca="false">B54-$B$11</f>
        <v>0.01</v>
      </c>
      <c r="L120" s="1" t="n">
        <f aca="false">C54-$C$11</f>
        <v>1333</v>
      </c>
      <c r="M120" s="1" t="n">
        <f aca="false">D54-$D$11</f>
        <v>0.017</v>
      </c>
      <c r="N120" s="1" t="n">
        <f aca="false">E54-$E$11</f>
        <v>1333</v>
      </c>
      <c r="O120" s="1" t="n">
        <f aca="false">F54-$F$11</f>
        <v>0.021</v>
      </c>
      <c r="P120" s="1" t="n">
        <f aca="false">G54-$G$11</f>
        <v>1333</v>
      </c>
      <c r="Q120" s="1" t="n">
        <f aca="false">H54-$H$11</f>
        <v>0.026</v>
      </c>
    </row>
    <row r="121" customFormat="false" ht="12.75" hidden="false" customHeight="true" outlineLevel="0" collapsed="false">
      <c r="J121" s="1" t="n">
        <f aca="false">A55-$A$11</f>
        <v>1364</v>
      </c>
      <c r="K121" s="1" t="n">
        <f aca="false">B55-$B$11</f>
        <v>0.01</v>
      </c>
      <c r="L121" s="1" t="n">
        <f aca="false">C55-$C$11</f>
        <v>1364</v>
      </c>
      <c r="M121" s="1" t="n">
        <f aca="false">D55-$D$11</f>
        <v>0.017</v>
      </c>
      <c r="N121" s="1" t="n">
        <f aca="false">E55-$E$11</f>
        <v>1364</v>
      </c>
      <c r="O121" s="1" t="n">
        <f aca="false">F55-$F$11</f>
        <v>0.021</v>
      </c>
      <c r="P121" s="1" t="n">
        <f aca="false">G55-$G$11</f>
        <v>1364</v>
      </c>
      <c r="Q121" s="1" t="n">
        <f aca="false">H55-$H$11</f>
        <v>0.026</v>
      </c>
    </row>
    <row r="122" customFormat="false" ht="12.75" hidden="false" customHeight="true" outlineLevel="0" collapsed="false">
      <c r="J122" s="1" t="n">
        <f aca="false">A56-$A$11</f>
        <v>1395</v>
      </c>
      <c r="K122" s="1" t="n">
        <f aca="false">B56-$B$11</f>
        <v>0.01</v>
      </c>
      <c r="L122" s="1" t="n">
        <f aca="false">C56-$C$11</f>
        <v>1395</v>
      </c>
      <c r="M122" s="1" t="n">
        <f aca="false">D56-$D$11</f>
        <v>0.017</v>
      </c>
      <c r="N122" s="1" t="n">
        <f aca="false">E56-$E$11</f>
        <v>1395</v>
      </c>
      <c r="O122" s="1" t="n">
        <f aca="false">F56-$F$11</f>
        <v>0.022</v>
      </c>
      <c r="P122" s="1" t="n">
        <f aca="false">G56-$G$11</f>
        <v>1395</v>
      </c>
      <c r="Q122" s="1" t="n">
        <f aca="false">H56-$H$11</f>
        <v>0.026</v>
      </c>
    </row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2024-12-12T22:36:49Z</dcterms:modified>
  <cp:revision>1</cp:revision>
  <dc:subject/>
  <dc:title/>
</cp:coreProperties>
</file>