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460" yWindow="-180" windowWidth="24780" windowHeight="13880" tabRatio="500"/>
  </bookViews>
  <sheets>
    <sheet name="Sheet1" sheetId="1" r:id="rId1"/>
  </sheets>
  <calcPr calcId="13000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K21" i="1"/>
  <c r="J25"/>
  <c r="J24"/>
  <c r="J23"/>
  <c r="J22"/>
  <c r="J21"/>
  <c r="I23"/>
  <c r="I21"/>
  <c r="H25"/>
  <c r="G25"/>
  <c r="H21"/>
  <c r="G21"/>
  <c r="I22"/>
  <c r="I24"/>
  <c r="I25"/>
  <c r="G11"/>
  <c r="H11"/>
  <c r="I11"/>
  <c r="J11"/>
  <c r="K11"/>
  <c r="G12"/>
  <c r="H12"/>
  <c r="I12"/>
  <c r="J12"/>
  <c r="K12"/>
  <c r="G13"/>
  <c r="H13"/>
  <c r="I13"/>
  <c r="J13"/>
  <c r="K13"/>
  <c r="G14"/>
  <c r="H14"/>
  <c r="I14"/>
  <c r="J14"/>
  <c r="K14"/>
  <c r="G15"/>
  <c r="H15"/>
  <c r="I15"/>
  <c r="J15"/>
  <c r="K15"/>
  <c r="G22"/>
  <c r="H22"/>
  <c r="K22"/>
  <c r="G23"/>
  <c r="H23"/>
  <c r="K23"/>
  <c r="G24"/>
  <c r="H24"/>
  <c r="K24"/>
  <c r="K25"/>
</calcChain>
</file>

<file path=xl/sharedStrings.xml><?xml version="1.0" encoding="utf-8"?>
<sst xmlns="http://schemas.openxmlformats.org/spreadsheetml/2006/main" count="21" uniqueCount="15">
  <si>
    <t>e [U/mM]</t>
  </si>
  <si>
    <t>H2O2 mM</t>
    <phoneticPr fontId="1" type="noConversion"/>
  </si>
  <si>
    <t>E mM</t>
    <phoneticPr fontId="1" type="noConversion"/>
  </si>
  <si>
    <t>BnOH mM</t>
    <phoneticPr fontId="1" type="noConversion"/>
  </si>
  <si>
    <t>U/60s</t>
    <phoneticPr fontId="1" type="noConversion"/>
  </si>
  <si>
    <t>mean U/60s</t>
    <phoneticPr fontId="1" type="noConversion"/>
  </si>
  <si>
    <t>mean mM/s</t>
    <phoneticPr fontId="1" type="noConversion"/>
  </si>
  <si>
    <t>Wcat</t>
    <phoneticPr fontId="1" type="noConversion"/>
  </si>
  <si>
    <t>CAT</t>
    <phoneticPr fontId="1" type="noConversion"/>
  </si>
  <si>
    <t>Uncat</t>
    <phoneticPr fontId="1" type="noConversion"/>
  </si>
  <si>
    <t>uncat variance</t>
    <phoneticPr fontId="1" type="noConversion"/>
  </si>
  <si>
    <t>Wuncat</t>
    <phoneticPr fontId="1" type="noConversion"/>
  </si>
  <si>
    <t>mean (mM/s)/E*H2O2</t>
    <phoneticPr fontId="1" type="noConversion"/>
  </si>
  <si>
    <t xml:space="preserve">cat variance </t>
    <phoneticPr fontId="1" type="noConversion"/>
  </si>
  <si>
    <t>mean (mM/s)/H2O2</t>
    <phoneticPr fontId="1" type="noConversion"/>
  </si>
</sst>
</file>

<file path=xl/styles.xml><?xml version="1.0" encoding="utf-8"?>
<styleSheet xmlns="http://schemas.openxmlformats.org/spreadsheetml/2006/main">
  <numFmts count="1">
    <numFmt numFmtId="165" formatCode="0.00E+00"/>
  </numFmts>
  <fonts count="6">
    <font>
      <sz val="10"/>
      <name val="Verdana"/>
    </font>
    <font>
      <sz val="8"/>
      <name val="Verdana"/>
    </font>
    <font>
      <sz val="11"/>
      <name val="Calibri"/>
      <family val="2"/>
    </font>
    <font>
      <sz val="11"/>
      <color indexed="20"/>
      <name val="Calibri"/>
      <family val="2"/>
    </font>
    <font>
      <b/>
      <sz val="11"/>
      <name val="Calibri"/>
      <family val="2"/>
    </font>
    <font>
      <sz val="11"/>
      <color indexed="6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7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5" fillId="3" borderId="3" applyNumberFormat="0" applyAlignment="0" applyProtection="0"/>
  </cellStyleXfs>
  <cellXfs count="5">
    <xf numFmtId="0" fontId="0" fillId="0" borderId="0" xfId="0"/>
    <xf numFmtId="0" fontId="2" fillId="2" borderId="1" xfId="1" applyFont="1" applyBorder="1"/>
    <xf numFmtId="0" fontId="4" fillId="3" borderId="2" xfId="2" applyFont="1" applyBorder="1"/>
    <xf numFmtId="11" fontId="0" fillId="0" borderId="0" xfId="0" applyNumberFormat="1"/>
    <xf numFmtId="165" fontId="0" fillId="0" borderId="0" xfId="0" applyNumberFormat="1"/>
  </cellXfs>
  <cellStyles count="3">
    <cellStyle name="Bad" xfId="1"/>
    <cellStyle name="Input" xfId="2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2:K37"/>
  <sheetViews>
    <sheetView tabSelected="1" workbookViewId="0">
      <selection activeCell="K22" sqref="K22"/>
    </sheetView>
  </sheetViews>
  <sheetFormatPr baseColWidth="10" defaultRowHeight="13"/>
  <cols>
    <col min="9" max="9" width="19.28515625" customWidth="1"/>
    <col min="10" max="10" width="13.42578125" customWidth="1"/>
    <col min="12" max="12" width="21.28515625" customWidth="1"/>
    <col min="13" max="13" width="12.28515625" bestFit="1" customWidth="1"/>
  </cols>
  <sheetData>
    <row r="2" spans="1:11" ht="14">
      <c r="A2" s="1" t="s">
        <v>0</v>
      </c>
      <c r="B2" s="2">
        <v>1.23</v>
      </c>
    </row>
    <row r="4" spans="1:11">
      <c r="A4" t="s">
        <v>1</v>
      </c>
      <c r="B4">
        <v>122</v>
      </c>
    </row>
    <row r="5" spans="1:11">
      <c r="A5" t="s">
        <v>2</v>
      </c>
      <c r="B5">
        <v>3.3000000000000002E-2</v>
      </c>
    </row>
    <row r="9" spans="1:11">
      <c r="C9" t="s">
        <v>8</v>
      </c>
    </row>
    <row r="10" spans="1:11">
      <c r="C10" t="s">
        <v>3</v>
      </c>
      <c r="D10" t="s">
        <v>4</v>
      </c>
      <c r="G10" t="s">
        <v>5</v>
      </c>
      <c r="H10" t="s">
        <v>6</v>
      </c>
      <c r="I10" t="s">
        <v>12</v>
      </c>
      <c r="J10" t="s">
        <v>13</v>
      </c>
      <c r="K10" t="s">
        <v>7</v>
      </c>
    </row>
    <row r="11" spans="1:11">
      <c r="C11">
        <v>0.1</v>
      </c>
      <c r="D11" s="3">
        <v>1.6900000000000001E-5</v>
      </c>
      <c r="E11" s="3">
        <v>3.9799999999999998E-5</v>
      </c>
      <c r="F11" s="3">
        <v>4.7299999999999998E-5</v>
      </c>
      <c r="G11" s="3">
        <f>SUM(D11:F11)/3</f>
        <v>3.4666666666666665E-5</v>
      </c>
      <c r="H11" s="3">
        <f>60*G11/$B$2</f>
        <v>1.6910569105691056E-3</v>
      </c>
      <c r="I11" s="4">
        <f>H11/($B$4*$B$5)</f>
        <v>4.2003400659938045E-4</v>
      </c>
      <c r="J11">
        <f>SQRT(1/2*((60*(D11-G11)/($B$2*$B$4*$B$5))^2+(60*(E11-G11)/($B$2*$B$4*$B$5))^2+(60*(F11-G11)/($B$2*$B$4*$B$5))^2))</f>
        <v>1.9188411370624916E-4</v>
      </c>
      <c r="K11">
        <f>1/J11</f>
        <v>5211.4788487955611</v>
      </c>
    </row>
    <row r="12" spans="1:11">
      <c r="C12">
        <v>0.5</v>
      </c>
      <c r="D12" s="3">
        <v>4.9200000000000003E-5</v>
      </c>
      <c r="E12" s="3">
        <v>6.4700000000000001E-5</v>
      </c>
      <c r="F12" s="3">
        <v>8.3900000000000006E-5</v>
      </c>
      <c r="G12" s="3">
        <f>SUM(D12:F12)/3</f>
        <v>6.5933333333333341E-5</v>
      </c>
      <c r="H12" s="3">
        <f t="shared" ref="H12:H14" si="0">60*G12/$B$2</f>
        <v>3.2162601626016265E-3</v>
      </c>
      <c r="I12" s="4">
        <f t="shared" ref="I12:I25" si="1">H12/($B$4*$B$5)</f>
        <v>7.9887237024382177E-4</v>
      </c>
      <c r="J12">
        <f t="shared" ref="J12:J14" si="2">SQRT(1/2*((60*(D12-G12)/($B$2*$B$4*$B$5))^2+(60*(E12-G12)/($B$2*$B$4*$B$5))^2+(60*(F12-G12)/($B$2*$B$4*$B$5))^2))</f>
        <v>2.1061691626794553E-4</v>
      </c>
      <c r="K12">
        <f t="shared" ref="K12:K25" si="3">1/J12</f>
        <v>4747.956706040678</v>
      </c>
    </row>
    <row r="13" spans="1:11">
      <c r="C13">
        <v>1</v>
      </c>
      <c r="D13" s="3">
        <v>6.4900000000000005E-5</v>
      </c>
      <c r="E13" s="3">
        <v>8.7700000000000004E-5</v>
      </c>
      <c r="F13" s="3">
        <v>8.3499999999999997E-5</v>
      </c>
      <c r="G13" s="3">
        <f>SUM(D13:F13)/3</f>
        <v>7.8700000000000002E-5</v>
      </c>
      <c r="H13" s="3">
        <f t="shared" si="0"/>
        <v>3.8390243902439031E-3</v>
      </c>
      <c r="I13" s="4">
        <f t="shared" si="1"/>
        <v>9.5355797075109372E-4</v>
      </c>
      <c r="J13">
        <f t="shared" si="2"/>
        <v>1.4702299746397206E-4</v>
      </c>
      <c r="K13">
        <f t="shared" si="3"/>
        <v>6801.6570009399356</v>
      </c>
    </row>
    <row r="14" spans="1:11">
      <c r="C14">
        <v>2.5</v>
      </c>
      <c r="D14" s="3">
        <v>1.21E-4</v>
      </c>
      <c r="E14" s="3">
        <v>1.26E-4</v>
      </c>
      <c r="F14" s="3">
        <v>1.2400000000000001E-4</v>
      </c>
      <c r="G14" s="3">
        <f>SUM(D14:F14)/3</f>
        <v>1.2366666666666667E-4</v>
      </c>
      <c r="H14" s="3">
        <f t="shared" si="0"/>
        <v>6.0325203252032528E-3</v>
      </c>
      <c r="I14" s="4">
        <f t="shared" si="1"/>
        <v>1.4983905427727901E-3</v>
      </c>
      <c r="J14">
        <f t="shared" si="2"/>
        <v>3.0492184682776381E-5</v>
      </c>
      <c r="K14">
        <f t="shared" si="3"/>
        <v>32795.288707694781</v>
      </c>
    </row>
    <row r="15" spans="1:11">
      <c r="C15">
        <v>9.9</v>
      </c>
      <c r="D15" s="3">
        <v>1.63E-4</v>
      </c>
      <c r="E15" s="3">
        <v>1.47E-4</v>
      </c>
      <c r="F15" s="3">
        <v>2.03E-4</v>
      </c>
      <c r="G15" s="3">
        <f>SUM(D15:F15)/3</f>
        <v>1.7100000000000001E-4</v>
      </c>
      <c r="H15" s="3">
        <f>60*G15/$B$2</f>
        <v>8.3414634146341468E-3</v>
      </c>
      <c r="I15" s="4">
        <f t="shared" si="1"/>
        <v>2.0718985133219444E-3</v>
      </c>
      <c r="J15">
        <f>SQRT(1/2*((60*(D15-G15)/($B$2*$B$4*$B$5))^2+(60*(E15-G15)/($B$2*$B$4*$B$5))^2+(60*(F15-G15)/($B$2*$B$4*$B$5))^2))</f>
        <v>3.4948941882291827E-4</v>
      </c>
      <c r="K15">
        <f t="shared" si="3"/>
        <v>2861.3169559410521</v>
      </c>
    </row>
    <row r="19" spans="3:11">
      <c r="C19" t="s">
        <v>9</v>
      </c>
    </row>
    <row r="20" spans="3:11">
      <c r="C20" t="s">
        <v>3</v>
      </c>
      <c r="D20" t="s">
        <v>4</v>
      </c>
      <c r="E20" t="s">
        <v>4</v>
      </c>
      <c r="F20" t="s">
        <v>4</v>
      </c>
      <c r="G20" t="s">
        <v>5</v>
      </c>
      <c r="H20" t="s">
        <v>6</v>
      </c>
      <c r="I20" t="s">
        <v>14</v>
      </c>
      <c r="J20" t="s">
        <v>10</v>
      </c>
      <c r="K20" t="s">
        <v>11</v>
      </c>
    </row>
    <row r="21" spans="3:11">
      <c r="C21">
        <v>0.1</v>
      </c>
      <c r="D21" s="3">
        <v>8.5500000000000005E-5</v>
      </c>
      <c r="E21" s="3">
        <v>1.2899999999999999E-4</v>
      </c>
      <c r="F21" s="3">
        <v>8.0799999999999999E-5</v>
      </c>
      <c r="G21" s="3">
        <f>SUM(D21:F21)/3</f>
        <v>9.8433333333333345E-5</v>
      </c>
      <c r="H21" s="3">
        <f>60*G21/$B$2</f>
        <v>4.8016260162601632E-3</v>
      </c>
      <c r="I21" s="4">
        <f>H21/($B$4)</f>
        <v>3.9357590297214452E-5</v>
      </c>
      <c r="J21">
        <f>SQRT(1/2*((60*(D21-G21)/($B$2*$B$4))^2+(60*(E21-G21)/($B$2*$B$4))^2+(60*(F21-G21)/($B$2*$B$4))^2))</f>
        <v>1.0625995757517341E-5</v>
      </c>
      <c r="K21">
        <f>1/J21</f>
        <v>94108.827334374932</v>
      </c>
    </row>
    <row r="22" spans="3:11">
      <c r="C22">
        <v>0.5</v>
      </c>
      <c r="D22" s="3">
        <v>2.7099999999999997E-4</v>
      </c>
      <c r="E22" s="3">
        <v>3.01E-4</v>
      </c>
      <c r="F22" s="3">
        <v>2.7099999999999997E-4</v>
      </c>
      <c r="G22" s="3">
        <f t="shared" ref="G16:G25" si="4">SUM(D22:F22)/3</f>
        <v>2.81E-4</v>
      </c>
      <c r="H22" s="3">
        <f t="shared" ref="H16:H25" si="5">60*G22/$B$2</f>
        <v>1.3707317073170732E-2</v>
      </c>
      <c r="I22" s="4">
        <f t="shared" ref="I22:I25" si="6">H22/($B$4)</f>
        <v>1.1235505797680927E-4</v>
      </c>
      <c r="J22">
        <f>SQRT(1/2*((60*(D22-G22)/($B$2*$B$4))^2+(60*(E22-G22)/($B$2*$B$4))^2+(60*(F22-G22)/($B$2*$B$4))^2))</f>
        <v>6.9254330570526937E-6</v>
      </c>
      <c r="K22">
        <f t="shared" si="3"/>
        <v>144395.30232432528</v>
      </c>
    </row>
    <row r="23" spans="3:11">
      <c r="C23">
        <v>1</v>
      </c>
      <c r="D23" s="3">
        <v>3.4600000000000001E-4</v>
      </c>
      <c r="E23" s="3">
        <v>4.1800000000000002E-4</v>
      </c>
      <c r="F23" s="3">
        <v>4.2700000000000002E-4</v>
      </c>
      <c r="G23" s="3">
        <f t="shared" si="4"/>
        <v>3.97E-4</v>
      </c>
      <c r="H23" s="3">
        <f t="shared" si="5"/>
        <v>1.9365853658536585E-2</v>
      </c>
      <c r="I23" s="4">
        <f>H23/($B$4)</f>
        <v>1.5873650539784085E-4</v>
      </c>
      <c r="J23">
        <f>SQRT(1/2*((60*(D23-G23)/($B$2*$B$4))^2+(60*(E23-G23)/($B$2*$B$4))^2+(60*(F23-G23)/($B$2*$B$4))^2))</f>
        <v>1.7751277793221203E-5</v>
      </c>
      <c r="K23">
        <f t="shared" si="3"/>
        <v>56333.972779237141</v>
      </c>
    </row>
    <row r="24" spans="3:11">
      <c r="C24">
        <v>2.5</v>
      </c>
      <c r="D24" s="3">
        <v>4.5100000000000001E-4</v>
      </c>
      <c r="E24" s="3">
        <v>4.8099999999999998E-4</v>
      </c>
      <c r="F24" s="3">
        <v>4.7199999999999998E-4</v>
      </c>
      <c r="G24" s="3">
        <f t="shared" si="4"/>
        <v>4.6799999999999994E-4</v>
      </c>
      <c r="H24" s="3">
        <f t="shared" si="5"/>
        <v>2.2829268292682926E-2</v>
      </c>
      <c r="I24" s="4">
        <f t="shared" si="6"/>
        <v>1.8712514994002397E-4</v>
      </c>
      <c r="J24">
        <f>SQRT(1/2*((60*(D24-G24)/($B$2*$B$4))^2+(60*(E24-G24)/($B$2*$B$4))^2+(60*(F24-G24)/($B$2*$B$4))^2))</f>
        <v>6.1554595435188467E-6</v>
      </c>
      <c r="K24">
        <f t="shared" si="3"/>
        <v>162457.40759565408</v>
      </c>
    </row>
    <row r="25" spans="3:11">
      <c r="C25">
        <v>9.9</v>
      </c>
      <c r="D25" s="3">
        <v>5.6499999999999996E-4</v>
      </c>
      <c r="E25" s="3">
        <v>6.0599999999999998E-4</v>
      </c>
      <c r="F25" s="3">
        <v>6.3599999999999996E-4</v>
      </c>
      <c r="G25" s="3">
        <f>SUM(D25:F25)/3</f>
        <v>6.023333333333333E-4</v>
      </c>
      <c r="H25" s="3">
        <f>60*G25/$B$2</f>
        <v>2.9382113821138211E-2</v>
      </c>
      <c r="I25" s="4">
        <f t="shared" si="6"/>
        <v>2.4083699853391977E-4</v>
      </c>
      <c r="J25">
        <f>SQRT(1/2*((60*(D25-G25)/($B$2*$B$4))^2+(60*(E25-G25)/($B$2*$B$4))^2+(60*(F25-G25)/($B$2*$B$4))^2))</f>
        <v>1.4250993936433338E-5</v>
      </c>
      <c r="K25">
        <f t="shared" si="3"/>
        <v>70170.544206285354</v>
      </c>
    </row>
    <row r="33" spans="2:4">
      <c r="B33" s="3"/>
      <c r="C33" s="3"/>
      <c r="D33" s="4"/>
    </row>
    <row r="34" spans="2:4">
      <c r="B34" s="3"/>
      <c r="C34" s="3"/>
      <c r="D34" s="4"/>
    </row>
    <row r="35" spans="2:4">
      <c r="B35" s="3"/>
      <c r="C35" s="3"/>
      <c r="D35" s="4"/>
    </row>
    <row r="36" spans="2:4">
      <c r="B36" s="3"/>
      <c r="C36" s="3"/>
      <c r="D36" s="4"/>
    </row>
    <row r="37" spans="2:4">
      <c r="B37" s="3"/>
      <c r="C37" s="3"/>
      <c r="D37" s="4"/>
    </row>
  </sheetData>
  <sheetCalcPr fullCalcOnLoad="1"/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mads inc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 Richardt</dc:creator>
  <cp:lastModifiedBy>Mads Richardt</cp:lastModifiedBy>
  <dcterms:created xsi:type="dcterms:W3CDTF">2010-12-03T23:03:50Z</dcterms:created>
  <dcterms:modified xsi:type="dcterms:W3CDTF">2010-12-04T17:01:46Z</dcterms:modified>
</cp:coreProperties>
</file>