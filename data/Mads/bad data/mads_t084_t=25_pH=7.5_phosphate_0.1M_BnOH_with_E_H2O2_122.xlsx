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/>
  <calcPr/>
  <extLst>
    <ext uri="GoogleSheetsCustomDataVersion1">
      <go:sheetsCustomData xmlns:go="http://customooxmlschemas.google.com/" r:id="rId7" roundtripDataSignature="AMtx7mjPsKQa/ogqFpF1xPjsrwe/z/BNCQ=="/>
    </ext>
  </extLst>
</workbook>
</file>

<file path=xl/sharedStrings.xml><?xml version="1.0" encoding="utf-8"?>
<sst xmlns="http://schemas.openxmlformats.org/spreadsheetml/2006/main" count="180" uniqueCount="126">
  <si>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</si>
  <si>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</si>
  <si>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</si>
  <si>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</si>
  <si>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</si>
  <si>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</si>
  <si>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</si>
  <si>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</si>
  <si>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</si>
  <si>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</si>
  <si>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</si>
  <si>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</si>
  <si>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</si>
  <si>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</si>
  <si>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</si>
  <si>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</si>
  <si>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</si>
  <si>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</si>
  <si>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</si>
  <si>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</si>
  <si>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</si>
  <si>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</si>
  <si>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</si>
  <si>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</si>
  <si>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</si>
  <si>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</si>
  <si>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</si>
  <si>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</si>
  <si>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</si>
  <si>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</si>
  <si>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</si>
  <si>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</si>
  <si>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</si>
  <si>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</si>
  <si>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1h_kcat(4OMeBnOH)_7cuv</t>
  </si>
  <si>
    <t>nm</t>
  </si>
  <si>
    <t>e</t>
  </si>
  <si>
    <t>H202 30%</t>
  </si>
  <si>
    <t>final vol. [ml]</t>
  </si>
  <si>
    <t>Buffer</t>
  </si>
  <si>
    <t>phosphate</t>
  </si>
  <si>
    <t>Stamopløsning 4</t>
  </si>
  <si>
    <t>g/mol</t>
  </si>
  <si>
    <t>g/cm^3</t>
  </si>
  <si>
    <t>Enz</t>
  </si>
  <si>
    <t>Massefylde g/L</t>
  </si>
  <si>
    <t>mol/l</t>
  </si>
  <si>
    <t>4-MeO-BnOH [g]</t>
  </si>
  <si>
    <t>a-diesterketon</t>
  </si>
  <si>
    <t>pH</t>
  </si>
  <si>
    <t>final Vol. [L]</t>
  </si>
  <si>
    <t>cm^3</t>
  </si>
  <si>
    <t>L</t>
  </si>
  <si>
    <t>T</t>
  </si>
  <si>
    <t>mol/L</t>
  </si>
  <si>
    <t>g</t>
  </si>
  <si>
    <t>[H2O2]</t>
  </si>
  <si>
    <t>Fortyndingsrække 4:1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</si>
  <si>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</si>
  <si>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</si>
  <si>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</si>
  <si>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</si>
  <si>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</si>
  <si>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</si>
  <si>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</si>
  <si>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</si>
  <si>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</si>
  <si>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</si>
  <si>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</si>
  <si>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</si>
  <si>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</si>
  <si>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</si>
  <si>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</si>
  <si>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</si>
  <si>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</si>
  <si>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</si>
  <si>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</si>
  <si>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</si>
  <si>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</si>
  <si>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ref 5</t>
  </si>
  <si>
    <t>ref 6</t>
  </si>
  <si>
    <t>ref 7</t>
  </si>
  <si>
    <t>Vmax</t>
  </si>
  <si>
    <t>U/31s</t>
  </si>
  <si>
    <t>mM/s</t>
  </si>
  <si>
    <t>Km</t>
  </si>
  <si>
    <t>mmol/L</t>
  </si>
  <si>
    <t>kcat</t>
  </si>
  <si>
    <t>1/s</t>
  </si>
  <si>
    <t>Kinetics Experiment - 82 best fit 1</t>
  </si>
  <si>
    <t>Conc. Units</t>
  </si>
  <si>
    <t>Raw Data</t>
  </si>
  <si>
    <t>Sample</t>
  </si>
  <si>
    <t>[S]</t>
  </si>
  <si>
    <t>[I]</t>
  </si>
  <si>
    <t>V</t>
  </si>
  <si>
    <t>Use</t>
  </si>
  <si>
    <t>V/[E0]</t>
  </si>
  <si>
    <t>Sample001</t>
  </si>
  <si>
    <t>Yes</t>
  </si>
  <si>
    <t>Sample002</t>
  </si>
  <si>
    <t>Sample003</t>
  </si>
  <si>
    <t>Sample004</t>
  </si>
  <si>
    <t>Kinetics Experiment - 73 best fit 2</t>
  </si>
  <si>
    <t xml:space="preserve">Kinetics Experiment - 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</si>
  <si>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</si>
  <si>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</si>
  <si>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</si>
  <si>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</si>
  <si>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</si>
  <si>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rate084.rre</t>
  </si>
  <si>
    <t>Evolution 600</t>
  </si>
  <si>
    <t>Data Mode</t>
  </si>
  <si>
    <t>A</t>
  </si>
  <si>
    <t>Smoothing</t>
  </si>
  <si>
    <t>None</t>
  </si>
  <si>
    <t>Date Collected</t>
  </si>
  <si>
    <t>6/14/2010</t>
  </si>
  <si>
    <t>Time Collected</t>
  </si>
  <si>
    <t>10:59:06PM</t>
  </si>
  <si>
    <t>Inhibitor Conc.</t>
  </si>
  <si>
    <t>0.4693 mmol/L</t>
  </si>
  <si>
    <t>Substrate Conc.</t>
  </si>
  <si>
    <t>10.2121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</si>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</sst>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6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004442"/>
        <c:axId val="1949701110"/>
      </c:scatterChart>
      <c:valAx>
        <c:axId val="852004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701110"/>
      </c:valAx>
      <c:valAx>
        <c:axId val="19497011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004442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40238790"/>
        <c:axId val="944378345"/>
      </c:scatterChart>
      <c:valAx>
        <c:axId val="1840238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378345"/>
      </c:valAx>
      <c:valAx>
        <c:axId val="94437834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40238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614393"/>
        <c:axId val="848224506"/>
      </c:scatterChart>
      <c:valAx>
        <c:axId val="1628614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224506"/>
      </c:valAx>
      <c:valAx>
        <c:axId val="84822450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614393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Sheet1!$C$71:$C$74</c:f>
            </c:numRef>
          </c:xVal>
          <c:yVal>
            <c:numRef>
              <c:f>Sheet1!$H$61:$H$64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Sheet1!$C$71:$C$74</c:f>
            </c:numRef>
          </c:xVal>
          <c:yVal>
            <c:numRef>
              <c:f>Sheet1!$H$49:$H$52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 cmpd="sng">
                <a:solidFill>
                  <a:srgbClr val="FFFF00"/>
                </a:solidFill>
              </a:ln>
            </c:spPr>
          </c:marker>
          <c:xVal>
            <c:numRef>
              <c:f>Sheet1!$C$71:$C$74</c:f>
            </c:numRef>
          </c:xVal>
          <c:yVal>
            <c:numRef>
              <c:f>Sheet1!$H$71:$H$74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234516"/>
        <c:axId val="522283324"/>
      </c:scatterChart>
      <c:valAx>
        <c:axId val="521234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283324"/>
      </c:valAx>
      <c:valAx>
        <c:axId val="522283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2345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Sheet2!$A$11:$A$127</c:f>
            </c:numRef>
          </c:xVal>
          <c:yVal>
            <c:numRef>
              <c:f>Sheet2!$B$11:$B$127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475128"/>
        <c:axId val="1628218165"/>
      </c:scatterChart>
      <c:valAx>
        <c:axId val="3294751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218165"/>
      </c:valAx>
      <c:valAx>
        <c:axId val="1628218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475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24539812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65562452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35085706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75</xdr:row>
      <xdr:rowOff>104775</xdr:rowOff>
    </xdr:from>
    <xdr:ext cx="5543550" cy="3905250"/>
    <xdr:graphicFrame>
      <xdr:nvGraphicFramePr>
        <xdr:cNvPr descr="Chart 0" id="73417397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113</xdr:row>
      <xdr:rowOff>66675</xdr:rowOff>
    </xdr:from>
    <xdr:ext cx="5715000" cy="3533775"/>
    <xdr:graphicFrame>
      <xdr:nvGraphicFramePr>
        <xdr:cNvPr id="1293326178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6">
        <v>84.0</v>
      </c>
      <c r="B1" s="1" t="s">
        <v>33</v>
      </c>
      <c r="C1" s="1" t="s">
        <v>34</v>
      </c>
    </row>
    <row r="2" ht="13.5" customHeight="1">
      <c r="C2" s="1">
        <v>300.0</v>
      </c>
      <c r="D2" s="1" t="s">
        <v>35</v>
      </c>
      <c r="H2" s="1" t="s">
        <v>36</v>
      </c>
      <c r="I2" s="1">
        <v>7.53</v>
      </c>
    </row>
    <row r="3" ht="13.5" customHeight="1">
      <c r="E3" s="4"/>
      <c r="J3" s="7" t="s">
        <v>37</v>
      </c>
      <c r="K3" s="8"/>
      <c r="L3" s="9" t="s">
        <v>38</v>
      </c>
      <c r="N3" s="7" t="s">
        <v>39</v>
      </c>
      <c r="O3" s="9" t="s">
        <v>40</v>
      </c>
    </row>
    <row r="4" ht="12.75" customHeight="1">
      <c r="A4" s="10" t="s">
        <v>41</v>
      </c>
      <c r="B4" s="8"/>
      <c r="C4" s="8" t="s">
        <v>42</v>
      </c>
      <c r="D4" s="9" t="s">
        <v>43</v>
      </c>
      <c r="E4" s="4"/>
      <c r="F4" s="7"/>
      <c r="G4" s="8" t="s">
        <v>44</v>
      </c>
      <c r="H4" s="9"/>
      <c r="J4" s="11" t="s">
        <v>45</v>
      </c>
      <c r="K4" s="4">
        <v>1110.0</v>
      </c>
      <c r="L4" s="12"/>
      <c r="N4" s="11" t="s">
        <v>46</v>
      </c>
      <c r="O4" s="12">
        <v>0.1</v>
      </c>
    </row>
    <row r="5" ht="12.75" customHeight="1">
      <c r="A5" s="11" t="s">
        <v>47</v>
      </c>
      <c r="B5" s="4">
        <v>1.411</v>
      </c>
      <c r="C5" s="4">
        <v>138.17</v>
      </c>
      <c r="D5" s="12">
        <v>1.1125</v>
      </c>
      <c r="E5" s="4"/>
      <c r="F5" s="11"/>
      <c r="G5" s="4" t="s">
        <v>48</v>
      </c>
      <c r="H5" s="12"/>
      <c r="J5" s="11" t="s">
        <v>46</v>
      </c>
      <c r="K5" s="4">
        <f>(K4*0.3)/34</f>
        <v>9.794117647</v>
      </c>
      <c r="L5" s="12"/>
      <c r="N5" s="11" t="s">
        <v>49</v>
      </c>
      <c r="O5" s="12">
        <v>7.5</v>
      </c>
    </row>
    <row r="6" ht="13.5" customHeight="1">
      <c r="A6" s="11" t="s">
        <v>50</v>
      </c>
      <c r="B6" s="4">
        <v>0.05</v>
      </c>
      <c r="C6" s="4"/>
      <c r="D6" s="12" t="s">
        <v>51</v>
      </c>
      <c r="E6" s="4"/>
      <c r="F6" s="11"/>
      <c r="G6" s="4"/>
      <c r="H6" s="12"/>
      <c r="J6" s="11" t="s">
        <v>52</v>
      </c>
      <c r="K6" s="4">
        <v>0.001</v>
      </c>
      <c r="L6" s="12">
        <v>0.004</v>
      </c>
      <c r="N6" s="13" t="s">
        <v>53</v>
      </c>
      <c r="O6" s="14">
        <v>25.0</v>
      </c>
    </row>
    <row r="7" ht="13.5" customHeight="1">
      <c r="A7" s="13" t="s">
        <v>54</v>
      </c>
      <c r="B7" s="5">
        <f>(B5/C5)/(B6)</f>
        <v>0.2042411522</v>
      </c>
      <c r="C7" s="5"/>
      <c r="D7" s="14">
        <f>B5/D5</f>
        <v>1.268314607</v>
      </c>
      <c r="E7" s="4"/>
      <c r="F7" s="11" t="s">
        <v>42</v>
      </c>
      <c r="G7" s="4">
        <v>1054.29</v>
      </c>
      <c r="H7" s="12"/>
      <c r="J7" s="11"/>
      <c r="K7" s="4"/>
      <c r="L7" s="12"/>
    </row>
    <row r="8" ht="13.5" customHeight="1">
      <c r="E8" s="4"/>
      <c r="F8" s="11" t="s">
        <v>55</v>
      </c>
      <c r="G8" s="4">
        <v>0.0236</v>
      </c>
      <c r="H8" s="12"/>
      <c r="J8" s="11"/>
      <c r="K8" s="4" t="s">
        <v>56</v>
      </c>
      <c r="L8" s="12"/>
    </row>
    <row r="9" ht="13.5" customHeight="1">
      <c r="A9" s="10" t="s">
        <v>57</v>
      </c>
      <c r="B9" s="8"/>
      <c r="C9" s="8"/>
      <c r="D9" s="9"/>
      <c r="E9" s="4"/>
      <c r="F9" s="11" t="s">
        <v>58</v>
      </c>
      <c r="G9" s="4">
        <v>0.04</v>
      </c>
      <c r="H9" s="12"/>
      <c r="J9" s="13" t="s">
        <v>46</v>
      </c>
      <c r="K9" s="5">
        <f>(K5*K6)/L6</f>
        <v>2.448529412</v>
      </c>
      <c r="L9" s="14"/>
    </row>
    <row r="10" ht="12.75" customHeight="1">
      <c r="A10" s="11" t="s">
        <v>59</v>
      </c>
      <c r="B10" s="4" t="s">
        <v>60</v>
      </c>
      <c r="C10" s="4" t="s">
        <v>61</v>
      </c>
      <c r="D10" s="12" t="s">
        <v>54</v>
      </c>
      <c r="E10" s="4"/>
      <c r="F10" s="11" t="s">
        <v>62</v>
      </c>
      <c r="G10" s="4">
        <f>G8/G7</f>
        <v>0.00002238473285</v>
      </c>
      <c r="H10" s="12"/>
      <c r="J10" s="4"/>
      <c r="K10" s="4"/>
      <c r="L10" s="4"/>
    </row>
    <row r="11" ht="12.75" customHeight="1">
      <c r="A11" s="11">
        <v>1.0</v>
      </c>
      <c r="B11" s="4">
        <v>0.002</v>
      </c>
      <c r="C11" s="4">
        <v>0.002</v>
      </c>
      <c r="D11" s="12">
        <f t="shared" ref="D11:D17" si="1">(B11*$B$7)/C11</f>
        <v>0.2042411522</v>
      </c>
      <c r="E11" s="4"/>
      <c r="F11" s="11" t="s">
        <v>46</v>
      </c>
      <c r="G11" s="4">
        <f>G10/G9</f>
        <v>0.0005596183213</v>
      </c>
      <c r="H11" s="12"/>
      <c r="J11" s="4"/>
      <c r="K11" s="4"/>
      <c r="L11" s="4"/>
    </row>
    <row r="12" ht="12.75" customHeight="1">
      <c r="A12" s="11">
        <v>2.0</v>
      </c>
      <c r="B12" s="4">
        <v>0.002</v>
      </c>
      <c r="C12" s="4">
        <v>0.003</v>
      </c>
      <c r="D12" s="12">
        <f t="shared" si="1"/>
        <v>0.1361607681</v>
      </c>
      <c r="E12" s="4"/>
      <c r="F12" s="11" t="s">
        <v>63</v>
      </c>
      <c r="G12" s="4">
        <f>G11*1000</f>
        <v>0.5596183213</v>
      </c>
      <c r="H12" s="12"/>
      <c r="J12" s="4"/>
      <c r="K12" s="4"/>
      <c r="L12" s="4"/>
    </row>
    <row r="13" ht="13.5" customHeight="1">
      <c r="A13" s="11">
        <v>3.0</v>
      </c>
      <c r="B13" s="4">
        <v>0.001</v>
      </c>
      <c r="C13" s="4">
        <v>0.0025</v>
      </c>
      <c r="D13" s="12">
        <f t="shared" si="1"/>
        <v>0.08169646088</v>
      </c>
      <c r="E13" s="4"/>
      <c r="F13" s="13" t="s">
        <v>64</v>
      </c>
      <c r="G13" s="5">
        <f>E25*G12/H25</f>
        <v>0.01678854964</v>
      </c>
      <c r="H13" s="14" t="s">
        <v>63</v>
      </c>
      <c r="J13" s="4"/>
      <c r="K13" s="4"/>
      <c r="L13" s="4"/>
    </row>
    <row r="14" ht="12.75" customHeight="1">
      <c r="A14" s="11">
        <v>4.0</v>
      </c>
      <c r="B14" s="4">
        <v>0.001</v>
      </c>
      <c r="C14" s="4">
        <v>0.0035</v>
      </c>
      <c r="D14" s="12">
        <f t="shared" si="1"/>
        <v>0.05835461492</v>
      </c>
      <c r="E14" s="4"/>
    </row>
    <row r="15" ht="12.75" customHeight="1">
      <c r="A15" s="11">
        <v>5.0</v>
      </c>
      <c r="B15" s="4">
        <v>0.001</v>
      </c>
      <c r="C15" s="4">
        <v>0.005</v>
      </c>
      <c r="D15" s="12">
        <f t="shared" si="1"/>
        <v>0.04084823044</v>
      </c>
    </row>
    <row r="16" ht="12.75" customHeight="1">
      <c r="A16" s="11">
        <v>6.0</v>
      </c>
      <c r="B16" s="4">
        <v>0.001</v>
      </c>
      <c r="C16" s="4">
        <v>0.01</v>
      </c>
      <c r="D16" s="12">
        <f t="shared" si="1"/>
        <v>0.02042411522</v>
      </c>
    </row>
    <row r="17" ht="13.5" customHeight="1">
      <c r="A17" s="13">
        <v>7.0</v>
      </c>
      <c r="B17" s="5">
        <v>5.0E-4</v>
      </c>
      <c r="C17" s="5">
        <v>0.01</v>
      </c>
      <c r="D17" s="14">
        <f t="shared" si="1"/>
        <v>0.01021205761</v>
      </c>
    </row>
    <row r="18" ht="12.75" customHeight="1">
      <c r="H18" s="1">
        <f>9*E39</f>
        <v>1.89</v>
      </c>
    </row>
    <row r="19" ht="12.75" customHeight="1"/>
    <row r="20" ht="12.75" customHeight="1"/>
    <row r="21" ht="12.75" customHeight="1"/>
    <row r="22" ht="12.75" customHeight="1"/>
    <row r="23" ht="12.75" customHeight="1">
      <c r="I23" s="1" t="s">
        <v>65</v>
      </c>
      <c r="J23" s="1" t="s">
        <v>65</v>
      </c>
      <c r="K23" s="1" t="s">
        <v>56</v>
      </c>
      <c r="L23" s="1" t="s">
        <v>56</v>
      </c>
      <c r="M23" s="1" t="s">
        <v>66</v>
      </c>
      <c r="N23" s="1" t="s">
        <v>67</v>
      </c>
    </row>
    <row r="24" ht="13.5" customHeight="1">
      <c r="B24" s="15" t="s">
        <v>64</v>
      </c>
      <c r="C24" s="5" t="s">
        <v>68</v>
      </c>
      <c r="D24" s="5" t="s">
        <v>69</v>
      </c>
      <c r="E24" s="5" t="s">
        <v>70</v>
      </c>
      <c r="F24" s="5" t="s">
        <v>71</v>
      </c>
      <c r="G24" s="5" t="s">
        <v>72</v>
      </c>
      <c r="H24" s="5" t="s">
        <v>73</v>
      </c>
      <c r="I24" s="5" t="s">
        <v>46</v>
      </c>
      <c r="J24" s="5" t="s">
        <v>63</v>
      </c>
      <c r="K24" s="5" t="s">
        <v>46</v>
      </c>
      <c r="L24" s="5" t="s">
        <v>63</v>
      </c>
      <c r="M24" s="5" t="s">
        <v>63</v>
      </c>
      <c r="N24" s="5" t="s">
        <v>74</v>
      </c>
    </row>
    <row r="25" ht="12.75" customHeight="1">
      <c r="B25" s="16">
        <v>1.0</v>
      </c>
      <c r="C25" s="1">
        <v>0.85</v>
      </c>
      <c r="D25" s="1">
        <v>0.0</v>
      </c>
      <c r="E25" s="1">
        <v>0.03</v>
      </c>
      <c r="F25" s="1">
        <v>0.07</v>
      </c>
      <c r="G25" s="1">
        <v>0.05</v>
      </c>
      <c r="H25" s="1">
        <f t="shared" ref="H25:H38" si="2">SUM(C25:G25)</f>
        <v>1</v>
      </c>
      <c r="I25" s="1">
        <f>F25*$D$11/H25</f>
        <v>0.01429688065</v>
      </c>
      <c r="J25" s="1">
        <f t="shared" ref="J25:J38" si="3">I25*1000</f>
        <v>14.29688065</v>
      </c>
      <c r="K25" s="4">
        <f t="shared" ref="K25:K38" si="4">(G25*$K$9)/H25</f>
        <v>0.1224264706</v>
      </c>
      <c r="L25" s="4">
        <f t="shared" ref="L25:L38" si="5">K25*1000</f>
        <v>122.4264706</v>
      </c>
      <c r="M25" s="1">
        <f t="shared" ref="M25:M38" si="6">E25*$G$12/H25</f>
        <v>0.01678854964</v>
      </c>
      <c r="N25" s="1">
        <f t="shared" ref="N25:N38" si="7">(C25*$O$4*1000)/H25</f>
        <v>85</v>
      </c>
    </row>
    <row r="26" ht="12.75" customHeight="1">
      <c r="B26" s="17">
        <v>2.0</v>
      </c>
      <c r="C26" s="1">
        <v>0.85</v>
      </c>
      <c r="D26" s="1">
        <v>0.01</v>
      </c>
      <c r="E26" s="1">
        <v>0.03</v>
      </c>
      <c r="F26" s="1">
        <v>0.06</v>
      </c>
      <c r="G26" s="1">
        <v>0.05</v>
      </c>
      <c r="H26" s="1">
        <f t="shared" si="2"/>
        <v>1</v>
      </c>
      <c r="I26" s="1">
        <f>F26*$D$12/H26</f>
        <v>0.008169646088</v>
      </c>
      <c r="J26" s="1">
        <f t="shared" si="3"/>
        <v>8.169646088</v>
      </c>
      <c r="K26" s="4">
        <f t="shared" si="4"/>
        <v>0.1224264706</v>
      </c>
      <c r="L26" s="4">
        <f t="shared" si="5"/>
        <v>122.4264706</v>
      </c>
      <c r="M26" s="1">
        <f t="shared" si="6"/>
        <v>0.01678854964</v>
      </c>
      <c r="N26" s="1">
        <f t="shared" si="7"/>
        <v>85</v>
      </c>
    </row>
    <row r="27" ht="12.75" customHeight="1">
      <c r="B27" s="17">
        <v>3.0</v>
      </c>
      <c r="C27" s="1">
        <v>0.85</v>
      </c>
      <c r="D27" s="1">
        <v>0.02</v>
      </c>
      <c r="E27" s="1">
        <v>0.03</v>
      </c>
      <c r="F27" s="1">
        <v>0.05</v>
      </c>
      <c r="G27" s="1">
        <v>0.05</v>
      </c>
      <c r="H27" s="1">
        <f t="shared" si="2"/>
        <v>1</v>
      </c>
      <c r="I27" s="1">
        <f>F27*$D$13/H27</f>
        <v>0.004084823044</v>
      </c>
      <c r="J27" s="1">
        <f t="shared" si="3"/>
        <v>4.084823044</v>
      </c>
      <c r="K27" s="4">
        <f t="shared" si="4"/>
        <v>0.1224264706</v>
      </c>
      <c r="L27" s="4">
        <f t="shared" si="5"/>
        <v>122.4264706</v>
      </c>
      <c r="M27" s="1">
        <f t="shared" si="6"/>
        <v>0.01678854964</v>
      </c>
      <c r="N27" s="1">
        <f t="shared" si="7"/>
        <v>85</v>
      </c>
    </row>
    <row r="28" ht="12.75" customHeight="1">
      <c r="B28" s="17">
        <v>4.0</v>
      </c>
      <c r="C28" s="4">
        <v>0.85</v>
      </c>
      <c r="D28" s="4">
        <v>0.02</v>
      </c>
      <c r="E28" s="4">
        <v>0.03</v>
      </c>
      <c r="F28" s="4">
        <v>0.05</v>
      </c>
      <c r="G28" s="4">
        <v>0.05</v>
      </c>
      <c r="H28" s="4">
        <f t="shared" si="2"/>
        <v>1</v>
      </c>
      <c r="I28" s="4">
        <f>F28*$D$14/H28</f>
        <v>0.002917730746</v>
      </c>
      <c r="J28" s="4">
        <f t="shared" si="3"/>
        <v>2.917730746</v>
      </c>
      <c r="K28" s="4">
        <f t="shared" si="4"/>
        <v>0.1224264706</v>
      </c>
      <c r="L28" s="4">
        <f t="shared" si="5"/>
        <v>122.4264706</v>
      </c>
      <c r="M28" s="4">
        <f t="shared" si="6"/>
        <v>0.01678854964</v>
      </c>
      <c r="N28" s="4">
        <f t="shared" si="7"/>
        <v>85</v>
      </c>
    </row>
    <row r="29" ht="12.75" customHeight="1">
      <c r="B29" s="17">
        <v>5.0</v>
      </c>
      <c r="C29" s="4">
        <v>0.85</v>
      </c>
      <c r="D29" s="1">
        <v>0.02</v>
      </c>
      <c r="E29" s="1">
        <v>0.03</v>
      </c>
      <c r="F29" s="1">
        <v>0.05</v>
      </c>
      <c r="G29" s="1">
        <v>0.05</v>
      </c>
      <c r="H29" s="1">
        <f t="shared" si="2"/>
        <v>1</v>
      </c>
      <c r="I29" s="1">
        <f>F29*$D$15/H29</f>
        <v>0.002042411522</v>
      </c>
      <c r="J29" s="1">
        <f t="shared" si="3"/>
        <v>2.042411522</v>
      </c>
      <c r="K29" s="4">
        <f t="shared" si="4"/>
        <v>0.1224264706</v>
      </c>
      <c r="L29" s="4">
        <f t="shared" si="5"/>
        <v>122.4264706</v>
      </c>
      <c r="M29" s="1">
        <f t="shared" si="6"/>
        <v>0.01678854964</v>
      </c>
      <c r="N29" s="1">
        <f t="shared" si="7"/>
        <v>85</v>
      </c>
    </row>
    <row r="30" ht="12.75" customHeight="1">
      <c r="B30" s="17">
        <v>6.0</v>
      </c>
      <c r="C30" s="4">
        <v>0.85</v>
      </c>
      <c r="D30" s="1">
        <v>0.02</v>
      </c>
      <c r="E30" s="1">
        <v>0.03</v>
      </c>
      <c r="F30" s="1">
        <v>0.05</v>
      </c>
      <c r="G30" s="1">
        <v>0.05</v>
      </c>
      <c r="H30" s="1">
        <f t="shared" si="2"/>
        <v>1</v>
      </c>
      <c r="I30" s="1">
        <f>F30*$D$16/H30</f>
        <v>0.001021205761</v>
      </c>
      <c r="J30" s="1">
        <f t="shared" si="3"/>
        <v>1.021205761</v>
      </c>
      <c r="K30" s="4">
        <f t="shared" si="4"/>
        <v>0.1224264706</v>
      </c>
      <c r="L30" s="4">
        <f t="shared" si="5"/>
        <v>122.4264706</v>
      </c>
      <c r="M30" s="1">
        <f t="shared" si="6"/>
        <v>0.01678854964</v>
      </c>
      <c r="N30" s="1">
        <f t="shared" si="7"/>
        <v>85</v>
      </c>
    </row>
    <row r="31" ht="12.75" customHeight="1">
      <c r="B31" s="18">
        <v>7.0</v>
      </c>
      <c r="C31" s="19">
        <v>0.85</v>
      </c>
      <c r="D31" s="19">
        <v>0.02</v>
      </c>
      <c r="E31" s="19">
        <v>0.03</v>
      </c>
      <c r="F31" s="19">
        <v>0.05</v>
      </c>
      <c r="G31" s="19">
        <v>0.05</v>
      </c>
      <c r="H31" s="19">
        <f t="shared" si="2"/>
        <v>1</v>
      </c>
      <c r="I31" s="19">
        <f>F31*$D$17/H31</f>
        <v>0.0005106028805</v>
      </c>
      <c r="J31" s="19">
        <f t="shared" si="3"/>
        <v>0.5106028805</v>
      </c>
      <c r="K31" s="19">
        <f t="shared" si="4"/>
        <v>0.1224264706</v>
      </c>
      <c r="L31" s="19">
        <f t="shared" si="5"/>
        <v>122.4264706</v>
      </c>
      <c r="M31" s="19">
        <f t="shared" si="6"/>
        <v>0.01678854964</v>
      </c>
      <c r="N31" s="19">
        <f t="shared" si="7"/>
        <v>85</v>
      </c>
    </row>
    <row r="32" ht="12.75" customHeight="1">
      <c r="B32" s="20" t="s">
        <v>75</v>
      </c>
      <c r="C32" s="1">
        <v>1.7</v>
      </c>
      <c r="D32" s="4">
        <v>0.06</v>
      </c>
      <c r="E32" s="4">
        <v>0.0</v>
      </c>
      <c r="F32" s="1">
        <v>0.14</v>
      </c>
      <c r="G32" s="4">
        <v>0.1</v>
      </c>
      <c r="H32" s="1">
        <f t="shared" si="2"/>
        <v>2</v>
      </c>
      <c r="I32" s="1">
        <f>F32*$D$11/H32</f>
        <v>0.01429688065</v>
      </c>
      <c r="J32" s="1">
        <f t="shared" si="3"/>
        <v>14.29688065</v>
      </c>
      <c r="K32" s="4">
        <f t="shared" si="4"/>
        <v>0.1224264706</v>
      </c>
      <c r="L32" s="4">
        <f t="shared" si="5"/>
        <v>122.4264706</v>
      </c>
      <c r="M32" s="1">
        <f t="shared" si="6"/>
        <v>0</v>
      </c>
      <c r="N32" s="1">
        <f t="shared" si="7"/>
        <v>85</v>
      </c>
    </row>
    <row r="33" ht="12.75" customHeight="1">
      <c r="B33" s="17" t="s">
        <v>76</v>
      </c>
      <c r="C33" s="1">
        <v>1.7</v>
      </c>
      <c r="D33" s="4">
        <v>0.08</v>
      </c>
      <c r="E33" s="4">
        <v>0.0</v>
      </c>
      <c r="F33" s="1">
        <v>0.12</v>
      </c>
      <c r="G33" s="4">
        <v>0.1</v>
      </c>
      <c r="H33" s="1">
        <f t="shared" si="2"/>
        <v>2</v>
      </c>
      <c r="I33" s="1">
        <f>F33*$D$12/H33</f>
        <v>0.008169646088</v>
      </c>
      <c r="J33" s="1">
        <f t="shared" si="3"/>
        <v>8.169646088</v>
      </c>
      <c r="K33" s="4">
        <f t="shared" si="4"/>
        <v>0.1224264706</v>
      </c>
      <c r="L33" s="4">
        <f t="shared" si="5"/>
        <v>122.4264706</v>
      </c>
      <c r="M33" s="1">
        <f t="shared" si="6"/>
        <v>0</v>
      </c>
      <c r="N33" s="1">
        <f t="shared" si="7"/>
        <v>85</v>
      </c>
    </row>
    <row r="34" ht="12.75" customHeight="1">
      <c r="B34" s="17" t="s">
        <v>77</v>
      </c>
      <c r="C34" s="1">
        <v>1.7</v>
      </c>
      <c r="D34" s="4">
        <v>0.1</v>
      </c>
      <c r="E34" s="4">
        <v>0.0</v>
      </c>
      <c r="F34" s="1">
        <v>0.1</v>
      </c>
      <c r="G34" s="4">
        <v>0.1</v>
      </c>
      <c r="H34" s="1">
        <f t="shared" si="2"/>
        <v>2</v>
      </c>
      <c r="I34" s="1">
        <f>F34*$D$13/H34</f>
        <v>0.004084823044</v>
      </c>
      <c r="J34" s="1">
        <f t="shared" si="3"/>
        <v>4.084823044</v>
      </c>
      <c r="K34" s="4">
        <f t="shared" si="4"/>
        <v>0.1224264706</v>
      </c>
      <c r="L34" s="4">
        <f t="shared" si="5"/>
        <v>122.4264706</v>
      </c>
      <c r="M34" s="1">
        <f t="shared" si="6"/>
        <v>0</v>
      </c>
      <c r="N34" s="1">
        <f t="shared" si="7"/>
        <v>85</v>
      </c>
    </row>
    <row r="35" ht="12.75" customHeight="1">
      <c r="B35" s="17" t="s">
        <v>78</v>
      </c>
      <c r="C35" s="1">
        <v>1.7</v>
      </c>
      <c r="D35" s="4">
        <v>0.1</v>
      </c>
      <c r="E35" s="4">
        <v>0.0</v>
      </c>
      <c r="F35" s="1">
        <v>0.1</v>
      </c>
      <c r="G35" s="4">
        <v>0.1</v>
      </c>
      <c r="H35" s="1">
        <f t="shared" si="2"/>
        <v>2</v>
      </c>
      <c r="I35" s="1">
        <f>F35*$D$14/H35</f>
        <v>0.002917730746</v>
      </c>
      <c r="J35" s="1">
        <f t="shared" si="3"/>
        <v>2.917730746</v>
      </c>
      <c r="K35" s="4">
        <f t="shared" si="4"/>
        <v>0.1224264706</v>
      </c>
      <c r="L35" s="4">
        <f t="shared" si="5"/>
        <v>122.4264706</v>
      </c>
      <c r="M35" s="1">
        <f t="shared" si="6"/>
        <v>0</v>
      </c>
      <c r="N35" s="1">
        <f t="shared" si="7"/>
        <v>85</v>
      </c>
    </row>
    <row r="36" ht="12.75" customHeight="1">
      <c r="B36" s="17" t="s">
        <v>79</v>
      </c>
      <c r="C36" s="1">
        <v>1.7</v>
      </c>
      <c r="D36" s="4">
        <v>0.1</v>
      </c>
      <c r="E36" s="4">
        <v>0.0</v>
      </c>
      <c r="F36" s="1">
        <v>0.1</v>
      </c>
      <c r="G36" s="4">
        <v>0.1</v>
      </c>
      <c r="H36" s="1">
        <f t="shared" si="2"/>
        <v>2</v>
      </c>
      <c r="I36" s="1">
        <f>F36*$D$15/H36</f>
        <v>0.002042411522</v>
      </c>
      <c r="J36" s="1">
        <f t="shared" si="3"/>
        <v>2.042411522</v>
      </c>
      <c r="K36" s="4">
        <f t="shared" si="4"/>
        <v>0.1224264706</v>
      </c>
      <c r="L36" s="4">
        <f t="shared" si="5"/>
        <v>122.4264706</v>
      </c>
      <c r="M36" s="1">
        <f t="shared" si="6"/>
        <v>0</v>
      </c>
      <c r="N36" s="1">
        <f t="shared" si="7"/>
        <v>85</v>
      </c>
    </row>
    <row r="37" ht="12.75" customHeight="1">
      <c r="B37" s="17" t="s">
        <v>80</v>
      </c>
      <c r="C37" s="1">
        <v>1.7</v>
      </c>
      <c r="D37" s="4">
        <v>0.1</v>
      </c>
      <c r="E37" s="4">
        <v>0.0</v>
      </c>
      <c r="F37" s="1">
        <v>0.1</v>
      </c>
      <c r="G37" s="4">
        <v>0.1</v>
      </c>
      <c r="H37" s="1">
        <f t="shared" si="2"/>
        <v>2</v>
      </c>
      <c r="I37" s="1">
        <f>F37*$D$16/H37</f>
        <v>0.001021205761</v>
      </c>
      <c r="J37" s="1">
        <f t="shared" si="3"/>
        <v>1.021205761</v>
      </c>
      <c r="K37" s="4">
        <f t="shared" si="4"/>
        <v>0.1224264706</v>
      </c>
      <c r="L37" s="4">
        <f t="shared" si="5"/>
        <v>122.4264706</v>
      </c>
      <c r="M37" s="1">
        <f t="shared" si="6"/>
        <v>0</v>
      </c>
      <c r="N37" s="1">
        <f t="shared" si="7"/>
        <v>85</v>
      </c>
    </row>
    <row r="38" ht="13.5" customHeight="1">
      <c r="B38" s="15" t="s">
        <v>81</v>
      </c>
      <c r="C38" s="5">
        <v>1.7</v>
      </c>
      <c r="D38" s="5">
        <v>0.1</v>
      </c>
      <c r="E38" s="5">
        <v>0.0</v>
      </c>
      <c r="F38" s="5">
        <v>0.1</v>
      </c>
      <c r="G38" s="5">
        <v>0.1</v>
      </c>
      <c r="H38" s="5">
        <f t="shared" si="2"/>
        <v>2</v>
      </c>
      <c r="I38" s="5">
        <f>F38*$D$17/H38</f>
        <v>0.0005106028805</v>
      </c>
      <c r="J38" s="5">
        <f t="shared" si="3"/>
        <v>0.5106028805</v>
      </c>
      <c r="K38" s="5">
        <f t="shared" si="4"/>
        <v>0.1224264706</v>
      </c>
      <c r="L38" s="5">
        <f t="shared" si="5"/>
        <v>122.4264706</v>
      </c>
      <c r="M38" s="5">
        <f t="shared" si="6"/>
        <v>0</v>
      </c>
      <c r="N38" s="5">
        <f t="shared" si="7"/>
        <v>85</v>
      </c>
    </row>
    <row r="39" ht="12.75" customHeight="1">
      <c r="C39" s="4">
        <f t="shared" ref="C39:G39" si="8">SUM(C25:C38)</f>
        <v>17.85</v>
      </c>
      <c r="D39" s="4">
        <f t="shared" si="8"/>
        <v>0.75</v>
      </c>
      <c r="E39" s="4">
        <f t="shared" si="8"/>
        <v>0.21</v>
      </c>
      <c r="F39" s="4">
        <f t="shared" si="8"/>
        <v>1.14</v>
      </c>
      <c r="G39" s="4">
        <f t="shared" si="8"/>
        <v>1.05</v>
      </c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7" t="s">
        <v>82</v>
      </c>
      <c r="L41" s="8" t="str">
        <f>I49</f>
        <v/>
      </c>
      <c r="M41" s="9" t="s">
        <v>83</v>
      </c>
    </row>
    <row r="42" ht="12.75" customHeight="1">
      <c r="J42" s="21"/>
      <c r="K42" s="11" t="s">
        <v>82</v>
      </c>
      <c r="L42" s="4">
        <f>(L41/I2)/31</f>
        <v>0</v>
      </c>
      <c r="M42" s="12" t="s">
        <v>84</v>
      </c>
    </row>
    <row r="43" ht="12.75" customHeight="1">
      <c r="G43" s="1">
        <f>1.7/2</f>
        <v>0.85</v>
      </c>
      <c r="K43" s="11" t="s">
        <v>85</v>
      </c>
      <c r="L43" s="4" t="str">
        <f>I50</f>
        <v/>
      </c>
      <c r="M43" s="12" t="s">
        <v>86</v>
      </c>
    </row>
    <row r="44" ht="13.5" customHeight="1">
      <c r="K44" s="13" t="s">
        <v>87</v>
      </c>
      <c r="L44" s="5">
        <f>L42/G13</f>
        <v>0</v>
      </c>
      <c r="M44" s="14" t="s">
        <v>88</v>
      </c>
    </row>
    <row r="45" ht="12.75" customHeight="1">
      <c r="B45" s="4" t="s">
        <v>89</v>
      </c>
      <c r="C45" s="4"/>
      <c r="D45" s="4"/>
      <c r="E45" s="4"/>
      <c r="F45" s="4"/>
      <c r="G45" s="4"/>
      <c r="H45" s="4"/>
      <c r="I45" s="4"/>
    </row>
    <row r="46" ht="12.75" customHeight="1">
      <c r="B46" s="4" t="s">
        <v>90</v>
      </c>
      <c r="C46" s="4"/>
      <c r="D46" s="4"/>
      <c r="E46" s="4"/>
      <c r="F46" s="4"/>
      <c r="G46" s="4"/>
      <c r="L46" s="21"/>
    </row>
    <row r="47" ht="12.75" customHeight="1">
      <c r="B47" s="1" t="s">
        <v>91</v>
      </c>
    </row>
    <row r="48" ht="12.75" customHeight="1">
      <c r="B48" s="1" t="s">
        <v>92</v>
      </c>
      <c r="C48" s="1" t="s">
        <v>93</v>
      </c>
      <c r="D48" s="1" t="s">
        <v>94</v>
      </c>
      <c r="E48" s="1" t="s">
        <v>95</v>
      </c>
      <c r="F48" s="1" t="s">
        <v>96</v>
      </c>
      <c r="H48" s="1" t="s">
        <v>97</v>
      </c>
    </row>
    <row r="49" ht="12.75" customHeight="1">
      <c r="B49" s="1" t="s">
        <v>98</v>
      </c>
      <c r="C49" s="1">
        <v>9.54180000000209</v>
      </c>
      <c r="D49" s="1">
        <v>0.0</v>
      </c>
      <c r="E49" s="1">
        <v>7.5008413487E-5</v>
      </c>
      <c r="F49" s="1" t="s">
        <v>99</v>
      </c>
      <c r="H49" s="1">
        <f t="shared" ref="H49:H52" si="9">E49/$G$13</f>
        <v>0.004467831653</v>
      </c>
    </row>
    <row r="50" ht="12.75" customHeight="1">
      <c r="B50" s="1" t="s">
        <v>100</v>
      </c>
      <c r="C50" s="1">
        <v>7.63349999980659</v>
      </c>
      <c r="D50" s="1">
        <v>0.0</v>
      </c>
      <c r="E50" s="1">
        <v>1.2618009404E-4</v>
      </c>
      <c r="F50" s="1" t="s">
        <v>99</v>
      </c>
      <c r="H50" s="1">
        <f t="shared" si="9"/>
        <v>0.007515842449</v>
      </c>
    </row>
    <row r="51" ht="12.75" customHeight="1">
      <c r="B51" s="1" t="s">
        <v>101</v>
      </c>
      <c r="C51" s="1">
        <v>6.36119999978359</v>
      </c>
      <c r="D51" s="1">
        <v>0.0</v>
      </c>
      <c r="E51" s="1">
        <v>1.0634206747E-4</v>
      </c>
      <c r="F51" s="22" t="s">
        <v>99</v>
      </c>
      <c r="H51" s="1">
        <f t="shared" si="9"/>
        <v>0.006334202165</v>
      </c>
    </row>
    <row r="52" ht="12.75" customHeight="1">
      <c r="B52" s="1" t="s">
        <v>102</v>
      </c>
      <c r="C52" s="1">
        <v>4.24079999985573</v>
      </c>
      <c r="D52" s="1">
        <v>0.0</v>
      </c>
      <c r="E52" s="1">
        <v>7.353568732E-5</v>
      </c>
      <c r="F52" s="1" t="s">
        <v>99</v>
      </c>
      <c r="H52" s="1">
        <f t="shared" si="9"/>
        <v>0.004380109592</v>
      </c>
    </row>
    <row r="53" ht="12.75" customHeight="1"/>
    <row r="54" ht="12.75" customHeight="1"/>
    <row r="55" ht="12.75" customHeight="1"/>
    <row r="56" ht="12.75" customHeight="1"/>
    <row r="57" ht="12.75" customHeight="1">
      <c r="B57" s="4" t="s">
        <v>103</v>
      </c>
      <c r="C57" s="4"/>
      <c r="D57" s="4"/>
      <c r="E57" s="4"/>
      <c r="F57" s="4"/>
    </row>
    <row r="58" ht="12.75" customHeight="1">
      <c r="B58" s="4" t="s">
        <v>90</v>
      </c>
      <c r="C58" s="4"/>
      <c r="D58" s="4"/>
      <c r="E58" s="4"/>
      <c r="F58" s="4"/>
      <c r="J58" s="1">
        <v>0.027980916</v>
      </c>
    </row>
    <row r="59" ht="12.75" customHeight="1">
      <c r="B59" s="1" t="s">
        <v>91</v>
      </c>
    </row>
    <row r="60" ht="12.75" customHeight="1">
      <c r="B60" s="1" t="s">
        <v>92</v>
      </c>
      <c r="C60" s="1" t="s">
        <v>93</v>
      </c>
      <c r="D60" s="1" t="s">
        <v>94</v>
      </c>
      <c r="E60" s="1" t="s">
        <v>95</v>
      </c>
      <c r="F60" s="1" t="s">
        <v>96</v>
      </c>
      <c r="H60" s="1" t="s">
        <v>97</v>
      </c>
    </row>
    <row r="61" ht="12.75" customHeight="1">
      <c r="B61" s="1" t="s">
        <v>98</v>
      </c>
      <c r="C61" s="1">
        <v>6.32510000019758</v>
      </c>
      <c r="D61" s="1">
        <v>0.0</v>
      </c>
      <c r="E61" s="1">
        <v>4.01242088102E-4</v>
      </c>
      <c r="F61" s="1" t="s">
        <v>99</v>
      </c>
      <c r="H61" s="1">
        <f t="shared" ref="H61:H64" si="10">E61/$J$58</f>
        <v>0.01433984821</v>
      </c>
    </row>
    <row r="62" ht="12.75" customHeight="1">
      <c r="B62" s="1" t="s">
        <v>100</v>
      </c>
      <c r="C62" s="1">
        <v>3.16259999993623</v>
      </c>
      <c r="D62" s="1">
        <v>0.0</v>
      </c>
      <c r="E62" s="1">
        <v>4.44797278446E-4</v>
      </c>
      <c r="F62" s="1" t="s">
        <v>99</v>
      </c>
      <c r="H62" s="1">
        <f t="shared" si="10"/>
        <v>0.01589645165</v>
      </c>
    </row>
    <row r="63" ht="12.75" customHeight="1">
      <c r="B63" s="1" t="s">
        <v>101</v>
      </c>
      <c r="C63" s="1">
        <v>1.26500000023521</v>
      </c>
      <c r="D63" s="1">
        <v>0.0</v>
      </c>
      <c r="E63" s="1">
        <v>3.79436724136E-4</v>
      </c>
      <c r="F63" s="22" t="s">
        <v>99</v>
      </c>
      <c r="H63" s="1">
        <f t="shared" si="10"/>
        <v>0.01356055406</v>
      </c>
    </row>
    <row r="64" ht="12.75" customHeight="1">
      <c r="B64" s="1" t="s">
        <v>102</v>
      </c>
      <c r="C64" s="1">
        <v>0.316300000059589</v>
      </c>
      <c r="D64" s="1">
        <v>0.0</v>
      </c>
      <c r="E64" s="1">
        <v>1.77597446749E-4</v>
      </c>
      <c r="F64" s="1" t="s">
        <v>99</v>
      </c>
      <c r="H64" s="1">
        <f t="shared" si="10"/>
        <v>0.006347091952</v>
      </c>
    </row>
    <row r="65" ht="12.75" customHeight="1"/>
    <row r="66" ht="12.75" customHeight="1"/>
    <row r="67" ht="12.75" customHeight="1">
      <c r="B67" s="1" t="s">
        <v>104</v>
      </c>
    </row>
    <row r="68" ht="12.75" customHeight="1">
      <c r="B68" s="4" t="s">
        <v>90</v>
      </c>
      <c r="C68" s="4"/>
      <c r="D68" s="4"/>
      <c r="E68" s="4"/>
      <c r="F68" s="4"/>
    </row>
    <row r="69" ht="12.75" customHeight="1">
      <c r="B69" s="4" t="s">
        <v>91</v>
      </c>
      <c r="C69" s="4"/>
      <c r="D69" s="4"/>
      <c r="E69" s="4"/>
      <c r="F69" s="4"/>
    </row>
    <row r="70" ht="12.75" customHeight="1">
      <c r="B70" s="4" t="s">
        <v>92</v>
      </c>
      <c r="C70" s="4" t="s">
        <v>93</v>
      </c>
      <c r="D70" s="4" t="s">
        <v>94</v>
      </c>
      <c r="E70" s="4" t="s">
        <v>95</v>
      </c>
      <c r="F70" s="4" t="s">
        <v>96</v>
      </c>
      <c r="H70" s="1" t="s">
        <v>97</v>
      </c>
    </row>
    <row r="71" ht="12.75" customHeight="1">
      <c r="B71" s="4" t="s">
        <v>98</v>
      </c>
      <c r="C71" s="4">
        <v>6.32510000019758</v>
      </c>
      <c r="D71" s="4">
        <v>0.0</v>
      </c>
      <c r="E71" s="4">
        <v>3.61109319969E-4</v>
      </c>
      <c r="F71" s="4" t="s">
        <v>99</v>
      </c>
      <c r="H71" s="1">
        <f t="shared" ref="H71:H74" si="11">E71/$J$58</f>
        <v>0.01290555749</v>
      </c>
    </row>
    <row r="72" ht="12.75" customHeight="1">
      <c r="B72" s="4" t="s">
        <v>100</v>
      </c>
      <c r="C72" s="4">
        <v>3.16259999993623</v>
      </c>
      <c r="D72" s="4">
        <v>0.0</v>
      </c>
      <c r="E72" s="4">
        <v>4.15066373926E-4</v>
      </c>
      <c r="F72" s="4" t="s">
        <v>99</v>
      </c>
      <c r="H72" s="1">
        <f t="shared" si="11"/>
        <v>0.01483390944</v>
      </c>
    </row>
    <row r="73" ht="12.75" customHeight="1">
      <c r="B73" s="4" t="s">
        <v>101</v>
      </c>
      <c r="C73" s="4">
        <v>1.26500000023521</v>
      </c>
      <c r="D73" s="4">
        <v>0.0</v>
      </c>
      <c r="E73" s="4">
        <v>3.60698341815E-4</v>
      </c>
      <c r="F73" s="4" t="s">
        <v>99</v>
      </c>
      <c r="H73" s="1">
        <f t="shared" si="11"/>
        <v>0.01289086968</v>
      </c>
    </row>
    <row r="74" ht="12.75" customHeight="1">
      <c r="B74" s="4" t="s">
        <v>102</v>
      </c>
      <c r="C74" s="4">
        <v>0.316300000059589</v>
      </c>
      <c r="D74" s="4">
        <v>0.0</v>
      </c>
      <c r="E74" s="4">
        <v>1.93930071418E-4</v>
      </c>
      <c r="F74" s="4" t="s">
        <v>99</v>
      </c>
      <c r="H74" s="1">
        <f t="shared" si="11"/>
        <v>0.006930797813</v>
      </c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7" t="s">
        <v>105</v>
      </c>
      <c r="D86" s="8"/>
      <c r="E86" s="8"/>
      <c r="F86" s="8"/>
      <c r="G86" s="8"/>
      <c r="H86" s="8"/>
      <c r="I86" s="8"/>
      <c r="J86" s="8"/>
      <c r="K86" s="8"/>
      <c r="L86" s="9"/>
      <c r="M86" s="4"/>
    </row>
    <row r="87" ht="12.75" customHeight="1">
      <c r="B87" s="4"/>
      <c r="C87" s="11" t="s">
        <v>106</v>
      </c>
      <c r="D87" s="4"/>
      <c r="E87" s="4"/>
      <c r="F87" s="4"/>
      <c r="G87" s="4"/>
      <c r="H87" s="4"/>
      <c r="I87" s="4"/>
      <c r="J87" s="4"/>
      <c r="K87" s="4"/>
      <c r="L87" s="12"/>
      <c r="M87" s="4"/>
    </row>
    <row r="88" ht="12.75" customHeight="1">
      <c r="B88" s="4"/>
      <c r="C88" s="11" t="s">
        <v>107</v>
      </c>
      <c r="D88" s="4"/>
      <c r="E88" s="4"/>
      <c r="F88" s="4"/>
      <c r="G88" s="4"/>
      <c r="H88" s="4"/>
      <c r="I88" s="4"/>
      <c r="J88" s="4"/>
      <c r="K88" s="4"/>
      <c r="L88" s="12"/>
      <c r="M88" s="4"/>
    </row>
    <row r="89" ht="13.5" customHeight="1">
      <c r="B89" s="4"/>
      <c r="C89" s="13" t="s">
        <v>108</v>
      </c>
      <c r="D89" s="5"/>
      <c r="E89" s="5"/>
      <c r="F89" s="5"/>
      <c r="G89" s="5"/>
      <c r="H89" s="5"/>
      <c r="I89" s="5"/>
      <c r="J89" s="5"/>
      <c r="K89" s="5"/>
      <c r="L89" s="14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22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H106" s="4"/>
      <c r="I106" s="4"/>
      <c r="J106" s="4"/>
      <c r="K106" s="4"/>
      <c r="L106" s="4"/>
      <c r="M106" s="4"/>
    </row>
    <row r="107" ht="12.75" customHeight="1">
      <c r="B107" s="4"/>
      <c r="H107" s="4"/>
      <c r="I107" s="4"/>
      <c r="J107" s="4"/>
      <c r="K107" s="4"/>
      <c r="L107" s="4"/>
      <c r="M107" s="4"/>
    </row>
    <row r="108" ht="12.75" customHeight="1">
      <c r="B108" s="4"/>
      <c r="H108" s="4"/>
      <c r="I108" s="4"/>
      <c r="J108" s="4"/>
      <c r="K108" s="4"/>
      <c r="L108" s="4"/>
      <c r="M108" s="4"/>
    </row>
    <row r="109" ht="12.75" customHeight="1">
      <c r="B109" s="4"/>
      <c r="H109" s="4"/>
      <c r="I109" s="4"/>
      <c r="J109" s="4"/>
      <c r="K109" s="4"/>
      <c r="L109" s="4"/>
      <c r="M109" s="4"/>
    </row>
    <row r="110" ht="12.75" customHeight="1">
      <c r="B110" s="4"/>
      <c r="H110" s="4"/>
      <c r="I110" s="4"/>
      <c r="J110" s="4"/>
      <c r="K110" s="4"/>
      <c r="L110" s="4"/>
      <c r="M110" s="4"/>
    </row>
    <row r="111" ht="12.75" customHeight="1">
      <c r="B111" s="4"/>
      <c r="H111" s="4"/>
      <c r="I111" s="4"/>
      <c r="J111" s="4"/>
      <c r="K111" s="4"/>
      <c r="L111" s="4"/>
    </row>
    <row r="112" ht="12.75" customHeight="1">
      <c r="B112" s="4"/>
      <c r="H112" s="4"/>
      <c r="I112" s="4"/>
      <c r="J112" s="4"/>
      <c r="K112" s="4"/>
      <c r="L112" s="4"/>
    </row>
    <row r="113" ht="12.75" customHeight="1">
      <c r="B113" s="4"/>
      <c r="H113" s="4"/>
      <c r="I113" s="4"/>
      <c r="J113" s="4"/>
      <c r="K113" s="22"/>
      <c r="L113" s="4"/>
    </row>
    <row r="114" ht="12.75" customHeight="1">
      <c r="B114" s="4"/>
      <c r="H114" s="4"/>
      <c r="I114" s="4"/>
      <c r="J114" s="4"/>
      <c r="K114" s="4"/>
      <c r="L114" s="4"/>
    </row>
    <row r="115" ht="12.75" customHeight="1">
      <c r="B115" s="4"/>
      <c r="H115" s="4"/>
      <c r="I115" s="4"/>
      <c r="J115" s="4"/>
      <c r="K115" s="4"/>
      <c r="L115" s="4"/>
    </row>
    <row r="116" ht="12.75" customHeight="1">
      <c r="B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6" t="s">
        <v>109</v>
      </c>
      <c r="B1" s="6" t="s">
        <v>110</v>
      </c>
    </row>
    <row r="2" ht="12.75" customHeight="1">
      <c r="A2" s="6" t="s">
        <v>111</v>
      </c>
      <c r="B2" s="6">
        <v>161008.0</v>
      </c>
    </row>
    <row r="3" ht="12.75" customHeight="1">
      <c r="A3" s="6" t="s">
        <v>92</v>
      </c>
      <c r="B3" s="6" t="s">
        <v>98</v>
      </c>
    </row>
    <row r="4" ht="12.75" customHeight="1">
      <c r="A4" s="6" t="s">
        <v>112</v>
      </c>
      <c r="B4" s="6" t="s">
        <v>113</v>
      </c>
    </row>
    <row r="5" ht="12.75" customHeight="1">
      <c r="A5" s="6" t="s">
        <v>114</v>
      </c>
      <c r="B5" s="6" t="s">
        <v>115</v>
      </c>
    </row>
    <row r="6" ht="12.75" customHeight="1">
      <c r="A6" s="6" t="s">
        <v>116</v>
      </c>
      <c r="B6" s="23" t="s">
        <v>117</v>
      </c>
      <c r="D6" s="23"/>
      <c r="F6" s="23"/>
      <c r="H6" s="23"/>
    </row>
    <row r="7" ht="12.75" customHeight="1">
      <c r="A7" s="6" t="s">
        <v>118</v>
      </c>
      <c r="B7" s="6" t="s">
        <v>119</v>
      </c>
    </row>
    <row r="8" ht="12.75" customHeight="1">
      <c r="A8" s="6" t="s">
        <v>120</v>
      </c>
      <c r="B8" s="6" t="s">
        <v>121</v>
      </c>
    </row>
    <row r="9" ht="12.75" customHeight="1">
      <c r="A9" s="6" t="s">
        <v>122</v>
      </c>
      <c r="B9" s="6" t="s">
        <v>123</v>
      </c>
    </row>
    <row r="10" ht="12.75" customHeight="1">
      <c r="A10" s="6" t="s">
        <v>124</v>
      </c>
      <c r="B10" s="6" t="s">
        <v>125</v>
      </c>
    </row>
    <row r="11" ht="12.75" customHeight="1">
      <c r="A11" s="24">
        <v>0.0</v>
      </c>
      <c r="B11" s="24">
        <v>0.0</v>
      </c>
      <c r="C11" s="24"/>
      <c r="D11" s="25"/>
      <c r="E11" s="24"/>
      <c r="F11" s="25"/>
      <c r="G11" s="24"/>
      <c r="H11" s="24"/>
    </row>
    <row r="12" ht="12.75" customHeight="1">
      <c r="A12" s="24">
        <v>0.2916666666666667</v>
      </c>
      <c r="B12" s="24">
        <v>6.944444444444445E-4</v>
      </c>
      <c r="C12" s="25"/>
      <c r="D12" s="25"/>
      <c r="E12" s="25"/>
      <c r="F12" s="25"/>
      <c r="G12" s="25"/>
      <c r="H12" s="24"/>
    </row>
    <row r="13" ht="12.75" customHeight="1">
      <c r="A13" s="24">
        <v>0.5833333333333334</v>
      </c>
      <c r="B13" s="24">
        <v>6.944444444444445E-4</v>
      </c>
      <c r="C13" s="25"/>
      <c r="D13" s="25"/>
      <c r="E13" s="25"/>
      <c r="F13" s="25"/>
      <c r="G13" s="25"/>
      <c r="H13" s="24"/>
    </row>
    <row r="14" ht="12.75" customHeight="1">
      <c r="A14" s="24">
        <v>0.875</v>
      </c>
      <c r="B14" s="24">
        <v>6.944444444444445E-4</v>
      </c>
      <c r="C14" s="25"/>
      <c r="D14" s="25"/>
      <c r="E14" s="25"/>
      <c r="F14" s="25"/>
      <c r="G14" s="25"/>
      <c r="H14" s="24"/>
    </row>
    <row r="15" ht="12.75" customHeight="1">
      <c r="A15" s="25">
        <v>1.1666666666666667</v>
      </c>
      <c r="B15" s="24">
        <v>6.944444444444445E-4</v>
      </c>
      <c r="C15" s="25"/>
      <c r="D15" s="24"/>
      <c r="E15" s="25"/>
      <c r="F15" s="25"/>
      <c r="G15" s="25"/>
      <c r="H15" s="24"/>
    </row>
    <row r="16" ht="12.75" customHeight="1">
      <c r="A16" s="25">
        <v>1.4583333333333333</v>
      </c>
      <c r="B16" s="24">
        <v>6.944444444444445E-4</v>
      </c>
      <c r="C16" s="25"/>
      <c r="D16" s="24"/>
      <c r="E16" s="25"/>
      <c r="F16" s="25"/>
      <c r="G16" s="25"/>
      <c r="H16" s="24"/>
    </row>
    <row r="17" ht="12.75" customHeight="1">
      <c r="A17" s="25">
        <v>1.75</v>
      </c>
      <c r="B17" s="24">
        <v>6.944444444444445E-4</v>
      </c>
      <c r="C17" s="25"/>
      <c r="D17" s="24"/>
      <c r="E17" s="25"/>
      <c r="F17" s="25"/>
      <c r="G17" s="25"/>
      <c r="H17" s="24"/>
    </row>
    <row r="18" ht="12.75" customHeight="1">
      <c r="A18" s="25">
        <v>2.0416666666666665</v>
      </c>
      <c r="B18" s="24">
        <v>6.944444444444445E-4</v>
      </c>
      <c r="C18" s="25"/>
      <c r="D18" s="24"/>
      <c r="E18" s="25"/>
      <c r="F18" s="25"/>
      <c r="G18" s="25"/>
      <c r="H18" s="24"/>
    </row>
    <row r="19" ht="12.75" customHeight="1">
      <c r="A19" s="25">
        <v>2.3333333333333335</v>
      </c>
      <c r="B19" s="24">
        <v>6.944444444444445E-4</v>
      </c>
      <c r="C19" s="25"/>
      <c r="D19" s="24"/>
      <c r="E19" s="25"/>
      <c r="F19" s="25"/>
      <c r="G19" s="25"/>
      <c r="H19" s="24"/>
    </row>
    <row r="20" ht="12.75" customHeight="1">
      <c r="A20" s="25">
        <v>2.625</v>
      </c>
      <c r="B20" s="24">
        <v>6.944444444444445E-4</v>
      </c>
      <c r="C20" s="25"/>
      <c r="D20" s="24"/>
      <c r="E20" s="25"/>
      <c r="F20" s="25"/>
      <c r="G20" s="25"/>
      <c r="H20" s="24"/>
    </row>
    <row r="21" ht="12.75" customHeight="1">
      <c r="A21" s="25">
        <v>2.9166666666666665</v>
      </c>
      <c r="B21" s="24">
        <v>0.001388888888888889</v>
      </c>
      <c r="C21" s="25"/>
      <c r="D21" s="24"/>
      <c r="E21" s="25"/>
      <c r="F21" s="25"/>
      <c r="G21" s="25"/>
      <c r="H21" s="24"/>
    </row>
    <row r="22" ht="12.75" customHeight="1">
      <c r="A22" s="25">
        <v>3.2083333333333335</v>
      </c>
      <c r="B22" s="24">
        <v>0.001388888888888889</v>
      </c>
      <c r="C22" s="25"/>
      <c r="D22" s="24"/>
      <c r="E22" s="25"/>
      <c r="F22" s="25"/>
      <c r="G22" s="25"/>
      <c r="H22" s="24"/>
    </row>
    <row r="23" ht="12.75" customHeight="1">
      <c r="A23" s="25">
        <v>3.5</v>
      </c>
      <c r="B23" s="24">
        <v>6.944444444444445E-4</v>
      </c>
      <c r="C23" s="25"/>
      <c r="D23" s="24"/>
      <c r="E23" s="25"/>
      <c r="F23" s="25"/>
      <c r="G23" s="25"/>
      <c r="H23" s="24"/>
    </row>
    <row r="24" ht="12.75" customHeight="1">
      <c r="A24" s="25">
        <v>3.7916666666666665</v>
      </c>
      <c r="B24" s="24">
        <v>0.001388888888888889</v>
      </c>
      <c r="C24" s="25"/>
      <c r="D24" s="24"/>
      <c r="E24" s="25"/>
      <c r="F24" s="25"/>
      <c r="G24" s="25"/>
      <c r="H24" s="24"/>
    </row>
    <row r="25" ht="12.75" customHeight="1">
      <c r="A25" s="25">
        <v>4.083333333333333</v>
      </c>
      <c r="B25" s="24">
        <v>0.001388888888888889</v>
      </c>
      <c r="C25" s="25"/>
      <c r="D25" s="24"/>
      <c r="E25" s="25"/>
      <c r="F25" s="25"/>
      <c r="G25" s="25"/>
      <c r="H25" s="24"/>
    </row>
    <row r="26" ht="12.75" customHeight="1">
      <c r="A26" s="25">
        <v>4.375</v>
      </c>
      <c r="B26" s="24">
        <v>0.001388888888888889</v>
      </c>
      <c r="C26" s="25"/>
      <c r="D26" s="24"/>
      <c r="E26" s="25"/>
      <c r="F26" s="25"/>
      <c r="G26" s="25"/>
      <c r="H26" s="24"/>
    </row>
    <row r="27" ht="12.75" customHeight="1">
      <c r="A27" s="25">
        <v>4.666666666666667</v>
      </c>
      <c r="B27" s="24">
        <v>0.001388888888888889</v>
      </c>
      <c r="C27" s="25"/>
      <c r="D27" s="24"/>
      <c r="E27" s="25"/>
      <c r="F27" s="25"/>
      <c r="G27" s="25"/>
      <c r="H27" s="24"/>
    </row>
    <row r="28" ht="12.75" customHeight="1">
      <c r="A28" s="25">
        <v>4.958333333333333</v>
      </c>
      <c r="B28" s="24">
        <v>0.001388888888888889</v>
      </c>
      <c r="C28" s="25"/>
      <c r="D28" s="24"/>
      <c r="E28" s="25"/>
      <c r="F28" s="25"/>
      <c r="G28" s="25"/>
      <c r="H28" s="24"/>
    </row>
    <row r="29" ht="12.75" customHeight="1">
      <c r="A29" s="25">
        <v>5.25</v>
      </c>
      <c r="B29" s="24">
        <v>0.001388888888888889</v>
      </c>
      <c r="C29" s="25"/>
      <c r="D29" s="24"/>
      <c r="E29" s="25"/>
      <c r="F29" s="25"/>
      <c r="G29" s="25"/>
      <c r="H29" s="24"/>
    </row>
    <row r="30" ht="12.75" customHeight="1">
      <c r="A30" s="25">
        <v>5.541666666666667</v>
      </c>
      <c r="B30" s="24">
        <v>0.001388888888888889</v>
      </c>
      <c r="C30" s="25"/>
      <c r="D30" s="24"/>
      <c r="E30" s="25"/>
      <c r="F30" s="25"/>
      <c r="G30" s="25"/>
      <c r="H30" s="24"/>
    </row>
    <row r="31" ht="12.75" customHeight="1">
      <c r="A31" s="25">
        <v>5.833333333333333</v>
      </c>
      <c r="B31" s="24">
        <v>0.001388888888888889</v>
      </c>
      <c r="C31" s="25"/>
      <c r="D31" s="24"/>
      <c r="E31" s="25"/>
      <c r="F31" s="24"/>
      <c r="G31" s="25"/>
      <c r="H31" s="24"/>
    </row>
    <row r="32" ht="12.75" customHeight="1">
      <c r="A32" s="25">
        <v>6.125</v>
      </c>
      <c r="B32" s="24">
        <v>0.001388888888888889</v>
      </c>
      <c r="C32" s="25"/>
      <c r="D32" s="24"/>
      <c r="E32" s="25"/>
      <c r="F32" s="24"/>
      <c r="G32" s="25"/>
      <c r="H32" s="24"/>
    </row>
    <row r="33" ht="12.75" customHeight="1">
      <c r="A33" s="25">
        <v>6.416666666666667</v>
      </c>
      <c r="B33" s="24">
        <v>0.001388888888888889</v>
      </c>
      <c r="C33" s="25"/>
      <c r="D33" s="24"/>
      <c r="E33" s="25"/>
      <c r="F33" s="24"/>
      <c r="G33" s="25"/>
      <c r="H33" s="24"/>
    </row>
    <row r="34" ht="12.75" customHeight="1">
      <c r="A34" s="25">
        <v>6.708333333333333</v>
      </c>
      <c r="B34" s="24">
        <v>0.0020833333333333333</v>
      </c>
      <c r="C34" s="25"/>
      <c r="D34" s="24"/>
      <c r="E34" s="25"/>
      <c r="F34" s="24"/>
      <c r="G34" s="25"/>
      <c r="H34" s="24"/>
    </row>
    <row r="35" ht="12.75" customHeight="1">
      <c r="A35" s="25">
        <v>7.0</v>
      </c>
      <c r="B35" s="24">
        <v>0.0020833333333333333</v>
      </c>
      <c r="C35" s="25"/>
      <c r="D35" s="24"/>
      <c r="E35" s="25"/>
      <c r="F35" s="24"/>
      <c r="G35" s="25"/>
      <c r="H35" s="24"/>
    </row>
    <row r="36" ht="12.75" customHeight="1">
      <c r="A36" s="25">
        <v>7.291666666666667</v>
      </c>
      <c r="B36" s="24">
        <v>0.001388888888888889</v>
      </c>
      <c r="C36" s="25"/>
      <c r="D36" s="24"/>
      <c r="E36" s="25"/>
      <c r="F36" s="24"/>
      <c r="G36" s="25"/>
      <c r="H36" s="24"/>
    </row>
    <row r="37" ht="12.75" customHeight="1">
      <c r="A37" s="25">
        <v>7.583333333333333</v>
      </c>
      <c r="B37" s="24">
        <v>0.0020833333333333333</v>
      </c>
      <c r="C37" s="25"/>
      <c r="D37" s="24"/>
      <c r="E37" s="25"/>
      <c r="F37" s="24"/>
      <c r="G37" s="25"/>
      <c r="H37" s="24"/>
    </row>
    <row r="38" ht="12.75" customHeight="1">
      <c r="A38" s="25">
        <v>7.875</v>
      </c>
      <c r="B38" s="24">
        <v>0.0020833333333333333</v>
      </c>
      <c r="C38" s="25"/>
      <c r="D38" s="24"/>
      <c r="E38" s="25"/>
      <c r="F38" s="24"/>
      <c r="G38" s="25"/>
      <c r="H38" s="24"/>
    </row>
    <row r="39" ht="12.75" customHeight="1">
      <c r="A39" s="25">
        <v>8.166666666666666</v>
      </c>
      <c r="B39" s="24">
        <v>0.0020833333333333333</v>
      </c>
      <c r="C39" s="25"/>
      <c r="D39" s="24"/>
      <c r="E39" s="25"/>
      <c r="F39" s="24"/>
      <c r="G39" s="25"/>
      <c r="H39" s="24"/>
    </row>
    <row r="40" ht="12.75" customHeight="1">
      <c r="A40" s="25">
        <v>8.458333333333334</v>
      </c>
      <c r="B40" s="24">
        <v>0.0020833333333333333</v>
      </c>
      <c r="C40" s="25"/>
      <c r="D40" s="24"/>
      <c r="E40" s="25"/>
      <c r="F40" s="24"/>
      <c r="G40" s="25"/>
      <c r="H40" s="24"/>
    </row>
    <row r="41" ht="12.75" customHeight="1">
      <c r="A41" s="25">
        <v>8.75</v>
      </c>
      <c r="B41" s="24">
        <v>0.0020833333333333333</v>
      </c>
      <c r="C41" s="25"/>
      <c r="D41" s="24"/>
      <c r="E41" s="25"/>
      <c r="F41" s="24"/>
      <c r="G41" s="25"/>
      <c r="H41" s="24"/>
    </row>
    <row r="42" ht="12.75" customHeight="1">
      <c r="A42" s="25">
        <v>9.041666666666666</v>
      </c>
      <c r="B42" s="24">
        <v>0.0020833333333333333</v>
      </c>
      <c r="C42" s="25"/>
      <c r="D42" s="24"/>
      <c r="E42" s="25"/>
      <c r="F42" s="24"/>
      <c r="G42" s="25"/>
      <c r="H42" s="24"/>
    </row>
    <row r="43" ht="12.75" customHeight="1">
      <c r="A43" s="25">
        <v>9.333333333333334</v>
      </c>
      <c r="B43" s="24">
        <v>0.0020833333333333333</v>
      </c>
      <c r="C43" s="25"/>
      <c r="D43" s="24"/>
      <c r="E43" s="25"/>
      <c r="F43" s="24"/>
      <c r="G43" s="25"/>
      <c r="H43" s="24"/>
    </row>
    <row r="44" ht="12.75" customHeight="1">
      <c r="A44" s="25">
        <v>9.625</v>
      </c>
      <c r="B44" s="24">
        <v>0.0020833333333333333</v>
      </c>
      <c r="C44" s="25"/>
      <c r="D44" s="24"/>
      <c r="E44" s="25"/>
      <c r="F44" s="24"/>
      <c r="G44" s="25"/>
      <c r="H44" s="24"/>
    </row>
    <row r="45" ht="12.75" customHeight="1">
      <c r="A45" s="25">
        <v>9.916666666666666</v>
      </c>
      <c r="B45" s="24">
        <v>0.0020833333333333333</v>
      </c>
      <c r="C45" s="25"/>
      <c r="D45" s="24"/>
      <c r="E45" s="25"/>
      <c r="F45" s="24"/>
      <c r="G45" s="25"/>
      <c r="H45" s="24"/>
    </row>
    <row r="46" ht="12.75" customHeight="1">
      <c r="A46" s="25">
        <v>10.208333333333334</v>
      </c>
      <c r="B46" s="24">
        <v>0.0020833333333333333</v>
      </c>
      <c r="C46" s="25"/>
      <c r="D46" s="24"/>
      <c r="E46" s="25"/>
      <c r="F46" s="24"/>
      <c r="G46" s="25"/>
      <c r="H46" s="24"/>
    </row>
    <row r="47" ht="12.75" customHeight="1">
      <c r="A47" s="25">
        <v>10.5</v>
      </c>
      <c r="B47" s="24">
        <v>0.0020833333333333333</v>
      </c>
      <c r="C47" s="25"/>
      <c r="D47" s="24"/>
      <c r="E47" s="25"/>
      <c r="F47" s="24"/>
      <c r="G47" s="25"/>
      <c r="H47" s="24"/>
    </row>
    <row r="48" ht="12.75" customHeight="1">
      <c r="A48" s="25">
        <v>10.791666666666666</v>
      </c>
      <c r="B48" s="24">
        <v>0.0020833333333333333</v>
      </c>
      <c r="C48" s="25"/>
      <c r="D48" s="24"/>
      <c r="E48" s="25"/>
      <c r="F48" s="24"/>
      <c r="G48" s="25"/>
      <c r="H48" s="24"/>
    </row>
    <row r="49" ht="12.75" customHeight="1">
      <c r="A49" s="25">
        <v>11.083333333333334</v>
      </c>
      <c r="B49" s="24">
        <v>0.0020833333333333333</v>
      </c>
      <c r="C49" s="25"/>
      <c r="D49" s="24"/>
      <c r="E49" s="25"/>
      <c r="F49" s="24"/>
      <c r="G49" s="25"/>
      <c r="H49" s="24"/>
    </row>
    <row r="50" ht="12.75" customHeight="1">
      <c r="A50" s="25">
        <v>11.375</v>
      </c>
      <c r="B50" s="24">
        <v>0.0020833333333333333</v>
      </c>
      <c r="C50" s="25"/>
      <c r="D50" s="24"/>
      <c r="E50" s="25"/>
      <c r="F50" s="24"/>
      <c r="G50" s="25"/>
      <c r="H50" s="24"/>
    </row>
    <row r="51" ht="12.75" customHeight="1">
      <c r="A51" s="25">
        <v>11.666666666666666</v>
      </c>
      <c r="B51" s="24">
        <v>0.0020833333333333333</v>
      </c>
      <c r="C51" s="25"/>
      <c r="D51" s="24"/>
      <c r="E51" s="25"/>
      <c r="F51" s="24"/>
      <c r="G51" s="25"/>
      <c r="H51" s="24"/>
    </row>
    <row r="52" ht="12.75" customHeight="1">
      <c r="A52" s="25">
        <v>11.958333333333334</v>
      </c>
      <c r="B52" s="24">
        <v>0.002777777777777778</v>
      </c>
      <c r="C52" s="25"/>
      <c r="D52" s="24"/>
      <c r="E52" s="25"/>
      <c r="F52" s="24"/>
      <c r="G52" s="25"/>
      <c r="H52" s="24"/>
    </row>
    <row r="53" ht="12.75" customHeight="1">
      <c r="A53" s="25">
        <v>12.25</v>
      </c>
      <c r="B53" s="24">
        <v>0.0020833333333333333</v>
      </c>
      <c r="C53" s="25"/>
      <c r="D53" s="24"/>
      <c r="E53" s="25"/>
      <c r="F53" s="24"/>
      <c r="G53" s="25"/>
      <c r="H53" s="24"/>
    </row>
    <row r="54" ht="12.75" customHeight="1">
      <c r="A54" s="25">
        <v>12.541666666666666</v>
      </c>
      <c r="B54" s="24">
        <v>0.002777777777777778</v>
      </c>
      <c r="C54" s="25"/>
      <c r="D54" s="24"/>
      <c r="E54" s="25"/>
      <c r="F54" s="24"/>
      <c r="G54" s="25"/>
      <c r="H54" s="24"/>
    </row>
    <row r="55" ht="12.75" customHeight="1">
      <c r="A55" s="25">
        <v>12.833333333333334</v>
      </c>
      <c r="B55" s="24">
        <v>0.002777777777777778</v>
      </c>
      <c r="C55" s="25"/>
      <c r="D55" s="24"/>
      <c r="E55" s="25"/>
      <c r="F55" s="24"/>
      <c r="G55" s="25"/>
      <c r="H55" s="24"/>
    </row>
    <row r="56" ht="12.75" customHeight="1">
      <c r="A56" s="25">
        <v>13.125</v>
      </c>
      <c r="B56" s="24">
        <v>0.002777777777777778</v>
      </c>
      <c r="C56" s="25"/>
      <c r="D56" s="24"/>
      <c r="E56" s="25"/>
      <c r="F56" s="24"/>
      <c r="G56" s="25"/>
      <c r="H56" s="24"/>
    </row>
    <row r="57" ht="12.75" customHeight="1">
      <c r="A57" s="25">
        <v>13.416666666666666</v>
      </c>
      <c r="B57" s="24">
        <v>0.0020833333333333333</v>
      </c>
      <c r="C57" s="25"/>
      <c r="D57" s="24"/>
      <c r="E57" s="25"/>
      <c r="F57" s="24"/>
      <c r="G57" s="25"/>
      <c r="H57" s="24"/>
    </row>
    <row r="58" ht="12.75" customHeight="1">
      <c r="A58" s="25">
        <v>13.708333333333334</v>
      </c>
      <c r="B58" s="24">
        <v>0.002777777777777778</v>
      </c>
      <c r="C58" s="25"/>
      <c r="D58" s="24"/>
      <c r="E58" s="25"/>
      <c r="F58" s="24"/>
      <c r="G58" s="25"/>
      <c r="H58" s="24"/>
    </row>
    <row r="59" ht="12.75" customHeight="1">
      <c r="A59" s="25">
        <v>14.0</v>
      </c>
      <c r="B59" s="24">
        <v>0.002777777777777778</v>
      </c>
      <c r="C59" s="25"/>
      <c r="D59" s="24"/>
      <c r="E59" s="25"/>
      <c r="F59" s="24"/>
      <c r="G59" s="25"/>
      <c r="H59" s="24"/>
    </row>
    <row r="60" ht="12.75" customHeight="1">
      <c r="A60" s="25">
        <v>14.291666666666666</v>
      </c>
      <c r="B60" s="24">
        <v>0.002777777777777778</v>
      </c>
      <c r="C60" s="25"/>
      <c r="D60" s="24"/>
      <c r="E60" s="25"/>
      <c r="F60" s="24"/>
      <c r="G60" s="25"/>
      <c r="H60" s="24"/>
    </row>
    <row r="61" ht="12.75" customHeight="1">
      <c r="A61" s="25">
        <v>14.583333333333334</v>
      </c>
      <c r="B61" s="24">
        <v>0.002777777777777778</v>
      </c>
      <c r="C61" s="25"/>
      <c r="D61" s="24"/>
      <c r="E61" s="25"/>
      <c r="F61" s="24"/>
      <c r="G61" s="25"/>
      <c r="H61" s="24"/>
    </row>
    <row r="62" ht="12.75" customHeight="1">
      <c r="A62" s="25">
        <v>14.875</v>
      </c>
      <c r="B62" s="24">
        <v>0.002777777777777778</v>
      </c>
      <c r="C62" s="25"/>
      <c r="D62" s="24"/>
      <c r="E62" s="25"/>
      <c r="F62" s="24"/>
      <c r="G62" s="25"/>
      <c r="H62" s="24"/>
    </row>
    <row r="63" ht="12.75" customHeight="1">
      <c r="A63" s="25">
        <v>15.166666666666666</v>
      </c>
      <c r="B63" s="24">
        <v>0.002777777777777778</v>
      </c>
      <c r="C63" s="25"/>
      <c r="D63" s="24"/>
      <c r="E63" s="25"/>
      <c r="F63" s="24"/>
      <c r="G63" s="25"/>
      <c r="H63" s="24"/>
    </row>
    <row r="64" ht="12.75" customHeight="1">
      <c r="A64" s="25">
        <v>15.458333333333334</v>
      </c>
      <c r="B64" s="24">
        <v>0.002777777777777778</v>
      </c>
      <c r="C64" s="25"/>
      <c r="D64" s="24"/>
      <c r="E64" s="25"/>
      <c r="F64" s="24"/>
      <c r="G64" s="25"/>
      <c r="H64" s="24"/>
    </row>
    <row r="65" ht="12.75" customHeight="1">
      <c r="A65" s="25">
        <v>15.75</v>
      </c>
      <c r="B65" s="24">
        <v>0.002777777777777778</v>
      </c>
      <c r="C65" s="25"/>
      <c r="D65" s="24"/>
      <c r="E65" s="25"/>
      <c r="F65" s="24"/>
      <c r="G65" s="25"/>
      <c r="H65" s="24"/>
    </row>
    <row r="66" ht="12.75" customHeight="1">
      <c r="A66" s="25">
        <v>16.041666666666668</v>
      </c>
      <c r="B66" s="24">
        <v>0.002777777777777778</v>
      </c>
      <c r="C66" s="25"/>
      <c r="D66" s="24"/>
      <c r="E66" s="25"/>
      <c r="F66" s="24"/>
      <c r="G66" s="25"/>
      <c r="H66" s="24"/>
    </row>
    <row r="67" ht="12.75" customHeight="1">
      <c r="A67" s="25"/>
      <c r="B67" s="24"/>
      <c r="C67" s="25"/>
      <c r="D67" s="24"/>
      <c r="E67" s="25"/>
      <c r="F67" s="24"/>
      <c r="G67" s="25"/>
      <c r="H67" s="24"/>
    </row>
    <row r="68" ht="12.75" customHeight="1">
      <c r="A68" s="25"/>
      <c r="B68" s="24"/>
      <c r="C68" s="25"/>
      <c r="D68" s="24"/>
      <c r="E68" s="25"/>
      <c r="F68" s="24"/>
      <c r="G68" s="25"/>
      <c r="H68" s="24"/>
    </row>
    <row r="69" ht="12.75" customHeight="1">
      <c r="A69" s="25"/>
      <c r="B69" s="24"/>
      <c r="C69" s="25"/>
      <c r="D69" s="24"/>
      <c r="E69" s="25"/>
      <c r="F69" s="24"/>
      <c r="G69" s="25"/>
      <c r="H69" s="24"/>
    </row>
    <row r="70" ht="12.75" customHeight="1">
      <c r="A70" s="25"/>
      <c r="B70" s="24"/>
      <c r="C70" s="25"/>
      <c r="D70" s="24"/>
      <c r="E70" s="25"/>
      <c r="F70" s="24"/>
      <c r="G70" s="25"/>
      <c r="H70" s="24"/>
    </row>
    <row r="71" ht="12.75" customHeight="1">
      <c r="A71" s="25"/>
      <c r="B71" s="24"/>
      <c r="C71" s="25"/>
      <c r="D71" s="24"/>
      <c r="E71" s="25"/>
      <c r="F71" s="24"/>
      <c r="G71" s="25"/>
      <c r="H71" s="24"/>
    </row>
    <row r="72" ht="12.75" customHeight="1">
      <c r="A72" s="25"/>
      <c r="B72" s="24"/>
      <c r="C72" s="25"/>
      <c r="D72" s="24"/>
      <c r="E72" s="25"/>
      <c r="F72" s="24"/>
      <c r="G72" s="25"/>
      <c r="H72" s="24"/>
    </row>
    <row r="73" ht="12.75" customHeight="1">
      <c r="A73" s="25"/>
      <c r="B73" s="24"/>
      <c r="C73" s="25"/>
      <c r="D73" s="24"/>
      <c r="E73" s="25"/>
      <c r="F73" s="24"/>
      <c r="G73" s="25"/>
      <c r="H73" s="24"/>
    </row>
    <row r="74" ht="12.75" customHeight="1">
      <c r="A74" s="25"/>
      <c r="B74" s="24"/>
      <c r="C74" s="25"/>
      <c r="D74" s="24"/>
      <c r="E74" s="25"/>
      <c r="F74" s="24"/>
      <c r="G74" s="25"/>
      <c r="H74" s="24"/>
    </row>
    <row r="75" ht="12.75" customHeight="1">
      <c r="A75" s="25"/>
      <c r="B75" s="24"/>
      <c r="C75" s="25"/>
      <c r="D75" s="24"/>
      <c r="E75" s="25"/>
      <c r="F75" s="24"/>
      <c r="G75" s="25"/>
      <c r="H75" s="24"/>
    </row>
    <row r="76" ht="12.75" customHeight="1">
      <c r="A76" s="25"/>
      <c r="B76" s="24"/>
      <c r="C76" s="25"/>
      <c r="D76" s="24"/>
      <c r="E76" s="25"/>
      <c r="F76" s="24"/>
      <c r="G76" s="25"/>
      <c r="H76" s="24"/>
    </row>
    <row r="77" ht="12.75" customHeight="1">
      <c r="A77" s="25"/>
      <c r="B77" s="24"/>
      <c r="C77" s="25"/>
      <c r="D77" s="24"/>
      <c r="E77" s="25"/>
      <c r="F77" s="24"/>
      <c r="G77" s="25"/>
      <c r="H77" s="24"/>
    </row>
    <row r="78" ht="12.75" customHeight="1">
      <c r="A78" s="25"/>
      <c r="B78" s="24"/>
      <c r="C78" s="25"/>
      <c r="D78" s="24"/>
      <c r="E78" s="25"/>
      <c r="F78" s="24"/>
      <c r="G78" s="25"/>
      <c r="H78" s="24"/>
    </row>
    <row r="79" ht="12.75" customHeight="1">
      <c r="A79" s="25"/>
      <c r="B79" s="24"/>
      <c r="C79" s="25"/>
      <c r="D79" s="24"/>
      <c r="E79" s="25"/>
      <c r="F79" s="24"/>
      <c r="G79" s="25"/>
      <c r="H79" s="24"/>
    </row>
    <row r="80" ht="12.75" customHeight="1">
      <c r="A80" s="25"/>
      <c r="B80" s="24"/>
      <c r="C80" s="25"/>
      <c r="D80" s="24"/>
      <c r="E80" s="25"/>
      <c r="F80" s="24"/>
      <c r="G80" s="25"/>
      <c r="H80" s="24"/>
    </row>
    <row r="81" ht="12.75" customHeight="1">
      <c r="A81" s="25"/>
      <c r="B81" s="24"/>
      <c r="C81" s="25"/>
      <c r="D81" s="24"/>
      <c r="E81" s="25"/>
      <c r="F81" s="24"/>
      <c r="G81" s="25"/>
      <c r="H81" s="24"/>
    </row>
    <row r="82" ht="12.75" customHeight="1">
      <c r="A82" s="25"/>
      <c r="B82" s="24"/>
      <c r="C82" s="25"/>
      <c r="D82" s="24"/>
      <c r="E82" s="25"/>
      <c r="F82" s="24"/>
      <c r="G82" s="25"/>
      <c r="H82" s="24"/>
    </row>
    <row r="83" ht="12.75" customHeight="1">
      <c r="A83" s="25"/>
      <c r="B83" s="24"/>
      <c r="C83" s="25"/>
      <c r="D83" s="24"/>
      <c r="E83" s="25"/>
      <c r="F83" s="24"/>
      <c r="G83" s="25"/>
      <c r="H83" s="24"/>
    </row>
    <row r="84" ht="12.75" customHeight="1">
      <c r="A84" s="25"/>
      <c r="B84" s="24"/>
      <c r="C84" s="25"/>
      <c r="D84" s="24"/>
      <c r="E84" s="25"/>
      <c r="F84" s="24"/>
      <c r="G84" s="25"/>
      <c r="H84" s="24"/>
    </row>
    <row r="85" ht="12.75" customHeight="1">
      <c r="A85" s="25"/>
      <c r="B85" s="24"/>
      <c r="C85" s="25"/>
      <c r="D85" s="24"/>
      <c r="E85" s="25"/>
      <c r="F85" s="24"/>
      <c r="G85" s="25"/>
      <c r="H85" s="24"/>
    </row>
    <row r="86" ht="12.75" customHeight="1">
      <c r="A86" s="25"/>
      <c r="B86" s="24"/>
      <c r="C86" s="25"/>
      <c r="D86" s="24"/>
      <c r="E86" s="25"/>
      <c r="F86" s="24"/>
      <c r="G86" s="25"/>
      <c r="H86" s="24"/>
    </row>
    <row r="87" ht="12.75" customHeight="1">
      <c r="A87" s="25"/>
      <c r="B87" s="24"/>
      <c r="C87" s="25"/>
      <c r="D87" s="24"/>
      <c r="E87" s="25"/>
      <c r="F87" s="24"/>
      <c r="G87" s="25"/>
      <c r="H87" s="24"/>
    </row>
    <row r="88" ht="12.75" customHeight="1">
      <c r="A88" s="25"/>
      <c r="B88" s="24"/>
      <c r="C88" s="25"/>
      <c r="D88" s="24"/>
      <c r="E88" s="25"/>
      <c r="F88" s="24"/>
      <c r="G88" s="25"/>
      <c r="H88" s="24"/>
    </row>
    <row r="89" ht="12.75" customHeight="1">
      <c r="A89" s="25"/>
      <c r="B89" s="24"/>
      <c r="C89" s="25"/>
      <c r="D89" s="24"/>
      <c r="E89" s="25"/>
      <c r="F89" s="24"/>
      <c r="G89" s="25"/>
      <c r="H89" s="24"/>
    </row>
    <row r="90" ht="12.75" customHeight="1">
      <c r="A90" s="25"/>
      <c r="B90" s="24"/>
      <c r="C90" s="25"/>
      <c r="D90" s="24"/>
      <c r="E90" s="25"/>
      <c r="F90" s="24"/>
      <c r="G90" s="25"/>
      <c r="H90" s="24"/>
    </row>
    <row r="91" ht="12.75" customHeight="1">
      <c r="A91" s="25"/>
      <c r="B91" s="24"/>
      <c r="C91" s="25"/>
      <c r="D91" s="24"/>
      <c r="E91" s="25"/>
      <c r="F91" s="24"/>
      <c r="G91" s="25"/>
      <c r="H91" s="24"/>
    </row>
    <row r="92" ht="12.75" customHeight="1">
      <c r="A92" s="25"/>
      <c r="B92" s="24"/>
      <c r="C92" s="25"/>
      <c r="D92" s="24"/>
      <c r="E92" s="25"/>
      <c r="F92" s="24"/>
      <c r="G92" s="25"/>
      <c r="H92" s="24"/>
    </row>
    <row r="93" ht="12.75" customHeight="1">
      <c r="A93" s="25"/>
      <c r="B93" s="24"/>
      <c r="C93" s="25"/>
      <c r="D93" s="24"/>
      <c r="E93" s="25"/>
      <c r="F93" s="24"/>
      <c r="G93" s="25"/>
      <c r="H93" s="24"/>
    </row>
    <row r="94" ht="12.75" customHeight="1">
      <c r="A94" s="25"/>
      <c r="B94" s="24"/>
      <c r="C94" s="25"/>
      <c r="D94" s="24"/>
      <c r="E94" s="25"/>
      <c r="F94" s="24"/>
      <c r="G94" s="25"/>
      <c r="H94" s="24"/>
    </row>
    <row r="95" ht="12.75" customHeight="1">
      <c r="A95" s="25"/>
      <c r="B95" s="24"/>
      <c r="C95" s="25"/>
      <c r="D95" s="24"/>
      <c r="E95" s="25"/>
      <c r="F95" s="24"/>
      <c r="G95" s="25"/>
      <c r="H95" s="24"/>
    </row>
    <row r="96" ht="12.75" customHeight="1">
      <c r="A96" s="25"/>
      <c r="B96" s="24"/>
      <c r="C96" s="25"/>
      <c r="D96" s="24"/>
      <c r="E96" s="25"/>
      <c r="F96" s="24"/>
      <c r="G96" s="25"/>
      <c r="H96" s="24"/>
    </row>
    <row r="97" ht="12.75" customHeight="1">
      <c r="A97" s="25"/>
      <c r="B97" s="24"/>
      <c r="C97" s="25"/>
      <c r="D97" s="24"/>
      <c r="E97" s="25"/>
      <c r="F97" s="24"/>
      <c r="G97" s="25"/>
      <c r="H97" s="24"/>
    </row>
    <row r="98" ht="12.75" customHeight="1">
      <c r="A98" s="25"/>
      <c r="B98" s="24"/>
      <c r="C98" s="25"/>
      <c r="D98" s="24"/>
      <c r="E98" s="25"/>
      <c r="F98" s="24"/>
      <c r="G98" s="25"/>
      <c r="H98" s="24"/>
    </row>
    <row r="99" ht="12.75" customHeight="1">
      <c r="A99" s="25"/>
      <c r="B99" s="24"/>
      <c r="C99" s="25"/>
      <c r="D99" s="24"/>
      <c r="E99" s="25"/>
      <c r="F99" s="24"/>
      <c r="G99" s="25"/>
      <c r="H99" s="24"/>
    </row>
    <row r="100" ht="12.75" customHeight="1">
      <c r="A100" s="25"/>
      <c r="B100" s="24"/>
      <c r="C100" s="25"/>
      <c r="D100" s="24"/>
      <c r="E100" s="25"/>
      <c r="F100" s="24"/>
      <c r="G100" s="25"/>
      <c r="H100" s="24"/>
    </row>
    <row r="101" ht="12.75" customHeight="1">
      <c r="A101" s="25"/>
      <c r="B101" s="24"/>
      <c r="C101" s="25"/>
      <c r="D101" s="24"/>
      <c r="E101" s="25"/>
      <c r="F101" s="24"/>
      <c r="G101" s="25"/>
      <c r="H101" s="24"/>
    </row>
    <row r="102" ht="12.75" customHeight="1">
      <c r="A102" s="25"/>
      <c r="B102" s="24"/>
      <c r="C102" s="25"/>
      <c r="D102" s="24"/>
      <c r="E102" s="25"/>
      <c r="F102" s="24"/>
      <c r="G102" s="25"/>
      <c r="H102" s="24"/>
    </row>
    <row r="103" ht="12.75" customHeight="1">
      <c r="A103" s="25"/>
      <c r="B103" s="24"/>
      <c r="C103" s="25"/>
      <c r="D103" s="24"/>
      <c r="E103" s="25"/>
      <c r="F103" s="24"/>
      <c r="G103" s="25"/>
      <c r="H103" s="24"/>
    </row>
    <row r="104" ht="12.75" customHeight="1">
      <c r="A104" s="25"/>
      <c r="B104" s="24"/>
      <c r="C104" s="25"/>
      <c r="D104" s="24"/>
      <c r="E104" s="25"/>
      <c r="F104" s="24"/>
      <c r="G104" s="25"/>
      <c r="H104" s="24"/>
    </row>
    <row r="105" ht="12.75" customHeight="1">
      <c r="A105" s="25"/>
      <c r="B105" s="24"/>
      <c r="C105" s="25"/>
      <c r="D105" s="24"/>
      <c r="E105" s="25"/>
      <c r="F105" s="24"/>
      <c r="G105" s="25"/>
      <c r="H105" s="24"/>
    </row>
    <row r="106" ht="12.75" customHeight="1">
      <c r="A106" s="25"/>
      <c r="B106" s="24"/>
      <c r="C106" s="25"/>
      <c r="D106" s="24"/>
      <c r="E106" s="25"/>
      <c r="F106" s="24"/>
      <c r="G106" s="25"/>
      <c r="H106" s="24"/>
    </row>
    <row r="107" ht="12.75" customHeight="1">
      <c r="A107" s="25"/>
      <c r="B107" s="24"/>
      <c r="C107" s="25"/>
      <c r="D107" s="24"/>
      <c r="E107" s="25"/>
      <c r="F107" s="24"/>
      <c r="G107" s="25"/>
      <c r="H107" s="24"/>
    </row>
    <row r="108" ht="12.75" customHeight="1">
      <c r="A108" s="25"/>
      <c r="B108" s="24"/>
      <c r="C108" s="25"/>
      <c r="D108" s="24"/>
      <c r="E108" s="25"/>
      <c r="F108" s="24"/>
      <c r="G108" s="25"/>
      <c r="H108" s="24"/>
    </row>
    <row r="109" ht="12.75" customHeight="1">
      <c r="A109" s="25"/>
      <c r="B109" s="24"/>
      <c r="C109" s="25"/>
      <c r="D109" s="24"/>
      <c r="E109" s="25"/>
      <c r="F109" s="24"/>
      <c r="G109" s="25"/>
      <c r="H109" s="24"/>
    </row>
    <row r="110" ht="12.75" customHeight="1">
      <c r="A110" s="25"/>
      <c r="B110" s="24"/>
      <c r="C110" s="25"/>
      <c r="D110" s="24"/>
      <c r="E110" s="25"/>
      <c r="F110" s="24"/>
      <c r="G110" s="25"/>
      <c r="H110" s="24"/>
    </row>
    <row r="111" ht="12.75" customHeight="1">
      <c r="A111" s="25"/>
      <c r="B111" s="24"/>
      <c r="C111" s="25"/>
      <c r="D111" s="24"/>
      <c r="E111" s="25"/>
      <c r="F111" s="24"/>
      <c r="G111" s="25"/>
      <c r="H111" s="24"/>
    </row>
    <row r="112" ht="12.75" customHeight="1">
      <c r="A112" s="25"/>
      <c r="B112" s="24"/>
      <c r="C112" s="25"/>
      <c r="D112" s="24"/>
      <c r="E112" s="25"/>
      <c r="F112" s="24"/>
      <c r="G112" s="25"/>
      <c r="H112" s="24"/>
    </row>
    <row r="113" ht="12.75" customHeight="1">
      <c r="A113" s="25"/>
      <c r="B113" s="24"/>
      <c r="C113" s="25"/>
      <c r="D113" s="24"/>
      <c r="E113" s="25"/>
      <c r="F113" s="24"/>
      <c r="G113" s="25"/>
      <c r="H113" s="24"/>
    </row>
    <row r="114" ht="12.75" customHeight="1">
      <c r="A114" s="25"/>
      <c r="B114" s="24"/>
      <c r="C114" s="25"/>
      <c r="D114" s="24"/>
      <c r="E114" s="25"/>
      <c r="F114" s="24"/>
      <c r="G114" s="25"/>
      <c r="H114" s="24"/>
    </row>
    <row r="115" ht="12.75" customHeight="1">
      <c r="A115" s="25"/>
      <c r="B115" s="24"/>
      <c r="C115" s="25"/>
      <c r="D115" s="24"/>
      <c r="E115" s="25"/>
      <c r="F115" s="24"/>
      <c r="G115" s="25"/>
      <c r="H115" s="24"/>
    </row>
    <row r="116" ht="12.75" customHeight="1">
      <c r="A116" s="25"/>
      <c r="B116" s="24"/>
      <c r="C116" s="25"/>
      <c r="D116" s="24"/>
      <c r="E116" s="25"/>
      <c r="F116" s="24"/>
      <c r="G116" s="25"/>
      <c r="H116" s="24"/>
    </row>
    <row r="117" ht="12.75" customHeight="1">
      <c r="A117" s="25"/>
      <c r="B117" s="24"/>
      <c r="C117" s="25"/>
      <c r="D117" s="24"/>
      <c r="E117" s="25"/>
      <c r="F117" s="24"/>
      <c r="G117" s="25"/>
      <c r="H117" s="24"/>
    </row>
    <row r="118" ht="12.75" customHeight="1">
      <c r="A118" s="25"/>
      <c r="B118" s="24"/>
      <c r="C118" s="25"/>
      <c r="D118" s="24"/>
      <c r="E118" s="25"/>
      <c r="F118" s="24"/>
      <c r="G118" s="25"/>
      <c r="H118" s="24"/>
    </row>
    <row r="119" ht="12.75" customHeight="1">
      <c r="A119" s="25"/>
      <c r="B119" s="24"/>
      <c r="C119" s="25"/>
      <c r="D119" s="24"/>
      <c r="E119" s="25"/>
      <c r="F119" s="24"/>
      <c r="G119" s="25"/>
      <c r="H119" s="24"/>
    </row>
    <row r="120" ht="12.75" customHeight="1">
      <c r="A120" s="25"/>
      <c r="B120" s="24"/>
      <c r="C120" s="25"/>
      <c r="D120" s="24"/>
      <c r="E120" s="25"/>
      <c r="F120" s="24"/>
      <c r="G120" s="25"/>
      <c r="H120" s="24"/>
    </row>
    <row r="121" ht="12.75" customHeight="1">
      <c r="A121" s="25"/>
      <c r="B121" s="24"/>
      <c r="C121" s="25"/>
      <c r="D121" s="24"/>
      <c r="E121" s="25"/>
      <c r="F121" s="24"/>
      <c r="G121" s="25"/>
      <c r="H121" s="24"/>
    </row>
    <row r="122" ht="12.75" customHeight="1">
      <c r="A122" s="25"/>
      <c r="B122" s="24"/>
      <c r="C122" s="25"/>
      <c r="D122" s="24"/>
      <c r="E122" s="25"/>
      <c r="F122" s="24"/>
      <c r="G122" s="25"/>
      <c r="H122" s="24"/>
    </row>
    <row r="123" ht="12.75" customHeight="1">
      <c r="A123" s="25"/>
      <c r="B123" s="24"/>
      <c r="C123" s="25"/>
      <c r="D123" s="24"/>
      <c r="E123" s="25"/>
      <c r="F123" s="24"/>
      <c r="G123" s="25"/>
      <c r="H123" s="24"/>
    </row>
    <row r="124" ht="12.75" customHeight="1">
      <c r="A124" s="25"/>
      <c r="B124" s="24"/>
      <c r="C124" s="25"/>
      <c r="D124" s="24"/>
      <c r="E124" s="25"/>
      <c r="F124" s="24"/>
      <c r="G124" s="25"/>
      <c r="H124" s="24"/>
    </row>
    <row r="125" ht="12.75" customHeight="1">
      <c r="A125" s="25"/>
      <c r="B125" s="24"/>
      <c r="C125" s="25"/>
      <c r="D125" s="24"/>
      <c r="E125" s="25"/>
      <c r="F125" s="24"/>
      <c r="G125" s="25"/>
      <c r="H125" s="24"/>
    </row>
    <row r="126" ht="12.75" customHeight="1">
      <c r="A126" s="25"/>
      <c r="B126" s="24"/>
      <c r="C126" s="25"/>
      <c r="D126" s="24"/>
      <c r="E126" s="25"/>
      <c r="F126" s="24"/>
      <c r="G126" s="25"/>
      <c r="H126" s="24"/>
    </row>
    <row r="127" ht="12.75" customHeight="1">
      <c r="A127" s="25"/>
      <c r="B127" s="24"/>
      <c r="C127" s="25"/>
      <c r="D127" s="24"/>
      <c r="E127" s="25"/>
      <c r="F127" s="24"/>
      <c r="G127" s="25"/>
      <c r="H127" s="24"/>
    </row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