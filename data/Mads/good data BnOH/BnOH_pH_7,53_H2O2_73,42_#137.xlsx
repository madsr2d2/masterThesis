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localSheetId="1" name="data137_1">Sheet2!$A$1:$N$122</definedName>
    <definedName localSheetId="1" name="data137">#REF!</definedName>
    <definedName localSheetId="2" name="data137">Sheet3!$A$1:$N$122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60">
      <text>
        <t xml:space="preserve">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
	-procedure</t>
      </text>
    </comment>
  </commentList>
</comments>
</file>

<file path=xl/sharedStrings.xml><?xml version="1.0" encoding="utf-8"?>
<sst xmlns="http://schemas.openxmlformats.org/spreadsheetml/2006/main" count="336" uniqueCount="158">
  <si>
    <t>exp. #</t>
  </si>
  <si>
    <t>Buf 1.</t>
  </si>
  <si>
    <t>Na4P2O7*10H2O</t>
  </si>
  <si>
    <t>substrate</t>
  </si>
  <si>
    <t>BnOH</t>
  </si>
  <si>
    <t>M.W. [g/mol]</t>
  </si>
  <si>
    <t>method:</t>
  </si>
  <si>
    <t>BnOH_7kuv_8h</t>
  </si>
  <si>
    <t>Buf 2.</t>
  </si>
  <si>
    <t>Na2HPO4*2H2O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</si>
  <si>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</si>
  <si>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</si>
  <si>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</si>
  <si>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</si>
  <si>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</si>
  <si>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</si>
  <si>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</si>
  <si>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</si>
  <si>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</si>
  <si>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</si>
  <si>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</si>
  <si>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</si>
  <si>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</si>
  <si>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</si>
  <si>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</si>
  <si>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</si>
  <si>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</si>
  <si>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</si>
  <si>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</si>
  <si>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</si>
  <si>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</si>
  <si>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</si>
  <si>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</si>
  <si>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</si>
  <si>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</si>
  <si>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</si>
  <si>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</si>
  <si>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</si>
  <si>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</si>
  <si>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</si>
  <si>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</si>
  <si>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</si>
  <si>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</si>
  <si>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</si>
  <si>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</si>
  <si>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</si>
  <si>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</si>
  <si>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</si>
  <si>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</si>
  <si>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</si>
  <si>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</si>
  <si>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</si>
  <si>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</si>
  <si>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</si>
  <si>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</si>
  <si>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</si>
  <si>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</si>
  <si>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a2</t>
  </si>
  <si>
    <t>Solvent:</t>
  </si>
  <si>
    <t>b2</t>
  </si>
  <si>
    <t>H2O [ml]</t>
  </si>
  <si>
    <t>c2</t>
  </si>
  <si>
    <t>D2O [ml]</t>
  </si>
  <si>
    <t>d2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</si>
  <si>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</si>
  <si>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</si>
  <si>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</si>
  <si>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</si>
  <si>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</si>
  <si>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</si>
  <si>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</si>
  <si>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</si>
  <si>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</si>
  <si>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</si>
  <si>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</si>
  <si>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</si>
  <si>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</si>
  <si>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</si>
  <si>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</si>
  <si>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</si>
  <si>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</si>
  <si>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</si>
  <si>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</si>
  <si>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</si>
  <si>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</si>
  <si>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</si>
  <si>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</si>
  <si>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</si>
  <si>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</si>
  <si>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</si>
  <si>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</si>
  <si>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</si>
  <si>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</si>
  <si>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</si>
  <si>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Procedure</t>
  </si>
  <si>
    <t>Sum*9:</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</si>
  <si>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</si>
  <si>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</si>
  <si>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</si>
  <si>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</si>
  <si>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</si>
  <si>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</si>
  <si>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</si>
  <si>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</si>
  <si>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</si>
  <si>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</si>
  <si>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</si>
  <si>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</si>
  <si>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</si>
  <si>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</si>
  <si>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</si>
  <si>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</si>
  <si>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</si>
  <si>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</si>
  <si>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</si>
  <si>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</si>
  <si>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</si>
  <si>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</si>
  <si>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[Buf] mmol/L</t>
  </si>
  <si>
    <t>Fitting vectors:</t>
  </si>
  <si>
    <t>Kuv #</t>
  </si>
  <si>
    <t>Kinetics Experiment - 137</t>
  </si>
  <si>
    <t>Conc. Units</t>
  </si>
  <si>
    <t>Raw Data</t>
  </si>
  <si>
    <t>Sample</t>
  </si>
  <si>
    <t>[S]</t>
  </si>
  <si>
    <t>[I]</t>
  </si>
  <si>
    <t>V</t>
  </si>
  <si>
    <t>Use</t>
  </si>
  <si>
    <t>Sample001</t>
  </si>
  <si>
    <t>Yes</t>
  </si>
  <si>
    <t>Sample002</t>
  </si>
  <si>
    <t>Sample003</t>
  </si>
  <si>
    <t>Sample004</t>
  </si>
  <si>
    <t>Sample005</t>
  </si>
  <si>
    <t>Sample006</t>
  </si>
  <si>
    <t>Sample007</t>
  </si>
  <si>
    <t>Sample008</t>
  </si>
  <si>
    <t>No</t>
  </si>
  <si>
    <t>rates ar taken from the end of the progres curves, where the curves are linear.</t>
  </si>
  <si>
    <t>Batch</t>
  </si>
  <si>
    <t>rate137.rre</t>
  </si>
  <si>
    <t>Evolution 600</t>
  </si>
  <si>
    <t>Data Mode</t>
  </si>
  <si>
    <t>A</t>
  </si>
  <si>
    <t>Smoothing</t>
  </si>
  <si>
    <t>None</t>
  </si>
  <si>
    <t>Date Collected</t>
  </si>
  <si>
    <t>Time Collected</t>
  </si>
  <si>
    <t>2:38:17PM</t>
  </si>
  <si>
    <t>12:48:17PM</t>
  </si>
  <si>
    <t>12:48:25PM</t>
  </si>
  <si>
    <t>12:48:32PM</t>
  </si>
  <si>
    <t>12:48:39PM</t>
  </si>
  <si>
    <t>12:48:47PM</t>
  </si>
  <si>
    <t>12:48:54PM</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</si>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</sst>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0"/>
  </numFmts>
  <fonts count="9">
    <font>
      <sz val="10.0"/>
      <color rgb="FF000000"/>
      <name val="Calibri"/>
      <scheme val="minor"/>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
      <color theme="1"/>
      <name val="Calibri"/>
      <scheme val="minor"/>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47">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808080"/>
      </left>
      <right style="thin">
        <color rgb="FF808080"/>
      </right>
      <top style="thin">
        <color rgb="FF808080"/>
      </top>
      <bottom style="thin">
        <color rgb="FF808080"/>
      </bottom>
    </border>
    <border>
      <left style="thin">
        <color rgb="FF000000"/>
      </left>
      <right style="thin">
        <color rgb="FF000000"/>
      </right>
      <top style="thin">
        <color rgb="FF000000"/>
      </top>
      <bottom style="double">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0" fillId="0" fontId="3" numFmtId="164" xfId="0" applyAlignment="1" applyFont="1" applyNumberFormat="1">
      <alignment shrinkToFit="0" vertical="bottom" wrapText="0"/>
    </xf>
    <xf borderId="1" fillId="2"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164" xfId="0" applyAlignment="1" applyBorder="1" applyFont="1" applyNumberFormat="1">
      <alignment shrinkToFit="0" vertical="bottom" wrapText="0"/>
    </xf>
    <xf borderId="4" fillId="2" fontId="1" numFmtId="0" xfId="0" applyAlignment="1" applyBorder="1" applyFont="1">
      <alignment shrinkToFit="0" vertical="bottom" wrapText="0"/>
    </xf>
    <xf borderId="5" fillId="3" fontId="2" numFmtId="0" xfId="0" applyAlignment="1" applyBorder="1" applyFont="1">
      <alignment shrinkToFit="0" vertical="bottom" wrapText="0"/>
    </xf>
    <xf borderId="6" fillId="2" fontId="1" numFmtId="164" xfId="0" applyAlignment="1" applyBorder="1" applyFont="1" applyNumberFormat="1">
      <alignment shrinkToFit="0" vertical="bottom" wrapText="0"/>
    </xf>
    <xf borderId="7" fillId="3" fontId="2" numFmtId="164" xfId="0" applyAlignment="1" applyBorder="1" applyFont="1" applyNumberFormat="1">
      <alignment shrinkToFit="0" vertical="bottom" wrapText="0"/>
    </xf>
    <xf borderId="8" fillId="0" fontId="3" numFmtId="164" xfId="0" applyAlignment="1" applyBorder="1" applyFont="1" applyNumberFormat="1">
      <alignment shrinkToFit="0" vertical="bottom" wrapText="0"/>
    </xf>
    <xf borderId="4" fillId="2" fontId="1" numFmtId="164" xfId="0" applyAlignment="1" applyBorder="1" applyFont="1" applyNumberFormat="1">
      <alignment shrinkToFit="0" vertical="bottom" wrapText="0"/>
    </xf>
    <xf borderId="5" fillId="3" fontId="2" numFmtId="1" xfId="0" applyAlignment="1" applyBorder="1" applyFont="1" applyNumberFormat="1">
      <alignment shrinkToFit="0" vertical="bottom" wrapText="0"/>
    </xf>
    <xf borderId="1" fillId="4" fontId="2" numFmtId="164" xfId="0" applyAlignment="1" applyBorder="1" applyFill="1" applyFont="1" applyNumberFormat="1">
      <alignment shrinkToFit="0" vertical="bottom" wrapText="0"/>
    </xf>
    <xf borderId="3" fillId="4" fontId="4" numFmtId="164" xfId="0" applyAlignment="1" applyBorder="1" applyFont="1" applyNumberFormat="1">
      <alignment shrinkToFit="0" vertical="bottom" wrapText="0"/>
    </xf>
    <xf borderId="2" fillId="4" fontId="4" numFmtId="164" xfId="0" applyAlignment="1" applyBorder="1" applyFont="1" applyNumberFormat="1">
      <alignment shrinkToFit="0" vertical="bottom" wrapText="0"/>
    </xf>
    <xf borderId="9" fillId="2" fontId="1" numFmtId="164"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3" fontId="2" numFmtId="0" xfId="0" applyAlignment="1" applyBorder="1" applyFont="1">
      <alignment shrinkToFit="0" vertical="bottom" wrapText="0"/>
    </xf>
    <xf borderId="10" fillId="3" fontId="1" numFmtId="164" xfId="0" applyAlignment="1" applyBorder="1" applyFont="1" applyNumberFormat="1">
      <alignment shrinkToFit="0" vertical="bottom" wrapText="0"/>
    </xf>
    <xf borderId="12" fillId="3" fontId="1" numFmtId="164" xfId="0" applyAlignment="1" applyBorder="1" applyFont="1" applyNumberFormat="1">
      <alignment shrinkToFit="0" vertical="bottom" wrapText="0"/>
    </xf>
    <xf borderId="11" fillId="2" fontId="1" numFmtId="164" xfId="0" applyAlignment="1" applyBorder="1" applyFont="1" applyNumberFormat="1">
      <alignment shrinkToFit="0" vertical="bottom" wrapText="0"/>
    </xf>
    <xf borderId="1" fillId="2" fontId="2" numFmtId="164" xfId="0" applyAlignment="1" applyBorder="1" applyFont="1" applyNumberFormat="1">
      <alignment shrinkToFit="0" vertical="bottom" wrapText="0"/>
    </xf>
    <xf borderId="3" fillId="0" fontId="3" numFmtId="164" xfId="0" applyAlignment="1" applyBorder="1" applyFont="1" applyNumberFormat="1">
      <alignment shrinkToFit="0" vertical="bottom" wrapText="0"/>
    </xf>
    <xf borderId="2" fillId="0" fontId="3" numFmtId="0" xfId="0" applyAlignment="1" applyBorder="1" applyFont="1">
      <alignment shrinkToFit="0" vertical="bottom" wrapText="0"/>
    </xf>
    <xf borderId="9" fillId="0" fontId="5"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9" fillId="0" fontId="5" numFmtId="165" xfId="0" applyAlignment="1" applyBorder="1" applyFont="1" applyNumberFormat="1">
      <alignment shrinkToFit="0" vertical="bottom" wrapText="0"/>
    </xf>
    <xf borderId="5" fillId="0" fontId="5" numFmtId="164"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1" fillId="0" fontId="3" numFmtId="164" xfId="0" applyAlignment="1" applyBorder="1" applyFont="1" applyNumberFormat="1">
      <alignment shrinkToFit="0" vertical="bottom" wrapText="0"/>
    </xf>
    <xf borderId="5" fillId="0" fontId="5" numFmtId="0" xfId="0" applyAlignment="1" applyBorder="1" applyFont="1">
      <alignment shrinkToFit="0" vertical="bottom" wrapText="0"/>
    </xf>
    <xf borderId="5" fillId="2" fontId="1" numFmtId="165" xfId="0" applyAlignment="1" applyBorder="1" applyFont="1" applyNumberFormat="1">
      <alignment shrinkToFit="0" vertical="bottom" wrapText="0"/>
    </xf>
    <xf borderId="11" fillId="0" fontId="5" numFmtId="0" xfId="0" applyAlignment="1" applyBorder="1" applyFont="1">
      <alignment shrinkToFit="0" vertical="bottom" wrapText="0"/>
    </xf>
    <xf borderId="7" fillId="2" fontId="1"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4" fillId="3" fontId="1" numFmtId="164" xfId="0" applyAlignment="1" applyBorder="1" applyFont="1" applyNumberFormat="1">
      <alignment shrinkToFit="0" vertical="bottom" wrapText="0"/>
    </xf>
    <xf borderId="9" fillId="3" fontId="1"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9" fillId="0" fontId="3" numFmtId="164" xfId="0" applyAlignment="1" applyBorder="1" applyFont="1" applyNumberFormat="1">
      <alignment shrinkToFit="0" vertical="bottom" wrapText="0"/>
    </xf>
    <xf borderId="13" fillId="0" fontId="3" numFmtId="164" xfId="0" applyAlignment="1" applyBorder="1" applyFont="1" applyNumberFormat="1">
      <alignment shrinkToFit="0" vertical="bottom" wrapText="0"/>
    </xf>
    <xf borderId="14" fillId="0" fontId="3" numFmtId="164" xfId="0" applyAlignment="1" applyBorder="1" applyFont="1" applyNumberFormat="1">
      <alignment shrinkToFit="0" vertical="bottom" wrapText="0"/>
    </xf>
    <xf borderId="15" fillId="2" fontId="1" numFmtId="164" xfId="0" applyAlignment="1" applyBorder="1" applyFont="1" applyNumberFormat="1">
      <alignment shrinkToFit="0" vertical="bottom" wrapText="0"/>
    </xf>
    <xf borderId="12" fillId="0" fontId="5" numFmtId="165" xfId="0" applyAlignment="1" applyBorder="1" applyFont="1" applyNumberFormat="1">
      <alignment shrinkToFit="0" vertical="bottom" wrapText="0"/>
    </xf>
    <xf borderId="12" fillId="0" fontId="3" numFmtId="165" xfId="0" applyAlignment="1" applyBorder="1" applyFont="1" applyNumberFormat="1">
      <alignment shrinkToFit="0" vertical="bottom" wrapText="0"/>
    </xf>
    <xf borderId="11" fillId="0" fontId="3" numFmtId="165" xfId="0" applyAlignment="1" applyBorder="1" applyFont="1" applyNumberFormat="1">
      <alignment shrinkToFit="0" vertical="bottom" wrapText="0"/>
    </xf>
    <xf borderId="2" fillId="2" fontId="1" numFmtId="0" xfId="0" applyAlignment="1" applyBorder="1" applyFont="1">
      <alignment shrinkToFit="0" vertical="bottom" wrapText="0"/>
    </xf>
    <xf borderId="5" fillId="0" fontId="5" numFmtId="165" xfId="0" applyAlignment="1" applyBorder="1" applyFont="1" applyNumberFormat="1">
      <alignment shrinkToFit="0" vertical="bottom" wrapText="0"/>
    </xf>
    <xf borderId="1" fillId="2" fontId="5" numFmtId="164" xfId="0" applyAlignment="1" applyBorder="1" applyFont="1" applyNumberFormat="1">
      <alignment shrinkToFit="0" vertical="bottom" wrapText="0"/>
    </xf>
    <xf borderId="2" fillId="2" fontId="5" numFmtId="164"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5" fillId="5" fontId="5" numFmtId="2" xfId="0" applyAlignment="1" applyBorder="1" applyFill="1" applyFont="1" applyNumberFormat="1">
      <alignment shrinkToFit="0" vertical="bottom" wrapText="0"/>
    </xf>
    <xf borderId="11" fillId="0" fontId="5" numFmtId="164" xfId="0" applyAlignment="1" applyBorder="1" applyFont="1" applyNumberFormat="1">
      <alignment shrinkToFit="0" vertical="bottom" wrapText="0"/>
    </xf>
    <xf borderId="5" fillId="2" fontId="5" numFmtId="164" xfId="0" applyAlignment="1" applyBorder="1" applyFont="1" applyNumberFormat="1">
      <alignment shrinkToFit="0" vertical="bottom" wrapText="0"/>
    </xf>
    <xf borderId="3" fillId="2" fontId="1" numFmtId="164" xfId="0" applyAlignment="1" applyBorder="1" applyFont="1" applyNumberFormat="1">
      <alignment shrinkToFit="0" vertical="bottom" wrapText="0"/>
    </xf>
    <xf borderId="2" fillId="2" fontId="1" numFmtId="164"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2" fontId="3" numFmtId="164" xfId="0" applyAlignment="1" applyBorder="1" applyFont="1" applyNumberFormat="1">
      <alignment shrinkToFit="0" vertical="bottom" wrapText="0"/>
    </xf>
    <xf borderId="11" fillId="5" fontId="5" numFmtId="2" xfId="0" applyAlignment="1" applyBorder="1" applyFont="1" applyNumberFormat="1">
      <alignment shrinkToFit="0" vertical="bottom" wrapText="0"/>
    </xf>
    <xf borderId="0" fillId="0" fontId="5" numFmtId="164" xfId="0" applyAlignment="1" applyFont="1" applyNumberFormat="1">
      <alignment shrinkToFit="0" vertical="bottom" wrapText="0"/>
    </xf>
    <xf borderId="16" fillId="0" fontId="3" numFmtId="164" xfId="0" applyAlignment="1" applyBorder="1" applyFont="1" applyNumberFormat="1">
      <alignment shrinkToFit="0" vertical="bottom" wrapText="0"/>
    </xf>
    <xf borderId="16" fillId="0" fontId="3" numFmtId="164" xfId="0" applyAlignment="1" applyBorder="1" applyFont="1" applyNumberFormat="1">
      <alignment shrinkToFit="0" vertical="bottom" wrapText="1"/>
    </xf>
    <xf borderId="17" fillId="2" fontId="1" numFmtId="164" xfId="0" applyAlignment="1" applyBorder="1" applyFont="1" applyNumberFormat="1">
      <alignment shrinkToFit="0" vertical="bottom" wrapText="0"/>
    </xf>
    <xf borderId="18" fillId="2" fontId="1" numFmtId="164" xfId="0" applyAlignment="1" applyBorder="1" applyFont="1" applyNumberFormat="1">
      <alignment shrinkToFit="0" vertical="bottom" wrapText="0"/>
    </xf>
    <xf borderId="19" fillId="2" fontId="1" numFmtId="164" xfId="0" applyAlignment="1" applyBorder="1" applyFont="1" applyNumberFormat="1">
      <alignment shrinkToFit="0" vertical="bottom" wrapText="0"/>
    </xf>
    <xf borderId="20" fillId="2" fontId="2" numFmtId="164" xfId="0" applyAlignment="1" applyBorder="1" applyFont="1" applyNumberFormat="1">
      <alignment shrinkToFit="0" vertical="bottom" wrapText="0"/>
    </xf>
    <xf borderId="21" fillId="3" fontId="2" numFmtId="165" xfId="0" applyAlignment="1" applyBorder="1" applyFont="1" applyNumberFormat="1">
      <alignment shrinkToFit="0" vertical="bottom" wrapText="0"/>
    </xf>
    <xf borderId="22" fillId="2" fontId="1" numFmtId="165" xfId="0" applyAlignment="1" applyBorder="1" applyFont="1" applyNumberFormat="1">
      <alignment shrinkToFit="0" vertical="bottom" wrapText="0"/>
    </xf>
    <xf borderId="3" fillId="2" fontId="1" numFmtId="165" xfId="0" applyAlignment="1" applyBorder="1" applyFont="1" applyNumberFormat="1">
      <alignment shrinkToFit="0" vertical="bottom" wrapText="0"/>
    </xf>
    <xf borderId="23" fillId="2" fontId="1" numFmtId="165" xfId="0" applyAlignment="1" applyBorder="1" applyFont="1" applyNumberFormat="1">
      <alignment shrinkToFit="0" vertical="bottom" wrapText="0"/>
    </xf>
    <xf borderId="9" fillId="2" fontId="1" numFmtId="165" xfId="0" applyAlignment="1" applyBorder="1" applyFont="1" applyNumberFormat="1">
      <alignment shrinkToFit="0" vertical="bottom" wrapText="0"/>
    </xf>
    <xf borderId="24" fillId="2" fontId="1" numFmtId="165" xfId="0" applyAlignment="1" applyBorder="1" applyFont="1" applyNumberFormat="1">
      <alignment shrinkToFit="0" vertical="bottom" wrapText="0"/>
    </xf>
    <xf borderId="25" fillId="2" fontId="2" numFmtId="164" xfId="0" applyAlignment="1" applyBorder="1" applyFont="1" applyNumberFormat="1">
      <alignment shrinkToFit="0" vertical="bottom" wrapText="0"/>
    </xf>
    <xf borderId="9" fillId="3" fontId="2" numFmtId="165" xfId="0" applyAlignment="1" applyBorder="1" applyFont="1" applyNumberFormat="1">
      <alignment shrinkToFit="0" vertical="bottom" wrapText="0"/>
    </xf>
    <xf borderId="26" fillId="2" fontId="1" numFmtId="165" xfId="0" applyAlignment="1" applyBorder="1" applyFont="1" applyNumberFormat="1">
      <alignment shrinkToFit="0" vertical="bottom" wrapText="0"/>
    </xf>
    <xf borderId="27" fillId="2" fontId="2" numFmtId="164" xfId="0" applyAlignment="1" applyBorder="1" applyFont="1" applyNumberFormat="1">
      <alignment shrinkToFit="0" vertical="bottom" wrapText="0"/>
    </xf>
    <xf borderId="7" fillId="3" fontId="2" numFmtId="165" xfId="0" applyAlignment="1" applyBorder="1" applyFont="1" applyNumberFormat="1">
      <alignment shrinkToFit="0" vertical="bottom" wrapText="0"/>
    </xf>
    <xf borderId="28" fillId="2" fontId="1" numFmtId="165" xfId="0" applyAlignment="1" applyBorder="1" applyFont="1" applyNumberFormat="1">
      <alignment shrinkToFit="0" vertical="bottom" wrapText="0"/>
    </xf>
    <xf borderId="7" fillId="2" fontId="1" numFmtId="165"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29" fillId="2" fontId="2" numFmtId="164" xfId="0" applyAlignment="1" applyBorder="1" applyFont="1" applyNumberFormat="1">
      <alignment shrinkToFit="0" vertical="bottom" wrapText="0"/>
    </xf>
    <xf borderId="30" fillId="3" fontId="2" numFmtId="165" xfId="0" applyAlignment="1" applyBorder="1" applyFont="1" applyNumberFormat="1">
      <alignment shrinkToFit="0" vertical="bottom" wrapText="0"/>
    </xf>
    <xf borderId="31" fillId="2" fontId="1" numFmtId="165" xfId="0" applyAlignment="1" applyBorder="1" applyFont="1" applyNumberFormat="1">
      <alignment shrinkToFit="0" vertical="bottom" wrapText="0"/>
    </xf>
    <xf borderId="30" fillId="2" fontId="1" numFmtId="165" xfId="0" applyAlignment="1" applyBorder="1" applyFont="1" applyNumberFormat="1">
      <alignment shrinkToFit="0" vertical="bottom" wrapText="0"/>
    </xf>
    <xf borderId="12" fillId="2" fontId="1" numFmtId="165" xfId="0" applyAlignment="1" applyBorder="1" applyFont="1" applyNumberFormat="1">
      <alignment shrinkToFit="0" vertical="bottom" wrapText="0"/>
    </xf>
    <xf borderId="24" fillId="3" fontId="2" numFmtId="165" xfId="0" applyAlignment="1" applyBorder="1" applyFont="1" applyNumberFormat="1">
      <alignment shrinkToFit="0" vertical="bottom" wrapText="0"/>
    </xf>
    <xf borderId="32" fillId="2" fontId="2" numFmtId="164" xfId="0" applyAlignment="1" applyBorder="1" applyFont="1" applyNumberFormat="1">
      <alignment shrinkToFit="0" vertical="bottom" wrapText="0"/>
    </xf>
    <xf borderId="12" fillId="3" fontId="2" numFmtId="165" xfId="0" applyAlignment="1" applyBorder="1" applyFont="1" applyNumberFormat="1">
      <alignment shrinkToFit="0" vertical="bottom" wrapText="0"/>
    </xf>
    <xf borderId="33" fillId="2" fontId="1" numFmtId="165" xfId="0" applyAlignment="1" applyBorder="1" applyFont="1" applyNumberFormat="1">
      <alignment shrinkToFit="0" vertical="bottom" wrapText="0"/>
    </xf>
    <xf borderId="24" fillId="2" fontId="2" numFmtId="164" xfId="0" applyAlignment="1" applyBorder="1" applyFont="1" applyNumberFormat="1">
      <alignment shrinkToFit="0" vertical="bottom" wrapText="0"/>
    </xf>
    <xf borderId="34" fillId="3" fontId="2" numFmtId="164" xfId="0" applyAlignment="1" applyBorder="1" applyFont="1" applyNumberFormat="1">
      <alignment shrinkToFit="0" vertical="bottom" wrapText="0"/>
    </xf>
    <xf borderId="35" fillId="2" fontId="2" numFmtId="164" xfId="0" applyAlignment="1" applyBorder="1" applyFont="1" applyNumberFormat="1">
      <alignment shrinkToFit="0" vertical="bottom" wrapText="0"/>
    </xf>
    <xf borderId="36" fillId="2" fontId="2" numFmtId="164" xfId="0" applyAlignment="1" applyBorder="1" applyFont="1" applyNumberFormat="1">
      <alignment shrinkToFit="0" vertical="bottom" wrapText="0"/>
    </xf>
    <xf borderId="23" fillId="2" fontId="2" numFmtId="164" xfId="0" applyAlignment="1" applyBorder="1" applyFont="1" applyNumberFormat="1">
      <alignment shrinkToFit="0" vertical="bottom" wrapText="0"/>
    </xf>
    <xf borderId="37" fillId="2" fontId="2" numFmtId="164" xfId="0" applyAlignment="1" applyBorder="1" applyFont="1" applyNumberFormat="1">
      <alignment shrinkToFit="0" vertical="bottom" wrapText="0"/>
    </xf>
    <xf borderId="36" fillId="2" fontId="6" numFmtId="164" xfId="0" applyAlignment="1" applyBorder="1" applyFont="1" applyNumberFormat="1">
      <alignment horizontal="left" shrinkToFit="0" vertical="bottom" wrapText="0"/>
    </xf>
    <xf borderId="23" fillId="3" fontId="1" numFmtId="164" xfId="0" applyAlignment="1" applyBorder="1" applyFont="1" applyNumberFormat="1">
      <alignment shrinkToFit="0" vertical="bottom" wrapText="0"/>
    </xf>
    <xf borderId="38" fillId="2" fontId="2" numFmtId="2" xfId="0" applyAlignment="1" applyBorder="1" applyFont="1" applyNumberFormat="1">
      <alignment shrinkToFit="0" vertical="bottom" wrapText="0"/>
    </xf>
    <xf borderId="9" fillId="2" fontId="2" numFmtId="2" xfId="0" applyAlignment="1" applyBorder="1" applyFont="1" applyNumberFormat="1">
      <alignment shrinkToFit="0" vertical="bottom" wrapText="0"/>
    </xf>
    <xf borderId="3" fillId="3" fontId="2" numFmtId="2" xfId="0" applyAlignment="1" applyBorder="1" applyFont="1" applyNumberFormat="1">
      <alignment shrinkToFit="0" vertical="bottom" wrapText="0"/>
    </xf>
    <xf borderId="39" fillId="2" fontId="2" numFmtId="2"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9" fillId="3" fontId="2" numFmtId="2" xfId="0" applyAlignment="1" applyBorder="1" applyFont="1" applyNumberFormat="1">
      <alignment shrinkToFit="0" vertical="bottom" wrapText="0"/>
    </xf>
    <xf borderId="40" fillId="2" fontId="2" numFmtId="2"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3" fontId="2" numFmtId="2" xfId="0" applyAlignment="1" applyBorder="1" applyFont="1" applyNumberFormat="1">
      <alignment shrinkToFit="0" vertical="bottom" wrapText="0"/>
    </xf>
    <xf borderId="41" fillId="2" fontId="2" numFmtId="2" xfId="0" applyAlignment="1" applyBorder="1" applyFont="1" applyNumberFormat="1">
      <alignment shrinkToFit="0" vertical="bottom" wrapText="0"/>
    </xf>
    <xf borderId="42" fillId="2" fontId="2" numFmtId="164" xfId="0" applyAlignment="1" applyBorder="1" applyFont="1" applyNumberFormat="1">
      <alignment shrinkToFit="0" vertical="bottom" wrapText="0"/>
    </xf>
    <xf borderId="30" fillId="2" fontId="2" numFmtId="2" xfId="0" applyAlignment="1" applyBorder="1" applyFont="1" applyNumberFormat="1">
      <alignment shrinkToFit="0" vertical="bottom" wrapText="0"/>
    </xf>
    <xf borderId="43" fillId="2" fontId="2" numFmtId="2" xfId="0" applyAlignment="1" applyBorder="1" applyFont="1" applyNumberFormat="1">
      <alignment shrinkToFit="0" vertical="bottom" wrapText="0"/>
    </xf>
    <xf borderId="44" fillId="2" fontId="2" numFmtId="164" xfId="0" applyAlignment="1" applyBorder="1" applyFont="1" applyNumberFormat="1">
      <alignment shrinkToFit="0" vertical="bottom" wrapText="0"/>
    </xf>
    <xf borderId="24" fillId="2" fontId="2" numFmtId="2" xfId="0" applyAlignment="1" applyBorder="1" applyFont="1" applyNumberFormat="1">
      <alignment shrinkToFit="0" vertical="bottom" wrapText="0"/>
    </xf>
    <xf borderId="45" fillId="0" fontId="3" numFmtId="164" xfId="0" applyAlignment="1" applyBorder="1" applyFont="1" applyNumberFormat="1">
      <alignment shrinkToFit="0" vertical="bottom" wrapText="0"/>
    </xf>
    <xf borderId="12" fillId="2" fontId="2" numFmtId="2" xfId="0" applyAlignment="1" applyBorder="1" applyFont="1" applyNumberFormat="1">
      <alignment shrinkToFit="0" vertical="bottom" wrapText="0"/>
    </xf>
    <xf borderId="46" fillId="0" fontId="3" numFmtId="164" xfId="0" applyAlignment="1" applyBorder="1" applyFont="1" applyNumberFormat="1">
      <alignment shrinkToFit="0" vertical="bottom" wrapText="0"/>
    </xf>
    <xf borderId="3" fillId="2" fontId="7" numFmtId="164" xfId="0" applyAlignment="1" applyBorder="1" applyFont="1" applyNumberFormat="1">
      <alignment shrinkToFit="0" vertical="bottom" wrapText="0"/>
    </xf>
    <xf borderId="4" fillId="2" fontId="2" numFmtId="1" xfId="0" applyAlignment="1" applyBorder="1" applyFont="1" applyNumberFormat="1">
      <alignment shrinkToFit="0" vertical="bottom" wrapText="0"/>
    </xf>
    <xf borderId="5" fillId="2" fontId="2" numFmtId="2" xfId="0" applyAlignment="1" applyBorder="1" applyFont="1" applyNumberFormat="1">
      <alignment shrinkToFit="0" vertical="bottom" wrapText="0"/>
    </xf>
    <xf borderId="10" fillId="2" fontId="2" numFmtId="1" xfId="0" applyAlignment="1" applyBorder="1" applyFont="1" applyNumberFormat="1">
      <alignment shrinkToFit="0" vertical="bottom" wrapText="0"/>
    </xf>
    <xf borderId="11" fillId="2" fontId="2" numFmtId="2" xfId="0" applyAlignment="1" applyBorder="1" applyFont="1" applyNumberFormat="1">
      <alignment shrinkToFit="0" vertical="bottom" wrapText="0"/>
    </xf>
    <xf borderId="0" fillId="0" fontId="3" numFmtId="166" xfId="0" applyAlignment="1" applyFont="1" applyNumberFormat="1">
      <alignment shrinkToFit="0" vertical="bottom" wrapText="0"/>
    </xf>
    <xf borderId="0" fillId="0" fontId="3" numFmtId="165" xfId="0" applyAlignment="1" applyFont="1" applyNumberFormat="1">
      <alignment shrinkToFit="0" vertical="bottom" wrapText="0"/>
    </xf>
    <xf borderId="0" fillId="0" fontId="3" numFmtId="165"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8" numFmtId="0" xfId="0" applyFont="1"/>
    <xf borderId="0" fillId="0" fontId="3" numFmtId="1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Sheet1!$H$76:$H$79</c:f>
              <c:numCache/>
            </c:numRef>
          </c:yVal>
        </c:ser>
        <c:dLbls>
          <c:showLegendKey val="0"/>
          <c:showVal val="0"/>
          <c:showCatName val="0"/>
          <c:showSerName val="0"/>
          <c:showPercent val="0"/>
          <c:showBubbleSize val="0"/>
        </c:dLbls>
        <c:axId val="1085301813"/>
        <c:axId val="857498981"/>
      </c:scatterChart>
      <c:valAx>
        <c:axId val="10853018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7498981"/>
      </c:valAx>
      <c:valAx>
        <c:axId val="85749898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530181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1830401463"/>
        <c:axId val="435960020"/>
      </c:scatterChart>
      <c:valAx>
        <c:axId val="1830401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5960020"/>
      </c:valAx>
      <c:valAx>
        <c:axId val="43596002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0401463"/>
      </c:valAx>
    </c:plotArea>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Sheet2!$A$9:$A$118</c:f>
            </c:numRef>
          </c:xVal>
          <c:yVal>
            <c:numRef>
              <c:f>Sheet2!$B$10:$B$118</c:f>
              <c:numCache/>
            </c:numRef>
          </c:yVal>
        </c:ser>
        <c:ser>
          <c:idx val="1"/>
          <c:order val="1"/>
          <c:spPr>
            <a:ln>
              <a:noFill/>
            </a:ln>
          </c:spPr>
          <c:marker>
            <c:symbol val="circle"/>
            <c:size val="7"/>
            <c:spPr>
              <a:solidFill>
                <a:schemeClr val="accent2"/>
              </a:solidFill>
              <a:ln cmpd="sng">
                <a:solidFill>
                  <a:schemeClr val="accent2"/>
                </a:solidFill>
              </a:ln>
            </c:spPr>
          </c:marker>
          <c:trendline>
            <c:name/>
            <c:spPr>
              <a:ln w="19050">
                <a:solidFill>
                  <a:srgbClr val="000000"/>
                </a:solidFill>
              </a:ln>
            </c:spPr>
            <c:trendlineType val="linear"/>
            <c:dispRSqr val="1"/>
            <c:dispEq val="1"/>
          </c:trendline>
          <c:xVal>
            <c:numRef>
              <c:f>Sheet2!$A$9:$A$118</c:f>
            </c:numRef>
          </c:xVal>
          <c:yVal>
            <c:numRef>
              <c:f>Sheet2!$D$10:$D$118</c:f>
              <c:numCache/>
            </c:numRef>
          </c:yVal>
        </c:ser>
        <c:ser>
          <c:idx val="2"/>
          <c:order val="2"/>
          <c:spPr>
            <a:ln>
              <a:noFill/>
            </a:ln>
          </c:spPr>
          <c:marker>
            <c:symbol val="circle"/>
            <c:size val="7"/>
            <c:spPr>
              <a:solidFill>
                <a:schemeClr val="accent3"/>
              </a:solidFill>
              <a:ln cmpd="sng">
                <a:solidFill>
                  <a:schemeClr val="accent3"/>
                </a:solidFill>
              </a:ln>
            </c:spPr>
          </c:marker>
          <c:trendline>
            <c:name/>
            <c:spPr>
              <a:ln w="19050">
                <a:solidFill>
                  <a:srgbClr val="000000"/>
                </a:solidFill>
              </a:ln>
            </c:spPr>
            <c:trendlineType val="linear"/>
            <c:dispRSqr val="1"/>
            <c:dispEq val="1"/>
          </c:trendline>
          <c:xVal>
            <c:numRef>
              <c:f>Sheet2!$A$9:$A$118</c:f>
            </c:numRef>
          </c:xVal>
          <c:yVal>
            <c:numRef>
              <c:f>Sheet2!$F$10:$F$118</c:f>
              <c:numCache/>
            </c:numRef>
          </c:yVal>
        </c:ser>
        <c:ser>
          <c:idx val="3"/>
          <c:order val="3"/>
          <c:spPr>
            <a:ln>
              <a:noFill/>
            </a:ln>
          </c:spPr>
          <c:marker>
            <c:symbol val="circle"/>
            <c:size val="7"/>
            <c:spPr>
              <a:solidFill>
                <a:schemeClr val="accent4"/>
              </a:solidFill>
              <a:ln cmpd="sng">
                <a:solidFill>
                  <a:schemeClr val="accent4"/>
                </a:solidFill>
              </a:ln>
            </c:spPr>
          </c:marker>
          <c:trendline>
            <c:name/>
            <c:spPr>
              <a:ln w="19050">
                <a:solidFill>
                  <a:srgbClr val="000000"/>
                </a:solidFill>
              </a:ln>
            </c:spPr>
            <c:trendlineType val="linear"/>
            <c:dispRSqr val="1"/>
            <c:dispEq val="1"/>
          </c:trendline>
          <c:xVal>
            <c:numRef>
              <c:f>Sheet2!$A$9:$A$118</c:f>
            </c:numRef>
          </c:xVal>
          <c:yVal>
            <c:numRef>
              <c:f>Sheet2!$H$10:$H$118</c:f>
              <c:numCache/>
            </c:numRef>
          </c:yVal>
        </c:ser>
        <c:dLbls>
          <c:showLegendKey val="0"/>
          <c:showVal val="0"/>
          <c:showCatName val="0"/>
          <c:showSerName val="0"/>
          <c:showPercent val="0"/>
          <c:showBubbleSize val="0"/>
        </c:dLbls>
        <c:axId val="970700326"/>
        <c:axId val="177908764"/>
      </c:scatterChart>
      <c:valAx>
        <c:axId val="970700326"/>
        <c:scaling>
          <c:orientation val="minMax"/>
          <c:max val="6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908764"/>
      </c:valAx>
      <c:valAx>
        <c:axId val="1779087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0700326"/>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666699"/>
              </a:solidFill>
              <a:ln cmpd="sng">
                <a:solidFill>
                  <a:srgbClr val="666699"/>
                </a:solidFill>
              </a:ln>
            </c:spPr>
          </c:marker>
          <c:xVal>
            <c:numRef>
              <c:f>Sheet2!$R$31:$R$34</c:f>
            </c:numRef>
          </c:xVal>
          <c:yVal>
            <c:numRef>
              <c:f>Sheet2!$S$31:$S$34</c:f>
              <c:numCache/>
            </c:numRef>
          </c:yVal>
        </c:ser>
        <c:dLbls>
          <c:showLegendKey val="0"/>
          <c:showVal val="0"/>
          <c:showCatName val="0"/>
          <c:showSerName val="0"/>
          <c:showPercent val="0"/>
          <c:showBubbleSize val="0"/>
        </c:dLbls>
        <c:axId val="1595650709"/>
        <c:axId val="4646036"/>
      </c:scatterChart>
      <c:valAx>
        <c:axId val="15956507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46036"/>
      </c:valAx>
      <c:valAx>
        <c:axId val="4646036"/>
        <c:scaling>
          <c:orientation val="minMax"/>
          <c:max val="4.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565070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390525</xdr:colOff>
      <xdr:row>81</xdr:row>
      <xdr:rowOff>123825</xdr:rowOff>
    </xdr:from>
    <xdr:ext cx="5048250" cy="35337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371475</xdr:colOff>
      <xdr:row>104</xdr:row>
      <xdr:rowOff>28575</xdr:rowOff>
    </xdr:from>
    <xdr:ext cx="5076825" cy="3171825"/>
    <xdr:graphicFrame>
      <xdr:nvGraphicFramePr>
        <xdr:cNvPr descr="Chart 1"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409575</xdr:colOff>
      <xdr:row>129</xdr:row>
      <xdr:rowOff>-209550</xdr:rowOff>
    </xdr:from>
    <xdr:ext cx="10925175" cy="8743950"/>
    <xdr:pic>
      <xdr:nvPicPr>
        <xdr:cNvPr id="0" name="image1.png" title="Billed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152400</xdr:colOff>
      <xdr:row>23</xdr:row>
      <xdr:rowOff>28575</xdr:rowOff>
    </xdr:from>
    <xdr:ext cx="7810500" cy="4505325"/>
    <xdr:graphicFrame>
      <xdr:nvGraphicFramePr>
        <xdr:cNvPr descr="Chart 0" id="3" name="Chart 3"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57150</xdr:colOff>
      <xdr:row>36</xdr:row>
      <xdr:rowOff>0</xdr:rowOff>
    </xdr:from>
    <xdr:ext cx="4162425" cy="2847975"/>
    <xdr:graphicFrame>
      <xdr:nvGraphicFramePr>
        <xdr:cNvPr descr="Chart 1" id="4" name="Chart 4"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7.29"/>
    <col customWidth="1" min="6" max="6" width="15.86"/>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1" t="s">
        <v>0</v>
      </c>
      <c r="B1" s="2">
        <v>137.0</v>
      </c>
      <c r="C1" s="3"/>
      <c r="D1" s="3"/>
      <c r="E1" s="3"/>
      <c r="F1" s="4" t="s">
        <v>1</v>
      </c>
      <c r="G1" s="5" t="s">
        <v>2</v>
      </c>
      <c r="H1" s="6"/>
      <c r="I1" s="3"/>
      <c r="J1" s="3"/>
      <c r="K1" s="3"/>
      <c r="L1" s="3"/>
      <c r="M1" s="3"/>
      <c r="N1" s="3"/>
      <c r="O1" s="3"/>
      <c r="P1" s="3"/>
      <c r="Q1" s="3"/>
      <c r="R1" s="3"/>
      <c r="S1" s="3"/>
      <c r="T1" s="3"/>
      <c r="U1" s="3"/>
      <c r="V1" s="3"/>
      <c r="W1" s="3"/>
      <c r="X1" s="3"/>
      <c r="Y1" s="3"/>
      <c r="Z1" s="3"/>
    </row>
    <row r="2" ht="15.75" customHeight="1">
      <c r="A2" s="7" t="s">
        <v>3</v>
      </c>
      <c r="B2" s="8" t="s">
        <v>4</v>
      </c>
      <c r="C2" s="3"/>
      <c r="D2" s="3"/>
      <c r="E2" s="3"/>
      <c r="F2" s="9" t="s">
        <v>5</v>
      </c>
      <c r="G2" s="10">
        <v>446.06</v>
      </c>
      <c r="H2" s="11"/>
      <c r="I2" s="3"/>
      <c r="J2" s="3"/>
      <c r="K2" s="3"/>
      <c r="L2" s="3"/>
      <c r="M2" s="3"/>
      <c r="N2" s="3"/>
      <c r="O2" s="3"/>
      <c r="P2" s="3"/>
      <c r="Q2" s="3"/>
      <c r="R2" s="3"/>
      <c r="S2" s="3"/>
      <c r="T2" s="3"/>
      <c r="U2" s="3"/>
      <c r="V2" s="3"/>
      <c r="W2" s="3"/>
      <c r="X2" s="3"/>
      <c r="Y2" s="3"/>
      <c r="Z2" s="3"/>
    </row>
    <row r="3" ht="15.0" customHeight="1">
      <c r="A3" s="7" t="s">
        <v>6</v>
      </c>
      <c r="B3" s="8" t="s">
        <v>7</v>
      </c>
      <c r="C3" s="3"/>
      <c r="D3" s="3"/>
      <c r="E3" s="3"/>
      <c r="F3" s="4" t="s">
        <v>8</v>
      </c>
      <c r="G3" s="5" t="s">
        <v>9</v>
      </c>
      <c r="H3" s="6"/>
      <c r="I3" s="3"/>
      <c r="J3" s="3"/>
      <c r="K3" s="3"/>
      <c r="L3" s="3"/>
      <c r="M3" s="3"/>
      <c r="N3" s="3"/>
      <c r="O3" s="3"/>
      <c r="P3" s="3"/>
      <c r="Q3" s="3"/>
      <c r="R3" s="3"/>
      <c r="S3" s="3"/>
      <c r="T3" s="3"/>
      <c r="U3" s="3"/>
      <c r="V3" s="3"/>
      <c r="W3" s="3"/>
      <c r="X3" s="3"/>
      <c r="Y3" s="3"/>
      <c r="Z3" s="3"/>
    </row>
    <row r="4" ht="15.75" customHeight="1">
      <c r="A4" s="12" t="s">
        <v>10</v>
      </c>
      <c r="B4" s="13">
        <v>60.0</v>
      </c>
      <c r="C4" s="3"/>
      <c r="D4" s="3"/>
      <c r="E4" s="3"/>
      <c r="F4" s="9" t="s">
        <v>5</v>
      </c>
      <c r="G4" s="10">
        <v>156.02</v>
      </c>
      <c r="H4" s="11"/>
      <c r="I4" s="3"/>
      <c r="J4" s="3"/>
      <c r="K4" s="3"/>
      <c r="L4" s="3"/>
      <c r="M4" s="3"/>
      <c r="N4" s="3"/>
      <c r="O4" s="3"/>
      <c r="P4" s="3"/>
      <c r="Q4" s="3"/>
      <c r="R4" s="3"/>
      <c r="S4" s="3"/>
      <c r="T4" s="3"/>
      <c r="U4" s="3"/>
      <c r="V4" s="3"/>
      <c r="W4" s="3"/>
      <c r="X4" s="3"/>
      <c r="Y4" s="3"/>
      <c r="Z4" s="3"/>
    </row>
    <row r="5" ht="15.0" customHeight="1">
      <c r="A5" s="7" t="s">
        <v>11</v>
      </c>
      <c r="B5" s="8">
        <v>285.0</v>
      </c>
      <c r="C5" s="3"/>
      <c r="D5" s="3"/>
      <c r="E5" s="3"/>
      <c r="F5" s="14" t="s">
        <v>12</v>
      </c>
      <c r="G5" s="15"/>
      <c r="H5" s="16"/>
      <c r="I5" s="3"/>
      <c r="J5" s="3"/>
      <c r="K5" s="3"/>
      <c r="L5" s="3"/>
      <c r="M5" s="3"/>
      <c r="N5" s="3"/>
      <c r="O5" s="3"/>
      <c r="P5" s="3"/>
      <c r="Q5" s="3"/>
      <c r="R5" s="3"/>
      <c r="S5" s="3"/>
      <c r="T5" s="3"/>
      <c r="U5" s="3"/>
      <c r="V5" s="3"/>
      <c r="W5" s="3"/>
      <c r="X5" s="3"/>
      <c r="Y5" s="3"/>
      <c r="Z5" s="3"/>
    </row>
    <row r="6" ht="15.0" customHeight="1">
      <c r="A6" s="7" t="s">
        <v>13</v>
      </c>
      <c r="B6" s="8">
        <v>1.23</v>
      </c>
      <c r="C6" s="3"/>
      <c r="D6" s="3"/>
      <c r="E6" s="3"/>
      <c r="F6" s="12" t="s">
        <v>14</v>
      </c>
      <c r="G6" s="17" t="s">
        <v>15</v>
      </c>
      <c r="H6" s="18" t="s">
        <v>16</v>
      </c>
      <c r="I6" s="3"/>
      <c r="J6" s="3"/>
      <c r="K6" s="3"/>
      <c r="L6" s="3"/>
      <c r="M6" s="3"/>
      <c r="N6" s="3"/>
      <c r="O6" s="3"/>
      <c r="P6" s="3"/>
      <c r="Q6" s="3"/>
      <c r="R6" s="3"/>
      <c r="S6" s="3"/>
      <c r="T6" s="3"/>
      <c r="U6" s="3"/>
      <c r="V6" s="3"/>
      <c r="W6" s="3"/>
      <c r="X6" s="3"/>
      <c r="Y6" s="3"/>
      <c r="Z6" s="3"/>
    </row>
    <row r="7" ht="15.75" customHeight="1">
      <c r="A7" s="19" t="s">
        <v>17</v>
      </c>
      <c r="B7" s="20" t="s">
        <v>18</v>
      </c>
      <c r="C7" s="3"/>
      <c r="D7" s="3"/>
      <c r="E7" s="3"/>
      <c r="F7" s="21">
        <v>100.0</v>
      </c>
      <c r="G7" s="22">
        <v>1000.0</v>
      </c>
      <c r="H7" s="23">
        <f>(G2*F7*G7)/10^6</f>
        <v>44.606</v>
      </c>
      <c r="I7" s="3"/>
      <c r="J7" s="3"/>
      <c r="K7" s="3"/>
      <c r="L7" s="3"/>
      <c r="M7" s="3"/>
      <c r="N7" s="3"/>
      <c r="O7" s="3"/>
      <c r="P7" s="3"/>
      <c r="Q7" s="3"/>
      <c r="R7" s="3"/>
      <c r="S7" s="3"/>
      <c r="T7" s="3"/>
      <c r="U7" s="3"/>
      <c r="V7" s="3"/>
      <c r="W7" s="3"/>
      <c r="X7" s="3"/>
      <c r="Y7" s="3"/>
      <c r="Z7" s="3"/>
    </row>
    <row r="8" ht="15.75" customHeight="1">
      <c r="A8" s="3"/>
      <c r="B8" s="3"/>
      <c r="C8" s="3"/>
      <c r="D8" s="3"/>
      <c r="E8" s="3"/>
      <c r="F8" s="24" t="s">
        <v>19</v>
      </c>
      <c r="G8" s="25"/>
      <c r="H8" s="6"/>
      <c r="I8" s="3"/>
      <c r="J8" s="3"/>
      <c r="K8" s="3"/>
      <c r="L8" s="3"/>
      <c r="M8" s="3"/>
      <c r="N8" s="3"/>
      <c r="O8" s="3"/>
      <c r="P8" s="3"/>
      <c r="Q8" s="3"/>
      <c r="R8" s="3"/>
      <c r="S8" s="3"/>
      <c r="T8" s="3"/>
      <c r="U8" s="3"/>
      <c r="V8" s="3"/>
      <c r="W8" s="3"/>
      <c r="X8" s="3"/>
      <c r="Y8" s="3"/>
      <c r="Z8" s="3"/>
    </row>
    <row r="9" ht="15.0" customHeight="1">
      <c r="A9" s="4" t="s">
        <v>20</v>
      </c>
      <c r="B9" s="26"/>
      <c r="C9" s="3"/>
      <c r="D9" s="3"/>
      <c r="E9" s="3"/>
      <c r="F9" s="12" t="s">
        <v>21</v>
      </c>
      <c r="G9" s="27">
        <v>30.1495</v>
      </c>
      <c r="H9" s="28"/>
      <c r="I9" s="3"/>
      <c r="J9" s="3"/>
      <c r="K9" s="3"/>
      <c r="L9" s="3"/>
      <c r="M9" s="3"/>
      <c r="N9" s="3"/>
      <c r="O9" s="3"/>
      <c r="P9" s="3"/>
      <c r="Q9" s="3"/>
      <c r="R9" s="3"/>
      <c r="S9" s="3"/>
      <c r="T9" s="3"/>
      <c r="U9" s="3"/>
      <c r="V9" s="3"/>
      <c r="W9" s="3"/>
      <c r="X9" s="3"/>
      <c r="Y9" s="3"/>
      <c r="Z9" s="3"/>
    </row>
    <row r="10" ht="15.0" customHeight="1">
      <c r="A10" s="7" t="s">
        <v>5</v>
      </c>
      <c r="B10" s="8">
        <v>108.14</v>
      </c>
      <c r="C10" s="3"/>
      <c r="D10" s="3"/>
      <c r="E10" s="3"/>
      <c r="F10" s="12" t="s">
        <v>22</v>
      </c>
      <c r="G10" s="29">
        <v>500.0</v>
      </c>
      <c r="H10" s="28"/>
      <c r="I10" s="3"/>
      <c r="J10" s="3"/>
      <c r="K10" s="3"/>
      <c r="L10" s="3"/>
      <c r="M10" s="3"/>
      <c r="N10" s="3"/>
      <c r="O10" s="3"/>
      <c r="P10" s="3"/>
      <c r="Q10" s="3"/>
      <c r="R10" s="3"/>
      <c r="S10" s="3"/>
      <c r="T10" s="3"/>
      <c r="U10" s="3"/>
      <c r="V10" s="3"/>
      <c r="W10" s="3"/>
      <c r="X10" s="3"/>
      <c r="Y10" s="3"/>
      <c r="Z10" s="3"/>
    </row>
    <row r="11" ht="15.75" customHeight="1">
      <c r="A11" s="7" t="s">
        <v>23</v>
      </c>
      <c r="B11" s="30">
        <v>0.2924</v>
      </c>
      <c r="C11" s="3"/>
      <c r="D11" s="3"/>
      <c r="E11" s="3"/>
      <c r="F11" s="31" t="s">
        <v>24</v>
      </c>
      <c r="G11" s="32">
        <f>10^6*(G9/G2)/G10</f>
        <v>135.1813657</v>
      </c>
      <c r="H11" s="33"/>
      <c r="I11" s="3"/>
      <c r="J11" s="3"/>
      <c r="K11" s="3"/>
      <c r="L11" s="3"/>
      <c r="M11" s="3"/>
      <c r="N11" s="3"/>
      <c r="O11" s="3"/>
      <c r="P11" s="3"/>
      <c r="Q11" s="3"/>
      <c r="R11" s="3"/>
      <c r="S11" s="3"/>
      <c r="T11" s="3"/>
      <c r="U11" s="3"/>
      <c r="V11" s="3"/>
      <c r="W11" s="3"/>
      <c r="X11" s="3"/>
      <c r="Y11" s="3"/>
      <c r="Z11" s="3"/>
    </row>
    <row r="12" ht="15.0" customHeight="1">
      <c r="A12" s="7" t="s">
        <v>25</v>
      </c>
      <c r="B12" s="34">
        <v>100.0</v>
      </c>
      <c r="C12" s="3"/>
      <c r="D12" s="3"/>
      <c r="E12" s="3"/>
      <c r="F12" s="24" t="s">
        <v>26</v>
      </c>
      <c r="G12" s="25"/>
      <c r="H12" s="6"/>
      <c r="I12" s="3"/>
      <c r="J12" s="3"/>
      <c r="K12" s="3"/>
      <c r="L12" s="3"/>
      <c r="M12" s="3"/>
      <c r="N12" s="3"/>
      <c r="O12" s="3"/>
      <c r="P12" s="3"/>
      <c r="Q12" s="3"/>
      <c r="R12" s="3"/>
      <c r="S12" s="3"/>
      <c r="T12" s="3"/>
      <c r="U12" s="3"/>
      <c r="V12" s="3"/>
      <c r="W12" s="3"/>
      <c r="X12" s="3"/>
      <c r="Y12" s="3"/>
      <c r="Z12" s="3"/>
    </row>
    <row r="13" ht="15.0" customHeight="1">
      <c r="A13" s="7" t="s">
        <v>27</v>
      </c>
      <c r="B13" s="35">
        <f>10^6*(B11/B10)/(B12)</f>
        <v>27.03902349</v>
      </c>
      <c r="C13" s="3"/>
      <c r="D13" s="3"/>
      <c r="E13" s="3"/>
      <c r="F13" s="12" t="s">
        <v>28</v>
      </c>
      <c r="G13" s="27">
        <v>39.0052</v>
      </c>
      <c r="H13" s="28"/>
      <c r="I13" s="3"/>
      <c r="J13" s="3"/>
      <c r="K13" s="3"/>
      <c r="L13" s="3"/>
      <c r="M13" s="3"/>
      <c r="N13" s="3"/>
      <c r="O13" s="3"/>
      <c r="P13" s="3"/>
      <c r="Q13" s="3"/>
      <c r="R13" s="3"/>
      <c r="S13" s="3"/>
      <c r="T13" s="3"/>
      <c r="U13" s="3"/>
      <c r="V13" s="3"/>
      <c r="W13" s="3"/>
      <c r="X13" s="3"/>
      <c r="Y13" s="3"/>
      <c r="Z13" s="3"/>
    </row>
    <row r="14" ht="15.75" customHeight="1">
      <c r="A14" s="19" t="s">
        <v>29</v>
      </c>
      <c r="B14" s="36">
        <v>0.0</v>
      </c>
      <c r="C14" s="3"/>
      <c r="D14" s="3"/>
      <c r="E14" s="3"/>
      <c r="F14" s="12" t="s">
        <v>22</v>
      </c>
      <c r="G14" s="29">
        <v>500.0</v>
      </c>
      <c r="H14" s="28"/>
      <c r="I14" s="3"/>
      <c r="J14" s="3"/>
      <c r="K14" s="3"/>
      <c r="L14" s="3"/>
      <c r="M14" s="3"/>
      <c r="N14" s="3"/>
      <c r="O14" s="3"/>
      <c r="P14" s="3"/>
      <c r="Q14" s="3"/>
      <c r="R14" s="3"/>
      <c r="S14" s="3"/>
      <c r="T14" s="3"/>
      <c r="U14" s="3"/>
      <c r="V14" s="3"/>
      <c r="W14" s="3"/>
      <c r="X14" s="3"/>
      <c r="Y14" s="3"/>
      <c r="Z14" s="3"/>
    </row>
    <row r="15" ht="15.75" customHeight="1">
      <c r="A15" s="4" t="s">
        <v>30</v>
      </c>
      <c r="B15" s="25"/>
      <c r="C15" s="25"/>
      <c r="D15" s="6"/>
      <c r="E15" s="3"/>
      <c r="F15" s="9" t="s">
        <v>31</v>
      </c>
      <c r="G15" s="37">
        <f>10^6*(G13/G4)/G14</f>
        <v>500.0025638</v>
      </c>
      <c r="H15" s="11"/>
      <c r="I15" s="3"/>
      <c r="J15" s="3"/>
      <c r="K15" s="3"/>
      <c r="L15" s="3"/>
      <c r="M15" s="3"/>
      <c r="N15" s="3"/>
      <c r="O15" s="3"/>
      <c r="P15" s="3"/>
      <c r="Q15" s="3"/>
      <c r="R15" s="3"/>
      <c r="S15" s="3"/>
      <c r="T15" s="3"/>
      <c r="U15" s="3"/>
      <c r="V15" s="3"/>
      <c r="W15" s="3"/>
      <c r="X15" s="3"/>
      <c r="Y15" s="3"/>
      <c r="Z15" s="3"/>
    </row>
    <row r="16" ht="15.0" customHeight="1">
      <c r="A16" s="12" t="s">
        <v>32</v>
      </c>
      <c r="B16" s="17" t="s">
        <v>33</v>
      </c>
      <c r="C16" s="17" t="s">
        <v>22</v>
      </c>
      <c r="D16" s="18" t="s">
        <v>34</v>
      </c>
      <c r="E16" s="3"/>
      <c r="F16" s="14" t="s">
        <v>35</v>
      </c>
      <c r="G16" s="15"/>
      <c r="H16" s="16"/>
      <c r="I16" s="3"/>
      <c r="J16" s="3"/>
      <c r="K16" s="3"/>
      <c r="L16" s="3"/>
      <c r="M16" s="3"/>
      <c r="N16" s="3"/>
      <c r="O16" s="3"/>
      <c r="P16" s="3"/>
      <c r="Q16" s="3"/>
      <c r="R16" s="3"/>
      <c r="S16" s="3"/>
      <c r="T16" s="3"/>
      <c r="U16" s="3"/>
      <c r="V16" s="3"/>
      <c r="W16" s="3"/>
      <c r="X16" s="3"/>
      <c r="Y16" s="3"/>
      <c r="Z16" s="3"/>
    </row>
    <row r="17" ht="15.0" customHeight="1">
      <c r="A17" s="12" t="s">
        <v>36</v>
      </c>
      <c r="B17" s="29">
        <v>25.0</v>
      </c>
      <c r="C17" s="29">
        <v>25.0</v>
      </c>
      <c r="D17" s="35">
        <f t="shared" ref="D17:D20" si="1">(B17*$B$13)/(C17)</f>
        <v>27.03902349</v>
      </c>
      <c r="E17" s="3"/>
      <c r="F17" s="12" t="s">
        <v>14</v>
      </c>
      <c r="G17" s="17" t="s">
        <v>15</v>
      </c>
      <c r="H17" s="38" t="s">
        <v>37</v>
      </c>
      <c r="I17" s="3"/>
      <c r="J17" s="3"/>
      <c r="K17" s="3"/>
      <c r="L17" s="3"/>
      <c r="M17" s="3"/>
      <c r="N17" s="3"/>
      <c r="O17" s="3"/>
      <c r="P17" s="3"/>
      <c r="Q17" s="3"/>
      <c r="R17" s="3"/>
      <c r="S17" s="3"/>
      <c r="T17" s="3"/>
      <c r="U17" s="3"/>
      <c r="V17" s="3"/>
      <c r="W17" s="3"/>
      <c r="X17" s="3"/>
      <c r="Y17" s="3"/>
      <c r="Z17" s="3"/>
    </row>
    <row r="18" ht="15.0" customHeight="1">
      <c r="A18" s="12" t="s">
        <v>38</v>
      </c>
      <c r="B18" s="29">
        <v>7.0</v>
      </c>
      <c r="C18" s="29">
        <v>25.0</v>
      </c>
      <c r="D18" s="35">
        <f t="shared" si="1"/>
        <v>7.570926577</v>
      </c>
      <c r="E18" s="3"/>
      <c r="F18" s="39">
        <v>100.0</v>
      </c>
      <c r="G18" s="40">
        <v>100.0</v>
      </c>
      <c r="H18" s="18">
        <f>F18*(G18)/G11</f>
        <v>73.97469278</v>
      </c>
      <c r="I18" s="3"/>
      <c r="J18" s="3"/>
      <c r="K18" s="3"/>
      <c r="L18" s="3"/>
      <c r="M18" s="3"/>
      <c r="N18" s="3"/>
      <c r="O18" s="3"/>
      <c r="P18" s="3"/>
      <c r="Q18" s="3"/>
      <c r="R18" s="3"/>
      <c r="S18" s="3"/>
      <c r="T18" s="3"/>
      <c r="U18" s="3"/>
      <c r="V18" s="3"/>
      <c r="W18" s="3"/>
      <c r="X18" s="3"/>
      <c r="Y18" s="3"/>
      <c r="Z18" s="3"/>
    </row>
    <row r="19" ht="15.0" customHeight="1">
      <c r="A19" s="12" t="s">
        <v>39</v>
      </c>
      <c r="B19" s="29">
        <v>2.0</v>
      </c>
      <c r="C19" s="29">
        <v>25.0</v>
      </c>
      <c r="D19" s="35">
        <f t="shared" si="1"/>
        <v>2.163121879</v>
      </c>
      <c r="E19" s="3"/>
      <c r="F19" s="41"/>
      <c r="G19" s="42"/>
      <c r="H19" s="38" t="s">
        <v>40</v>
      </c>
      <c r="I19" s="3"/>
      <c r="J19" s="3"/>
      <c r="K19" s="3"/>
      <c r="L19" s="3"/>
      <c r="M19" s="3"/>
      <c r="N19" s="3"/>
      <c r="O19" s="3"/>
      <c r="P19" s="3"/>
      <c r="Q19" s="3"/>
      <c r="R19" s="3"/>
      <c r="S19" s="3"/>
      <c r="T19" s="3"/>
      <c r="U19" s="3"/>
      <c r="V19" s="3"/>
      <c r="W19" s="3"/>
      <c r="X19" s="3"/>
      <c r="Y19" s="3"/>
      <c r="Z19" s="3"/>
    </row>
    <row r="20" ht="15.75" customHeight="1">
      <c r="A20" s="12" t="s">
        <v>41</v>
      </c>
      <c r="B20" s="29">
        <v>0.5</v>
      </c>
      <c r="C20" s="29">
        <v>25.0</v>
      </c>
      <c r="D20" s="35">
        <f t="shared" si="1"/>
        <v>0.5407804698</v>
      </c>
      <c r="E20" s="3"/>
      <c r="F20" s="43"/>
      <c r="G20" s="44"/>
      <c r="H20" s="45">
        <f>F18*(G18)/G15</f>
        <v>19.99989745</v>
      </c>
      <c r="I20" s="3"/>
      <c r="J20" s="3"/>
      <c r="K20" s="3"/>
      <c r="L20" s="3"/>
      <c r="M20" s="3"/>
      <c r="N20" s="3"/>
      <c r="O20" s="3"/>
      <c r="P20" s="3"/>
      <c r="Q20" s="3"/>
      <c r="R20" s="3"/>
      <c r="S20" s="3"/>
      <c r="T20" s="3"/>
      <c r="U20" s="3"/>
      <c r="V20" s="3"/>
      <c r="W20" s="3"/>
      <c r="X20" s="3"/>
      <c r="Y20" s="3"/>
      <c r="Z20" s="3"/>
    </row>
    <row r="21" ht="15.75" customHeight="1">
      <c r="A21" s="31" t="s">
        <v>29</v>
      </c>
      <c r="B21" s="46">
        <v>0.0</v>
      </c>
      <c r="C21" s="47"/>
      <c r="D21" s="48"/>
      <c r="E21" s="3"/>
      <c r="F21" s="24" t="s">
        <v>42</v>
      </c>
      <c r="G21" s="25"/>
      <c r="H21" s="6"/>
      <c r="I21" s="3"/>
      <c r="J21" s="3"/>
      <c r="K21" s="3"/>
      <c r="L21" s="3"/>
      <c r="M21" s="3"/>
      <c r="N21" s="3"/>
      <c r="O21" s="3"/>
      <c r="P21" s="3"/>
      <c r="Q21" s="3"/>
      <c r="R21" s="3"/>
      <c r="S21" s="3"/>
      <c r="T21" s="3"/>
      <c r="U21" s="3"/>
      <c r="V21" s="3"/>
      <c r="W21" s="3"/>
      <c r="X21" s="3"/>
      <c r="Y21" s="3"/>
      <c r="Z21" s="3"/>
    </row>
    <row r="22" ht="15.75" customHeight="1">
      <c r="A22" s="3"/>
      <c r="B22" s="3"/>
      <c r="C22" s="3"/>
      <c r="D22" s="3"/>
      <c r="E22" s="3"/>
      <c r="F22" s="12" t="s">
        <v>43</v>
      </c>
      <c r="G22" s="29">
        <v>74.0</v>
      </c>
      <c r="H22" s="28"/>
      <c r="I22" s="3"/>
      <c r="J22" s="3"/>
      <c r="K22" s="3"/>
      <c r="L22" s="3"/>
      <c r="M22" s="3"/>
      <c r="N22" s="3"/>
      <c r="O22" s="3"/>
      <c r="P22" s="3"/>
      <c r="Q22" s="3"/>
      <c r="R22" s="3"/>
      <c r="S22" s="3"/>
      <c r="T22" s="3"/>
      <c r="U22" s="3"/>
      <c r="V22" s="3"/>
      <c r="W22" s="3"/>
      <c r="X22" s="3"/>
      <c r="Y22" s="3"/>
      <c r="Z22" s="3"/>
    </row>
    <row r="23" ht="15.0" customHeight="1">
      <c r="A23" s="4" t="s">
        <v>26</v>
      </c>
      <c r="B23" s="49" t="s">
        <v>44</v>
      </c>
      <c r="C23" s="3"/>
      <c r="D23" s="3"/>
      <c r="E23" s="3"/>
      <c r="F23" s="12" t="s">
        <v>45</v>
      </c>
      <c r="G23" s="29">
        <v>20.0</v>
      </c>
      <c r="H23" s="28"/>
      <c r="I23" s="3"/>
      <c r="J23" s="3"/>
      <c r="K23" s="3"/>
      <c r="L23" s="3"/>
      <c r="M23" s="3"/>
      <c r="N23" s="3"/>
      <c r="O23" s="3"/>
      <c r="P23" s="3"/>
      <c r="Q23" s="3"/>
      <c r="R23" s="3"/>
      <c r="S23" s="3"/>
      <c r="T23" s="3"/>
      <c r="U23" s="3"/>
      <c r="V23" s="3"/>
      <c r="W23" s="3"/>
      <c r="X23" s="3"/>
      <c r="Y23" s="3"/>
      <c r="Z23" s="3"/>
    </row>
    <row r="24" ht="15.0" customHeight="1">
      <c r="A24" s="12" t="s">
        <v>46</v>
      </c>
      <c r="B24" s="18">
        <v>1110.0</v>
      </c>
      <c r="C24" s="3"/>
      <c r="D24" s="3"/>
      <c r="E24" s="3"/>
      <c r="F24" s="12" t="s">
        <v>22</v>
      </c>
      <c r="G24" s="29">
        <v>100.0</v>
      </c>
      <c r="H24" s="28"/>
      <c r="I24" s="3"/>
      <c r="J24" s="3"/>
      <c r="K24" s="3"/>
      <c r="L24" s="3"/>
      <c r="M24" s="3"/>
      <c r="N24" s="3"/>
      <c r="O24" s="3"/>
      <c r="P24" s="3"/>
      <c r="Q24" s="3"/>
      <c r="R24" s="3"/>
      <c r="S24" s="3"/>
      <c r="T24" s="3"/>
      <c r="U24" s="3"/>
      <c r="V24" s="3"/>
      <c r="W24" s="3"/>
      <c r="X24" s="3"/>
      <c r="Y24" s="3"/>
      <c r="Z24" s="3"/>
    </row>
    <row r="25" ht="15.0" customHeight="1">
      <c r="A25" s="12" t="s">
        <v>47</v>
      </c>
      <c r="B25" s="18">
        <f>10^3*(B24*0.3)/34.0147</f>
        <v>9789.884962</v>
      </c>
      <c r="C25" s="3"/>
      <c r="D25" s="3"/>
      <c r="E25" s="3"/>
      <c r="F25" s="12" t="s">
        <v>24</v>
      </c>
      <c r="G25" s="17">
        <f>G22*G11/G24</f>
        <v>100.0342106</v>
      </c>
      <c r="H25" s="28"/>
      <c r="I25" s="3"/>
      <c r="J25" s="3"/>
      <c r="K25" s="3"/>
      <c r="L25" s="3"/>
      <c r="M25" s="3"/>
      <c r="N25" s="3"/>
      <c r="O25" s="3"/>
      <c r="P25" s="3"/>
      <c r="Q25" s="3"/>
      <c r="R25" s="3"/>
      <c r="S25" s="3"/>
      <c r="T25" s="3"/>
      <c r="U25" s="3"/>
      <c r="V25" s="3"/>
      <c r="W25" s="3"/>
      <c r="X25" s="3"/>
      <c r="Y25" s="3"/>
      <c r="Z25" s="3"/>
    </row>
    <row r="26" ht="15.75" customHeight="1">
      <c r="A26" s="12" t="s">
        <v>48</v>
      </c>
      <c r="B26" s="50">
        <v>1.0</v>
      </c>
      <c r="C26" s="3"/>
      <c r="D26" s="3"/>
      <c r="E26" s="3"/>
      <c r="F26" s="9" t="s">
        <v>31</v>
      </c>
      <c r="G26" s="37">
        <f>G23*G15/G24</f>
        <v>100.0005128</v>
      </c>
      <c r="H26" s="11"/>
      <c r="I26" s="3"/>
      <c r="J26" s="3"/>
      <c r="K26" s="3"/>
      <c r="L26" s="3"/>
      <c r="M26" s="3"/>
      <c r="N26" s="3"/>
      <c r="O26" s="3"/>
      <c r="P26" s="3"/>
      <c r="Q26" s="3"/>
      <c r="R26" s="3"/>
      <c r="S26" s="3"/>
      <c r="T26" s="3"/>
      <c r="U26" s="3"/>
      <c r="V26" s="3"/>
      <c r="W26" s="3"/>
      <c r="X26" s="3"/>
      <c r="Y26" s="3"/>
      <c r="Z26" s="3"/>
    </row>
    <row r="27" ht="15.0" customHeight="1">
      <c r="A27" s="12" t="s">
        <v>49</v>
      </c>
      <c r="B27" s="50">
        <v>0.0</v>
      </c>
      <c r="C27" s="3"/>
      <c r="D27" s="3"/>
      <c r="E27" s="3"/>
      <c r="F27" s="51" t="s">
        <v>50</v>
      </c>
      <c r="G27" s="25"/>
      <c r="H27" s="52" t="s">
        <v>51</v>
      </c>
      <c r="I27" s="3"/>
      <c r="J27" s="3"/>
      <c r="K27" s="3"/>
      <c r="L27" s="3"/>
      <c r="M27" s="3"/>
      <c r="N27" s="3"/>
      <c r="O27" s="3"/>
      <c r="P27" s="3"/>
      <c r="Q27" s="3"/>
      <c r="R27" s="3"/>
      <c r="S27" s="3"/>
      <c r="T27" s="3"/>
      <c r="U27" s="3"/>
      <c r="V27" s="3"/>
      <c r="W27" s="3"/>
      <c r="X27" s="3"/>
      <c r="Y27" s="3"/>
      <c r="Z27" s="3"/>
    </row>
    <row r="28" ht="15.0" customHeight="1">
      <c r="A28" s="12" t="s">
        <v>52</v>
      </c>
      <c r="B28" s="18">
        <f>(B25*B26)/(B26+B27)</f>
        <v>9789.884962</v>
      </c>
      <c r="C28" s="3"/>
      <c r="D28" s="3"/>
      <c r="E28" s="3"/>
      <c r="F28" s="53" t="s">
        <v>53</v>
      </c>
      <c r="G28" s="29">
        <v>9.0</v>
      </c>
      <c r="H28" s="54">
        <v>7.52</v>
      </c>
      <c r="I28" s="3"/>
      <c r="J28" s="3"/>
      <c r="K28" s="3"/>
      <c r="L28" s="3"/>
      <c r="M28" s="3"/>
      <c r="N28" s="3"/>
      <c r="O28" s="3"/>
      <c r="P28" s="3"/>
      <c r="Q28" s="3"/>
      <c r="R28" s="3"/>
      <c r="S28" s="3"/>
      <c r="T28" s="3"/>
      <c r="U28" s="3"/>
      <c r="V28" s="3"/>
      <c r="W28" s="3"/>
      <c r="X28" s="3"/>
      <c r="Y28" s="3"/>
      <c r="Z28" s="3"/>
    </row>
    <row r="29" ht="15.75" customHeight="1">
      <c r="A29" s="31" t="s">
        <v>29</v>
      </c>
      <c r="B29" s="55">
        <v>0.0</v>
      </c>
      <c r="C29" s="3"/>
      <c r="D29" s="3"/>
      <c r="E29" s="3"/>
      <c r="F29" s="53" t="s">
        <v>22</v>
      </c>
      <c r="G29" s="29">
        <v>12.0</v>
      </c>
      <c r="H29" s="56" t="s">
        <v>54</v>
      </c>
      <c r="I29" s="3"/>
      <c r="J29" s="3"/>
      <c r="K29" s="3"/>
      <c r="L29" s="3"/>
      <c r="M29" s="3"/>
      <c r="N29" s="3"/>
      <c r="O29" s="3"/>
      <c r="P29" s="3"/>
      <c r="Q29" s="3"/>
      <c r="R29" s="3"/>
      <c r="S29" s="3"/>
      <c r="T29" s="3"/>
      <c r="U29" s="3"/>
      <c r="V29" s="3"/>
      <c r="W29" s="3"/>
      <c r="X29" s="3"/>
      <c r="Y29" s="3"/>
      <c r="Z29" s="3"/>
    </row>
    <row r="30" ht="15.75" customHeight="1">
      <c r="A30" s="24" t="s">
        <v>55</v>
      </c>
      <c r="B30" s="57"/>
      <c r="C30" s="57"/>
      <c r="D30" s="58"/>
      <c r="E30" s="3"/>
      <c r="F30" s="59" t="s">
        <v>56</v>
      </c>
      <c r="G30" s="60">
        <f>(G25+G26)*(G28/G29)</f>
        <v>150.0260425</v>
      </c>
      <c r="H30" s="61">
        <v>7.53</v>
      </c>
      <c r="I30" s="3"/>
      <c r="J30" s="3"/>
      <c r="K30" s="3"/>
      <c r="L30" s="3"/>
      <c r="M30" s="3"/>
      <c r="N30" s="3"/>
      <c r="O30" s="3"/>
      <c r="P30" s="3"/>
      <c r="Q30" s="3"/>
      <c r="R30" s="3"/>
      <c r="S30" s="3"/>
      <c r="T30" s="3"/>
      <c r="U30" s="3"/>
      <c r="V30" s="3"/>
      <c r="W30" s="3"/>
      <c r="X30" s="3"/>
      <c r="Y30" s="3"/>
      <c r="Z30" s="3"/>
    </row>
    <row r="31" ht="15.75" customHeight="1">
      <c r="A31" s="12" t="s">
        <v>32</v>
      </c>
      <c r="B31" s="17" t="s">
        <v>33</v>
      </c>
      <c r="C31" s="17" t="s">
        <v>22</v>
      </c>
      <c r="D31" s="18" t="s">
        <v>34</v>
      </c>
      <c r="E31" s="3"/>
      <c r="F31" s="3"/>
      <c r="G31" s="3"/>
      <c r="H31" s="3"/>
      <c r="I31" s="3"/>
      <c r="J31" s="3"/>
      <c r="K31" s="3"/>
      <c r="L31" s="3"/>
      <c r="M31" s="3"/>
      <c r="N31" s="3"/>
      <c r="O31" s="3"/>
      <c r="P31" s="3"/>
      <c r="Q31" s="3"/>
      <c r="R31" s="3"/>
      <c r="S31" s="3"/>
      <c r="T31" s="3"/>
      <c r="U31" s="3"/>
      <c r="V31" s="3"/>
      <c r="W31" s="3"/>
      <c r="X31" s="3"/>
      <c r="Y31" s="3"/>
      <c r="Z31" s="3"/>
    </row>
    <row r="32" ht="15.0" customHeight="1">
      <c r="A32" s="12" t="s">
        <v>57</v>
      </c>
      <c r="B32" s="29">
        <v>1.0</v>
      </c>
      <c r="C32" s="29">
        <v>10.0</v>
      </c>
      <c r="D32" s="35">
        <f t="shared" ref="D32:D35" si="2">$B$28*(B32/C32)</f>
        <v>978.9884962</v>
      </c>
      <c r="E32" s="3"/>
      <c r="F32" s="4" t="s">
        <v>58</v>
      </c>
      <c r="G32" s="6"/>
      <c r="H32" s="3"/>
      <c r="I32" s="3"/>
      <c r="J32" s="3"/>
      <c r="K32" s="3"/>
      <c r="L32" s="3"/>
      <c r="M32" s="3"/>
      <c r="N32" s="3"/>
      <c r="O32" s="3"/>
      <c r="P32" s="3"/>
      <c r="Q32" s="3"/>
      <c r="R32" s="3"/>
      <c r="S32" s="3"/>
      <c r="T32" s="3"/>
      <c r="U32" s="3"/>
      <c r="V32" s="3"/>
      <c r="W32" s="3"/>
      <c r="X32" s="3"/>
      <c r="Y32" s="3"/>
      <c r="Z32" s="3"/>
    </row>
    <row r="33" ht="15.0" customHeight="1">
      <c r="A33" s="12" t="s">
        <v>59</v>
      </c>
      <c r="B33" s="29">
        <v>0.5</v>
      </c>
      <c r="C33" s="29">
        <v>10.0</v>
      </c>
      <c r="D33" s="35">
        <f t="shared" si="2"/>
        <v>489.4942481</v>
      </c>
      <c r="E33" s="3"/>
      <c r="F33" s="12" t="s">
        <v>60</v>
      </c>
      <c r="G33" s="30">
        <v>0.0</v>
      </c>
      <c r="H33" s="3"/>
      <c r="I33" s="3"/>
      <c r="J33" s="3"/>
      <c r="K33" s="3"/>
      <c r="L33" s="3"/>
      <c r="M33" s="3"/>
      <c r="N33" s="3"/>
      <c r="O33" s="3"/>
      <c r="P33" s="3"/>
      <c r="Q33" s="3"/>
      <c r="R33" s="3"/>
      <c r="S33" s="3"/>
      <c r="T33" s="3"/>
      <c r="U33" s="3"/>
      <c r="V33" s="3"/>
      <c r="W33" s="3"/>
      <c r="X33" s="3"/>
      <c r="Y33" s="3"/>
      <c r="Z33" s="3"/>
    </row>
    <row r="34" ht="15.0" customHeight="1">
      <c r="A34" s="12" t="s">
        <v>61</v>
      </c>
      <c r="B34" s="29">
        <v>0.1</v>
      </c>
      <c r="C34" s="29">
        <v>10.0</v>
      </c>
      <c r="D34" s="35">
        <f t="shared" si="2"/>
        <v>97.89884962</v>
      </c>
      <c r="E34" s="3"/>
      <c r="F34" s="12" t="s">
        <v>62</v>
      </c>
      <c r="G34" s="30">
        <v>1.0</v>
      </c>
      <c r="H34" s="3"/>
      <c r="I34" s="3"/>
      <c r="J34" s="3"/>
      <c r="K34" s="3"/>
      <c r="L34" s="3"/>
      <c r="M34" s="3"/>
      <c r="N34" s="3"/>
      <c r="O34" s="3"/>
      <c r="P34" s="3"/>
      <c r="Q34" s="3"/>
      <c r="R34" s="3"/>
      <c r="S34" s="3"/>
      <c r="T34" s="3"/>
      <c r="U34" s="3"/>
      <c r="V34" s="3"/>
      <c r="W34" s="3"/>
      <c r="X34" s="3"/>
      <c r="Y34" s="3"/>
      <c r="Z34" s="3"/>
    </row>
    <row r="35" ht="15.75" customHeight="1">
      <c r="A35" s="12" t="s">
        <v>63</v>
      </c>
      <c r="B35" s="29">
        <v>0.05</v>
      </c>
      <c r="C35" s="29">
        <v>10.0</v>
      </c>
      <c r="D35" s="35">
        <f t="shared" si="2"/>
        <v>48.94942481</v>
      </c>
      <c r="E35" s="3"/>
      <c r="F35" s="31" t="s">
        <v>29</v>
      </c>
      <c r="G35" s="23">
        <v>0.0</v>
      </c>
      <c r="H35" s="3"/>
      <c r="I35" s="3"/>
      <c r="J35" s="3"/>
      <c r="K35" s="3"/>
      <c r="L35" s="3"/>
      <c r="M35" s="3"/>
      <c r="N35" s="3"/>
      <c r="O35" s="3"/>
      <c r="P35" s="3"/>
      <c r="Q35" s="3"/>
      <c r="R35" s="3"/>
      <c r="S35" s="3"/>
      <c r="T35" s="3"/>
      <c r="U35" s="3"/>
      <c r="V35" s="3"/>
      <c r="W35" s="3"/>
      <c r="X35" s="3"/>
      <c r="Y35" s="3"/>
      <c r="Z35" s="3"/>
    </row>
    <row r="36" ht="15.75" customHeight="1">
      <c r="A36" s="31" t="s">
        <v>29</v>
      </c>
      <c r="B36" s="46">
        <v>0.0</v>
      </c>
      <c r="C36" s="47"/>
      <c r="D36" s="48"/>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4" t="s">
        <v>64</v>
      </c>
      <c r="G37" s="6"/>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12" t="s">
        <v>65</v>
      </c>
      <c r="G38" s="18">
        <v>1054.29</v>
      </c>
      <c r="H38" s="3"/>
      <c r="I38" s="3"/>
      <c r="J38" s="3"/>
      <c r="K38" s="3"/>
      <c r="L38" s="3"/>
      <c r="M38" s="3"/>
      <c r="N38" s="3"/>
      <c r="O38" s="3"/>
      <c r="P38" s="3"/>
      <c r="Q38" s="3"/>
      <c r="R38" s="3"/>
      <c r="S38" s="3"/>
      <c r="T38" s="3"/>
      <c r="U38" s="3"/>
      <c r="V38" s="3"/>
      <c r="W38" s="3"/>
      <c r="X38" s="3"/>
      <c r="Y38" s="3"/>
      <c r="Z38" s="3"/>
    </row>
    <row r="39" ht="15.0" customHeight="1">
      <c r="A39" s="3"/>
      <c r="B39" s="62"/>
      <c r="C39" s="3"/>
      <c r="D39" s="3"/>
      <c r="E39" s="3"/>
      <c r="F39" s="12" t="s">
        <v>66</v>
      </c>
      <c r="G39" s="30">
        <v>0.0058</v>
      </c>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12" t="s">
        <v>67</v>
      </c>
      <c r="G40" s="50">
        <v>4.0</v>
      </c>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12" t="s">
        <v>47</v>
      </c>
      <c r="G41" s="18">
        <f>10^6*(G39/G38)/G40</f>
        <v>1.375333163</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1" t="s">
        <v>29</v>
      </c>
      <c r="G42" s="55">
        <v>0.0</v>
      </c>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63"/>
      <c r="B44" s="63"/>
      <c r="C44" s="63"/>
      <c r="D44" s="63"/>
      <c r="E44" s="63"/>
      <c r="F44" s="63"/>
      <c r="G44" s="63"/>
      <c r="H44" s="63"/>
      <c r="I44" s="63"/>
      <c r="J44" s="64"/>
      <c r="K44" s="63"/>
      <c r="L44" s="63"/>
      <c r="M44" s="3"/>
      <c r="N44" s="3"/>
      <c r="O44" s="3"/>
      <c r="P44" s="3"/>
      <c r="Q44" s="3"/>
      <c r="R44" s="3"/>
      <c r="S44" s="3"/>
      <c r="T44" s="3"/>
      <c r="U44" s="3"/>
      <c r="V44" s="3"/>
      <c r="W44" s="3"/>
      <c r="X44" s="3"/>
      <c r="Y44" s="3"/>
      <c r="Z44" s="3"/>
    </row>
    <row r="45" ht="15.75" customHeight="1">
      <c r="A45" s="65" t="s">
        <v>68</v>
      </c>
      <c r="B45" s="66" t="s">
        <v>69</v>
      </c>
      <c r="C45" s="66" t="s">
        <v>70</v>
      </c>
      <c r="D45" s="66" t="s">
        <v>71</v>
      </c>
      <c r="E45" s="66" t="s">
        <v>72</v>
      </c>
      <c r="F45" s="66" t="s">
        <v>73</v>
      </c>
      <c r="G45" s="65" t="s">
        <v>74</v>
      </c>
      <c r="H45" s="65" t="s">
        <v>75</v>
      </c>
      <c r="I45" s="65" t="s">
        <v>52</v>
      </c>
      <c r="J45" s="65" t="s">
        <v>76</v>
      </c>
      <c r="K45" s="67" t="s">
        <v>77</v>
      </c>
      <c r="L45" s="67" t="s">
        <v>78</v>
      </c>
      <c r="M45" s="3"/>
      <c r="N45" s="3"/>
      <c r="O45" s="3"/>
      <c r="P45" s="3"/>
      <c r="Q45" s="3"/>
      <c r="R45" s="3"/>
      <c r="S45" s="3"/>
      <c r="T45" s="3"/>
      <c r="U45" s="3"/>
      <c r="V45" s="3"/>
      <c r="W45" s="3"/>
      <c r="X45" s="3"/>
      <c r="Y45" s="3"/>
      <c r="Z45" s="3"/>
    </row>
    <row r="46" ht="15.0" customHeight="1">
      <c r="A46" s="68" t="s">
        <v>79</v>
      </c>
      <c r="B46" s="69">
        <v>0.0</v>
      </c>
      <c r="C46" s="69">
        <v>0.025</v>
      </c>
      <c r="D46" s="69">
        <v>0.5</v>
      </c>
      <c r="E46" s="69">
        <v>0.4</v>
      </c>
      <c r="F46" s="69">
        <v>0.075</v>
      </c>
      <c r="G46" s="70">
        <f t="shared" ref="G46:G59" si="3">SUM(A46:F46)</f>
        <v>1</v>
      </c>
      <c r="H46" s="71">
        <f>$D$17*E46</f>
        <v>10.8156094</v>
      </c>
      <c r="I46" s="72">
        <f>(F46*D32)/G46</f>
        <v>73.42413721</v>
      </c>
      <c r="J46" s="72">
        <f t="shared" ref="J46:J52" si="4">C46*$G$41/G46</f>
        <v>0.03438332907</v>
      </c>
      <c r="K46" s="73">
        <f t="shared" ref="K46:K59" si="5">($G$30*D46)/G46</f>
        <v>75.01302127</v>
      </c>
      <c r="L46" s="74">
        <f t="shared" ref="L46:L59" si="6">100*($B$21*E46+$G$42*C46+F46*$B$36+D46*$G$16+B46*$G$35)/G46</f>
        <v>0</v>
      </c>
      <c r="M46" s="3"/>
      <c r="N46" s="3"/>
      <c r="O46" s="3"/>
      <c r="P46" s="3">
        <v>10.816</v>
      </c>
      <c r="Q46" s="3">
        <v>73.424</v>
      </c>
      <c r="R46" s="3"/>
      <c r="S46" s="3"/>
      <c r="T46" s="3"/>
      <c r="U46" s="3"/>
      <c r="V46" s="3"/>
      <c r="W46" s="3"/>
      <c r="X46" s="3"/>
      <c r="Y46" s="3"/>
      <c r="Z46" s="3"/>
    </row>
    <row r="47" ht="15.0" customHeight="1">
      <c r="A47" s="75" t="s">
        <v>80</v>
      </c>
      <c r="B47" s="76">
        <v>0.0</v>
      </c>
      <c r="C47" s="76">
        <v>0.025</v>
      </c>
      <c r="D47" s="76">
        <v>0.5</v>
      </c>
      <c r="E47" s="76">
        <v>0.4</v>
      </c>
      <c r="F47" s="76">
        <v>0.075</v>
      </c>
      <c r="G47" s="77">
        <f t="shared" si="3"/>
        <v>1</v>
      </c>
      <c r="H47" s="73">
        <f>$D$18*E47</f>
        <v>3.028370631</v>
      </c>
      <c r="I47" s="73">
        <f>(F47*D32)/G47</f>
        <v>73.42413721</v>
      </c>
      <c r="J47" s="73">
        <f t="shared" si="4"/>
        <v>0.03438332907</v>
      </c>
      <c r="K47" s="73">
        <f t="shared" si="5"/>
        <v>75.01302127</v>
      </c>
      <c r="L47" s="73">
        <f t="shared" si="6"/>
        <v>0</v>
      </c>
      <c r="M47" s="3"/>
      <c r="N47" s="3"/>
      <c r="O47" s="3"/>
      <c r="P47" s="3">
        <v>3.028</v>
      </c>
      <c r="Q47" s="3">
        <v>36.712</v>
      </c>
      <c r="R47" s="3"/>
      <c r="S47" s="3"/>
      <c r="T47" s="3"/>
      <c r="U47" s="3"/>
      <c r="V47" s="3"/>
      <c r="W47" s="3"/>
      <c r="X47" s="3"/>
      <c r="Y47" s="3"/>
      <c r="Z47" s="3"/>
    </row>
    <row r="48" ht="15.0" customHeight="1">
      <c r="A48" s="75" t="s">
        <v>81</v>
      </c>
      <c r="B48" s="76">
        <v>0.0</v>
      </c>
      <c r="C48" s="76">
        <v>0.025</v>
      </c>
      <c r="D48" s="76">
        <v>0.5</v>
      </c>
      <c r="E48" s="76">
        <v>0.4</v>
      </c>
      <c r="F48" s="76">
        <v>0.075</v>
      </c>
      <c r="G48" s="77">
        <f t="shared" si="3"/>
        <v>1</v>
      </c>
      <c r="H48" s="73">
        <f>$D$19*E48</f>
        <v>0.8652487516</v>
      </c>
      <c r="I48" s="73">
        <f t="shared" ref="I48:I49" si="7">(F48*$D$32)/G48</f>
        <v>73.42413721</v>
      </c>
      <c r="J48" s="73">
        <f t="shared" si="4"/>
        <v>0.03438332907</v>
      </c>
      <c r="K48" s="73">
        <f t="shared" si="5"/>
        <v>75.01302127</v>
      </c>
      <c r="L48" s="73">
        <f t="shared" si="6"/>
        <v>0</v>
      </c>
      <c r="M48" s="3"/>
      <c r="N48" s="3"/>
      <c r="O48" s="3"/>
      <c r="P48" s="3">
        <v>0.865</v>
      </c>
      <c r="Q48" s="3">
        <v>7.342</v>
      </c>
      <c r="R48" s="3"/>
      <c r="S48" s="3"/>
      <c r="T48" s="3"/>
      <c r="U48" s="3"/>
      <c r="V48" s="3"/>
      <c r="W48" s="3"/>
      <c r="X48" s="3"/>
      <c r="Y48" s="3"/>
      <c r="Z48" s="3"/>
    </row>
    <row r="49" ht="15.0" customHeight="1">
      <c r="A49" s="75" t="s">
        <v>82</v>
      </c>
      <c r="B49" s="76">
        <v>0.0</v>
      </c>
      <c r="C49" s="76">
        <v>0.025</v>
      </c>
      <c r="D49" s="76">
        <v>0.5</v>
      </c>
      <c r="E49" s="76">
        <v>0.4</v>
      </c>
      <c r="F49" s="76">
        <v>0.075</v>
      </c>
      <c r="G49" s="77">
        <f t="shared" si="3"/>
        <v>1</v>
      </c>
      <c r="H49" s="73">
        <f>$D$20*E49</f>
        <v>0.2163121879</v>
      </c>
      <c r="I49" s="73">
        <f t="shared" si="7"/>
        <v>73.42413721</v>
      </c>
      <c r="J49" s="73">
        <f t="shared" si="4"/>
        <v>0.03438332907</v>
      </c>
      <c r="K49" s="73">
        <f t="shared" si="5"/>
        <v>75.01302127</v>
      </c>
      <c r="L49" s="73">
        <f t="shared" si="6"/>
        <v>0</v>
      </c>
      <c r="M49" s="3"/>
      <c r="N49" s="3"/>
      <c r="O49" s="3"/>
      <c r="P49" s="3">
        <v>0.216</v>
      </c>
      <c r="Q49" s="3">
        <v>3.671</v>
      </c>
      <c r="R49" s="3"/>
      <c r="S49" s="3"/>
      <c r="T49" s="3"/>
      <c r="U49" s="3"/>
      <c r="V49" s="3"/>
      <c r="W49" s="3"/>
      <c r="X49" s="3"/>
      <c r="Y49" s="3"/>
      <c r="Z49" s="3"/>
    </row>
    <row r="50" ht="15.0" customHeight="1">
      <c r="A50" s="78" t="s">
        <v>83</v>
      </c>
      <c r="B50" s="79">
        <v>0.0</v>
      </c>
      <c r="C50" s="79">
        <v>0.025</v>
      </c>
      <c r="D50" s="79">
        <v>0.5</v>
      </c>
      <c r="E50" s="79">
        <v>0.4</v>
      </c>
      <c r="F50" s="79">
        <v>0.075</v>
      </c>
      <c r="G50" s="80">
        <f t="shared" si="3"/>
        <v>1</v>
      </c>
      <c r="H50" s="81">
        <f t="shared" ref="H50:H52" si="8">$D$17*E50</f>
        <v>10.8156094</v>
      </c>
      <c r="I50" s="73">
        <f>(F50*$D$33)/G50</f>
        <v>36.71206861</v>
      </c>
      <c r="J50" s="73">
        <f t="shared" si="4"/>
        <v>0.03438332907</v>
      </c>
      <c r="K50" s="73">
        <f t="shared" si="5"/>
        <v>75.01302127</v>
      </c>
      <c r="L50" s="81">
        <f t="shared" si="6"/>
        <v>0</v>
      </c>
      <c r="M50" s="3"/>
      <c r="N50" s="3"/>
      <c r="O50" s="3"/>
      <c r="P50" s="3"/>
      <c r="Q50" s="3"/>
      <c r="R50" s="3"/>
      <c r="S50" s="3"/>
      <c r="T50" s="3"/>
      <c r="U50" s="3"/>
      <c r="V50" s="3"/>
      <c r="W50" s="3"/>
      <c r="X50" s="3"/>
      <c r="Y50" s="3"/>
      <c r="Z50" s="3"/>
    </row>
    <row r="51" ht="15.0" customHeight="1">
      <c r="A51" s="82" t="s">
        <v>84</v>
      </c>
      <c r="B51" s="76">
        <v>0.0</v>
      </c>
      <c r="C51" s="76">
        <v>0.025</v>
      </c>
      <c r="D51" s="76">
        <v>0.5</v>
      </c>
      <c r="E51" s="76">
        <v>0.4</v>
      </c>
      <c r="F51" s="76">
        <v>0.075</v>
      </c>
      <c r="G51" s="73">
        <f t="shared" si="3"/>
        <v>1</v>
      </c>
      <c r="H51" s="73">
        <f t="shared" si="8"/>
        <v>10.8156094</v>
      </c>
      <c r="I51" s="73">
        <f>(F51*$D$34)/G51</f>
        <v>7.342413721</v>
      </c>
      <c r="J51" s="73">
        <f t="shared" si="4"/>
        <v>0.03438332907</v>
      </c>
      <c r="K51" s="73">
        <f t="shared" si="5"/>
        <v>75.01302127</v>
      </c>
      <c r="L51" s="73">
        <f t="shared" si="6"/>
        <v>0</v>
      </c>
      <c r="M51" s="3"/>
      <c r="N51" s="3"/>
      <c r="O51" s="3"/>
      <c r="P51" s="3"/>
      <c r="Q51" s="3"/>
      <c r="R51" s="3"/>
      <c r="S51" s="3"/>
      <c r="T51" s="3"/>
      <c r="U51" s="3"/>
      <c r="V51" s="3"/>
      <c r="W51" s="3"/>
      <c r="X51" s="3"/>
      <c r="Y51" s="3"/>
      <c r="Z51" s="3"/>
    </row>
    <row r="52" ht="15.75" customHeight="1">
      <c r="A52" s="83" t="s">
        <v>85</v>
      </c>
      <c r="B52" s="84">
        <v>0.0</v>
      </c>
      <c r="C52" s="84">
        <v>0.025</v>
      </c>
      <c r="D52" s="84">
        <v>0.5</v>
      </c>
      <c r="E52" s="84">
        <v>0.4</v>
      </c>
      <c r="F52" s="84">
        <v>0.075</v>
      </c>
      <c r="G52" s="85">
        <f t="shared" si="3"/>
        <v>1</v>
      </c>
      <c r="H52" s="86">
        <f t="shared" si="8"/>
        <v>10.8156094</v>
      </c>
      <c r="I52" s="86">
        <f>(F52*$D$35)/G52</f>
        <v>3.671206861</v>
      </c>
      <c r="J52" s="74">
        <f t="shared" si="4"/>
        <v>0.03438332907</v>
      </c>
      <c r="K52" s="87">
        <f t="shared" si="5"/>
        <v>75.01302127</v>
      </c>
      <c r="L52" s="86">
        <f t="shared" si="6"/>
        <v>0</v>
      </c>
      <c r="M52" s="3"/>
      <c r="N52" s="3"/>
      <c r="O52" s="3"/>
      <c r="P52" s="3"/>
      <c r="Q52" s="3"/>
      <c r="R52" s="3"/>
      <c r="S52" s="3"/>
      <c r="T52" s="3"/>
      <c r="U52" s="3"/>
      <c r="V52" s="3"/>
      <c r="W52" s="3"/>
      <c r="X52" s="3"/>
      <c r="Y52" s="3"/>
      <c r="Z52" s="3"/>
    </row>
    <row r="53" ht="15.0" customHeight="1">
      <c r="A53" s="68" t="s">
        <v>86</v>
      </c>
      <c r="B53" s="88">
        <f t="shared" ref="B53:B59" si="10">C46*2</f>
        <v>0.05</v>
      </c>
      <c r="C53" s="88">
        <v>0.0</v>
      </c>
      <c r="D53" s="88">
        <f t="shared" ref="D53:F53" si="9">D46*2</f>
        <v>1</v>
      </c>
      <c r="E53" s="88">
        <f t="shared" si="9"/>
        <v>0.8</v>
      </c>
      <c r="F53" s="88">
        <f t="shared" si="9"/>
        <v>0.15</v>
      </c>
      <c r="G53" s="70">
        <f t="shared" si="3"/>
        <v>2</v>
      </c>
      <c r="H53" s="71">
        <f>$D$17*E53/G53</f>
        <v>10.8156094</v>
      </c>
      <c r="I53" s="71">
        <f t="shared" ref="I53:I56" si="12">(F53*$D$32)/G53</f>
        <v>73.42413721</v>
      </c>
      <c r="J53" s="72">
        <f t="shared" ref="J53:J59" si="13">C53*$G$41/G53*1000</f>
        <v>0</v>
      </c>
      <c r="K53" s="74">
        <f t="shared" si="5"/>
        <v>75.01302127</v>
      </c>
      <c r="L53" s="74">
        <f t="shared" si="6"/>
        <v>0</v>
      </c>
      <c r="M53" s="3"/>
      <c r="N53" s="3"/>
      <c r="O53" s="3"/>
      <c r="P53" s="3"/>
      <c r="Q53" s="3"/>
      <c r="R53" s="3"/>
      <c r="S53" s="3"/>
      <c r="T53" s="3"/>
      <c r="U53" s="3"/>
      <c r="V53" s="3"/>
      <c r="W53" s="3"/>
      <c r="X53" s="3"/>
      <c r="Y53" s="3"/>
      <c r="Z53" s="3"/>
    </row>
    <row r="54" ht="15.0" customHeight="1">
      <c r="A54" s="75" t="s">
        <v>87</v>
      </c>
      <c r="B54" s="88">
        <f t="shared" si="10"/>
        <v>0.05</v>
      </c>
      <c r="C54" s="76">
        <v>0.0</v>
      </c>
      <c r="D54" s="88">
        <f t="shared" ref="D54:F54" si="11">D47*2</f>
        <v>1</v>
      </c>
      <c r="E54" s="88">
        <f t="shared" si="11"/>
        <v>0.8</v>
      </c>
      <c r="F54" s="88">
        <f t="shared" si="11"/>
        <v>0.15</v>
      </c>
      <c r="G54" s="77">
        <f t="shared" si="3"/>
        <v>2</v>
      </c>
      <c r="H54" s="73">
        <f>$D$18*E54/G54</f>
        <v>3.028370631</v>
      </c>
      <c r="I54" s="73">
        <f t="shared" si="12"/>
        <v>73.42413721</v>
      </c>
      <c r="J54" s="73">
        <f t="shared" si="13"/>
        <v>0</v>
      </c>
      <c r="K54" s="73">
        <f t="shared" si="5"/>
        <v>75.01302127</v>
      </c>
      <c r="L54" s="73">
        <f t="shared" si="6"/>
        <v>0</v>
      </c>
      <c r="M54" s="3"/>
      <c r="N54" s="3"/>
      <c r="O54" s="3"/>
      <c r="P54" s="3"/>
      <c r="Q54" s="3"/>
      <c r="R54" s="3"/>
      <c r="S54" s="3"/>
      <c r="T54" s="3"/>
      <c r="U54" s="3"/>
      <c r="V54" s="3"/>
      <c r="W54" s="3"/>
      <c r="X54" s="3"/>
      <c r="Y54" s="3"/>
      <c r="Z54" s="3"/>
    </row>
    <row r="55" ht="15.0" customHeight="1">
      <c r="A55" s="75" t="s">
        <v>88</v>
      </c>
      <c r="B55" s="88">
        <f t="shared" si="10"/>
        <v>0.05</v>
      </c>
      <c r="C55" s="76">
        <v>0.0</v>
      </c>
      <c r="D55" s="88">
        <f t="shared" ref="D55:F55" si="14">D48*2</f>
        <v>1</v>
      </c>
      <c r="E55" s="88">
        <f t="shared" si="14"/>
        <v>0.8</v>
      </c>
      <c r="F55" s="88">
        <f t="shared" si="14"/>
        <v>0.15</v>
      </c>
      <c r="G55" s="77">
        <f t="shared" si="3"/>
        <v>2</v>
      </c>
      <c r="H55" s="73">
        <f>$D$19*E55/G55</f>
        <v>0.8652487516</v>
      </c>
      <c r="I55" s="73">
        <f t="shared" si="12"/>
        <v>73.42413721</v>
      </c>
      <c r="J55" s="73">
        <f t="shared" si="13"/>
        <v>0</v>
      </c>
      <c r="K55" s="73">
        <f t="shared" si="5"/>
        <v>75.01302127</v>
      </c>
      <c r="L55" s="73">
        <f t="shared" si="6"/>
        <v>0</v>
      </c>
      <c r="M55" s="3"/>
      <c r="N55" s="3"/>
      <c r="O55" s="3"/>
      <c r="P55" s="3"/>
      <c r="Q55" s="3"/>
      <c r="R55" s="3"/>
      <c r="S55" s="3"/>
      <c r="T55" s="3"/>
      <c r="U55" s="3"/>
      <c r="V55" s="3"/>
      <c r="W55" s="3"/>
      <c r="X55" s="3"/>
      <c r="Y55" s="3"/>
      <c r="Z55" s="3"/>
    </row>
    <row r="56" ht="15.0" customHeight="1">
      <c r="A56" s="75" t="s">
        <v>89</v>
      </c>
      <c r="B56" s="88">
        <f t="shared" si="10"/>
        <v>0.05</v>
      </c>
      <c r="C56" s="76">
        <v>0.0</v>
      </c>
      <c r="D56" s="88">
        <f t="shared" ref="D56:F56" si="15">D49*2</f>
        <v>1</v>
      </c>
      <c r="E56" s="88">
        <f t="shared" si="15"/>
        <v>0.8</v>
      </c>
      <c r="F56" s="88">
        <f t="shared" si="15"/>
        <v>0.15</v>
      </c>
      <c r="G56" s="77">
        <f t="shared" si="3"/>
        <v>2</v>
      </c>
      <c r="H56" s="73">
        <f>$D$20*E56/G56</f>
        <v>0.2163121879</v>
      </c>
      <c r="I56" s="73">
        <f t="shared" si="12"/>
        <v>73.42413721</v>
      </c>
      <c r="J56" s="73">
        <f t="shared" si="13"/>
        <v>0</v>
      </c>
      <c r="K56" s="73">
        <f t="shared" si="5"/>
        <v>75.01302127</v>
      </c>
      <c r="L56" s="73">
        <f t="shared" si="6"/>
        <v>0</v>
      </c>
      <c r="M56" s="3"/>
      <c r="N56" s="3"/>
      <c r="O56" s="3"/>
      <c r="P56" s="3"/>
      <c r="Q56" s="3"/>
      <c r="R56" s="3"/>
      <c r="S56" s="3"/>
      <c r="T56" s="3"/>
      <c r="U56" s="3"/>
      <c r="V56" s="3"/>
      <c r="W56" s="3"/>
      <c r="X56" s="3"/>
      <c r="Y56" s="3"/>
      <c r="Z56" s="3"/>
    </row>
    <row r="57" ht="15.0" customHeight="1">
      <c r="A57" s="78" t="s">
        <v>90</v>
      </c>
      <c r="B57" s="88">
        <f t="shared" si="10"/>
        <v>0.05</v>
      </c>
      <c r="C57" s="79">
        <v>0.0</v>
      </c>
      <c r="D57" s="79">
        <f t="shared" ref="D57:F57" si="16">D50*2</f>
        <v>1</v>
      </c>
      <c r="E57" s="79">
        <f t="shared" si="16"/>
        <v>0.8</v>
      </c>
      <c r="F57" s="79">
        <f t="shared" si="16"/>
        <v>0.15</v>
      </c>
      <c r="G57" s="80">
        <f t="shared" si="3"/>
        <v>2</v>
      </c>
      <c r="H57" s="81">
        <f t="shared" ref="H57:H59" si="18">$D$17*E57/G57</f>
        <v>10.8156094</v>
      </c>
      <c r="I57" s="81">
        <f>(F57*$D$33)/G57</f>
        <v>36.71206861</v>
      </c>
      <c r="J57" s="73">
        <f t="shared" si="13"/>
        <v>0</v>
      </c>
      <c r="K57" s="73">
        <f t="shared" si="5"/>
        <v>75.01302127</v>
      </c>
      <c r="L57" s="81">
        <f t="shared" si="6"/>
        <v>0</v>
      </c>
      <c r="M57" s="3"/>
      <c r="N57" s="3"/>
      <c r="O57" s="3"/>
      <c r="P57" s="3"/>
      <c r="Q57" s="3"/>
      <c r="R57" s="3"/>
      <c r="S57" s="3"/>
      <c r="T57" s="3"/>
      <c r="U57" s="3"/>
      <c r="V57" s="3"/>
      <c r="W57" s="3"/>
      <c r="X57" s="3"/>
      <c r="Y57" s="3"/>
      <c r="Z57" s="3"/>
    </row>
    <row r="58" ht="15.0" customHeight="1">
      <c r="A58" s="82" t="s">
        <v>91</v>
      </c>
      <c r="B58" s="88">
        <f t="shared" si="10"/>
        <v>0.05</v>
      </c>
      <c r="C58" s="76">
        <v>0.0</v>
      </c>
      <c r="D58" s="76">
        <f t="shared" ref="D58:F58" si="17">D51*2</f>
        <v>1</v>
      </c>
      <c r="E58" s="76">
        <f t="shared" si="17"/>
        <v>0.8</v>
      </c>
      <c r="F58" s="76">
        <f t="shared" si="17"/>
        <v>0.15</v>
      </c>
      <c r="G58" s="73">
        <f t="shared" si="3"/>
        <v>2</v>
      </c>
      <c r="H58" s="73">
        <f t="shared" si="18"/>
        <v>10.8156094</v>
      </c>
      <c r="I58" s="73">
        <f>(F58*$D$34)/G58</f>
        <v>7.342413721</v>
      </c>
      <c r="J58" s="73">
        <f t="shared" si="13"/>
        <v>0</v>
      </c>
      <c r="K58" s="73">
        <f t="shared" si="5"/>
        <v>75.01302127</v>
      </c>
      <c r="L58" s="73">
        <f t="shared" si="6"/>
        <v>0</v>
      </c>
      <c r="M58" s="3"/>
      <c r="N58" s="3"/>
      <c r="O58" s="3"/>
      <c r="P58" s="3"/>
      <c r="Q58" s="3"/>
      <c r="R58" s="3"/>
      <c r="S58" s="3"/>
      <c r="T58" s="3"/>
      <c r="U58" s="3"/>
      <c r="V58" s="3"/>
      <c r="W58" s="3"/>
      <c r="X58" s="3"/>
      <c r="Y58" s="3"/>
      <c r="Z58" s="3"/>
    </row>
    <row r="59" ht="15.75" customHeight="1">
      <c r="A59" s="89" t="s">
        <v>92</v>
      </c>
      <c r="B59" s="90">
        <f t="shared" si="10"/>
        <v>0.05</v>
      </c>
      <c r="C59" s="90">
        <v>0.0</v>
      </c>
      <c r="D59" s="90">
        <f t="shared" ref="D59:F59" si="19">D52*2</f>
        <v>1</v>
      </c>
      <c r="E59" s="90">
        <f t="shared" si="19"/>
        <v>0.8</v>
      </c>
      <c r="F59" s="90">
        <f t="shared" si="19"/>
        <v>0.15</v>
      </c>
      <c r="G59" s="91">
        <f t="shared" si="3"/>
        <v>2</v>
      </c>
      <c r="H59" s="86">
        <f t="shared" si="18"/>
        <v>10.8156094</v>
      </c>
      <c r="I59" s="86">
        <f>(F59*$D$35)/G59</f>
        <v>3.671206861</v>
      </c>
      <c r="J59" s="87">
        <f t="shared" si="13"/>
        <v>0</v>
      </c>
      <c r="K59" s="87">
        <f t="shared" si="5"/>
        <v>75.01302127</v>
      </c>
      <c r="L59" s="86">
        <f t="shared" si="6"/>
        <v>0</v>
      </c>
      <c r="M59" s="3"/>
      <c r="N59" s="3"/>
      <c r="O59" s="3"/>
      <c r="P59" s="3"/>
      <c r="Q59" s="3"/>
      <c r="R59" s="3"/>
      <c r="S59" s="3"/>
      <c r="T59" s="3"/>
      <c r="U59" s="3"/>
      <c r="V59" s="3"/>
      <c r="W59" s="3"/>
      <c r="X59" s="3"/>
      <c r="Y59" s="3"/>
      <c r="Z59" s="3"/>
    </row>
    <row r="60" ht="15.0" customHeight="1">
      <c r="A60" s="92" t="s">
        <v>93</v>
      </c>
      <c r="B60" s="92">
        <f t="shared" ref="B60:F60" si="20">SUM(B46:B59)</f>
        <v>0.35</v>
      </c>
      <c r="C60" s="92">
        <f t="shared" si="20"/>
        <v>0.175</v>
      </c>
      <c r="D60" s="92">
        <f t="shared" si="20"/>
        <v>10.5</v>
      </c>
      <c r="E60" s="92">
        <f t="shared" si="20"/>
        <v>8.4</v>
      </c>
      <c r="F60" s="92">
        <f t="shared" si="20"/>
        <v>1.575</v>
      </c>
      <c r="G60" s="92">
        <f>SUM(G46:G57)</f>
        <v>17</v>
      </c>
      <c r="H60" s="3"/>
      <c r="I60" s="3"/>
      <c r="J60" s="3"/>
      <c r="K60" s="3"/>
      <c r="L60" s="3"/>
      <c r="M60" s="3"/>
      <c r="N60" s="3"/>
      <c r="O60" s="93" t="s">
        <v>94</v>
      </c>
      <c r="P60" s="3"/>
      <c r="Q60" s="3"/>
      <c r="R60" s="3"/>
      <c r="S60" s="3"/>
      <c r="T60" s="3"/>
      <c r="U60" s="3"/>
      <c r="V60" s="3"/>
      <c r="W60" s="3"/>
      <c r="X60" s="3"/>
      <c r="Y60" s="3"/>
      <c r="Z60" s="3"/>
    </row>
    <row r="61" ht="15.75" customHeight="1">
      <c r="A61" s="94" t="s">
        <v>95</v>
      </c>
      <c r="B61" s="94">
        <f t="shared" ref="B61:G61" si="21">B60*9</f>
        <v>3.15</v>
      </c>
      <c r="C61" s="94">
        <f t="shared" si="21"/>
        <v>1.575</v>
      </c>
      <c r="D61" s="94">
        <f t="shared" si="21"/>
        <v>94.5</v>
      </c>
      <c r="E61" s="94">
        <f t="shared" si="21"/>
        <v>75.6</v>
      </c>
      <c r="F61" s="94">
        <f t="shared" si="21"/>
        <v>14.175</v>
      </c>
      <c r="G61" s="94">
        <f t="shared" si="21"/>
        <v>153</v>
      </c>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95" t="s">
        <v>96</v>
      </c>
      <c r="B63" s="96" t="s">
        <v>97</v>
      </c>
      <c r="C63" s="96" t="s">
        <v>98</v>
      </c>
      <c r="D63" s="96" t="s">
        <v>99</v>
      </c>
      <c r="E63" s="96" t="s">
        <v>100</v>
      </c>
      <c r="F63" s="97" t="s">
        <v>101</v>
      </c>
      <c r="G63" s="3"/>
      <c r="H63" s="3"/>
      <c r="I63" s="98" t="s">
        <v>102</v>
      </c>
      <c r="J63" s="99"/>
      <c r="K63" s="100" t="s">
        <v>103</v>
      </c>
      <c r="L63" s="3"/>
      <c r="M63" s="3"/>
      <c r="N63" s="3"/>
      <c r="O63" s="3"/>
      <c r="P63" s="3"/>
      <c r="Q63" s="3"/>
      <c r="R63" s="3"/>
      <c r="S63" s="3"/>
      <c r="T63" s="3"/>
      <c r="U63" s="3"/>
      <c r="V63" s="3"/>
      <c r="W63" s="3"/>
      <c r="X63" s="3"/>
      <c r="Y63" s="3"/>
      <c r="Z63" s="3"/>
    </row>
    <row r="64" ht="15.0" customHeight="1">
      <c r="A64" s="82" t="s">
        <v>104</v>
      </c>
      <c r="B64" s="101">
        <f t="shared" ref="B64:C64" si="22">H46</f>
        <v>10.8156094</v>
      </c>
      <c r="C64" s="101">
        <f t="shared" si="22"/>
        <v>73.42413721</v>
      </c>
      <c r="D64" s="101">
        <f t="shared" ref="D64:D70" si="24">E85*10^6</f>
        <v>173.9698622</v>
      </c>
      <c r="E64" s="101">
        <f t="shared" ref="E64:E70" si="25">(D64/$B$6)/$B$4</f>
        <v>2.357315205</v>
      </c>
      <c r="F64" s="101">
        <f t="shared" ref="F64:F70" si="26">E64/J46</f>
        <v>68.55983028</v>
      </c>
      <c r="G64" s="3"/>
      <c r="H64" s="3"/>
      <c r="I64" s="24" t="s">
        <v>105</v>
      </c>
      <c r="J64" s="102">
        <v>0.0</v>
      </c>
      <c r="K64" s="103"/>
      <c r="L64" s="3"/>
      <c r="M64" s="3"/>
      <c r="N64" s="3"/>
      <c r="O64" s="3"/>
      <c r="P64" s="3"/>
      <c r="Q64" s="3"/>
      <c r="R64" s="3"/>
      <c r="S64" s="3"/>
      <c r="T64" s="3"/>
      <c r="U64" s="3"/>
      <c r="V64" s="3"/>
      <c r="W64" s="3"/>
      <c r="X64" s="3"/>
      <c r="Y64" s="3"/>
      <c r="Z64" s="3"/>
    </row>
    <row r="65" ht="15.0" customHeight="1">
      <c r="A65" s="82" t="s">
        <v>106</v>
      </c>
      <c r="B65" s="101">
        <f t="shared" ref="B65:C65" si="23">H47</f>
        <v>3.028370631</v>
      </c>
      <c r="C65" s="101">
        <f t="shared" si="23"/>
        <v>73.42413721</v>
      </c>
      <c r="D65" s="101">
        <f t="shared" si="24"/>
        <v>144.2755471</v>
      </c>
      <c r="E65" s="101">
        <f t="shared" si="25"/>
        <v>1.954953213</v>
      </c>
      <c r="F65" s="101">
        <f t="shared" si="26"/>
        <v>56.85758959</v>
      </c>
      <c r="G65" s="3"/>
      <c r="H65" s="3"/>
      <c r="I65" s="104" t="s">
        <v>107</v>
      </c>
      <c r="J65" s="105">
        <v>0.0</v>
      </c>
      <c r="K65" s="106"/>
      <c r="L65" s="3"/>
      <c r="M65" s="3"/>
      <c r="N65" s="3"/>
      <c r="O65" s="3"/>
      <c r="P65" s="3"/>
      <c r="Q65" s="3"/>
      <c r="R65" s="3"/>
      <c r="S65" s="3"/>
      <c r="T65" s="3"/>
      <c r="U65" s="3"/>
      <c r="V65" s="3"/>
      <c r="W65" s="3"/>
      <c r="X65" s="3"/>
      <c r="Y65" s="3"/>
      <c r="Z65" s="3"/>
    </row>
    <row r="66" ht="15.75" customHeight="1">
      <c r="A66" s="82" t="s">
        <v>108</v>
      </c>
      <c r="B66" s="101">
        <f t="shared" ref="B66:C66" si="27">H48</f>
        <v>0.8652487516</v>
      </c>
      <c r="C66" s="101">
        <f t="shared" si="27"/>
        <v>73.42413721</v>
      </c>
      <c r="D66" s="101">
        <f t="shared" si="24"/>
        <v>111.0980452</v>
      </c>
      <c r="E66" s="101">
        <f t="shared" si="25"/>
        <v>1.505393566</v>
      </c>
      <c r="F66" s="101">
        <f t="shared" si="26"/>
        <v>43.78265884</v>
      </c>
      <c r="G66" s="3"/>
      <c r="H66" s="3"/>
      <c r="I66" s="107" t="s">
        <v>109</v>
      </c>
      <c r="J66" s="108">
        <v>0.0</v>
      </c>
      <c r="K66" s="109"/>
      <c r="L66" s="3"/>
      <c r="M66" s="3"/>
      <c r="N66" s="3"/>
      <c r="O66" s="3"/>
      <c r="P66" s="3"/>
      <c r="Q66" s="3"/>
      <c r="R66" s="3"/>
      <c r="S66" s="3"/>
      <c r="T66" s="3"/>
      <c r="U66" s="3"/>
      <c r="V66" s="3"/>
      <c r="W66" s="3"/>
      <c r="X66" s="3"/>
      <c r="Y66" s="3"/>
      <c r="Z66" s="3"/>
    </row>
    <row r="67" ht="15.0" customHeight="1">
      <c r="A67" s="82" t="s">
        <v>110</v>
      </c>
      <c r="B67" s="101">
        <f t="shared" ref="B67:C67" si="28">H49</f>
        <v>0.2163121879</v>
      </c>
      <c r="C67" s="101">
        <f t="shared" si="28"/>
        <v>73.42413721</v>
      </c>
      <c r="D67" s="101">
        <f t="shared" si="24"/>
        <v>22.17321882</v>
      </c>
      <c r="E67" s="101">
        <f t="shared" si="25"/>
        <v>0.3004501195</v>
      </c>
      <c r="F67" s="101">
        <f t="shared" si="26"/>
        <v>8.738249833</v>
      </c>
      <c r="G67" s="3"/>
      <c r="H67" s="3"/>
      <c r="I67" s="24" t="s">
        <v>111</v>
      </c>
      <c r="J67" s="102">
        <v>0.0</v>
      </c>
      <c r="K67" s="103"/>
      <c r="L67" s="3"/>
      <c r="M67" s="3"/>
      <c r="N67" s="3"/>
      <c r="O67" s="3"/>
      <c r="P67" s="3"/>
      <c r="Q67" s="3"/>
      <c r="R67" s="3"/>
      <c r="S67" s="3"/>
      <c r="T67" s="3"/>
      <c r="U67" s="3"/>
      <c r="V67" s="3"/>
      <c r="W67" s="3"/>
      <c r="X67" s="3"/>
      <c r="Y67" s="3"/>
      <c r="Z67" s="3"/>
    </row>
    <row r="68" ht="15.0" customHeight="1">
      <c r="A68" s="82" t="s">
        <v>112</v>
      </c>
      <c r="B68" s="101">
        <f t="shared" ref="B68:C68" si="29">H50</f>
        <v>10.8156094</v>
      </c>
      <c r="C68" s="101">
        <f t="shared" si="29"/>
        <v>36.71206861</v>
      </c>
      <c r="D68" s="101">
        <f t="shared" si="24"/>
        <v>119.5939894</v>
      </c>
      <c r="E68" s="101">
        <f t="shared" si="25"/>
        <v>1.620514762</v>
      </c>
      <c r="F68" s="101">
        <f t="shared" si="26"/>
        <v>47.13082782</v>
      </c>
      <c r="G68" s="3"/>
      <c r="H68" s="3"/>
      <c r="I68" s="104" t="s">
        <v>113</v>
      </c>
      <c r="J68" s="105">
        <v>0.0</v>
      </c>
      <c r="K68" s="106"/>
      <c r="L68" s="3"/>
      <c r="M68" s="3"/>
      <c r="N68" s="3"/>
      <c r="O68" s="3"/>
      <c r="P68" s="3"/>
      <c r="Q68" s="3"/>
      <c r="R68" s="3"/>
      <c r="S68" s="3"/>
      <c r="T68" s="3"/>
      <c r="U68" s="3"/>
      <c r="V68" s="3"/>
      <c r="W68" s="3"/>
      <c r="X68" s="3"/>
      <c r="Y68" s="3"/>
      <c r="Z68" s="3"/>
    </row>
    <row r="69" ht="15.75" customHeight="1">
      <c r="A69" s="82" t="s">
        <v>114</v>
      </c>
      <c r="B69" s="101">
        <f t="shared" ref="B69:C69" si="30">H51</f>
        <v>10.8156094</v>
      </c>
      <c r="C69" s="101">
        <f t="shared" si="30"/>
        <v>7.342413721</v>
      </c>
      <c r="D69" s="101">
        <f t="shared" si="24"/>
        <v>12.30712959</v>
      </c>
      <c r="E69" s="101">
        <f t="shared" si="25"/>
        <v>0.1667632735</v>
      </c>
      <c r="F69" s="101">
        <f t="shared" si="26"/>
        <v>4.850120045</v>
      </c>
      <c r="G69" s="3"/>
      <c r="H69" s="3"/>
      <c r="I69" s="107" t="s">
        <v>115</v>
      </c>
      <c r="J69" s="108">
        <v>0.0</v>
      </c>
      <c r="K69" s="109"/>
      <c r="L69" s="3"/>
      <c r="M69" s="3"/>
      <c r="N69" s="3"/>
      <c r="O69" s="3"/>
      <c r="P69" s="3"/>
      <c r="Q69" s="3"/>
      <c r="R69" s="3"/>
      <c r="S69" s="3"/>
      <c r="T69" s="3"/>
      <c r="U69" s="3"/>
      <c r="V69" s="3"/>
      <c r="W69" s="3"/>
      <c r="X69" s="3"/>
      <c r="Y69" s="3"/>
      <c r="Z69" s="3"/>
    </row>
    <row r="70" ht="15.75" customHeight="1">
      <c r="A70" s="110" t="s">
        <v>116</v>
      </c>
      <c r="B70" s="111">
        <f t="shared" ref="B70:C70" si="31">H52</f>
        <v>10.8156094</v>
      </c>
      <c r="C70" s="111">
        <f t="shared" si="31"/>
        <v>3.671206861</v>
      </c>
      <c r="D70" s="111">
        <f t="shared" si="24"/>
        <v>27.02785742</v>
      </c>
      <c r="E70" s="111">
        <f t="shared" si="25"/>
        <v>0.3662311304</v>
      </c>
      <c r="F70" s="112">
        <f t="shared" si="26"/>
        <v>10.65141568</v>
      </c>
      <c r="G70" s="3"/>
      <c r="H70" s="3"/>
      <c r="I70" s="113" t="s">
        <v>117</v>
      </c>
      <c r="J70" s="114">
        <f>(H28+H30)/2</f>
        <v>7.525</v>
      </c>
      <c r="K70" s="115"/>
      <c r="L70" s="3"/>
      <c r="M70" s="3"/>
      <c r="N70" s="3"/>
      <c r="O70" s="3"/>
      <c r="P70" s="3"/>
      <c r="Q70" s="3"/>
      <c r="R70" s="3"/>
      <c r="S70" s="3"/>
      <c r="T70" s="3"/>
      <c r="U70" s="3"/>
      <c r="V70" s="3"/>
      <c r="W70" s="3"/>
      <c r="X70" s="3"/>
      <c r="Y70" s="3"/>
      <c r="Z70" s="3"/>
    </row>
    <row r="71" ht="15.75" customHeight="1">
      <c r="A71" s="3"/>
      <c r="B71" s="3"/>
      <c r="C71" s="3"/>
      <c r="D71" s="3"/>
      <c r="E71" s="3"/>
      <c r="F71" s="3"/>
      <c r="G71" s="3"/>
      <c r="H71" s="3"/>
      <c r="I71" s="107" t="s">
        <v>118</v>
      </c>
      <c r="J71" s="116">
        <f>K46</f>
        <v>75.01302127</v>
      </c>
      <c r="K71" s="117"/>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0" customHeight="1">
      <c r="A73" s="3"/>
      <c r="B73" s="24" t="s">
        <v>119</v>
      </c>
      <c r="C73" s="118"/>
      <c r="D73" s="6"/>
      <c r="E73" s="3"/>
      <c r="F73" s="24" t="s">
        <v>119</v>
      </c>
      <c r="G73" s="118"/>
      <c r="H73" s="6"/>
      <c r="I73" s="3"/>
      <c r="J73" s="3"/>
      <c r="K73" s="3"/>
      <c r="L73" s="3"/>
      <c r="M73" s="3"/>
      <c r="N73" s="3"/>
      <c r="O73" s="3"/>
      <c r="P73" s="3"/>
      <c r="Q73" s="3"/>
      <c r="R73" s="3"/>
      <c r="S73" s="3"/>
      <c r="T73" s="3"/>
      <c r="U73" s="3"/>
      <c r="V73" s="3"/>
      <c r="W73" s="3"/>
      <c r="X73" s="3"/>
      <c r="Y73" s="3"/>
      <c r="Z73" s="3"/>
    </row>
    <row r="74" ht="15.0" customHeight="1">
      <c r="A74" s="3"/>
      <c r="B74" s="104" t="s">
        <v>97</v>
      </c>
      <c r="C74" s="101">
        <f>H46</f>
        <v>10.8156094</v>
      </c>
      <c r="D74" s="28"/>
      <c r="E74" s="3"/>
      <c r="F74" s="104" t="s">
        <v>98</v>
      </c>
      <c r="G74" s="101">
        <f>I46</f>
        <v>73.42413721</v>
      </c>
      <c r="H74" s="28"/>
      <c r="I74" s="3"/>
      <c r="J74" s="3"/>
      <c r="K74" s="3"/>
      <c r="L74" s="3"/>
      <c r="M74" s="3"/>
      <c r="N74" s="3"/>
      <c r="O74" s="3"/>
      <c r="P74" s="3"/>
      <c r="Q74" s="3"/>
      <c r="R74" s="3"/>
      <c r="S74" s="3"/>
      <c r="T74" s="3"/>
      <c r="U74" s="3"/>
      <c r="V74" s="3"/>
      <c r="W74" s="3"/>
      <c r="X74" s="3"/>
      <c r="Y74" s="3"/>
      <c r="Z74" s="3"/>
    </row>
    <row r="75" ht="15.0" customHeight="1">
      <c r="A75" s="3"/>
      <c r="B75" s="104" t="s">
        <v>120</v>
      </c>
      <c r="C75" s="82" t="s">
        <v>98</v>
      </c>
      <c r="D75" s="38" t="s">
        <v>101</v>
      </c>
      <c r="E75" s="3"/>
      <c r="F75" s="104" t="s">
        <v>120</v>
      </c>
      <c r="G75" s="82" t="s">
        <v>97</v>
      </c>
      <c r="H75" s="38" t="s">
        <v>101</v>
      </c>
      <c r="I75" s="3"/>
      <c r="J75" s="3"/>
      <c r="K75" s="3"/>
      <c r="L75" s="3"/>
      <c r="M75" s="3"/>
      <c r="N75" s="3"/>
      <c r="O75" s="3"/>
      <c r="P75" s="3"/>
      <c r="Q75" s="3"/>
      <c r="R75" s="3"/>
      <c r="S75" s="3"/>
      <c r="T75" s="3"/>
      <c r="U75" s="3"/>
      <c r="V75" s="3"/>
      <c r="W75" s="3"/>
      <c r="X75" s="3"/>
      <c r="Y75" s="3"/>
      <c r="Z75" s="3"/>
    </row>
    <row r="76" ht="15.0" customHeight="1">
      <c r="A76" s="3"/>
      <c r="B76" s="119">
        <v>7.0</v>
      </c>
      <c r="C76" s="101">
        <f>I52</f>
        <v>3.671206861</v>
      </c>
      <c r="D76" s="120">
        <v>1.553E-6</v>
      </c>
      <c r="E76" s="3">
        <v>0.7</v>
      </c>
      <c r="F76" s="119">
        <v>4.0</v>
      </c>
      <c r="G76" s="101">
        <f>H49</f>
        <v>0.2163121879</v>
      </c>
      <c r="H76" s="120">
        <v>1.641E-6</v>
      </c>
      <c r="I76" s="3">
        <v>0.6</v>
      </c>
      <c r="J76" s="3"/>
      <c r="K76" s="3"/>
      <c r="L76" s="3"/>
      <c r="M76" s="3"/>
      <c r="N76" s="3"/>
      <c r="O76" s="3"/>
      <c r="P76" s="3"/>
      <c r="Q76" s="3"/>
      <c r="R76" s="3"/>
      <c r="S76" s="3"/>
      <c r="T76" s="3"/>
      <c r="U76" s="3"/>
      <c r="V76" s="3"/>
      <c r="W76" s="3"/>
      <c r="X76" s="3"/>
      <c r="Y76" s="3"/>
      <c r="Z76" s="3"/>
    </row>
    <row r="77" ht="15.0" customHeight="1">
      <c r="A77" s="3"/>
      <c r="B77" s="119">
        <v>6.0</v>
      </c>
      <c r="C77" s="101">
        <f>I51</f>
        <v>7.342413721</v>
      </c>
      <c r="D77" s="120">
        <v>9.912E-6</v>
      </c>
      <c r="E77" s="3">
        <v>1.0</v>
      </c>
      <c r="F77" s="119">
        <v>3.0</v>
      </c>
      <c r="G77" s="101">
        <f>H48</f>
        <v>0.8652487516</v>
      </c>
      <c r="H77" s="120">
        <v>1.523E-6</v>
      </c>
      <c r="I77" s="3">
        <v>2.0</v>
      </c>
      <c r="J77" s="3"/>
      <c r="K77" s="3"/>
      <c r="L77" s="3"/>
      <c r="M77" s="3"/>
      <c r="N77" s="3"/>
      <c r="O77" s="3"/>
      <c r="P77" s="3"/>
      <c r="Q77" s="3"/>
      <c r="R77" s="3"/>
      <c r="S77" s="3"/>
      <c r="T77" s="3"/>
      <c r="U77" s="3"/>
      <c r="V77" s="3"/>
      <c r="W77" s="3"/>
      <c r="X77" s="3"/>
      <c r="Y77" s="3"/>
      <c r="Z77" s="3"/>
    </row>
    <row r="78" ht="15.0" customHeight="1">
      <c r="A78" s="3"/>
      <c r="B78" s="119">
        <v>5.0</v>
      </c>
      <c r="C78" s="101">
        <f>I50</f>
        <v>36.71206861</v>
      </c>
      <c r="D78" s="120">
        <v>7.686E-7</v>
      </c>
      <c r="E78" s="3">
        <v>3.0</v>
      </c>
      <c r="F78" s="119">
        <v>2.0</v>
      </c>
      <c r="G78" s="101">
        <f>H47</f>
        <v>3.028370631</v>
      </c>
      <c r="H78" s="120">
        <v>1.468E-6</v>
      </c>
      <c r="I78" s="3">
        <v>3.0</v>
      </c>
      <c r="J78" s="3"/>
      <c r="K78" s="3"/>
      <c r="L78" s="3"/>
      <c r="M78" s="3"/>
      <c r="N78" s="3"/>
      <c r="O78" s="3"/>
      <c r="P78" s="3"/>
      <c r="Q78" s="3"/>
      <c r="R78" s="3"/>
      <c r="S78" s="3"/>
      <c r="T78" s="3"/>
      <c r="U78" s="3"/>
      <c r="V78" s="3"/>
      <c r="W78" s="3"/>
      <c r="X78" s="3"/>
      <c r="Y78" s="3"/>
      <c r="Z78" s="3"/>
    </row>
    <row r="79" ht="15.75" customHeight="1">
      <c r="A79" s="3"/>
      <c r="B79" s="121">
        <v>1.0</v>
      </c>
      <c r="C79" s="116">
        <f>I46</f>
        <v>73.42413721</v>
      </c>
      <c r="D79" s="122">
        <v>1.997E-6</v>
      </c>
      <c r="E79" s="3">
        <v>4.0</v>
      </c>
      <c r="F79" s="121">
        <v>1.0</v>
      </c>
      <c r="G79" s="116">
        <f>H46</f>
        <v>10.8156094</v>
      </c>
      <c r="H79" s="122">
        <v>2.746E-6</v>
      </c>
      <c r="I79" s="3">
        <v>4.0</v>
      </c>
      <c r="J79" s="3"/>
      <c r="K79" s="3"/>
      <c r="L79" s="3"/>
      <c r="M79" s="3"/>
      <c r="N79" s="3"/>
      <c r="O79" s="3"/>
      <c r="P79" s="3"/>
      <c r="Q79" s="3"/>
      <c r="R79" s="3"/>
      <c r="S79" s="3"/>
      <c r="T79" s="3"/>
      <c r="U79" s="3"/>
      <c r="V79" s="3"/>
      <c r="W79" s="3"/>
      <c r="X79" s="3"/>
      <c r="Y79" s="3"/>
      <c r="Z79" s="3"/>
    </row>
    <row r="80" ht="13.5" customHeight="1">
      <c r="A80" s="3"/>
      <c r="B80" s="63"/>
      <c r="C80" s="63"/>
      <c r="D80" s="63"/>
      <c r="E80" s="63"/>
      <c r="F80" s="63"/>
      <c r="G80" s="3"/>
      <c r="H80" s="3"/>
      <c r="I80" s="3"/>
      <c r="J80" s="3"/>
      <c r="K80" s="3"/>
      <c r="L80" s="3"/>
      <c r="M80" s="3"/>
      <c r="N80" s="3"/>
      <c r="O80" s="3"/>
      <c r="P80" s="3"/>
      <c r="Q80" s="3"/>
      <c r="R80" s="3"/>
      <c r="S80" s="3"/>
      <c r="T80" s="3"/>
      <c r="U80" s="3"/>
      <c r="V80" s="3"/>
      <c r="W80" s="3"/>
      <c r="X80" s="3"/>
      <c r="Y80" s="3"/>
      <c r="Z80" s="3"/>
    </row>
    <row r="81" ht="12.75" customHeight="1">
      <c r="A81" s="3"/>
      <c r="B81" s="3" t="s">
        <v>121</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t="s">
        <v>122</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t="s">
        <v>123</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t="s">
        <v>124</v>
      </c>
      <c r="C84" s="3" t="s">
        <v>125</v>
      </c>
      <c r="D84" s="3" t="s">
        <v>126</v>
      </c>
      <c r="E84" s="3" t="s">
        <v>127</v>
      </c>
      <c r="F84" s="3" t="s">
        <v>128</v>
      </c>
      <c r="G84" s="3"/>
      <c r="H84" s="3"/>
      <c r="I84" s="3"/>
      <c r="J84" s="3"/>
      <c r="K84" s="3"/>
      <c r="L84" s="3"/>
      <c r="M84" s="3"/>
      <c r="N84" s="3"/>
      <c r="O84" s="3"/>
      <c r="P84" s="3"/>
      <c r="Q84" s="3"/>
      <c r="R84" s="3"/>
      <c r="S84" s="3"/>
      <c r="T84" s="3"/>
      <c r="U84" s="3"/>
      <c r="V84" s="3"/>
      <c r="W84" s="3"/>
      <c r="X84" s="3"/>
      <c r="Y84" s="3"/>
      <c r="Z84" s="3"/>
    </row>
    <row r="85" ht="12.75" customHeight="1">
      <c r="A85" s="3"/>
      <c r="B85" s="3" t="s">
        <v>129</v>
      </c>
      <c r="C85" s="3">
        <v>0.0</v>
      </c>
      <c r="D85" s="3">
        <v>0.0</v>
      </c>
      <c r="E85" s="123">
        <v>1.73969862153E-4</v>
      </c>
      <c r="F85" s="3" t="s">
        <v>130</v>
      </c>
      <c r="G85" s="3"/>
      <c r="H85" s="3"/>
      <c r="I85" s="3"/>
      <c r="J85" s="3"/>
      <c r="K85" s="3"/>
      <c r="L85" s="3"/>
      <c r="M85" s="3"/>
      <c r="N85" s="3"/>
      <c r="O85" s="3"/>
      <c r="P85" s="3"/>
      <c r="Q85" s="3"/>
      <c r="R85" s="3"/>
      <c r="S85" s="3"/>
      <c r="T85" s="3"/>
      <c r="U85" s="3"/>
      <c r="V85" s="3"/>
      <c r="W85" s="3"/>
      <c r="X85" s="3"/>
      <c r="Y85" s="3"/>
      <c r="Z85" s="3"/>
    </row>
    <row r="86" ht="12.75" customHeight="1">
      <c r="A86" s="3"/>
      <c r="B86" s="3" t="s">
        <v>131</v>
      </c>
      <c r="C86" s="3">
        <v>0.0</v>
      </c>
      <c r="D86" s="3">
        <v>0.0</v>
      </c>
      <c r="E86" s="123">
        <v>1.44275547102E-4</v>
      </c>
      <c r="F86" s="3" t="s">
        <v>130</v>
      </c>
      <c r="G86" s="3"/>
      <c r="H86" s="3"/>
      <c r="I86" s="3"/>
      <c r="J86" s="3"/>
      <c r="K86" s="3"/>
      <c r="L86" s="3"/>
      <c r="M86" s="3"/>
      <c r="N86" s="3"/>
      <c r="O86" s="3"/>
      <c r="P86" s="3"/>
      <c r="Q86" s="3"/>
      <c r="R86" s="3"/>
      <c r="S86" s="3"/>
      <c r="T86" s="3"/>
      <c r="U86" s="3"/>
      <c r="V86" s="3"/>
      <c r="W86" s="3"/>
      <c r="X86" s="3"/>
      <c r="Y86" s="3"/>
      <c r="Z86" s="3"/>
    </row>
    <row r="87" ht="12.75" customHeight="1">
      <c r="A87" s="3"/>
      <c r="B87" s="3" t="s">
        <v>132</v>
      </c>
      <c r="C87" s="3">
        <v>0.0</v>
      </c>
      <c r="D87" s="3">
        <v>0.0</v>
      </c>
      <c r="E87" s="123">
        <v>1.11098045186E-4</v>
      </c>
      <c r="F87" s="62" t="s">
        <v>130</v>
      </c>
      <c r="G87" s="3"/>
      <c r="H87" s="3"/>
      <c r="I87" s="3"/>
      <c r="J87" s="3"/>
      <c r="K87" s="3"/>
      <c r="L87" s="3"/>
      <c r="M87" s="3"/>
      <c r="N87" s="3"/>
      <c r="O87" s="3"/>
      <c r="P87" s="3"/>
      <c r="Q87" s="3"/>
      <c r="R87" s="3"/>
      <c r="S87" s="3"/>
      <c r="T87" s="3"/>
      <c r="U87" s="3"/>
      <c r="V87" s="3"/>
      <c r="W87" s="3"/>
      <c r="X87" s="3"/>
      <c r="Y87" s="3"/>
      <c r="Z87" s="3"/>
    </row>
    <row r="88" ht="12.75" customHeight="1">
      <c r="A88" s="3"/>
      <c r="B88" s="3" t="s">
        <v>133</v>
      </c>
      <c r="C88" s="3">
        <v>0.0</v>
      </c>
      <c r="D88" s="3">
        <v>0.0</v>
      </c>
      <c r="E88" s="123">
        <v>2.2173218816E-5</v>
      </c>
      <c r="F88" s="3" t="s">
        <v>130</v>
      </c>
      <c r="G88" s="3"/>
      <c r="H88" s="3"/>
      <c r="I88" s="3"/>
      <c r="J88" s="3"/>
      <c r="K88" s="3"/>
      <c r="L88" s="3"/>
      <c r="M88" s="3"/>
      <c r="N88" s="3"/>
      <c r="O88" s="3"/>
      <c r="P88" s="3"/>
      <c r="Q88" s="3"/>
      <c r="R88" s="3"/>
      <c r="S88" s="3"/>
      <c r="T88" s="3"/>
      <c r="U88" s="3"/>
      <c r="V88" s="3"/>
      <c r="W88" s="3"/>
      <c r="X88" s="3"/>
      <c r="Y88" s="3"/>
      <c r="Z88" s="3"/>
    </row>
    <row r="89" ht="12.75" customHeight="1">
      <c r="A89" s="3"/>
      <c r="B89" s="3" t="s">
        <v>134</v>
      </c>
      <c r="C89" s="3">
        <v>0.0</v>
      </c>
      <c r="D89" s="3">
        <v>0.0</v>
      </c>
      <c r="E89" s="123">
        <v>1.19593989441E-4</v>
      </c>
      <c r="F89" s="3" t="s">
        <v>130</v>
      </c>
      <c r="G89" s="3"/>
      <c r="H89" s="3"/>
      <c r="I89" s="3"/>
      <c r="J89" s="3"/>
      <c r="K89" s="3"/>
      <c r="L89" s="3"/>
      <c r="M89" s="3"/>
      <c r="N89" s="3"/>
      <c r="O89" s="3"/>
      <c r="P89" s="3"/>
      <c r="Q89" s="3"/>
      <c r="R89" s="3"/>
      <c r="S89" s="3"/>
      <c r="T89" s="3"/>
      <c r="U89" s="3"/>
      <c r="V89" s="3"/>
      <c r="W89" s="3"/>
      <c r="X89" s="3"/>
      <c r="Y89" s="3"/>
      <c r="Z89" s="3"/>
    </row>
    <row r="90" ht="12.75" customHeight="1">
      <c r="A90" s="3"/>
      <c r="B90" s="3" t="s">
        <v>135</v>
      </c>
      <c r="C90" s="3">
        <v>0.0</v>
      </c>
      <c r="D90" s="3">
        <v>0.0</v>
      </c>
      <c r="E90" s="123">
        <v>1.2307129586E-5</v>
      </c>
      <c r="F90" s="3" t="s">
        <v>130</v>
      </c>
      <c r="G90" s="3"/>
      <c r="H90" s="3"/>
      <c r="I90" s="3"/>
      <c r="J90" s="3"/>
      <c r="K90" s="3"/>
      <c r="L90" s="3"/>
      <c r="M90" s="3"/>
      <c r="N90" s="3"/>
      <c r="O90" s="3"/>
      <c r="P90" s="3"/>
      <c r="Q90" s="3"/>
      <c r="R90" s="3"/>
      <c r="S90" s="3"/>
      <c r="T90" s="3"/>
      <c r="U90" s="3"/>
      <c r="V90" s="3"/>
      <c r="W90" s="3"/>
      <c r="X90" s="3"/>
      <c r="Y90" s="3"/>
      <c r="Z90" s="3"/>
    </row>
    <row r="91" ht="12.75" customHeight="1">
      <c r="A91" s="3"/>
      <c r="B91" s="3" t="s">
        <v>136</v>
      </c>
      <c r="C91" s="3">
        <v>0.0</v>
      </c>
      <c r="D91" s="3">
        <v>0.0</v>
      </c>
      <c r="E91" s="123">
        <v>2.7027857424E-5</v>
      </c>
      <c r="F91" s="3" t="s">
        <v>130</v>
      </c>
      <c r="G91" s="3"/>
      <c r="H91" s="3"/>
      <c r="I91" s="3"/>
      <c r="J91" s="3"/>
      <c r="K91" s="3"/>
      <c r="L91" s="3"/>
      <c r="M91" s="3"/>
      <c r="N91" s="3"/>
      <c r="O91" s="3"/>
      <c r="P91" s="3"/>
      <c r="Q91" s="3"/>
      <c r="R91" s="3"/>
      <c r="S91" s="3"/>
      <c r="T91" s="3"/>
      <c r="U91" s="3"/>
      <c r="V91" s="3"/>
      <c r="W91" s="3"/>
      <c r="X91" s="3"/>
      <c r="Y91" s="3"/>
      <c r="Z91" s="3"/>
    </row>
    <row r="92" ht="12.75" customHeight="1">
      <c r="A92" s="3"/>
      <c r="B92" s="3" t="s">
        <v>137</v>
      </c>
      <c r="C92" s="3">
        <v>0.0</v>
      </c>
      <c r="D92" s="3">
        <v>0.0</v>
      </c>
      <c r="E92" s="123">
        <v>0.0</v>
      </c>
      <c r="F92" s="3" t="s">
        <v>138</v>
      </c>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t="s">
        <v>139</v>
      </c>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0.57"/>
    <col customWidth="1" min="3" max="3" width="13.43"/>
    <col customWidth="1" min="4" max="4" width="11.0"/>
    <col customWidth="1" min="5" max="5" width="13.43"/>
    <col customWidth="1" min="6" max="6" width="11.0"/>
    <col customWidth="1" min="7" max="7" width="13.43"/>
    <col customWidth="1" min="8" max="8" width="11.0"/>
    <col customWidth="1" min="9" max="9" width="13.43"/>
    <col customWidth="1" min="10" max="10" width="11.0"/>
    <col customWidth="1" min="11" max="11" width="13.43"/>
    <col customWidth="1" min="12" max="12" width="11.0"/>
    <col customWidth="1" min="13" max="13" width="13.43"/>
    <col customWidth="1" min="14" max="14" width="11.0"/>
    <col customWidth="1" min="15" max="19" width="10.86"/>
    <col customWidth="1" min="20" max="44" width="8.0"/>
  </cols>
  <sheetData>
    <row r="1" ht="12.75" customHeight="1">
      <c r="A1" s="124" t="s">
        <v>140</v>
      </c>
      <c r="B1" s="124" t="s">
        <v>141</v>
      </c>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row>
    <row r="2" ht="12.75" customHeight="1">
      <c r="A2" s="124" t="s">
        <v>142</v>
      </c>
      <c r="B2" s="124">
        <v>161008.0</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row>
    <row r="3" ht="12.75" customHeight="1">
      <c r="A3" s="124" t="s">
        <v>124</v>
      </c>
      <c r="B3" s="124" t="s">
        <v>129</v>
      </c>
      <c r="C3" s="124" t="s">
        <v>124</v>
      </c>
      <c r="D3" s="124" t="s">
        <v>131</v>
      </c>
      <c r="E3" s="124" t="s">
        <v>124</v>
      </c>
      <c r="F3" s="124" t="s">
        <v>132</v>
      </c>
      <c r="G3" s="124" t="s">
        <v>124</v>
      </c>
      <c r="H3" s="124" t="s">
        <v>133</v>
      </c>
      <c r="I3" s="124" t="s">
        <v>124</v>
      </c>
      <c r="J3" s="124" t="s">
        <v>134</v>
      </c>
      <c r="K3" s="124" t="s">
        <v>124</v>
      </c>
      <c r="L3" s="124" t="s">
        <v>135</v>
      </c>
      <c r="M3" s="124" t="s">
        <v>124</v>
      </c>
      <c r="N3" s="124" t="s">
        <v>136</v>
      </c>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row>
    <row r="4" ht="12.75" customHeight="1">
      <c r="A4" s="124" t="s">
        <v>143</v>
      </c>
      <c r="B4" s="124" t="s">
        <v>144</v>
      </c>
      <c r="C4" s="124" t="s">
        <v>143</v>
      </c>
      <c r="D4" s="124" t="s">
        <v>144</v>
      </c>
      <c r="E4" s="124" t="s">
        <v>143</v>
      </c>
      <c r="F4" s="124" t="s">
        <v>144</v>
      </c>
      <c r="G4" s="124" t="s">
        <v>143</v>
      </c>
      <c r="H4" s="124" t="s">
        <v>144</v>
      </c>
      <c r="I4" s="124" t="s">
        <v>143</v>
      </c>
      <c r="J4" s="124" t="s">
        <v>144</v>
      </c>
      <c r="K4" s="124" t="s">
        <v>143</v>
      </c>
      <c r="L4" s="124" t="s">
        <v>144</v>
      </c>
      <c r="M4" s="124" t="s">
        <v>143</v>
      </c>
      <c r="N4" s="124" t="s">
        <v>144</v>
      </c>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row>
    <row r="5" ht="12.75" customHeight="1">
      <c r="A5" s="124" t="s">
        <v>145</v>
      </c>
      <c r="B5" s="124" t="s">
        <v>146</v>
      </c>
      <c r="C5" s="124" t="s">
        <v>145</v>
      </c>
      <c r="D5" s="124" t="s">
        <v>146</v>
      </c>
      <c r="E5" s="124" t="s">
        <v>145</v>
      </c>
      <c r="F5" s="124" t="s">
        <v>146</v>
      </c>
      <c r="G5" s="124" t="s">
        <v>145</v>
      </c>
      <c r="H5" s="124" t="s">
        <v>146</v>
      </c>
      <c r="I5" s="124" t="s">
        <v>145</v>
      </c>
      <c r="J5" s="124" t="s">
        <v>146</v>
      </c>
      <c r="K5" s="124" t="s">
        <v>145</v>
      </c>
      <c r="L5" s="124" t="s">
        <v>146</v>
      </c>
      <c r="M5" s="124" t="s">
        <v>145</v>
      </c>
      <c r="N5" s="124" t="s">
        <v>146</v>
      </c>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row>
    <row r="6" ht="12.75" customHeight="1">
      <c r="A6" s="124" t="s">
        <v>147</v>
      </c>
      <c r="B6" s="124">
        <v>40424.0</v>
      </c>
      <c r="C6" s="124" t="s">
        <v>147</v>
      </c>
      <c r="D6" s="124">
        <v>40424.0</v>
      </c>
      <c r="E6" s="124" t="s">
        <v>147</v>
      </c>
      <c r="F6" s="124">
        <v>40424.0</v>
      </c>
      <c r="G6" s="124" t="s">
        <v>147</v>
      </c>
      <c r="H6" s="124">
        <v>40424.0</v>
      </c>
      <c r="I6" s="124" t="s">
        <v>147</v>
      </c>
      <c r="J6" s="124">
        <v>40424.0</v>
      </c>
      <c r="K6" s="124" t="s">
        <v>147</v>
      </c>
      <c r="L6" s="124">
        <v>40424.0</v>
      </c>
      <c r="M6" s="124" t="s">
        <v>147</v>
      </c>
      <c r="N6" s="124">
        <v>40424.0</v>
      </c>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row>
    <row r="7" ht="12.75" customHeight="1">
      <c r="A7" s="124" t="s">
        <v>148</v>
      </c>
      <c r="B7" s="124" t="s">
        <v>149</v>
      </c>
      <c r="C7" s="124" t="s">
        <v>148</v>
      </c>
      <c r="D7" s="124" t="s">
        <v>150</v>
      </c>
      <c r="E7" s="124" t="s">
        <v>148</v>
      </c>
      <c r="F7" s="124" t="s">
        <v>151</v>
      </c>
      <c r="G7" s="124" t="s">
        <v>148</v>
      </c>
      <c r="H7" s="124" t="s">
        <v>152</v>
      </c>
      <c r="I7" s="124" t="s">
        <v>148</v>
      </c>
      <c r="J7" s="124" t="s">
        <v>153</v>
      </c>
      <c r="K7" s="124" t="s">
        <v>148</v>
      </c>
      <c r="L7" s="124" t="s">
        <v>154</v>
      </c>
      <c r="M7" s="124" t="s">
        <v>148</v>
      </c>
      <c r="N7" s="124" t="s">
        <v>155</v>
      </c>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row>
    <row r="8" ht="12.75" customHeight="1">
      <c r="A8" s="124" t="s">
        <v>156</v>
      </c>
      <c r="B8" s="124" t="s">
        <v>157</v>
      </c>
      <c r="C8" s="124" t="s">
        <v>156</v>
      </c>
      <c r="D8" s="124" t="s">
        <v>157</v>
      </c>
      <c r="E8" s="124" t="s">
        <v>156</v>
      </c>
      <c r="F8" s="124" t="s">
        <v>157</v>
      </c>
      <c r="G8" s="124" t="s">
        <v>156</v>
      </c>
      <c r="H8" s="124" t="s">
        <v>157</v>
      </c>
      <c r="I8" s="124" t="s">
        <v>156</v>
      </c>
      <c r="J8" s="124" t="s">
        <v>157</v>
      </c>
      <c r="K8" s="124" t="s">
        <v>156</v>
      </c>
      <c r="L8" s="124" t="s">
        <v>157</v>
      </c>
      <c r="M8" s="124" t="s">
        <v>156</v>
      </c>
      <c r="N8" s="124" t="s">
        <v>157</v>
      </c>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row>
    <row r="9" ht="12.75" customHeight="1">
      <c r="A9" s="124">
        <v>0.0</v>
      </c>
      <c r="B9" s="124">
        <v>0.0</v>
      </c>
      <c r="C9" s="124">
        <v>0.0</v>
      </c>
      <c r="D9" s="124">
        <v>-0.003</v>
      </c>
      <c r="E9" s="124">
        <v>0.0</v>
      </c>
      <c r="F9" s="124">
        <v>-0.007</v>
      </c>
      <c r="G9" s="124">
        <v>0.0</v>
      </c>
      <c r="H9" s="124">
        <v>-0.009</v>
      </c>
      <c r="I9" s="124">
        <v>0.0</v>
      </c>
      <c r="J9" s="124">
        <v>-0.007</v>
      </c>
      <c r="K9" s="124">
        <v>0.0</v>
      </c>
      <c r="L9" s="124">
        <v>-0.007</v>
      </c>
      <c r="M9" s="124">
        <v>0.0</v>
      </c>
      <c r="N9" s="124">
        <v>-0.012</v>
      </c>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row>
    <row r="10" ht="12.75" customHeight="1">
      <c r="A10" s="124">
        <v>60.0</v>
      </c>
      <c r="B10" s="124">
        <v>0.001</v>
      </c>
      <c r="C10" s="124">
        <v>60.0</v>
      </c>
      <c r="D10" s="124">
        <v>-0.003</v>
      </c>
      <c r="E10" s="124">
        <v>60.0</v>
      </c>
      <c r="F10" s="124">
        <v>-0.007</v>
      </c>
      <c r="G10" s="124">
        <v>60.0</v>
      </c>
      <c r="H10" s="124">
        <v>-0.009</v>
      </c>
      <c r="I10" s="124">
        <v>60.0</v>
      </c>
      <c r="J10" s="124">
        <v>-0.007</v>
      </c>
      <c r="K10" s="124">
        <v>60.0</v>
      </c>
      <c r="L10" s="124">
        <v>-0.007</v>
      </c>
      <c r="M10" s="124">
        <v>60.0</v>
      </c>
      <c r="N10" s="124">
        <v>-0.012</v>
      </c>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row>
    <row r="11" ht="12.75" customHeight="1">
      <c r="A11" s="124">
        <v>120.0</v>
      </c>
      <c r="B11" s="124">
        <v>0.001</v>
      </c>
      <c r="C11" s="124">
        <v>120.0</v>
      </c>
      <c r="D11" s="124">
        <v>-0.003</v>
      </c>
      <c r="E11" s="124">
        <v>120.0</v>
      </c>
      <c r="F11" s="124">
        <v>-0.008</v>
      </c>
      <c r="G11" s="124">
        <v>120.0</v>
      </c>
      <c r="H11" s="124">
        <v>-0.009</v>
      </c>
      <c r="I11" s="124">
        <v>120.0</v>
      </c>
      <c r="J11" s="124">
        <v>-0.007</v>
      </c>
      <c r="K11" s="124">
        <v>120.0</v>
      </c>
      <c r="L11" s="124">
        <v>-0.006</v>
      </c>
      <c r="M11" s="124">
        <v>120.0</v>
      </c>
      <c r="N11" s="124">
        <v>-0.012</v>
      </c>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row>
    <row r="12" ht="12.75" customHeight="1">
      <c r="A12" s="124">
        <v>180.0</v>
      </c>
      <c r="B12" s="124">
        <v>0.001</v>
      </c>
      <c r="C12" s="124">
        <v>180.0</v>
      </c>
      <c r="D12" s="124">
        <v>-0.003</v>
      </c>
      <c r="E12" s="124">
        <v>180.0</v>
      </c>
      <c r="F12" s="124">
        <v>-0.008</v>
      </c>
      <c r="G12" s="124">
        <v>180.0</v>
      </c>
      <c r="H12" s="124">
        <v>-0.009</v>
      </c>
      <c r="I12" s="124">
        <v>180.0</v>
      </c>
      <c r="J12" s="124">
        <v>-0.007</v>
      </c>
      <c r="K12" s="124">
        <v>180.0</v>
      </c>
      <c r="L12" s="124">
        <v>-0.005</v>
      </c>
      <c r="M12" s="124">
        <v>180.0</v>
      </c>
      <c r="N12" s="124">
        <v>-0.012</v>
      </c>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row>
    <row r="13" ht="12.75" customHeight="1">
      <c r="A13" s="124">
        <v>240.0</v>
      </c>
      <c r="B13" s="124">
        <v>0.001</v>
      </c>
      <c r="C13" s="124">
        <v>240.0</v>
      </c>
      <c r="D13" s="124">
        <v>-0.003</v>
      </c>
      <c r="E13" s="124">
        <v>240.0</v>
      </c>
      <c r="F13" s="124">
        <v>-0.007</v>
      </c>
      <c r="G13" s="124">
        <v>240.0</v>
      </c>
      <c r="H13" s="124">
        <v>-0.009</v>
      </c>
      <c r="I13" s="124">
        <v>240.0</v>
      </c>
      <c r="J13" s="124">
        <v>-0.007</v>
      </c>
      <c r="K13" s="124">
        <v>240.0</v>
      </c>
      <c r="L13" s="124">
        <v>-0.005</v>
      </c>
      <c r="M13" s="124">
        <v>240.0</v>
      </c>
      <c r="N13" s="124">
        <v>-0.012</v>
      </c>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row>
    <row r="14" ht="12.75" customHeight="1">
      <c r="A14" s="124">
        <v>300.0</v>
      </c>
      <c r="B14" s="124">
        <v>0.001</v>
      </c>
      <c r="C14" s="124">
        <v>300.0</v>
      </c>
      <c r="D14" s="124">
        <v>-0.003</v>
      </c>
      <c r="E14" s="124">
        <v>300.0</v>
      </c>
      <c r="F14" s="124">
        <v>-0.007</v>
      </c>
      <c r="G14" s="124">
        <v>300.0</v>
      </c>
      <c r="H14" s="124">
        <v>-0.008</v>
      </c>
      <c r="I14" s="124">
        <v>300.0</v>
      </c>
      <c r="J14" s="124">
        <v>-0.007</v>
      </c>
      <c r="K14" s="124">
        <v>300.0</v>
      </c>
      <c r="L14" s="124">
        <v>-0.004</v>
      </c>
      <c r="M14" s="124">
        <v>300.0</v>
      </c>
      <c r="N14" s="124">
        <v>-0.012</v>
      </c>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row>
    <row r="15" ht="12.75" customHeight="1">
      <c r="A15" s="124">
        <v>360.0</v>
      </c>
      <c r="B15" s="124">
        <v>0.001</v>
      </c>
      <c r="C15" s="124">
        <v>360.0</v>
      </c>
      <c r="D15" s="124">
        <v>-0.003</v>
      </c>
      <c r="E15" s="124">
        <v>360.0</v>
      </c>
      <c r="F15" s="124">
        <v>-0.007</v>
      </c>
      <c r="G15" s="124">
        <v>360.0</v>
      </c>
      <c r="H15" s="124">
        <v>-0.008</v>
      </c>
      <c r="I15" s="124">
        <v>360.0</v>
      </c>
      <c r="J15" s="124">
        <v>-0.007</v>
      </c>
      <c r="K15" s="124">
        <v>360.0</v>
      </c>
      <c r="L15" s="124">
        <v>-0.004</v>
      </c>
      <c r="M15" s="124">
        <v>360.0</v>
      </c>
      <c r="N15" s="124">
        <v>-0.012</v>
      </c>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row>
    <row r="16" ht="12.75" customHeight="1">
      <c r="A16" s="124">
        <v>420.0</v>
      </c>
      <c r="B16" s="124">
        <v>0.001</v>
      </c>
      <c r="C16" s="124">
        <v>420.0</v>
      </c>
      <c r="D16" s="124">
        <v>-0.003</v>
      </c>
      <c r="E16" s="124">
        <v>420.0</v>
      </c>
      <c r="F16" s="124">
        <v>-0.007</v>
      </c>
      <c r="G16" s="124">
        <v>420.0</v>
      </c>
      <c r="H16" s="124">
        <v>-0.008</v>
      </c>
      <c r="I16" s="124">
        <v>420.0</v>
      </c>
      <c r="J16" s="124">
        <v>-0.006</v>
      </c>
      <c r="K16" s="124">
        <v>420.0</v>
      </c>
      <c r="L16" s="124">
        <v>-0.003</v>
      </c>
      <c r="M16" s="124">
        <v>420.0</v>
      </c>
      <c r="N16" s="124">
        <v>-0.012</v>
      </c>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row>
    <row r="17" ht="12.75" customHeight="1">
      <c r="A17" s="124">
        <v>480.0</v>
      </c>
      <c r="B17" s="124">
        <v>0.002</v>
      </c>
      <c r="C17" s="124">
        <v>480.0</v>
      </c>
      <c r="D17" s="124">
        <v>-0.002</v>
      </c>
      <c r="E17" s="124">
        <v>480.0</v>
      </c>
      <c r="F17" s="124">
        <v>-0.007</v>
      </c>
      <c r="G17" s="124">
        <v>480.0</v>
      </c>
      <c r="H17" s="124">
        <v>-0.008</v>
      </c>
      <c r="I17" s="124">
        <v>480.0</v>
      </c>
      <c r="J17" s="124">
        <v>-0.006</v>
      </c>
      <c r="K17" s="124">
        <v>480.0</v>
      </c>
      <c r="L17" s="124">
        <v>-0.003</v>
      </c>
      <c r="M17" s="124">
        <v>480.0</v>
      </c>
      <c r="N17" s="124">
        <v>-0.011</v>
      </c>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row>
    <row r="18" ht="12.75" customHeight="1">
      <c r="A18" s="124">
        <v>540.0</v>
      </c>
      <c r="B18" s="124">
        <v>0.002</v>
      </c>
      <c r="C18" s="124">
        <v>540.0</v>
      </c>
      <c r="D18" s="124">
        <v>-0.003</v>
      </c>
      <c r="E18" s="124">
        <v>540.0</v>
      </c>
      <c r="F18" s="124">
        <v>-0.007</v>
      </c>
      <c r="G18" s="124">
        <v>540.0</v>
      </c>
      <c r="H18" s="124">
        <v>-0.008</v>
      </c>
      <c r="I18" s="124">
        <v>540.0</v>
      </c>
      <c r="J18" s="124">
        <v>-0.007</v>
      </c>
      <c r="K18" s="124">
        <v>540.0</v>
      </c>
      <c r="L18" s="124">
        <v>-0.003</v>
      </c>
      <c r="M18" s="124">
        <v>540.0</v>
      </c>
      <c r="N18" s="124">
        <v>-0.012</v>
      </c>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row>
    <row r="19" ht="12.75" customHeight="1">
      <c r="A19" s="124">
        <v>600.0</v>
      </c>
      <c r="B19" s="124">
        <v>0.002</v>
      </c>
      <c r="C19" s="124">
        <v>600.0</v>
      </c>
      <c r="D19" s="124">
        <v>-0.002</v>
      </c>
      <c r="E19" s="124">
        <v>600.0</v>
      </c>
      <c r="F19" s="124">
        <v>-0.007</v>
      </c>
      <c r="G19" s="124">
        <v>600.0</v>
      </c>
      <c r="H19" s="124">
        <v>-0.008</v>
      </c>
      <c r="I19" s="124">
        <v>600.0</v>
      </c>
      <c r="J19" s="124">
        <v>-0.007</v>
      </c>
      <c r="K19" s="124">
        <v>600.0</v>
      </c>
      <c r="L19" s="124">
        <v>-0.002</v>
      </c>
      <c r="M19" s="124">
        <v>600.0</v>
      </c>
      <c r="N19" s="124">
        <v>-0.011</v>
      </c>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row>
    <row r="20" ht="12.75" customHeight="1">
      <c r="A20" s="124">
        <v>660.0</v>
      </c>
      <c r="B20" s="124">
        <v>0.003</v>
      </c>
      <c r="C20" s="124">
        <v>660.0</v>
      </c>
      <c r="D20" s="124">
        <v>-0.002</v>
      </c>
      <c r="E20" s="124">
        <v>660.0</v>
      </c>
      <c r="F20" s="124">
        <v>-0.007</v>
      </c>
      <c r="G20" s="124">
        <v>660.0</v>
      </c>
      <c r="H20" s="124">
        <v>-0.008</v>
      </c>
      <c r="I20" s="124">
        <v>660.0</v>
      </c>
      <c r="J20" s="124">
        <v>-0.006</v>
      </c>
      <c r="K20" s="124">
        <v>660.0</v>
      </c>
      <c r="L20" s="124">
        <v>-0.002</v>
      </c>
      <c r="M20" s="124">
        <v>660.0</v>
      </c>
      <c r="N20" s="124">
        <v>-0.011</v>
      </c>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row>
    <row r="21" ht="12.75" customHeight="1">
      <c r="A21" s="124">
        <v>720.0</v>
      </c>
      <c r="B21" s="124">
        <v>0.002</v>
      </c>
      <c r="C21" s="124">
        <v>720.0</v>
      </c>
      <c r="D21" s="124">
        <v>-0.002</v>
      </c>
      <c r="E21" s="124">
        <v>720.0</v>
      </c>
      <c r="F21" s="124">
        <v>-0.007</v>
      </c>
      <c r="G21" s="124">
        <v>720.0</v>
      </c>
      <c r="H21" s="124">
        <v>-0.008</v>
      </c>
      <c r="I21" s="124">
        <v>720.0</v>
      </c>
      <c r="J21" s="124">
        <v>-0.006</v>
      </c>
      <c r="K21" s="124">
        <v>720.0</v>
      </c>
      <c r="L21" s="124">
        <v>-0.002</v>
      </c>
      <c r="M21" s="124">
        <v>720.0</v>
      </c>
      <c r="N21" s="124">
        <v>-0.012</v>
      </c>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row>
    <row r="22" ht="12.75" customHeight="1">
      <c r="A22" s="124">
        <v>780.0</v>
      </c>
      <c r="B22" s="124">
        <v>0.002</v>
      </c>
      <c r="C22" s="124">
        <v>780.0</v>
      </c>
      <c r="D22" s="124">
        <v>-0.002</v>
      </c>
      <c r="E22" s="124">
        <v>780.0</v>
      </c>
      <c r="F22" s="124">
        <v>-0.006</v>
      </c>
      <c r="G22" s="124">
        <v>780.0</v>
      </c>
      <c r="H22" s="124">
        <v>-0.007</v>
      </c>
      <c r="I22" s="124">
        <v>780.0</v>
      </c>
      <c r="J22" s="124">
        <v>-0.006</v>
      </c>
      <c r="K22" s="124">
        <v>780.0</v>
      </c>
      <c r="L22" s="124">
        <v>-0.002</v>
      </c>
      <c r="M22" s="124">
        <v>780.0</v>
      </c>
      <c r="N22" s="124">
        <v>-0.011</v>
      </c>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row>
    <row r="23" ht="12.75" customHeight="1">
      <c r="A23" s="124">
        <v>840.0</v>
      </c>
      <c r="B23" s="124">
        <v>0.003</v>
      </c>
      <c r="C23" s="124">
        <v>840.0</v>
      </c>
      <c r="D23" s="124">
        <v>-0.002</v>
      </c>
      <c r="E23" s="124">
        <v>840.0</v>
      </c>
      <c r="F23" s="124">
        <v>-0.007</v>
      </c>
      <c r="G23" s="124">
        <v>840.0</v>
      </c>
      <c r="H23" s="124">
        <v>-0.007</v>
      </c>
      <c r="I23" s="124">
        <v>840.0</v>
      </c>
      <c r="J23" s="124">
        <v>-0.006</v>
      </c>
      <c r="K23" s="124">
        <v>840.0</v>
      </c>
      <c r="L23" s="124">
        <v>-0.001</v>
      </c>
      <c r="M23" s="124">
        <v>840.0</v>
      </c>
      <c r="N23" s="124">
        <v>-0.011</v>
      </c>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row>
    <row r="24" ht="12.75" customHeight="1">
      <c r="A24" s="124">
        <v>900.0</v>
      </c>
      <c r="B24" s="124">
        <v>0.003</v>
      </c>
      <c r="C24" s="124">
        <v>900.0</v>
      </c>
      <c r="D24" s="124">
        <v>-0.002</v>
      </c>
      <c r="E24" s="124">
        <v>900.0</v>
      </c>
      <c r="F24" s="124">
        <v>-0.006</v>
      </c>
      <c r="G24" s="124">
        <v>900.0</v>
      </c>
      <c r="H24" s="124">
        <v>-0.008</v>
      </c>
      <c r="I24" s="124">
        <v>900.0</v>
      </c>
      <c r="J24" s="124">
        <v>-0.006</v>
      </c>
      <c r="K24" s="124">
        <v>900.0</v>
      </c>
      <c r="L24" s="124">
        <v>-0.001</v>
      </c>
      <c r="M24" s="124">
        <v>900.0</v>
      </c>
      <c r="N24" s="124">
        <v>-0.011</v>
      </c>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row>
    <row r="25" ht="12.75" customHeight="1">
      <c r="A25" s="124">
        <v>960.0</v>
      </c>
      <c r="B25" s="124">
        <v>0.003</v>
      </c>
      <c r="C25" s="124">
        <v>960.0</v>
      </c>
      <c r="D25" s="124">
        <v>-0.002</v>
      </c>
      <c r="E25" s="124">
        <v>960.0</v>
      </c>
      <c r="F25" s="124">
        <v>-0.006</v>
      </c>
      <c r="G25" s="124">
        <v>960.0</v>
      </c>
      <c r="H25" s="124">
        <v>-0.007</v>
      </c>
      <c r="I25" s="124">
        <v>960.0</v>
      </c>
      <c r="J25" s="124">
        <v>-0.006</v>
      </c>
      <c r="K25" s="124">
        <v>960.0</v>
      </c>
      <c r="L25" s="124">
        <v>-0.001</v>
      </c>
      <c r="M25" s="124">
        <v>960.0</v>
      </c>
      <c r="N25" s="124">
        <v>-0.011</v>
      </c>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row>
    <row r="26" ht="12.75" customHeight="1">
      <c r="A26" s="124">
        <v>1020.0</v>
      </c>
      <c r="B26" s="124">
        <v>0.003</v>
      </c>
      <c r="C26" s="124">
        <v>1020.0</v>
      </c>
      <c r="D26" s="124">
        <v>-0.002</v>
      </c>
      <c r="E26" s="124">
        <v>1020.0</v>
      </c>
      <c r="F26" s="124">
        <v>-0.006</v>
      </c>
      <c r="G26" s="124">
        <v>1020.0</v>
      </c>
      <c r="H26" s="124">
        <v>-0.008</v>
      </c>
      <c r="I26" s="124">
        <v>1020.0</v>
      </c>
      <c r="J26" s="124">
        <v>-0.005</v>
      </c>
      <c r="K26" s="124">
        <v>1020.0</v>
      </c>
      <c r="L26" s="124">
        <v>-0.001</v>
      </c>
      <c r="M26" s="124">
        <v>1020.0</v>
      </c>
      <c r="N26" s="124">
        <v>-0.011</v>
      </c>
      <c r="O26" s="124"/>
      <c r="P26" s="124"/>
      <c r="Q26" s="124"/>
      <c r="R26" s="3">
        <v>10.816</v>
      </c>
      <c r="S26" s="125">
        <v>3.2</v>
      </c>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row>
    <row r="27" ht="12.75" customHeight="1">
      <c r="A27" s="124">
        <v>1080.0</v>
      </c>
      <c r="B27" s="124">
        <v>0.003</v>
      </c>
      <c r="C27" s="124">
        <v>1080.0</v>
      </c>
      <c r="D27" s="124">
        <v>-0.002</v>
      </c>
      <c r="E27" s="124">
        <v>1080.0</v>
      </c>
      <c r="F27" s="124">
        <v>-0.006</v>
      </c>
      <c r="G27" s="124">
        <v>1080.0</v>
      </c>
      <c r="H27" s="124">
        <v>-0.007</v>
      </c>
      <c r="I27" s="124">
        <v>1080.0</v>
      </c>
      <c r="J27" s="124">
        <v>-0.005</v>
      </c>
      <c r="K27" s="124">
        <v>1080.0</v>
      </c>
      <c r="L27" s="124">
        <v>-0.001</v>
      </c>
      <c r="M27" s="124">
        <v>1080.0</v>
      </c>
      <c r="N27" s="124">
        <v>-0.011</v>
      </c>
      <c r="O27" s="124"/>
      <c r="P27" s="124"/>
      <c r="Q27" s="124"/>
      <c r="R27" s="3">
        <v>3.028</v>
      </c>
      <c r="S27" s="126">
        <v>1.56</v>
      </c>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row>
    <row r="28" ht="12.75" customHeight="1">
      <c r="A28" s="124">
        <v>1140.0</v>
      </c>
      <c r="B28" s="124">
        <v>0.004</v>
      </c>
      <c r="C28" s="124">
        <v>1140.0</v>
      </c>
      <c r="D28" s="124">
        <v>-0.001</v>
      </c>
      <c r="E28" s="124">
        <v>1140.0</v>
      </c>
      <c r="F28" s="124">
        <v>-0.006</v>
      </c>
      <c r="G28" s="124">
        <v>1140.0</v>
      </c>
      <c r="H28" s="124">
        <v>-0.007</v>
      </c>
      <c r="I28" s="124">
        <v>1140.0</v>
      </c>
      <c r="J28" s="124">
        <v>-0.005</v>
      </c>
      <c r="K28" s="124">
        <v>1140.0</v>
      </c>
      <c r="L28" s="124">
        <v>0.0</v>
      </c>
      <c r="M28" s="124">
        <v>1140.0</v>
      </c>
      <c r="N28" s="124">
        <v>-0.011</v>
      </c>
      <c r="O28" s="124"/>
      <c r="P28" s="124"/>
      <c r="Q28" s="124"/>
      <c r="R28" s="3">
        <v>0.865</v>
      </c>
      <c r="S28" s="125">
        <v>1.01</v>
      </c>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row>
    <row r="29" ht="12.75" customHeight="1">
      <c r="A29" s="124">
        <v>1200.0</v>
      </c>
      <c r="B29" s="124">
        <v>0.004</v>
      </c>
      <c r="C29" s="124">
        <v>1200.0</v>
      </c>
      <c r="D29" s="124">
        <v>-0.001</v>
      </c>
      <c r="E29" s="124">
        <v>1200.0</v>
      </c>
      <c r="F29" s="124">
        <v>-0.006</v>
      </c>
      <c r="G29" s="124">
        <v>1200.0</v>
      </c>
      <c r="H29" s="124">
        <v>-0.008</v>
      </c>
      <c r="I29" s="124">
        <v>1200.0</v>
      </c>
      <c r="J29" s="124">
        <v>-0.005</v>
      </c>
      <c r="K29" s="124">
        <v>1200.0</v>
      </c>
      <c r="L29" s="124">
        <v>0.0</v>
      </c>
      <c r="M29" s="124">
        <v>1200.0</v>
      </c>
      <c r="N29" s="124">
        <v>-0.011</v>
      </c>
      <c r="O29" s="124"/>
      <c r="P29" s="124"/>
      <c r="Q29" s="124"/>
      <c r="R29" s="3">
        <v>0.216</v>
      </c>
      <c r="S29" s="125">
        <v>0.861</v>
      </c>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row>
    <row r="30" ht="12.75" customHeight="1">
      <c r="A30" s="124">
        <v>1260.0</v>
      </c>
      <c r="B30" s="124">
        <v>0.004</v>
      </c>
      <c r="C30" s="124">
        <v>1260.0</v>
      </c>
      <c r="D30" s="124">
        <v>-0.001</v>
      </c>
      <c r="E30" s="124">
        <v>1260.0</v>
      </c>
      <c r="F30" s="124">
        <v>-0.006</v>
      </c>
      <c r="G30" s="124">
        <v>1260.0</v>
      </c>
      <c r="H30" s="124">
        <v>-0.007</v>
      </c>
      <c r="I30" s="124">
        <v>1260.0</v>
      </c>
      <c r="J30" s="124">
        <v>-0.005</v>
      </c>
      <c r="K30" s="124">
        <v>1260.0</v>
      </c>
      <c r="L30" s="124">
        <v>0.0</v>
      </c>
      <c r="M30" s="124">
        <v>1260.0</v>
      </c>
      <c r="N30" s="124">
        <v>-0.011</v>
      </c>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row>
    <row r="31" ht="12.75" customHeight="1">
      <c r="A31" s="124">
        <v>1320.0</v>
      </c>
      <c r="B31" s="124">
        <v>0.004</v>
      </c>
      <c r="C31" s="124">
        <v>1320.0</v>
      </c>
      <c r="D31" s="124">
        <v>-0.001</v>
      </c>
      <c r="E31" s="124">
        <v>1320.0</v>
      </c>
      <c r="F31" s="124">
        <v>-0.006</v>
      </c>
      <c r="G31" s="124">
        <v>1320.0</v>
      </c>
      <c r="H31" s="124">
        <v>-0.007</v>
      </c>
      <c r="I31" s="124">
        <v>1320.0</v>
      </c>
      <c r="J31" s="124">
        <v>-0.005</v>
      </c>
      <c r="K31" s="124">
        <v>1320.0</v>
      </c>
      <c r="L31" s="124">
        <v>0.0</v>
      </c>
      <c r="M31" s="124">
        <v>1320.0</v>
      </c>
      <c r="N31" s="124">
        <v>-0.011</v>
      </c>
      <c r="O31" s="124"/>
      <c r="P31" s="124"/>
      <c r="Q31" s="124"/>
      <c r="R31" s="124">
        <f>R29</f>
        <v>0.216</v>
      </c>
      <c r="S31" s="125">
        <v>0.449</v>
      </c>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row>
    <row r="32" ht="12.75" customHeight="1">
      <c r="A32" s="124">
        <v>1380.0</v>
      </c>
      <c r="B32" s="124">
        <v>0.005</v>
      </c>
      <c r="C32" s="124">
        <v>1380.0</v>
      </c>
      <c r="D32" s="124">
        <v>-0.001</v>
      </c>
      <c r="E32" s="124">
        <v>1380.0</v>
      </c>
      <c r="F32" s="124">
        <v>-0.006</v>
      </c>
      <c r="G32" s="124">
        <v>1380.0</v>
      </c>
      <c r="H32" s="124">
        <v>-0.007</v>
      </c>
      <c r="I32" s="124">
        <v>1380.0</v>
      </c>
      <c r="J32" s="124">
        <v>-0.005</v>
      </c>
      <c r="K32" s="124">
        <v>1380.0</v>
      </c>
      <c r="L32" s="124">
        <v>0.0</v>
      </c>
      <c r="M32" s="124">
        <v>1380.0</v>
      </c>
      <c r="N32" s="124">
        <v>-0.011</v>
      </c>
      <c r="O32" s="124"/>
      <c r="P32" s="124"/>
      <c r="Q32" s="124"/>
      <c r="R32" s="124">
        <f>R28</f>
        <v>0.865</v>
      </c>
      <c r="S32" s="125">
        <v>1.57</v>
      </c>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row>
    <row r="33" ht="12.75" customHeight="1">
      <c r="A33" s="124">
        <v>1440.0</v>
      </c>
      <c r="B33" s="124">
        <v>0.005</v>
      </c>
      <c r="C33" s="124">
        <v>1440.0</v>
      </c>
      <c r="D33" s="124">
        <v>-0.001</v>
      </c>
      <c r="E33" s="124">
        <v>1440.0</v>
      </c>
      <c r="F33" s="124">
        <v>-0.006</v>
      </c>
      <c r="G33" s="124">
        <v>1440.0</v>
      </c>
      <c r="H33" s="124">
        <v>-0.007</v>
      </c>
      <c r="I33" s="124">
        <v>1440.0</v>
      </c>
      <c r="J33" s="124">
        <v>-0.005</v>
      </c>
      <c r="K33" s="124">
        <v>1440.0</v>
      </c>
      <c r="L33" s="124">
        <v>0.0</v>
      </c>
      <c r="M33" s="124">
        <v>1440.0</v>
      </c>
      <c r="N33" s="124">
        <v>-0.011</v>
      </c>
      <c r="O33" s="124"/>
      <c r="P33" s="124"/>
      <c r="Q33" s="124"/>
      <c r="R33" s="124">
        <f>R27</f>
        <v>3.028</v>
      </c>
      <c r="S33" s="125">
        <v>2.14</v>
      </c>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row>
    <row r="34" ht="12.75" customHeight="1">
      <c r="A34" s="124">
        <v>1500.0</v>
      </c>
      <c r="B34" s="124">
        <v>0.005</v>
      </c>
      <c r="C34" s="124">
        <v>1500.0</v>
      </c>
      <c r="D34" s="124">
        <v>-0.001</v>
      </c>
      <c r="E34" s="124">
        <v>1500.0</v>
      </c>
      <c r="F34" s="124">
        <v>-0.006</v>
      </c>
      <c r="G34" s="124">
        <v>1500.0</v>
      </c>
      <c r="H34" s="124">
        <v>-0.007</v>
      </c>
      <c r="I34" s="124">
        <v>1500.0</v>
      </c>
      <c r="J34" s="124">
        <v>-0.004</v>
      </c>
      <c r="K34" s="124">
        <v>1500.0</v>
      </c>
      <c r="L34" s="124">
        <v>0.0</v>
      </c>
      <c r="M34" s="124">
        <v>1500.0</v>
      </c>
      <c r="N34" s="124">
        <v>-0.011</v>
      </c>
      <c r="O34" s="124"/>
      <c r="P34" s="124"/>
      <c r="Q34" s="124"/>
      <c r="R34" s="124">
        <f>R26</f>
        <v>10.816</v>
      </c>
      <c r="S34" s="125">
        <v>2.98</v>
      </c>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row>
    <row r="35" ht="12.75" customHeight="1">
      <c r="A35" s="124">
        <v>1560.0</v>
      </c>
      <c r="B35" s="124">
        <v>0.005</v>
      </c>
      <c r="C35" s="124">
        <v>1560.0</v>
      </c>
      <c r="D35" s="124">
        <v>-0.001</v>
      </c>
      <c r="E35" s="124">
        <v>1560.0</v>
      </c>
      <c r="F35" s="124">
        <v>-0.006</v>
      </c>
      <c r="G35" s="124">
        <v>1560.0</v>
      </c>
      <c r="H35" s="124">
        <v>-0.007</v>
      </c>
      <c r="I35" s="124">
        <v>1560.0</v>
      </c>
      <c r="J35" s="124">
        <v>-0.005</v>
      </c>
      <c r="K35" s="124">
        <v>1560.0</v>
      </c>
      <c r="L35" s="124">
        <v>0.0</v>
      </c>
      <c r="M35" s="124">
        <v>1560.0</v>
      </c>
      <c r="N35" s="124">
        <v>-0.01</v>
      </c>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row>
    <row r="36" ht="12.75" customHeight="1">
      <c r="A36" s="124">
        <v>1620.0</v>
      </c>
      <c r="B36" s="124">
        <v>0.005</v>
      </c>
      <c r="C36" s="124">
        <v>1620.0</v>
      </c>
      <c r="D36" s="124">
        <v>-0.001</v>
      </c>
      <c r="E36" s="124">
        <v>1620.0</v>
      </c>
      <c r="F36" s="124">
        <v>-0.005</v>
      </c>
      <c r="G36" s="124">
        <v>1620.0</v>
      </c>
      <c r="H36" s="124">
        <v>-0.007</v>
      </c>
      <c r="I36" s="124">
        <v>1620.0</v>
      </c>
      <c r="J36" s="124">
        <v>-0.004</v>
      </c>
      <c r="K36" s="124">
        <v>1620.0</v>
      </c>
      <c r="L36" s="124">
        <v>0.0</v>
      </c>
      <c r="M36" s="124">
        <v>1620.0</v>
      </c>
      <c r="N36" s="124">
        <v>-0.01</v>
      </c>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row>
    <row r="37" ht="12.75" customHeight="1">
      <c r="A37" s="124">
        <v>1680.0</v>
      </c>
      <c r="B37" s="124">
        <v>0.005</v>
      </c>
      <c r="C37" s="124">
        <v>1680.0</v>
      </c>
      <c r="D37" s="124">
        <v>-0.001</v>
      </c>
      <c r="E37" s="124">
        <v>1680.0</v>
      </c>
      <c r="F37" s="124">
        <v>-0.005</v>
      </c>
      <c r="G37" s="124">
        <v>1680.0</v>
      </c>
      <c r="H37" s="124">
        <v>-0.007</v>
      </c>
      <c r="I37" s="124">
        <v>1680.0</v>
      </c>
      <c r="J37" s="124">
        <v>-0.004</v>
      </c>
      <c r="K37" s="124">
        <v>1680.0</v>
      </c>
      <c r="L37" s="124">
        <v>0.001</v>
      </c>
      <c r="M37" s="124">
        <v>1680.0</v>
      </c>
      <c r="N37" s="124">
        <v>-0.01</v>
      </c>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row>
    <row r="38" ht="12.75" customHeight="1">
      <c r="A38" s="124">
        <v>1740.0</v>
      </c>
      <c r="B38" s="124">
        <v>0.006</v>
      </c>
      <c r="C38" s="124">
        <v>1740.0</v>
      </c>
      <c r="D38" s="124">
        <v>0.0</v>
      </c>
      <c r="E38" s="124">
        <v>1740.0</v>
      </c>
      <c r="F38" s="124">
        <v>-0.005</v>
      </c>
      <c r="G38" s="124">
        <v>1740.0</v>
      </c>
      <c r="H38" s="124">
        <v>-0.007</v>
      </c>
      <c r="I38" s="124">
        <v>1740.0</v>
      </c>
      <c r="J38" s="124">
        <v>-0.004</v>
      </c>
      <c r="K38" s="124">
        <v>1740.0</v>
      </c>
      <c r="L38" s="124">
        <v>0.001</v>
      </c>
      <c r="M38" s="124">
        <v>1740.0</v>
      </c>
      <c r="N38" s="124">
        <v>-0.01</v>
      </c>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row>
    <row r="39" ht="12.75" customHeight="1">
      <c r="A39" s="124">
        <v>1800.0</v>
      </c>
      <c r="B39" s="124">
        <v>0.006</v>
      </c>
      <c r="C39" s="124">
        <v>1800.0</v>
      </c>
      <c r="D39" s="124">
        <v>0.0</v>
      </c>
      <c r="E39" s="124">
        <v>1800.0</v>
      </c>
      <c r="F39" s="124">
        <v>-0.005</v>
      </c>
      <c r="G39" s="124">
        <v>1800.0</v>
      </c>
      <c r="H39" s="124">
        <v>-0.007</v>
      </c>
      <c r="I39" s="124">
        <v>1800.0</v>
      </c>
      <c r="J39" s="124">
        <v>-0.004</v>
      </c>
      <c r="K39" s="124">
        <v>1800.0</v>
      </c>
      <c r="L39" s="124">
        <v>0.001</v>
      </c>
      <c r="M39" s="124">
        <v>1800.0</v>
      </c>
      <c r="N39" s="124">
        <v>-0.01</v>
      </c>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row>
    <row r="40" ht="12.75" customHeight="1">
      <c r="A40" s="124">
        <v>1860.0</v>
      </c>
      <c r="B40" s="124">
        <v>0.006</v>
      </c>
      <c r="C40" s="124">
        <v>1860.0</v>
      </c>
      <c r="D40" s="124">
        <v>0.0</v>
      </c>
      <c r="E40" s="124">
        <v>1860.0</v>
      </c>
      <c r="F40" s="124">
        <v>-0.005</v>
      </c>
      <c r="G40" s="124">
        <v>1860.0</v>
      </c>
      <c r="H40" s="124">
        <v>-0.007</v>
      </c>
      <c r="I40" s="124">
        <v>1860.0</v>
      </c>
      <c r="J40" s="124">
        <v>-0.004</v>
      </c>
      <c r="K40" s="124">
        <v>1860.0</v>
      </c>
      <c r="L40" s="124">
        <v>0.001</v>
      </c>
      <c r="M40" s="124">
        <v>1860.0</v>
      </c>
      <c r="N40" s="124">
        <v>-0.01</v>
      </c>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row>
    <row r="41" ht="12.75" customHeight="1">
      <c r="A41" s="124">
        <v>1920.0</v>
      </c>
      <c r="B41" s="124">
        <v>0.006</v>
      </c>
      <c r="C41" s="124">
        <v>1920.0</v>
      </c>
      <c r="D41" s="124">
        <v>0.0</v>
      </c>
      <c r="E41" s="124">
        <v>1920.0</v>
      </c>
      <c r="F41" s="124">
        <v>-0.005</v>
      </c>
      <c r="G41" s="124">
        <v>1920.0</v>
      </c>
      <c r="H41" s="124">
        <v>-0.007</v>
      </c>
      <c r="I41" s="124">
        <v>1920.0</v>
      </c>
      <c r="J41" s="124">
        <v>-0.004</v>
      </c>
      <c r="K41" s="124">
        <v>1920.0</v>
      </c>
      <c r="L41" s="124">
        <v>0.001</v>
      </c>
      <c r="M41" s="124">
        <v>1920.0</v>
      </c>
      <c r="N41" s="124">
        <v>-0.01</v>
      </c>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row>
    <row r="42" ht="12.75" customHeight="1">
      <c r="A42" s="124">
        <v>1980.0</v>
      </c>
      <c r="B42" s="124">
        <v>0.007</v>
      </c>
      <c r="C42" s="124">
        <v>1980.0</v>
      </c>
      <c r="D42" s="124">
        <v>0.0</v>
      </c>
      <c r="E42" s="124">
        <v>1980.0</v>
      </c>
      <c r="F42" s="124">
        <v>-0.005</v>
      </c>
      <c r="G42" s="124">
        <v>1980.0</v>
      </c>
      <c r="H42" s="124">
        <v>-0.007</v>
      </c>
      <c r="I42" s="124">
        <v>1980.0</v>
      </c>
      <c r="J42" s="124">
        <v>-0.003</v>
      </c>
      <c r="K42" s="124">
        <v>1980.0</v>
      </c>
      <c r="L42" s="124">
        <v>0.001</v>
      </c>
      <c r="M42" s="124">
        <v>1980.0</v>
      </c>
      <c r="N42" s="124">
        <v>-0.01</v>
      </c>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row>
    <row r="43" ht="12.75" customHeight="1">
      <c r="A43" s="124">
        <v>2040.0</v>
      </c>
      <c r="B43" s="124">
        <v>0.007</v>
      </c>
      <c r="C43" s="124">
        <v>2040.0</v>
      </c>
      <c r="D43" s="124">
        <v>0.0</v>
      </c>
      <c r="E43" s="124">
        <v>2040.0</v>
      </c>
      <c r="F43" s="124">
        <v>-0.005</v>
      </c>
      <c r="G43" s="124">
        <v>2040.0</v>
      </c>
      <c r="H43" s="124">
        <v>-0.007</v>
      </c>
      <c r="I43" s="124">
        <v>2040.0</v>
      </c>
      <c r="J43" s="124">
        <v>-0.003</v>
      </c>
      <c r="K43" s="124">
        <v>2040.0</v>
      </c>
      <c r="L43" s="124">
        <v>0.001</v>
      </c>
      <c r="M43" s="124">
        <v>2040.0</v>
      </c>
      <c r="N43" s="124">
        <v>-0.01</v>
      </c>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row>
    <row r="44" ht="12.75" customHeight="1">
      <c r="A44" s="124">
        <v>2100.0</v>
      </c>
      <c r="B44" s="124">
        <v>0.007</v>
      </c>
      <c r="C44" s="124">
        <v>2100.0</v>
      </c>
      <c r="D44" s="124">
        <v>0.001</v>
      </c>
      <c r="E44" s="124">
        <v>2100.0</v>
      </c>
      <c r="F44" s="124">
        <v>-0.005</v>
      </c>
      <c r="G44" s="124">
        <v>2100.0</v>
      </c>
      <c r="H44" s="124">
        <v>-0.007</v>
      </c>
      <c r="I44" s="124">
        <v>2100.0</v>
      </c>
      <c r="J44" s="124">
        <v>-0.003</v>
      </c>
      <c r="K44" s="124">
        <v>2100.0</v>
      </c>
      <c r="L44" s="124">
        <v>0.001</v>
      </c>
      <c r="M44" s="124">
        <v>2100.0</v>
      </c>
      <c r="N44" s="124">
        <v>-0.01</v>
      </c>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4"/>
      <c r="AR44" s="124"/>
    </row>
    <row r="45" ht="12.75" customHeight="1">
      <c r="A45" s="124">
        <v>2160.0</v>
      </c>
      <c r="B45" s="124">
        <v>0.007</v>
      </c>
      <c r="C45" s="124">
        <v>2160.0</v>
      </c>
      <c r="D45" s="124">
        <v>0.001</v>
      </c>
      <c r="E45" s="124">
        <v>2160.0</v>
      </c>
      <c r="F45" s="124">
        <v>-0.005</v>
      </c>
      <c r="G45" s="124">
        <v>2160.0</v>
      </c>
      <c r="H45" s="124">
        <v>-0.007</v>
      </c>
      <c r="I45" s="124">
        <v>2160.0</v>
      </c>
      <c r="J45" s="124">
        <v>-0.003</v>
      </c>
      <c r="K45" s="124">
        <v>2160.0</v>
      </c>
      <c r="L45" s="124">
        <v>0.001</v>
      </c>
      <c r="M45" s="124">
        <v>2160.0</v>
      </c>
      <c r="N45" s="124">
        <v>-0.01</v>
      </c>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4"/>
      <c r="AR45" s="124"/>
    </row>
    <row r="46" ht="12.75" customHeight="1">
      <c r="A46" s="124">
        <v>2220.0</v>
      </c>
      <c r="B46" s="124">
        <v>0.007</v>
      </c>
      <c r="C46" s="124">
        <v>2220.0</v>
      </c>
      <c r="D46" s="124">
        <v>0.001</v>
      </c>
      <c r="E46" s="124">
        <v>2220.0</v>
      </c>
      <c r="F46" s="124">
        <v>-0.005</v>
      </c>
      <c r="G46" s="124">
        <v>2220.0</v>
      </c>
      <c r="H46" s="124">
        <v>-0.007</v>
      </c>
      <c r="I46" s="124">
        <v>2220.0</v>
      </c>
      <c r="J46" s="124">
        <v>-0.003</v>
      </c>
      <c r="K46" s="124">
        <v>2220.0</v>
      </c>
      <c r="L46" s="124">
        <v>0.001</v>
      </c>
      <c r="M46" s="124">
        <v>2220.0</v>
      </c>
      <c r="N46" s="124">
        <v>-0.01</v>
      </c>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row>
    <row r="47" ht="12.75" customHeight="1">
      <c r="A47" s="124">
        <v>2280.0</v>
      </c>
      <c r="B47" s="124">
        <v>0.007</v>
      </c>
      <c r="C47" s="124">
        <v>2280.0</v>
      </c>
      <c r="D47" s="124">
        <v>0.001</v>
      </c>
      <c r="E47" s="124">
        <v>2280.0</v>
      </c>
      <c r="F47" s="124">
        <v>-0.005</v>
      </c>
      <c r="G47" s="124">
        <v>2280.0</v>
      </c>
      <c r="H47" s="124">
        <v>-0.007</v>
      </c>
      <c r="I47" s="124">
        <v>2280.0</v>
      </c>
      <c r="J47" s="124">
        <v>-0.003</v>
      </c>
      <c r="K47" s="124">
        <v>2280.0</v>
      </c>
      <c r="L47" s="124">
        <v>0.001</v>
      </c>
      <c r="M47" s="124">
        <v>2280.0</v>
      </c>
      <c r="N47" s="124">
        <v>-0.01</v>
      </c>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row>
    <row r="48" ht="12.75" customHeight="1">
      <c r="A48" s="124">
        <v>2340.0</v>
      </c>
      <c r="B48" s="124">
        <v>0.007</v>
      </c>
      <c r="C48" s="124">
        <v>2340.0</v>
      </c>
      <c r="D48" s="124">
        <v>0.001</v>
      </c>
      <c r="E48" s="124">
        <v>2340.0</v>
      </c>
      <c r="F48" s="124">
        <v>-0.004</v>
      </c>
      <c r="G48" s="124">
        <v>2340.0</v>
      </c>
      <c r="H48" s="124">
        <v>-0.007</v>
      </c>
      <c r="I48" s="124">
        <v>2340.0</v>
      </c>
      <c r="J48" s="124">
        <v>-0.002</v>
      </c>
      <c r="K48" s="124">
        <v>2340.0</v>
      </c>
      <c r="L48" s="124">
        <v>0.001</v>
      </c>
      <c r="M48" s="124">
        <v>2340.0</v>
      </c>
      <c r="N48" s="124">
        <v>-0.01</v>
      </c>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4"/>
      <c r="AO48" s="124"/>
      <c r="AP48" s="124"/>
      <c r="AQ48" s="124"/>
      <c r="AR48" s="124"/>
    </row>
    <row r="49" ht="12.75" customHeight="1">
      <c r="A49" s="124">
        <v>2400.0</v>
      </c>
      <c r="B49" s="124">
        <v>0.008</v>
      </c>
      <c r="C49" s="124">
        <v>2400.0</v>
      </c>
      <c r="D49" s="124">
        <v>0.001</v>
      </c>
      <c r="E49" s="124">
        <v>2400.0</v>
      </c>
      <c r="F49" s="124">
        <v>-0.005</v>
      </c>
      <c r="G49" s="124">
        <v>2400.0</v>
      </c>
      <c r="H49" s="124">
        <v>-0.007</v>
      </c>
      <c r="I49" s="124">
        <v>2400.0</v>
      </c>
      <c r="J49" s="124">
        <v>-0.003</v>
      </c>
      <c r="K49" s="124">
        <v>2400.0</v>
      </c>
      <c r="L49" s="124">
        <v>0.001</v>
      </c>
      <c r="M49" s="124">
        <v>2400.0</v>
      </c>
      <c r="N49" s="124">
        <v>-0.01</v>
      </c>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row>
    <row r="50" ht="12.75" customHeight="1">
      <c r="A50" s="124">
        <v>2460.0</v>
      </c>
      <c r="B50" s="124">
        <v>0.008</v>
      </c>
      <c r="C50" s="124">
        <v>2460.0</v>
      </c>
      <c r="D50" s="124">
        <v>0.001</v>
      </c>
      <c r="E50" s="124">
        <v>2460.0</v>
      </c>
      <c r="F50" s="124">
        <v>-0.005</v>
      </c>
      <c r="G50" s="124">
        <v>2460.0</v>
      </c>
      <c r="H50" s="124">
        <v>-0.007</v>
      </c>
      <c r="I50" s="124">
        <v>2460.0</v>
      </c>
      <c r="J50" s="124">
        <v>-0.002</v>
      </c>
      <c r="K50" s="124">
        <v>2460.0</v>
      </c>
      <c r="L50" s="124">
        <v>0.001</v>
      </c>
      <c r="M50" s="124">
        <v>2460.0</v>
      </c>
      <c r="N50" s="124">
        <v>-0.01</v>
      </c>
      <c r="O50" s="124"/>
      <c r="P50" s="124"/>
      <c r="Q50" s="124"/>
      <c r="R50" s="124"/>
      <c r="S50" s="124"/>
      <c r="T50" s="124"/>
      <c r="U50" s="124"/>
      <c r="V50" s="124"/>
      <c r="W50" s="124"/>
      <c r="X50" s="124"/>
      <c r="Y50" s="124"/>
      <c r="Z50" s="124"/>
      <c r="AA50" s="124"/>
      <c r="AB50" s="124"/>
      <c r="AC50" s="124"/>
      <c r="AD50" s="124"/>
      <c r="AE50" s="124"/>
      <c r="AF50" s="124"/>
      <c r="AG50" s="124"/>
      <c r="AH50" s="124"/>
      <c r="AI50" s="124"/>
      <c r="AJ50" s="124"/>
      <c r="AK50" s="124"/>
      <c r="AL50" s="124"/>
      <c r="AM50" s="124"/>
      <c r="AN50" s="124"/>
      <c r="AO50" s="124"/>
      <c r="AP50" s="124"/>
      <c r="AQ50" s="124"/>
      <c r="AR50" s="124"/>
    </row>
    <row r="51" ht="12.75" customHeight="1">
      <c r="A51" s="124">
        <v>2520.0</v>
      </c>
      <c r="B51" s="124">
        <v>0.008</v>
      </c>
      <c r="C51" s="124">
        <v>2520.0</v>
      </c>
      <c r="D51" s="124">
        <v>0.001</v>
      </c>
      <c r="E51" s="124">
        <v>2520.0</v>
      </c>
      <c r="F51" s="124">
        <v>-0.004</v>
      </c>
      <c r="G51" s="124">
        <v>2520.0</v>
      </c>
      <c r="H51" s="124">
        <v>-0.007</v>
      </c>
      <c r="I51" s="124">
        <v>2520.0</v>
      </c>
      <c r="J51" s="124">
        <v>-0.002</v>
      </c>
      <c r="K51" s="124">
        <v>2520.0</v>
      </c>
      <c r="L51" s="124">
        <v>0.001</v>
      </c>
      <c r="M51" s="124">
        <v>2520.0</v>
      </c>
      <c r="N51" s="124">
        <v>-0.01</v>
      </c>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row>
    <row r="52" ht="12.75" customHeight="1">
      <c r="A52" s="124">
        <v>2580.0</v>
      </c>
      <c r="B52" s="124">
        <v>0.008</v>
      </c>
      <c r="C52" s="124">
        <v>2580.0</v>
      </c>
      <c r="D52" s="124">
        <v>0.001</v>
      </c>
      <c r="E52" s="124">
        <v>2580.0</v>
      </c>
      <c r="F52" s="124">
        <v>-0.004</v>
      </c>
      <c r="G52" s="124">
        <v>2580.0</v>
      </c>
      <c r="H52" s="124">
        <v>-0.007</v>
      </c>
      <c r="I52" s="124">
        <v>2580.0</v>
      </c>
      <c r="J52" s="124">
        <v>-0.002</v>
      </c>
      <c r="K52" s="124">
        <v>2580.0</v>
      </c>
      <c r="L52" s="124">
        <v>0.001</v>
      </c>
      <c r="M52" s="124">
        <v>2580.0</v>
      </c>
      <c r="N52" s="124">
        <v>-0.01</v>
      </c>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row>
    <row r="53" ht="12.75" customHeight="1">
      <c r="A53" s="124">
        <v>2640.0</v>
      </c>
      <c r="B53" s="124">
        <v>0.008</v>
      </c>
      <c r="C53" s="124">
        <v>2640.0</v>
      </c>
      <c r="D53" s="124">
        <v>0.001</v>
      </c>
      <c r="E53" s="124">
        <v>2640.0</v>
      </c>
      <c r="F53" s="124">
        <v>-0.004</v>
      </c>
      <c r="G53" s="124">
        <v>2640.0</v>
      </c>
      <c r="H53" s="124">
        <v>-0.007</v>
      </c>
      <c r="I53" s="124">
        <v>2640.0</v>
      </c>
      <c r="J53" s="124">
        <v>-0.002</v>
      </c>
      <c r="K53" s="124">
        <v>2640.0</v>
      </c>
      <c r="L53" s="124">
        <v>0.002</v>
      </c>
      <c r="M53" s="124">
        <v>2640.0</v>
      </c>
      <c r="N53" s="124">
        <v>-0.01</v>
      </c>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row>
    <row r="54" ht="12.75" customHeight="1">
      <c r="A54" s="124">
        <v>2700.0</v>
      </c>
      <c r="B54" s="124">
        <v>0.009</v>
      </c>
      <c r="C54" s="124">
        <v>2700.0</v>
      </c>
      <c r="D54" s="124">
        <v>0.001</v>
      </c>
      <c r="E54" s="124">
        <v>2700.0</v>
      </c>
      <c r="F54" s="124">
        <v>-0.004</v>
      </c>
      <c r="G54" s="124">
        <v>2700.0</v>
      </c>
      <c r="H54" s="124">
        <v>-0.006</v>
      </c>
      <c r="I54" s="124">
        <v>2700.0</v>
      </c>
      <c r="J54" s="124">
        <v>-0.002</v>
      </c>
      <c r="K54" s="124">
        <v>2700.0</v>
      </c>
      <c r="L54" s="124">
        <v>0.002</v>
      </c>
      <c r="M54" s="124">
        <v>2700.0</v>
      </c>
      <c r="N54" s="124">
        <v>-0.01</v>
      </c>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row>
    <row r="55" ht="12.75" customHeight="1">
      <c r="A55" s="124">
        <v>2760.0</v>
      </c>
      <c r="B55" s="124">
        <v>0.009</v>
      </c>
      <c r="C55" s="124">
        <v>2760.0</v>
      </c>
      <c r="D55" s="124">
        <v>0.002</v>
      </c>
      <c r="E55" s="124">
        <v>2760.0</v>
      </c>
      <c r="F55" s="124">
        <v>-0.004</v>
      </c>
      <c r="G55" s="124">
        <v>2760.0</v>
      </c>
      <c r="H55" s="124">
        <v>-0.006</v>
      </c>
      <c r="I55" s="124">
        <v>2760.0</v>
      </c>
      <c r="J55" s="124">
        <v>-0.002</v>
      </c>
      <c r="K55" s="124">
        <v>2760.0</v>
      </c>
      <c r="L55" s="124">
        <v>0.002</v>
      </c>
      <c r="M55" s="124">
        <v>2760.0</v>
      </c>
      <c r="N55" s="124">
        <v>-0.01</v>
      </c>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row>
    <row r="56" ht="12.75" customHeight="1">
      <c r="A56" s="124">
        <v>2820.0</v>
      </c>
      <c r="B56" s="124">
        <v>0.009</v>
      </c>
      <c r="C56" s="124">
        <v>2820.0</v>
      </c>
      <c r="D56" s="124">
        <v>0.002</v>
      </c>
      <c r="E56" s="124">
        <v>2820.0</v>
      </c>
      <c r="F56" s="124">
        <v>-0.004</v>
      </c>
      <c r="G56" s="124">
        <v>2820.0</v>
      </c>
      <c r="H56" s="124">
        <v>-0.006</v>
      </c>
      <c r="I56" s="124">
        <v>2820.0</v>
      </c>
      <c r="J56" s="124">
        <v>-0.002</v>
      </c>
      <c r="K56" s="124">
        <v>2820.0</v>
      </c>
      <c r="L56" s="124">
        <v>0.002</v>
      </c>
      <c r="M56" s="124">
        <v>2820.0</v>
      </c>
      <c r="N56" s="124">
        <v>-0.01</v>
      </c>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row>
    <row r="57" ht="12.75" customHeight="1">
      <c r="A57" s="124">
        <v>2880.0</v>
      </c>
      <c r="B57" s="124">
        <v>0.01</v>
      </c>
      <c r="C57" s="124">
        <v>2880.0</v>
      </c>
      <c r="D57" s="124">
        <v>0.002</v>
      </c>
      <c r="E57" s="124">
        <v>2880.0</v>
      </c>
      <c r="F57" s="124">
        <v>-0.004</v>
      </c>
      <c r="G57" s="124">
        <v>2880.0</v>
      </c>
      <c r="H57" s="124">
        <v>-0.006</v>
      </c>
      <c r="I57" s="124">
        <v>2880.0</v>
      </c>
      <c r="J57" s="124">
        <v>-0.002</v>
      </c>
      <c r="K57" s="124">
        <v>2880.0</v>
      </c>
      <c r="L57" s="124">
        <v>0.002</v>
      </c>
      <c r="M57" s="124">
        <v>2880.0</v>
      </c>
      <c r="N57" s="124">
        <v>-0.01</v>
      </c>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row>
    <row r="58" ht="12.75" customHeight="1">
      <c r="A58" s="124">
        <v>2940.0</v>
      </c>
      <c r="B58" s="124">
        <v>0.01</v>
      </c>
      <c r="C58" s="124">
        <v>2940.0</v>
      </c>
      <c r="D58" s="124">
        <v>0.002</v>
      </c>
      <c r="E58" s="124">
        <v>2940.0</v>
      </c>
      <c r="F58" s="124">
        <v>-0.004</v>
      </c>
      <c r="G58" s="124">
        <v>2940.0</v>
      </c>
      <c r="H58" s="124">
        <v>-0.006</v>
      </c>
      <c r="I58" s="124">
        <v>2940.0</v>
      </c>
      <c r="J58" s="124">
        <v>-0.001</v>
      </c>
      <c r="K58" s="124">
        <v>2940.0</v>
      </c>
      <c r="L58" s="124">
        <v>0.002</v>
      </c>
      <c r="M58" s="124">
        <v>2940.0</v>
      </c>
      <c r="N58" s="124">
        <v>-0.01</v>
      </c>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row>
    <row r="59" ht="12.75" customHeight="1">
      <c r="A59" s="124">
        <v>3000.0</v>
      </c>
      <c r="B59" s="124">
        <v>0.01</v>
      </c>
      <c r="C59" s="124">
        <v>3000.0</v>
      </c>
      <c r="D59" s="124">
        <v>0.002</v>
      </c>
      <c r="E59" s="124">
        <v>3000.0</v>
      </c>
      <c r="F59" s="124">
        <v>-0.004</v>
      </c>
      <c r="G59" s="124">
        <v>3000.0</v>
      </c>
      <c r="H59" s="124">
        <v>-0.007</v>
      </c>
      <c r="I59" s="124">
        <v>3000.0</v>
      </c>
      <c r="J59" s="124">
        <v>-0.001</v>
      </c>
      <c r="K59" s="124">
        <v>3000.0</v>
      </c>
      <c r="L59" s="124">
        <v>0.002</v>
      </c>
      <c r="M59" s="124">
        <v>3000.0</v>
      </c>
      <c r="N59" s="124">
        <v>-0.01</v>
      </c>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row>
    <row r="60" ht="12.75" customHeight="1">
      <c r="A60" s="124">
        <v>3060.0</v>
      </c>
      <c r="B60" s="124">
        <v>0.01</v>
      </c>
      <c r="C60" s="124">
        <v>3060.0</v>
      </c>
      <c r="D60" s="124">
        <v>0.002</v>
      </c>
      <c r="E60" s="124">
        <v>3060.0</v>
      </c>
      <c r="F60" s="124">
        <v>-0.004</v>
      </c>
      <c r="G60" s="124">
        <v>3060.0</v>
      </c>
      <c r="H60" s="124">
        <v>-0.006</v>
      </c>
      <c r="I60" s="124">
        <v>3060.0</v>
      </c>
      <c r="J60" s="124">
        <v>-0.001</v>
      </c>
      <c r="K60" s="124">
        <v>3060.0</v>
      </c>
      <c r="L60" s="124">
        <v>0.002</v>
      </c>
      <c r="M60" s="124">
        <v>3060.0</v>
      </c>
      <c r="N60" s="124">
        <v>-0.009</v>
      </c>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row>
    <row r="61" ht="12.75" customHeight="1">
      <c r="A61" s="124">
        <v>3120.0</v>
      </c>
      <c r="B61" s="124">
        <v>0.01</v>
      </c>
      <c r="C61" s="124">
        <v>3120.0</v>
      </c>
      <c r="D61" s="124">
        <v>0.002</v>
      </c>
      <c r="E61" s="124">
        <v>3120.0</v>
      </c>
      <c r="F61" s="124">
        <v>-0.003</v>
      </c>
      <c r="G61" s="124">
        <v>3120.0</v>
      </c>
      <c r="H61" s="124">
        <v>-0.007</v>
      </c>
      <c r="I61" s="124">
        <v>3120.0</v>
      </c>
      <c r="J61" s="124">
        <v>-0.001</v>
      </c>
      <c r="K61" s="124">
        <v>3120.0</v>
      </c>
      <c r="L61" s="124">
        <v>0.002</v>
      </c>
      <c r="M61" s="124">
        <v>3120.0</v>
      </c>
      <c r="N61" s="124">
        <v>-0.01</v>
      </c>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row>
    <row r="62" ht="12.75" customHeight="1">
      <c r="A62" s="124">
        <v>3180.0</v>
      </c>
      <c r="B62" s="124">
        <v>0.01</v>
      </c>
      <c r="C62" s="124">
        <v>3180.0</v>
      </c>
      <c r="D62" s="124">
        <v>0.003</v>
      </c>
      <c r="E62" s="124">
        <v>3180.0</v>
      </c>
      <c r="F62" s="124">
        <v>-0.004</v>
      </c>
      <c r="G62" s="124">
        <v>3180.0</v>
      </c>
      <c r="H62" s="124">
        <v>-0.006</v>
      </c>
      <c r="I62" s="124">
        <v>3180.0</v>
      </c>
      <c r="J62" s="124">
        <v>-0.001</v>
      </c>
      <c r="K62" s="124">
        <v>3180.0</v>
      </c>
      <c r="L62" s="124">
        <v>0.002</v>
      </c>
      <c r="M62" s="124">
        <v>3180.0</v>
      </c>
      <c r="N62" s="124">
        <v>-0.01</v>
      </c>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row>
    <row r="63" ht="12.75" customHeight="1">
      <c r="A63" s="124">
        <v>3240.0</v>
      </c>
      <c r="B63" s="124">
        <v>0.01</v>
      </c>
      <c r="C63" s="124">
        <v>3240.0</v>
      </c>
      <c r="D63" s="124">
        <v>0.003</v>
      </c>
      <c r="E63" s="124">
        <v>3240.0</v>
      </c>
      <c r="F63" s="124">
        <v>-0.003</v>
      </c>
      <c r="G63" s="124">
        <v>3240.0</v>
      </c>
      <c r="H63" s="124">
        <v>-0.006</v>
      </c>
      <c r="I63" s="124">
        <v>3240.0</v>
      </c>
      <c r="J63" s="124">
        <v>0.0</v>
      </c>
      <c r="K63" s="124">
        <v>3240.0</v>
      </c>
      <c r="L63" s="124">
        <v>0.002</v>
      </c>
      <c r="M63" s="124">
        <v>3240.0</v>
      </c>
      <c r="N63" s="124">
        <v>-0.01</v>
      </c>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row>
    <row r="64" ht="12.75" customHeight="1">
      <c r="A64" s="124">
        <v>3300.0</v>
      </c>
      <c r="B64" s="124">
        <v>0.01</v>
      </c>
      <c r="C64" s="124">
        <v>3300.0</v>
      </c>
      <c r="D64" s="124">
        <v>0.003</v>
      </c>
      <c r="E64" s="124">
        <v>3300.0</v>
      </c>
      <c r="F64" s="124">
        <v>-0.003</v>
      </c>
      <c r="G64" s="124">
        <v>3300.0</v>
      </c>
      <c r="H64" s="124">
        <v>-0.006</v>
      </c>
      <c r="I64" s="124">
        <v>3300.0</v>
      </c>
      <c r="J64" s="124">
        <v>0.0</v>
      </c>
      <c r="K64" s="124">
        <v>3300.0</v>
      </c>
      <c r="L64" s="124">
        <v>0.002</v>
      </c>
      <c r="M64" s="124">
        <v>3300.0</v>
      </c>
      <c r="N64" s="124">
        <v>-0.01</v>
      </c>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row>
    <row r="65" ht="12.75" customHeight="1">
      <c r="A65" s="124">
        <v>3360.0</v>
      </c>
      <c r="B65" s="124">
        <v>0.011</v>
      </c>
      <c r="C65" s="124">
        <v>3360.0</v>
      </c>
      <c r="D65" s="124">
        <v>0.003</v>
      </c>
      <c r="E65" s="124">
        <v>3360.0</v>
      </c>
      <c r="F65" s="124">
        <v>-0.003</v>
      </c>
      <c r="G65" s="124">
        <v>3360.0</v>
      </c>
      <c r="H65" s="124">
        <v>-0.006</v>
      </c>
      <c r="I65" s="124">
        <v>3360.0</v>
      </c>
      <c r="J65" s="124">
        <v>-0.001</v>
      </c>
      <c r="K65" s="124">
        <v>3360.0</v>
      </c>
      <c r="L65" s="124">
        <v>0.002</v>
      </c>
      <c r="M65" s="124">
        <v>3360.0</v>
      </c>
      <c r="N65" s="124">
        <v>-0.009</v>
      </c>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row>
    <row r="66" ht="12.75" customHeight="1">
      <c r="A66" s="124">
        <v>3420.0</v>
      </c>
      <c r="B66" s="124">
        <v>0.011</v>
      </c>
      <c r="C66" s="124">
        <v>3420.0</v>
      </c>
      <c r="D66" s="124">
        <v>0.003</v>
      </c>
      <c r="E66" s="124">
        <v>3420.0</v>
      </c>
      <c r="F66" s="124">
        <v>-0.003</v>
      </c>
      <c r="G66" s="124">
        <v>3420.0</v>
      </c>
      <c r="H66" s="124">
        <v>-0.006</v>
      </c>
      <c r="I66" s="124">
        <v>3420.0</v>
      </c>
      <c r="J66" s="124">
        <v>0.0</v>
      </c>
      <c r="K66" s="124">
        <v>3420.0</v>
      </c>
      <c r="L66" s="124">
        <v>0.002</v>
      </c>
      <c r="M66" s="124">
        <v>3420.0</v>
      </c>
      <c r="N66" s="124">
        <v>-0.009</v>
      </c>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row>
    <row r="67" ht="12.75" customHeight="1">
      <c r="A67" s="124">
        <v>3480.0</v>
      </c>
      <c r="B67" s="124">
        <v>0.011</v>
      </c>
      <c r="C67" s="124">
        <v>3480.0</v>
      </c>
      <c r="D67" s="124">
        <v>0.003</v>
      </c>
      <c r="E67" s="124">
        <v>3480.0</v>
      </c>
      <c r="F67" s="124">
        <v>-0.003</v>
      </c>
      <c r="G67" s="124">
        <v>3480.0</v>
      </c>
      <c r="H67" s="124">
        <v>-0.006</v>
      </c>
      <c r="I67" s="124">
        <v>3480.0</v>
      </c>
      <c r="J67" s="124">
        <v>0.0</v>
      </c>
      <c r="K67" s="124">
        <v>3480.0</v>
      </c>
      <c r="L67" s="124">
        <v>0.002</v>
      </c>
      <c r="M67" s="124">
        <v>3480.0</v>
      </c>
      <c r="N67" s="124">
        <v>-0.01</v>
      </c>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row>
    <row r="68" ht="12.75" customHeight="1">
      <c r="A68" s="124">
        <v>3540.0</v>
      </c>
      <c r="B68" s="124">
        <v>0.011</v>
      </c>
      <c r="C68" s="124">
        <v>3540.0</v>
      </c>
      <c r="D68" s="124">
        <v>0.003</v>
      </c>
      <c r="E68" s="124">
        <v>3540.0</v>
      </c>
      <c r="F68" s="124">
        <v>-0.003</v>
      </c>
      <c r="G68" s="124">
        <v>3540.0</v>
      </c>
      <c r="H68" s="124">
        <v>-0.006</v>
      </c>
      <c r="I68" s="124">
        <v>3540.0</v>
      </c>
      <c r="J68" s="124">
        <v>0.0</v>
      </c>
      <c r="K68" s="124">
        <v>3540.0</v>
      </c>
      <c r="L68" s="124">
        <v>0.002</v>
      </c>
      <c r="M68" s="124">
        <v>3540.0</v>
      </c>
      <c r="N68" s="124">
        <v>-0.01</v>
      </c>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row>
    <row r="69" ht="12.75" customHeight="1">
      <c r="A69" s="124">
        <v>3600.0</v>
      </c>
      <c r="B69" s="124">
        <v>0.011</v>
      </c>
      <c r="C69" s="124">
        <v>3600.0</v>
      </c>
      <c r="D69" s="124">
        <v>0.003</v>
      </c>
      <c r="E69" s="124">
        <v>3600.0</v>
      </c>
      <c r="F69" s="124">
        <v>-0.003</v>
      </c>
      <c r="G69" s="124">
        <v>3600.0</v>
      </c>
      <c r="H69" s="124">
        <v>-0.006</v>
      </c>
      <c r="I69" s="124">
        <v>3600.0</v>
      </c>
      <c r="J69" s="124">
        <v>0.0</v>
      </c>
      <c r="K69" s="124">
        <v>3600.0</v>
      </c>
      <c r="L69" s="124">
        <v>0.002</v>
      </c>
      <c r="M69" s="124">
        <v>3600.0</v>
      </c>
      <c r="N69" s="124">
        <v>-0.009</v>
      </c>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row>
    <row r="70" ht="12.75" customHeight="1">
      <c r="A70" s="124">
        <v>3660.0</v>
      </c>
      <c r="B70" s="124">
        <v>0.011</v>
      </c>
      <c r="C70" s="124">
        <v>3660.0</v>
      </c>
      <c r="D70" s="124">
        <v>0.003</v>
      </c>
      <c r="E70" s="124">
        <v>3660.0</v>
      </c>
      <c r="F70" s="124">
        <v>-0.003</v>
      </c>
      <c r="G70" s="124">
        <v>3660.0</v>
      </c>
      <c r="H70" s="124">
        <v>-0.006</v>
      </c>
      <c r="I70" s="124">
        <v>3660.0</v>
      </c>
      <c r="J70" s="124">
        <v>0.001</v>
      </c>
      <c r="K70" s="124">
        <v>3660.0</v>
      </c>
      <c r="L70" s="124">
        <v>0.002</v>
      </c>
      <c r="M70" s="124">
        <v>3660.0</v>
      </c>
      <c r="N70" s="124">
        <v>-0.01</v>
      </c>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row>
    <row r="71" ht="12.75" customHeight="1">
      <c r="A71" s="124">
        <v>3720.0</v>
      </c>
      <c r="B71" s="124">
        <v>0.012</v>
      </c>
      <c r="C71" s="124">
        <v>3720.0</v>
      </c>
      <c r="D71" s="124">
        <v>0.004</v>
      </c>
      <c r="E71" s="124">
        <v>3720.0</v>
      </c>
      <c r="F71" s="124">
        <v>-0.003</v>
      </c>
      <c r="G71" s="124">
        <v>3720.0</v>
      </c>
      <c r="H71" s="124">
        <v>-0.006</v>
      </c>
      <c r="I71" s="124">
        <v>3720.0</v>
      </c>
      <c r="J71" s="124">
        <v>0.0</v>
      </c>
      <c r="K71" s="124">
        <v>3720.0</v>
      </c>
      <c r="L71" s="124">
        <v>0.002</v>
      </c>
      <c r="M71" s="124">
        <v>3720.0</v>
      </c>
      <c r="N71" s="124">
        <v>-0.009</v>
      </c>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row>
    <row r="72" ht="12.75" customHeight="1">
      <c r="A72" s="124">
        <v>3780.0</v>
      </c>
      <c r="B72" s="124">
        <v>0.012</v>
      </c>
      <c r="C72" s="124">
        <v>3780.0</v>
      </c>
      <c r="D72" s="124">
        <v>0.004</v>
      </c>
      <c r="E72" s="124">
        <v>3780.0</v>
      </c>
      <c r="F72" s="124">
        <v>-0.002</v>
      </c>
      <c r="G72" s="124">
        <v>3780.0</v>
      </c>
      <c r="H72" s="124">
        <v>-0.006</v>
      </c>
      <c r="I72" s="124">
        <v>3780.0</v>
      </c>
      <c r="J72" s="124">
        <v>0.001</v>
      </c>
      <c r="K72" s="124">
        <v>3780.0</v>
      </c>
      <c r="L72" s="124">
        <v>0.002</v>
      </c>
      <c r="M72" s="124">
        <v>3780.0</v>
      </c>
      <c r="N72" s="124">
        <v>-0.01</v>
      </c>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row>
    <row r="73" ht="12.75" customHeight="1">
      <c r="A73" s="124">
        <v>3840.0</v>
      </c>
      <c r="B73" s="124">
        <v>0.012</v>
      </c>
      <c r="C73" s="124">
        <v>3840.0</v>
      </c>
      <c r="D73" s="124">
        <v>0.004</v>
      </c>
      <c r="E73" s="124">
        <v>3840.0</v>
      </c>
      <c r="F73" s="124">
        <v>-0.002</v>
      </c>
      <c r="G73" s="124">
        <v>3840.0</v>
      </c>
      <c r="H73" s="124">
        <v>-0.006</v>
      </c>
      <c r="I73" s="124">
        <v>3840.0</v>
      </c>
      <c r="J73" s="124">
        <v>0.0</v>
      </c>
      <c r="K73" s="124">
        <v>3840.0</v>
      </c>
      <c r="L73" s="124">
        <v>0.002</v>
      </c>
      <c r="M73" s="124">
        <v>3840.0</v>
      </c>
      <c r="N73" s="124">
        <v>-0.009</v>
      </c>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row>
    <row r="74" ht="12.75" customHeight="1">
      <c r="A74" s="124">
        <v>3900.0</v>
      </c>
      <c r="B74" s="124">
        <v>0.012</v>
      </c>
      <c r="C74" s="124">
        <v>3900.0</v>
      </c>
      <c r="D74" s="124">
        <v>0.004</v>
      </c>
      <c r="E74" s="124">
        <v>3900.0</v>
      </c>
      <c r="F74" s="124">
        <v>-0.003</v>
      </c>
      <c r="G74" s="124">
        <v>3900.0</v>
      </c>
      <c r="H74" s="124">
        <v>-0.006</v>
      </c>
      <c r="I74" s="124">
        <v>3900.0</v>
      </c>
      <c r="J74" s="124">
        <v>0.001</v>
      </c>
      <c r="K74" s="124">
        <v>3900.0</v>
      </c>
      <c r="L74" s="124">
        <v>0.002</v>
      </c>
      <c r="M74" s="124">
        <v>3900.0</v>
      </c>
      <c r="N74" s="124">
        <v>-0.009</v>
      </c>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row>
    <row r="75" ht="12.75" customHeight="1">
      <c r="A75" s="124">
        <v>3960.0</v>
      </c>
      <c r="B75" s="124">
        <v>0.012</v>
      </c>
      <c r="C75" s="124">
        <v>3960.0</v>
      </c>
      <c r="D75" s="124">
        <v>0.004</v>
      </c>
      <c r="E75" s="124">
        <v>3960.0</v>
      </c>
      <c r="F75" s="124">
        <v>-0.002</v>
      </c>
      <c r="G75" s="124">
        <v>3960.0</v>
      </c>
      <c r="H75" s="124">
        <v>-0.006</v>
      </c>
      <c r="I75" s="124">
        <v>3960.0</v>
      </c>
      <c r="J75" s="124">
        <v>0.001</v>
      </c>
      <c r="K75" s="124">
        <v>3960.0</v>
      </c>
      <c r="L75" s="124">
        <v>0.002</v>
      </c>
      <c r="M75" s="124">
        <v>3960.0</v>
      </c>
      <c r="N75" s="124">
        <v>-0.009</v>
      </c>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row>
    <row r="76" ht="12.75" customHeight="1">
      <c r="A76" s="124">
        <v>4020.0</v>
      </c>
      <c r="B76" s="124">
        <v>0.012</v>
      </c>
      <c r="C76" s="124">
        <v>4020.0</v>
      </c>
      <c r="D76" s="124">
        <v>0.004</v>
      </c>
      <c r="E76" s="124">
        <v>4020.0</v>
      </c>
      <c r="F76" s="124">
        <v>-0.002</v>
      </c>
      <c r="G76" s="124">
        <v>4020.0</v>
      </c>
      <c r="H76" s="124">
        <v>-0.006</v>
      </c>
      <c r="I76" s="124">
        <v>4020.0</v>
      </c>
      <c r="J76" s="124">
        <v>0.001</v>
      </c>
      <c r="K76" s="124">
        <v>4020.0</v>
      </c>
      <c r="L76" s="124">
        <v>0.002</v>
      </c>
      <c r="M76" s="124">
        <v>4020.0</v>
      </c>
      <c r="N76" s="124">
        <v>-0.009</v>
      </c>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row>
    <row r="77" ht="12.75" customHeight="1">
      <c r="A77" s="124">
        <v>4080.0</v>
      </c>
      <c r="B77" s="124">
        <v>0.012</v>
      </c>
      <c r="C77" s="124">
        <v>4080.0</v>
      </c>
      <c r="D77" s="124">
        <v>0.004</v>
      </c>
      <c r="E77" s="124">
        <v>4080.0</v>
      </c>
      <c r="F77" s="124">
        <v>-0.002</v>
      </c>
      <c r="G77" s="124">
        <v>4080.0</v>
      </c>
      <c r="H77" s="124">
        <v>-0.006</v>
      </c>
      <c r="I77" s="124">
        <v>4080.0</v>
      </c>
      <c r="J77" s="124">
        <v>0.001</v>
      </c>
      <c r="K77" s="124">
        <v>4080.0</v>
      </c>
      <c r="L77" s="124">
        <v>0.002</v>
      </c>
      <c r="M77" s="124">
        <v>4080.0</v>
      </c>
      <c r="N77" s="124">
        <v>-0.009</v>
      </c>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row>
    <row r="78" ht="12.75" customHeight="1">
      <c r="A78" s="124">
        <v>4140.0</v>
      </c>
      <c r="B78" s="124">
        <v>0.013</v>
      </c>
      <c r="C78" s="124">
        <v>4140.0</v>
      </c>
      <c r="D78" s="124">
        <v>0.005</v>
      </c>
      <c r="E78" s="124">
        <v>4140.0</v>
      </c>
      <c r="F78" s="124">
        <v>-0.002</v>
      </c>
      <c r="G78" s="124">
        <v>4140.0</v>
      </c>
      <c r="H78" s="124">
        <v>-0.006</v>
      </c>
      <c r="I78" s="124">
        <v>4140.0</v>
      </c>
      <c r="J78" s="124">
        <v>0.001</v>
      </c>
      <c r="K78" s="124">
        <v>4140.0</v>
      </c>
      <c r="L78" s="124">
        <v>0.002</v>
      </c>
      <c r="M78" s="124">
        <v>4140.0</v>
      </c>
      <c r="N78" s="124">
        <v>-0.009</v>
      </c>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row>
    <row r="79" ht="12.75" customHeight="1">
      <c r="A79" s="124">
        <v>4200.0</v>
      </c>
      <c r="B79" s="124">
        <v>0.013</v>
      </c>
      <c r="C79" s="124">
        <v>4200.0</v>
      </c>
      <c r="D79" s="124">
        <v>0.005</v>
      </c>
      <c r="E79" s="124">
        <v>4200.0</v>
      </c>
      <c r="F79" s="124">
        <v>-0.002</v>
      </c>
      <c r="G79" s="124">
        <v>4200.0</v>
      </c>
      <c r="H79" s="124">
        <v>-0.006</v>
      </c>
      <c r="I79" s="124">
        <v>4200.0</v>
      </c>
      <c r="J79" s="124">
        <v>0.001</v>
      </c>
      <c r="K79" s="124">
        <v>4200.0</v>
      </c>
      <c r="L79" s="124">
        <v>0.002</v>
      </c>
      <c r="M79" s="124">
        <v>4200.0</v>
      </c>
      <c r="N79" s="124">
        <v>-0.009</v>
      </c>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row>
    <row r="80" ht="12.75" customHeight="1">
      <c r="A80" s="124">
        <v>4260.0</v>
      </c>
      <c r="B80" s="124">
        <v>0.013</v>
      </c>
      <c r="C80" s="124">
        <v>4260.0</v>
      </c>
      <c r="D80" s="124">
        <v>0.005</v>
      </c>
      <c r="E80" s="124">
        <v>4260.0</v>
      </c>
      <c r="F80" s="124">
        <v>-0.001</v>
      </c>
      <c r="G80" s="124">
        <v>4260.0</v>
      </c>
      <c r="H80" s="124">
        <v>-0.006</v>
      </c>
      <c r="I80" s="124">
        <v>4260.0</v>
      </c>
      <c r="J80" s="124">
        <v>0.001</v>
      </c>
      <c r="K80" s="124">
        <v>4260.0</v>
      </c>
      <c r="L80" s="124">
        <v>0.002</v>
      </c>
      <c r="M80" s="124">
        <v>4260.0</v>
      </c>
      <c r="N80" s="124">
        <v>-0.009</v>
      </c>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row>
    <row r="81" ht="12.75" customHeight="1">
      <c r="A81" s="124">
        <v>4320.0</v>
      </c>
      <c r="B81" s="124">
        <v>0.013</v>
      </c>
      <c r="C81" s="124">
        <v>4320.0</v>
      </c>
      <c r="D81" s="124">
        <v>0.005</v>
      </c>
      <c r="E81" s="124">
        <v>4320.0</v>
      </c>
      <c r="F81" s="124">
        <v>-0.002</v>
      </c>
      <c r="G81" s="124">
        <v>4320.0</v>
      </c>
      <c r="H81" s="124">
        <v>-0.006</v>
      </c>
      <c r="I81" s="124">
        <v>4320.0</v>
      </c>
      <c r="J81" s="124">
        <v>0.002</v>
      </c>
      <c r="K81" s="124">
        <v>4320.0</v>
      </c>
      <c r="L81" s="124">
        <v>0.002</v>
      </c>
      <c r="M81" s="124">
        <v>4320.0</v>
      </c>
      <c r="N81" s="124">
        <v>-0.009</v>
      </c>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row>
    <row r="82" ht="12.75" customHeight="1">
      <c r="A82" s="124">
        <v>4380.0</v>
      </c>
      <c r="B82" s="124">
        <v>0.014</v>
      </c>
      <c r="C82" s="124">
        <v>4380.0</v>
      </c>
      <c r="D82" s="124">
        <v>0.005</v>
      </c>
      <c r="E82" s="124">
        <v>4380.0</v>
      </c>
      <c r="F82" s="124">
        <v>-0.001</v>
      </c>
      <c r="G82" s="124">
        <v>4380.0</v>
      </c>
      <c r="H82" s="124">
        <v>-0.006</v>
      </c>
      <c r="I82" s="124">
        <v>4380.0</v>
      </c>
      <c r="J82" s="124">
        <v>0.002</v>
      </c>
      <c r="K82" s="124">
        <v>4380.0</v>
      </c>
      <c r="L82" s="124">
        <v>0.002</v>
      </c>
      <c r="M82" s="124">
        <v>4380.0</v>
      </c>
      <c r="N82" s="124">
        <v>-0.009</v>
      </c>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row>
    <row r="83" ht="12.75" customHeight="1">
      <c r="A83" s="124">
        <v>4440.0</v>
      </c>
      <c r="B83" s="124">
        <v>0.014</v>
      </c>
      <c r="C83" s="124">
        <v>4440.0</v>
      </c>
      <c r="D83" s="124">
        <v>0.005</v>
      </c>
      <c r="E83" s="124">
        <v>4440.0</v>
      </c>
      <c r="F83" s="124">
        <v>-0.001</v>
      </c>
      <c r="G83" s="124">
        <v>4440.0</v>
      </c>
      <c r="H83" s="124">
        <v>-0.006</v>
      </c>
      <c r="I83" s="124">
        <v>4440.0</v>
      </c>
      <c r="J83" s="124">
        <v>0.002</v>
      </c>
      <c r="K83" s="124">
        <v>4440.0</v>
      </c>
      <c r="L83" s="124">
        <v>0.002</v>
      </c>
      <c r="M83" s="124">
        <v>4440.0</v>
      </c>
      <c r="N83" s="124">
        <v>-0.009</v>
      </c>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row>
    <row r="84" ht="12.75" customHeight="1">
      <c r="A84" s="124">
        <v>4500.0</v>
      </c>
      <c r="B84" s="124">
        <v>0.014</v>
      </c>
      <c r="C84" s="124">
        <v>4500.0</v>
      </c>
      <c r="D84" s="124">
        <v>0.006</v>
      </c>
      <c r="E84" s="124">
        <v>4500.0</v>
      </c>
      <c r="F84" s="124">
        <v>-0.001</v>
      </c>
      <c r="G84" s="124">
        <v>4500.0</v>
      </c>
      <c r="H84" s="124">
        <v>-0.006</v>
      </c>
      <c r="I84" s="124">
        <v>4500.0</v>
      </c>
      <c r="J84" s="124">
        <v>0.002</v>
      </c>
      <c r="K84" s="124">
        <v>4500.0</v>
      </c>
      <c r="L84" s="124">
        <v>0.002</v>
      </c>
      <c r="M84" s="124">
        <v>4500.0</v>
      </c>
      <c r="N84" s="124">
        <v>-0.009</v>
      </c>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row>
    <row r="85" ht="12.75" customHeight="1">
      <c r="A85" s="124">
        <v>4560.0</v>
      </c>
      <c r="B85" s="124">
        <v>0.014</v>
      </c>
      <c r="C85" s="124">
        <v>4560.0</v>
      </c>
      <c r="D85" s="124">
        <v>0.006</v>
      </c>
      <c r="E85" s="124">
        <v>4560.0</v>
      </c>
      <c r="F85" s="124">
        <v>-0.001</v>
      </c>
      <c r="G85" s="124">
        <v>4560.0</v>
      </c>
      <c r="H85" s="124">
        <v>-0.006</v>
      </c>
      <c r="I85" s="124">
        <v>4560.0</v>
      </c>
      <c r="J85" s="124">
        <v>0.002</v>
      </c>
      <c r="K85" s="124">
        <v>4560.0</v>
      </c>
      <c r="L85" s="124">
        <v>0.002</v>
      </c>
      <c r="M85" s="124">
        <v>4560.0</v>
      </c>
      <c r="N85" s="124">
        <v>-0.009</v>
      </c>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row>
    <row r="86" ht="12.75" customHeight="1">
      <c r="A86" s="124">
        <v>4620.0</v>
      </c>
      <c r="B86" s="124">
        <v>0.014</v>
      </c>
      <c r="C86" s="124">
        <v>4620.0</v>
      </c>
      <c r="D86" s="124">
        <v>0.006</v>
      </c>
      <c r="E86" s="124">
        <v>4620.0</v>
      </c>
      <c r="F86" s="124">
        <v>-0.001</v>
      </c>
      <c r="G86" s="124">
        <v>4620.0</v>
      </c>
      <c r="H86" s="124">
        <v>-0.006</v>
      </c>
      <c r="I86" s="124">
        <v>4620.0</v>
      </c>
      <c r="J86" s="124">
        <v>0.002</v>
      </c>
      <c r="K86" s="124">
        <v>4620.0</v>
      </c>
      <c r="L86" s="124">
        <v>0.002</v>
      </c>
      <c r="M86" s="124">
        <v>4620.0</v>
      </c>
      <c r="N86" s="124">
        <v>-0.009</v>
      </c>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row>
    <row r="87" ht="12.75" customHeight="1">
      <c r="A87" s="124">
        <v>4680.0</v>
      </c>
      <c r="B87" s="124">
        <v>0.015</v>
      </c>
      <c r="C87" s="124">
        <v>4680.0</v>
      </c>
      <c r="D87" s="124">
        <v>0.006</v>
      </c>
      <c r="E87" s="124">
        <v>4680.0</v>
      </c>
      <c r="F87" s="124">
        <v>-0.001</v>
      </c>
      <c r="G87" s="124">
        <v>4680.0</v>
      </c>
      <c r="H87" s="124">
        <v>-0.006</v>
      </c>
      <c r="I87" s="124">
        <v>4680.0</v>
      </c>
      <c r="J87" s="124">
        <v>0.002</v>
      </c>
      <c r="K87" s="124">
        <v>4680.0</v>
      </c>
      <c r="L87" s="124">
        <v>0.002</v>
      </c>
      <c r="M87" s="124">
        <v>4680.0</v>
      </c>
      <c r="N87" s="124">
        <v>-0.009</v>
      </c>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row>
    <row r="88" ht="12.75" customHeight="1">
      <c r="A88" s="124">
        <v>4740.0</v>
      </c>
      <c r="B88" s="124">
        <v>0.015</v>
      </c>
      <c r="C88" s="124">
        <v>4740.0</v>
      </c>
      <c r="D88" s="124">
        <v>0.006</v>
      </c>
      <c r="E88" s="124">
        <v>4740.0</v>
      </c>
      <c r="F88" s="124">
        <v>-0.001</v>
      </c>
      <c r="G88" s="124">
        <v>4740.0</v>
      </c>
      <c r="H88" s="124">
        <v>-0.006</v>
      </c>
      <c r="I88" s="124">
        <v>4740.0</v>
      </c>
      <c r="J88" s="124">
        <v>0.002</v>
      </c>
      <c r="K88" s="124">
        <v>4740.0</v>
      </c>
      <c r="L88" s="124">
        <v>0.002</v>
      </c>
      <c r="M88" s="124">
        <v>4740.0</v>
      </c>
      <c r="N88" s="124">
        <v>-0.009</v>
      </c>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row>
    <row r="89" ht="12.75" customHeight="1">
      <c r="A89" s="124">
        <v>4800.0</v>
      </c>
      <c r="B89" s="124">
        <v>0.015</v>
      </c>
      <c r="C89" s="124">
        <v>4800.0</v>
      </c>
      <c r="D89" s="124">
        <v>0.006</v>
      </c>
      <c r="E89" s="124">
        <v>4800.0</v>
      </c>
      <c r="F89" s="124">
        <v>0.0</v>
      </c>
      <c r="G89" s="124">
        <v>4800.0</v>
      </c>
      <c r="H89" s="124">
        <v>-0.006</v>
      </c>
      <c r="I89" s="124">
        <v>4800.0</v>
      </c>
      <c r="J89" s="124">
        <v>0.002</v>
      </c>
      <c r="K89" s="124">
        <v>4800.0</v>
      </c>
      <c r="L89" s="124">
        <v>0.002</v>
      </c>
      <c r="M89" s="124">
        <v>4800.0</v>
      </c>
      <c r="N89" s="124">
        <v>-0.009</v>
      </c>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row>
    <row r="90" ht="12.75" customHeight="1">
      <c r="A90" s="124">
        <v>4860.0</v>
      </c>
      <c r="B90" s="124">
        <v>0.015</v>
      </c>
      <c r="C90" s="124">
        <v>4860.0</v>
      </c>
      <c r="D90" s="124">
        <v>0.007</v>
      </c>
      <c r="E90" s="124">
        <v>4860.0</v>
      </c>
      <c r="F90" s="124">
        <v>0.0</v>
      </c>
      <c r="G90" s="124">
        <v>4860.0</v>
      </c>
      <c r="H90" s="124">
        <v>-0.006</v>
      </c>
      <c r="I90" s="124">
        <v>4860.0</v>
      </c>
      <c r="J90" s="124">
        <v>0.003</v>
      </c>
      <c r="K90" s="124">
        <v>4860.0</v>
      </c>
      <c r="L90" s="124">
        <v>0.002</v>
      </c>
      <c r="M90" s="124">
        <v>4860.0</v>
      </c>
      <c r="N90" s="124">
        <v>-0.009</v>
      </c>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row>
    <row r="91" ht="12.75" customHeight="1">
      <c r="A91" s="124">
        <v>4920.0</v>
      </c>
      <c r="B91" s="124">
        <v>0.015</v>
      </c>
      <c r="C91" s="124">
        <v>4920.0</v>
      </c>
      <c r="D91" s="124">
        <v>0.006</v>
      </c>
      <c r="E91" s="124">
        <v>4920.0</v>
      </c>
      <c r="F91" s="124">
        <v>0.0</v>
      </c>
      <c r="G91" s="124">
        <v>4920.0</v>
      </c>
      <c r="H91" s="124">
        <v>-0.006</v>
      </c>
      <c r="I91" s="124">
        <v>4920.0</v>
      </c>
      <c r="J91" s="124">
        <v>0.003</v>
      </c>
      <c r="K91" s="124">
        <v>4920.0</v>
      </c>
      <c r="L91" s="124">
        <v>0.002</v>
      </c>
      <c r="M91" s="124">
        <v>4920.0</v>
      </c>
      <c r="N91" s="124">
        <v>-0.009</v>
      </c>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row>
    <row r="92" ht="12.75" customHeight="1">
      <c r="A92" s="124">
        <v>4980.0</v>
      </c>
      <c r="B92" s="124">
        <v>0.015</v>
      </c>
      <c r="C92" s="124">
        <v>4980.0</v>
      </c>
      <c r="D92" s="124">
        <v>0.007</v>
      </c>
      <c r="E92" s="124">
        <v>4980.0</v>
      </c>
      <c r="F92" s="124">
        <v>0.0</v>
      </c>
      <c r="G92" s="124">
        <v>4980.0</v>
      </c>
      <c r="H92" s="124">
        <v>-0.006</v>
      </c>
      <c r="I92" s="124">
        <v>4980.0</v>
      </c>
      <c r="J92" s="124">
        <v>0.003</v>
      </c>
      <c r="K92" s="124">
        <v>4980.0</v>
      </c>
      <c r="L92" s="124">
        <v>0.002</v>
      </c>
      <c r="M92" s="124">
        <v>4980.0</v>
      </c>
      <c r="N92" s="124">
        <v>-0.009</v>
      </c>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row>
    <row r="93" ht="12.75" customHeight="1">
      <c r="A93" s="124">
        <v>5040.0</v>
      </c>
      <c r="B93" s="124">
        <v>0.015</v>
      </c>
      <c r="C93" s="124">
        <v>5040.0</v>
      </c>
      <c r="D93" s="124">
        <v>0.007</v>
      </c>
      <c r="E93" s="124">
        <v>5040.0</v>
      </c>
      <c r="F93" s="124">
        <v>0.0</v>
      </c>
      <c r="G93" s="124">
        <v>5040.0</v>
      </c>
      <c r="H93" s="124">
        <v>-0.006</v>
      </c>
      <c r="I93" s="124">
        <v>5040.0</v>
      </c>
      <c r="J93" s="124">
        <v>0.003</v>
      </c>
      <c r="K93" s="124">
        <v>5040.0</v>
      </c>
      <c r="L93" s="124">
        <v>0.002</v>
      </c>
      <c r="M93" s="124">
        <v>5040.0</v>
      </c>
      <c r="N93" s="124">
        <v>-0.009</v>
      </c>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row>
    <row r="94" ht="12.75" customHeight="1">
      <c r="A94" s="124">
        <v>5100.0</v>
      </c>
      <c r="B94" s="124">
        <v>0.015</v>
      </c>
      <c r="C94" s="124">
        <v>5100.0</v>
      </c>
      <c r="D94" s="124">
        <v>0.007</v>
      </c>
      <c r="E94" s="124">
        <v>5100.0</v>
      </c>
      <c r="F94" s="124">
        <v>0.0</v>
      </c>
      <c r="G94" s="124">
        <v>5100.0</v>
      </c>
      <c r="H94" s="124">
        <v>-0.006</v>
      </c>
      <c r="I94" s="124">
        <v>5100.0</v>
      </c>
      <c r="J94" s="124">
        <v>0.003</v>
      </c>
      <c r="K94" s="124">
        <v>5100.0</v>
      </c>
      <c r="L94" s="124">
        <v>0.002</v>
      </c>
      <c r="M94" s="124">
        <v>5100.0</v>
      </c>
      <c r="N94" s="124">
        <v>-0.009</v>
      </c>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row>
    <row r="95" ht="12.75" customHeight="1">
      <c r="A95" s="124">
        <v>5160.0</v>
      </c>
      <c r="B95" s="124">
        <v>0.016</v>
      </c>
      <c r="C95" s="124">
        <v>5160.0</v>
      </c>
      <c r="D95" s="124">
        <v>0.007</v>
      </c>
      <c r="E95" s="124">
        <v>5160.0</v>
      </c>
      <c r="F95" s="124">
        <v>0.0</v>
      </c>
      <c r="G95" s="124">
        <v>5160.0</v>
      </c>
      <c r="H95" s="124">
        <v>-0.006</v>
      </c>
      <c r="I95" s="124">
        <v>5160.0</v>
      </c>
      <c r="J95" s="124">
        <v>0.003</v>
      </c>
      <c r="K95" s="124">
        <v>5160.0</v>
      </c>
      <c r="L95" s="124">
        <v>0.002</v>
      </c>
      <c r="M95" s="124">
        <v>5160.0</v>
      </c>
      <c r="N95" s="124">
        <v>-0.009</v>
      </c>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row>
    <row r="96" ht="12.75" customHeight="1">
      <c r="A96" s="124">
        <v>5220.0</v>
      </c>
      <c r="B96" s="124">
        <v>0.016</v>
      </c>
      <c r="C96" s="124">
        <v>5220.0</v>
      </c>
      <c r="D96" s="124">
        <v>0.007</v>
      </c>
      <c r="E96" s="124">
        <v>5220.0</v>
      </c>
      <c r="F96" s="124">
        <v>0.0</v>
      </c>
      <c r="G96" s="124">
        <v>5220.0</v>
      </c>
      <c r="H96" s="124">
        <v>-0.006</v>
      </c>
      <c r="I96" s="124">
        <v>5220.0</v>
      </c>
      <c r="J96" s="124">
        <v>0.003</v>
      </c>
      <c r="K96" s="124">
        <v>5220.0</v>
      </c>
      <c r="L96" s="124">
        <v>0.002</v>
      </c>
      <c r="M96" s="124">
        <v>5220.0</v>
      </c>
      <c r="N96" s="124">
        <v>-0.009</v>
      </c>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row>
    <row r="97" ht="12.75" customHeight="1">
      <c r="A97" s="124">
        <v>5280.0</v>
      </c>
      <c r="B97" s="124">
        <v>0.016</v>
      </c>
      <c r="C97" s="124">
        <v>5280.0</v>
      </c>
      <c r="D97" s="124">
        <v>0.008</v>
      </c>
      <c r="E97" s="124">
        <v>5280.0</v>
      </c>
      <c r="F97" s="124">
        <v>0.0</v>
      </c>
      <c r="G97" s="124">
        <v>5280.0</v>
      </c>
      <c r="H97" s="124">
        <v>-0.006</v>
      </c>
      <c r="I97" s="124">
        <v>5280.0</v>
      </c>
      <c r="J97" s="124">
        <v>0.003</v>
      </c>
      <c r="K97" s="124">
        <v>5280.0</v>
      </c>
      <c r="L97" s="124">
        <v>0.002</v>
      </c>
      <c r="M97" s="124">
        <v>5280.0</v>
      </c>
      <c r="N97" s="124">
        <v>-0.009</v>
      </c>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row>
    <row r="98" ht="12.75" customHeight="1">
      <c r="A98" s="124">
        <v>5340.0</v>
      </c>
      <c r="B98" s="124">
        <v>0.016</v>
      </c>
      <c r="C98" s="124">
        <v>5340.0</v>
      </c>
      <c r="D98" s="124">
        <v>0.007</v>
      </c>
      <c r="E98" s="124">
        <v>5340.0</v>
      </c>
      <c r="F98" s="124">
        <v>0.0</v>
      </c>
      <c r="G98" s="124">
        <v>5340.0</v>
      </c>
      <c r="H98" s="124">
        <v>-0.006</v>
      </c>
      <c r="I98" s="124">
        <v>5340.0</v>
      </c>
      <c r="J98" s="124">
        <v>0.003</v>
      </c>
      <c r="K98" s="124">
        <v>5340.0</v>
      </c>
      <c r="L98" s="124">
        <v>0.003</v>
      </c>
      <c r="M98" s="124">
        <v>5340.0</v>
      </c>
      <c r="N98" s="124">
        <v>-0.009</v>
      </c>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row>
    <row r="99" ht="12.75" customHeight="1">
      <c r="A99" s="124">
        <v>5400.0</v>
      </c>
      <c r="B99" s="124">
        <v>0.016</v>
      </c>
      <c r="C99" s="124">
        <v>5400.0</v>
      </c>
      <c r="D99" s="124">
        <v>0.008</v>
      </c>
      <c r="E99" s="124">
        <v>5400.0</v>
      </c>
      <c r="F99" s="124">
        <v>0.0</v>
      </c>
      <c r="G99" s="124">
        <v>5400.0</v>
      </c>
      <c r="H99" s="124">
        <v>-0.006</v>
      </c>
      <c r="I99" s="124">
        <v>5400.0</v>
      </c>
      <c r="J99" s="124">
        <v>0.004</v>
      </c>
      <c r="K99" s="124">
        <v>5400.0</v>
      </c>
      <c r="L99" s="124">
        <v>0.002</v>
      </c>
      <c r="M99" s="124">
        <v>5400.0</v>
      </c>
      <c r="N99" s="124">
        <v>-0.009</v>
      </c>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row>
    <row r="100" ht="12.75" customHeight="1">
      <c r="A100" s="124">
        <v>5460.0</v>
      </c>
      <c r="B100" s="124">
        <v>0.017</v>
      </c>
      <c r="C100" s="124">
        <v>5460.0</v>
      </c>
      <c r="D100" s="124">
        <v>0.008</v>
      </c>
      <c r="E100" s="124">
        <v>5460.0</v>
      </c>
      <c r="F100" s="124">
        <v>0.001</v>
      </c>
      <c r="G100" s="124">
        <v>5460.0</v>
      </c>
      <c r="H100" s="124">
        <v>-0.006</v>
      </c>
      <c r="I100" s="124">
        <v>5460.0</v>
      </c>
      <c r="J100" s="124">
        <v>0.004</v>
      </c>
      <c r="K100" s="124">
        <v>5460.0</v>
      </c>
      <c r="L100" s="124">
        <v>0.002</v>
      </c>
      <c r="M100" s="124">
        <v>5460.0</v>
      </c>
      <c r="N100" s="124">
        <v>-0.008</v>
      </c>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row>
    <row r="101" ht="12.75" customHeight="1">
      <c r="A101" s="124">
        <v>5520.0</v>
      </c>
      <c r="B101" s="124">
        <v>0.017</v>
      </c>
      <c r="C101" s="124">
        <v>5520.0</v>
      </c>
      <c r="D101" s="124">
        <v>0.008</v>
      </c>
      <c r="E101" s="124">
        <v>5520.0</v>
      </c>
      <c r="F101" s="124">
        <v>0.001</v>
      </c>
      <c r="G101" s="124">
        <v>5520.0</v>
      </c>
      <c r="H101" s="124">
        <v>-0.006</v>
      </c>
      <c r="I101" s="124">
        <v>5520.0</v>
      </c>
      <c r="J101" s="124">
        <v>0.004</v>
      </c>
      <c r="K101" s="124">
        <v>5520.0</v>
      </c>
      <c r="L101" s="124">
        <v>0.002</v>
      </c>
      <c r="M101" s="124">
        <v>5520.0</v>
      </c>
      <c r="N101" s="124">
        <v>-0.009</v>
      </c>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row>
    <row r="102" ht="12.75" customHeight="1">
      <c r="A102" s="124">
        <v>5580.0</v>
      </c>
      <c r="B102" s="124">
        <v>0.017</v>
      </c>
      <c r="C102" s="124">
        <v>5580.0</v>
      </c>
      <c r="D102" s="124">
        <v>0.008</v>
      </c>
      <c r="E102" s="124">
        <v>5580.0</v>
      </c>
      <c r="F102" s="124">
        <v>0.001</v>
      </c>
      <c r="G102" s="124">
        <v>5580.0</v>
      </c>
      <c r="H102" s="124">
        <v>-0.006</v>
      </c>
      <c r="I102" s="124">
        <v>5580.0</v>
      </c>
      <c r="J102" s="124">
        <v>0.005</v>
      </c>
      <c r="K102" s="124">
        <v>5580.0</v>
      </c>
      <c r="L102" s="124">
        <v>0.002</v>
      </c>
      <c r="M102" s="124">
        <v>5580.0</v>
      </c>
      <c r="N102" s="124">
        <v>-0.008</v>
      </c>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row>
    <row r="103" ht="12.75" customHeight="1">
      <c r="A103" s="124">
        <v>5640.0</v>
      </c>
      <c r="B103" s="124">
        <v>0.017</v>
      </c>
      <c r="C103" s="124">
        <v>5640.0</v>
      </c>
      <c r="D103" s="124">
        <v>0.008</v>
      </c>
      <c r="E103" s="124">
        <v>5640.0</v>
      </c>
      <c r="F103" s="124">
        <v>0.001</v>
      </c>
      <c r="G103" s="124">
        <v>5640.0</v>
      </c>
      <c r="H103" s="124">
        <v>-0.005</v>
      </c>
      <c r="I103" s="124">
        <v>5640.0</v>
      </c>
      <c r="J103" s="124">
        <v>0.004</v>
      </c>
      <c r="K103" s="124">
        <v>5640.0</v>
      </c>
      <c r="L103" s="124">
        <v>0.002</v>
      </c>
      <c r="M103" s="124">
        <v>5640.0</v>
      </c>
      <c r="N103" s="124">
        <v>-0.008</v>
      </c>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row>
    <row r="104" ht="12.75" customHeight="1">
      <c r="A104" s="124">
        <v>5700.0</v>
      </c>
      <c r="B104" s="124">
        <v>0.018</v>
      </c>
      <c r="C104" s="124">
        <v>5700.0</v>
      </c>
      <c r="D104" s="124">
        <v>0.008</v>
      </c>
      <c r="E104" s="124">
        <v>5700.0</v>
      </c>
      <c r="F104" s="124">
        <v>0.001</v>
      </c>
      <c r="G104" s="124">
        <v>5700.0</v>
      </c>
      <c r="H104" s="124">
        <v>-0.006</v>
      </c>
      <c r="I104" s="124">
        <v>5700.0</v>
      </c>
      <c r="J104" s="124">
        <v>0.004</v>
      </c>
      <c r="K104" s="124">
        <v>5700.0</v>
      </c>
      <c r="L104" s="124">
        <v>0.002</v>
      </c>
      <c r="M104" s="124">
        <v>5700.0</v>
      </c>
      <c r="N104" s="124">
        <v>-0.009</v>
      </c>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row>
    <row r="105" ht="12.75" customHeight="1">
      <c r="A105" s="124">
        <v>5760.0</v>
      </c>
      <c r="B105" s="124">
        <v>0.017</v>
      </c>
      <c r="C105" s="124">
        <v>5760.0</v>
      </c>
      <c r="D105" s="124">
        <v>0.009</v>
      </c>
      <c r="E105" s="124">
        <v>5760.0</v>
      </c>
      <c r="F105" s="124">
        <v>0.001</v>
      </c>
      <c r="G105" s="124">
        <v>5760.0</v>
      </c>
      <c r="H105" s="124">
        <v>-0.005</v>
      </c>
      <c r="I105" s="124">
        <v>5760.0</v>
      </c>
      <c r="J105" s="124">
        <v>0.004</v>
      </c>
      <c r="K105" s="124">
        <v>5760.0</v>
      </c>
      <c r="L105" s="124">
        <v>0.002</v>
      </c>
      <c r="M105" s="124">
        <v>5760.0</v>
      </c>
      <c r="N105" s="124">
        <v>-0.009</v>
      </c>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row>
    <row r="106" ht="12.75" customHeight="1">
      <c r="A106" s="124">
        <v>5820.0</v>
      </c>
      <c r="B106" s="124">
        <v>0.018</v>
      </c>
      <c r="C106" s="124">
        <v>5820.0</v>
      </c>
      <c r="D106" s="124">
        <v>0.009</v>
      </c>
      <c r="E106" s="124">
        <v>5820.0</v>
      </c>
      <c r="F106" s="124">
        <v>0.001</v>
      </c>
      <c r="G106" s="124">
        <v>5820.0</v>
      </c>
      <c r="H106" s="124">
        <v>-0.006</v>
      </c>
      <c r="I106" s="124">
        <v>5820.0</v>
      </c>
      <c r="J106" s="124">
        <v>0.005</v>
      </c>
      <c r="K106" s="124">
        <v>5820.0</v>
      </c>
      <c r="L106" s="124">
        <v>0.002</v>
      </c>
      <c r="M106" s="124">
        <v>5820.0</v>
      </c>
      <c r="N106" s="124">
        <v>-0.009</v>
      </c>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row>
    <row r="107" ht="12.75" customHeight="1">
      <c r="A107" s="124">
        <v>5880.0</v>
      </c>
      <c r="B107" s="124">
        <v>0.018</v>
      </c>
      <c r="C107" s="124">
        <v>5880.0</v>
      </c>
      <c r="D107" s="124">
        <v>0.008</v>
      </c>
      <c r="E107" s="124">
        <v>5880.0</v>
      </c>
      <c r="F107" s="124">
        <v>0.001</v>
      </c>
      <c r="G107" s="124">
        <v>5880.0</v>
      </c>
      <c r="H107" s="124">
        <v>-0.005</v>
      </c>
      <c r="I107" s="124">
        <v>5880.0</v>
      </c>
      <c r="J107" s="124">
        <v>0.005</v>
      </c>
      <c r="K107" s="124">
        <v>5880.0</v>
      </c>
      <c r="L107" s="124">
        <v>0.002</v>
      </c>
      <c r="M107" s="124">
        <v>5880.0</v>
      </c>
      <c r="N107" s="124">
        <v>-0.009</v>
      </c>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row>
    <row r="108" ht="12.75" customHeight="1">
      <c r="A108" s="124">
        <v>5940.0</v>
      </c>
      <c r="B108" s="124">
        <v>0.018</v>
      </c>
      <c r="C108" s="124">
        <v>5940.0</v>
      </c>
      <c r="D108" s="124">
        <v>0.009</v>
      </c>
      <c r="E108" s="124">
        <v>5940.0</v>
      </c>
      <c r="F108" s="124">
        <v>0.002</v>
      </c>
      <c r="G108" s="124">
        <v>5940.0</v>
      </c>
      <c r="H108" s="124">
        <v>-0.005</v>
      </c>
      <c r="I108" s="124">
        <v>5940.0</v>
      </c>
      <c r="J108" s="124">
        <v>0.005</v>
      </c>
      <c r="K108" s="124">
        <v>5940.0</v>
      </c>
      <c r="L108" s="124">
        <v>0.002</v>
      </c>
      <c r="M108" s="124">
        <v>5940.0</v>
      </c>
      <c r="N108" s="124">
        <v>-0.008</v>
      </c>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row>
    <row r="109" ht="12.75" customHeight="1">
      <c r="A109" s="124">
        <v>6000.0</v>
      </c>
      <c r="B109" s="124">
        <v>0.018</v>
      </c>
      <c r="C109" s="124">
        <v>6000.0</v>
      </c>
      <c r="D109" s="124">
        <v>0.009</v>
      </c>
      <c r="E109" s="124">
        <v>6000.0</v>
      </c>
      <c r="F109" s="124">
        <v>0.002</v>
      </c>
      <c r="G109" s="124">
        <v>6000.0</v>
      </c>
      <c r="H109" s="124">
        <v>-0.005</v>
      </c>
      <c r="I109" s="124">
        <v>6000.0</v>
      </c>
      <c r="J109" s="124">
        <v>0.005</v>
      </c>
      <c r="K109" s="124">
        <v>6000.0</v>
      </c>
      <c r="L109" s="124">
        <v>0.002</v>
      </c>
      <c r="M109" s="124">
        <v>6000.0</v>
      </c>
      <c r="N109" s="124">
        <v>-0.008</v>
      </c>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row>
    <row r="110" ht="12.75" customHeight="1">
      <c r="A110" s="124">
        <v>6060.0</v>
      </c>
      <c r="B110" s="124">
        <v>0.019</v>
      </c>
      <c r="C110" s="124">
        <v>6060.0</v>
      </c>
      <c r="D110" s="124">
        <v>0.009</v>
      </c>
      <c r="E110" s="124">
        <v>6060.0</v>
      </c>
      <c r="F110" s="124">
        <v>0.002</v>
      </c>
      <c r="G110" s="124">
        <v>6060.0</v>
      </c>
      <c r="H110" s="124">
        <v>-0.005</v>
      </c>
      <c r="I110" s="124">
        <v>6060.0</v>
      </c>
      <c r="J110" s="124">
        <v>0.005</v>
      </c>
      <c r="K110" s="124">
        <v>6060.0</v>
      </c>
      <c r="L110" s="124">
        <v>0.003</v>
      </c>
      <c r="M110" s="124">
        <v>6060.0</v>
      </c>
      <c r="N110" s="124">
        <v>-0.008</v>
      </c>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row>
    <row r="111" ht="12.75" customHeight="1">
      <c r="A111" s="124">
        <v>6120.0</v>
      </c>
      <c r="B111" s="124">
        <v>0.018</v>
      </c>
      <c r="C111" s="124">
        <v>6120.0</v>
      </c>
      <c r="D111" s="124">
        <v>0.01</v>
      </c>
      <c r="E111" s="124">
        <v>6120.0</v>
      </c>
      <c r="F111" s="124">
        <v>0.002</v>
      </c>
      <c r="G111" s="124">
        <v>6120.0</v>
      </c>
      <c r="H111" s="124">
        <v>-0.006</v>
      </c>
      <c r="I111" s="124">
        <v>6120.0</v>
      </c>
      <c r="J111" s="124">
        <v>0.005</v>
      </c>
      <c r="K111" s="124">
        <v>6120.0</v>
      </c>
      <c r="L111" s="124">
        <v>0.002</v>
      </c>
      <c r="M111" s="124">
        <v>6120.0</v>
      </c>
      <c r="N111" s="124">
        <v>-0.008</v>
      </c>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row>
    <row r="112" ht="12.75" customHeight="1">
      <c r="A112" s="124">
        <v>6180.0</v>
      </c>
      <c r="B112" s="124">
        <v>0.019</v>
      </c>
      <c r="C112" s="124">
        <v>6180.0</v>
      </c>
      <c r="D112" s="124">
        <v>0.01</v>
      </c>
      <c r="E112" s="124">
        <v>6180.0</v>
      </c>
      <c r="F112" s="124">
        <v>0.002</v>
      </c>
      <c r="G112" s="124">
        <v>6180.0</v>
      </c>
      <c r="H112" s="124">
        <v>-0.005</v>
      </c>
      <c r="I112" s="124">
        <v>6180.0</v>
      </c>
      <c r="J112" s="124">
        <v>0.006</v>
      </c>
      <c r="K112" s="124">
        <v>6180.0</v>
      </c>
      <c r="L112" s="124">
        <v>0.003</v>
      </c>
      <c r="M112" s="124">
        <v>6180.0</v>
      </c>
      <c r="N112" s="124">
        <v>-0.008</v>
      </c>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row>
    <row r="113" ht="12.75" customHeight="1">
      <c r="A113" s="124">
        <v>6240.0</v>
      </c>
      <c r="B113" s="124">
        <v>0.019</v>
      </c>
      <c r="C113" s="124">
        <v>6240.0</v>
      </c>
      <c r="D113" s="124">
        <v>0.01</v>
      </c>
      <c r="E113" s="124">
        <v>6240.0</v>
      </c>
      <c r="F113" s="124">
        <v>0.002</v>
      </c>
      <c r="G113" s="124">
        <v>6240.0</v>
      </c>
      <c r="H113" s="124">
        <v>-0.006</v>
      </c>
      <c r="I113" s="124">
        <v>6240.0</v>
      </c>
      <c r="J113" s="124">
        <v>0.005</v>
      </c>
      <c r="K113" s="124">
        <v>6240.0</v>
      </c>
      <c r="L113" s="124">
        <v>0.003</v>
      </c>
      <c r="M113" s="124">
        <v>6240.0</v>
      </c>
      <c r="N113" s="124">
        <v>-0.008</v>
      </c>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row>
    <row r="114" ht="12.75" customHeight="1">
      <c r="A114" s="124">
        <v>6300.0</v>
      </c>
      <c r="B114" s="124">
        <v>0.019</v>
      </c>
      <c r="C114" s="124">
        <v>6300.0</v>
      </c>
      <c r="D114" s="124">
        <v>0.01</v>
      </c>
      <c r="E114" s="124">
        <v>6300.0</v>
      </c>
      <c r="F114" s="124">
        <v>0.002</v>
      </c>
      <c r="G114" s="124">
        <v>6300.0</v>
      </c>
      <c r="H114" s="124">
        <v>-0.005</v>
      </c>
      <c r="I114" s="124">
        <v>6300.0</v>
      </c>
      <c r="J114" s="124">
        <v>0.005</v>
      </c>
      <c r="K114" s="124">
        <v>6300.0</v>
      </c>
      <c r="L114" s="124">
        <v>0.002</v>
      </c>
      <c r="M114" s="124">
        <v>6300.0</v>
      </c>
      <c r="N114" s="124">
        <v>-0.008</v>
      </c>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row>
    <row r="115" ht="12.75" customHeight="1">
      <c r="A115" s="124">
        <v>6360.0</v>
      </c>
      <c r="B115" s="124">
        <v>0.019</v>
      </c>
      <c r="C115" s="124">
        <v>6360.0</v>
      </c>
      <c r="D115" s="124">
        <v>0.01</v>
      </c>
      <c r="E115" s="124">
        <v>6360.0</v>
      </c>
      <c r="F115" s="124">
        <v>0.002</v>
      </c>
      <c r="G115" s="124">
        <v>6360.0</v>
      </c>
      <c r="H115" s="124">
        <v>-0.005</v>
      </c>
      <c r="I115" s="124">
        <v>6360.0</v>
      </c>
      <c r="J115" s="124">
        <v>0.006</v>
      </c>
      <c r="K115" s="124">
        <v>6360.0</v>
      </c>
      <c r="L115" s="124">
        <v>0.003</v>
      </c>
      <c r="M115" s="124">
        <v>6360.0</v>
      </c>
      <c r="N115" s="124">
        <v>-0.008</v>
      </c>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row>
    <row r="116" ht="12.75" customHeight="1">
      <c r="A116" s="124">
        <v>6420.0</v>
      </c>
      <c r="B116" s="124">
        <v>0.019</v>
      </c>
      <c r="C116" s="124">
        <v>6420.0</v>
      </c>
      <c r="D116" s="124">
        <v>0.01</v>
      </c>
      <c r="E116" s="124">
        <v>6420.0</v>
      </c>
      <c r="F116" s="124">
        <v>0.003</v>
      </c>
      <c r="G116" s="124">
        <v>6420.0</v>
      </c>
      <c r="H116" s="124">
        <v>-0.005</v>
      </c>
      <c r="I116" s="124">
        <v>6420.0</v>
      </c>
      <c r="J116" s="124">
        <v>0.006</v>
      </c>
      <c r="K116" s="124">
        <v>6420.0</v>
      </c>
      <c r="L116" s="124">
        <v>0.002</v>
      </c>
      <c r="M116" s="124">
        <v>6420.0</v>
      </c>
      <c r="N116" s="124">
        <v>-0.008</v>
      </c>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row>
    <row r="117" ht="12.75" customHeight="1">
      <c r="A117" s="124">
        <v>6480.0</v>
      </c>
      <c r="B117" s="124">
        <v>0.02</v>
      </c>
      <c r="C117" s="124">
        <v>6480.0</v>
      </c>
      <c r="D117" s="124">
        <v>0.01</v>
      </c>
      <c r="E117" s="124">
        <v>6480.0</v>
      </c>
      <c r="F117" s="124">
        <v>0.003</v>
      </c>
      <c r="G117" s="124">
        <v>6480.0</v>
      </c>
      <c r="H117" s="124">
        <v>-0.005</v>
      </c>
      <c r="I117" s="124">
        <v>6480.0</v>
      </c>
      <c r="J117" s="124">
        <v>0.006</v>
      </c>
      <c r="K117" s="124">
        <v>6480.0</v>
      </c>
      <c r="L117" s="124">
        <v>0.003</v>
      </c>
      <c r="M117" s="124">
        <v>6480.0</v>
      </c>
      <c r="N117" s="124">
        <v>-0.008</v>
      </c>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row>
    <row r="118" ht="12.75" customHeight="1">
      <c r="A118" s="124">
        <v>6540.0</v>
      </c>
      <c r="B118" s="124">
        <v>0.02</v>
      </c>
      <c r="C118" s="124">
        <v>6540.0</v>
      </c>
      <c r="D118" s="124">
        <v>0.011</v>
      </c>
      <c r="E118" s="124">
        <v>6540.0</v>
      </c>
      <c r="F118" s="124">
        <v>0.002</v>
      </c>
      <c r="G118" s="124">
        <v>6540.0</v>
      </c>
      <c r="H118" s="124">
        <v>-0.005</v>
      </c>
      <c r="I118" s="124">
        <v>6540.0</v>
      </c>
      <c r="J118" s="124">
        <v>0.006</v>
      </c>
      <c r="K118" s="124">
        <v>6540.0</v>
      </c>
      <c r="L118" s="124">
        <v>0.002</v>
      </c>
      <c r="M118" s="124">
        <v>6540.0</v>
      </c>
      <c r="N118" s="124">
        <v>-0.008</v>
      </c>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row>
    <row r="119" ht="12.7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row>
    <row r="120" ht="12.7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row>
    <row r="121" ht="12.7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row>
    <row r="122" ht="12.7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row>
    <row r="123" ht="12.7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row>
    <row r="124" ht="12.7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row>
    <row r="125" ht="12.7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row>
    <row r="126" ht="12.7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row>
    <row r="127" ht="12.7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row>
    <row r="128" ht="12.7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row>
    <row r="129" ht="12.7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row>
    <row r="130" ht="12.7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row>
    <row r="131" ht="12.7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row>
    <row r="132" ht="12.7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row>
    <row r="133" ht="12.7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row>
    <row r="134" ht="12.7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row>
    <row r="135" ht="12.7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row>
    <row r="136" ht="12.7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row>
    <row r="137" ht="12.7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row>
    <row r="138" ht="12.7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row>
    <row r="139" ht="12.7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row>
    <row r="140" ht="12.7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row>
    <row r="141" ht="12.7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row>
    <row r="142" ht="12.7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row>
    <row r="143" ht="12.7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row>
    <row r="144" ht="12.7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row>
    <row r="145" ht="12.7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row>
    <row r="146" ht="12.7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row>
    <row r="147" ht="12.7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row>
    <row r="148" ht="12.7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row>
    <row r="149" ht="12.7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row>
    <row r="150" ht="12.7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row>
    <row r="151" ht="12.7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row>
    <row r="152" ht="12.7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row>
    <row r="153" ht="12.7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row>
    <row r="154" ht="12.7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row>
    <row r="155" ht="12.7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row>
    <row r="156" ht="12.7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row>
    <row r="157" ht="12.7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row>
    <row r="158" ht="12.7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row>
    <row r="159" ht="12.7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row>
    <row r="160" ht="12.7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row>
    <row r="161" ht="12.7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row>
    <row r="162" ht="12.7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row>
    <row r="163" ht="12.7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row>
    <row r="164" ht="12.7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row>
    <row r="165" ht="12.7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row>
    <row r="166" ht="12.7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row>
    <row r="167" ht="12.7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row>
    <row r="168" ht="12.7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row>
    <row r="169" ht="12.7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row>
    <row r="170" ht="12.7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row>
    <row r="171" ht="12.7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row>
    <row r="172" ht="12.7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row>
    <row r="173" ht="12.7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row>
    <row r="174" ht="12.7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row>
    <row r="175" ht="12.7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row>
    <row r="176" ht="12.7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row>
    <row r="177" ht="12.7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row>
    <row r="178" ht="12.7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row>
    <row r="179" ht="12.7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row>
    <row r="180" ht="12.7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row>
    <row r="181" ht="12.7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row>
    <row r="182" ht="12.7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row>
    <row r="183" ht="12.7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row>
    <row r="184" ht="12.7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row>
    <row r="185" ht="12.7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row>
    <row r="186" ht="12.7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row>
    <row r="187" ht="12.7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row>
    <row r="188" ht="12.7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row>
    <row r="189" ht="12.7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row>
    <row r="190" ht="12.7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row>
    <row r="191" ht="12.7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row>
    <row r="192" ht="12.7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row>
    <row r="193" ht="12.7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row>
    <row r="194" ht="12.7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row>
    <row r="195" ht="12.7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row>
    <row r="196" ht="12.7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row>
    <row r="197" ht="12.7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row>
    <row r="198" ht="12.7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row>
    <row r="199" ht="12.7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row>
    <row r="200" ht="12.7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row>
    <row r="201" ht="12.7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row>
    <row r="202" ht="12.7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row>
    <row r="203" ht="12.7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row>
    <row r="204" ht="12.7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124"/>
      <c r="AL204" s="124"/>
      <c r="AM204" s="124"/>
      <c r="AN204" s="124"/>
      <c r="AO204" s="124"/>
      <c r="AP204" s="124"/>
      <c r="AQ204" s="124"/>
      <c r="AR204" s="124"/>
    </row>
    <row r="205" ht="12.7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c r="AL205" s="124"/>
      <c r="AM205" s="124"/>
      <c r="AN205" s="124"/>
      <c r="AO205" s="124"/>
      <c r="AP205" s="124"/>
      <c r="AQ205" s="124"/>
      <c r="AR205" s="124"/>
    </row>
    <row r="206" ht="12.7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4"/>
    </row>
    <row r="207" ht="12.7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row>
    <row r="208" ht="12.7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row>
    <row r="209" ht="12.7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c r="AL209" s="124"/>
      <c r="AM209" s="124"/>
      <c r="AN209" s="124"/>
      <c r="AO209" s="124"/>
      <c r="AP209" s="124"/>
      <c r="AQ209" s="124"/>
      <c r="AR209" s="124"/>
    </row>
    <row r="210" ht="12.7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c r="AL210" s="124"/>
      <c r="AM210" s="124"/>
      <c r="AN210" s="124"/>
      <c r="AO210" s="124"/>
      <c r="AP210" s="124"/>
      <c r="AQ210" s="124"/>
      <c r="AR210" s="124"/>
    </row>
    <row r="211" ht="12.7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c r="AL211" s="124"/>
      <c r="AM211" s="124"/>
      <c r="AN211" s="124"/>
      <c r="AO211" s="124"/>
      <c r="AP211" s="124"/>
      <c r="AQ211" s="124"/>
      <c r="AR211" s="124"/>
    </row>
    <row r="212" ht="12.7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c r="AL212" s="124"/>
      <c r="AM212" s="124"/>
      <c r="AN212" s="124"/>
      <c r="AO212" s="124"/>
      <c r="AP212" s="124"/>
      <c r="AQ212" s="124"/>
      <c r="AR212" s="124"/>
    </row>
    <row r="213" ht="12.7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124"/>
      <c r="AL213" s="124"/>
      <c r="AM213" s="124"/>
      <c r="AN213" s="124"/>
      <c r="AO213" s="124"/>
      <c r="AP213" s="124"/>
      <c r="AQ213" s="124"/>
      <c r="AR213" s="124"/>
    </row>
    <row r="214" ht="12.7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124"/>
      <c r="AL214" s="124"/>
      <c r="AM214" s="124"/>
      <c r="AN214" s="124"/>
      <c r="AO214" s="124"/>
      <c r="AP214" s="124"/>
      <c r="AQ214" s="124"/>
      <c r="AR214" s="124"/>
    </row>
    <row r="215" ht="12.7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c r="AL215" s="124"/>
      <c r="AM215" s="124"/>
      <c r="AN215" s="124"/>
      <c r="AO215" s="124"/>
      <c r="AP215" s="124"/>
      <c r="AQ215" s="124"/>
      <c r="AR215" s="124"/>
    </row>
    <row r="216" ht="12.7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c r="AL216" s="124"/>
      <c r="AM216" s="124"/>
      <c r="AN216" s="124"/>
      <c r="AO216" s="124"/>
      <c r="AP216" s="124"/>
      <c r="AQ216" s="124"/>
      <c r="AR216" s="124"/>
    </row>
    <row r="217" ht="12.7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c r="AL217" s="124"/>
      <c r="AM217" s="124"/>
      <c r="AN217" s="124"/>
      <c r="AO217" s="124"/>
      <c r="AP217" s="124"/>
      <c r="AQ217" s="124"/>
      <c r="AR217" s="124"/>
    </row>
    <row r="218" ht="12.7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c r="AL218" s="124"/>
      <c r="AM218" s="124"/>
      <c r="AN218" s="124"/>
      <c r="AO218" s="124"/>
      <c r="AP218" s="124"/>
      <c r="AQ218" s="124"/>
      <c r="AR218" s="124"/>
    </row>
    <row r="219" ht="12.7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124"/>
      <c r="AL219" s="124"/>
      <c r="AM219" s="124"/>
      <c r="AN219" s="124"/>
      <c r="AO219" s="124"/>
      <c r="AP219" s="124"/>
      <c r="AQ219" s="124"/>
      <c r="AR219" s="124"/>
    </row>
    <row r="220" ht="12.7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124"/>
      <c r="AL220" s="124"/>
      <c r="AM220" s="124"/>
      <c r="AN220" s="124"/>
      <c r="AO220" s="124"/>
      <c r="AP220" s="124"/>
      <c r="AQ220" s="124"/>
      <c r="AR220" s="124"/>
    </row>
    <row r="221" ht="12.7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c r="AL221" s="124"/>
      <c r="AM221" s="124"/>
      <c r="AN221" s="124"/>
      <c r="AO221" s="124"/>
      <c r="AP221" s="124"/>
      <c r="AQ221" s="124"/>
      <c r="AR221" s="124"/>
    </row>
    <row r="222" ht="12.7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124"/>
      <c r="AL222" s="124"/>
      <c r="AM222" s="124"/>
      <c r="AN222" s="124"/>
      <c r="AO222" s="124"/>
      <c r="AP222" s="124"/>
      <c r="AQ222" s="124"/>
      <c r="AR222" s="124"/>
    </row>
    <row r="223" ht="12.7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c r="AL223" s="124"/>
      <c r="AM223" s="124"/>
      <c r="AN223" s="124"/>
      <c r="AO223" s="124"/>
      <c r="AP223" s="124"/>
      <c r="AQ223" s="124"/>
      <c r="AR223" s="124"/>
    </row>
    <row r="224" ht="12.7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124"/>
      <c r="AL224" s="124"/>
      <c r="AM224" s="124"/>
      <c r="AN224" s="124"/>
      <c r="AO224" s="124"/>
      <c r="AP224" s="124"/>
      <c r="AQ224" s="124"/>
      <c r="AR224" s="124"/>
    </row>
    <row r="225" ht="12.7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c r="AL225" s="124"/>
      <c r="AM225" s="124"/>
      <c r="AN225" s="124"/>
      <c r="AO225" s="124"/>
      <c r="AP225" s="124"/>
      <c r="AQ225" s="124"/>
      <c r="AR225" s="124"/>
    </row>
    <row r="226" ht="12.7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124"/>
      <c r="AL226" s="124"/>
      <c r="AM226" s="124"/>
      <c r="AN226" s="124"/>
      <c r="AO226" s="124"/>
      <c r="AP226" s="124"/>
      <c r="AQ226" s="124"/>
      <c r="AR226" s="124"/>
    </row>
    <row r="227" ht="12.7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row>
    <row r="228" ht="12.7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c r="AL228" s="124"/>
      <c r="AM228" s="124"/>
      <c r="AN228" s="124"/>
      <c r="AO228" s="124"/>
      <c r="AP228" s="124"/>
      <c r="AQ228" s="124"/>
      <c r="AR228" s="124"/>
    </row>
    <row r="229" ht="12.7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c r="AL229" s="124"/>
      <c r="AM229" s="124"/>
      <c r="AN229" s="124"/>
      <c r="AO229" s="124"/>
      <c r="AP229" s="124"/>
      <c r="AQ229" s="124"/>
      <c r="AR229" s="124"/>
    </row>
    <row r="230" ht="12.7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c r="AL230" s="124"/>
      <c r="AM230" s="124"/>
      <c r="AN230" s="124"/>
      <c r="AO230" s="124"/>
      <c r="AP230" s="124"/>
      <c r="AQ230" s="124"/>
      <c r="AR230" s="124"/>
    </row>
    <row r="231" ht="12.7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124"/>
      <c r="AL231" s="124"/>
      <c r="AM231" s="124"/>
      <c r="AN231" s="124"/>
      <c r="AO231" s="124"/>
      <c r="AP231" s="124"/>
      <c r="AQ231" s="124"/>
      <c r="AR231" s="124"/>
    </row>
    <row r="232" ht="12.7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c r="AL232" s="124"/>
      <c r="AM232" s="124"/>
      <c r="AN232" s="124"/>
      <c r="AO232" s="124"/>
      <c r="AP232" s="124"/>
      <c r="AQ232" s="124"/>
      <c r="AR232" s="124"/>
    </row>
    <row r="233" ht="12.7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c r="AL233" s="124"/>
      <c r="AM233" s="124"/>
      <c r="AN233" s="124"/>
      <c r="AO233" s="124"/>
      <c r="AP233" s="124"/>
      <c r="AQ233" s="124"/>
      <c r="AR233" s="124"/>
    </row>
    <row r="234" ht="12.7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124"/>
      <c r="AL234" s="124"/>
      <c r="AM234" s="124"/>
      <c r="AN234" s="124"/>
      <c r="AO234" s="124"/>
      <c r="AP234" s="124"/>
      <c r="AQ234" s="124"/>
      <c r="AR234" s="124"/>
    </row>
    <row r="235" ht="12.7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c r="AL235" s="124"/>
      <c r="AM235" s="124"/>
      <c r="AN235" s="124"/>
      <c r="AO235" s="124"/>
      <c r="AP235" s="124"/>
      <c r="AQ235" s="124"/>
      <c r="AR235" s="124"/>
    </row>
    <row r="236" ht="12.7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c r="AL236" s="124"/>
      <c r="AM236" s="124"/>
      <c r="AN236" s="124"/>
      <c r="AO236" s="124"/>
      <c r="AP236" s="124"/>
      <c r="AQ236" s="124"/>
      <c r="AR236" s="124"/>
    </row>
    <row r="237" ht="12.7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124"/>
      <c r="AL237" s="124"/>
      <c r="AM237" s="124"/>
      <c r="AN237" s="124"/>
      <c r="AO237" s="124"/>
      <c r="AP237" s="124"/>
      <c r="AQ237" s="124"/>
      <c r="AR237" s="124"/>
    </row>
    <row r="238" ht="12.7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124"/>
      <c r="AL238" s="124"/>
      <c r="AM238" s="124"/>
      <c r="AN238" s="124"/>
      <c r="AO238" s="124"/>
      <c r="AP238" s="124"/>
      <c r="AQ238" s="124"/>
      <c r="AR238" s="124"/>
    </row>
    <row r="239" ht="12.7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c r="AL239" s="124"/>
      <c r="AM239" s="124"/>
      <c r="AN239" s="124"/>
      <c r="AO239" s="124"/>
      <c r="AP239" s="124"/>
      <c r="AQ239" s="124"/>
      <c r="AR239" s="124"/>
    </row>
    <row r="240" ht="12.7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124"/>
      <c r="AL240" s="124"/>
      <c r="AM240" s="124"/>
      <c r="AN240" s="124"/>
      <c r="AO240" s="124"/>
      <c r="AP240" s="124"/>
      <c r="AQ240" s="124"/>
      <c r="AR240" s="124"/>
    </row>
    <row r="241" ht="12.7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124"/>
      <c r="AL241" s="124"/>
      <c r="AM241" s="124"/>
      <c r="AN241" s="124"/>
      <c r="AO241" s="124"/>
      <c r="AP241" s="124"/>
      <c r="AQ241" s="124"/>
      <c r="AR241" s="124"/>
    </row>
    <row r="242" ht="12.7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124"/>
      <c r="AL242" s="124"/>
      <c r="AM242" s="124"/>
      <c r="AN242" s="124"/>
      <c r="AO242" s="124"/>
      <c r="AP242" s="124"/>
      <c r="AQ242" s="124"/>
      <c r="AR242" s="124"/>
    </row>
    <row r="243" ht="12.7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124"/>
      <c r="AL243" s="124"/>
      <c r="AM243" s="124"/>
      <c r="AN243" s="124"/>
      <c r="AO243" s="124"/>
      <c r="AP243" s="124"/>
      <c r="AQ243" s="124"/>
      <c r="AR243" s="124"/>
    </row>
    <row r="244" ht="12.7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124"/>
      <c r="AL244" s="124"/>
      <c r="AM244" s="124"/>
      <c r="AN244" s="124"/>
      <c r="AO244" s="124"/>
      <c r="AP244" s="124"/>
      <c r="AQ244" s="124"/>
      <c r="AR244" s="124"/>
    </row>
    <row r="245" ht="12.7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c r="AR245" s="124"/>
    </row>
    <row r="246" ht="12.7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c r="AL246" s="124"/>
      <c r="AM246" s="124"/>
      <c r="AN246" s="124"/>
      <c r="AO246" s="124"/>
      <c r="AP246" s="124"/>
      <c r="AQ246" s="124"/>
      <c r="AR246" s="124"/>
    </row>
    <row r="247" ht="12.7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c r="AL247" s="124"/>
      <c r="AM247" s="124"/>
      <c r="AN247" s="124"/>
      <c r="AO247" s="124"/>
      <c r="AP247" s="124"/>
      <c r="AQ247" s="124"/>
      <c r="AR247" s="124"/>
    </row>
    <row r="248" ht="12.7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c r="AL248" s="124"/>
      <c r="AM248" s="124"/>
      <c r="AN248" s="124"/>
      <c r="AO248" s="124"/>
      <c r="AP248" s="124"/>
      <c r="AQ248" s="124"/>
      <c r="AR248" s="124"/>
    </row>
    <row r="249" ht="12.7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c r="AL249" s="124"/>
      <c r="AM249" s="124"/>
      <c r="AN249" s="124"/>
      <c r="AO249" s="124"/>
      <c r="AP249" s="124"/>
      <c r="AQ249" s="124"/>
      <c r="AR249" s="124"/>
    </row>
    <row r="250" ht="12.7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c r="AL250" s="124"/>
      <c r="AM250" s="124"/>
      <c r="AN250" s="124"/>
      <c r="AO250" s="124"/>
      <c r="AP250" s="124"/>
      <c r="AQ250" s="124"/>
      <c r="AR250" s="124"/>
    </row>
    <row r="251" ht="12.7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c r="AL251" s="124"/>
      <c r="AM251" s="124"/>
      <c r="AN251" s="124"/>
      <c r="AO251" s="124"/>
      <c r="AP251" s="124"/>
      <c r="AQ251" s="124"/>
      <c r="AR251" s="124"/>
    </row>
    <row r="252" ht="12.7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c r="AL252" s="124"/>
      <c r="AM252" s="124"/>
      <c r="AN252" s="124"/>
      <c r="AO252" s="124"/>
      <c r="AP252" s="124"/>
      <c r="AQ252" s="124"/>
      <c r="AR252" s="124"/>
    </row>
    <row r="253" ht="12.7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c r="AL253" s="124"/>
      <c r="AM253" s="124"/>
      <c r="AN253" s="124"/>
      <c r="AO253" s="124"/>
      <c r="AP253" s="124"/>
      <c r="AQ253" s="124"/>
      <c r="AR253" s="124"/>
    </row>
    <row r="254" ht="12.7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row>
    <row r="255" ht="12.7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c r="AL255" s="124"/>
      <c r="AM255" s="124"/>
      <c r="AN255" s="124"/>
      <c r="AO255" s="124"/>
      <c r="AP255" s="124"/>
      <c r="AQ255" s="124"/>
      <c r="AR255" s="124"/>
    </row>
    <row r="256" ht="12.7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c r="AL256" s="124"/>
      <c r="AM256" s="124"/>
      <c r="AN256" s="124"/>
      <c r="AO256" s="124"/>
      <c r="AP256" s="124"/>
      <c r="AQ256" s="124"/>
      <c r="AR256" s="124"/>
    </row>
    <row r="257" ht="12.7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c r="AL257" s="124"/>
      <c r="AM257" s="124"/>
      <c r="AN257" s="124"/>
      <c r="AO257" s="124"/>
      <c r="AP257" s="124"/>
      <c r="AQ257" s="124"/>
      <c r="AR257" s="124"/>
    </row>
    <row r="258" ht="12.7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c r="AR258" s="124"/>
    </row>
    <row r="259" ht="12.7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c r="AL259" s="124"/>
      <c r="AM259" s="124"/>
      <c r="AN259" s="124"/>
      <c r="AO259" s="124"/>
      <c r="AP259" s="124"/>
      <c r="AQ259" s="124"/>
      <c r="AR259" s="124"/>
    </row>
    <row r="260" ht="12.7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c r="AR260" s="124"/>
    </row>
    <row r="261" ht="12.7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c r="AL261" s="124"/>
      <c r="AM261" s="124"/>
      <c r="AN261" s="124"/>
      <c r="AO261" s="124"/>
      <c r="AP261" s="124"/>
      <c r="AQ261" s="124"/>
      <c r="AR261" s="124"/>
    </row>
    <row r="262" ht="12.7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c r="AL262" s="124"/>
      <c r="AM262" s="124"/>
      <c r="AN262" s="124"/>
      <c r="AO262" s="124"/>
      <c r="AP262" s="124"/>
      <c r="AQ262" s="124"/>
      <c r="AR262" s="124"/>
    </row>
    <row r="263" ht="12.7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c r="AL263" s="124"/>
      <c r="AM263" s="124"/>
      <c r="AN263" s="124"/>
      <c r="AO263" s="124"/>
      <c r="AP263" s="124"/>
      <c r="AQ263" s="124"/>
      <c r="AR263" s="124"/>
    </row>
    <row r="264" ht="12.7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c r="AL264" s="124"/>
      <c r="AM264" s="124"/>
      <c r="AN264" s="124"/>
      <c r="AO264" s="124"/>
      <c r="AP264" s="124"/>
      <c r="AQ264" s="124"/>
      <c r="AR264" s="124"/>
    </row>
    <row r="265" ht="12.7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c r="AL265" s="124"/>
      <c r="AM265" s="124"/>
      <c r="AN265" s="124"/>
      <c r="AO265" s="124"/>
      <c r="AP265" s="124"/>
      <c r="AQ265" s="124"/>
      <c r="AR265" s="124"/>
    </row>
    <row r="266" ht="12.7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c r="AL266" s="124"/>
      <c r="AM266" s="124"/>
      <c r="AN266" s="124"/>
      <c r="AO266" s="124"/>
      <c r="AP266" s="124"/>
      <c r="AQ266" s="124"/>
      <c r="AR266" s="124"/>
    </row>
    <row r="267" ht="12.7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c r="AL267" s="124"/>
      <c r="AM267" s="124"/>
      <c r="AN267" s="124"/>
      <c r="AO267" s="124"/>
      <c r="AP267" s="124"/>
      <c r="AQ267" s="124"/>
      <c r="AR267" s="124"/>
    </row>
    <row r="268" ht="12.7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c r="AL268" s="124"/>
      <c r="AM268" s="124"/>
      <c r="AN268" s="124"/>
      <c r="AO268" s="124"/>
      <c r="AP268" s="124"/>
      <c r="AQ268" s="124"/>
      <c r="AR268" s="124"/>
    </row>
    <row r="269" ht="12.7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c r="AL269" s="124"/>
      <c r="AM269" s="124"/>
      <c r="AN269" s="124"/>
      <c r="AO269" s="124"/>
      <c r="AP269" s="124"/>
      <c r="AQ269" s="124"/>
      <c r="AR269" s="124"/>
    </row>
    <row r="270" ht="12.7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c r="AL270" s="124"/>
      <c r="AM270" s="124"/>
      <c r="AN270" s="124"/>
      <c r="AO270" s="124"/>
      <c r="AP270" s="124"/>
      <c r="AQ270" s="124"/>
      <c r="AR270" s="124"/>
    </row>
    <row r="271" ht="12.7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c r="AL271" s="124"/>
      <c r="AM271" s="124"/>
      <c r="AN271" s="124"/>
      <c r="AO271" s="124"/>
      <c r="AP271" s="124"/>
      <c r="AQ271" s="124"/>
      <c r="AR271" s="124"/>
    </row>
    <row r="272" ht="12.7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row>
    <row r="273" ht="12.7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c r="AL273" s="124"/>
      <c r="AM273" s="124"/>
      <c r="AN273" s="124"/>
      <c r="AO273" s="124"/>
      <c r="AP273" s="124"/>
      <c r="AQ273" s="124"/>
      <c r="AR273" s="124"/>
    </row>
    <row r="274" ht="12.7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c r="AL274" s="124"/>
      <c r="AM274" s="124"/>
      <c r="AN274" s="124"/>
      <c r="AO274" s="124"/>
      <c r="AP274" s="124"/>
      <c r="AQ274" s="124"/>
      <c r="AR274" s="124"/>
    </row>
    <row r="275" ht="12.7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c r="AL275" s="124"/>
      <c r="AM275" s="124"/>
      <c r="AN275" s="124"/>
      <c r="AO275" s="124"/>
      <c r="AP275" s="124"/>
      <c r="AQ275" s="124"/>
      <c r="AR275" s="124"/>
    </row>
    <row r="276" ht="12.7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c r="AL276" s="124"/>
      <c r="AM276" s="124"/>
      <c r="AN276" s="124"/>
      <c r="AO276" s="124"/>
      <c r="AP276" s="124"/>
      <c r="AQ276" s="124"/>
      <c r="AR276" s="124"/>
    </row>
    <row r="277" ht="12.7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c r="AL277" s="124"/>
      <c r="AM277" s="124"/>
      <c r="AN277" s="124"/>
      <c r="AO277" s="124"/>
      <c r="AP277" s="124"/>
      <c r="AQ277" s="124"/>
      <c r="AR277" s="124"/>
    </row>
    <row r="278" ht="12.7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c r="AL278" s="124"/>
      <c r="AM278" s="124"/>
      <c r="AN278" s="124"/>
      <c r="AO278" s="124"/>
      <c r="AP278" s="124"/>
      <c r="AQ278" s="124"/>
      <c r="AR278" s="124"/>
    </row>
    <row r="279" ht="12.7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c r="AL279" s="124"/>
      <c r="AM279" s="124"/>
      <c r="AN279" s="124"/>
      <c r="AO279" s="124"/>
      <c r="AP279" s="124"/>
      <c r="AQ279" s="124"/>
      <c r="AR279" s="124"/>
    </row>
    <row r="280" ht="12.7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c r="AL280" s="124"/>
      <c r="AM280" s="124"/>
      <c r="AN280" s="124"/>
      <c r="AO280" s="124"/>
      <c r="AP280" s="124"/>
      <c r="AQ280" s="124"/>
      <c r="AR280" s="124"/>
    </row>
    <row r="281" ht="12.7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c r="AL281" s="124"/>
      <c r="AM281" s="124"/>
      <c r="AN281" s="124"/>
      <c r="AO281" s="124"/>
      <c r="AP281" s="124"/>
      <c r="AQ281" s="124"/>
      <c r="AR281" s="124"/>
    </row>
    <row r="282" ht="12.7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c r="AL282" s="124"/>
      <c r="AM282" s="124"/>
      <c r="AN282" s="124"/>
      <c r="AO282" s="124"/>
      <c r="AP282" s="124"/>
      <c r="AQ282" s="124"/>
      <c r="AR282" s="124"/>
    </row>
    <row r="283" ht="12.7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c r="AL283" s="124"/>
      <c r="AM283" s="124"/>
      <c r="AN283" s="124"/>
      <c r="AO283" s="124"/>
      <c r="AP283" s="124"/>
      <c r="AQ283" s="124"/>
      <c r="AR283" s="124"/>
    </row>
    <row r="284" ht="12.7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c r="AL284" s="124"/>
      <c r="AM284" s="124"/>
      <c r="AN284" s="124"/>
      <c r="AO284" s="124"/>
      <c r="AP284" s="124"/>
      <c r="AQ284" s="124"/>
      <c r="AR284" s="124"/>
    </row>
    <row r="285" ht="12.7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c r="AL285" s="124"/>
      <c r="AM285" s="124"/>
      <c r="AN285" s="124"/>
      <c r="AO285" s="124"/>
      <c r="AP285" s="124"/>
      <c r="AQ285" s="124"/>
      <c r="AR285" s="124"/>
    </row>
    <row r="286" ht="12.7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c r="AL286" s="124"/>
      <c r="AM286" s="124"/>
      <c r="AN286" s="124"/>
      <c r="AO286" s="124"/>
      <c r="AP286" s="124"/>
      <c r="AQ286" s="124"/>
      <c r="AR286" s="124"/>
    </row>
    <row r="287" ht="12.7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c r="AL287" s="124"/>
      <c r="AM287" s="124"/>
      <c r="AN287" s="124"/>
      <c r="AO287" s="124"/>
      <c r="AP287" s="124"/>
      <c r="AQ287" s="124"/>
      <c r="AR287" s="124"/>
    </row>
    <row r="288" ht="12.7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c r="AL288" s="124"/>
      <c r="AM288" s="124"/>
      <c r="AN288" s="124"/>
      <c r="AO288" s="124"/>
      <c r="AP288" s="124"/>
      <c r="AQ288" s="124"/>
      <c r="AR288" s="124"/>
    </row>
    <row r="289" ht="12.7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c r="AL289" s="124"/>
      <c r="AM289" s="124"/>
      <c r="AN289" s="124"/>
      <c r="AO289" s="124"/>
      <c r="AP289" s="124"/>
      <c r="AQ289" s="124"/>
      <c r="AR289" s="124"/>
    </row>
    <row r="290" ht="12.7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c r="AR290" s="124"/>
    </row>
    <row r="291" ht="12.7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c r="AL291" s="124"/>
      <c r="AM291" s="124"/>
      <c r="AN291" s="124"/>
      <c r="AO291" s="124"/>
      <c r="AP291" s="124"/>
      <c r="AQ291" s="124"/>
      <c r="AR291" s="124"/>
    </row>
    <row r="292" ht="12.7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c r="AL292" s="124"/>
      <c r="AM292" s="124"/>
      <c r="AN292" s="124"/>
      <c r="AO292" s="124"/>
      <c r="AP292" s="124"/>
      <c r="AQ292" s="124"/>
      <c r="AR292" s="124"/>
    </row>
    <row r="293" ht="12.7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c r="AL293" s="124"/>
      <c r="AM293" s="124"/>
      <c r="AN293" s="124"/>
      <c r="AO293" s="124"/>
      <c r="AP293" s="124"/>
      <c r="AQ293" s="124"/>
      <c r="AR293" s="124"/>
    </row>
    <row r="294" ht="12.7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c r="AR294" s="124"/>
    </row>
    <row r="295" ht="12.7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c r="AL295" s="124"/>
      <c r="AM295" s="124"/>
      <c r="AN295" s="124"/>
      <c r="AO295" s="124"/>
      <c r="AP295" s="124"/>
      <c r="AQ295" s="124"/>
      <c r="AR295" s="124"/>
    </row>
    <row r="296" ht="12.7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c r="AL296" s="124"/>
      <c r="AM296" s="124"/>
      <c r="AN296" s="124"/>
      <c r="AO296" s="124"/>
      <c r="AP296" s="124"/>
      <c r="AQ296" s="124"/>
      <c r="AR296" s="124"/>
    </row>
    <row r="297" ht="12.7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c r="AL297" s="124"/>
      <c r="AM297" s="124"/>
      <c r="AN297" s="124"/>
      <c r="AO297" s="124"/>
      <c r="AP297" s="124"/>
      <c r="AQ297" s="124"/>
      <c r="AR297" s="124"/>
    </row>
    <row r="298" ht="12.7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c r="AL298" s="124"/>
      <c r="AM298" s="124"/>
      <c r="AN298" s="124"/>
      <c r="AO298" s="124"/>
      <c r="AP298" s="124"/>
      <c r="AQ298" s="124"/>
      <c r="AR298" s="124"/>
    </row>
    <row r="299" ht="12.7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c r="AL299" s="124"/>
      <c r="AM299" s="124"/>
      <c r="AN299" s="124"/>
      <c r="AO299" s="124"/>
      <c r="AP299" s="124"/>
      <c r="AQ299" s="124"/>
      <c r="AR299" s="124"/>
    </row>
    <row r="300" ht="12.7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c r="AL300" s="124"/>
      <c r="AM300" s="124"/>
      <c r="AN300" s="124"/>
      <c r="AO300" s="124"/>
      <c r="AP300" s="124"/>
      <c r="AQ300" s="124"/>
      <c r="AR300" s="124"/>
    </row>
    <row r="301" ht="12.7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c r="AL301" s="124"/>
      <c r="AM301" s="124"/>
      <c r="AN301" s="124"/>
      <c r="AO301" s="124"/>
      <c r="AP301" s="124"/>
      <c r="AQ301" s="124"/>
      <c r="AR301" s="124"/>
    </row>
    <row r="302" ht="12.7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c r="AL302" s="124"/>
      <c r="AM302" s="124"/>
      <c r="AN302" s="124"/>
      <c r="AO302" s="124"/>
      <c r="AP302" s="124"/>
      <c r="AQ302" s="124"/>
      <c r="AR302" s="124"/>
    </row>
    <row r="303" ht="12.7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c r="AL303" s="124"/>
      <c r="AM303" s="124"/>
      <c r="AN303" s="124"/>
      <c r="AO303" s="124"/>
      <c r="AP303" s="124"/>
      <c r="AQ303" s="124"/>
      <c r="AR303" s="124"/>
    </row>
    <row r="304" ht="12.7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c r="AL304" s="124"/>
      <c r="AM304" s="124"/>
      <c r="AN304" s="124"/>
      <c r="AO304" s="124"/>
      <c r="AP304" s="124"/>
      <c r="AQ304" s="124"/>
      <c r="AR304" s="124"/>
    </row>
    <row r="305" ht="12.7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c r="AL305" s="124"/>
      <c r="AM305" s="124"/>
      <c r="AN305" s="124"/>
      <c r="AO305" s="124"/>
      <c r="AP305" s="124"/>
      <c r="AQ305" s="124"/>
      <c r="AR305" s="124"/>
    </row>
    <row r="306" ht="12.7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c r="AL306" s="124"/>
      <c r="AM306" s="124"/>
      <c r="AN306" s="124"/>
      <c r="AO306" s="124"/>
      <c r="AP306" s="124"/>
      <c r="AQ306" s="124"/>
      <c r="AR306" s="124"/>
    </row>
    <row r="307" ht="12.7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c r="AL307" s="124"/>
      <c r="AM307" s="124"/>
      <c r="AN307" s="124"/>
      <c r="AO307" s="124"/>
      <c r="AP307" s="124"/>
      <c r="AQ307" s="124"/>
      <c r="AR307" s="124"/>
    </row>
    <row r="308" ht="12.7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c r="AR308" s="124"/>
    </row>
    <row r="309" ht="12.7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c r="AL309" s="124"/>
      <c r="AM309" s="124"/>
      <c r="AN309" s="124"/>
      <c r="AO309" s="124"/>
      <c r="AP309" s="124"/>
      <c r="AQ309" s="124"/>
      <c r="AR309" s="124"/>
    </row>
    <row r="310" ht="12.7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c r="AL310" s="124"/>
      <c r="AM310" s="124"/>
      <c r="AN310" s="124"/>
      <c r="AO310" s="124"/>
      <c r="AP310" s="124"/>
      <c r="AQ310" s="124"/>
      <c r="AR310" s="124"/>
    </row>
    <row r="311" ht="12.7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c r="AL311" s="124"/>
      <c r="AM311" s="124"/>
      <c r="AN311" s="124"/>
      <c r="AO311" s="124"/>
      <c r="AP311" s="124"/>
      <c r="AQ311" s="124"/>
      <c r="AR311" s="124"/>
    </row>
    <row r="312" ht="12.7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c r="AL312" s="124"/>
      <c r="AM312" s="124"/>
      <c r="AN312" s="124"/>
      <c r="AO312" s="124"/>
      <c r="AP312" s="124"/>
      <c r="AQ312" s="124"/>
      <c r="AR312" s="124"/>
    </row>
    <row r="313" ht="12.7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row>
    <row r="314" ht="12.7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row>
    <row r="315" ht="12.7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row>
    <row r="316" ht="12.7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row>
    <row r="317" ht="12.7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c r="AR317" s="124"/>
    </row>
    <row r="318" ht="12.7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c r="AR318" s="124"/>
    </row>
    <row r="319" ht="12.7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c r="AR319" s="124"/>
    </row>
    <row r="320" ht="12.7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row>
    <row r="321" ht="12.7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c r="AL321" s="124"/>
      <c r="AM321" s="124"/>
      <c r="AN321" s="124"/>
      <c r="AO321" s="124"/>
      <c r="AP321" s="124"/>
      <c r="AQ321" s="124"/>
      <c r="AR321" s="124"/>
    </row>
    <row r="322" ht="12.7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c r="AL322" s="124"/>
      <c r="AM322" s="124"/>
      <c r="AN322" s="124"/>
      <c r="AO322" s="124"/>
      <c r="AP322" s="124"/>
      <c r="AQ322" s="124"/>
      <c r="AR322" s="124"/>
    </row>
    <row r="323" ht="12.7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124"/>
      <c r="AL323" s="124"/>
      <c r="AM323" s="124"/>
      <c r="AN323" s="124"/>
      <c r="AO323" s="124"/>
      <c r="AP323" s="124"/>
      <c r="AQ323" s="124"/>
      <c r="AR323" s="124"/>
    </row>
    <row r="324" ht="12.7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c r="AL324" s="124"/>
      <c r="AM324" s="124"/>
      <c r="AN324" s="124"/>
      <c r="AO324" s="124"/>
      <c r="AP324" s="124"/>
      <c r="AQ324" s="124"/>
      <c r="AR324" s="124"/>
    </row>
    <row r="325" ht="12.7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c r="AL325" s="124"/>
      <c r="AM325" s="124"/>
      <c r="AN325" s="124"/>
      <c r="AO325" s="124"/>
      <c r="AP325" s="124"/>
      <c r="AQ325" s="124"/>
      <c r="AR325" s="124"/>
    </row>
    <row r="326" ht="12.7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c r="AL326" s="124"/>
      <c r="AM326" s="124"/>
      <c r="AN326" s="124"/>
      <c r="AO326" s="124"/>
      <c r="AP326" s="124"/>
      <c r="AQ326" s="124"/>
      <c r="AR326" s="124"/>
    </row>
    <row r="327" ht="12.7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124"/>
      <c r="AL327" s="124"/>
      <c r="AM327" s="124"/>
      <c r="AN327" s="124"/>
      <c r="AO327" s="124"/>
      <c r="AP327" s="124"/>
      <c r="AQ327" s="124"/>
      <c r="AR327" s="124"/>
    </row>
    <row r="328" ht="12.7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124"/>
      <c r="AL328" s="124"/>
      <c r="AM328" s="124"/>
      <c r="AN328" s="124"/>
      <c r="AO328" s="124"/>
      <c r="AP328" s="124"/>
      <c r="AQ328" s="124"/>
      <c r="AR328" s="124"/>
    </row>
    <row r="329" ht="12.7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124"/>
      <c r="AL329" s="124"/>
      <c r="AM329" s="124"/>
      <c r="AN329" s="124"/>
      <c r="AO329" s="124"/>
      <c r="AP329" s="124"/>
      <c r="AQ329" s="124"/>
      <c r="AR329" s="124"/>
    </row>
    <row r="330" ht="12.7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124"/>
      <c r="AL330" s="124"/>
      <c r="AM330" s="124"/>
      <c r="AN330" s="124"/>
      <c r="AO330" s="124"/>
      <c r="AP330" s="124"/>
      <c r="AQ330" s="124"/>
      <c r="AR330" s="124"/>
    </row>
    <row r="331" ht="12.7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124"/>
      <c r="AL331" s="124"/>
      <c r="AM331" s="124"/>
      <c r="AN331" s="124"/>
      <c r="AO331" s="124"/>
      <c r="AP331" s="124"/>
      <c r="AQ331" s="124"/>
      <c r="AR331" s="124"/>
    </row>
    <row r="332" ht="12.7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c r="AL332" s="124"/>
      <c r="AM332" s="124"/>
      <c r="AN332" s="124"/>
      <c r="AO332" s="124"/>
      <c r="AP332" s="124"/>
      <c r="AQ332" s="124"/>
      <c r="AR332" s="124"/>
    </row>
    <row r="333" ht="12.7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124"/>
      <c r="AL333" s="124"/>
      <c r="AM333" s="124"/>
      <c r="AN333" s="124"/>
      <c r="AO333" s="124"/>
      <c r="AP333" s="124"/>
      <c r="AQ333" s="124"/>
      <c r="AR333" s="124"/>
    </row>
    <row r="334" ht="12.7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124"/>
      <c r="AL334" s="124"/>
      <c r="AM334" s="124"/>
      <c r="AN334" s="124"/>
      <c r="AO334" s="124"/>
      <c r="AP334" s="124"/>
      <c r="AQ334" s="124"/>
      <c r="AR334" s="124"/>
    </row>
    <row r="335" ht="12.7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124"/>
      <c r="AL335" s="124"/>
      <c r="AM335" s="124"/>
      <c r="AN335" s="124"/>
      <c r="AO335" s="124"/>
      <c r="AP335" s="124"/>
      <c r="AQ335" s="124"/>
      <c r="AR335" s="124"/>
    </row>
    <row r="336" ht="12.7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124"/>
      <c r="AL336" s="124"/>
      <c r="AM336" s="124"/>
      <c r="AN336" s="124"/>
      <c r="AO336" s="124"/>
      <c r="AP336" s="124"/>
      <c r="AQ336" s="124"/>
      <c r="AR336" s="124"/>
    </row>
    <row r="337" ht="12.7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124"/>
      <c r="AL337" s="124"/>
      <c r="AM337" s="124"/>
      <c r="AN337" s="124"/>
      <c r="AO337" s="124"/>
      <c r="AP337" s="124"/>
      <c r="AQ337" s="124"/>
      <c r="AR337" s="124"/>
    </row>
    <row r="338" ht="12.7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c r="AL338" s="124"/>
      <c r="AM338" s="124"/>
      <c r="AN338" s="124"/>
      <c r="AO338" s="124"/>
      <c r="AP338" s="124"/>
      <c r="AQ338" s="124"/>
      <c r="AR338" s="124"/>
    </row>
    <row r="339" ht="12.7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124"/>
      <c r="AL339" s="124"/>
      <c r="AM339" s="124"/>
      <c r="AN339" s="124"/>
      <c r="AO339" s="124"/>
      <c r="AP339" s="124"/>
      <c r="AQ339" s="124"/>
      <c r="AR339" s="124"/>
    </row>
    <row r="340" ht="12.7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124"/>
      <c r="AL340" s="124"/>
      <c r="AM340" s="124"/>
      <c r="AN340" s="124"/>
      <c r="AO340" s="124"/>
      <c r="AP340" s="124"/>
      <c r="AQ340" s="124"/>
      <c r="AR340" s="124"/>
    </row>
    <row r="341" ht="12.7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124"/>
      <c r="AL341" s="124"/>
      <c r="AM341" s="124"/>
      <c r="AN341" s="124"/>
      <c r="AO341" s="124"/>
      <c r="AP341" s="124"/>
      <c r="AQ341" s="124"/>
      <c r="AR341" s="124"/>
    </row>
    <row r="342" ht="12.7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124"/>
      <c r="AL342" s="124"/>
      <c r="AM342" s="124"/>
      <c r="AN342" s="124"/>
      <c r="AO342" s="124"/>
      <c r="AP342" s="124"/>
      <c r="AQ342" s="124"/>
      <c r="AR342" s="124"/>
    </row>
    <row r="343" ht="12.7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124"/>
      <c r="AL343" s="124"/>
      <c r="AM343" s="124"/>
      <c r="AN343" s="124"/>
      <c r="AO343" s="124"/>
      <c r="AP343" s="124"/>
      <c r="AQ343" s="124"/>
      <c r="AR343" s="124"/>
    </row>
    <row r="344" ht="12.7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124"/>
      <c r="AL344" s="124"/>
      <c r="AM344" s="124"/>
      <c r="AN344" s="124"/>
      <c r="AO344" s="124"/>
      <c r="AP344" s="124"/>
      <c r="AQ344" s="124"/>
      <c r="AR344" s="124"/>
    </row>
    <row r="345" ht="12.7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c r="AL345" s="124"/>
      <c r="AM345" s="124"/>
      <c r="AN345" s="124"/>
      <c r="AO345" s="124"/>
      <c r="AP345" s="124"/>
      <c r="AQ345" s="124"/>
      <c r="AR345" s="124"/>
    </row>
    <row r="346" ht="12.7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124"/>
      <c r="AL346" s="124"/>
      <c r="AM346" s="124"/>
      <c r="AN346" s="124"/>
      <c r="AO346" s="124"/>
      <c r="AP346" s="124"/>
      <c r="AQ346" s="124"/>
      <c r="AR346" s="124"/>
    </row>
    <row r="347" ht="12.7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c r="AL347" s="124"/>
      <c r="AM347" s="124"/>
      <c r="AN347" s="124"/>
      <c r="AO347" s="124"/>
      <c r="AP347" s="124"/>
      <c r="AQ347" s="124"/>
      <c r="AR347" s="124"/>
    </row>
    <row r="348" ht="12.7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124"/>
      <c r="AL348" s="124"/>
      <c r="AM348" s="124"/>
      <c r="AN348" s="124"/>
      <c r="AO348" s="124"/>
      <c r="AP348" s="124"/>
      <c r="AQ348" s="124"/>
      <c r="AR348" s="124"/>
    </row>
    <row r="349" ht="12.7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124"/>
      <c r="AL349" s="124"/>
      <c r="AM349" s="124"/>
      <c r="AN349" s="124"/>
      <c r="AO349" s="124"/>
      <c r="AP349" s="124"/>
      <c r="AQ349" s="124"/>
      <c r="AR349" s="124"/>
    </row>
    <row r="350" ht="12.7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124"/>
      <c r="AL350" s="124"/>
      <c r="AM350" s="124"/>
      <c r="AN350" s="124"/>
      <c r="AO350" s="124"/>
      <c r="AP350" s="124"/>
      <c r="AQ350" s="124"/>
      <c r="AR350" s="124"/>
    </row>
    <row r="351" ht="12.7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124"/>
      <c r="AL351" s="124"/>
      <c r="AM351" s="124"/>
      <c r="AN351" s="124"/>
      <c r="AO351" s="124"/>
      <c r="AP351" s="124"/>
      <c r="AQ351" s="124"/>
      <c r="AR351" s="124"/>
    </row>
    <row r="352" ht="12.7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124"/>
      <c r="AL352" s="124"/>
      <c r="AM352" s="124"/>
      <c r="AN352" s="124"/>
      <c r="AO352" s="124"/>
      <c r="AP352" s="124"/>
      <c r="AQ352" s="124"/>
      <c r="AR352" s="124"/>
    </row>
    <row r="353" ht="12.7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124"/>
      <c r="AL353" s="124"/>
      <c r="AM353" s="124"/>
      <c r="AN353" s="124"/>
      <c r="AO353" s="124"/>
      <c r="AP353" s="124"/>
      <c r="AQ353" s="124"/>
      <c r="AR353" s="124"/>
    </row>
    <row r="354" ht="12.7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c r="AL354" s="124"/>
      <c r="AM354" s="124"/>
      <c r="AN354" s="124"/>
      <c r="AO354" s="124"/>
      <c r="AP354" s="124"/>
      <c r="AQ354" s="124"/>
      <c r="AR354" s="124"/>
    </row>
    <row r="355" ht="12.7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124"/>
      <c r="AL355" s="124"/>
      <c r="AM355" s="124"/>
      <c r="AN355" s="124"/>
      <c r="AO355" s="124"/>
      <c r="AP355" s="124"/>
      <c r="AQ355" s="124"/>
      <c r="AR355" s="124"/>
    </row>
    <row r="356" ht="12.7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124"/>
      <c r="AL356" s="124"/>
      <c r="AM356" s="124"/>
      <c r="AN356" s="124"/>
      <c r="AO356" s="124"/>
      <c r="AP356" s="124"/>
      <c r="AQ356" s="124"/>
      <c r="AR356" s="124"/>
    </row>
    <row r="357" ht="12.7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124"/>
      <c r="AL357" s="124"/>
      <c r="AM357" s="124"/>
      <c r="AN357" s="124"/>
      <c r="AO357" s="124"/>
      <c r="AP357" s="124"/>
      <c r="AQ357" s="124"/>
      <c r="AR357" s="124"/>
    </row>
    <row r="358" ht="12.7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124"/>
      <c r="AL358" s="124"/>
      <c r="AM358" s="124"/>
      <c r="AN358" s="124"/>
      <c r="AO358" s="124"/>
      <c r="AP358" s="124"/>
      <c r="AQ358" s="124"/>
      <c r="AR358" s="124"/>
    </row>
    <row r="359" ht="12.7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124"/>
      <c r="AL359" s="124"/>
      <c r="AM359" s="124"/>
      <c r="AN359" s="124"/>
      <c r="AO359" s="124"/>
      <c r="AP359" s="124"/>
      <c r="AQ359" s="124"/>
      <c r="AR359" s="124"/>
    </row>
    <row r="360" ht="12.7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c r="AL360" s="124"/>
      <c r="AM360" s="124"/>
      <c r="AN360" s="124"/>
      <c r="AO360" s="124"/>
      <c r="AP360" s="124"/>
      <c r="AQ360" s="124"/>
      <c r="AR360" s="124"/>
    </row>
    <row r="361" ht="12.7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124"/>
      <c r="AL361" s="124"/>
      <c r="AM361" s="124"/>
      <c r="AN361" s="124"/>
      <c r="AO361" s="124"/>
      <c r="AP361" s="124"/>
      <c r="AQ361" s="124"/>
      <c r="AR361" s="124"/>
    </row>
    <row r="362" ht="12.7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124"/>
      <c r="AL362" s="124"/>
      <c r="AM362" s="124"/>
      <c r="AN362" s="124"/>
      <c r="AO362" s="124"/>
      <c r="AP362" s="124"/>
      <c r="AQ362" s="124"/>
      <c r="AR362" s="124"/>
    </row>
    <row r="363" ht="12.7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124"/>
      <c r="AL363" s="124"/>
      <c r="AM363" s="124"/>
      <c r="AN363" s="124"/>
      <c r="AO363" s="124"/>
      <c r="AP363" s="124"/>
      <c r="AQ363" s="124"/>
      <c r="AR363" s="124"/>
    </row>
    <row r="364" ht="12.7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124"/>
      <c r="AL364" s="124"/>
      <c r="AM364" s="124"/>
      <c r="AN364" s="124"/>
      <c r="AO364" s="124"/>
      <c r="AP364" s="124"/>
      <c r="AQ364" s="124"/>
      <c r="AR364" s="124"/>
    </row>
    <row r="365" ht="12.7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124"/>
      <c r="AL365" s="124"/>
      <c r="AM365" s="124"/>
      <c r="AN365" s="124"/>
      <c r="AO365" s="124"/>
      <c r="AP365" s="124"/>
      <c r="AQ365" s="124"/>
      <c r="AR365" s="124"/>
    </row>
    <row r="366" ht="12.7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c r="AL366" s="124"/>
      <c r="AM366" s="124"/>
      <c r="AN366" s="124"/>
      <c r="AO366" s="124"/>
      <c r="AP366" s="124"/>
      <c r="AQ366" s="124"/>
      <c r="AR366" s="124"/>
    </row>
    <row r="367" ht="12.7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c r="AL367" s="124"/>
      <c r="AM367" s="124"/>
      <c r="AN367" s="124"/>
      <c r="AO367" s="124"/>
      <c r="AP367" s="124"/>
      <c r="AQ367" s="124"/>
      <c r="AR367" s="124"/>
    </row>
    <row r="368" ht="12.7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c r="AL368" s="124"/>
      <c r="AM368" s="124"/>
      <c r="AN368" s="124"/>
      <c r="AO368" s="124"/>
      <c r="AP368" s="124"/>
      <c r="AQ368" s="124"/>
      <c r="AR368" s="124"/>
    </row>
    <row r="369" ht="12.7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124"/>
      <c r="AL369" s="124"/>
      <c r="AM369" s="124"/>
      <c r="AN369" s="124"/>
      <c r="AO369" s="124"/>
      <c r="AP369" s="124"/>
      <c r="AQ369" s="124"/>
      <c r="AR369" s="124"/>
    </row>
    <row r="370" ht="12.7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c r="AL370" s="124"/>
      <c r="AM370" s="124"/>
      <c r="AN370" s="124"/>
      <c r="AO370" s="124"/>
      <c r="AP370" s="124"/>
      <c r="AQ370" s="124"/>
      <c r="AR370" s="124"/>
    </row>
    <row r="371" ht="12.7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c r="AL371" s="124"/>
      <c r="AM371" s="124"/>
      <c r="AN371" s="124"/>
      <c r="AO371" s="124"/>
      <c r="AP371" s="124"/>
      <c r="AQ371" s="124"/>
      <c r="AR371" s="124"/>
    </row>
    <row r="372" ht="12.7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c r="AL372" s="124"/>
      <c r="AM372" s="124"/>
      <c r="AN372" s="124"/>
      <c r="AO372" s="124"/>
      <c r="AP372" s="124"/>
      <c r="AQ372" s="124"/>
      <c r="AR372" s="124"/>
    </row>
    <row r="373" ht="12.7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124"/>
      <c r="AL373" s="124"/>
      <c r="AM373" s="124"/>
      <c r="AN373" s="124"/>
      <c r="AO373" s="124"/>
      <c r="AP373" s="124"/>
      <c r="AQ373" s="124"/>
      <c r="AR373" s="124"/>
    </row>
    <row r="374" ht="12.7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124"/>
      <c r="AL374" s="124"/>
      <c r="AM374" s="124"/>
      <c r="AN374" s="124"/>
      <c r="AO374" s="124"/>
      <c r="AP374" s="124"/>
      <c r="AQ374" s="124"/>
      <c r="AR374" s="124"/>
    </row>
    <row r="375" ht="12.7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124"/>
      <c r="AL375" s="124"/>
      <c r="AM375" s="124"/>
      <c r="AN375" s="124"/>
      <c r="AO375" s="124"/>
      <c r="AP375" s="124"/>
      <c r="AQ375" s="124"/>
      <c r="AR375" s="124"/>
    </row>
    <row r="376" ht="12.7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124"/>
      <c r="AL376" s="124"/>
      <c r="AM376" s="124"/>
      <c r="AN376" s="124"/>
      <c r="AO376" s="124"/>
      <c r="AP376" s="124"/>
      <c r="AQ376" s="124"/>
      <c r="AR376" s="124"/>
    </row>
    <row r="377" ht="12.7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124"/>
      <c r="AL377" s="124"/>
      <c r="AM377" s="124"/>
      <c r="AN377" s="124"/>
      <c r="AO377" s="124"/>
      <c r="AP377" s="124"/>
      <c r="AQ377" s="124"/>
      <c r="AR377" s="124"/>
    </row>
    <row r="378" ht="12.7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c r="AL378" s="124"/>
      <c r="AM378" s="124"/>
      <c r="AN378" s="124"/>
      <c r="AO378" s="124"/>
      <c r="AP378" s="124"/>
      <c r="AQ378" s="124"/>
      <c r="AR378" s="124"/>
    </row>
    <row r="379" ht="12.7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124"/>
      <c r="AL379" s="124"/>
      <c r="AM379" s="124"/>
      <c r="AN379" s="124"/>
      <c r="AO379" s="124"/>
      <c r="AP379" s="124"/>
      <c r="AQ379" s="124"/>
      <c r="AR379" s="124"/>
    </row>
    <row r="380" ht="12.7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124"/>
      <c r="AL380" s="124"/>
      <c r="AM380" s="124"/>
      <c r="AN380" s="124"/>
      <c r="AO380" s="124"/>
      <c r="AP380" s="124"/>
      <c r="AQ380" s="124"/>
      <c r="AR380" s="124"/>
    </row>
    <row r="381" ht="12.7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124"/>
      <c r="AL381" s="124"/>
      <c r="AM381" s="124"/>
      <c r="AN381" s="124"/>
      <c r="AO381" s="124"/>
      <c r="AP381" s="124"/>
      <c r="AQ381" s="124"/>
      <c r="AR381" s="124"/>
    </row>
    <row r="382" ht="12.7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124"/>
      <c r="AL382" s="124"/>
      <c r="AM382" s="124"/>
      <c r="AN382" s="124"/>
      <c r="AO382" s="124"/>
      <c r="AP382" s="124"/>
      <c r="AQ382" s="124"/>
      <c r="AR382" s="124"/>
    </row>
    <row r="383" ht="12.7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124"/>
      <c r="AL383" s="124"/>
      <c r="AM383" s="124"/>
      <c r="AN383" s="124"/>
      <c r="AO383" s="124"/>
      <c r="AP383" s="124"/>
      <c r="AQ383" s="124"/>
      <c r="AR383" s="124"/>
    </row>
    <row r="384" ht="12.7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c r="AL384" s="124"/>
      <c r="AM384" s="124"/>
      <c r="AN384" s="124"/>
      <c r="AO384" s="124"/>
      <c r="AP384" s="124"/>
      <c r="AQ384" s="124"/>
      <c r="AR384" s="124"/>
    </row>
    <row r="385" ht="12.7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124"/>
      <c r="AL385" s="124"/>
      <c r="AM385" s="124"/>
      <c r="AN385" s="124"/>
      <c r="AO385" s="124"/>
      <c r="AP385" s="124"/>
      <c r="AQ385" s="124"/>
      <c r="AR385" s="124"/>
    </row>
    <row r="386" ht="12.7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124"/>
      <c r="AL386" s="124"/>
      <c r="AM386" s="124"/>
      <c r="AN386" s="124"/>
      <c r="AO386" s="124"/>
      <c r="AP386" s="124"/>
      <c r="AQ386" s="124"/>
      <c r="AR386" s="124"/>
    </row>
    <row r="387" ht="12.7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124"/>
      <c r="AL387" s="124"/>
      <c r="AM387" s="124"/>
      <c r="AN387" s="124"/>
      <c r="AO387" s="124"/>
      <c r="AP387" s="124"/>
      <c r="AQ387" s="124"/>
      <c r="AR387" s="124"/>
    </row>
    <row r="388" ht="12.7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124"/>
      <c r="AL388" s="124"/>
      <c r="AM388" s="124"/>
      <c r="AN388" s="124"/>
      <c r="AO388" s="124"/>
      <c r="AP388" s="124"/>
      <c r="AQ388" s="124"/>
      <c r="AR388" s="124"/>
    </row>
    <row r="389" ht="12.7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124"/>
      <c r="AL389" s="124"/>
      <c r="AM389" s="124"/>
      <c r="AN389" s="124"/>
      <c r="AO389" s="124"/>
      <c r="AP389" s="124"/>
      <c r="AQ389" s="124"/>
      <c r="AR389" s="124"/>
    </row>
    <row r="390" ht="12.7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c r="AL390" s="124"/>
      <c r="AM390" s="124"/>
      <c r="AN390" s="124"/>
      <c r="AO390" s="124"/>
      <c r="AP390" s="124"/>
      <c r="AQ390" s="124"/>
      <c r="AR390" s="124"/>
    </row>
    <row r="391" ht="12.7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c r="AL391" s="124"/>
      <c r="AM391" s="124"/>
      <c r="AN391" s="124"/>
      <c r="AO391" s="124"/>
      <c r="AP391" s="124"/>
      <c r="AQ391" s="124"/>
      <c r="AR391" s="124"/>
    </row>
    <row r="392" ht="12.7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124"/>
      <c r="AL392" s="124"/>
      <c r="AM392" s="124"/>
      <c r="AN392" s="124"/>
      <c r="AO392" s="124"/>
      <c r="AP392" s="124"/>
      <c r="AQ392" s="124"/>
      <c r="AR392" s="124"/>
    </row>
    <row r="393" ht="12.7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124"/>
      <c r="AL393" s="124"/>
      <c r="AM393" s="124"/>
      <c r="AN393" s="124"/>
      <c r="AO393" s="124"/>
      <c r="AP393" s="124"/>
      <c r="AQ393" s="124"/>
      <c r="AR393" s="124"/>
    </row>
    <row r="394" ht="12.7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124"/>
      <c r="AL394" s="124"/>
      <c r="AM394" s="124"/>
      <c r="AN394" s="124"/>
      <c r="AO394" s="124"/>
      <c r="AP394" s="124"/>
      <c r="AQ394" s="124"/>
      <c r="AR394" s="124"/>
    </row>
    <row r="395" ht="12.7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124"/>
      <c r="AL395" s="124"/>
      <c r="AM395" s="124"/>
      <c r="AN395" s="124"/>
      <c r="AO395" s="124"/>
      <c r="AP395" s="124"/>
      <c r="AQ395" s="124"/>
      <c r="AR395" s="124"/>
    </row>
    <row r="396" ht="12.7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c r="AL396" s="124"/>
      <c r="AM396" s="124"/>
      <c r="AN396" s="124"/>
      <c r="AO396" s="124"/>
      <c r="AP396" s="124"/>
      <c r="AQ396" s="124"/>
      <c r="AR396" s="124"/>
    </row>
    <row r="397" ht="12.7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124"/>
      <c r="AL397" s="124"/>
      <c r="AM397" s="124"/>
      <c r="AN397" s="124"/>
      <c r="AO397" s="124"/>
      <c r="AP397" s="124"/>
      <c r="AQ397" s="124"/>
      <c r="AR397" s="124"/>
    </row>
    <row r="398" ht="12.7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124"/>
      <c r="AL398" s="124"/>
      <c r="AM398" s="124"/>
      <c r="AN398" s="124"/>
      <c r="AO398" s="124"/>
      <c r="AP398" s="124"/>
      <c r="AQ398" s="124"/>
      <c r="AR398" s="124"/>
    </row>
    <row r="399" ht="12.7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124"/>
      <c r="AL399" s="124"/>
      <c r="AM399" s="124"/>
      <c r="AN399" s="124"/>
      <c r="AO399" s="124"/>
      <c r="AP399" s="124"/>
      <c r="AQ399" s="124"/>
      <c r="AR399" s="124"/>
    </row>
    <row r="400" ht="12.7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124"/>
      <c r="AL400" s="124"/>
      <c r="AM400" s="124"/>
      <c r="AN400" s="124"/>
      <c r="AO400" s="124"/>
      <c r="AP400" s="124"/>
      <c r="AQ400" s="124"/>
      <c r="AR400" s="124"/>
    </row>
    <row r="401" ht="12.7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124"/>
      <c r="AL401" s="124"/>
      <c r="AM401" s="124"/>
      <c r="AN401" s="124"/>
      <c r="AO401" s="124"/>
      <c r="AP401" s="124"/>
      <c r="AQ401" s="124"/>
      <c r="AR401" s="124"/>
    </row>
    <row r="402" ht="12.7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c r="AL402" s="124"/>
      <c r="AM402" s="124"/>
      <c r="AN402" s="124"/>
      <c r="AO402" s="124"/>
      <c r="AP402" s="124"/>
      <c r="AQ402" s="124"/>
      <c r="AR402" s="124"/>
    </row>
    <row r="403" ht="12.7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c r="AL403" s="124"/>
      <c r="AM403" s="124"/>
      <c r="AN403" s="124"/>
      <c r="AO403" s="124"/>
      <c r="AP403" s="124"/>
      <c r="AQ403" s="124"/>
      <c r="AR403" s="124"/>
    </row>
    <row r="404" ht="12.7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c r="AL404" s="124"/>
      <c r="AM404" s="124"/>
      <c r="AN404" s="124"/>
      <c r="AO404" s="124"/>
      <c r="AP404" s="124"/>
      <c r="AQ404" s="124"/>
      <c r="AR404" s="124"/>
    </row>
    <row r="405" ht="12.7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124"/>
      <c r="AL405" s="124"/>
      <c r="AM405" s="124"/>
      <c r="AN405" s="124"/>
      <c r="AO405" s="124"/>
      <c r="AP405" s="124"/>
      <c r="AQ405" s="124"/>
      <c r="AR405" s="124"/>
    </row>
    <row r="406" ht="12.7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124"/>
      <c r="AL406" s="124"/>
      <c r="AM406" s="124"/>
      <c r="AN406" s="124"/>
      <c r="AO406" s="124"/>
      <c r="AP406" s="124"/>
      <c r="AQ406" s="124"/>
      <c r="AR406" s="124"/>
    </row>
    <row r="407" ht="12.7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c r="AL407" s="124"/>
      <c r="AM407" s="124"/>
      <c r="AN407" s="124"/>
      <c r="AO407" s="124"/>
      <c r="AP407" s="124"/>
      <c r="AQ407" s="124"/>
      <c r="AR407" s="124"/>
    </row>
    <row r="408" ht="12.7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124"/>
      <c r="AL408" s="124"/>
      <c r="AM408" s="124"/>
      <c r="AN408" s="124"/>
      <c r="AO408" s="124"/>
      <c r="AP408" s="124"/>
      <c r="AQ408" s="124"/>
      <c r="AR408" s="124"/>
    </row>
    <row r="409" ht="12.7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c r="AL409" s="124"/>
      <c r="AM409" s="124"/>
      <c r="AN409" s="124"/>
      <c r="AO409" s="124"/>
      <c r="AP409" s="124"/>
      <c r="AQ409" s="124"/>
      <c r="AR409" s="124"/>
    </row>
    <row r="410" ht="12.7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124"/>
      <c r="AL410" s="124"/>
      <c r="AM410" s="124"/>
      <c r="AN410" s="124"/>
      <c r="AO410" s="124"/>
      <c r="AP410" s="124"/>
      <c r="AQ410" s="124"/>
      <c r="AR410" s="124"/>
    </row>
    <row r="411" ht="12.7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124"/>
      <c r="AL411" s="124"/>
      <c r="AM411" s="124"/>
      <c r="AN411" s="124"/>
      <c r="AO411" s="124"/>
      <c r="AP411" s="124"/>
      <c r="AQ411" s="124"/>
      <c r="AR411" s="124"/>
    </row>
    <row r="412" ht="12.7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124"/>
      <c r="AL412" s="124"/>
      <c r="AM412" s="124"/>
      <c r="AN412" s="124"/>
      <c r="AO412" s="124"/>
      <c r="AP412" s="124"/>
      <c r="AQ412" s="124"/>
      <c r="AR412" s="124"/>
    </row>
    <row r="413" ht="12.7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124"/>
      <c r="AL413" s="124"/>
      <c r="AM413" s="124"/>
      <c r="AN413" s="124"/>
      <c r="AO413" s="124"/>
      <c r="AP413" s="124"/>
      <c r="AQ413" s="124"/>
      <c r="AR413" s="124"/>
    </row>
    <row r="414" ht="12.7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c r="AL414" s="124"/>
      <c r="AM414" s="124"/>
      <c r="AN414" s="124"/>
      <c r="AO414" s="124"/>
      <c r="AP414" s="124"/>
      <c r="AQ414" s="124"/>
      <c r="AR414" s="124"/>
    </row>
    <row r="415" ht="12.7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c r="AL415" s="124"/>
      <c r="AM415" s="124"/>
      <c r="AN415" s="124"/>
      <c r="AO415" s="124"/>
      <c r="AP415" s="124"/>
      <c r="AQ415" s="124"/>
      <c r="AR415" s="124"/>
    </row>
    <row r="416" ht="12.7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124"/>
      <c r="AL416" s="124"/>
      <c r="AM416" s="124"/>
      <c r="AN416" s="124"/>
      <c r="AO416" s="124"/>
      <c r="AP416" s="124"/>
      <c r="AQ416" s="124"/>
      <c r="AR416" s="124"/>
    </row>
    <row r="417" ht="12.7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124"/>
      <c r="AL417" s="124"/>
      <c r="AM417" s="124"/>
      <c r="AN417" s="124"/>
      <c r="AO417" s="124"/>
      <c r="AP417" s="124"/>
      <c r="AQ417" s="124"/>
      <c r="AR417" s="124"/>
    </row>
    <row r="418" ht="12.7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124"/>
      <c r="AL418" s="124"/>
      <c r="AM418" s="124"/>
      <c r="AN418" s="124"/>
      <c r="AO418" s="124"/>
      <c r="AP418" s="124"/>
      <c r="AQ418" s="124"/>
      <c r="AR418" s="124"/>
    </row>
    <row r="419" ht="12.7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124"/>
      <c r="AL419" s="124"/>
      <c r="AM419" s="124"/>
      <c r="AN419" s="124"/>
      <c r="AO419" s="124"/>
      <c r="AP419" s="124"/>
      <c r="AQ419" s="124"/>
      <c r="AR419" s="124"/>
    </row>
    <row r="420" ht="12.7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124"/>
      <c r="AL420" s="124"/>
      <c r="AM420" s="124"/>
      <c r="AN420" s="124"/>
      <c r="AO420" s="124"/>
      <c r="AP420" s="124"/>
      <c r="AQ420" s="124"/>
      <c r="AR420" s="124"/>
    </row>
    <row r="421" ht="12.7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c r="AL421" s="124"/>
      <c r="AM421" s="124"/>
      <c r="AN421" s="124"/>
      <c r="AO421" s="124"/>
      <c r="AP421" s="124"/>
      <c r="AQ421" s="124"/>
      <c r="AR421" s="124"/>
    </row>
    <row r="422" ht="12.7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124"/>
      <c r="AL422" s="124"/>
      <c r="AM422" s="124"/>
      <c r="AN422" s="124"/>
      <c r="AO422" s="124"/>
      <c r="AP422" s="124"/>
      <c r="AQ422" s="124"/>
      <c r="AR422" s="124"/>
    </row>
    <row r="423" ht="12.7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124"/>
      <c r="AL423" s="124"/>
      <c r="AM423" s="124"/>
      <c r="AN423" s="124"/>
      <c r="AO423" s="124"/>
      <c r="AP423" s="124"/>
      <c r="AQ423" s="124"/>
      <c r="AR423" s="124"/>
    </row>
    <row r="424" ht="12.7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124"/>
      <c r="AL424" s="124"/>
      <c r="AM424" s="124"/>
      <c r="AN424" s="124"/>
      <c r="AO424" s="124"/>
      <c r="AP424" s="124"/>
      <c r="AQ424" s="124"/>
      <c r="AR424" s="124"/>
    </row>
    <row r="425" ht="12.7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124"/>
      <c r="AL425" s="124"/>
      <c r="AM425" s="124"/>
      <c r="AN425" s="124"/>
      <c r="AO425" s="124"/>
      <c r="AP425" s="124"/>
      <c r="AQ425" s="124"/>
      <c r="AR425" s="124"/>
    </row>
    <row r="426" ht="12.7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124"/>
      <c r="AL426" s="124"/>
      <c r="AM426" s="124"/>
      <c r="AN426" s="124"/>
      <c r="AO426" s="124"/>
      <c r="AP426" s="124"/>
      <c r="AQ426" s="124"/>
      <c r="AR426" s="124"/>
    </row>
    <row r="427" ht="12.7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c r="AL427" s="124"/>
      <c r="AM427" s="124"/>
      <c r="AN427" s="124"/>
      <c r="AO427" s="124"/>
      <c r="AP427" s="124"/>
      <c r="AQ427" s="124"/>
      <c r="AR427" s="124"/>
    </row>
    <row r="428" ht="12.7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124"/>
      <c r="AL428" s="124"/>
      <c r="AM428" s="124"/>
      <c r="AN428" s="124"/>
      <c r="AO428" s="124"/>
      <c r="AP428" s="124"/>
      <c r="AQ428" s="124"/>
      <c r="AR428" s="124"/>
    </row>
    <row r="429" ht="12.7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124"/>
      <c r="AL429" s="124"/>
      <c r="AM429" s="124"/>
      <c r="AN429" s="124"/>
      <c r="AO429" s="124"/>
      <c r="AP429" s="124"/>
      <c r="AQ429" s="124"/>
      <c r="AR429" s="124"/>
    </row>
    <row r="430" ht="12.7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124"/>
      <c r="AL430" s="124"/>
      <c r="AM430" s="124"/>
      <c r="AN430" s="124"/>
      <c r="AO430" s="124"/>
      <c r="AP430" s="124"/>
      <c r="AQ430" s="124"/>
      <c r="AR430" s="124"/>
    </row>
    <row r="431" ht="12.7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124"/>
      <c r="AL431" s="124"/>
      <c r="AM431" s="124"/>
      <c r="AN431" s="124"/>
      <c r="AO431" s="124"/>
      <c r="AP431" s="124"/>
      <c r="AQ431" s="124"/>
      <c r="AR431" s="124"/>
    </row>
    <row r="432" ht="12.7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124"/>
      <c r="AL432" s="124"/>
      <c r="AM432" s="124"/>
      <c r="AN432" s="124"/>
      <c r="AO432" s="124"/>
      <c r="AP432" s="124"/>
      <c r="AQ432" s="124"/>
      <c r="AR432" s="124"/>
    </row>
    <row r="433" ht="12.7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124"/>
      <c r="AL433" s="124"/>
      <c r="AM433" s="124"/>
      <c r="AN433" s="124"/>
      <c r="AO433" s="124"/>
      <c r="AP433" s="124"/>
      <c r="AQ433" s="124"/>
      <c r="AR433" s="124"/>
    </row>
    <row r="434" ht="12.7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124"/>
      <c r="AL434" s="124"/>
      <c r="AM434" s="124"/>
      <c r="AN434" s="124"/>
      <c r="AO434" s="124"/>
      <c r="AP434" s="124"/>
      <c r="AQ434" s="124"/>
      <c r="AR434" s="124"/>
    </row>
    <row r="435" ht="12.7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c r="AL435" s="124"/>
      <c r="AM435" s="124"/>
      <c r="AN435" s="124"/>
      <c r="AO435" s="124"/>
      <c r="AP435" s="124"/>
      <c r="AQ435" s="124"/>
      <c r="AR435" s="124"/>
    </row>
    <row r="436" ht="12.7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124"/>
      <c r="AL436" s="124"/>
      <c r="AM436" s="124"/>
      <c r="AN436" s="124"/>
      <c r="AO436" s="124"/>
      <c r="AP436" s="124"/>
      <c r="AQ436" s="124"/>
      <c r="AR436" s="124"/>
    </row>
    <row r="437" ht="12.7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c r="AL437" s="124"/>
      <c r="AM437" s="124"/>
      <c r="AN437" s="124"/>
      <c r="AO437" s="124"/>
      <c r="AP437" s="124"/>
      <c r="AQ437" s="124"/>
      <c r="AR437" s="124"/>
    </row>
    <row r="438" ht="12.7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124"/>
      <c r="AL438" s="124"/>
      <c r="AM438" s="124"/>
      <c r="AN438" s="124"/>
      <c r="AO438" s="124"/>
      <c r="AP438" s="124"/>
      <c r="AQ438" s="124"/>
      <c r="AR438" s="124"/>
    </row>
    <row r="439" ht="12.7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124"/>
      <c r="AL439" s="124"/>
      <c r="AM439" s="124"/>
      <c r="AN439" s="124"/>
      <c r="AO439" s="124"/>
      <c r="AP439" s="124"/>
      <c r="AQ439" s="124"/>
      <c r="AR439" s="124"/>
    </row>
    <row r="440" ht="12.7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124"/>
      <c r="AL440" s="124"/>
      <c r="AM440" s="124"/>
      <c r="AN440" s="124"/>
      <c r="AO440" s="124"/>
      <c r="AP440" s="124"/>
      <c r="AQ440" s="124"/>
      <c r="AR440" s="124"/>
    </row>
    <row r="441" ht="12.7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c r="AL441" s="124"/>
      <c r="AM441" s="124"/>
      <c r="AN441" s="124"/>
      <c r="AO441" s="124"/>
      <c r="AP441" s="124"/>
      <c r="AQ441" s="124"/>
      <c r="AR441" s="124"/>
    </row>
    <row r="442" ht="12.7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124"/>
      <c r="AL442" s="124"/>
      <c r="AM442" s="124"/>
      <c r="AN442" s="124"/>
      <c r="AO442" s="124"/>
      <c r="AP442" s="124"/>
      <c r="AQ442" s="124"/>
      <c r="AR442" s="124"/>
    </row>
    <row r="443" ht="12.7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124"/>
      <c r="AL443" s="124"/>
      <c r="AM443" s="124"/>
      <c r="AN443" s="124"/>
      <c r="AO443" s="124"/>
      <c r="AP443" s="124"/>
      <c r="AQ443" s="124"/>
      <c r="AR443" s="124"/>
    </row>
    <row r="444" ht="12.7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124"/>
      <c r="AL444" s="124"/>
      <c r="AM444" s="124"/>
      <c r="AN444" s="124"/>
      <c r="AO444" s="124"/>
      <c r="AP444" s="124"/>
      <c r="AQ444" s="124"/>
      <c r="AR444" s="124"/>
    </row>
    <row r="445" ht="12.7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124"/>
      <c r="AL445" s="124"/>
      <c r="AM445" s="124"/>
      <c r="AN445" s="124"/>
      <c r="AO445" s="124"/>
      <c r="AP445" s="124"/>
      <c r="AQ445" s="124"/>
      <c r="AR445" s="124"/>
    </row>
    <row r="446" ht="12.7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124"/>
      <c r="AL446" s="124"/>
      <c r="AM446" s="124"/>
      <c r="AN446" s="124"/>
      <c r="AO446" s="124"/>
      <c r="AP446" s="124"/>
      <c r="AQ446" s="124"/>
      <c r="AR446" s="124"/>
    </row>
    <row r="447" ht="12.7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c r="AL447" s="124"/>
      <c r="AM447" s="124"/>
      <c r="AN447" s="124"/>
      <c r="AO447" s="124"/>
      <c r="AP447" s="124"/>
      <c r="AQ447" s="124"/>
      <c r="AR447" s="124"/>
    </row>
    <row r="448" ht="12.7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124"/>
      <c r="AL448" s="124"/>
      <c r="AM448" s="124"/>
      <c r="AN448" s="124"/>
      <c r="AO448" s="124"/>
      <c r="AP448" s="124"/>
      <c r="AQ448" s="124"/>
      <c r="AR448" s="124"/>
    </row>
    <row r="449" ht="12.7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124"/>
      <c r="AL449" s="124"/>
      <c r="AM449" s="124"/>
      <c r="AN449" s="124"/>
      <c r="AO449" s="124"/>
      <c r="AP449" s="124"/>
      <c r="AQ449" s="124"/>
      <c r="AR449" s="124"/>
    </row>
    <row r="450" ht="12.7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124"/>
      <c r="AL450" s="124"/>
      <c r="AM450" s="124"/>
      <c r="AN450" s="124"/>
      <c r="AO450" s="124"/>
      <c r="AP450" s="124"/>
      <c r="AQ450" s="124"/>
      <c r="AR450" s="124"/>
    </row>
    <row r="451" ht="12.7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124"/>
      <c r="AL451" s="124"/>
      <c r="AM451" s="124"/>
      <c r="AN451" s="124"/>
      <c r="AO451" s="124"/>
      <c r="AP451" s="124"/>
      <c r="AQ451" s="124"/>
      <c r="AR451" s="124"/>
    </row>
    <row r="452" ht="12.7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124"/>
      <c r="AL452" s="124"/>
      <c r="AM452" s="124"/>
      <c r="AN452" s="124"/>
      <c r="AO452" s="124"/>
      <c r="AP452" s="124"/>
      <c r="AQ452" s="124"/>
      <c r="AR452" s="124"/>
    </row>
    <row r="453" ht="12.7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c r="AL453" s="124"/>
      <c r="AM453" s="124"/>
      <c r="AN453" s="124"/>
      <c r="AO453" s="124"/>
      <c r="AP453" s="124"/>
      <c r="AQ453" s="124"/>
      <c r="AR453" s="124"/>
    </row>
    <row r="454" ht="12.7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124"/>
      <c r="AL454" s="124"/>
      <c r="AM454" s="124"/>
      <c r="AN454" s="124"/>
      <c r="AO454" s="124"/>
      <c r="AP454" s="124"/>
      <c r="AQ454" s="124"/>
      <c r="AR454" s="124"/>
    </row>
    <row r="455" ht="12.7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124"/>
      <c r="AL455" s="124"/>
      <c r="AM455" s="124"/>
      <c r="AN455" s="124"/>
      <c r="AO455" s="124"/>
      <c r="AP455" s="124"/>
      <c r="AQ455" s="124"/>
      <c r="AR455" s="124"/>
    </row>
    <row r="456" ht="12.7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124"/>
      <c r="AL456" s="124"/>
      <c r="AM456" s="124"/>
      <c r="AN456" s="124"/>
      <c r="AO456" s="124"/>
      <c r="AP456" s="124"/>
      <c r="AQ456" s="124"/>
      <c r="AR456" s="124"/>
    </row>
    <row r="457" ht="12.7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c r="AL457" s="124"/>
      <c r="AM457" s="124"/>
      <c r="AN457" s="124"/>
      <c r="AO457" s="124"/>
      <c r="AP457" s="124"/>
      <c r="AQ457" s="124"/>
      <c r="AR457" s="124"/>
    </row>
    <row r="458" ht="12.7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c r="AL458" s="124"/>
      <c r="AM458" s="124"/>
      <c r="AN458" s="124"/>
      <c r="AO458" s="124"/>
      <c r="AP458" s="124"/>
      <c r="AQ458" s="124"/>
      <c r="AR458" s="124"/>
    </row>
    <row r="459" ht="12.7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c r="AL459" s="124"/>
      <c r="AM459" s="124"/>
      <c r="AN459" s="124"/>
      <c r="AO459" s="124"/>
      <c r="AP459" s="124"/>
      <c r="AQ459" s="124"/>
      <c r="AR459" s="124"/>
    </row>
    <row r="460" ht="12.7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124"/>
      <c r="AL460" s="124"/>
      <c r="AM460" s="124"/>
      <c r="AN460" s="124"/>
      <c r="AO460" s="124"/>
      <c r="AP460" s="124"/>
      <c r="AQ460" s="124"/>
      <c r="AR460" s="124"/>
    </row>
    <row r="461" ht="12.7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124"/>
      <c r="AL461" s="124"/>
      <c r="AM461" s="124"/>
      <c r="AN461" s="124"/>
      <c r="AO461" s="124"/>
      <c r="AP461" s="124"/>
      <c r="AQ461" s="124"/>
      <c r="AR461" s="124"/>
    </row>
    <row r="462" ht="12.7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124"/>
      <c r="AL462" s="124"/>
      <c r="AM462" s="124"/>
      <c r="AN462" s="124"/>
      <c r="AO462" s="124"/>
      <c r="AP462" s="124"/>
      <c r="AQ462" s="124"/>
      <c r="AR462" s="124"/>
    </row>
    <row r="463" ht="12.7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124"/>
      <c r="AL463" s="124"/>
      <c r="AM463" s="124"/>
      <c r="AN463" s="124"/>
      <c r="AO463" s="124"/>
      <c r="AP463" s="124"/>
      <c r="AQ463" s="124"/>
      <c r="AR463" s="124"/>
    </row>
    <row r="464" ht="12.7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124"/>
      <c r="AL464" s="124"/>
      <c r="AM464" s="124"/>
      <c r="AN464" s="124"/>
      <c r="AO464" s="124"/>
      <c r="AP464" s="124"/>
      <c r="AQ464" s="124"/>
      <c r="AR464" s="124"/>
    </row>
    <row r="465" ht="12.7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c r="AL465" s="124"/>
      <c r="AM465" s="124"/>
      <c r="AN465" s="124"/>
      <c r="AO465" s="124"/>
      <c r="AP465" s="124"/>
      <c r="AQ465" s="124"/>
      <c r="AR465" s="124"/>
    </row>
    <row r="466" ht="12.7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c r="AL466" s="124"/>
      <c r="AM466" s="124"/>
      <c r="AN466" s="124"/>
      <c r="AO466" s="124"/>
      <c r="AP466" s="124"/>
      <c r="AQ466" s="124"/>
      <c r="AR466" s="124"/>
    </row>
    <row r="467" ht="12.7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c r="AL467" s="124"/>
      <c r="AM467" s="124"/>
      <c r="AN467" s="124"/>
      <c r="AO467" s="124"/>
      <c r="AP467" s="124"/>
      <c r="AQ467" s="124"/>
      <c r="AR467" s="124"/>
    </row>
    <row r="468" ht="12.7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c r="AL468" s="124"/>
      <c r="AM468" s="124"/>
      <c r="AN468" s="124"/>
      <c r="AO468" s="124"/>
      <c r="AP468" s="124"/>
      <c r="AQ468" s="124"/>
      <c r="AR468" s="124"/>
    </row>
    <row r="469" ht="12.7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c r="AL469" s="124"/>
      <c r="AM469" s="124"/>
      <c r="AN469" s="124"/>
      <c r="AO469" s="124"/>
      <c r="AP469" s="124"/>
      <c r="AQ469" s="124"/>
      <c r="AR469" s="124"/>
    </row>
    <row r="470" ht="12.7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124"/>
      <c r="AL470" s="124"/>
      <c r="AM470" s="124"/>
      <c r="AN470" s="124"/>
      <c r="AO470" s="124"/>
      <c r="AP470" s="124"/>
      <c r="AQ470" s="124"/>
      <c r="AR470" s="124"/>
    </row>
    <row r="471" ht="12.7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c r="AL471" s="124"/>
      <c r="AM471" s="124"/>
      <c r="AN471" s="124"/>
      <c r="AO471" s="124"/>
      <c r="AP471" s="124"/>
      <c r="AQ471" s="124"/>
      <c r="AR471" s="124"/>
    </row>
    <row r="472" ht="12.7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124"/>
      <c r="AL472" s="124"/>
      <c r="AM472" s="124"/>
      <c r="AN472" s="124"/>
      <c r="AO472" s="124"/>
      <c r="AP472" s="124"/>
      <c r="AQ472" s="124"/>
      <c r="AR472" s="124"/>
    </row>
    <row r="473" ht="12.7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124"/>
      <c r="AL473" s="124"/>
      <c r="AM473" s="124"/>
      <c r="AN473" s="124"/>
      <c r="AO473" s="124"/>
      <c r="AP473" s="124"/>
      <c r="AQ473" s="124"/>
      <c r="AR473" s="124"/>
    </row>
    <row r="474" ht="12.7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124"/>
      <c r="AL474" s="124"/>
      <c r="AM474" s="124"/>
      <c r="AN474" s="124"/>
      <c r="AO474" s="124"/>
      <c r="AP474" s="124"/>
      <c r="AQ474" s="124"/>
      <c r="AR474" s="124"/>
    </row>
    <row r="475" ht="12.7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124"/>
      <c r="AL475" s="124"/>
      <c r="AM475" s="124"/>
      <c r="AN475" s="124"/>
      <c r="AO475" s="124"/>
      <c r="AP475" s="124"/>
      <c r="AQ475" s="124"/>
      <c r="AR475" s="124"/>
    </row>
    <row r="476" ht="12.7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124"/>
      <c r="AL476" s="124"/>
      <c r="AM476" s="124"/>
      <c r="AN476" s="124"/>
      <c r="AO476" s="124"/>
      <c r="AP476" s="124"/>
      <c r="AQ476" s="124"/>
      <c r="AR476" s="124"/>
    </row>
    <row r="477" ht="12.7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c r="AL477" s="124"/>
      <c r="AM477" s="124"/>
      <c r="AN477" s="124"/>
      <c r="AO477" s="124"/>
      <c r="AP477" s="124"/>
      <c r="AQ477" s="124"/>
      <c r="AR477" s="124"/>
    </row>
    <row r="478" ht="12.7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124"/>
      <c r="AL478" s="124"/>
      <c r="AM478" s="124"/>
      <c r="AN478" s="124"/>
      <c r="AO478" s="124"/>
      <c r="AP478" s="124"/>
      <c r="AQ478" s="124"/>
      <c r="AR478" s="124"/>
    </row>
    <row r="479" ht="12.7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c r="AL479" s="124"/>
      <c r="AM479" s="124"/>
      <c r="AN479" s="124"/>
      <c r="AO479" s="124"/>
      <c r="AP479" s="124"/>
      <c r="AQ479" s="124"/>
      <c r="AR479" s="124"/>
    </row>
    <row r="480" ht="12.7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124"/>
      <c r="AL480" s="124"/>
      <c r="AM480" s="124"/>
      <c r="AN480" s="124"/>
      <c r="AO480" s="124"/>
      <c r="AP480" s="124"/>
      <c r="AQ480" s="124"/>
      <c r="AR480" s="124"/>
    </row>
    <row r="481" ht="12.7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124"/>
      <c r="AL481" s="124"/>
      <c r="AM481" s="124"/>
      <c r="AN481" s="124"/>
      <c r="AO481" s="124"/>
      <c r="AP481" s="124"/>
      <c r="AQ481" s="124"/>
      <c r="AR481" s="124"/>
    </row>
    <row r="482" ht="12.7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124"/>
      <c r="AL482" s="124"/>
      <c r="AM482" s="124"/>
      <c r="AN482" s="124"/>
      <c r="AO482" s="124"/>
      <c r="AP482" s="124"/>
      <c r="AQ482" s="124"/>
      <c r="AR482" s="124"/>
    </row>
    <row r="483" ht="12.7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c r="AL483" s="124"/>
      <c r="AM483" s="124"/>
      <c r="AN483" s="124"/>
      <c r="AO483" s="124"/>
      <c r="AP483" s="124"/>
      <c r="AQ483" s="124"/>
      <c r="AR483" s="124"/>
    </row>
    <row r="484" ht="12.7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124"/>
      <c r="AL484" s="124"/>
      <c r="AM484" s="124"/>
      <c r="AN484" s="124"/>
      <c r="AO484" s="124"/>
      <c r="AP484" s="124"/>
      <c r="AQ484" s="124"/>
      <c r="AR484" s="124"/>
    </row>
    <row r="485" ht="12.7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c r="AL485" s="124"/>
      <c r="AM485" s="124"/>
      <c r="AN485" s="124"/>
      <c r="AO485" s="124"/>
      <c r="AP485" s="124"/>
      <c r="AQ485" s="124"/>
      <c r="AR485" s="124"/>
    </row>
    <row r="486" ht="12.7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124"/>
      <c r="AL486" s="124"/>
      <c r="AM486" s="124"/>
      <c r="AN486" s="124"/>
      <c r="AO486" s="124"/>
      <c r="AP486" s="124"/>
      <c r="AQ486" s="124"/>
      <c r="AR486" s="124"/>
    </row>
    <row r="487" ht="12.7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124"/>
      <c r="AL487" s="124"/>
      <c r="AM487" s="124"/>
      <c r="AN487" s="124"/>
      <c r="AO487" s="124"/>
      <c r="AP487" s="124"/>
      <c r="AQ487" s="124"/>
      <c r="AR487" s="124"/>
    </row>
    <row r="488" ht="12.7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124"/>
      <c r="AL488" s="124"/>
      <c r="AM488" s="124"/>
      <c r="AN488" s="124"/>
      <c r="AO488" s="124"/>
      <c r="AP488" s="124"/>
      <c r="AQ488" s="124"/>
      <c r="AR488" s="124"/>
    </row>
    <row r="489" ht="12.7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c r="AL489" s="124"/>
      <c r="AM489" s="124"/>
      <c r="AN489" s="124"/>
      <c r="AO489" s="124"/>
      <c r="AP489" s="124"/>
      <c r="AQ489" s="124"/>
      <c r="AR489" s="124"/>
    </row>
    <row r="490" ht="12.7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124"/>
      <c r="AL490" s="124"/>
      <c r="AM490" s="124"/>
      <c r="AN490" s="124"/>
      <c r="AO490" s="124"/>
      <c r="AP490" s="124"/>
      <c r="AQ490" s="124"/>
      <c r="AR490" s="124"/>
    </row>
    <row r="491" ht="12.7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124"/>
      <c r="AL491" s="124"/>
      <c r="AM491" s="124"/>
      <c r="AN491" s="124"/>
      <c r="AO491" s="124"/>
      <c r="AP491" s="124"/>
      <c r="AQ491" s="124"/>
      <c r="AR491" s="124"/>
    </row>
    <row r="492" ht="12.7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124"/>
      <c r="AL492" s="124"/>
      <c r="AM492" s="124"/>
      <c r="AN492" s="124"/>
      <c r="AO492" s="124"/>
      <c r="AP492" s="124"/>
      <c r="AQ492" s="124"/>
      <c r="AR492" s="124"/>
    </row>
    <row r="493" ht="12.7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c r="AL493" s="124"/>
      <c r="AM493" s="124"/>
      <c r="AN493" s="124"/>
      <c r="AO493" s="124"/>
      <c r="AP493" s="124"/>
      <c r="AQ493" s="124"/>
      <c r="AR493" s="124"/>
    </row>
    <row r="494" ht="12.7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c r="AL494" s="124"/>
      <c r="AM494" s="124"/>
      <c r="AN494" s="124"/>
      <c r="AO494" s="124"/>
      <c r="AP494" s="124"/>
      <c r="AQ494" s="124"/>
      <c r="AR494" s="124"/>
    </row>
    <row r="495" ht="12.7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c r="AL495" s="124"/>
      <c r="AM495" s="124"/>
      <c r="AN495" s="124"/>
      <c r="AO495" s="124"/>
      <c r="AP495" s="124"/>
      <c r="AQ495" s="124"/>
      <c r="AR495" s="124"/>
    </row>
    <row r="496" ht="12.7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c r="AL496" s="124"/>
      <c r="AM496" s="124"/>
      <c r="AN496" s="124"/>
      <c r="AO496" s="124"/>
      <c r="AP496" s="124"/>
      <c r="AQ496" s="124"/>
      <c r="AR496" s="124"/>
    </row>
    <row r="497" ht="12.7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c r="AL497" s="124"/>
      <c r="AM497" s="124"/>
      <c r="AN497" s="124"/>
      <c r="AO497" s="124"/>
      <c r="AP497" s="124"/>
      <c r="AQ497" s="124"/>
      <c r="AR497" s="124"/>
    </row>
    <row r="498" ht="12.7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c r="AL498" s="124"/>
      <c r="AM498" s="124"/>
      <c r="AN498" s="124"/>
      <c r="AO498" s="124"/>
      <c r="AP498" s="124"/>
      <c r="AQ498" s="124"/>
      <c r="AR498" s="124"/>
    </row>
    <row r="499" ht="12.7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124"/>
      <c r="AL499" s="124"/>
      <c r="AM499" s="124"/>
      <c r="AN499" s="124"/>
      <c r="AO499" s="124"/>
      <c r="AP499" s="124"/>
      <c r="AQ499" s="124"/>
      <c r="AR499" s="124"/>
    </row>
    <row r="500" ht="12.7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c r="AL500" s="124"/>
      <c r="AM500" s="124"/>
      <c r="AN500" s="124"/>
      <c r="AO500" s="124"/>
      <c r="AP500" s="124"/>
      <c r="AQ500" s="124"/>
      <c r="AR500" s="124"/>
    </row>
    <row r="501" ht="12.7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c r="AL501" s="124"/>
      <c r="AM501" s="124"/>
      <c r="AN501" s="124"/>
      <c r="AO501" s="124"/>
      <c r="AP501" s="124"/>
      <c r="AQ501" s="124"/>
      <c r="AR501" s="124"/>
    </row>
    <row r="502" ht="12.7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c r="AL502" s="124"/>
      <c r="AM502" s="124"/>
      <c r="AN502" s="124"/>
      <c r="AO502" s="124"/>
      <c r="AP502" s="124"/>
      <c r="AQ502" s="124"/>
      <c r="AR502" s="124"/>
    </row>
    <row r="503" ht="12.7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c r="AL503" s="124"/>
      <c r="AM503" s="124"/>
      <c r="AN503" s="124"/>
      <c r="AO503" s="124"/>
      <c r="AP503" s="124"/>
      <c r="AQ503" s="124"/>
      <c r="AR503" s="124"/>
    </row>
    <row r="504" ht="12.7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c r="AL504" s="124"/>
      <c r="AM504" s="124"/>
      <c r="AN504" s="124"/>
      <c r="AO504" s="124"/>
      <c r="AP504" s="124"/>
      <c r="AQ504" s="124"/>
      <c r="AR504" s="124"/>
    </row>
    <row r="505" ht="12.7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c r="AL505" s="124"/>
      <c r="AM505" s="124"/>
      <c r="AN505" s="124"/>
      <c r="AO505" s="124"/>
      <c r="AP505" s="124"/>
      <c r="AQ505" s="124"/>
      <c r="AR505" s="124"/>
    </row>
    <row r="506" ht="12.7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124"/>
      <c r="AL506" s="124"/>
      <c r="AM506" s="124"/>
      <c r="AN506" s="124"/>
      <c r="AO506" s="124"/>
      <c r="AP506" s="124"/>
      <c r="AQ506" s="124"/>
      <c r="AR506" s="124"/>
    </row>
    <row r="507" ht="12.7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c r="AL507" s="124"/>
      <c r="AM507" s="124"/>
      <c r="AN507" s="124"/>
      <c r="AO507" s="124"/>
      <c r="AP507" s="124"/>
      <c r="AQ507" s="124"/>
      <c r="AR507" s="124"/>
    </row>
    <row r="508" ht="12.7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c r="AL508" s="124"/>
      <c r="AM508" s="124"/>
      <c r="AN508" s="124"/>
      <c r="AO508" s="124"/>
      <c r="AP508" s="124"/>
      <c r="AQ508" s="124"/>
      <c r="AR508" s="124"/>
    </row>
    <row r="509" ht="12.7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c r="AL509" s="124"/>
      <c r="AM509" s="124"/>
      <c r="AN509" s="124"/>
      <c r="AO509" s="124"/>
      <c r="AP509" s="124"/>
      <c r="AQ509" s="124"/>
      <c r="AR509" s="124"/>
    </row>
    <row r="510" ht="12.7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c r="AL510" s="124"/>
      <c r="AM510" s="124"/>
      <c r="AN510" s="124"/>
      <c r="AO510" s="124"/>
      <c r="AP510" s="124"/>
      <c r="AQ510" s="124"/>
      <c r="AR510" s="124"/>
    </row>
    <row r="511" ht="12.7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c r="AL511" s="124"/>
      <c r="AM511" s="124"/>
      <c r="AN511" s="124"/>
      <c r="AO511" s="124"/>
      <c r="AP511" s="124"/>
      <c r="AQ511" s="124"/>
      <c r="AR511" s="124"/>
    </row>
    <row r="512" ht="12.7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c r="AL512" s="124"/>
      <c r="AM512" s="124"/>
      <c r="AN512" s="124"/>
      <c r="AO512" s="124"/>
      <c r="AP512" s="124"/>
      <c r="AQ512" s="124"/>
      <c r="AR512" s="124"/>
    </row>
    <row r="513" ht="12.7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c r="AL513" s="124"/>
      <c r="AM513" s="124"/>
      <c r="AN513" s="124"/>
      <c r="AO513" s="124"/>
      <c r="AP513" s="124"/>
      <c r="AQ513" s="124"/>
      <c r="AR513" s="124"/>
    </row>
    <row r="514" ht="12.7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c r="AL514" s="124"/>
      <c r="AM514" s="124"/>
      <c r="AN514" s="124"/>
      <c r="AO514" s="124"/>
      <c r="AP514" s="124"/>
      <c r="AQ514" s="124"/>
      <c r="AR514" s="124"/>
    </row>
    <row r="515" ht="12.7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c r="AR515" s="124"/>
    </row>
    <row r="516" ht="12.7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c r="AL516" s="124"/>
      <c r="AM516" s="124"/>
      <c r="AN516" s="124"/>
      <c r="AO516" s="124"/>
      <c r="AP516" s="124"/>
      <c r="AQ516" s="124"/>
      <c r="AR516" s="124"/>
    </row>
    <row r="517" ht="12.7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c r="AR517" s="124"/>
    </row>
    <row r="518" ht="12.7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c r="AR518" s="124"/>
    </row>
    <row r="519" ht="12.7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c r="AR519" s="124"/>
    </row>
    <row r="520" ht="12.7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c r="AR520" s="124"/>
    </row>
    <row r="521" ht="12.7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c r="AL521" s="124"/>
      <c r="AM521" s="124"/>
      <c r="AN521" s="124"/>
      <c r="AO521" s="124"/>
      <c r="AP521" s="124"/>
      <c r="AQ521" s="124"/>
      <c r="AR521" s="124"/>
    </row>
    <row r="522" ht="12.7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c r="AR522" s="124"/>
    </row>
    <row r="523" ht="12.7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c r="AR523" s="124"/>
    </row>
    <row r="524" ht="12.7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c r="AR524" s="124"/>
    </row>
    <row r="525" ht="12.7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c r="AR525" s="124"/>
    </row>
    <row r="526" ht="12.7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c r="AR526" s="124"/>
    </row>
    <row r="527" ht="12.7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c r="AL527" s="124"/>
      <c r="AM527" s="124"/>
      <c r="AN527" s="124"/>
      <c r="AO527" s="124"/>
      <c r="AP527" s="124"/>
      <c r="AQ527" s="124"/>
      <c r="AR527" s="124"/>
    </row>
    <row r="528" ht="12.7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c r="AR528" s="124"/>
    </row>
    <row r="529" ht="12.7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c r="AL529" s="124"/>
      <c r="AM529" s="124"/>
      <c r="AN529" s="124"/>
      <c r="AO529" s="124"/>
      <c r="AP529" s="124"/>
      <c r="AQ529" s="124"/>
      <c r="AR529" s="124"/>
    </row>
    <row r="530" ht="12.7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c r="AR530" s="124"/>
    </row>
    <row r="531" ht="12.7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c r="AR531" s="124"/>
    </row>
    <row r="532" ht="12.7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c r="AR532" s="124"/>
    </row>
    <row r="533" ht="12.7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c r="AR533" s="124"/>
    </row>
    <row r="534" ht="12.7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c r="AR534" s="124"/>
    </row>
    <row r="535" ht="12.7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c r="AL535" s="124"/>
      <c r="AM535" s="124"/>
      <c r="AN535" s="124"/>
      <c r="AO535" s="124"/>
      <c r="AP535" s="124"/>
      <c r="AQ535" s="124"/>
      <c r="AR535" s="124"/>
    </row>
    <row r="536" ht="12.7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c r="AR536" s="124"/>
    </row>
    <row r="537" ht="12.7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c r="AR537" s="124"/>
    </row>
    <row r="538" ht="12.7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c r="AR538" s="124"/>
    </row>
    <row r="539" ht="12.7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c r="AR539" s="124"/>
    </row>
    <row r="540" ht="12.7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c r="AR540" s="124"/>
    </row>
    <row r="541" ht="12.7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c r="AR541" s="124"/>
    </row>
    <row r="542" ht="12.7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row>
    <row r="543" ht="12.7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c r="AR543" s="124"/>
    </row>
    <row r="544" ht="12.7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124"/>
      <c r="AL544" s="124"/>
      <c r="AM544" s="124"/>
      <c r="AN544" s="124"/>
      <c r="AO544" s="124"/>
      <c r="AP544" s="124"/>
      <c r="AQ544" s="124"/>
      <c r="AR544" s="124"/>
    </row>
    <row r="545" ht="12.7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c r="AL545" s="124"/>
      <c r="AM545" s="124"/>
      <c r="AN545" s="124"/>
      <c r="AO545" s="124"/>
      <c r="AP545" s="124"/>
      <c r="AQ545" s="124"/>
      <c r="AR545" s="124"/>
    </row>
    <row r="546" ht="12.7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c r="AL546" s="124"/>
      <c r="AM546" s="124"/>
      <c r="AN546" s="124"/>
      <c r="AO546" s="124"/>
      <c r="AP546" s="124"/>
      <c r="AQ546" s="124"/>
      <c r="AR546" s="124"/>
    </row>
    <row r="547" ht="12.7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c r="AL547" s="124"/>
      <c r="AM547" s="124"/>
      <c r="AN547" s="124"/>
      <c r="AO547" s="124"/>
      <c r="AP547" s="124"/>
      <c r="AQ547" s="124"/>
      <c r="AR547" s="124"/>
    </row>
    <row r="548" ht="12.7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c r="AL548" s="124"/>
      <c r="AM548" s="124"/>
      <c r="AN548" s="124"/>
      <c r="AO548" s="124"/>
      <c r="AP548" s="124"/>
      <c r="AQ548" s="124"/>
      <c r="AR548" s="124"/>
    </row>
    <row r="549" ht="12.7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c r="AL549" s="124"/>
      <c r="AM549" s="124"/>
      <c r="AN549" s="124"/>
      <c r="AO549" s="124"/>
      <c r="AP549" s="124"/>
      <c r="AQ549" s="124"/>
      <c r="AR549" s="124"/>
    </row>
    <row r="550" ht="12.7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c r="AL550" s="124"/>
      <c r="AM550" s="124"/>
      <c r="AN550" s="124"/>
      <c r="AO550" s="124"/>
      <c r="AP550" s="124"/>
      <c r="AQ550" s="124"/>
      <c r="AR550" s="124"/>
    </row>
    <row r="551" ht="12.7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c r="AL551" s="124"/>
      <c r="AM551" s="124"/>
      <c r="AN551" s="124"/>
      <c r="AO551" s="124"/>
      <c r="AP551" s="124"/>
      <c r="AQ551" s="124"/>
      <c r="AR551" s="124"/>
    </row>
    <row r="552" ht="12.7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c r="AL552" s="124"/>
      <c r="AM552" s="124"/>
      <c r="AN552" s="124"/>
      <c r="AO552" s="124"/>
      <c r="AP552" s="124"/>
      <c r="AQ552" s="124"/>
      <c r="AR552" s="124"/>
    </row>
    <row r="553" ht="12.7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c r="AL553" s="124"/>
      <c r="AM553" s="124"/>
      <c r="AN553" s="124"/>
      <c r="AO553" s="124"/>
      <c r="AP553" s="124"/>
      <c r="AQ553" s="124"/>
      <c r="AR553" s="124"/>
    </row>
    <row r="554" ht="12.7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c r="AL554" s="124"/>
      <c r="AM554" s="124"/>
      <c r="AN554" s="124"/>
      <c r="AO554" s="124"/>
      <c r="AP554" s="124"/>
      <c r="AQ554" s="124"/>
      <c r="AR554" s="124"/>
    </row>
    <row r="555" ht="12.7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c r="AL555" s="124"/>
      <c r="AM555" s="124"/>
      <c r="AN555" s="124"/>
      <c r="AO555" s="124"/>
      <c r="AP555" s="124"/>
      <c r="AQ555" s="124"/>
      <c r="AR555" s="124"/>
    </row>
    <row r="556" ht="12.7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c r="AL556" s="124"/>
      <c r="AM556" s="124"/>
      <c r="AN556" s="124"/>
      <c r="AO556" s="124"/>
      <c r="AP556" s="124"/>
      <c r="AQ556" s="124"/>
      <c r="AR556" s="124"/>
    </row>
    <row r="557" ht="12.7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c r="AL557" s="124"/>
      <c r="AM557" s="124"/>
      <c r="AN557" s="124"/>
      <c r="AO557" s="124"/>
      <c r="AP557" s="124"/>
      <c r="AQ557" s="124"/>
      <c r="AR557" s="124"/>
    </row>
    <row r="558" ht="12.7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c r="AL558" s="124"/>
      <c r="AM558" s="124"/>
      <c r="AN558" s="124"/>
      <c r="AO558" s="124"/>
      <c r="AP558" s="124"/>
      <c r="AQ558" s="124"/>
      <c r="AR558" s="124"/>
    </row>
    <row r="559" ht="12.7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c r="AL559" s="124"/>
      <c r="AM559" s="124"/>
      <c r="AN559" s="124"/>
      <c r="AO559" s="124"/>
      <c r="AP559" s="124"/>
      <c r="AQ559" s="124"/>
      <c r="AR559" s="124"/>
    </row>
    <row r="560" ht="12.7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c r="AL560" s="124"/>
      <c r="AM560" s="124"/>
      <c r="AN560" s="124"/>
      <c r="AO560" s="124"/>
      <c r="AP560" s="124"/>
      <c r="AQ560" s="124"/>
      <c r="AR560" s="124"/>
    </row>
    <row r="561" ht="12.7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c r="AL561" s="124"/>
      <c r="AM561" s="124"/>
      <c r="AN561" s="124"/>
      <c r="AO561" s="124"/>
      <c r="AP561" s="124"/>
      <c r="AQ561" s="124"/>
      <c r="AR561" s="124"/>
    </row>
    <row r="562" ht="12.7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c r="AL562" s="124"/>
      <c r="AM562" s="124"/>
      <c r="AN562" s="124"/>
      <c r="AO562" s="124"/>
      <c r="AP562" s="124"/>
      <c r="AQ562" s="124"/>
      <c r="AR562" s="124"/>
    </row>
    <row r="563" ht="12.7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c r="AL563" s="124"/>
      <c r="AM563" s="124"/>
      <c r="AN563" s="124"/>
      <c r="AO563" s="124"/>
      <c r="AP563" s="124"/>
      <c r="AQ563" s="124"/>
      <c r="AR563" s="124"/>
    </row>
    <row r="564" ht="12.7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c r="AL564" s="124"/>
      <c r="AM564" s="124"/>
      <c r="AN564" s="124"/>
      <c r="AO564" s="124"/>
      <c r="AP564" s="124"/>
      <c r="AQ564" s="124"/>
      <c r="AR564" s="124"/>
    </row>
    <row r="565" ht="12.7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c r="AL565" s="124"/>
      <c r="AM565" s="124"/>
      <c r="AN565" s="124"/>
      <c r="AO565" s="124"/>
      <c r="AP565" s="124"/>
      <c r="AQ565" s="124"/>
      <c r="AR565" s="124"/>
    </row>
    <row r="566" ht="12.7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c r="AL566" s="124"/>
      <c r="AM566" s="124"/>
      <c r="AN566" s="124"/>
      <c r="AO566" s="124"/>
      <c r="AP566" s="124"/>
      <c r="AQ566" s="124"/>
      <c r="AR566" s="124"/>
    </row>
    <row r="567" ht="12.7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c r="AL567" s="124"/>
      <c r="AM567" s="124"/>
      <c r="AN567" s="124"/>
      <c r="AO567" s="124"/>
      <c r="AP567" s="124"/>
      <c r="AQ567" s="124"/>
      <c r="AR567" s="124"/>
    </row>
    <row r="568" ht="12.7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c r="AL568" s="124"/>
      <c r="AM568" s="124"/>
      <c r="AN568" s="124"/>
      <c r="AO568" s="124"/>
      <c r="AP568" s="124"/>
      <c r="AQ568" s="124"/>
      <c r="AR568" s="124"/>
    </row>
    <row r="569" ht="12.7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c r="AL569" s="124"/>
      <c r="AM569" s="124"/>
      <c r="AN569" s="124"/>
      <c r="AO569" s="124"/>
      <c r="AP569" s="124"/>
      <c r="AQ569" s="124"/>
      <c r="AR569" s="124"/>
    </row>
    <row r="570" ht="12.7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c r="AL570" s="124"/>
      <c r="AM570" s="124"/>
      <c r="AN570" s="124"/>
      <c r="AO570" s="124"/>
      <c r="AP570" s="124"/>
      <c r="AQ570" s="124"/>
      <c r="AR570" s="124"/>
    </row>
    <row r="571" ht="12.7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c r="AL571" s="124"/>
      <c r="AM571" s="124"/>
      <c r="AN571" s="124"/>
      <c r="AO571" s="124"/>
      <c r="AP571" s="124"/>
      <c r="AQ571" s="124"/>
      <c r="AR571" s="124"/>
    </row>
    <row r="572" ht="12.7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c r="AL572" s="124"/>
      <c r="AM572" s="124"/>
      <c r="AN572" s="124"/>
      <c r="AO572" s="124"/>
      <c r="AP572" s="124"/>
      <c r="AQ572" s="124"/>
      <c r="AR572" s="124"/>
    </row>
    <row r="573" ht="12.7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124"/>
      <c r="AL573" s="124"/>
      <c r="AM573" s="124"/>
      <c r="AN573" s="124"/>
      <c r="AO573" s="124"/>
      <c r="AP573" s="124"/>
      <c r="AQ573" s="124"/>
      <c r="AR573" s="124"/>
    </row>
    <row r="574" ht="12.7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c r="AL574" s="124"/>
      <c r="AM574" s="124"/>
      <c r="AN574" s="124"/>
      <c r="AO574" s="124"/>
      <c r="AP574" s="124"/>
      <c r="AQ574" s="124"/>
      <c r="AR574" s="124"/>
    </row>
    <row r="575" ht="12.7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c r="AL575" s="124"/>
      <c r="AM575" s="124"/>
      <c r="AN575" s="124"/>
      <c r="AO575" s="124"/>
      <c r="AP575" s="124"/>
      <c r="AQ575" s="124"/>
      <c r="AR575" s="124"/>
    </row>
    <row r="576" ht="12.7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c r="AL576" s="124"/>
      <c r="AM576" s="124"/>
      <c r="AN576" s="124"/>
      <c r="AO576" s="124"/>
      <c r="AP576" s="124"/>
      <c r="AQ576" s="124"/>
      <c r="AR576" s="124"/>
    </row>
    <row r="577" ht="12.7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c r="AL577" s="124"/>
      <c r="AM577" s="124"/>
      <c r="AN577" s="124"/>
      <c r="AO577" s="124"/>
      <c r="AP577" s="124"/>
      <c r="AQ577" s="124"/>
      <c r="AR577" s="124"/>
    </row>
    <row r="578" ht="12.7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c r="AL578" s="124"/>
      <c r="AM578" s="124"/>
      <c r="AN578" s="124"/>
      <c r="AO578" s="124"/>
      <c r="AP578" s="124"/>
      <c r="AQ578" s="124"/>
      <c r="AR578" s="124"/>
    </row>
    <row r="579" ht="12.7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c r="AL579" s="124"/>
      <c r="AM579" s="124"/>
      <c r="AN579" s="124"/>
      <c r="AO579" s="124"/>
      <c r="AP579" s="124"/>
      <c r="AQ579" s="124"/>
      <c r="AR579" s="124"/>
    </row>
    <row r="580" ht="12.7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c r="AL580" s="124"/>
      <c r="AM580" s="124"/>
      <c r="AN580" s="124"/>
      <c r="AO580" s="124"/>
      <c r="AP580" s="124"/>
      <c r="AQ580" s="124"/>
      <c r="AR580" s="124"/>
    </row>
    <row r="581" ht="12.7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c r="AL581" s="124"/>
      <c r="AM581" s="124"/>
      <c r="AN581" s="124"/>
      <c r="AO581" s="124"/>
      <c r="AP581" s="124"/>
      <c r="AQ581" s="124"/>
      <c r="AR581" s="124"/>
    </row>
    <row r="582" ht="12.7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c r="AL582" s="124"/>
      <c r="AM582" s="124"/>
      <c r="AN582" s="124"/>
      <c r="AO582" s="124"/>
      <c r="AP582" s="124"/>
      <c r="AQ582" s="124"/>
      <c r="AR582" s="124"/>
    </row>
    <row r="583" ht="12.7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c r="AL583" s="124"/>
      <c r="AM583" s="124"/>
      <c r="AN583" s="124"/>
      <c r="AO583" s="124"/>
      <c r="AP583" s="124"/>
      <c r="AQ583" s="124"/>
      <c r="AR583" s="124"/>
    </row>
    <row r="584" ht="12.7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c r="AL584" s="124"/>
      <c r="AM584" s="124"/>
      <c r="AN584" s="124"/>
      <c r="AO584" s="124"/>
      <c r="AP584" s="124"/>
      <c r="AQ584" s="124"/>
      <c r="AR584" s="124"/>
    </row>
    <row r="585" ht="12.7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c r="AL585" s="124"/>
      <c r="AM585" s="124"/>
      <c r="AN585" s="124"/>
      <c r="AO585" s="124"/>
      <c r="AP585" s="124"/>
      <c r="AQ585" s="124"/>
      <c r="AR585" s="124"/>
    </row>
    <row r="586" ht="12.7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c r="AL586" s="124"/>
      <c r="AM586" s="124"/>
      <c r="AN586" s="124"/>
      <c r="AO586" s="124"/>
      <c r="AP586" s="124"/>
      <c r="AQ586" s="124"/>
      <c r="AR586" s="124"/>
    </row>
    <row r="587" ht="12.7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c r="AL587" s="124"/>
      <c r="AM587" s="124"/>
      <c r="AN587" s="124"/>
      <c r="AO587" s="124"/>
      <c r="AP587" s="124"/>
      <c r="AQ587" s="124"/>
      <c r="AR587" s="124"/>
    </row>
    <row r="588" ht="12.7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c r="AL588" s="124"/>
      <c r="AM588" s="124"/>
      <c r="AN588" s="124"/>
      <c r="AO588" s="124"/>
      <c r="AP588" s="124"/>
      <c r="AQ588" s="124"/>
      <c r="AR588" s="124"/>
    </row>
    <row r="589" ht="12.7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c r="AL589" s="124"/>
      <c r="AM589" s="124"/>
      <c r="AN589" s="124"/>
      <c r="AO589" s="124"/>
      <c r="AP589" s="124"/>
      <c r="AQ589" s="124"/>
      <c r="AR589" s="124"/>
    </row>
    <row r="590" ht="12.7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c r="AL590" s="124"/>
      <c r="AM590" s="124"/>
      <c r="AN590" s="124"/>
      <c r="AO590" s="124"/>
      <c r="AP590" s="124"/>
      <c r="AQ590" s="124"/>
      <c r="AR590" s="124"/>
    </row>
    <row r="591" ht="12.7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c r="AL591" s="124"/>
      <c r="AM591" s="124"/>
      <c r="AN591" s="124"/>
      <c r="AO591" s="124"/>
      <c r="AP591" s="124"/>
      <c r="AQ591" s="124"/>
      <c r="AR591" s="124"/>
    </row>
    <row r="592" ht="12.7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124"/>
      <c r="AL592" s="124"/>
      <c r="AM592" s="124"/>
      <c r="AN592" s="124"/>
      <c r="AO592" s="124"/>
      <c r="AP592" s="124"/>
      <c r="AQ592" s="124"/>
      <c r="AR592" s="124"/>
    </row>
    <row r="593" ht="12.7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c r="AL593" s="124"/>
      <c r="AM593" s="124"/>
      <c r="AN593" s="124"/>
      <c r="AO593" s="124"/>
      <c r="AP593" s="124"/>
      <c r="AQ593" s="124"/>
      <c r="AR593" s="124"/>
    </row>
    <row r="594" ht="12.7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c r="AL594" s="124"/>
      <c r="AM594" s="124"/>
      <c r="AN594" s="124"/>
      <c r="AO594" s="124"/>
      <c r="AP594" s="124"/>
      <c r="AQ594" s="124"/>
      <c r="AR594" s="124"/>
    </row>
    <row r="595" ht="12.7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c r="AL595" s="124"/>
      <c r="AM595" s="124"/>
      <c r="AN595" s="124"/>
      <c r="AO595" s="124"/>
      <c r="AP595" s="124"/>
      <c r="AQ595" s="124"/>
      <c r="AR595" s="124"/>
    </row>
    <row r="596" ht="12.7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c r="AL596" s="124"/>
      <c r="AM596" s="124"/>
      <c r="AN596" s="124"/>
      <c r="AO596" s="124"/>
      <c r="AP596" s="124"/>
      <c r="AQ596" s="124"/>
      <c r="AR596" s="124"/>
    </row>
    <row r="597" ht="12.7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c r="AL597" s="124"/>
      <c r="AM597" s="124"/>
      <c r="AN597" s="124"/>
      <c r="AO597" s="124"/>
      <c r="AP597" s="124"/>
      <c r="AQ597" s="124"/>
      <c r="AR597" s="124"/>
    </row>
    <row r="598" ht="12.7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c r="AL598" s="124"/>
      <c r="AM598" s="124"/>
      <c r="AN598" s="124"/>
      <c r="AO598" s="124"/>
      <c r="AP598" s="124"/>
      <c r="AQ598" s="124"/>
      <c r="AR598" s="124"/>
    </row>
    <row r="599" ht="12.7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c r="AL599" s="124"/>
      <c r="AM599" s="124"/>
      <c r="AN599" s="124"/>
      <c r="AO599" s="124"/>
      <c r="AP599" s="124"/>
      <c r="AQ599" s="124"/>
      <c r="AR599" s="124"/>
    </row>
    <row r="600" ht="12.7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c r="AL600" s="124"/>
      <c r="AM600" s="124"/>
      <c r="AN600" s="124"/>
      <c r="AO600" s="124"/>
      <c r="AP600" s="124"/>
      <c r="AQ600" s="124"/>
      <c r="AR600" s="124"/>
    </row>
    <row r="601" ht="12.7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c r="AL601" s="124"/>
      <c r="AM601" s="124"/>
      <c r="AN601" s="124"/>
      <c r="AO601" s="124"/>
      <c r="AP601" s="124"/>
      <c r="AQ601" s="124"/>
      <c r="AR601" s="124"/>
    </row>
    <row r="602" ht="12.7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c r="AL602" s="124"/>
      <c r="AM602" s="124"/>
      <c r="AN602" s="124"/>
      <c r="AO602" s="124"/>
      <c r="AP602" s="124"/>
      <c r="AQ602" s="124"/>
      <c r="AR602" s="124"/>
    </row>
    <row r="603" ht="12.7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c r="AL603" s="124"/>
      <c r="AM603" s="124"/>
      <c r="AN603" s="124"/>
      <c r="AO603" s="124"/>
      <c r="AP603" s="124"/>
      <c r="AQ603" s="124"/>
      <c r="AR603" s="124"/>
    </row>
    <row r="604" ht="12.7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c r="AL604" s="124"/>
      <c r="AM604" s="124"/>
      <c r="AN604" s="124"/>
      <c r="AO604" s="124"/>
      <c r="AP604" s="124"/>
      <c r="AQ604" s="124"/>
      <c r="AR604" s="124"/>
    </row>
    <row r="605" ht="12.7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c r="AL605" s="124"/>
      <c r="AM605" s="124"/>
      <c r="AN605" s="124"/>
      <c r="AO605" s="124"/>
      <c r="AP605" s="124"/>
      <c r="AQ605" s="124"/>
      <c r="AR605" s="124"/>
    </row>
    <row r="606" ht="12.7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c r="AL606" s="124"/>
      <c r="AM606" s="124"/>
      <c r="AN606" s="124"/>
      <c r="AO606" s="124"/>
      <c r="AP606" s="124"/>
      <c r="AQ606" s="124"/>
      <c r="AR606" s="124"/>
    </row>
    <row r="607" ht="12.7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c r="AL607" s="124"/>
      <c r="AM607" s="124"/>
      <c r="AN607" s="124"/>
      <c r="AO607" s="124"/>
      <c r="AP607" s="124"/>
      <c r="AQ607" s="124"/>
      <c r="AR607" s="124"/>
    </row>
    <row r="608" ht="12.7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124"/>
      <c r="AL608" s="124"/>
      <c r="AM608" s="124"/>
      <c r="AN608" s="124"/>
      <c r="AO608" s="124"/>
      <c r="AP608" s="124"/>
      <c r="AQ608" s="124"/>
      <c r="AR608" s="124"/>
    </row>
    <row r="609" ht="12.7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124"/>
      <c r="AL609" s="124"/>
      <c r="AM609" s="124"/>
      <c r="AN609" s="124"/>
      <c r="AO609" s="124"/>
      <c r="AP609" s="124"/>
      <c r="AQ609" s="124"/>
      <c r="AR609" s="124"/>
    </row>
    <row r="610" ht="12.7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124"/>
      <c r="AL610" s="124"/>
      <c r="AM610" s="124"/>
      <c r="AN610" s="124"/>
      <c r="AO610" s="124"/>
      <c r="AP610" s="124"/>
      <c r="AQ610" s="124"/>
      <c r="AR610" s="124"/>
    </row>
    <row r="611" ht="12.7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124"/>
      <c r="AL611" s="124"/>
      <c r="AM611" s="124"/>
      <c r="AN611" s="124"/>
      <c r="AO611" s="124"/>
      <c r="AP611" s="124"/>
      <c r="AQ611" s="124"/>
      <c r="AR611" s="124"/>
    </row>
    <row r="612" ht="12.7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124"/>
      <c r="AL612" s="124"/>
      <c r="AM612" s="124"/>
      <c r="AN612" s="124"/>
      <c r="AO612" s="124"/>
      <c r="AP612" s="124"/>
      <c r="AQ612" s="124"/>
      <c r="AR612" s="124"/>
    </row>
    <row r="613" ht="12.7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124"/>
      <c r="AL613" s="124"/>
      <c r="AM613" s="124"/>
      <c r="AN613" s="124"/>
      <c r="AO613" s="124"/>
      <c r="AP613" s="124"/>
      <c r="AQ613" s="124"/>
      <c r="AR613" s="124"/>
    </row>
    <row r="614" ht="12.7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124"/>
      <c r="AL614" s="124"/>
      <c r="AM614" s="124"/>
      <c r="AN614" s="124"/>
      <c r="AO614" s="124"/>
      <c r="AP614" s="124"/>
      <c r="AQ614" s="124"/>
      <c r="AR614" s="124"/>
    </row>
    <row r="615" ht="12.7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124"/>
      <c r="AL615" s="124"/>
      <c r="AM615" s="124"/>
      <c r="AN615" s="124"/>
      <c r="AO615" s="124"/>
      <c r="AP615" s="124"/>
      <c r="AQ615" s="124"/>
      <c r="AR615" s="124"/>
    </row>
    <row r="616" ht="12.7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124"/>
      <c r="AL616" s="124"/>
      <c r="AM616" s="124"/>
      <c r="AN616" s="124"/>
      <c r="AO616" s="124"/>
      <c r="AP616" s="124"/>
      <c r="AQ616" s="124"/>
      <c r="AR616" s="124"/>
    </row>
    <row r="617" ht="12.7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124"/>
      <c r="AL617" s="124"/>
      <c r="AM617" s="124"/>
      <c r="AN617" s="124"/>
      <c r="AO617" s="124"/>
      <c r="AP617" s="124"/>
      <c r="AQ617" s="124"/>
      <c r="AR617" s="124"/>
    </row>
    <row r="618" ht="12.7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124"/>
      <c r="AL618" s="124"/>
      <c r="AM618" s="124"/>
      <c r="AN618" s="124"/>
      <c r="AO618" s="124"/>
      <c r="AP618" s="124"/>
      <c r="AQ618" s="124"/>
      <c r="AR618" s="124"/>
    </row>
    <row r="619" ht="12.7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124"/>
      <c r="AL619" s="124"/>
      <c r="AM619" s="124"/>
      <c r="AN619" s="124"/>
      <c r="AO619" s="124"/>
      <c r="AP619" s="124"/>
      <c r="AQ619" s="124"/>
      <c r="AR619" s="124"/>
    </row>
    <row r="620" ht="12.7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c r="AL620" s="124"/>
      <c r="AM620" s="124"/>
      <c r="AN620" s="124"/>
      <c r="AO620" s="124"/>
      <c r="AP620" s="124"/>
      <c r="AQ620" s="124"/>
      <c r="AR620" s="124"/>
    </row>
    <row r="621" ht="12.7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124"/>
      <c r="AL621" s="124"/>
      <c r="AM621" s="124"/>
      <c r="AN621" s="124"/>
      <c r="AO621" s="124"/>
      <c r="AP621" s="124"/>
      <c r="AQ621" s="124"/>
      <c r="AR621" s="124"/>
    </row>
    <row r="622" ht="12.7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124"/>
      <c r="AL622" s="124"/>
      <c r="AM622" s="124"/>
      <c r="AN622" s="124"/>
      <c r="AO622" s="124"/>
      <c r="AP622" s="124"/>
      <c r="AQ622" s="124"/>
      <c r="AR622" s="124"/>
    </row>
    <row r="623" ht="12.7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c r="AL623" s="124"/>
      <c r="AM623" s="124"/>
      <c r="AN623" s="124"/>
      <c r="AO623" s="124"/>
      <c r="AP623" s="124"/>
      <c r="AQ623" s="124"/>
      <c r="AR623" s="124"/>
    </row>
    <row r="624" ht="12.7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124"/>
      <c r="AL624" s="124"/>
      <c r="AM624" s="124"/>
      <c r="AN624" s="124"/>
      <c r="AO624" s="124"/>
      <c r="AP624" s="124"/>
      <c r="AQ624" s="124"/>
      <c r="AR624" s="124"/>
    </row>
    <row r="625" ht="12.7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124"/>
      <c r="AL625" s="124"/>
      <c r="AM625" s="124"/>
      <c r="AN625" s="124"/>
      <c r="AO625" s="124"/>
      <c r="AP625" s="124"/>
      <c r="AQ625" s="124"/>
      <c r="AR625" s="124"/>
    </row>
    <row r="626" ht="12.7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124"/>
      <c r="AL626" s="124"/>
      <c r="AM626" s="124"/>
      <c r="AN626" s="124"/>
      <c r="AO626" s="124"/>
      <c r="AP626" s="124"/>
      <c r="AQ626" s="124"/>
      <c r="AR626" s="124"/>
    </row>
    <row r="627" ht="12.7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124"/>
      <c r="AL627" s="124"/>
      <c r="AM627" s="124"/>
      <c r="AN627" s="124"/>
      <c r="AO627" s="124"/>
      <c r="AP627" s="124"/>
      <c r="AQ627" s="124"/>
      <c r="AR627" s="124"/>
    </row>
    <row r="628" ht="12.7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124"/>
      <c r="AL628" s="124"/>
      <c r="AM628" s="124"/>
      <c r="AN628" s="124"/>
      <c r="AO628" s="124"/>
      <c r="AP628" s="124"/>
      <c r="AQ628" s="124"/>
      <c r="AR628" s="124"/>
    </row>
    <row r="629" ht="12.7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124"/>
      <c r="AL629" s="124"/>
      <c r="AM629" s="124"/>
      <c r="AN629" s="124"/>
      <c r="AO629" s="124"/>
      <c r="AP629" s="124"/>
      <c r="AQ629" s="124"/>
      <c r="AR629" s="124"/>
    </row>
    <row r="630" ht="12.7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124"/>
      <c r="AL630" s="124"/>
      <c r="AM630" s="124"/>
      <c r="AN630" s="124"/>
      <c r="AO630" s="124"/>
      <c r="AP630" s="124"/>
      <c r="AQ630" s="124"/>
      <c r="AR630" s="124"/>
    </row>
    <row r="631" ht="12.7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124"/>
      <c r="AL631" s="124"/>
      <c r="AM631" s="124"/>
      <c r="AN631" s="124"/>
      <c r="AO631" s="124"/>
      <c r="AP631" s="124"/>
      <c r="AQ631" s="124"/>
      <c r="AR631" s="124"/>
    </row>
    <row r="632" ht="12.7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124"/>
      <c r="AL632" s="124"/>
      <c r="AM632" s="124"/>
      <c r="AN632" s="124"/>
      <c r="AO632" s="124"/>
      <c r="AP632" s="124"/>
      <c r="AQ632" s="124"/>
      <c r="AR632" s="124"/>
    </row>
    <row r="633" ht="12.7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c r="AL633" s="124"/>
      <c r="AM633" s="124"/>
      <c r="AN633" s="124"/>
      <c r="AO633" s="124"/>
      <c r="AP633" s="124"/>
      <c r="AQ633" s="124"/>
      <c r="AR633" s="124"/>
    </row>
    <row r="634" ht="12.7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c r="AL634" s="124"/>
      <c r="AM634" s="124"/>
      <c r="AN634" s="124"/>
      <c r="AO634" s="124"/>
      <c r="AP634" s="124"/>
      <c r="AQ634" s="124"/>
      <c r="AR634" s="124"/>
    </row>
    <row r="635" ht="12.7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c r="AL635" s="124"/>
      <c r="AM635" s="124"/>
      <c r="AN635" s="124"/>
      <c r="AO635" s="124"/>
      <c r="AP635" s="124"/>
      <c r="AQ635" s="124"/>
      <c r="AR635" s="124"/>
    </row>
    <row r="636" ht="12.7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c r="AL636" s="124"/>
      <c r="AM636" s="124"/>
      <c r="AN636" s="124"/>
      <c r="AO636" s="124"/>
      <c r="AP636" s="124"/>
      <c r="AQ636" s="124"/>
      <c r="AR636" s="124"/>
    </row>
    <row r="637" ht="12.7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c r="AL637" s="124"/>
      <c r="AM637" s="124"/>
      <c r="AN637" s="124"/>
      <c r="AO637" s="124"/>
      <c r="AP637" s="124"/>
      <c r="AQ637" s="124"/>
      <c r="AR637" s="124"/>
    </row>
    <row r="638" ht="12.7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c r="AL638" s="124"/>
      <c r="AM638" s="124"/>
      <c r="AN638" s="124"/>
      <c r="AO638" s="124"/>
      <c r="AP638" s="124"/>
      <c r="AQ638" s="124"/>
      <c r="AR638" s="124"/>
    </row>
    <row r="639" ht="12.7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124"/>
      <c r="AL639" s="124"/>
      <c r="AM639" s="124"/>
      <c r="AN639" s="124"/>
      <c r="AO639" s="124"/>
      <c r="AP639" s="124"/>
      <c r="AQ639" s="124"/>
      <c r="AR639" s="124"/>
    </row>
    <row r="640" ht="12.7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124"/>
      <c r="AL640" s="124"/>
      <c r="AM640" s="124"/>
      <c r="AN640" s="124"/>
      <c r="AO640" s="124"/>
      <c r="AP640" s="124"/>
      <c r="AQ640" s="124"/>
      <c r="AR640" s="124"/>
    </row>
    <row r="641" ht="12.7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124"/>
      <c r="AL641" s="124"/>
      <c r="AM641" s="124"/>
      <c r="AN641" s="124"/>
      <c r="AO641" s="124"/>
      <c r="AP641" s="124"/>
      <c r="AQ641" s="124"/>
      <c r="AR641" s="124"/>
    </row>
    <row r="642" ht="12.7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124"/>
      <c r="AL642" s="124"/>
      <c r="AM642" s="124"/>
      <c r="AN642" s="124"/>
      <c r="AO642" s="124"/>
      <c r="AP642" s="124"/>
      <c r="AQ642" s="124"/>
      <c r="AR642" s="124"/>
    </row>
    <row r="643" ht="12.7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124"/>
      <c r="AL643" s="124"/>
      <c r="AM643" s="124"/>
      <c r="AN643" s="124"/>
      <c r="AO643" s="124"/>
      <c r="AP643" s="124"/>
      <c r="AQ643" s="124"/>
      <c r="AR643" s="124"/>
    </row>
    <row r="644" ht="12.7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124"/>
      <c r="AL644" s="124"/>
      <c r="AM644" s="124"/>
      <c r="AN644" s="124"/>
      <c r="AO644" s="124"/>
      <c r="AP644" s="124"/>
      <c r="AQ644" s="124"/>
      <c r="AR644" s="124"/>
    </row>
    <row r="645" ht="12.7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124"/>
      <c r="AL645" s="124"/>
      <c r="AM645" s="124"/>
      <c r="AN645" s="124"/>
      <c r="AO645" s="124"/>
      <c r="AP645" s="124"/>
      <c r="AQ645" s="124"/>
      <c r="AR645" s="124"/>
    </row>
    <row r="646" ht="12.7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124"/>
      <c r="AL646" s="124"/>
      <c r="AM646" s="124"/>
      <c r="AN646" s="124"/>
      <c r="AO646" s="124"/>
      <c r="AP646" s="124"/>
      <c r="AQ646" s="124"/>
      <c r="AR646" s="124"/>
    </row>
    <row r="647" ht="12.7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124"/>
      <c r="AL647" s="124"/>
      <c r="AM647" s="124"/>
      <c r="AN647" s="124"/>
      <c r="AO647" s="124"/>
      <c r="AP647" s="124"/>
      <c r="AQ647" s="124"/>
      <c r="AR647" s="124"/>
    </row>
    <row r="648" ht="12.7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124"/>
      <c r="AL648" s="124"/>
      <c r="AM648" s="124"/>
      <c r="AN648" s="124"/>
      <c r="AO648" s="124"/>
      <c r="AP648" s="124"/>
      <c r="AQ648" s="124"/>
      <c r="AR648" s="124"/>
    </row>
    <row r="649" ht="12.7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124"/>
      <c r="AL649" s="124"/>
      <c r="AM649" s="124"/>
      <c r="AN649" s="124"/>
      <c r="AO649" s="124"/>
      <c r="AP649" s="124"/>
      <c r="AQ649" s="124"/>
      <c r="AR649" s="124"/>
    </row>
    <row r="650" ht="12.7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124"/>
      <c r="AL650" s="124"/>
      <c r="AM650" s="124"/>
      <c r="AN650" s="124"/>
      <c r="AO650" s="124"/>
      <c r="AP650" s="124"/>
      <c r="AQ650" s="124"/>
      <c r="AR650" s="124"/>
    </row>
    <row r="651" ht="12.7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124"/>
      <c r="AL651" s="124"/>
      <c r="AM651" s="124"/>
      <c r="AN651" s="124"/>
      <c r="AO651" s="124"/>
      <c r="AP651" s="124"/>
      <c r="AQ651" s="124"/>
      <c r="AR651" s="124"/>
    </row>
    <row r="652" ht="12.7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c r="AL652" s="124"/>
      <c r="AM652" s="124"/>
      <c r="AN652" s="124"/>
      <c r="AO652" s="124"/>
      <c r="AP652" s="124"/>
      <c r="AQ652" s="124"/>
      <c r="AR652" s="124"/>
    </row>
    <row r="653" ht="12.7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c r="AL653" s="124"/>
      <c r="AM653" s="124"/>
      <c r="AN653" s="124"/>
      <c r="AO653" s="124"/>
      <c r="AP653" s="124"/>
      <c r="AQ653" s="124"/>
      <c r="AR653" s="124"/>
    </row>
    <row r="654" ht="12.7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c r="AL654" s="124"/>
      <c r="AM654" s="124"/>
      <c r="AN654" s="124"/>
      <c r="AO654" s="124"/>
      <c r="AP654" s="124"/>
      <c r="AQ654" s="124"/>
      <c r="AR654" s="124"/>
    </row>
    <row r="655" ht="12.7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c r="AL655" s="124"/>
      <c r="AM655" s="124"/>
      <c r="AN655" s="124"/>
      <c r="AO655" s="124"/>
      <c r="AP655" s="124"/>
      <c r="AQ655" s="124"/>
      <c r="AR655" s="124"/>
    </row>
    <row r="656" ht="12.7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c r="AL656" s="124"/>
      <c r="AM656" s="124"/>
      <c r="AN656" s="124"/>
      <c r="AO656" s="124"/>
      <c r="AP656" s="124"/>
      <c r="AQ656" s="124"/>
      <c r="AR656" s="124"/>
    </row>
    <row r="657" ht="12.7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c r="AL657" s="124"/>
      <c r="AM657" s="124"/>
      <c r="AN657" s="124"/>
      <c r="AO657" s="124"/>
      <c r="AP657" s="124"/>
      <c r="AQ657" s="124"/>
      <c r="AR657" s="124"/>
    </row>
    <row r="658" ht="12.7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c r="AL658" s="124"/>
      <c r="AM658" s="124"/>
      <c r="AN658" s="124"/>
      <c r="AO658" s="124"/>
      <c r="AP658" s="124"/>
      <c r="AQ658" s="124"/>
      <c r="AR658" s="124"/>
    </row>
    <row r="659" ht="12.7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124"/>
      <c r="AL659" s="124"/>
      <c r="AM659" s="124"/>
      <c r="AN659" s="124"/>
      <c r="AO659" s="124"/>
      <c r="AP659" s="124"/>
      <c r="AQ659" s="124"/>
      <c r="AR659" s="124"/>
    </row>
    <row r="660" ht="12.7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124"/>
      <c r="AL660" s="124"/>
      <c r="AM660" s="124"/>
      <c r="AN660" s="124"/>
      <c r="AO660" s="124"/>
      <c r="AP660" s="124"/>
      <c r="AQ660" s="124"/>
      <c r="AR660" s="124"/>
    </row>
    <row r="661" ht="12.7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124"/>
      <c r="AL661" s="124"/>
      <c r="AM661" s="124"/>
      <c r="AN661" s="124"/>
      <c r="AO661" s="124"/>
      <c r="AP661" s="124"/>
      <c r="AQ661" s="124"/>
      <c r="AR661" s="124"/>
    </row>
    <row r="662" ht="12.7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124"/>
      <c r="AL662" s="124"/>
      <c r="AM662" s="124"/>
      <c r="AN662" s="124"/>
      <c r="AO662" s="124"/>
      <c r="AP662" s="124"/>
      <c r="AQ662" s="124"/>
      <c r="AR662" s="124"/>
    </row>
    <row r="663" ht="12.7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124"/>
      <c r="AL663" s="124"/>
      <c r="AM663" s="124"/>
      <c r="AN663" s="124"/>
      <c r="AO663" s="124"/>
      <c r="AP663" s="124"/>
      <c r="AQ663" s="124"/>
      <c r="AR663" s="124"/>
    </row>
    <row r="664" ht="12.7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124"/>
      <c r="AL664" s="124"/>
      <c r="AM664" s="124"/>
      <c r="AN664" s="124"/>
      <c r="AO664" s="124"/>
      <c r="AP664" s="124"/>
      <c r="AQ664" s="124"/>
      <c r="AR664" s="124"/>
    </row>
    <row r="665" ht="12.7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124"/>
      <c r="AL665" s="124"/>
      <c r="AM665" s="124"/>
      <c r="AN665" s="124"/>
      <c r="AO665" s="124"/>
      <c r="AP665" s="124"/>
      <c r="AQ665" s="124"/>
      <c r="AR665" s="124"/>
    </row>
    <row r="666" ht="12.7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124"/>
      <c r="AL666" s="124"/>
      <c r="AM666" s="124"/>
      <c r="AN666" s="124"/>
      <c r="AO666" s="124"/>
      <c r="AP666" s="124"/>
      <c r="AQ666" s="124"/>
      <c r="AR666" s="124"/>
    </row>
    <row r="667" ht="12.7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124"/>
      <c r="AL667" s="124"/>
      <c r="AM667" s="124"/>
      <c r="AN667" s="124"/>
      <c r="AO667" s="124"/>
      <c r="AP667" s="124"/>
      <c r="AQ667" s="124"/>
      <c r="AR667" s="124"/>
    </row>
    <row r="668" ht="12.7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124"/>
      <c r="AL668" s="124"/>
      <c r="AM668" s="124"/>
      <c r="AN668" s="124"/>
      <c r="AO668" s="124"/>
      <c r="AP668" s="124"/>
      <c r="AQ668" s="124"/>
      <c r="AR668" s="124"/>
    </row>
    <row r="669" ht="12.7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124"/>
      <c r="AL669" s="124"/>
      <c r="AM669" s="124"/>
      <c r="AN669" s="124"/>
      <c r="AO669" s="124"/>
      <c r="AP669" s="124"/>
      <c r="AQ669" s="124"/>
      <c r="AR669" s="124"/>
    </row>
    <row r="670" ht="12.7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124"/>
      <c r="AL670" s="124"/>
      <c r="AM670" s="124"/>
      <c r="AN670" s="124"/>
      <c r="AO670" s="124"/>
      <c r="AP670" s="124"/>
      <c r="AQ670" s="124"/>
      <c r="AR670" s="124"/>
    </row>
    <row r="671" ht="12.7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124"/>
      <c r="AL671" s="124"/>
      <c r="AM671" s="124"/>
      <c r="AN671" s="124"/>
      <c r="AO671" s="124"/>
      <c r="AP671" s="124"/>
      <c r="AQ671" s="124"/>
      <c r="AR671" s="124"/>
    </row>
    <row r="672" ht="12.7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124"/>
      <c r="AL672" s="124"/>
      <c r="AM672" s="124"/>
      <c r="AN672" s="124"/>
      <c r="AO672" s="124"/>
      <c r="AP672" s="124"/>
      <c r="AQ672" s="124"/>
      <c r="AR672" s="124"/>
    </row>
    <row r="673" ht="12.7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124"/>
      <c r="AL673" s="124"/>
      <c r="AM673" s="124"/>
      <c r="AN673" s="124"/>
      <c r="AO673" s="124"/>
      <c r="AP673" s="124"/>
      <c r="AQ673" s="124"/>
      <c r="AR673" s="124"/>
    </row>
    <row r="674" ht="12.7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124"/>
      <c r="AL674" s="124"/>
      <c r="AM674" s="124"/>
      <c r="AN674" s="124"/>
      <c r="AO674" s="124"/>
      <c r="AP674" s="124"/>
      <c r="AQ674" s="124"/>
      <c r="AR674" s="124"/>
    </row>
    <row r="675" ht="12.7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124"/>
      <c r="AL675" s="124"/>
      <c r="AM675" s="124"/>
      <c r="AN675" s="124"/>
      <c r="AO675" s="124"/>
      <c r="AP675" s="124"/>
      <c r="AQ675" s="124"/>
      <c r="AR675" s="124"/>
    </row>
    <row r="676" ht="12.7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124"/>
      <c r="AL676" s="124"/>
      <c r="AM676" s="124"/>
      <c r="AN676" s="124"/>
      <c r="AO676" s="124"/>
      <c r="AP676" s="124"/>
      <c r="AQ676" s="124"/>
      <c r="AR676" s="124"/>
    </row>
    <row r="677" ht="12.7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124"/>
      <c r="AL677" s="124"/>
      <c r="AM677" s="124"/>
      <c r="AN677" s="124"/>
      <c r="AO677" s="124"/>
      <c r="AP677" s="124"/>
      <c r="AQ677" s="124"/>
      <c r="AR677" s="124"/>
    </row>
    <row r="678" ht="12.7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124"/>
      <c r="AL678" s="124"/>
      <c r="AM678" s="124"/>
      <c r="AN678" s="124"/>
      <c r="AO678" s="124"/>
      <c r="AP678" s="124"/>
      <c r="AQ678" s="124"/>
      <c r="AR678" s="124"/>
    </row>
    <row r="679" ht="12.7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124"/>
      <c r="AL679" s="124"/>
      <c r="AM679" s="124"/>
      <c r="AN679" s="124"/>
      <c r="AO679" s="124"/>
      <c r="AP679" s="124"/>
      <c r="AQ679" s="124"/>
      <c r="AR679" s="124"/>
    </row>
    <row r="680" ht="12.7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124"/>
      <c r="AL680" s="124"/>
      <c r="AM680" s="124"/>
      <c r="AN680" s="124"/>
      <c r="AO680" s="124"/>
      <c r="AP680" s="124"/>
      <c r="AQ680" s="124"/>
      <c r="AR680" s="124"/>
    </row>
    <row r="681" ht="12.7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124"/>
      <c r="AL681" s="124"/>
      <c r="AM681" s="124"/>
      <c r="AN681" s="124"/>
      <c r="AO681" s="124"/>
      <c r="AP681" s="124"/>
      <c r="AQ681" s="124"/>
      <c r="AR681" s="124"/>
    </row>
    <row r="682" ht="12.7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124"/>
      <c r="AL682" s="124"/>
      <c r="AM682" s="124"/>
      <c r="AN682" s="124"/>
      <c r="AO682" s="124"/>
      <c r="AP682" s="124"/>
      <c r="AQ682" s="124"/>
      <c r="AR682" s="124"/>
    </row>
    <row r="683" ht="12.7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124"/>
      <c r="AL683" s="124"/>
      <c r="AM683" s="124"/>
      <c r="AN683" s="124"/>
      <c r="AO683" s="124"/>
      <c r="AP683" s="124"/>
      <c r="AQ683" s="124"/>
      <c r="AR683" s="124"/>
    </row>
    <row r="684" ht="12.7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124"/>
      <c r="AL684" s="124"/>
      <c r="AM684" s="124"/>
      <c r="AN684" s="124"/>
      <c r="AO684" s="124"/>
      <c r="AP684" s="124"/>
      <c r="AQ684" s="124"/>
      <c r="AR684" s="124"/>
    </row>
    <row r="685" ht="12.7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124"/>
      <c r="AL685" s="124"/>
      <c r="AM685" s="124"/>
      <c r="AN685" s="124"/>
      <c r="AO685" s="124"/>
      <c r="AP685" s="124"/>
      <c r="AQ685" s="124"/>
      <c r="AR685" s="124"/>
    </row>
    <row r="686" ht="12.7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124"/>
      <c r="AL686" s="124"/>
      <c r="AM686" s="124"/>
      <c r="AN686" s="124"/>
      <c r="AO686" s="124"/>
      <c r="AP686" s="124"/>
      <c r="AQ686" s="124"/>
      <c r="AR686" s="124"/>
    </row>
    <row r="687" ht="12.7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124"/>
      <c r="AL687" s="124"/>
      <c r="AM687" s="124"/>
      <c r="AN687" s="124"/>
      <c r="AO687" s="124"/>
      <c r="AP687" s="124"/>
      <c r="AQ687" s="124"/>
      <c r="AR687" s="124"/>
    </row>
    <row r="688" ht="12.7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124"/>
      <c r="AL688" s="124"/>
      <c r="AM688" s="124"/>
      <c r="AN688" s="124"/>
      <c r="AO688" s="124"/>
      <c r="AP688" s="124"/>
      <c r="AQ688" s="124"/>
      <c r="AR688" s="124"/>
    </row>
    <row r="689" ht="12.7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124"/>
      <c r="AL689" s="124"/>
      <c r="AM689" s="124"/>
      <c r="AN689" s="124"/>
      <c r="AO689" s="124"/>
      <c r="AP689" s="124"/>
      <c r="AQ689" s="124"/>
      <c r="AR689" s="124"/>
    </row>
    <row r="690" ht="12.7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124"/>
      <c r="AL690" s="124"/>
      <c r="AM690" s="124"/>
      <c r="AN690" s="124"/>
      <c r="AO690" s="124"/>
      <c r="AP690" s="124"/>
      <c r="AQ690" s="124"/>
      <c r="AR690" s="124"/>
    </row>
    <row r="691" ht="12.7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124"/>
      <c r="AL691" s="124"/>
      <c r="AM691" s="124"/>
      <c r="AN691" s="124"/>
      <c r="AO691" s="124"/>
      <c r="AP691" s="124"/>
      <c r="AQ691" s="124"/>
      <c r="AR691" s="124"/>
    </row>
    <row r="692" ht="12.7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c r="AL692" s="124"/>
      <c r="AM692" s="124"/>
      <c r="AN692" s="124"/>
      <c r="AO692" s="124"/>
      <c r="AP692" s="124"/>
      <c r="AQ692" s="124"/>
      <c r="AR692" s="124"/>
    </row>
    <row r="693" ht="12.7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124"/>
      <c r="AL693" s="124"/>
      <c r="AM693" s="124"/>
      <c r="AN693" s="124"/>
      <c r="AO693" s="124"/>
      <c r="AP693" s="124"/>
      <c r="AQ693" s="124"/>
      <c r="AR693" s="124"/>
    </row>
    <row r="694" ht="12.7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124"/>
      <c r="AL694" s="124"/>
      <c r="AM694" s="124"/>
      <c r="AN694" s="124"/>
      <c r="AO694" s="124"/>
      <c r="AP694" s="124"/>
      <c r="AQ694" s="124"/>
      <c r="AR694" s="124"/>
    </row>
    <row r="695" ht="12.7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124"/>
      <c r="AL695" s="124"/>
      <c r="AM695" s="124"/>
      <c r="AN695" s="124"/>
      <c r="AO695" s="124"/>
      <c r="AP695" s="124"/>
      <c r="AQ695" s="124"/>
      <c r="AR695" s="124"/>
    </row>
    <row r="696" ht="12.7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124"/>
      <c r="AL696" s="124"/>
      <c r="AM696" s="124"/>
      <c r="AN696" s="124"/>
      <c r="AO696" s="124"/>
      <c r="AP696" s="124"/>
      <c r="AQ696" s="124"/>
      <c r="AR696" s="124"/>
    </row>
    <row r="697" ht="12.7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124"/>
      <c r="AL697" s="124"/>
      <c r="AM697" s="124"/>
      <c r="AN697" s="124"/>
      <c r="AO697" s="124"/>
      <c r="AP697" s="124"/>
      <c r="AQ697" s="124"/>
      <c r="AR697" s="124"/>
    </row>
    <row r="698" ht="12.7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124"/>
      <c r="AL698" s="124"/>
      <c r="AM698" s="124"/>
      <c r="AN698" s="124"/>
      <c r="AO698" s="124"/>
      <c r="AP698" s="124"/>
      <c r="AQ698" s="124"/>
      <c r="AR698" s="124"/>
    </row>
    <row r="699" ht="12.7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124"/>
      <c r="AL699" s="124"/>
      <c r="AM699" s="124"/>
      <c r="AN699" s="124"/>
      <c r="AO699" s="124"/>
      <c r="AP699" s="124"/>
      <c r="AQ699" s="124"/>
      <c r="AR699" s="124"/>
    </row>
    <row r="700" ht="12.7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124"/>
      <c r="AL700" s="124"/>
      <c r="AM700" s="124"/>
      <c r="AN700" s="124"/>
      <c r="AO700" s="124"/>
      <c r="AP700" s="124"/>
      <c r="AQ700" s="124"/>
      <c r="AR700" s="124"/>
    </row>
    <row r="701" ht="12.7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124"/>
      <c r="AL701" s="124"/>
      <c r="AM701" s="124"/>
      <c r="AN701" s="124"/>
      <c r="AO701" s="124"/>
      <c r="AP701" s="124"/>
      <c r="AQ701" s="124"/>
      <c r="AR701" s="124"/>
    </row>
    <row r="702" ht="12.7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124"/>
      <c r="AL702" s="124"/>
      <c r="AM702" s="124"/>
      <c r="AN702" s="124"/>
      <c r="AO702" s="124"/>
      <c r="AP702" s="124"/>
      <c r="AQ702" s="124"/>
      <c r="AR702" s="124"/>
    </row>
    <row r="703" ht="12.7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124"/>
      <c r="AL703" s="124"/>
      <c r="AM703" s="124"/>
      <c r="AN703" s="124"/>
      <c r="AO703" s="124"/>
      <c r="AP703" s="124"/>
      <c r="AQ703" s="124"/>
      <c r="AR703" s="124"/>
    </row>
    <row r="704" ht="12.7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124"/>
      <c r="AL704" s="124"/>
      <c r="AM704" s="124"/>
      <c r="AN704" s="124"/>
      <c r="AO704" s="124"/>
      <c r="AP704" s="124"/>
      <c r="AQ704" s="124"/>
      <c r="AR704" s="124"/>
    </row>
    <row r="705" ht="12.7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124"/>
      <c r="AL705" s="124"/>
      <c r="AM705" s="124"/>
      <c r="AN705" s="124"/>
      <c r="AO705" s="124"/>
      <c r="AP705" s="124"/>
      <c r="AQ705" s="124"/>
      <c r="AR705" s="124"/>
    </row>
    <row r="706" ht="12.7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124"/>
      <c r="AL706" s="124"/>
      <c r="AM706" s="124"/>
      <c r="AN706" s="124"/>
      <c r="AO706" s="124"/>
      <c r="AP706" s="124"/>
      <c r="AQ706" s="124"/>
      <c r="AR706" s="124"/>
    </row>
    <row r="707" ht="12.7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124"/>
      <c r="AL707" s="124"/>
      <c r="AM707" s="124"/>
      <c r="AN707" s="124"/>
      <c r="AO707" s="124"/>
      <c r="AP707" s="124"/>
      <c r="AQ707" s="124"/>
      <c r="AR707" s="124"/>
    </row>
    <row r="708" ht="12.7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124"/>
      <c r="AL708" s="124"/>
      <c r="AM708" s="124"/>
      <c r="AN708" s="124"/>
      <c r="AO708" s="124"/>
      <c r="AP708" s="124"/>
      <c r="AQ708" s="124"/>
      <c r="AR708" s="124"/>
    </row>
    <row r="709" ht="12.7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124"/>
      <c r="AL709" s="124"/>
      <c r="AM709" s="124"/>
      <c r="AN709" s="124"/>
      <c r="AO709" s="124"/>
      <c r="AP709" s="124"/>
      <c r="AQ709" s="124"/>
      <c r="AR709" s="124"/>
    </row>
    <row r="710" ht="12.7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124"/>
      <c r="AL710" s="124"/>
      <c r="AM710" s="124"/>
      <c r="AN710" s="124"/>
      <c r="AO710" s="124"/>
      <c r="AP710" s="124"/>
      <c r="AQ710" s="124"/>
      <c r="AR710" s="124"/>
    </row>
    <row r="711" ht="12.7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124"/>
      <c r="AL711" s="124"/>
      <c r="AM711" s="124"/>
      <c r="AN711" s="124"/>
      <c r="AO711" s="124"/>
      <c r="AP711" s="124"/>
      <c r="AQ711" s="124"/>
      <c r="AR711" s="124"/>
    </row>
    <row r="712" ht="12.7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124"/>
      <c r="AL712" s="124"/>
      <c r="AM712" s="124"/>
      <c r="AN712" s="124"/>
      <c r="AO712" s="124"/>
      <c r="AP712" s="124"/>
      <c r="AQ712" s="124"/>
      <c r="AR712" s="124"/>
    </row>
    <row r="713" ht="12.7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124"/>
      <c r="AL713" s="124"/>
      <c r="AM713" s="124"/>
      <c r="AN713" s="124"/>
      <c r="AO713" s="124"/>
      <c r="AP713" s="124"/>
      <c r="AQ713" s="124"/>
      <c r="AR713" s="124"/>
    </row>
    <row r="714" ht="12.7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124"/>
      <c r="AL714" s="124"/>
      <c r="AM714" s="124"/>
      <c r="AN714" s="124"/>
      <c r="AO714" s="124"/>
      <c r="AP714" s="124"/>
      <c r="AQ714" s="124"/>
      <c r="AR714" s="124"/>
    </row>
    <row r="715" ht="12.7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124"/>
      <c r="AL715" s="124"/>
      <c r="AM715" s="124"/>
      <c r="AN715" s="124"/>
      <c r="AO715" s="124"/>
      <c r="AP715" s="124"/>
      <c r="AQ715" s="124"/>
      <c r="AR715" s="124"/>
    </row>
    <row r="716" ht="12.7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124"/>
      <c r="AL716" s="124"/>
      <c r="AM716" s="124"/>
      <c r="AN716" s="124"/>
      <c r="AO716" s="124"/>
      <c r="AP716" s="124"/>
      <c r="AQ716" s="124"/>
      <c r="AR716" s="124"/>
    </row>
    <row r="717" ht="12.7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124"/>
      <c r="AL717" s="124"/>
      <c r="AM717" s="124"/>
      <c r="AN717" s="124"/>
      <c r="AO717" s="124"/>
      <c r="AP717" s="124"/>
      <c r="AQ717" s="124"/>
      <c r="AR717" s="124"/>
    </row>
    <row r="718" ht="12.7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124"/>
      <c r="AL718" s="124"/>
      <c r="AM718" s="124"/>
      <c r="AN718" s="124"/>
      <c r="AO718" s="124"/>
      <c r="AP718" s="124"/>
      <c r="AQ718" s="124"/>
      <c r="AR718" s="124"/>
    </row>
    <row r="719" ht="12.7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124"/>
      <c r="AL719" s="124"/>
      <c r="AM719" s="124"/>
      <c r="AN719" s="124"/>
      <c r="AO719" s="124"/>
      <c r="AP719" s="124"/>
      <c r="AQ719" s="124"/>
      <c r="AR719" s="124"/>
    </row>
    <row r="720" ht="12.7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124"/>
      <c r="AL720" s="124"/>
      <c r="AM720" s="124"/>
      <c r="AN720" s="124"/>
      <c r="AO720" s="124"/>
      <c r="AP720" s="124"/>
      <c r="AQ720" s="124"/>
      <c r="AR720" s="124"/>
    </row>
    <row r="721" ht="12.7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124"/>
      <c r="AL721" s="124"/>
      <c r="AM721" s="124"/>
      <c r="AN721" s="124"/>
      <c r="AO721" s="124"/>
      <c r="AP721" s="124"/>
      <c r="AQ721" s="124"/>
      <c r="AR721" s="124"/>
    </row>
    <row r="722" ht="12.7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124"/>
      <c r="AL722" s="124"/>
      <c r="AM722" s="124"/>
      <c r="AN722" s="124"/>
      <c r="AO722" s="124"/>
      <c r="AP722" s="124"/>
      <c r="AQ722" s="124"/>
      <c r="AR722" s="124"/>
    </row>
    <row r="723" ht="12.7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124"/>
      <c r="AL723" s="124"/>
      <c r="AM723" s="124"/>
      <c r="AN723" s="124"/>
      <c r="AO723" s="124"/>
      <c r="AP723" s="124"/>
      <c r="AQ723" s="124"/>
      <c r="AR723" s="124"/>
    </row>
    <row r="724" ht="12.7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124"/>
      <c r="AL724" s="124"/>
      <c r="AM724" s="124"/>
      <c r="AN724" s="124"/>
      <c r="AO724" s="124"/>
      <c r="AP724" s="124"/>
      <c r="AQ724" s="124"/>
      <c r="AR724" s="124"/>
    </row>
    <row r="725" ht="12.7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124"/>
      <c r="AL725" s="124"/>
      <c r="AM725" s="124"/>
      <c r="AN725" s="124"/>
      <c r="AO725" s="124"/>
      <c r="AP725" s="124"/>
      <c r="AQ725" s="124"/>
      <c r="AR725" s="124"/>
    </row>
    <row r="726" ht="12.7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124"/>
      <c r="AL726" s="124"/>
      <c r="AM726" s="124"/>
      <c r="AN726" s="124"/>
      <c r="AO726" s="124"/>
      <c r="AP726" s="124"/>
      <c r="AQ726" s="124"/>
      <c r="AR726" s="124"/>
    </row>
    <row r="727" ht="12.7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124"/>
      <c r="AL727" s="124"/>
      <c r="AM727" s="124"/>
      <c r="AN727" s="124"/>
      <c r="AO727" s="124"/>
      <c r="AP727" s="124"/>
      <c r="AQ727" s="124"/>
      <c r="AR727" s="124"/>
    </row>
    <row r="728" ht="12.7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124"/>
      <c r="AL728" s="124"/>
      <c r="AM728" s="124"/>
      <c r="AN728" s="124"/>
      <c r="AO728" s="124"/>
      <c r="AP728" s="124"/>
      <c r="AQ728" s="124"/>
      <c r="AR728" s="124"/>
    </row>
    <row r="729" ht="12.7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124"/>
      <c r="AL729" s="124"/>
      <c r="AM729" s="124"/>
      <c r="AN729" s="124"/>
      <c r="AO729" s="124"/>
      <c r="AP729" s="124"/>
      <c r="AQ729" s="124"/>
      <c r="AR729" s="124"/>
    </row>
    <row r="730" ht="12.7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124"/>
      <c r="AL730" s="124"/>
      <c r="AM730" s="124"/>
      <c r="AN730" s="124"/>
      <c r="AO730" s="124"/>
      <c r="AP730" s="124"/>
      <c r="AQ730" s="124"/>
      <c r="AR730" s="124"/>
    </row>
    <row r="731" ht="12.7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124"/>
      <c r="AL731" s="124"/>
      <c r="AM731" s="124"/>
      <c r="AN731" s="124"/>
      <c r="AO731" s="124"/>
      <c r="AP731" s="124"/>
      <c r="AQ731" s="124"/>
      <c r="AR731" s="124"/>
    </row>
    <row r="732" ht="12.7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124"/>
      <c r="AL732" s="124"/>
      <c r="AM732" s="124"/>
      <c r="AN732" s="124"/>
      <c r="AO732" s="124"/>
      <c r="AP732" s="124"/>
      <c r="AQ732" s="124"/>
      <c r="AR732" s="124"/>
    </row>
    <row r="733" ht="12.7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124"/>
      <c r="AL733" s="124"/>
      <c r="AM733" s="124"/>
      <c r="AN733" s="124"/>
      <c r="AO733" s="124"/>
      <c r="AP733" s="124"/>
      <c r="AQ733" s="124"/>
      <c r="AR733" s="124"/>
    </row>
    <row r="734" ht="12.7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124"/>
      <c r="AL734" s="124"/>
      <c r="AM734" s="124"/>
      <c r="AN734" s="124"/>
      <c r="AO734" s="124"/>
      <c r="AP734" s="124"/>
      <c r="AQ734" s="124"/>
      <c r="AR734" s="124"/>
    </row>
    <row r="735" ht="12.7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124"/>
      <c r="AL735" s="124"/>
      <c r="AM735" s="124"/>
      <c r="AN735" s="124"/>
      <c r="AO735" s="124"/>
      <c r="AP735" s="124"/>
      <c r="AQ735" s="124"/>
      <c r="AR735" s="124"/>
    </row>
    <row r="736" ht="12.7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124"/>
      <c r="AL736" s="124"/>
      <c r="AM736" s="124"/>
      <c r="AN736" s="124"/>
      <c r="AO736" s="124"/>
      <c r="AP736" s="124"/>
      <c r="AQ736" s="124"/>
      <c r="AR736" s="124"/>
    </row>
    <row r="737" ht="12.7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124"/>
      <c r="AL737" s="124"/>
      <c r="AM737" s="124"/>
      <c r="AN737" s="124"/>
      <c r="AO737" s="124"/>
      <c r="AP737" s="124"/>
      <c r="AQ737" s="124"/>
      <c r="AR737" s="124"/>
    </row>
    <row r="738" ht="12.7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124"/>
      <c r="AL738" s="124"/>
      <c r="AM738" s="124"/>
      <c r="AN738" s="124"/>
      <c r="AO738" s="124"/>
      <c r="AP738" s="124"/>
      <c r="AQ738" s="124"/>
      <c r="AR738" s="124"/>
    </row>
    <row r="739" ht="12.7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124"/>
      <c r="AL739" s="124"/>
      <c r="AM739" s="124"/>
      <c r="AN739" s="124"/>
      <c r="AO739" s="124"/>
      <c r="AP739" s="124"/>
      <c r="AQ739" s="124"/>
      <c r="AR739" s="124"/>
    </row>
    <row r="740" ht="12.7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124"/>
      <c r="AL740" s="124"/>
      <c r="AM740" s="124"/>
      <c r="AN740" s="124"/>
      <c r="AO740" s="124"/>
      <c r="AP740" s="124"/>
      <c r="AQ740" s="124"/>
      <c r="AR740" s="124"/>
    </row>
    <row r="741" ht="12.7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124"/>
      <c r="AL741" s="124"/>
      <c r="AM741" s="124"/>
      <c r="AN741" s="124"/>
      <c r="AO741" s="124"/>
      <c r="AP741" s="124"/>
      <c r="AQ741" s="124"/>
      <c r="AR741" s="124"/>
    </row>
    <row r="742" ht="12.7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124"/>
      <c r="AL742" s="124"/>
      <c r="AM742" s="124"/>
      <c r="AN742" s="124"/>
      <c r="AO742" s="124"/>
      <c r="AP742" s="124"/>
      <c r="AQ742" s="124"/>
      <c r="AR742" s="124"/>
    </row>
    <row r="743" ht="12.7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124"/>
      <c r="AL743" s="124"/>
      <c r="AM743" s="124"/>
      <c r="AN743" s="124"/>
      <c r="AO743" s="124"/>
      <c r="AP743" s="124"/>
      <c r="AQ743" s="124"/>
      <c r="AR743" s="124"/>
    </row>
    <row r="744" ht="12.7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124"/>
      <c r="AL744" s="124"/>
      <c r="AM744" s="124"/>
      <c r="AN744" s="124"/>
      <c r="AO744" s="124"/>
      <c r="AP744" s="124"/>
      <c r="AQ744" s="124"/>
      <c r="AR744" s="124"/>
    </row>
    <row r="745" ht="12.7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124"/>
      <c r="AL745" s="124"/>
      <c r="AM745" s="124"/>
      <c r="AN745" s="124"/>
      <c r="AO745" s="124"/>
      <c r="AP745" s="124"/>
      <c r="AQ745" s="124"/>
      <c r="AR745" s="124"/>
    </row>
    <row r="746" ht="12.7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124"/>
      <c r="AL746" s="124"/>
      <c r="AM746" s="124"/>
      <c r="AN746" s="124"/>
      <c r="AO746" s="124"/>
      <c r="AP746" s="124"/>
      <c r="AQ746" s="124"/>
      <c r="AR746" s="124"/>
    </row>
    <row r="747" ht="12.7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124"/>
      <c r="AL747" s="124"/>
      <c r="AM747" s="124"/>
      <c r="AN747" s="124"/>
      <c r="AO747" s="124"/>
      <c r="AP747" s="124"/>
      <c r="AQ747" s="124"/>
      <c r="AR747" s="124"/>
    </row>
    <row r="748" ht="12.7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124"/>
      <c r="AL748" s="124"/>
      <c r="AM748" s="124"/>
      <c r="AN748" s="124"/>
      <c r="AO748" s="124"/>
      <c r="AP748" s="124"/>
      <c r="AQ748" s="124"/>
      <c r="AR748" s="124"/>
    </row>
    <row r="749" ht="12.7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124"/>
      <c r="AL749" s="124"/>
      <c r="AM749" s="124"/>
      <c r="AN749" s="124"/>
      <c r="AO749" s="124"/>
      <c r="AP749" s="124"/>
      <c r="AQ749" s="124"/>
      <c r="AR749" s="124"/>
    </row>
    <row r="750" ht="12.7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124"/>
      <c r="AL750" s="124"/>
      <c r="AM750" s="124"/>
      <c r="AN750" s="124"/>
      <c r="AO750" s="124"/>
      <c r="AP750" s="124"/>
      <c r="AQ750" s="124"/>
      <c r="AR750" s="124"/>
    </row>
    <row r="751" ht="12.7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124"/>
      <c r="AL751" s="124"/>
      <c r="AM751" s="124"/>
      <c r="AN751" s="124"/>
      <c r="AO751" s="124"/>
      <c r="AP751" s="124"/>
      <c r="AQ751" s="124"/>
      <c r="AR751" s="124"/>
    </row>
    <row r="752" ht="12.7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124"/>
      <c r="AL752" s="124"/>
      <c r="AM752" s="124"/>
      <c r="AN752" s="124"/>
      <c r="AO752" s="124"/>
      <c r="AP752" s="124"/>
      <c r="AQ752" s="124"/>
      <c r="AR752" s="124"/>
    </row>
    <row r="753" ht="12.7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124"/>
      <c r="AL753" s="124"/>
      <c r="AM753" s="124"/>
      <c r="AN753" s="124"/>
      <c r="AO753" s="124"/>
      <c r="AP753" s="124"/>
      <c r="AQ753" s="124"/>
      <c r="AR753" s="124"/>
    </row>
    <row r="754" ht="12.7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124"/>
      <c r="AL754" s="124"/>
      <c r="AM754" s="124"/>
      <c r="AN754" s="124"/>
      <c r="AO754" s="124"/>
      <c r="AP754" s="124"/>
      <c r="AQ754" s="124"/>
      <c r="AR754" s="124"/>
    </row>
    <row r="755" ht="12.7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124"/>
      <c r="AL755" s="124"/>
      <c r="AM755" s="124"/>
      <c r="AN755" s="124"/>
      <c r="AO755" s="124"/>
      <c r="AP755" s="124"/>
      <c r="AQ755" s="124"/>
      <c r="AR755" s="124"/>
    </row>
    <row r="756" ht="12.7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124"/>
      <c r="AL756" s="124"/>
      <c r="AM756" s="124"/>
      <c r="AN756" s="124"/>
      <c r="AO756" s="124"/>
      <c r="AP756" s="124"/>
      <c r="AQ756" s="124"/>
      <c r="AR756" s="124"/>
    </row>
    <row r="757" ht="12.7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124"/>
      <c r="AL757" s="124"/>
      <c r="AM757" s="124"/>
      <c r="AN757" s="124"/>
      <c r="AO757" s="124"/>
      <c r="AP757" s="124"/>
      <c r="AQ757" s="124"/>
      <c r="AR757" s="124"/>
    </row>
    <row r="758" ht="12.7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124"/>
      <c r="AL758" s="124"/>
      <c r="AM758" s="124"/>
      <c r="AN758" s="124"/>
      <c r="AO758" s="124"/>
      <c r="AP758" s="124"/>
      <c r="AQ758" s="124"/>
      <c r="AR758" s="124"/>
    </row>
    <row r="759" ht="12.7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124"/>
      <c r="AL759" s="124"/>
      <c r="AM759" s="124"/>
      <c r="AN759" s="124"/>
      <c r="AO759" s="124"/>
      <c r="AP759" s="124"/>
      <c r="AQ759" s="124"/>
      <c r="AR759" s="124"/>
    </row>
    <row r="760" ht="12.7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c r="AL760" s="124"/>
      <c r="AM760" s="124"/>
      <c r="AN760" s="124"/>
      <c r="AO760" s="124"/>
      <c r="AP760" s="124"/>
      <c r="AQ760" s="124"/>
      <c r="AR760" s="124"/>
    </row>
    <row r="761" ht="12.7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c r="AR761" s="124"/>
    </row>
    <row r="762" ht="12.7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c r="AL762" s="124"/>
      <c r="AM762" s="124"/>
      <c r="AN762" s="124"/>
      <c r="AO762" s="124"/>
      <c r="AP762" s="124"/>
      <c r="AQ762" s="124"/>
      <c r="AR762" s="124"/>
    </row>
    <row r="763" ht="12.7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c r="AL763" s="124"/>
      <c r="AM763" s="124"/>
      <c r="AN763" s="124"/>
      <c r="AO763" s="124"/>
      <c r="AP763" s="124"/>
      <c r="AQ763" s="124"/>
      <c r="AR763" s="124"/>
    </row>
    <row r="764" ht="12.7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124"/>
      <c r="AL764" s="124"/>
      <c r="AM764" s="124"/>
      <c r="AN764" s="124"/>
      <c r="AO764" s="124"/>
      <c r="AP764" s="124"/>
      <c r="AQ764" s="124"/>
      <c r="AR764" s="124"/>
    </row>
    <row r="765" ht="12.7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124"/>
      <c r="AL765" s="124"/>
      <c r="AM765" s="124"/>
      <c r="AN765" s="124"/>
      <c r="AO765" s="124"/>
      <c r="AP765" s="124"/>
      <c r="AQ765" s="124"/>
      <c r="AR765" s="124"/>
    </row>
    <row r="766" ht="12.7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124"/>
      <c r="AL766" s="124"/>
      <c r="AM766" s="124"/>
      <c r="AN766" s="124"/>
      <c r="AO766" s="124"/>
      <c r="AP766" s="124"/>
      <c r="AQ766" s="124"/>
      <c r="AR766" s="124"/>
    </row>
    <row r="767" ht="12.7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124"/>
      <c r="AL767" s="124"/>
      <c r="AM767" s="124"/>
      <c r="AN767" s="124"/>
      <c r="AO767" s="124"/>
      <c r="AP767" s="124"/>
      <c r="AQ767" s="124"/>
      <c r="AR767" s="124"/>
    </row>
    <row r="768" ht="12.7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124"/>
      <c r="AL768" s="124"/>
      <c r="AM768" s="124"/>
      <c r="AN768" s="124"/>
      <c r="AO768" s="124"/>
      <c r="AP768" s="124"/>
      <c r="AQ768" s="124"/>
      <c r="AR768" s="124"/>
    </row>
    <row r="769" ht="12.7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124"/>
      <c r="AL769" s="124"/>
      <c r="AM769" s="124"/>
      <c r="AN769" s="124"/>
      <c r="AO769" s="124"/>
      <c r="AP769" s="124"/>
      <c r="AQ769" s="124"/>
      <c r="AR769" s="124"/>
    </row>
    <row r="770" ht="12.7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124"/>
      <c r="AL770" s="124"/>
      <c r="AM770" s="124"/>
      <c r="AN770" s="124"/>
      <c r="AO770" s="124"/>
      <c r="AP770" s="124"/>
      <c r="AQ770" s="124"/>
      <c r="AR770" s="124"/>
    </row>
    <row r="771" ht="12.7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124"/>
      <c r="AL771" s="124"/>
      <c r="AM771" s="124"/>
      <c r="AN771" s="124"/>
      <c r="AO771" s="124"/>
      <c r="AP771" s="124"/>
      <c r="AQ771" s="124"/>
      <c r="AR771" s="124"/>
    </row>
    <row r="772" ht="12.7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124"/>
      <c r="AL772" s="124"/>
      <c r="AM772" s="124"/>
      <c r="AN772" s="124"/>
      <c r="AO772" s="124"/>
      <c r="AP772" s="124"/>
      <c r="AQ772" s="124"/>
      <c r="AR772" s="124"/>
    </row>
    <row r="773" ht="12.7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124"/>
      <c r="AL773" s="124"/>
      <c r="AM773" s="124"/>
      <c r="AN773" s="124"/>
      <c r="AO773" s="124"/>
      <c r="AP773" s="124"/>
      <c r="AQ773" s="124"/>
      <c r="AR773" s="124"/>
    </row>
    <row r="774" ht="12.7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124"/>
      <c r="AL774" s="124"/>
      <c r="AM774" s="124"/>
      <c r="AN774" s="124"/>
      <c r="AO774" s="124"/>
      <c r="AP774" s="124"/>
      <c r="AQ774" s="124"/>
      <c r="AR774" s="124"/>
    </row>
    <row r="775" ht="12.7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124"/>
      <c r="AL775" s="124"/>
      <c r="AM775" s="124"/>
      <c r="AN775" s="124"/>
      <c r="AO775" s="124"/>
      <c r="AP775" s="124"/>
      <c r="AQ775" s="124"/>
      <c r="AR775" s="124"/>
    </row>
    <row r="776" ht="12.7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124"/>
      <c r="AL776" s="124"/>
      <c r="AM776" s="124"/>
      <c r="AN776" s="124"/>
      <c r="AO776" s="124"/>
      <c r="AP776" s="124"/>
      <c r="AQ776" s="124"/>
      <c r="AR776" s="124"/>
    </row>
    <row r="777" ht="12.7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124"/>
      <c r="AL777" s="124"/>
      <c r="AM777" s="124"/>
      <c r="AN777" s="124"/>
      <c r="AO777" s="124"/>
      <c r="AP777" s="124"/>
      <c r="AQ777" s="124"/>
      <c r="AR777" s="124"/>
    </row>
    <row r="778" ht="12.7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124"/>
      <c r="AL778" s="124"/>
      <c r="AM778" s="124"/>
      <c r="AN778" s="124"/>
      <c r="AO778" s="124"/>
      <c r="AP778" s="124"/>
      <c r="AQ778" s="124"/>
      <c r="AR778" s="124"/>
    </row>
    <row r="779" ht="12.7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124"/>
      <c r="AL779" s="124"/>
      <c r="AM779" s="124"/>
      <c r="AN779" s="124"/>
      <c r="AO779" s="124"/>
      <c r="AP779" s="124"/>
      <c r="AQ779" s="124"/>
      <c r="AR779" s="124"/>
    </row>
    <row r="780" ht="12.7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124"/>
      <c r="AL780" s="124"/>
      <c r="AM780" s="124"/>
      <c r="AN780" s="124"/>
      <c r="AO780" s="124"/>
      <c r="AP780" s="124"/>
      <c r="AQ780" s="124"/>
      <c r="AR780" s="124"/>
    </row>
    <row r="781" ht="12.7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124"/>
      <c r="AL781" s="124"/>
      <c r="AM781" s="124"/>
      <c r="AN781" s="124"/>
      <c r="AO781" s="124"/>
      <c r="AP781" s="124"/>
      <c r="AQ781" s="124"/>
      <c r="AR781" s="124"/>
    </row>
    <row r="782" ht="12.7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124"/>
      <c r="AL782" s="124"/>
      <c r="AM782" s="124"/>
      <c r="AN782" s="124"/>
      <c r="AO782" s="124"/>
      <c r="AP782" s="124"/>
      <c r="AQ782" s="124"/>
      <c r="AR782" s="124"/>
    </row>
    <row r="783" ht="12.7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124"/>
      <c r="AL783" s="124"/>
      <c r="AM783" s="124"/>
      <c r="AN783" s="124"/>
      <c r="AO783" s="124"/>
      <c r="AP783" s="124"/>
      <c r="AQ783" s="124"/>
      <c r="AR783" s="124"/>
    </row>
    <row r="784" ht="12.7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124"/>
      <c r="AL784" s="124"/>
      <c r="AM784" s="124"/>
      <c r="AN784" s="124"/>
      <c r="AO784" s="124"/>
      <c r="AP784" s="124"/>
      <c r="AQ784" s="124"/>
      <c r="AR784" s="124"/>
    </row>
    <row r="785" ht="12.7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124"/>
      <c r="AL785" s="124"/>
      <c r="AM785" s="124"/>
      <c r="AN785" s="124"/>
      <c r="AO785" s="124"/>
      <c r="AP785" s="124"/>
      <c r="AQ785" s="124"/>
      <c r="AR785" s="124"/>
    </row>
    <row r="786" ht="12.7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124"/>
      <c r="AL786" s="124"/>
      <c r="AM786" s="124"/>
      <c r="AN786" s="124"/>
      <c r="AO786" s="124"/>
      <c r="AP786" s="124"/>
      <c r="AQ786" s="124"/>
      <c r="AR786" s="124"/>
    </row>
    <row r="787" ht="12.7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124"/>
      <c r="AL787" s="124"/>
      <c r="AM787" s="124"/>
      <c r="AN787" s="124"/>
      <c r="AO787" s="124"/>
      <c r="AP787" s="124"/>
      <c r="AQ787" s="124"/>
      <c r="AR787" s="124"/>
    </row>
    <row r="788" ht="12.7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124"/>
      <c r="AL788" s="124"/>
      <c r="AM788" s="124"/>
      <c r="AN788" s="124"/>
      <c r="AO788" s="124"/>
      <c r="AP788" s="124"/>
      <c r="AQ788" s="124"/>
      <c r="AR788" s="124"/>
    </row>
    <row r="789" ht="12.7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124"/>
      <c r="AL789" s="124"/>
      <c r="AM789" s="124"/>
      <c r="AN789" s="124"/>
      <c r="AO789" s="124"/>
      <c r="AP789" s="124"/>
      <c r="AQ789" s="124"/>
      <c r="AR789" s="124"/>
    </row>
    <row r="790" ht="12.7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124"/>
      <c r="AL790" s="124"/>
      <c r="AM790" s="124"/>
      <c r="AN790" s="124"/>
      <c r="AO790" s="124"/>
      <c r="AP790" s="124"/>
      <c r="AQ790" s="124"/>
      <c r="AR790" s="124"/>
    </row>
    <row r="791" ht="12.7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124"/>
      <c r="AL791" s="124"/>
      <c r="AM791" s="124"/>
      <c r="AN791" s="124"/>
      <c r="AO791" s="124"/>
      <c r="AP791" s="124"/>
      <c r="AQ791" s="124"/>
      <c r="AR791" s="124"/>
    </row>
    <row r="792" ht="12.7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124"/>
      <c r="AL792" s="124"/>
      <c r="AM792" s="124"/>
      <c r="AN792" s="124"/>
      <c r="AO792" s="124"/>
      <c r="AP792" s="124"/>
      <c r="AQ792" s="124"/>
      <c r="AR792" s="124"/>
    </row>
    <row r="793" ht="12.7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124"/>
      <c r="AL793" s="124"/>
      <c r="AM793" s="124"/>
      <c r="AN793" s="124"/>
      <c r="AO793" s="124"/>
      <c r="AP793" s="124"/>
      <c r="AQ793" s="124"/>
      <c r="AR793" s="124"/>
    </row>
    <row r="794" ht="12.7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124"/>
      <c r="AL794" s="124"/>
      <c r="AM794" s="124"/>
      <c r="AN794" s="124"/>
      <c r="AO794" s="124"/>
      <c r="AP794" s="124"/>
      <c r="AQ794" s="124"/>
      <c r="AR794" s="124"/>
    </row>
    <row r="795" ht="12.7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c r="AL795" s="124"/>
      <c r="AM795" s="124"/>
      <c r="AN795" s="124"/>
      <c r="AO795" s="124"/>
      <c r="AP795" s="124"/>
      <c r="AQ795" s="124"/>
      <c r="AR795" s="124"/>
    </row>
    <row r="796" ht="12.7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124"/>
      <c r="AL796" s="124"/>
      <c r="AM796" s="124"/>
      <c r="AN796" s="124"/>
      <c r="AO796" s="124"/>
      <c r="AP796" s="124"/>
      <c r="AQ796" s="124"/>
      <c r="AR796" s="124"/>
    </row>
    <row r="797" ht="12.7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124"/>
      <c r="AL797" s="124"/>
      <c r="AM797" s="124"/>
      <c r="AN797" s="124"/>
      <c r="AO797" s="124"/>
      <c r="AP797" s="124"/>
      <c r="AQ797" s="124"/>
      <c r="AR797" s="124"/>
    </row>
    <row r="798" ht="12.7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124"/>
      <c r="AL798" s="124"/>
      <c r="AM798" s="124"/>
      <c r="AN798" s="124"/>
      <c r="AO798" s="124"/>
      <c r="AP798" s="124"/>
      <c r="AQ798" s="124"/>
      <c r="AR798" s="124"/>
    </row>
    <row r="799" ht="12.7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124"/>
      <c r="AL799" s="124"/>
      <c r="AM799" s="124"/>
      <c r="AN799" s="124"/>
      <c r="AO799" s="124"/>
      <c r="AP799" s="124"/>
      <c r="AQ799" s="124"/>
      <c r="AR799" s="124"/>
    </row>
    <row r="800" ht="12.7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124"/>
      <c r="AL800" s="124"/>
      <c r="AM800" s="124"/>
      <c r="AN800" s="124"/>
      <c r="AO800" s="124"/>
      <c r="AP800" s="124"/>
      <c r="AQ800" s="124"/>
      <c r="AR800" s="124"/>
    </row>
    <row r="801" ht="12.7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124"/>
      <c r="AL801" s="124"/>
      <c r="AM801" s="124"/>
      <c r="AN801" s="124"/>
      <c r="AO801" s="124"/>
      <c r="AP801" s="124"/>
      <c r="AQ801" s="124"/>
      <c r="AR801" s="124"/>
    </row>
    <row r="802" ht="12.7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124"/>
      <c r="AL802" s="124"/>
      <c r="AM802" s="124"/>
      <c r="AN802" s="124"/>
      <c r="AO802" s="124"/>
      <c r="AP802" s="124"/>
      <c r="AQ802" s="124"/>
      <c r="AR802" s="124"/>
    </row>
    <row r="803" ht="12.7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124"/>
      <c r="AL803" s="124"/>
      <c r="AM803" s="124"/>
      <c r="AN803" s="124"/>
      <c r="AO803" s="124"/>
      <c r="AP803" s="124"/>
      <c r="AQ803" s="124"/>
      <c r="AR803" s="124"/>
    </row>
    <row r="804" ht="12.7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124"/>
      <c r="AL804" s="124"/>
      <c r="AM804" s="124"/>
      <c r="AN804" s="124"/>
      <c r="AO804" s="124"/>
      <c r="AP804" s="124"/>
      <c r="AQ804" s="124"/>
      <c r="AR804" s="124"/>
    </row>
    <row r="805" ht="12.7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124"/>
      <c r="AL805" s="124"/>
      <c r="AM805" s="124"/>
      <c r="AN805" s="124"/>
      <c r="AO805" s="124"/>
      <c r="AP805" s="124"/>
      <c r="AQ805" s="124"/>
      <c r="AR805" s="124"/>
    </row>
    <row r="806" ht="12.7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124"/>
      <c r="AL806" s="124"/>
      <c r="AM806" s="124"/>
      <c r="AN806" s="124"/>
      <c r="AO806" s="124"/>
      <c r="AP806" s="124"/>
      <c r="AQ806" s="124"/>
      <c r="AR806" s="124"/>
    </row>
    <row r="807" ht="12.7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124"/>
      <c r="AL807" s="124"/>
      <c r="AM807" s="124"/>
      <c r="AN807" s="124"/>
      <c r="AO807" s="124"/>
      <c r="AP807" s="124"/>
      <c r="AQ807" s="124"/>
      <c r="AR807" s="124"/>
    </row>
    <row r="808" ht="12.7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124"/>
      <c r="AL808" s="124"/>
      <c r="AM808" s="124"/>
      <c r="AN808" s="124"/>
      <c r="AO808" s="124"/>
      <c r="AP808" s="124"/>
      <c r="AQ808" s="124"/>
      <c r="AR808" s="124"/>
    </row>
    <row r="809" ht="12.7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124"/>
      <c r="AL809" s="124"/>
      <c r="AM809" s="124"/>
      <c r="AN809" s="124"/>
      <c r="AO809" s="124"/>
      <c r="AP809" s="124"/>
      <c r="AQ809" s="124"/>
      <c r="AR809" s="124"/>
    </row>
    <row r="810" ht="12.7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124"/>
      <c r="AL810" s="124"/>
      <c r="AM810" s="124"/>
      <c r="AN810" s="124"/>
      <c r="AO810" s="124"/>
      <c r="AP810" s="124"/>
      <c r="AQ810" s="124"/>
      <c r="AR810" s="124"/>
    </row>
    <row r="811" ht="12.7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124"/>
      <c r="AL811" s="124"/>
      <c r="AM811" s="124"/>
      <c r="AN811" s="124"/>
      <c r="AO811" s="124"/>
      <c r="AP811" s="124"/>
      <c r="AQ811" s="124"/>
      <c r="AR811" s="124"/>
    </row>
    <row r="812" ht="12.7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124"/>
      <c r="AL812" s="124"/>
      <c r="AM812" s="124"/>
      <c r="AN812" s="124"/>
      <c r="AO812" s="124"/>
      <c r="AP812" s="124"/>
      <c r="AQ812" s="124"/>
      <c r="AR812" s="124"/>
    </row>
    <row r="813" ht="12.7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124"/>
      <c r="AL813" s="124"/>
      <c r="AM813" s="124"/>
      <c r="AN813" s="124"/>
      <c r="AO813" s="124"/>
      <c r="AP813" s="124"/>
      <c r="AQ813" s="124"/>
      <c r="AR813" s="124"/>
    </row>
    <row r="814" ht="12.7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124"/>
      <c r="AL814" s="124"/>
      <c r="AM814" s="124"/>
      <c r="AN814" s="124"/>
      <c r="AO814" s="124"/>
      <c r="AP814" s="124"/>
      <c r="AQ814" s="124"/>
      <c r="AR814" s="124"/>
    </row>
    <row r="815" ht="12.7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124"/>
      <c r="AL815" s="124"/>
      <c r="AM815" s="124"/>
      <c r="AN815" s="124"/>
      <c r="AO815" s="124"/>
      <c r="AP815" s="124"/>
      <c r="AQ815" s="124"/>
      <c r="AR815" s="124"/>
    </row>
    <row r="816" ht="12.7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124"/>
      <c r="AL816" s="124"/>
      <c r="AM816" s="124"/>
      <c r="AN816" s="124"/>
      <c r="AO816" s="124"/>
      <c r="AP816" s="124"/>
      <c r="AQ816" s="124"/>
      <c r="AR816" s="124"/>
    </row>
    <row r="817" ht="12.7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124"/>
      <c r="AL817" s="124"/>
      <c r="AM817" s="124"/>
      <c r="AN817" s="124"/>
      <c r="AO817" s="124"/>
      <c r="AP817" s="124"/>
      <c r="AQ817" s="124"/>
      <c r="AR817" s="124"/>
    </row>
    <row r="818" ht="12.7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124"/>
      <c r="AL818" s="124"/>
      <c r="AM818" s="124"/>
      <c r="AN818" s="124"/>
      <c r="AO818" s="124"/>
      <c r="AP818" s="124"/>
      <c r="AQ818" s="124"/>
      <c r="AR818" s="124"/>
    </row>
    <row r="819" ht="12.7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124"/>
      <c r="AL819" s="124"/>
      <c r="AM819" s="124"/>
      <c r="AN819" s="124"/>
      <c r="AO819" s="124"/>
      <c r="AP819" s="124"/>
      <c r="AQ819" s="124"/>
      <c r="AR819" s="124"/>
    </row>
    <row r="820" ht="12.7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124"/>
      <c r="AL820" s="124"/>
      <c r="AM820" s="124"/>
      <c r="AN820" s="124"/>
      <c r="AO820" s="124"/>
      <c r="AP820" s="124"/>
      <c r="AQ820" s="124"/>
      <c r="AR820" s="124"/>
    </row>
    <row r="821" ht="12.7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124"/>
      <c r="AL821" s="124"/>
      <c r="AM821" s="124"/>
      <c r="AN821" s="124"/>
      <c r="AO821" s="124"/>
      <c r="AP821" s="124"/>
      <c r="AQ821" s="124"/>
      <c r="AR821" s="124"/>
    </row>
    <row r="822" ht="12.7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124"/>
      <c r="AL822" s="124"/>
      <c r="AM822" s="124"/>
      <c r="AN822" s="124"/>
      <c r="AO822" s="124"/>
      <c r="AP822" s="124"/>
      <c r="AQ822" s="124"/>
      <c r="AR822" s="124"/>
    </row>
    <row r="823" ht="12.7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124"/>
      <c r="AL823" s="124"/>
      <c r="AM823" s="124"/>
      <c r="AN823" s="124"/>
      <c r="AO823" s="124"/>
      <c r="AP823" s="124"/>
      <c r="AQ823" s="124"/>
      <c r="AR823" s="124"/>
    </row>
    <row r="824" ht="12.7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124"/>
      <c r="AL824" s="124"/>
      <c r="AM824" s="124"/>
      <c r="AN824" s="124"/>
      <c r="AO824" s="124"/>
      <c r="AP824" s="124"/>
      <c r="AQ824" s="124"/>
      <c r="AR824" s="124"/>
    </row>
    <row r="825" ht="12.7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124"/>
      <c r="AL825" s="124"/>
      <c r="AM825" s="124"/>
      <c r="AN825" s="124"/>
      <c r="AO825" s="124"/>
      <c r="AP825" s="124"/>
      <c r="AQ825" s="124"/>
      <c r="AR825" s="124"/>
    </row>
    <row r="826" ht="12.7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124"/>
      <c r="AL826" s="124"/>
      <c r="AM826" s="124"/>
      <c r="AN826" s="124"/>
      <c r="AO826" s="124"/>
      <c r="AP826" s="124"/>
      <c r="AQ826" s="124"/>
      <c r="AR826" s="124"/>
    </row>
    <row r="827" ht="12.7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124"/>
      <c r="AL827" s="124"/>
      <c r="AM827" s="124"/>
      <c r="AN827" s="124"/>
      <c r="AO827" s="124"/>
      <c r="AP827" s="124"/>
      <c r="AQ827" s="124"/>
      <c r="AR827" s="124"/>
    </row>
    <row r="828" ht="12.7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124"/>
      <c r="AL828" s="124"/>
      <c r="AM828" s="124"/>
      <c r="AN828" s="124"/>
      <c r="AO828" s="124"/>
      <c r="AP828" s="124"/>
      <c r="AQ828" s="124"/>
      <c r="AR828" s="124"/>
    </row>
    <row r="829" ht="12.7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124"/>
      <c r="AL829" s="124"/>
      <c r="AM829" s="124"/>
      <c r="AN829" s="124"/>
      <c r="AO829" s="124"/>
      <c r="AP829" s="124"/>
      <c r="AQ829" s="124"/>
      <c r="AR829" s="124"/>
    </row>
    <row r="830" ht="12.7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124"/>
      <c r="AL830" s="124"/>
      <c r="AM830" s="124"/>
      <c r="AN830" s="124"/>
      <c r="AO830" s="124"/>
      <c r="AP830" s="124"/>
      <c r="AQ830" s="124"/>
      <c r="AR830" s="124"/>
    </row>
    <row r="831" ht="12.7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124"/>
      <c r="AL831" s="124"/>
      <c r="AM831" s="124"/>
      <c r="AN831" s="124"/>
      <c r="AO831" s="124"/>
      <c r="AP831" s="124"/>
      <c r="AQ831" s="124"/>
      <c r="AR831" s="124"/>
    </row>
    <row r="832" ht="12.7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124"/>
      <c r="AL832" s="124"/>
      <c r="AM832" s="124"/>
      <c r="AN832" s="124"/>
      <c r="AO832" s="124"/>
      <c r="AP832" s="124"/>
      <c r="AQ832" s="124"/>
      <c r="AR832" s="124"/>
    </row>
    <row r="833" ht="12.7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124"/>
      <c r="AL833" s="124"/>
      <c r="AM833" s="124"/>
      <c r="AN833" s="124"/>
      <c r="AO833" s="124"/>
      <c r="AP833" s="124"/>
      <c r="AQ833" s="124"/>
      <c r="AR833" s="124"/>
    </row>
    <row r="834" ht="12.7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124"/>
      <c r="AL834" s="124"/>
      <c r="AM834" s="124"/>
      <c r="AN834" s="124"/>
      <c r="AO834" s="124"/>
      <c r="AP834" s="124"/>
      <c r="AQ834" s="124"/>
      <c r="AR834" s="124"/>
    </row>
    <row r="835" ht="12.7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124"/>
      <c r="AL835" s="124"/>
      <c r="AM835" s="124"/>
      <c r="AN835" s="124"/>
      <c r="AO835" s="124"/>
      <c r="AP835" s="124"/>
      <c r="AQ835" s="124"/>
      <c r="AR835" s="124"/>
    </row>
    <row r="836" ht="12.7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124"/>
      <c r="AL836" s="124"/>
      <c r="AM836" s="124"/>
      <c r="AN836" s="124"/>
      <c r="AO836" s="124"/>
      <c r="AP836" s="124"/>
      <c r="AQ836" s="124"/>
      <c r="AR836" s="124"/>
    </row>
    <row r="837" ht="12.7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c r="AL837" s="124"/>
      <c r="AM837" s="124"/>
      <c r="AN837" s="124"/>
      <c r="AO837" s="124"/>
      <c r="AP837" s="124"/>
      <c r="AQ837" s="124"/>
      <c r="AR837" s="124"/>
    </row>
    <row r="838" ht="12.7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c r="AL838" s="124"/>
      <c r="AM838" s="124"/>
      <c r="AN838" s="124"/>
      <c r="AO838" s="124"/>
      <c r="AP838" s="124"/>
      <c r="AQ838" s="124"/>
      <c r="AR838" s="124"/>
    </row>
    <row r="839" ht="12.7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c r="AL839" s="124"/>
      <c r="AM839" s="124"/>
      <c r="AN839" s="124"/>
      <c r="AO839" s="124"/>
      <c r="AP839" s="124"/>
      <c r="AQ839" s="124"/>
      <c r="AR839" s="124"/>
    </row>
    <row r="840" ht="12.7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c r="AL840" s="124"/>
      <c r="AM840" s="124"/>
      <c r="AN840" s="124"/>
      <c r="AO840" s="124"/>
      <c r="AP840" s="124"/>
      <c r="AQ840" s="124"/>
      <c r="AR840" s="124"/>
    </row>
    <row r="841" ht="12.7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c r="AL841" s="124"/>
      <c r="AM841" s="124"/>
      <c r="AN841" s="124"/>
      <c r="AO841" s="124"/>
      <c r="AP841" s="124"/>
      <c r="AQ841" s="124"/>
      <c r="AR841" s="124"/>
    </row>
    <row r="842" ht="12.7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c r="AL842" s="124"/>
      <c r="AM842" s="124"/>
      <c r="AN842" s="124"/>
      <c r="AO842" s="124"/>
      <c r="AP842" s="124"/>
      <c r="AQ842" s="124"/>
      <c r="AR842" s="124"/>
    </row>
    <row r="843" ht="12.7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c r="AL843" s="124"/>
      <c r="AM843" s="124"/>
      <c r="AN843" s="124"/>
      <c r="AO843" s="124"/>
      <c r="AP843" s="124"/>
      <c r="AQ843" s="124"/>
      <c r="AR843" s="124"/>
    </row>
    <row r="844" ht="12.7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c r="AL844" s="124"/>
      <c r="AM844" s="124"/>
      <c r="AN844" s="124"/>
      <c r="AO844" s="124"/>
      <c r="AP844" s="124"/>
      <c r="AQ844" s="124"/>
      <c r="AR844" s="124"/>
    </row>
    <row r="845" ht="12.7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c r="AL845" s="124"/>
      <c r="AM845" s="124"/>
      <c r="AN845" s="124"/>
      <c r="AO845" s="124"/>
      <c r="AP845" s="124"/>
      <c r="AQ845" s="124"/>
      <c r="AR845" s="124"/>
    </row>
    <row r="846" ht="12.7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c r="AL846" s="124"/>
      <c r="AM846" s="124"/>
      <c r="AN846" s="124"/>
      <c r="AO846" s="124"/>
      <c r="AP846" s="124"/>
      <c r="AQ846" s="124"/>
      <c r="AR846" s="124"/>
    </row>
    <row r="847" ht="12.7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124"/>
      <c r="AL847" s="124"/>
      <c r="AM847" s="124"/>
      <c r="AN847" s="124"/>
      <c r="AO847" s="124"/>
      <c r="AP847" s="124"/>
      <c r="AQ847" s="124"/>
      <c r="AR847" s="124"/>
    </row>
    <row r="848" ht="12.7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124"/>
      <c r="AL848" s="124"/>
      <c r="AM848" s="124"/>
      <c r="AN848" s="124"/>
      <c r="AO848" s="124"/>
      <c r="AP848" s="124"/>
      <c r="AQ848" s="124"/>
      <c r="AR848" s="124"/>
    </row>
    <row r="849" ht="12.7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124"/>
      <c r="AL849" s="124"/>
      <c r="AM849" s="124"/>
      <c r="AN849" s="124"/>
      <c r="AO849" s="124"/>
      <c r="AP849" s="124"/>
      <c r="AQ849" s="124"/>
      <c r="AR849" s="124"/>
    </row>
    <row r="850" ht="12.7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124"/>
      <c r="AL850" s="124"/>
      <c r="AM850" s="124"/>
      <c r="AN850" s="124"/>
      <c r="AO850" s="124"/>
      <c r="AP850" s="124"/>
      <c r="AQ850" s="124"/>
      <c r="AR850" s="124"/>
    </row>
    <row r="851" ht="12.7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124"/>
      <c r="AL851" s="124"/>
      <c r="AM851" s="124"/>
      <c r="AN851" s="124"/>
      <c r="AO851" s="124"/>
      <c r="AP851" s="124"/>
      <c r="AQ851" s="124"/>
      <c r="AR851" s="124"/>
    </row>
    <row r="852" ht="12.7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124"/>
      <c r="AL852" s="124"/>
      <c r="AM852" s="124"/>
      <c r="AN852" s="124"/>
      <c r="AO852" s="124"/>
      <c r="AP852" s="124"/>
      <c r="AQ852" s="124"/>
      <c r="AR852" s="124"/>
    </row>
    <row r="853" ht="12.7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124"/>
      <c r="AL853" s="124"/>
      <c r="AM853" s="124"/>
      <c r="AN853" s="124"/>
      <c r="AO853" s="124"/>
      <c r="AP853" s="124"/>
      <c r="AQ853" s="124"/>
      <c r="AR853" s="124"/>
    </row>
    <row r="854" ht="12.7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124"/>
      <c r="AL854" s="124"/>
      <c r="AM854" s="124"/>
      <c r="AN854" s="124"/>
      <c r="AO854" s="124"/>
      <c r="AP854" s="124"/>
      <c r="AQ854" s="124"/>
      <c r="AR854" s="124"/>
    </row>
    <row r="855" ht="12.7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124"/>
      <c r="AL855" s="124"/>
      <c r="AM855" s="124"/>
      <c r="AN855" s="124"/>
      <c r="AO855" s="124"/>
      <c r="AP855" s="124"/>
      <c r="AQ855" s="124"/>
      <c r="AR855" s="124"/>
    </row>
    <row r="856" ht="12.7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124"/>
      <c r="AL856" s="124"/>
      <c r="AM856" s="124"/>
      <c r="AN856" s="124"/>
      <c r="AO856" s="124"/>
      <c r="AP856" s="124"/>
      <c r="AQ856" s="124"/>
      <c r="AR856" s="124"/>
    </row>
    <row r="857" ht="12.7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124"/>
      <c r="AL857" s="124"/>
      <c r="AM857" s="124"/>
      <c r="AN857" s="124"/>
      <c r="AO857" s="124"/>
      <c r="AP857" s="124"/>
      <c r="AQ857" s="124"/>
      <c r="AR857" s="124"/>
    </row>
    <row r="858" ht="12.7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124"/>
      <c r="AL858" s="124"/>
      <c r="AM858" s="124"/>
      <c r="AN858" s="124"/>
      <c r="AO858" s="124"/>
      <c r="AP858" s="124"/>
      <c r="AQ858" s="124"/>
      <c r="AR858" s="124"/>
    </row>
    <row r="859" ht="12.7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124"/>
      <c r="AL859" s="124"/>
      <c r="AM859" s="124"/>
      <c r="AN859" s="124"/>
      <c r="AO859" s="124"/>
      <c r="AP859" s="124"/>
      <c r="AQ859" s="124"/>
      <c r="AR859" s="124"/>
    </row>
    <row r="860" ht="12.7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124"/>
      <c r="AL860" s="124"/>
      <c r="AM860" s="124"/>
      <c r="AN860" s="124"/>
      <c r="AO860" s="124"/>
      <c r="AP860" s="124"/>
      <c r="AQ860" s="124"/>
      <c r="AR860" s="124"/>
    </row>
    <row r="861" ht="12.7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124"/>
      <c r="AL861" s="124"/>
      <c r="AM861" s="124"/>
      <c r="AN861" s="124"/>
      <c r="AO861" s="124"/>
      <c r="AP861" s="124"/>
      <c r="AQ861" s="124"/>
      <c r="AR861" s="124"/>
    </row>
    <row r="862" ht="12.7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124"/>
      <c r="AL862" s="124"/>
      <c r="AM862" s="124"/>
      <c r="AN862" s="124"/>
      <c r="AO862" s="124"/>
      <c r="AP862" s="124"/>
      <c r="AQ862" s="124"/>
      <c r="AR862" s="124"/>
    </row>
    <row r="863" ht="12.7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124"/>
      <c r="AL863" s="124"/>
      <c r="AM863" s="124"/>
      <c r="AN863" s="124"/>
      <c r="AO863" s="124"/>
      <c r="AP863" s="124"/>
      <c r="AQ863" s="124"/>
      <c r="AR863" s="124"/>
    </row>
    <row r="864" ht="12.7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124"/>
      <c r="AL864" s="124"/>
      <c r="AM864" s="124"/>
      <c r="AN864" s="124"/>
      <c r="AO864" s="124"/>
      <c r="AP864" s="124"/>
      <c r="AQ864" s="124"/>
      <c r="AR864" s="124"/>
    </row>
    <row r="865" ht="12.7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124"/>
      <c r="AL865" s="124"/>
      <c r="AM865" s="124"/>
      <c r="AN865" s="124"/>
      <c r="AO865" s="124"/>
      <c r="AP865" s="124"/>
      <c r="AQ865" s="124"/>
      <c r="AR865" s="124"/>
    </row>
    <row r="866" ht="12.7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124"/>
      <c r="AL866" s="124"/>
      <c r="AM866" s="124"/>
      <c r="AN866" s="124"/>
      <c r="AO866" s="124"/>
      <c r="AP866" s="124"/>
      <c r="AQ866" s="124"/>
      <c r="AR866" s="124"/>
    </row>
    <row r="867" ht="12.7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124"/>
      <c r="AL867" s="124"/>
      <c r="AM867" s="124"/>
      <c r="AN867" s="124"/>
      <c r="AO867" s="124"/>
      <c r="AP867" s="124"/>
      <c r="AQ867" s="124"/>
      <c r="AR867" s="124"/>
    </row>
    <row r="868" ht="12.7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124"/>
      <c r="AL868" s="124"/>
      <c r="AM868" s="124"/>
      <c r="AN868" s="124"/>
      <c r="AO868" s="124"/>
      <c r="AP868" s="124"/>
      <c r="AQ868" s="124"/>
      <c r="AR868" s="124"/>
    </row>
    <row r="869" ht="12.7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124"/>
      <c r="AL869" s="124"/>
      <c r="AM869" s="124"/>
      <c r="AN869" s="124"/>
      <c r="AO869" s="124"/>
      <c r="AP869" s="124"/>
      <c r="AQ869" s="124"/>
      <c r="AR869" s="124"/>
    </row>
    <row r="870" ht="12.7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124"/>
      <c r="AL870" s="124"/>
      <c r="AM870" s="124"/>
      <c r="AN870" s="124"/>
      <c r="AO870" s="124"/>
      <c r="AP870" s="124"/>
      <c r="AQ870" s="124"/>
      <c r="AR870" s="124"/>
    </row>
    <row r="871" ht="12.7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124"/>
      <c r="AL871" s="124"/>
      <c r="AM871" s="124"/>
      <c r="AN871" s="124"/>
      <c r="AO871" s="124"/>
      <c r="AP871" s="124"/>
      <c r="AQ871" s="124"/>
      <c r="AR871" s="124"/>
    </row>
    <row r="872" ht="12.7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124"/>
      <c r="AL872" s="124"/>
      <c r="AM872" s="124"/>
      <c r="AN872" s="124"/>
      <c r="AO872" s="124"/>
      <c r="AP872" s="124"/>
      <c r="AQ872" s="124"/>
      <c r="AR872" s="124"/>
    </row>
    <row r="873" ht="12.7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124"/>
      <c r="AL873" s="124"/>
      <c r="AM873" s="124"/>
      <c r="AN873" s="124"/>
      <c r="AO873" s="124"/>
      <c r="AP873" s="124"/>
      <c r="AQ873" s="124"/>
      <c r="AR873" s="124"/>
    </row>
    <row r="874" ht="12.7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124"/>
      <c r="AL874" s="124"/>
      <c r="AM874" s="124"/>
      <c r="AN874" s="124"/>
      <c r="AO874" s="124"/>
      <c r="AP874" s="124"/>
      <c r="AQ874" s="124"/>
      <c r="AR874" s="124"/>
    </row>
    <row r="875" ht="12.7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124"/>
      <c r="AL875" s="124"/>
      <c r="AM875" s="124"/>
      <c r="AN875" s="124"/>
      <c r="AO875" s="124"/>
      <c r="AP875" s="124"/>
      <c r="AQ875" s="124"/>
      <c r="AR875" s="124"/>
    </row>
    <row r="876" ht="12.7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124"/>
      <c r="AL876" s="124"/>
      <c r="AM876" s="124"/>
      <c r="AN876" s="124"/>
      <c r="AO876" s="124"/>
      <c r="AP876" s="124"/>
      <c r="AQ876" s="124"/>
      <c r="AR876" s="124"/>
    </row>
    <row r="877" ht="12.7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c r="AL877" s="124"/>
      <c r="AM877" s="124"/>
      <c r="AN877" s="124"/>
      <c r="AO877" s="124"/>
      <c r="AP877" s="124"/>
      <c r="AQ877" s="124"/>
      <c r="AR877" s="124"/>
    </row>
    <row r="878" ht="12.7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c r="AL878" s="124"/>
      <c r="AM878" s="124"/>
      <c r="AN878" s="124"/>
      <c r="AO878" s="124"/>
      <c r="AP878" s="124"/>
      <c r="AQ878" s="124"/>
      <c r="AR878" s="124"/>
    </row>
    <row r="879" ht="12.7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c r="AL879" s="124"/>
      <c r="AM879" s="124"/>
      <c r="AN879" s="124"/>
      <c r="AO879" s="124"/>
      <c r="AP879" s="124"/>
      <c r="AQ879" s="124"/>
      <c r="AR879" s="124"/>
    </row>
    <row r="880" ht="12.7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124"/>
      <c r="AL880" s="124"/>
      <c r="AM880" s="124"/>
      <c r="AN880" s="124"/>
      <c r="AO880" s="124"/>
      <c r="AP880" s="124"/>
      <c r="AQ880" s="124"/>
      <c r="AR880" s="124"/>
    </row>
    <row r="881" ht="12.7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124"/>
      <c r="AL881" s="124"/>
      <c r="AM881" s="124"/>
      <c r="AN881" s="124"/>
      <c r="AO881" s="124"/>
      <c r="AP881" s="124"/>
      <c r="AQ881" s="124"/>
      <c r="AR881" s="124"/>
    </row>
    <row r="882" ht="12.7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c r="AL882" s="124"/>
      <c r="AM882" s="124"/>
      <c r="AN882" s="124"/>
      <c r="AO882" s="124"/>
      <c r="AP882" s="124"/>
      <c r="AQ882" s="124"/>
      <c r="AR882" s="124"/>
    </row>
    <row r="883" ht="12.7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c r="AL883" s="124"/>
      <c r="AM883" s="124"/>
      <c r="AN883" s="124"/>
      <c r="AO883" s="124"/>
      <c r="AP883" s="124"/>
      <c r="AQ883" s="124"/>
      <c r="AR883" s="124"/>
    </row>
    <row r="884" ht="12.7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c r="AL884" s="124"/>
      <c r="AM884" s="124"/>
      <c r="AN884" s="124"/>
      <c r="AO884" s="124"/>
      <c r="AP884" s="124"/>
      <c r="AQ884" s="124"/>
      <c r="AR884" s="124"/>
    </row>
    <row r="885" ht="12.7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c r="AL885" s="124"/>
      <c r="AM885" s="124"/>
      <c r="AN885" s="124"/>
      <c r="AO885" s="124"/>
      <c r="AP885" s="124"/>
      <c r="AQ885" s="124"/>
      <c r="AR885" s="124"/>
    </row>
    <row r="886" ht="12.7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c r="AL886" s="124"/>
      <c r="AM886" s="124"/>
      <c r="AN886" s="124"/>
      <c r="AO886" s="124"/>
      <c r="AP886" s="124"/>
      <c r="AQ886" s="124"/>
      <c r="AR886" s="124"/>
    </row>
    <row r="887" ht="12.7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124"/>
      <c r="AL887" s="124"/>
      <c r="AM887" s="124"/>
      <c r="AN887" s="124"/>
      <c r="AO887" s="124"/>
      <c r="AP887" s="124"/>
      <c r="AQ887" s="124"/>
      <c r="AR887" s="124"/>
    </row>
    <row r="888" ht="12.7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c r="AL888" s="124"/>
      <c r="AM888" s="124"/>
      <c r="AN888" s="124"/>
      <c r="AO888" s="124"/>
      <c r="AP888" s="124"/>
      <c r="AQ888" s="124"/>
      <c r="AR888" s="124"/>
    </row>
    <row r="889" ht="12.7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c r="AL889" s="124"/>
      <c r="AM889" s="124"/>
      <c r="AN889" s="124"/>
      <c r="AO889" s="124"/>
      <c r="AP889" s="124"/>
      <c r="AQ889" s="124"/>
      <c r="AR889" s="124"/>
    </row>
    <row r="890" ht="12.7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c r="AL890" s="124"/>
      <c r="AM890" s="124"/>
      <c r="AN890" s="124"/>
      <c r="AO890" s="124"/>
      <c r="AP890" s="124"/>
      <c r="AQ890" s="124"/>
      <c r="AR890" s="124"/>
    </row>
    <row r="891" ht="12.7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c r="AL891" s="124"/>
      <c r="AM891" s="124"/>
      <c r="AN891" s="124"/>
      <c r="AO891" s="124"/>
      <c r="AP891" s="124"/>
      <c r="AQ891" s="124"/>
      <c r="AR891" s="124"/>
    </row>
    <row r="892" ht="12.7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c r="AL892" s="124"/>
      <c r="AM892" s="124"/>
      <c r="AN892" s="124"/>
      <c r="AO892" s="124"/>
      <c r="AP892" s="124"/>
      <c r="AQ892" s="124"/>
      <c r="AR892" s="124"/>
    </row>
    <row r="893" ht="12.7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c r="AL893" s="124"/>
      <c r="AM893" s="124"/>
      <c r="AN893" s="124"/>
      <c r="AO893" s="124"/>
      <c r="AP893" s="124"/>
      <c r="AQ893" s="124"/>
      <c r="AR893" s="124"/>
    </row>
    <row r="894" ht="12.7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124"/>
      <c r="AL894" s="124"/>
      <c r="AM894" s="124"/>
      <c r="AN894" s="124"/>
      <c r="AO894" s="124"/>
      <c r="AP894" s="124"/>
      <c r="AQ894" s="124"/>
      <c r="AR894" s="124"/>
    </row>
    <row r="895" ht="12.7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124"/>
      <c r="AL895" s="124"/>
      <c r="AM895" s="124"/>
      <c r="AN895" s="124"/>
      <c r="AO895" s="124"/>
      <c r="AP895" s="124"/>
      <c r="AQ895" s="124"/>
      <c r="AR895" s="124"/>
    </row>
    <row r="896" ht="12.7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124"/>
      <c r="AL896" s="124"/>
      <c r="AM896" s="124"/>
      <c r="AN896" s="124"/>
      <c r="AO896" s="124"/>
      <c r="AP896" s="124"/>
      <c r="AQ896" s="124"/>
      <c r="AR896" s="124"/>
    </row>
    <row r="897" ht="12.7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c r="AL897" s="124"/>
      <c r="AM897" s="124"/>
      <c r="AN897" s="124"/>
      <c r="AO897" s="124"/>
      <c r="AP897" s="124"/>
      <c r="AQ897" s="124"/>
      <c r="AR897" s="124"/>
    </row>
    <row r="898" ht="12.7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c r="AL898" s="124"/>
      <c r="AM898" s="124"/>
      <c r="AN898" s="124"/>
      <c r="AO898" s="124"/>
      <c r="AP898" s="124"/>
      <c r="AQ898" s="124"/>
      <c r="AR898" s="124"/>
    </row>
    <row r="899" ht="12.7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c r="AL899" s="124"/>
      <c r="AM899" s="124"/>
      <c r="AN899" s="124"/>
      <c r="AO899" s="124"/>
      <c r="AP899" s="124"/>
      <c r="AQ899" s="124"/>
      <c r="AR899" s="124"/>
    </row>
    <row r="900" ht="12.7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c r="AL900" s="124"/>
      <c r="AM900" s="124"/>
      <c r="AN900" s="124"/>
      <c r="AO900" s="124"/>
      <c r="AP900" s="124"/>
      <c r="AQ900" s="124"/>
      <c r="AR900" s="124"/>
    </row>
    <row r="901" ht="12.7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c r="AL901" s="124"/>
      <c r="AM901" s="124"/>
      <c r="AN901" s="124"/>
      <c r="AO901" s="124"/>
      <c r="AP901" s="124"/>
      <c r="AQ901" s="124"/>
      <c r="AR901" s="124"/>
    </row>
    <row r="902" ht="12.7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124"/>
      <c r="AL902" s="124"/>
      <c r="AM902" s="124"/>
      <c r="AN902" s="124"/>
      <c r="AO902" s="124"/>
      <c r="AP902" s="124"/>
      <c r="AQ902" s="124"/>
      <c r="AR902" s="124"/>
    </row>
    <row r="903" ht="12.7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c r="AL903" s="124"/>
      <c r="AM903" s="124"/>
      <c r="AN903" s="124"/>
      <c r="AO903" s="124"/>
      <c r="AP903" s="124"/>
      <c r="AQ903" s="124"/>
      <c r="AR903" s="124"/>
    </row>
    <row r="904" ht="12.7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c r="AL904" s="124"/>
      <c r="AM904" s="124"/>
      <c r="AN904" s="124"/>
      <c r="AO904" s="124"/>
      <c r="AP904" s="124"/>
      <c r="AQ904" s="124"/>
      <c r="AR904" s="124"/>
    </row>
    <row r="905" ht="12.7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c r="AL905" s="124"/>
      <c r="AM905" s="124"/>
      <c r="AN905" s="124"/>
      <c r="AO905" s="124"/>
      <c r="AP905" s="124"/>
      <c r="AQ905" s="124"/>
      <c r="AR905" s="124"/>
    </row>
    <row r="906" ht="12.7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c r="AL906" s="124"/>
      <c r="AM906" s="124"/>
      <c r="AN906" s="124"/>
      <c r="AO906" s="124"/>
      <c r="AP906" s="124"/>
      <c r="AQ906" s="124"/>
      <c r="AR906" s="124"/>
    </row>
    <row r="907" ht="12.7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c r="AL907" s="124"/>
      <c r="AM907" s="124"/>
      <c r="AN907" s="124"/>
      <c r="AO907" s="124"/>
      <c r="AP907" s="124"/>
      <c r="AQ907" s="124"/>
      <c r="AR907" s="124"/>
    </row>
    <row r="908" ht="12.7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c r="AL908" s="124"/>
      <c r="AM908" s="124"/>
      <c r="AN908" s="124"/>
      <c r="AO908" s="124"/>
      <c r="AP908" s="124"/>
      <c r="AQ908" s="124"/>
      <c r="AR908" s="124"/>
    </row>
    <row r="909" ht="12.7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124"/>
      <c r="AL909" s="124"/>
      <c r="AM909" s="124"/>
      <c r="AN909" s="124"/>
      <c r="AO909" s="124"/>
      <c r="AP909" s="124"/>
      <c r="AQ909" s="124"/>
      <c r="AR909" s="124"/>
    </row>
    <row r="910" ht="12.7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c r="AL910" s="124"/>
      <c r="AM910" s="124"/>
      <c r="AN910" s="124"/>
      <c r="AO910" s="124"/>
      <c r="AP910" s="124"/>
      <c r="AQ910" s="124"/>
      <c r="AR910" s="124"/>
    </row>
    <row r="911" ht="12.7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c r="AL911" s="124"/>
      <c r="AM911" s="124"/>
      <c r="AN911" s="124"/>
      <c r="AO911" s="124"/>
      <c r="AP911" s="124"/>
      <c r="AQ911" s="124"/>
      <c r="AR911" s="124"/>
    </row>
    <row r="912" ht="12.7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c r="AL912" s="124"/>
      <c r="AM912" s="124"/>
      <c r="AN912" s="124"/>
      <c r="AO912" s="124"/>
      <c r="AP912" s="124"/>
      <c r="AQ912" s="124"/>
      <c r="AR912" s="124"/>
    </row>
    <row r="913" ht="12.7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c r="AL913" s="124"/>
      <c r="AM913" s="124"/>
      <c r="AN913" s="124"/>
      <c r="AO913" s="124"/>
      <c r="AP913" s="124"/>
      <c r="AQ913" s="124"/>
      <c r="AR913" s="124"/>
    </row>
    <row r="914" ht="12.7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c r="AL914" s="124"/>
      <c r="AM914" s="124"/>
      <c r="AN914" s="124"/>
      <c r="AO914" s="124"/>
      <c r="AP914" s="124"/>
      <c r="AQ914" s="124"/>
      <c r="AR914" s="124"/>
    </row>
    <row r="915" ht="12.7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124"/>
      <c r="AL915" s="124"/>
      <c r="AM915" s="124"/>
      <c r="AN915" s="124"/>
      <c r="AO915" s="124"/>
      <c r="AP915" s="124"/>
      <c r="AQ915" s="124"/>
      <c r="AR915" s="124"/>
    </row>
    <row r="916" ht="12.7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124"/>
      <c r="AL916" s="124"/>
      <c r="AM916" s="124"/>
      <c r="AN916" s="124"/>
      <c r="AO916" s="124"/>
      <c r="AP916" s="124"/>
      <c r="AQ916" s="124"/>
      <c r="AR916" s="124"/>
    </row>
    <row r="917" ht="12.7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124"/>
      <c r="AL917" s="124"/>
      <c r="AM917" s="124"/>
      <c r="AN917" s="124"/>
      <c r="AO917" s="124"/>
      <c r="AP917" s="124"/>
      <c r="AQ917" s="124"/>
      <c r="AR917" s="124"/>
    </row>
    <row r="918" ht="12.7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124"/>
      <c r="AL918" s="124"/>
      <c r="AM918" s="124"/>
      <c r="AN918" s="124"/>
      <c r="AO918" s="124"/>
      <c r="AP918" s="124"/>
      <c r="AQ918" s="124"/>
      <c r="AR918" s="124"/>
    </row>
    <row r="919" ht="12.7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124"/>
      <c r="AL919" s="124"/>
      <c r="AM919" s="124"/>
      <c r="AN919" s="124"/>
      <c r="AO919" s="124"/>
      <c r="AP919" s="124"/>
      <c r="AQ919" s="124"/>
      <c r="AR919" s="124"/>
    </row>
    <row r="920" ht="12.7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124"/>
      <c r="AL920" s="124"/>
      <c r="AM920" s="124"/>
      <c r="AN920" s="124"/>
      <c r="AO920" s="124"/>
      <c r="AP920" s="124"/>
      <c r="AQ920" s="124"/>
      <c r="AR920" s="124"/>
    </row>
    <row r="921" ht="12.7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c r="AL921" s="124"/>
      <c r="AM921" s="124"/>
      <c r="AN921" s="124"/>
      <c r="AO921" s="124"/>
      <c r="AP921" s="124"/>
      <c r="AQ921" s="124"/>
      <c r="AR921" s="124"/>
    </row>
    <row r="922" ht="12.7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c r="AL922" s="124"/>
      <c r="AM922" s="124"/>
      <c r="AN922" s="124"/>
      <c r="AO922" s="124"/>
      <c r="AP922" s="124"/>
      <c r="AQ922" s="124"/>
      <c r="AR922" s="124"/>
    </row>
    <row r="923" ht="12.7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c r="AL923" s="124"/>
      <c r="AM923" s="124"/>
      <c r="AN923" s="124"/>
      <c r="AO923" s="124"/>
      <c r="AP923" s="124"/>
      <c r="AQ923" s="124"/>
      <c r="AR923" s="124"/>
    </row>
    <row r="924" ht="12.7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c r="AL924" s="124"/>
      <c r="AM924" s="124"/>
      <c r="AN924" s="124"/>
      <c r="AO924" s="124"/>
      <c r="AP924" s="124"/>
      <c r="AQ924" s="124"/>
      <c r="AR924" s="124"/>
    </row>
    <row r="925" ht="12.7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c r="AL925" s="124"/>
      <c r="AM925" s="124"/>
      <c r="AN925" s="124"/>
      <c r="AO925" s="124"/>
      <c r="AP925" s="124"/>
      <c r="AQ925" s="124"/>
      <c r="AR925" s="124"/>
    </row>
    <row r="926" ht="12.7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c r="AL926" s="124"/>
      <c r="AM926" s="124"/>
      <c r="AN926" s="124"/>
      <c r="AO926" s="124"/>
      <c r="AP926" s="124"/>
      <c r="AQ926" s="124"/>
      <c r="AR926" s="124"/>
    </row>
    <row r="927" ht="12.7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c r="AL927" s="124"/>
      <c r="AM927" s="124"/>
      <c r="AN927" s="124"/>
      <c r="AO927" s="124"/>
      <c r="AP927" s="124"/>
      <c r="AQ927" s="124"/>
      <c r="AR927" s="124"/>
    </row>
    <row r="928" ht="12.7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c r="AL928" s="124"/>
      <c r="AM928" s="124"/>
      <c r="AN928" s="124"/>
      <c r="AO928" s="124"/>
      <c r="AP928" s="124"/>
      <c r="AQ928" s="124"/>
      <c r="AR928" s="124"/>
    </row>
    <row r="929" ht="12.7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c r="AL929" s="124"/>
      <c r="AM929" s="124"/>
      <c r="AN929" s="124"/>
      <c r="AO929" s="124"/>
      <c r="AP929" s="124"/>
      <c r="AQ929" s="124"/>
      <c r="AR929" s="124"/>
    </row>
    <row r="930" ht="12.7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c r="AL930" s="124"/>
      <c r="AM930" s="124"/>
      <c r="AN930" s="124"/>
      <c r="AO930" s="124"/>
      <c r="AP930" s="124"/>
      <c r="AQ930" s="124"/>
      <c r="AR930" s="124"/>
    </row>
    <row r="931" ht="12.7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c r="AL931" s="124"/>
      <c r="AM931" s="124"/>
      <c r="AN931" s="124"/>
      <c r="AO931" s="124"/>
      <c r="AP931" s="124"/>
      <c r="AQ931" s="124"/>
      <c r="AR931" s="124"/>
    </row>
    <row r="932" ht="12.7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c r="AL932" s="124"/>
      <c r="AM932" s="124"/>
      <c r="AN932" s="124"/>
      <c r="AO932" s="124"/>
      <c r="AP932" s="124"/>
      <c r="AQ932" s="124"/>
      <c r="AR932" s="124"/>
    </row>
    <row r="933" ht="12.7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124"/>
      <c r="AL933" s="124"/>
      <c r="AM933" s="124"/>
      <c r="AN933" s="124"/>
      <c r="AO933" s="124"/>
      <c r="AP933" s="124"/>
      <c r="AQ933" s="124"/>
      <c r="AR933" s="124"/>
    </row>
    <row r="934" ht="12.7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c r="AL934" s="124"/>
      <c r="AM934" s="124"/>
      <c r="AN934" s="124"/>
      <c r="AO934" s="124"/>
      <c r="AP934" s="124"/>
      <c r="AQ934" s="124"/>
      <c r="AR934" s="124"/>
    </row>
    <row r="935" ht="12.7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c r="AL935" s="124"/>
      <c r="AM935" s="124"/>
      <c r="AN935" s="124"/>
      <c r="AO935" s="124"/>
      <c r="AP935" s="124"/>
      <c r="AQ935" s="124"/>
      <c r="AR935" s="124"/>
    </row>
    <row r="936" ht="12.7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c r="AL936" s="124"/>
      <c r="AM936" s="124"/>
      <c r="AN936" s="124"/>
      <c r="AO936" s="124"/>
      <c r="AP936" s="124"/>
      <c r="AQ936" s="124"/>
      <c r="AR936" s="124"/>
    </row>
    <row r="937" ht="12.7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c r="AL937" s="124"/>
      <c r="AM937" s="124"/>
      <c r="AN937" s="124"/>
      <c r="AO937" s="124"/>
      <c r="AP937" s="124"/>
      <c r="AQ937" s="124"/>
      <c r="AR937" s="124"/>
    </row>
    <row r="938" ht="12.7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c r="AL938" s="124"/>
      <c r="AM938" s="124"/>
      <c r="AN938" s="124"/>
      <c r="AO938" s="124"/>
      <c r="AP938" s="124"/>
      <c r="AQ938" s="124"/>
      <c r="AR938" s="124"/>
    </row>
    <row r="939" ht="12.7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124"/>
      <c r="AL939" s="124"/>
      <c r="AM939" s="124"/>
      <c r="AN939" s="124"/>
      <c r="AO939" s="124"/>
      <c r="AP939" s="124"/>
      <c r="AQ939" s="124"/>
      <c r="AR939" s="124"/>
    </row>
    <row r="940" ht="12.7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c r="AL940" s="124"/>
      <c r="AM940" s="124"/>
      <c r="AN940" s="124"/>
      <c r="AO940" s="124"/>
      <c r="AP940" s="124"/>
      <c r="AQ940" s="124"/>
      <c r="AR940" s="124"/>
    </row>
    <row r="941" ht="12.7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c r="AL941" s="124"/>
      <c r="AM941" s="124"/>
      <c r="AN941" s="124"/>
      <c r="AO941" s="124"/>
      <c r="AP941" s="124"/>
      <c r="AQ941" s="124"/>
      <c r="AR941" s="124"/>
    </row>
    <row r="942" ht="12.7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c r="AL942" s="124"/>
      <c r="AM942" s="124"/>
      <c r="AN942" s="124"/>
      <c r="AO942" s="124"/>
      <c r="AP942" s="124"/>
      <c r="AQ942" s="124"/>
      <c r="AR942" s="124"/>
    </row>
    <row r="943" ht="12.7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124"/>
      <c r="AL943" s="124"/>
      <c r="AM943" s="124"/>
      <c r="AN943" s="124"/>
      <c r="AO943" s="124"/>
      <c r="AP943" s="124"/>
      <c r="AQ943" s="124"/>
      <c r="AR943" s="124"/>
    </row>
    <row r="944" ht="12.7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c r="AL944" s="124"/>
      <c r="AM944" s="124"/>
      <c r="AN944" s="124"/>
      <c r="AO944" s="124"/>
      <c r="AP944" s="124"/>
      <c r="AQ944" s="124"/>
      <c r="AR944" s="124"/>
    </row>
    <row r="945" ht="12.7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c r="AL945" s="124"/>
      <c r="AM945" s="124"/>
      <c r="AN945" s="124"/>
      <c r="AO945" s="124"/>
      <c r="AP945" s="124"/>
      <c r="AQ945" s="124"/>
      <c r="AR945" s="124"/>
    </row>
    <row r="946" ht="12.7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c r="AL946" s="124"/>
      <c r="AM946" s="124"/>
      <c r="AN946" s="124"/>
      <c r="AO946" s="124"/>
      <c r="AP946" s="124"/>
      <c r="AQ946" s="124"/>
      <c r="AR946" s="124"/>
    </row>
    <row r="947" ht="12.7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124"/>
      <c r="AL947" s="124"/>
      <c r="AM947" s="124"/>
      <c r="AN947" s="124"/>
      <c r="AO947" s="124"/>
      <c r="AP947" s="124"/>
      <c r="AQ947" s="124"/>
      <c r="AR947" s="124"/>
    </row>
    <row r="948" ht="12.7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c r="AL948" s="124"/>
      <c r="AM948" s="124"/>
      <c r="AN948" s="124"/>
      <c r="AO948" s="124"/>
      <c r="AP948" s="124"/>
      <c r="AQ948" s="124"/>
      <c r="AR948" s="124"/>
    </row>
    <row r="949" ht="12.7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c r="AL949" s="124"/>
      <c r="AM949" s="124"/>
      <c r="AN949" s="124"/>
      <c r="AO949" s="124"/>
      <c r="AP949" s="124"/>
      <c r="AQ949" s="124"/>
      <c r="AR949" s="124"/>
    </row>
    <row r="950" ht="12.7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c r="AL950" s="124"/>
      <c r="AM950" s="124"/>
      <c r="AN950" s="124"/>
      <c r="AO950" s="124"/>
      <c r="AP950" s="124"/>
      <c r="AQ950" s="124"/>
      <c r="AR950" s="124"/>
    </row>
    <row r="951" ht="12.7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124"/>
      <c r="AL951" s="124"/>
      <c r="AM951" s="124"/>
      <c r="AN951" s="124"/>
      <c r="AO951" s="124"/>
      <c r="AP951" s="124"/>
      <c r="AQ951" s="124"/>
      <c r="AR951" s="124"/>
    </row>
    <row r="952" ht="12.7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c r="AL952" s="124"/>
      <c r="AM952" s="124"/>
      <c r="AN952" s="124"/>
      <c r="AO952" s="124"/>
      <c r="AP952" s="124"/>
      <c r="AQ952" s="124"/>
      <c r="AR952" s="124"/>
    </row>
    <row r="953" ht="12.7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c r="AL953" s="124"/>
      <c r="AM953" s="124"/>
      <c r="AN953" s="124"/>
      <c r="AO953" s="124"/>
      <c r="AP953" s="124"/>
      <c r="AQ953" s="124"/>
      <c r="AR953" s="124"/>
    </row>
    <row r="954" ht="12.7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c r="AL954" s="124"/>
      <c r="AM954" s="124"/>
      <c r="AN954" s="124"/>
      <c r="AO954" s="124"/>
      <c r="AP954" s="124"/>
      <c r="AQ954" s="124"/>
      <c r="AR954" s="124"/>
    </row>
    <row r="955" ht="12.7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c r="AL955" s="124"/>
      <c r="AM955" s="124"/>
      <c r="AN955" s="124"/>
      <c r="AO955" s="124"/>
      <c r="AP955" s="124"/>
      <c r="AQ955" s="124"/>
      <c r="AR955" s="124"/>
    </row>
    <row r="956" ht="12.7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c r="AL956" s="124"/>
      <c r="AM956" s="124"/>
      <c r="AN956" s="124"/>
      <c r="AO956" s="124"/>
      <c r="AP956" s="124"/>
      <c r="AQ956" s="124"/>
      <c r="AR956" s="124"/>
    </row>
    <row r="957" ht="12.7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c r="AL957" s="124"/>
      <c r="AM957" s="124"/>
      <c r="AN957" s="124"/>
      <c r="AO957" s="124"/>
      <c r="AP957" s="124"/>
      <c r="AQ957" s="124"/>
      <c r="AR957" s="124"/>
    </row>
    <row r="958" ht="12.7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c r="AL958" s="124"/>
      <c r="AM958" s="124"/>
      <c r="AN958" s="124"/>
      <c r="AO958" s="124"/>
      <c r="AP958" s="124"/>
      <c r="AQ958" s="124"/>
      <c r="AR958" s="124"/>
    </row>
    <row r="959" ht="12.7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124"/>
      <c r="AL959" s="124"/>
      <c r="AM959" s="124"/>
      <c r="AN959" s="124"/>
      <c r="AO959" s="124"/>
      <c r="AP959" s="124"/>
      <c r="AQ959" s="124"/>
      <c r="AR959" s="124"/>
    </row>
    <row r="960" ht="12.7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c r="AL960" s="124"/>
      <c r="AM960" s="124"/>
      <c r="AN960" s="124"/>
      <c r="AO960" s="124"/>
      <c r="AP960" s="124"/>
      <c r="AQ960" s="124"/>
      <c r="AR960" s="124"/>
    </row>
    <row r="961" ht="12.7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c r="AL961" s="124"/>
      <c r="AM961" s="124"/>
      <c r="AN961" s="124"/>
      <c r="AO961" s="124"/>
      <c r="AP961" s="124"/>
      <c r="AQ961" s="124"/>
      <c r="AR961" s="124"/>
    </row>
    <row r="962" ht="12.7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c r="AL962" s="124"/>
      <c r="AM962" s="124"/>
      <c r="AN962" s="124"/>
      <c r="AO962" s="124"/>
      <c r="AP962" s="124"/>
      <c r="AQ962" s="124"/>
      <c r="AR962" s="124"/>
    </row>
    <row r="963" ht="12.7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c r="AL963" s="124"/>
      <c r="AM963" s="124"/>
      <c r="AN963" s="124"/>
      <c r="AO963" s="124"/>
      <c r="AP963" s="124"/>
      <c r="AQ963" s="124"/>
      <c r="AR963" s="124"/>
    </row>
    <row r="964" ht="12.7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c r="AL964" s="124"/>
      <c r="AM964" s="124"/>
      <c r="AN964" s="124"/>
      <c r="AO964" s="124"/>
      <c r="AP964" s="124"/>
      <c r="AQ964" s="124"/>
      <c r="AR964" s="124"/>
    </row>
    <row r="965" ht="12.7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124"/>
      <c r="AL965" s="124"/>
      <c r="AM965" s="124"/>
      <c r="AN965" s="124"/>
      <c r="AO965" s="124"/>
      <c r="AP965" s="124"/>
      <c r="AQ965" s="124"/>
      <c r="AR965" s="124"/>
    </row>
    <row r="966" ht="12.7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c r="AL966" s="124"/>
      <c r="AM966" s="124"/>
      <c r="AN966" s="124"/>
      <c r="AO966" s="124"/>
      <c r="AP966" s="124"/>
      <c r="AQ966" s="124"/>
      <c r="AR966" s="124"/>
    </row>
    <row r="967" ht="12.7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c r="AL967" s="124"/>
      <c r="AM967" s="124"/>
      <c r="AN967" s="124"/>
      <c r="AO967" s="124"/>
      <c r="AP967" s="124"/>
      <c r="AQ967" s="124"/>
      <c r="AR967" s="124"/>
    </row>
    <row r="968" ht="12.7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c r="AL968" s="124"/>
      <c r="AM968" s="124"/>
      <c r="AN968" s="124"/>
      <c r="AO968" s="124"/>
      <c r="AP968" s="124"/>
      <c r="AQ968" s="124"/>
      <c r="AR968" s="124"/>
    </row>
    <row r="969" ht="12.7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c r="AL969" s="124"/>
      <c r="AM969" s="124"/>
      <c r="AN969" s="124"/>
      <c r="AO969" s="124"/>
      <c r="AP969" s="124"/>
      <c r="AQ969" s="124"/>
      <c r="AR969" s="124"/>
    </row>
    <row r="970" ht="12.7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c r="AL970" s="124"/>
      <c r="AM970" s="124"/>
      <c r="AN970" s="124"/>
      <c r="AO970" s="124"/>
      <c r="AP970" s="124"/>
      <c r="AQ970" s="124"/>
      <c r="AR970" s="124"/>
    </row>
    <row r="971" ht="12.7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124"/>
      <c r="AL971" s="124"/>
      <c r="AM971" s="124"/>
      <c r="AN971" s="124"/>
      <c r="AO971" s="124"/>
      <c r="AP971" s="124"/>
      <c r="AQ971" s="124"/>
      <c r="AR971" s="124"/>
    </row>
    <row r="972" ht="12.7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c r="AL972" s="124"/>
      <c r="AM972" s="124"/>
      <c r="AN972" s="124"/>
      <c r="AO972" s="124"/>
      <c r="AP972" s="124"/>
      <c r="AQ972" s="124"/>
      <c r="AR972" s="124"/>
    </row>
    <row r="973" ht="12.7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c r="AL973" s="124"/>
      <c r="AM973" s="124"/>
      <c r="AN973" s="124"/>
      <c r="AO973" s="124"/>
      <c r="AP973" s="124"/>
      <c r="AQ973" s="124"/>
      <c r="AR973" s="124"/>
    </row>
    <row r="974" ht="12.7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c r="AL974" s="124"/>
      <c r="AM974" s="124"/>
      <c r="AN974" s="124"/>
      <c r="AO974" s="124"/>
      <c r="AP974" s="124"/>
      <c r="AQ974" s="124"/>
      <c r="AR974" s="124"/>
    </row>
    <row r="975" ht="12.7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c r="AL975" s="124"/>
      <c r="AM975" s="124"/>
      <c r="AN975" s="124"/>
      <c r="AO975" s="124"/>
      <c r="AP975" s="124"/>
      <c r="AQ975" s="124"/>
      <c r="AR975" s="124"/>
    </row>
    <row r="976" ht="12.7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124"/>
      <c r="AL976" s="124"/>
      <c r="AM976" s="124"/>
      <c r="AN976" s="124"/>
      <c r="AO976" s="124"/>
      <c r="AP976" s="124"/>
      <c r="AQ976" s="124"/>
      <c r="AR976" s="124"/>
    </row>
    <row r="977" ht="12.7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c r="AL977" s="124"/>
      <c r="AM977" s="124"/>
      <c r="AN977" s="124"/>
      <c r="AO977" s="124"/>
      <c r="AP977" s="124"/>
      <c r="AQ977" s="124"/>
      <c r="AR977" s="124"/>
    </row>
    <row r="978" ht="12.7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c r="AL978" s="124"/>
      <c r="AM978" s="124"/>
      <c r="AN978" s="124"/>
      <c r="AO978" s="124"/>
      <c r="AP978" s="124"/>
      <c r="AQ978" s="124"/>
      <c r="AR978" s="124"/>
    </row>
    <row r="979" ht="12.7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c r="AL979" s="124"/>
      <c r="AM979" s="124"/>
      <c r="AN979" s="124"/>
      <c r="AO979" s="124"/>
      <c r="AP979" s="124"/>
      <c r="AQ979" s="124"/>
      <c r="AR979" s="124"/>
    </row>
    <row r="980" ht="12.7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c r="AL980" s="124"/>
      <c r="AM980" s="124"/>
      <c r="AN980" s="124"/>
      <c r="AO980" s="124"/>
      <c r="AP980" s="124"/>
      <c r="AQ980" s="124"/>
      <c r="AR980" s="124"/>
    </row>
    <row r="981" ht="12.7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c r="AL981" s="124"/>
      <c r="AM981" s="124"/>
      <c r="AN981" s="124"/>
      <c r="AO981" s="124"/>
      <c r="AP981" s="124"/>
      <c r="AQ981" s="124"/>
      <c r="AR981" s="124"/>
    </row>
    <row r="982" ht="12.7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c r="AL982" s="124"/>
      <c r="AM982" s="124"/>
      <c r="AN982" s="124"/>
      <c r="AO982" s="124"/>
      <c r="AP982" s="124"/>
      <c r="AQ982" s="124"/>
      <c r="AR982" s="124"/>
    </row>
    <row r="983" ht="12.7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124"/>
      <c r="AL983" s="124"/>
      <c r="AM983" s="124"/>
      <c r="AN983" s="124"/>
      <c r="AO983" s="124"/>
      <c r="AP983" s="124"/>
      <c r="AQ983" s="124"/>
      <c r="AR983" s="124"/>
    </row>
    <row r="984" ht="12.7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c r="AK984" s="124"/>
      <c r="AL984" s="124"/>
      <c r="AM984" s="124"/>
      <c r="AN984" s="124"/>
      <c r="AO984" s="124"/>
      <c r="AP984" s="124"/>
      <c r="AQ984" s="124"/>
      <c r="AR984" s="124"/>
    </row>
    <row r="985" ht="12.7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124"/>
      <c r="AL985" s="124"/>
      <c r="AM985" s="124"/>
      <c r="AN985" s="124"/>
      <c r="AO985" s="124"/>
      <c r="AP985" s="124"/>
      <c r="AQ985" s="124"/>
      <c r="AR985" s="124"/>
    </row>
    <row r="986" ht="12.7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124"/>
      <c r="AL986" s="124"/>
      <c r="AM986" s="124"/>
      <c r="AN986" s="124"/>
      <c r="AO986" s="124"/>
      <c r="AP986" s="124"/>
      <c r="AQ986" s="124"/>
      <c r="AR986" s="124"/>
    </row>
    <row r="987" ht="12.7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124"/>
      <c r="AL987" s="124"/>
      <c r="AM987" s="124"/>
      <c r="AN987" s="124"/>
      <c r="AO987" s="124"/>
      <c r="AP987" s="124"/>
      <c r="AQ987" s="124"/>
      <c r="AR987" s="124"/>
    </row>
    <row r="988" ht="12.7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124"/>
      <c r="AL988" s="124"/>
      <c r="AM988" s="124"/>
      <c r="AN988" s="124"/>
      <c r="AO988" s="124"/>
      <c r="AP988" s="124"/>
      <c r="AQ988" s="124"/>
      <c r="AR988" s="124"/>
    </row>
    <row r="989" ht="12.7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124"/>
      <c r="AL989" s="124"/>
      <c r="AM989" s="124"/>
      <c r="AN989" s="124"/>
      <c r="AO989" s="124"/>
      <c r="AP989" s="124"/>
      <c r="AQ989" s="124"/>
      <c r="AR989" s="124"/>
    </row>
    <row r="990" ht="12.7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124"/>
      <c r="AL990" s="124"/>
      <c r="AM990" s="124"/>
      <c r="AN990" s="124"/>
      <c r="AO990" s="124"/>
      <c r="AP990" s="124"/>
      <c r="AQ990" s="124"/>
      <c r="AR990" s="124"/>
    </row>
    <row r="991" ht="12.7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124"/>
      <c r="AL991" s="124"/>
      <c r="AM991" s="124"/>
      <c r="AN991" s="124"/>
      <c r="AO991" s="124"/>
      <c r="AP991" s="124"/>
      <c r="AQ991" s="124"/>
      <c r="AR991" s="124"/>
    </row>
    <row r="992" ht="12.7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c r="AH992" s="124"/>
      <c r="AI992" s="124"/>
      <c r="AJ992" s="124"/>
      <c r="AK992" s="124"/>
      <c r="AL992" s="124"/>
      <c r="AM992" s="124"/>
      <c r="AN992" s="124"/>
      <c r="AO992" s="124"/>
      <c r="AP992" s="124"/>
      <c r="AQ992" s="124"/>
      <c r="AR992" s="124"/>
    </row>
    <row r="993" ht="12.7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124"/>
      <c r="AL993" s="124"/>
      <c r="AM993" s="124"/>
      <c r="AN993" s="124"/>
      <c r="AO993" s="124"/>
      <c r="AP993" s="124"/>
      <c r="AQ993" s="124"/>
      <c r="AR993" s="124"/>
    </row>
    <row r="994" ht="12.7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124"/>
      <c r="AL994" s="124"/>
      <c r="AM994" s="124"/>
      <c r="AN994" s="124"/>
      <c r="AO994" s="124"/>
      <c r="AP994" s="124"/>
      <c r="AQ994" s="124"/>
      <c r="AR994" s="124"/>
    </row>
    <row r="995" ht="12.7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124"/>
      <c r="AL995" s="124"/>
      <c r="AM995" s="124"/>
      <c r="AN995" s="124"/>
      <c r="AO995" s="124"/>
      <c r="AP995" s="124"/>
      <c r="AQ995" s="124"/>
      <c r="AR995" s="124"/>
    </row>
    <row r="996" ht="12.7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124"/>
      <c r="AL996" s="124"/>
      <c r="AM996" s="124"/>
      <c r="AN996" s="124"/>
      <c r="AO996" s="124"/>
      <c r="AP996" s="124"/>
      <c r="AQ996" s="124"/>
      <c r="AR996" s="124"/>
    </row>
    <row r="997" ht="12.7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124"/>
      <c r="AL997" s="124"/>
      <c r="AM997" s="124"/>
      <c r="AN997" s="124"/>
      <c r="AO997" s="124"/>
      <c r="AP997" s="124"/>
      <c r="AQ997" s="124"/>
      <c r="AR997" s="124"/>
    </row>
    <row r="998" ht="12.7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124"/>
      <c r="AL998" s="124"/>
      <c r="AM998" s="124"/>
      <c r="AN998" s="124"/>
      <c r="AO998" s="124"/>
      <c r="AP998" s="124"/>
      <c r="AQ998" s="124"/>
      <c r="AR998" s="124"/>
    </row>
    <row r="999" ht="12.7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124"/>
      <c r="AL999" s="124"/>
      <c r="AM999" s="124"/>
      <c r="AN999" s="124"/>
      <c r="AO999" s="124"/>
      <c r="AP999" s="124"/>
      <c r="AQ999" s="124"/>
      <c r="AR999" s="124"/>
    </row>
    <row r="1000" ht="12.7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c r="AH1000" s="124"/>
      <c r="AI1000" s="124"/>
      <c r="AJ1000" s="124"/>
      <c r="AK1000" s="124"/>
      <c r="AL1000" s="124"/>
      <c r="AM1000" s="124"/>
      <c r="AN1000" s="124"/>
      <c r="AO1000" s="124"/>
      <c r="AP1000" s="124"/>
      <c r="AQ1000" s="124"/>
      <c r="AR1000" s="12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9.71"/>
    <col customWidth="1" min="3" max="3" width="12.29"/>
    <col customWidth="1" min="4" max="4" width="10.29"/>
    <col customWidth="1" min="5" max="5" width="12.29"/>
    <col customWidth="1" min="6" max="6" width="10.29"/>
    <col customWidth="1" min="7" max="7" width="12.29"/>
    <col customWidth="1" min="8" max="8" width="10.29"/>
    <col customWidth="1" min="9" max="9" width="12.29"/>
    <col customWidth="1" min="10" max="10" width="10.29"/>
    <col customWidth="1" min="11" max="11" width="12.29"/>
    <col customWidth="1" min="12" max="12" width="10.29"/>
    <col customWidth="1" min="13" max="13" width="12.29"/>
    <col customWidth="1" min="14" max="14" width="10.29"/>
    <col customWidth="1" min="15" max="26" width="8.0"/>
  </cols>
  <sheetData>
    <row r="1" ht="12.75" customHeight="1">
      <c r="A1" s="127" t="s">
        <v>140</v>
      </c>
      <c r="B1" s="127" t="s">
        <v>141</v>
      </c>
    </row>
    <row r="2" ht="12.75" customHeight="1">
      <c r="A2" s="127" t="s">
        <v>142</v>
      </c>
      <c r="B2" s="127">
        <v>161008.0</v>
      </c>
    </row>
    <row r="3" ht="12.75" customHeight="1">
      <c r="A3" s="127" t="s">
        <v>124</v>
      </c>
      <c r="B3" s="127" t="s">
        <v>129</v>
      </c>
      <c r="C3" s="127" t="s">
        <v>124</v>
      </c>
      <c r="D3" s="127" t="s">
        <v>131</v>
      </c>
      <c r="E3" s="127" t="s">
        <v>124</v>
      </c>
      <c r="F3" s="127" t="s">
        <v>132</v>
      </c>
      <c r="G3" s="127" t="s">
        <v>124</v>
      </c>
      <c r="H3" s="127" t="s">
        <v>133</v>
      </c>
      <c r="I3" s="127" t="s">
        <v>124</v>
      </c>
      <c r="J3" s="127" t="s">
        <v>134</v>
      </c>
      <c r="K3" s="127" t="s">
        <v>124</v>
      </c>
      <c r="L3" s="127" t="s">
        <v>135</v>
      </c>
      <c r="M3" s="127" t="s">
        <v>124</v>
      </c>
      <c r="N3" s="127" t="s">
        <v>136</v>
      </c>
    </row>
    <row r="4" ht="12.75" customHeight="1">
      <c r="A4" s="127" t="s">
        <v>143</v>
      </c>
      <c r="B4" s="127" t="s">
        <v>144</v>
      </c>
      <c r="C4" s="127" t="s">
        <v>143</v>
      </c>
      <c r="D4" s="127" t="s">
        <v>144</v>
      </c>
      <c r="E4" s="127" t="s">
        <v>143</v>
      </c>
      <c r="F4" s="127" t="s">
        <v>144</v>
      </c>
      <c r="G4" s="127" t="s">
        <v>143</v>
      </c>
      <c r="H4" s="127" t="s">
        <v>144</v>
      </c>
      <c r="I4" s="127" t="s">
        <v>143</v>
      </c>
      <c r="J4" s="127" t="s">
        <v>144</v>
      </c>
      <c r="K4" s="127" t="s">
        <v>143</v>
      </c>
      <c r="L4" s="127" t="s">
        <v>144</v>
      </c>
      <c r="M4" s="127" t="s">
        <v>143</v>
      </c>
      <c r="N4" s="127" t="s">
        <v>144</v>
      </c>
    </row>
    <row r="5" ht="12.75" customHeight="1">
      <c r="A5" s="127" t="s">
        <v>145</v>
      </c>
      <c r="B5" s="127" t="s">
        <v>146</v>
      </c>
      <c r="C5" s="127" t="s">
        <v>145</v>
      </c>
      <c r="D5" s="127" t="s">
        <v>146</v>
      </c>
      <c r="E5" s="127" t="s">
        <v>145</v>
      </c>
      <c r="F5" s="127" t="s">
        <v>146</v>
      </c>
      <c r="G5" s="127" t="s">
        <v>145</v>
      </c>
      <c r="H5" s="127" t="s">
        <v>146</v>
      </c>
      <c r="I5" s="127" t="s">
        <v>145</v>
      </c>
      <c r="J5" s="127" t="s">
        <v>146</v>
      </c>
      <c r="K5" s="127" t="s">
        <v>145</v>
      </c>
      <c r="L5" s="127" t="s">
        <v>146</v>
      </c>
      <c r="M5" s="127" t="s">
        <v>145</v>
      </c>
      <c r="N5" s="127" t="s">
        <v>146</v>
      </c>
    </row>
    <row r="6" ht="12.75" customHeight="1">
      <c r="A6" s="127" t="s">
        <v>147</v>
      </c>
      <c r="B6" s="128">
        <v>40246.0</v>
      </c>
      <c r="C6" s="127" t="s">
        <v>147</v>
      </c>
      <c r="D6" s="128">
        <v>40246.0</v>
      </c>
      <c r="E6" s="127" t="s">
        <v>147</v>
      </c>
      <c r="F6" s="128">
        <v>40246.0</v>
      </c>
      <c r="G6" s="127" t="s">
        <v>147</v>
      </c>
      <c r="H6" s="128">
        <v>40246.0</v>
      </c>
      <c r="I6" s="127" t="s">
        <v>147</v>
      </c>
      <c r="J6" s="128">
        <v>40246.0</v>
      </c>
      <c r="K6" s="127" t="s">
        <v>147</v>
      </c>
      <c r="L6" s="128">
        <v>40246.0</v>
      </c>
      <c r="M6" s="127" t="s">
        <v>147</v>
      </c>
      <c r="N6" s="128">
        <v>40246.0</v>
      </c>
    </row>
    <row r="7" ht="12.75" customHeight="1">
      <c r="A7" s="127" t="s">
        <v>148</v>
      </c>
      <c r="B7" s="127" t="s">
        <v>149</v>
      </c>
      <c r="C7" s="127" t="s">
        <v>148</v>
      </c>
      <c r="D7" s="127" t="s">
        <v>150</v>
      </c>
      <c r="E7" s="127" t="s">
        <v>148</v>
      </c>
      <c r="F7" s="127" t="s">
        <v>151</v>
      </c>
      <c r="G7" s="127" t="s">
        <v>148</v>
      </c>
      <c r="H7" s="127" t="s">
        <v>152</v>
      </c>
      <c r="I7" s="127" t="s">
        <v>148</v>
      </c>
      <c r="J7" s="127" t="s">
        <v>153</v>
      </c>
      <c r="K7" s="127" t="s">
        <v>148</v>
      </c>
      <c r="L7" s="127" t="s">
        <v>154</v>
      </c>
      <c r="M7" s="127" t="s">
        <v>148</v>
      </c>
      <c r="N7" s="127" t="s">
        <v>155</v>
      </c>
    </row>
    <row r="8" ht="12.75" customHeight="1">
      <c r="A8" s="127" t="s">
        <v>156</v>
      </c>
      <c r="B8" s="127" t="s">
        <v>157</v>
      </c>
      <c r="C8" s="127" t="s">
        <v>156</v>
      </c>
      <c r="D8" s="127" t="s">
        <v>157</v>
      </c>
      <c r="E8" s="127" t="s">
        <v>156</v>
      </c>
      <c r="F8" s="127" t="s">
        <v>157</v>
      </c>
      <c r="G8" s="127" t="s">
        <v>156</v>
      </c>
      <c r="H8" s="127" t="s">
        <v>157</v>
      </c>
      <c r="I8" s="127" t="s">
        <v>156</v>
      </c>
      <c r="J8" s="127" t="s">
        <v>157</v>
      </c>
      <c r="K8" s="127" t="s">
        <v>156</v>
      </c>
      <c r="L8" s="127" t="s">
        <v>157</v>
      </c>
      <c r="M8" s="127" t="s">
        <v>156</v>
      </c>
      <c r="N8" s="127" t="s">
        <v>157</v>
      </c>
    </row>
    <row r="9" ht="12.75" customHeight="1">
      <c r="A9" s="127">
        <v>0.0</v>
      </c>
      <c r="B9" s="127">
        <v>0.0</v>
      </c>
      <c r="C9" s="127">
        <v>0.0</v>
      </c>
      <c r="D9" s="127">
        <v>-0.003</v>
      </c>
      <c r="E9" s="127">
        <v>0.0</v>
      </c>
      <c r="F9" s="127">
        <v>-0.007</v>
      </c>
      <c r="G9" s="127">
        <v>0.0</v>
      </c>
      <c r="H9" s="127">
        <v>-0.009</v>
      </c>
      <c r="I9" s="127">
        <v>0.0</v>
      </c>
      <c r="J9" s="127">
        <v>-0.007</v>
      </c>
      <c r="K9" s="127">
        <v>0.0</v>
      </c>
      <c r="L9" s="127">
        <v>-0.007</v>
      </c>
      <c r="M9" s="127">
        <v>0.0</v>
      </c>
      <c r="N9" s="127">
        <v>-0.012</v>
      </c>
    </row>
    <row r="10" ht="12.75" customHeight="1">
      <c r="A10" s="127">
        <v>60.0</v>
      </c>
      <c r="B10" s="127">
        <v>0.001</v>
      </c>
      <c r="C10" s="127">
        <v>60.0</v>
      </c>
      <c r="D10" s="127">
        <v>-0.003</v>
      </c>
      <c r="E10" s="127">
        <v>60.0</v>
      </c>
      <c r="F10" s="127">
        <v>-0.007</v>
      </c>
      <c r="G10" s="127">
        <v>60.0</v>
      </c>
      <c r="H10" s="127">
        <v>-0.009</v>
      </c>
      <c r="I10" s="127">
        <v>60.0</v>
      </c>
      <c r="J10" s="127">
        <v>-0.007</v>
      </c>
      <c r="K10" s="127">
        <v>60.0</v>
      </c>
      <c r="L10" s="127">
        <v>-0.007</v>
      </c>
      <c r="M10" s="127">
        <v>60.0</v>
      </c>
      <c r="N10" s="127">
        <v>-0.012</v>
      </c>
    </row>
    <row r="11" ht="12.75" customHeight="1">
      <c r="A11" s="127">
        <v>120.0</v>
      </c>
      <c r="B11" s="127">
        <v>0.001</v>
      </c>
      <c r="C11" s="127">
        <v>120.0</v>
      </c>
      <c r="D11" s="127">
        <v>-0.003</v>
      </c>
      <c r="E11" s="127">
        <v>120.0</v>
      </c>
      <c r="F11" s="127">
        <v>-0.008</v>
      </c>
      <c r="G11" s="127">
        <v>120.0</v>
      </c>
      <c r="H11" s="127">
        <v>-0.009</v>
      </c>
      <c r="I11" s="127">
        <v>120.0</v>
      </c>
      <c r="J11" s="127">
        <v>-0.007</v>
      </c>
      <c r="K11" s="127">
        <v>120.0</v>
      </c>
      <c r="L11" s="127">
        <v>-0.006</v>
      </c>
      <c r="M11" s="127">
        <v>120.0</v>
      </c>
      <c r="N11" s="127">
        <v>-0.012</v>
      </c>
    </row>
    <row r="12" ht="12.75" customHeight="1">
      <c r="A12" s="127">
        <v>180.0</v>
      </c>
      <c r="B12" s="127">
        <v>0.001</v>
      </c>
      <c r="C12" s="127">
        <v>180.0</v>
      </c>
      <c r="D12" s="127">
        <v>-0.003</v>
      </c>
      <c r="E12" s="127">
        <v>180.0</v>
      </c>
      <c r="F12" s="127">
        <v>-0.008</v>
      </c>
      <c r="G12" s="127">
        <v>180.0</v>
      </c>
      <c r="H12" s="127">
        <v>-0.009</v>
      </c>
      <c r="I12" s="127">
        <v>180.0</v>
      </c>
      <c r="J12" s="127">
        <v>-0.007</v>
      </c>
      <c r="K12" s="127">
        <v>180.0</v>
      </c>
      <c r="L12" s="127">
        <v>-0.005</v>
      </c>
      <c r="M12" s="127">
        <v>180.0</v>
      </c>
      <c r="N12" s="127">
        <v>-0.012</v>
      </c>
    </row>
    <row r="13" ht="12.75" customHeight="1">
      <c r="A13" s="127">
        <v>240.0</v>
      </c>
      <c r="B13" s="127">
        <v>0.001</v>
      </c>
      <c r="C13" s="127">
        <v>240.0</v>
      </c>
      <c r="D13" s="127">
        <v>-0.003</v>
      </c>
      <c r="E13" s="127">
        <v>240.0</v>
      </c>
      <c r="F13" s="127">
        <v>-0.007</v>
      </c>
      <c r="G13" s="127">
        <v>240.0</v>
      </c>
      <c r="H13" s="127">
        <v>-0.009</v>
      </c>
      <c r="I13" s="127">
        <v>240.0</v>
      </c>
      <c r="J13" s="127">
        <v>-0.007</v>
      </c>
      <c r="K13" s="127">
        <v>240.0</v>
      </c>
      <c r="L13" s="127">
        <v>-0.005</v>
      </c>
      <c r="M13" s="127">
        <v>240.0</v>
      </c>
      <c r="N13" s="127">
        <v>-0.012</v>
      </c>
    </row>
    <row r="14" ht="12.75" customHeight="1">
      <c r="A14" s="127">
        <v>300.0</v>
      </c>
      <c r="B14" s="127">
        <v>0.001</v>
      </c>
      <c r="C14" s="127">
        <v>300.0</v>
      </c>
      <c r="D14" s="127">
        <v>-0.003</v>
      </c>
      <c r="E14" s="127">
        <v>300.0</v>
      </c>
      <c r="F14" s="127">
        <v>-0.007</v>
      </c>
      <c r="G14" s="127">
        <v>300.0</v>
      </c>
      <c r="H14" s="127">
        <v>-0.008</v>
      </c>
      <c r="I14" s="127">
        <v>300.0</v>
      </c>
      <c r="J14" s="127">
        <v>-0.007</v>
      </c>
      <c r="K14" s="127">
        <v>300.0</v>
      </c>
      <c r="L14" s="127">
        <v>-0.004</v>
      </c>
      <c r="M14" s="127">
        <v>300.0</v>
      </c>
      <c r="N14" s="127">
        <v>-0.012</v>
      </c>
    </row>
    <row r="15" ht="12.75" customHeight="1">
      <c r="A15" s="127">
        <v>360.0</v>
      </c>
      <c r="B15" s="127">
        <v>0.001</v>
      </c>
      <c r="C15" s="127">
        <v>360.0</v>
      </c>
      <c r="D15" s="127">
        <v>-0.003</v>
      </c>
      <c r="E15" s="127">
        <v>360.0</v>
      </c>
      <c r="F15" s="127">
        <v>-0.007</v>
      </c>
      <c r="G15" s="127">
        <v>360.0</v>
      </c>
      <c r="H15" s="127">
        <v>-0.008</v>
      </c>
      <c r="I15" s="127">
        <v>360.0</v>
      </c>
      <c r="J15" s="127">
        <v>-0.007</v>
      </c>
      <c r="K15" s="127">
        <v>360.0</v>
      </c>
      <c r="L15" s="127">
        <v>-0.004</v>
      </c>
      <c r="M15" s="127">
        <v>360.0</v>
      </c>
      <c r="N15" s="127">
        <v>-0.012</v>
      </c>
    </row>
    <row r="16" ht="12.75" customHeight="1">
      <c r="A16" s="127">
        <v>420.0</v>
      </c>
      <c r="B16" s="127">
        <v>0.001</v>
      </c>
      <c r="C16" s="127">
        <v>420.0</v>
      </c>
      <c r="D16" s="127">
        <v>-0.003</v>
      </c>
      <c r="E16" s="127">
        <v>420.0</v>
      </c>
      <c r="F16" s="127">
        <v>-0.007</v>
      </c>
      <c r="G16" s="127">
        <v>420.0</v>
      </c>
      <c r="H16" s="127">
        <v>-0.008</v>
      </c>
      <c r="I16" s="127">
        <v>420.0</v>
      </c>
      <c r="J16" s="127">
        <v>-0.006</v>
      </c>
      <c r="K16" s="127">
        <v>420.0</v>
      </c>
      <c r="L16" s="127">
        <v>-0.003</v>
      </c>
      <c r="M16" s="127">
        <v>420.0</v>
      </c>
      <c r="N16" s="127">
        <v>-0.012</v>
      </c>
    </row>
    <row r="17" ht="12.75" customHeight="1">
      <c r="A17" s="127">
        <v>480.0</v>
      </c>
      <c r="B17" s="127">
        <v>0.002</v>
      </c>
      <c r="C17" s="127">
        <v>480.0</v>
      </c>
      <c r="D17" s="127">
        <v>-0.002</v>
      </c>
      <c r="E17" s="127">
        <v>480.0</v>
      </c>
      <c r="F17" s="127">
        <v>-0.007</v>
      </c>
      <c r="G17" s="127">
        <v>480.0</v>
      </c>
      <c r="H17" s="127">
        <v>-0.008</v>
      </c>
      <c r="I17" s="127">
        <v>480.0</v>
      </c>
      <c r="J17" s="127">
        <v>-0.006</v>
      </c>
      <c r="K17" s="127">
        <v>480.0</v>
      </c>
      <c r="L17" s="127">
        <v>-0.003</v>
      </c>
      <c r="M17" s="127">
        <v>480.0</v>
      </c>
      <c r="N17" s="127">
        <v>-0.011</v>
      </c>
    </row>
    <row r="18" ht="12.75" customHeight="1">
      <c r="A18" s="127">
        <v>540.0</v>
      </c>
      <c r="B18" s="127">
        <v>0.002</v>
      </c>
      <c r="C18" s="127">
        <v>540.0</v>
      </c>
      <c r="D18" s="127">
        <v>-0.003</v>
      </c>
      <c r="E18" s="127">
        <v>540.0</v>
      </c>
      <c r="F18" s="127">
        <v>-0.007</v>
      </c>
      <c r="G18" s="127">
        <v>540.0</v>
      </c>
      <c r="H18" s="127">
        <v>-0.008</v>
      </c>
      <c r="I18" s="127">
        <v>540.0</v>
      </c>
      <c r="J18" s="127">
        <v>-0.007</v>
      </c>
      <c r="K18" s="127">
        <v>540.0</v>
      </c>
      <c r="L18" s="127">
        <v>-0.003</v>
      </c>
      <c r="M18" s="127">
        <v>540.0</v>
      </c>
      <c r="N18" s="127">
        <v>-0.012</v>
      </c>
    </row>
    <row r="19" ht="12.75" customHeight="1">
      <c r="A19" s="127">
        <v>600.0</v>
      </c>
      <c r="B19" s="127">
        <v>0.002</v>
      </c>
      <c r="C19" s="127">
        <v>600.0</v>
      </c>
      <c r="D19" s="127">
        <v>-0.002</v>
      </c>
      <c r="E19" s="127">
        <v>600.0</v>
      </c>
      <c r="F19" s="127">
        <v>-0.007</v>
      </c>
      <c r="G19" s="127">
        <v>600.0</v>
      </c>
      <c r="H19" s="127">
        <v>-0.008</v>
      </c>
      <c r="I19" s="127">
        <v>600.0</v>
      </c>
      <c r="J19" s="127">
        <v>-0.007</v>
      </c>
      <c r="K19" s="127">
        <v>600.0</v>
      </c>
      <c r="L19" s="127">
        <v>-0.002</v>
      </c>
      <c r="M19" s="127">
        <v>600.0</v>
      </c>
      <c r="N19" s="127">
        <v>-0.011</v>
      </c>
    </row>
    <row r="20" ht="12.75" customHeight="1">
      <c r="A20" s="127">
        <v>660.0</v>
      </c>
      <c r="B20" s="127">
        <v>0.003</v>
      </c>
      <c r="C20" s="127">
        <v>660.0</v>
      </c>
      <c r="D20" s="127">
        <v>-0.002</v>
      </c>
      <c r="E20" s="127">
        <v>660.0</v>
      </c>
      <c r="F20" s="127">
        <v>-0.007</v>
      </c>
      <c r="G20" s="127">
        <v>660.0</v>
      </c>
      <c r="H20" s="127">
        <v>-0.008</v>
      </c>
      <c r="I20" s="127">
        <v>660.0</v>
      </c>
      <c r="J20" s="127">
        <v>-0.006</v>
      </c>
      <c r="K20" s="127">
        <v>660.0</v>
      </c>
      <c r="L20" s="127">
        <v>-0.002</v>
      </c>
      <c r="M20" s="127">
        <v>660.0</v>
      </c>
      <c r="N20" s="127">
        <v>-0.011</v>
      </c>
    </row>
    <row r="21" ht="12.75" customHeight="1">
      <c r="A21" s="127">
        <v>720.0</v>
      </c>
      <c r="B21" s="127">
        <v>0.002</v>
      </c>
      <c r="C21" s="127">
        <v>720.0</v>
      </c>
      <c r="D21" s="127">
        <v>-0.002</v>
      </c>
      <c r="E21" s="127">
        <v>720.0</v>
      </c>
      <c r="F21" s="127">
        <v>-0.007</v>
      </c>
      <c r="G21" s="127">
        <v>720.0</v>
      </c>
      <c r="H21" s="127">
        <v>-0.008</v>
      </c>
      <c r="I21" s="127">
        <v>720.0</v>
      </c>
      <c r="J21" s="127">
        <v>-0.006</v>
      </c>
      <c r="K21" s="127">
        <v>720.0</v>
      </c>
      <c r="L21" s="127">
        <v>-0.002</v>
      </c>
      <c r="M21" s="127">
        <v>720.0</v>
      </c>
      <c r="N21" s="127">
        <v>-0.012</v>
      </c>
    </row>
    <row r="22" ht="12.75" customHeight="1">
      <c r="A22" s="127">
        <v>780.0</v>
      </c>
      <c r="B22" s="127">
        <v>0.002</v>
      </c>
      <c r="C22" s="127">
        <v>780.0</v>
      </c>
      <c r="D22" s="127">
        <v>-0.002</v>
      </c>
      <c r="E22" s="127">
        <v>780.0</v>
      </c>
      <c r="F22" s="127">
        <v>-0.006</v>
      </c>
      <c r="G22" s="127">
        <v>780.0</v>
      </c>
      <c r="H22" s="127">
        <v>-0.007</v>
      </c>
      <c r="I22" s="127">
        <v>780.0</v>
      </c>
      <c r="J22" s="127">
        <v>-0.006</v>
      </c>
      <c r="K22" s="127">
        <v>780.0</v>
      </c>
      <c r="L22" s="127">
        <v>-0.002</v>
      </c>
      <c r="M22" s="127">
        <v>780.0</v>
      </c>
      <c r="N22" s="127">
        <v>-0.011</v>
      </c>
    </row>
    <row r="23" ht="12.75" customHeight="1">
      <c r="A23" s="127">
        <v>840.0</v>
      </c>
      <c r="B23" s="127">
        <v>0.003</v>
      </c>
      <c r="C23" s="127">
        <v>840.0</v>
      </c>
      <c r="D23" s="127">
        <v>-0.002</v>
      </c>
      <c r="E23" s="127">
        <v>840.0</v>
      </c>
      <c r="F23" s="127">
        <v>-0.007</v>
      </c>
      <c r="G23" s="127">
        <v>840.0</v>
      </c>
      <c r="H23" s="127">
        <v>-0.007</v>
      </c>
      <c r="I23" s="127">
        <v>840.0</v>
      </c>
      <c r="J23" s="127">
        <v>-0.006</v>
      </c>
      <c r="K23" s="127">
        <v>840.0</v>
      </c>
      <c r="L23" s="127">
        <v>-0.001</v>
      </c>
      <c r="M23" s="127">
        <v>840.0</v>
      </c>
      <c r="N23" s="127">
        <v>-0.011</v>
      </c>
    </row>
    <row r="24" ht="12.75" customHeight="1">
      <c r="A24" s="127">
        <v>900.0</v>
      </c>
      <c r="B24" s="127">
        <v>0.003</v>
      </c>
      <c r="C24" s="127">
        <v>900.0</v>
      </c>
      <c r="D24" s="127">
        <v>-0.002</v>
      </c>
      <c r="E24" s="127">
        <v>900.0</v>
      </c>
      <c r="F24" s="127">
        <v>-0.006</v>
      </c>
      <c r="G24" s="127">
        <v>900.0</v>
      </c>
      <c r="H24" s="127">
        <v>-0.008</v>
      </c>
      <c r="I24" s="127">
        <v>900.0</v>
      </c>
      <c r="J24" s="127">
        <v>-0.006</v>
      </c>
      <c r="K24" s="127">
        <v>900.0</v>
      </c>
      <c r="L24" s="127">
        <v>-0.001</v>
      </c>
      <c r="M24" s="127">
        <v>900.0</v>
      </c>
      <c r="N24" s="127">
        <v>-0.011</v>
      </c>
    </row>
    <row r="25" ht="12.75" customHeight="1">
      <c r="A25" s="127">
        <v>960.0</v>
      </c>
      <c r="B25" s="127">
        <v>0.003</v>
      </c>
      <c r="C25" s="127">
        <v>960.0</v>
      </c>
      <c r="D25" s="127">
        <v>-0.002</v>
      </c>
      <c r="E25" s="127">
        <v>960.0</v>
      </c>
      <c r="F25" s="127">
        <v>-0.006</v>
      </c>
      <c r="G25" s="127">
        <v>960.0</v>
      </c>
      <c r="H25" s="127">
        <v>-0.007</v>
      </c>
      <c r="I25" s="127">
        <v>960.0</v>
      </c>
      <c r="J25" s="127">
        <v>-0.006</v>
      </c>
      <c r="K25" s="127">
        <v>960.0</v>
      </c>
      <c r="L25" s="127">
        <v>-0.001</v>
      </c>
      <c r="M25" s="127">
        <v>960.0</v>
      </c>
      <c r="N25" s="127">
        <v>-0.011</v>
      </c>
    </row>
    <row r="26" ht="12.75" customHeight="1">
      <c r="A26" s="127">
        <v>1020.0</v>
      </c>
      <c r="B26" s="127">
        <v>0.003</v>
      </c>
      <c r="C26" s="127">
        <v>1020.0</v>
      </c>
      <c r="D26" s="127">
        <v>-0.002</v>
      </c>
      <c r="E26" s="127">
        <v>1020.0</v>
      </c>
      <c r="F26" s="127">
        <v>-0.006</v>
      </c>
      <c r="G26" s="127">
        <v>1020.0</v>
      </c>
      <c r="H26" s="127">
        <v>-0.008</v>
      </c>
      <c r="I26" s="127">
        <v>1020.0</v>
      </c>
      <c r="J26" s="127">
        <v>-0.005</v>
      </c>
      <c r="K26" s="127">
        <v>1020.0</v>
      </c>
      <c r="L26" s="127">
        <v>-0.001</v>
      </c>
      <c r="M26" s="127">
        <v>1020.0</v>
      </c>
      <c r="N26" s="127">
        <v>-0.011</v>
      </c>
    </row>
    <row r="27" ht="12.75" customHeight="1">
      <c r="A27" s="127">
        <v>1080.0</v>
      </c>
      <c r="B27" s="127">
        <v>0.003</v>
      </c>
      <c r="C27" s="127">
        <v>1080.0</v>
      </c>
      <c r="D27" s="127">
        <v>-0.002</v>
      </c>
      <c r="E27" s="127">
        <v>1080.0</v>
      </c>
      <c r="F27" s="127">
        <v>-0.006</v>
      </c>
      <c r="G27" s="127">
        <v>1080.0</v>
      </c>
      <c r="H27" s="127">
        <v>-0.007</v>
      </c>
      <c r="I27" s="127">
        <v>1080.0</v>
      </c>
      <c r="J27" s="127">
        <v>-0.005</v>
      </c>
      <c r="K27" s="127">
        <v>1080.0</v>
      </c>
      <c r="L27" s="127">
        <v>-0.001</v>
      </c>
      <c r="M27" s="127">
        <v>1080.0</v>
      </c>
      <c r="N27" s="127">
        <v>-0.011</v>
      </c>
    </row>
    <row r="28" ht="12.75" customHeight="1">
      <c r="A28" s="127">
        <v>1140.0</v>
      </c>
      <c r="B28" s="127">
        <v>0.004</v>
      </c>
      <c r="C28" s="127">
        <v>1140.0</v>
      </c>
      <c r="D28" s="127">
        <v>-0.001</v>
      </c>
      <c r="E28" s="127">
        <v>1140.0</v>
      </c>
      <c r="F28" s="127">
        <v>-0.006</v>
      </c>
      <c r="G28" s="127">
        <v>1140.0</v>
      </c>
      <c r="H28" s="127">
        <v>-0.007</v>
      </c>
      <c r="I28" s="127">
        <v>1140.0</v>
      </c>
      <c r="J28" s="127">
        <v>-0.005</v>
      </c>
      <c r="K28" s="127">
        <v>1140.0</v>
      </c>
      <c r="L28" s="127">
        <v>0.0</v>
      </c>
      <c r="M28" s="127">
        <v>1140.0</v>
      </c>
      <c r="N28" s="127">
        <v>-0.011</v>
      </c>
    </row>
    <row r="29" ht="12.75" customHeight="1">
      <c r="A29" s="127">
        <v>1200.0</v>
      </c>
      <c r="B29" s="127">
        <v>0.004</v>
      </c>
      <c r="C29" s="127">
        <v>1200.0</v>
      </c>
      <c r="D29" s="127">
        <v>-0.001</v>
      </c>
      <c r="E29" s="127">
        <v>1200.0</v>
      </c>
      <c r="F29" s="127">
        <v>-0.006</v>
      </c>
      <c r="G29" s="127">
        <v>1200.0</v>
      </c>
      <c r="H29" s="127">
        <v>-0.008</v>
      </c>
      <c r="I29" s="127">
        <v>1200.0</v>
      </c>
      <c r="J29" s="127">
        <v>-0.005</v>
      </c>
      <c r="K29" s="127">
        <v>1200.0</v>
      </c>
      <c r="L29" s="127">
        <v>0.0</v>
      </c>
      <c r="M29" s="127">
        <v>1200.0</v>
      </c>
      <c r="N29" s="127">
        <v>-0.011</v>
      </c>
    </row>
    <row r="30" ht="12.75" customHeight="1">
      <c r="A30" s="127">
        <v>1260.0</v>
      </c>
      <c r="B30" s="127">
        <v>0.004</v>
      </c>
      <c r="C30" s="127">
        <v>1260.0</v>
      </c>
      <c r="D30" s="127">
        <v>-0.001</v>
      </c>
      <c r="E30" s="127">
        <v>1260.0</v>
      </c>
      <c r="F30" s="127">
        <v>-0.006</v>
      </c>
      <c r="G30" s="127">
        <v>1260.0</v>
      </c>
      <c r="H30" s="127">
        <v>-0.007</v>
      </c>
      <c r="I30" s="127">
        <v>1260.0</v>
      </c>
      <c r="J30" s="127">
        <v>-0.005</v>
      </c>
      <c r="K30" s="127">
        <v>1260.0</v>
      </c>
      <c r="L30" s="127">
        <v>0.0</v>
      </c>
      <c r="M30" s="127">
        <v>1260.0</v>
      </c>
      <c r="N30" s="127">
        <v>-0.011</v>
      </c>
    </row>
    <row r="31" ht="12.75" customHeight="1">
      <c r="A31" s="127">
        <v>1320.0</v>
      </c>
      <c r="B31" s="127">
        <v>0.004</v>
      </c>
      <c r="C31" s="127">
        <v>1320.0</v>
      </c>
      <c r="D31" s="127">
        <v>-0.001</v>
      </c>
      <c r="E31" s="127">
        <v>1320.0</v>
      </c>
      <c r="F31" s="127">
        <v>-0.006</v>
      </c>
      <c r="G31" s="127">
        <v>1320.0</v>
      </c>
      <c r="H31" s="127">
        <v>-0.007</v>
      </c>
      <c r="I31" s="127">
        <v>1320.0</v>
      </c>
      <c r="J31" s="127">
        <v>-0.005</v>
      </c>
      <c r="K31" s="127">
        <v>1320.0</v>
      </c>
      <c r="L31" s="127">
        <v>0.0</v>
      </c>
      <c r="M31" s="127">
        <v>1320.0</v>
      </c>
      <c r="N31" s="127">
        <v>-0.011</v>
      </c>
    </row>
    <row r="32" ht="12.75" customHeight="1">
      <c r="A32" s="127">
        <v>1380.0</v>
      </c>
      <c r="B32" s="127">
        <v>0.005</v>
      </c>
      <c r="C32" s="127">
        <v>1380.0</v>
      </c>
      <c r="D32" s="127">
        <v>-0.001</v>
      </c>
      <c r="E32" s="127">
        <v>1380.0</v>
      </c>
      <c r="F32" s="127">
        <v>-0.006</v>
      </c>
      <c r="G32" s="127">
        <v>1380.0</v>
      </c>
      <c r="H32" s="127">
        <v>-0.007</v>
      </c>
      <c r="I32" s="127">
        <v>1380.0</v>
      </c>
      <c r="J32" s="127">
        <v>-0.005</v>
      </c>
      <c r="K32" s="127">
        <v>1380.0</v>
      </c>
      <c r="L32" s="127">
        <v>0.0</v>
      </c>
      <c r="M32" s="127">
        <v>1380.0</v>
      </c>
      <c r="N32" s="127">
        <v>-0.011</v>
      </c>
    </row>
    <row r="33" ht="12.75" customHeight="1">
      <c r="A33" s="127">
        <v>1440.0</v>
      </c>
      <c r="B33" s="127">
        <v>0.005</v>
      </c>
      <c r="C33" s="127">
        <v>1440.0</v>
      </c>
      <c r="D33" s="127">
        <v>-0.001</v>
      </c>
      <c r="E33" s="127">
        <v>1440.0</v>
      </c>
      <c r="F33" s="127">
        <v>-0.006</v>
      </c>
      <c r="G33" s="127">
        <v>1440.0</v>
      </c>
      <c r="H33" s="127">
        <v>-0.007</v>
      </c>
      <c r="I33" s="127">
        <v>1440.0</v>
      </c>
      <c r="J33" s="127">
        <v>-0.005</v>
      </c>
      <c r="K33" s="127">
        <v>1440.0</v>
      </c>
      <c r="L33" s="127">
        <v>0.0</v>
      </c>
      <c r="M33" s="127">
        <v>1440.0</v>
      </c>
      <c r="N33" s="127">
        <v>-0.011</v>
      </c>
    </row>
    <row r="34" ht="12.75" customHeight="1">
      <c r="A34" s="127">
        <v>1500.0</v>
      </c>
      <c r="B34" s="127">
        <v>0.005</v>
      </c>
      <c r="C34" s="127">
        <v>1500.0</v>
      </c>
      <c r="D34" s="127">
        <v>-0.001</v>
      </c>
      <c r="E34" s="127">
        <v>1500.0</v>
      </c>
      <c r="F34" s="127">
        <v>-0.006</v>
      </c>
      <c r="G34" s="127">
        <v>1500.0</v>
      </c>
      <c r="H34" s="127">
        <v>-0.007</v>
      </c>
      <c r="I34" s="127">
        <v>1500.0</v>
      </c>
      <c r="J34" s="127">
        <v>-0.004</v>
      </c>
      <c r="K34" s="127">
        <v>1500.0</v>
      </c>
      <c r="L34" s="127">
        <v>0.0</v>
      </c>
      <c r="M34" s="127">
        <v>1500.0</v>
      </c>
      <c r="N34" s="127">
        <v>-0.011</v>
      </c>
    </row>
    <row r="35" ht="12.75" customHeight="1">
      <c r="A35" s="127">
        <v>1560.0</v>
      </c>
      <c r="B35" s="127">
        <v>0.005</v>
      </c>
      <c r="C35" s="127">
        <v>1560.0</v>
      </c>
      <c r="D35" s="127">
        <v>-0.001</v>
      </c>
      <c r="E35" s="127">
        <v>1560.0</v>
      </c>
      <c r="F35" s="127">
        <v>-0.006</v>
      </c>
      <c r="G35" s="127">
        <v>1560.0</v>
      </c>
      <c r="H35" s="127">
        <v>-0.007</v>
      </c>
      <c r="I35" s="127">
        <v>1560.0</v>
      </c>
      <c r="J35" s="127">
        <v>-0.005</v>
      </c>
      <c r="K35" s="127">
        <v>1560.0</v>
      </c>
      <c r="L35" s="127">
        <v>0.0</v>
      </c>
      <c r="M35" s="127">
        <v>1560.0</v>
      </c>
      <c r="N35" s="127">
        <v>-0.01</v>
      </c>
    </row>
    <row r="36" ht="12.75" customHeight="1">
      <c r="A36" s="127">
        <v>1620.0</v>
      </c>
      <c r="B36" s="127">
        <v>0.005</v>
      </c>
      <c r="C36" s="127">
        <v>1620.0</v>
      </c>
      <c r="D36" s="127">
        <v>-0.001</v>
      </c>
      <c r="E36" s="127">
        <v>1620.0</v>
      </c>
      <c r="F36" s="127">
        <v>-0.005</v>
      </c>
      <c r="G36" s="127">
        <v>1620.0</v>
      </c>
      <c r="H36" s="127">
        <v>-0.007</v>
      </c>
      <c r="I36" s="127">
        <v>1620.0</v>
      </c>
      <c r="J36" s="127">
        <v>-0.004</v>
      </c>
      <c r="K36" s="127">
        <v>1620.0</v>
      </c>
      <c r="L36" s="127">
        <v>0.0</v>
      </c>
      <c r="M36" s="127">
        <v>1620.0</v>
      </c>
      <c r="N36" s="127">
        <v>-0.01</v>
      </c>
    </row>
    <row r="37" ht="12.75" customHeight="1">
      <c r="A37" s="127">
        <v>1680.0</v>
      </c>
      <c r="B37" s="127">
        <v>0.005</v>
      </c>
      <c r="C37" s="127">
        <v>1680.0</v>
      </c>
      <c r="D37" s="127">
        <v>-0.001</v>
      </c>
      <c r="E37" s="127">
        <v>1680.0</v>
      </c>
      <c r="F37" s="127">
        <v>-0.005</v>
      </c>
      <c r="G37" s="127">
        <v>1680.0</v>
      </c>
      <c r="H37" s="127">
        <v>-0.007</v>
      </c>
      <c r="I37" s="127">
        <v>1680.0</v>
      </c>
      <c r="J37" s="127">
        <v>-0.004</v>
      </c>
      <c r="K37" s="127">
        <v>1680.0</v>
      </c>
      <c r="L37" s="127">
        <v>0.001</v>
      </c>
      <c r="M37" s="127">
        <v>1680.0</v>
      </c>
      <c r="N37" s="127">
        <v>-0.01</v>
      </c>
    </row>
    <row r="38" ht="12.75" customHeight="1">
      <c r="A38" s="127">
        <v>1740.0</v>
      </c>
      <c r="B38" s="127">
        <v>0.006</v>
      </c>
      <c r="C38" s="127">
        <v>1740.0</v>
      </c>
      <c r="D38" s="127">
        <v>0.0</v>
      </c>
      <c r="E38" s="127">
        <v>1740.0</v>
      </c>
      <c r="F38" s="127">
        <v>-0.005</v>
      </c>
      <c r="G38" s="127">
        <v>1740.0</v>
      </c>
      <c r="H38" s="127">
        <v>-0.007</v>
      </c>
      <c r="I38" s="127">
        <v>1740.0</v>
      </c>
      <c r="J38" s="127">
        <v>-0.004</v>
      </c>
      <c r="K38" s="127">
        <v>1740.0</v>
      </c>
      <c r="L38" s="127">
        <v>0.001</v>
      </c>
      <c r="M38" s="127">
        <v>1740.0</v>
      </c>
      <c r="N38" s="127">
        <v>-0.01</v>
      </c>
    </row>
    <row r="39" ht="12.75" customHeight="1">
      <c r="A39" s="127">
        <v>1800.0</v>
      </c>
      <c r="B39" s="127">
        <v>0.006</v>
      </c>
      <c r="C39" s="127">
        <v>1800.0</v>
      </c>
      <c r="D39" s="127">
        <v>0.0</v>
      </c>
      <c r="E39" s="127">
        <v>1800.0</v>
      </c>
      <c r="F39" s="127">
        <v>-0.005</v>
      </c>
      <c r="G39" s="127">
        <v>1800.0</v>
      </c>
      <c r="H39" s="127">
        <v>-0.007</v>
      </c>
      <c r="I39" s="127">
        <v>1800.0</v>
      </c>
      <c r="J39" s="127">
        <v>-0.004</v>
      </c>
      <c r="K39" s="127">
        <v>1800.0</v>
      </c>
      <c r="L39" s="127">
        <v>0.001</v>
      </c>
      <c r="M39" s="127">
        <v>1800.0</v>
      </c>
      <c r="N39" s="127">
        <v>-0.01</v>
      </c>
    </row>
    <row r="40" ht="12.75" customHeight="1">
      <c r="A40" s="127">
        <v>1860.0</v>
      </c>
      <c r="B40" s="127">
        <v>0.006</v>
      </c>
      <c r="C40" s="127">
        <v>1860.0</v>
      </c>
      <c r="D40" s="127">
        <v>0.0</v>
      </c>
      <c r="E40" s="127">
        <v>1860.0</v>
      </c>
      <c r="F40" s="127">
        <v>-0.005</v>
      </c>
      <c r="G40" s="127">
        <v>1860.0</v>
      </c>
      <c r="H40" s="127">
        <v>-0.007</v>
      </c>
      <c r="I40" s="127">
        <v>1860.0</v>
      </c>
      <c r="J40" s="127">
        <v>-0.004</v>
      </c>
      <c r="K40" s="127">
        <v>1860.0</v>
      </c>
      <c r="L40" s="127">
        <v>0.001</v>
      </c>
      <c r="M40" s="127">
        <v>1860.0</v>
      </c>
      <c r="N40" s="127">
        <v>-0.01</v>
      </c>
    </row>
    <row r="41" ht="12.75" customHeight="1">
      <c r="A41" s="127">
        <v>1920.0</v>
      </c>
      <c r="B41" s="127">
        <v>0.006</v>
      </c>
      <c r="C41" s="127">
        <v>1920.0</v>
      </c>
      <c r="D41" s="127">
        <v>0.0</v>
      </c>
      <c r="E41" s="127">
        <v>1920.0</v>
      </c>
      <c r="F41" s="127">
        <v>-0.005</v>
      </c>
      <c r="G41" s="127">
        <v>1920.0</v>
      </c>
      <c r="H41" s="127">
        <v>-0.007</v>
      </c>
      <c r="I41" s="127">
        <v>1920.0</v>
      </c>
      <c r="J41" s="127">
        <v>-0.004</v>
      </c>
      <c r="K41" s="127">
        <v>1920.0</v>
      </c>
      <c r="L41" s="127">
        <v>0.001</v>
      </c>
      <c r="M41" s="127">
        <v>1920.0</v>
      </c>
      <c r="N41" s="127">
        <v>-0.01</v>
      </c>
    </row>
    <row r="42" ht="12.75" customHeight="1">
      <c r="A42" s="127">
        <v>1980.0</v>
      </c>
      <c r="B42" s="127">
        <v>0.007</v>
      </c>
      <c r="C42" s="127">
        <v>1980.0</v>
      </c>
      <c r="D42" s="127">
        <v>0.0</v>
      </c>
      <c r="E42" s="127">
        <v>1980.0</v>
      </c>
      <c r="F42" s="127">
        <v>-0.005</v>
      </c>
      <c r="G42" s="127">
        <v>1980.0</v>
      </c>
      <c r="H42" s="127">
        <v>-0.007</v>
      </c>
      <c r="I42" s="127">
        <v>1980.0</v>
      </c>
      <c r="J42" s="127">
        <v>-0.003</v>
      </c>
      <c r="K42" s="127">
        <v>1980.0</v>
      </c>
      <c r="L42" s="127">
        <v>0.001</v>
      </c>
      <c r="M42" s="127">
        <v>1980.0</v>
      </c>
      <c r="N42" s="127">
        <v>-0.01</v>
      </c>
    </row>
    <row r="43" ht="12.75" customHeight="1">
      <c r="A43" s="127">
        <v>2040.0</v>
      </c>
      <c r="B43" s="127">
        <v>0.007</v>
      </c>
      <c r="C43" s="127">
        <v>2040.0</v>
      </c>
      <c r="D43" s="127">
        <v>0.0</v>
      </c>
      <c r="E43" s="127">
        <v>2040.0</v>
      </c>
      <c r="F43" s="127">
        <v>-0.005</v>
      </c>
      <c r="G43" s="127">
        <v>2040.0</v>
      </c>
      <c r="H43" s="127">
        <v>-0.007</v>
      </c>
      <c r="I43" s="127">
        <v>2040.0</v>
      </c>
      <c r="J43" s="127">
        <v>-0.003</v>
      </c>
      <c r="K43" s="127">
        <v>2040.0</v>
      </c>
      <c r="L43" s="127">
        <v>0.001</v>
      </c>
      <c r="M43" s="127">
        <v>2040.0</v>
      </c>
      <c r="N43" s="127">
        <v>-0.01</v>
      </c>
    </row>
    <row r="44" ht="12.75" customHeight="1">
      <c r="A44" s="127">
        <v>2100.0</v>
      </c>
      <c r="B44" s="127">
        <v>0.007</v>
      </c>
      <c r="C44" s="127">
        <v>2100.0</v>
      </c>
      <c r="D44" s="127">
        <v>0.001</v>
      </c>
      <c r="E44" s="127">
        <v>2100.0</v>
      </c>
      <c r="F44" s="127">
        <v>-0.005</v>
      </c>
      <c r="G44" s="127">
        <v>2100.0</v>
      </c>
      <c r="H44" s="127">
        <v>-0.007</v>
      </c>
      <c r="I44" s="127">
        <v>2100.0</v>
      </c>
      <c r="J44" s="127">
        <v>-0.003</v>
      </c>
      <c r="K44" s="127">
        <v>2100.0</v>
      </c>
      <c r="L44" s="127">
        <v>0.001</v>
      </c>
      <c r="M44" s="127">
        <v>2100.0</v>
      </c>
      <c r="N44" s="127">
        <v>-0.01</v>
      </c>
    </row>
    <row r="45" ht="12.75" customHeight="1">
      <c r="A45" s="127">
        <v>2160.0</v>
      </c>
      <c r="B45" s="127">
        <v>0.007</v>
      </c>
      <c r="C45" s="127">
        <v>2160.0</v>
      </c>
      <c r="D45" s="127">
        <v>0.001</v>
      </c>
      <c r="E45" s="127">
        <v>2160.0</v>
      </c>
      <c r="F45" s="127">
        <v>-0.005</v>
      </c>
      <c r="G45" s="127">
        <v>2160.0</v>
      </c>
      <c r="H45" s="127">
        <v>-0.007</v>
      </c>
      <c r="I45" s="127">
        <v>2160.0</v>
      </c>
      <c r="J45" s="127">
        <v>-0.003</v>
      </c>
      <c r="K45" s="127">
        <v>2160.0</v>
      </c>
      <c r="L45" s="127">
        <v>0.001</v>
      </c>
      <c r="M45" s="127">
        <v>2160.0</v>
      </c>
      <c r="N45" s="127">
        <v>-0.01</v>
      </c>
    </row>
    <row r="46" ht="12.75" customHeight="1">
      <c r="A46" s="127">
        <v>2220.0</v>
      </c>
      <c r="B46" s="127">
        <v>0.007</v>
      </c>
      <c r="C46" s="127">
        <v>2220.0</v>
      </c>
      <c r="D46" s="127">
        <v>0.001</v>
      </c>
      <c r="E46" s="127">
        <v>2220.0</v>
      </c>
      <c r="F46" s="127">
        <v>-0.005</v>
      </c>
      <c r="G46" s="127">
        <v>2220.0</v>
      </c>
      <c r="H46" s="127">
        <v>-0.007</v>
      </c>
      <c r="I46" s="127">
        <v>2220.0</v>
      </c>
      <c r="J46" s="127">
        <v>-0.003</v>
      </c>
      <c r="K46" s="127">
        <v>2220.0</v>
      </c>
      <c r="L46" s="127">
        <v>0.001</v>
      </c>
      <c r="M46" s="127">
        <v>2220.0</v>
      </c>
      <c r="N46" s="127">
        <v>-0.01</v>
      </c>
    </row>
    <row r="47" ht="12.75" customHeight="1">
      <c r="A47" s="127">
        <v>2280.0</v>
      </c>
      <c r="B47" s="127">
        <v>0.007</v>
      </c>
      <c r="C47" s="127">
        <v>2280.0</v>
      </c>
      <c r="D47" s="127">
        <v>0.001</v>
      </c>
      <c r="E47" s="127">
        <v>2280.0</v>
      </c>
      <c r="F47" s="127">
        <v>-0.005</v>
      </c>
      <c r="G47" s="127">
        <v>2280.0</v>
      </c>
      <c r="H47" s="127">
        <v>-0.007</v>
      </c>
      <c r="I47" s="127">
        <v>2280.0</v>
      </c>
      <c r="J47" s="127">
        <v>-0.003</v>
      </c>
      <c r="K47" s="127">
        <v>2280.0</v>
      </c>
      <c r="L47" s="127">
        <v>0.001</v>
      </c>
      <c r="M47" s="127">
        <v>2280.0</v>
      </c>
      <c r="N47" s="127">
        <v>-0.01</v>
      </c>
    </row>
    <row r="48" ht="12.75" customHeight="1">
      <c r="A48" s="127">
        <v>2340.0</v>
      </c>
      <c r="B48" s="127">
        <v>0.007</v>
      </c>
      <c r="C48" s="127">
        <v>2340.0</v>
      </c>
      <c r="D48" s="127">
        <v>0.001</v>
      </c>
      <c r="E48" s="127">
        <v>2340.0</v>
      </c>
      <c r="F48" s="127">
        <v>-0.004</v>
      </c>
      <c r="G48" s="127">
        <v>2340.0</v>
      </c>
      <c r="H48" s="127">
        <v>-0.007</v>
      </c>
      <c r="I48" s="127">
        <v>2340.0</v>
      </c>
      <c r="J48" s="127">
        <v>-0.002</v>
      </c>
      <c r="K48" s="127">
        <v>2340.0</v>
      </c>
      <c r="L48" s="127">
        <v>0.001</v>
      </c>
      <c r="M48" s="127">
        <v>2340.0</v>
      </c>
      <c r="N48" s="127">
        <v>-0.01</v>
      </c>
    </row>
    <row r="49" ht="12.75" customHeight="1">
      <c r="A49" s="127">
        <v>2400.0</v>
      </c>
      <c r="B49" s="127">
        <v>0.008</v>
      </c>
      <c r="C49" s="127">
        <v>2400.0</v>
      </c>
      <c r="D49" s="127">
        <v>0.001</v>
      </c>
      <c r="E49" s="127">
        <v>2400.0</v>
      </c>
      <c r="F49" s="127">
        <v>-0.005</v>
      </c>
      <c r="G49" s="127">
        <v>2400.0</v>
      </c>
      <c r="H49" s="127">
        <v>-0.007</v>
      </c>
      <c r="I49" s="127">
        <v>2400.0</v>
      </c>
      <c r="J49" s="127">
        <v>-0.003</v>
      </c>
      <c r="K49" s="127">
        <v>2400.0</v>
      </c>
      <c r="L49" s="127">
        <v>0.001</v>
      </c>
      <c r="M49" s="127">
        <v>2400.0</v>
      </c>
      <c r="N49" s="127">
        <v>-0.01</v>
      </c>
    </row>
    <row r="50" ht="12.75" customHeight="1">
      <c r="A50" s="127">
        <v>2460.0</v>
      </c>
      <c r="B50" s="127">
        <v>0.008</v>
      </c>
      <c r="C50" s="127">
        <v>2460.0</v>
      </c>
      <c r="D50" s="127">
        <v>0.001</v>
      </c>
      <c r="E50" s="127">
        <v>2460.0</v>
      </c>
      <c r="F50" s="127">
        <v>-0.005</v>
      </c>
      <c r="G50" s="127">
        <v>2460.0</v>
      </c>
      <c r="H50" s="127">
        <v>-0.007</v>
      </c>
      <c r="I50" s="127">
        <v>2460.0</v>
      </c>
      <c r="J50" s="127">
        <v>-0.002</v>
      </c>
      <c r="K50" s="127">
        <v>2460.0</v>
      </c>
      <c r="L50" s="127">
        <v>0.001</v>
      </c>
      <c r="M50" s="127">
        <v>2460.0</v>
      </c>
      <c r="N50" s="127">
        <v>-0.01</v>
      </c>
    </row>
    <row r="51" ht="12.75" customHeight="1">
      <c r="A51" s="127">
        <v>2520.0</v>
      </c>
      <c r="B51" s="127">
        <v>0.008</v>
      </c>
      <c r="C51" s="127">
        <v>2520.0</v>
      </c>
      <c r="D51" s="127">
        <v>0.001</v>
      </c>
      <c r="E51" s="127">
        <v>2520.0</v>
      </c>
      <c r="F51" s="127">
        <v>-0.004</v>
      </c>
      <c r="G51" s="127">
        <v>2520.0</v>
      </c>
      <c r="H51" s="127">
        <v>-0.007</v>
      </c>
      <c r="I51" s="127">
        <v>2520.0</v>
      </c>
      <c r="J51" s="127">
        <v>-0.002</v>
      </c>
      <c r="K51" s="127">
        <v>2520.0</v>
      </c>
      <c r="L51" s="127">
        <v>0.001</v>
      </c>
      <c r="M51" s="127">
        <v>2520.0</v>
      </c>
      <c r="N51" s="127">
        <v>-0.01</v>
      </c>
    </row>
    <row r="52" ht="12.75" customHeight="1">
      <c r="A52" s="127">
        <v>2580.0</v>
      </c>
      <c r="B52" s="127">
        <v>0.008</v>
      </c>
      <c r="C52" s="127">
        <v>2580.0</v>
      </c>
      <c r="D52" s="127">
        <v>0.001</v>
      </c>
      <c r="E52" s="127">
        <v>2580.0</v>
      </c>
      <c r="F52" s="127">
        <v>-0.004</v>
      </c>
      <c r="G52" s="127">
        <v>2580.0</v>
      </c>
      <c r="H52" s="127">
        <v>-0.007</v>
      </c>
      <c r="I52" s="127">
        <v>2580.0</v>
      </c>
      <c r="J52" s="127">
        <v>-0.002</v>
      </c>
      <c r="K52" s="127">
        <v>2580.0</v>
      </c>
      <c r="L52" s="127">
        <v>0.001</v>
      </c>
      <c r="M52" s="127">
        <v>2580.0</v>
      </c>
      <c r="N52" s="127">
        <v>-0.01</v>
      </c>
    </row>
    <row r="53" ht="12.75" customHeight="1">
      <c r="A53" s="127">
        <v>2640.0</v>
      </c>
      <c r="B53" s="127">
        <v>0.008</v>
      </c>
      <c r="C53" s="127">
        <v>2640.0</v>
      </c>
      <c r="D53" s="127">
        <v>0.001</v>
      </c>
      <c r="E53" s="127">
        <v>2640.0</v>
      </c>
      <c r="F53" s="127">
        <v>-0.004</v>
      </c>
      <c r="G53" s="127">
        <v>2640.0</v>
      </c>
      <c r="H53" s="127">
        <v>-0.007</v>
      </c>
      <c r="I53" s="127">
        <v>2640.0</v>
      </c>
      <c r="J53" s="127">
        <v>-0.002</v>
      </c>
      <c r="K53" s="127">
        <v>2640.0</v>
      </c>
      <c r="L53" s="127">
        <v>0.002</v>
      </c>
      <c r="M53" s="127">
        <v>2640.0</v>
      </c>
      <c r="N53" s="127">
        <v>-0.01</v>
      </c>
    </row>
    <row r="54" ht="12.75" customHeight="1">
      <c r="A54" s="127">
        <v>2700.0</v>
      </c>
      <c r="B54" s="127">
        <v>0.009</v>
      </c>
      <c r="C54" s="127">
        <v>2700.0</v>
      </c>
      <c r="D54" s="127">
        <v>0.001</v>
      </c>
      <c r="E54" s="127">
        <v>2700.0</v>
      </c>
      <c r="F54" s="127">
        <v>-0.004</v>
      </c>
      <c r="G54" s="127">
        <v>2700.0</v>
      </c>
      <c r="H54" s="127">
        <v>-0.006</v>
      </c>
      <c r="I54" s="127">
        <v>2700.0</v>
      </c>
      <c r="J54" s="127">
        <v>-0.002</v>
      </c>
      <c r="K54" s="127">
        <v>2700.0</v>
      </c>
      <c r="L54" s="127">
        <v>0.002</v>
      </c>
      <c r="M54" s="127">
        <v>2700.0</v>
      </c>
      <c r="N54" s="127">
        <v>-0.01</v>
      </c>
    </row>
    <row r="55" ht="12.75" customHeight="1">
      <c r="A55" s="127">
        <v>2760.0</v>
      </c>
      <c r="B55" s="127">
        <v>0.009</v>
      </c>
      <c r="C55" s="127">
        <v>2760.0</v>
      </c>
      <c r="D55" s="127">
        <v>0.002</v>
      </c>
      <c r="E55" s="127">
        <v>2760.0</v>
      </c>
      <c r="F55" s="127">
        <v>-0.004</v>
      </c>
      <c r="G55" s="127">
        <v>2760.0</v>
      </c>
      <c r="H55" s="127">
        <v>-0.006</v>
      </c>
      <c r="I55" s="127">
        <v>2760.0</v>
      </c>
      <c r="J55" s="127">
        <v>-0.002</v>
      </c>
      <c r="K55" s="127">
        <v>2760.0</v>
      </c>
      <c r="L55" s="127">
        <v>0.002</v>
      </c>
      <c r="M55" s="127">
        <v>2760.0</v>
      </c>
      <c r="N55" s="127">
        <v>-0.01</v>
      </c>
    </row>
    <row r="56" ht="12.75" customHeight="1">
      <c r="A56" s="127">
        <v>2820.0</v>
      </c>
      <c r="B56" s="127">
        <v>0.009</v>
      </c>
      <c r="C56" s="127">
        <v>2820.0</v>
      </c>
      <c r="D56" s="127">
        <v>0.002</v>
      </c>
      <c r="E56" s="127">
        <v>2820.0</v>
      </c>
      <c r="F56" s="127">
        <v>-0.004</v>
      </c>
      <c r="G56" s="127">
        <v>2820.0</v>
      </c>
      <c r="H56" s="127">
        <v>-0.006</v>
      </c>
      <c r="I56" s="127">
        <v>2820.0</v>
      </c>
      <c r="J56" s="127">
        <v>-0.002</v>
      </c>
      <c r="K56" s="127">
        <v>2820.0</v>
      </c>
      <c r="L56" s="127">
        <v>0.002</v>
      </c>
      <c r="M56" s="127">
        <v>2820.0</v>
      </c>
      <c r="N56" s="127">
        <v>-0.01</v>
      </c>
    </row>
    <row r="57" ht="12.75" customHeight="1">
      <c r="A57" s="127">
        <v>2880.0</v>
      </c>
      <c r="B57" s="127">
        <v>0.01</v>
      </c>
      <c r="C57" s="127">
        <v>2880.0</v>
      </c>
      <c r="D57" s="127">
        <v>0.002</v>
      </c>
      <c r="E57" s="127">
        <v>2880.0</v>
      </c>
      <c r="F57" s="127">
        <v>-0.004</v>
      </c>
      <c r="G57" s="127">
        <v>2880.0</v>
      </c>
      <c r="H57" s="127">
        <v>-0.006</v>
      </c>
      <c r="I57" s="127">
        <v>2880.0</v>
      </c>
      <c r="J57" s="127">
        <v>-0.002</v>
      </c>
      <c r="K57" s="127">
        <v>2880.0</v>
      </c>
      <c r="L57" s="127">
        <v>0.002</v>
      </c>
      <c r="M57" s="127">
        <v>2880.0</v>
      </c>
      <c r="N57" s="127">
        <v>-0.01</v>
      </c>
    </row>
    <row r="58" ht="12.75" customHeight="1">
      <c r="A58" s="127">
        <v>2940.0</v>
      </c>
      <c r="B58" s="127">
        <v>0.01</v>
      </c>
      <c r="C58" s="127">
        <v>2940.0</v>
      </c>
      <c r="D58" s="127">
        <v>0.002</v>
      </c>
      <c r="E58" s="127">
        <v>2940.0</v>
      </c>
      <c r="F58" s="127">
        <v>-0.004</v>
      </c>
      <c r="G58" s="127">
        <v>2940.0</v>
      </c>
      <c r="H58" s="127">
        <v>-0.006</v>
      </c>
      <c r="I58" s="127">
        <v>2940.0</v>
      </c>
      <c r="J58" s="127">
        <v>-0.001</v>
      </c>
      <c r="K58" s="127">
        <v>2940.0</v>
      </c>
      <c r="L58" s="127">
        <v>0.002</v>
      </c>
      <c r="M58" s="127">
        <v>2940.0</v>
      </c>
      <c r="N58" s="127">
        <v>-0.01</v>
      </c>
    </row>
    <row r="59" ht="12.75" customHeight="1">
      <c r="A59" s="127">
        <v>3000.0</v>
      </c>
      <c r="B59" s="127">
        <v>0.01</v>
      </c>
      <c r="C59" s="127">
        <v>3000.0</v>
      </c>
      <c r="D59" s="127">
        <v>0.002</v>
      </c>
      <c r="E59" s="127">
        <v>3000.0</v>
      </c>
      <c r="F59" s="127">
        <v>-0.004</v>
      </c>
      <c r="G59" s="127">
        <v>3000.0</v>
      </c>
      <c r="H59" s="127">
        <v>-0.007</v>
      </c>
      <c r="I59" s="127">
        <v>3000.0</v>
      </c>
      <c r="J59" s="127">
        <v>-0.001</v>
      </c>
      <c r="K59" s="127">
        <v>3000.0</v>
      </c>
      <c r="L59" s="127">
        <v>0.002</v>
      </c>
      <c r="M59" s="127">
        <v>3000.0</v>
      </c>
      <c r="N59" s="127">
        <v>-0.01</v>
      </c>
    </row>
    <row r="60" ht="12.75" customHeight="1">
      <c r="A60" s="127">
        <v>3060.0</v>
      </c>
      <c r="B60" s="127">
        <v>0.01</v>
      </c>
      <c r="C60" s="127">
        <v>3060.0</v>
      </c>
      <c r="D60" s="127">
        <v>0.002</v>
      </c>
      <c r="E60" s="127">
        <v>3060.0</v>
      </c>
      <c r="F60" s="127">
        <v>-0.004</v>
      </c>
      <c r="G60" s="127">
        <v>3060.0</v>
      </c>
      <c r="H60" s="127">
        <v>-0.006</v>
      </c>
      <c r="I60" s="127">
        <v>3060.0</v>
      </c>
      <c r="J60" s="127">
        <v>-0.001</v>
      </c>
      <c r="K60" s="127">
        <v>3060.0</v>
      </c>
      <c r="L60" s="127">
        <v>0.002</v>
      </c>
      <c r="M60" s="127">
        <v>3060.0</v>
      </c>
      <c r="N60" s="127">
        <v>-0.009</v>
      </c>
    </row>
    <row r="61" ht="12.75" customHeight="1">
      <c r="A61" s="127">
        <v>3120.0</v>
      </c>
      <c r="B61" s="127">
        <v>0.01</v>
      </c>
      <c r="C61" s="127">
        <v>3120.0</v>
      </c>
      <c r="D61" s="127">
        <v>0.002</v>
      </c>
      <c r="E61" s="127">
        <v>3120.0</v>
      </c>
      <c r="F61" s="127">
        <v>-0.003</v>
      </c>
      <c r="G61" s="127">
        <v>3120.0</v>
      </c>
      <c r="H61" s="127">
        <v>-0.007</v>
      </c>
      <c r="I61" s="127">
        <v>3120.0</v>
      </c>
      <c r="J61" s="127">
        <v>-0.001</v>
      </c>
      <c r="K61" s="127">
        <v>3120.0</v>
      </c>
      <c r="L61" s="127">
        <v>0.002</v>
      </c>
      <c r="M61" s="127">
        <v>3120.0</v>
      </c>
      <c r="N61" s="127">
        <v>-0.01</v>
      </c>
    </row>
    <row r="62" ht="12.75" customHeight="1">
      <c r="A62" s="127">
        <v>3180.0</v>
      </c>
      <c r="B62" s="127">
        <v>0.01</v>
      </c>
      <c r="C62" s="127">
        <v>3180.0</v>
      </c>
      <c r="D62" s="127">
        <v>0.003</v>
      </c>
      <c r="E62" s="127">
        <v>3180.0</v>
      </c>
      <c r="F62" s="127">
        <v>-0.004</v>
      </c>
      <c r="G62" s="127">
        <v>3180.0</v>
      </c>
      <c r="H62" s="127">
        <v>-0.006</v>
      </c>
      <c r="I62" s="127">
        <v>3180.0</v>
      </c>
      <c r="J62" s="127">
        <v>-0.001</v>
      </c>
      <c r="K62" s="127">
        <v>3180.0</v>
      </c>
      <c r="L62" s="127">
        <v>0.002</v>
      </c>
      <c r="M62" s="127">
        <v>3180.0</v>
      </c>
      <c r="N62" s="127">
        <v>-0.01</v>
      </c>
    </row>
    <row r="63" ht="12.75" customHeight="1">
      <c r="A63" s="127">
        <v>3240.0</v>
      </c>
      <c r="B63" s="127">
        <v>0.01</v>
      </c>
      <c r="C63" s="127">
        <v>3240.0</v>
      </c>
      <c r="D63" s="127">
        <v>0.003</v>
      </c>
      <c r="E63" s="127">
        <v>3240.0</v>
      </c>
      <c r="F63" s="127">
        <v>-0.003</v>
      </c>
      <c r="G63" s="127">
        <v>3240.0</v>
      </c>
      <c r="H63" s="127">
        <v>-0.006</v>
      </c>
      <c r="I63" s="127">
        <v>3240.0</v>
      </c>
      <c r="J63" s="127">
        <v>0.0</v>
      </c>
      <c r="K63" s="127">
        <v>3240.0</v>
      </c>
      <c r="L63" s="127">
        <v>0.002</v>
      </c>
      <c r="M63" s="127">
        <v>3240.0</v>
      </c>
      <c r="N63" s="127">
        <v>-0.01</v>
      </c>
    </row>
    <row r="64" ht="12.75" customHeight="1">
      <c r="A64" s="127">
        <v>3300.0</v>
      </c>
      <c r="B64" s="127">
        <v>0.01</v>
      </c>
      <c r="C64" s="127">
        <v>3300.0</v>
      </c>
      <c r="D64" s="127">
        <v>0.003</v>
      </c>
      <c r="E64" s="127">
        <v>3300.0</v>
      </c>
      <c r="F64" s="127">
        <v>-0.003</v>
      </c>
      <c r="G64" s="127">
        <v>3300.0</v>
      </c>
      <c r="H64" s="127">
        <v>-0.006</v>
      </c>
      <c r="I64" s="127">
        <v>3300.0</v>
      </c>
      <c r="J64" s="127">
        <v>0.0</v>
      </c>
      <c r="K64" s="127">
        <v>3300.0</v>
      </c>
      <c r="L64" s="127">
        <v>0.002</v>
      </c>
      <c r="M64" s="127">
        <v>3300.0</v>
      </c>
      <c r="N64" s="127">
        <v>-0.01</v>
      </c>
    </row>
    <row r="65" ht="12.75" customHeight="1">
      <c r="A65" s="127">
        <v>3360.0</v>
      </c>
      <c r="B65" s="127">
        <v>0.011</v>
      </c>
      <c r="C65" s="127">
        <v>3360.0</v>
      </c>
      <c r="D65" s="127">
        <v>0.003</v>
      </c>
      <c r="E65" s="127">
        <v>3360.0</v>
      </c>
      <c r="F65" s="127">
        <v>-0.003</v>
      </c>
      <c r="G65" s="127">
        <v>3360.0</v>
      </c>
      <c r="H65" s="127">
        <v>-0.006</v>
      </c>
      <c r="I65" s="127">
        <v>3360.0</v>
      </c>
      <c r="J65" s="127">
        <v>-0.001</v>
      </c>
      <c r="K65" s="127">
        <v>3360.0</v>
      </c>
      <c r="L65" s="127">
        <v>0.002</v>
      </c>
      <c r="M65" s="127">
        <v>3360.0</v>
      </c>
      <c r="N65" s="127">
        <v>-0.009</v>
      </c>
    </row>
    <row r="66" ht="12.75" customHeight="1">
      <c r="A66" s="127">
        <v>3420.0</v>
      </c>
      <c r="B66" s="127">
        <v>0.011</v>
      </c>
      <c r="C66" s="127">
        <v>3420.0</v>
      </c>
      <c r="D66" s="127">
        <v>0.003</v>
      </c>
      <c r="E66" s="127">
        <v>3420.0</v>
      </c>
      <c r="F66" s="127">
        <v>-0.003</v>
      </c>
      <c r="G66" s="127">
        <v>3420.0</v>
      </c>
      <c r="H66" s="127">
        <v>-0.006</v>
      </c>
      <c r="I66" s="127">
        <v>3420.0</v>
      </c>
      <c r="J66" s="127">
        <v>0.0</v>
      </c>
      <c r="K66" s="127">
        <v>3420.0</v>
      </c>
      <c r="L66" s="127">
        <v>0.002</v>
      </c>
      <c r="M66" s="127">
        <v>3420.0</v>
      </c>
      <c r="N66" s="127">
        <v>-0.009</v>
      </c>
    </row>
    <row r="67" ht="12.75" customHeight="1">
      <c r="A67" s="127">
        <v>3480.0</v>
      </c>
      <c r="B67" s="127">
        <v>0.011</v>
      </c>
      <c r="C67" s="127">
        <v>3480.0</v>
      </c>
      <c r="D67" s="127">
        <v>0.003</v>
      </c>
      <c r="E67" s="127">
        <v>3480.0</v>
      </c>
      <c r="F67" s="127">
        <v>-0.003</v>
      </c>
      <c r="G67" s="127">
        <v>3480.0</v>
      </c>
      <c r="H67" s="127">
        <v>-0.006</v>
      </c>
      <c r="I67" s="127">
        <v>3480.0</v>
      </c>
      <c r="J67" s="127">
        <v>0.0</v>
      </c>
      <c r="K67" s="127">
        <v>3480.0</v>
      </c>
      <c r="L67" s="127">
        <v>0.002</v>
      </c>
      <c r="M67" s="127">
        <v>3480.0</v>
      </c>
      <c r="N67" s="127">
        <v>-0.01</v>
      </c>
    </row>
    <row r="68" ht="12.75" customHeight="1">
      <c r="A68" s="127">
        <v>3540.0</v>
      </c>
      <c r="B68" s="127">
        <v>0.011</v>
      </c>
      <c r="C68" s="127">
        <v>3540.0</v>
      </c>
      <c r="D68" s="127">
        <v>0.003</v>
      </c>
      <c r="E68" s="127">
        <v>3540.0</v>
      </c>
      <c r="F68" s="127">
        <v>-0.003</v>
      </c>
      <c r="G68" s="127">
        <v>3540.0</v>
      </c>
      <c r="H68" s="127">
        <v>-0.006</v>
      </c>
      <c r="I68" s="127">
        <v>3540.0</v>
      </c>
      <c r="J68" s="127">
        <v>0.0</v>
      </c>
      <c r="K68" s="127">
        <v>3540.0</v>
      </c>
      <c r="L68" s="127">
        <v>0.002</v>
      </c>
      <c r="M68" s="127">
        <v>3540.0</v>
      </c>
      <c r="N68" s="127">
        <v>-0.01</v>
      </c>
    </row>
    <row r="69" ht="12.75" customHeight="1">
      <c r="A69" s="127">
        <v>3600.0</v>
      </c>
      <c r="B69" s="127">
        <v>0.011</v>
      </c>
      <c r="C69" s="127">
        <v>3600.0</v>
      </c>
      <c r="D69" s="127">
        <v>0.003</v>
      </c>
      <c r="E69" s="127">
        <v>3600.0</v>
      </c>
      <c r="F69" s="127">
        <v>-0.003</v>
      </c>
      <c r="G69" s="127">
        <v>3600.0</v>
      </c>
      <c r="H69" s="127">
        <v>-0.006</v>
      </c>
      <c r="I69" s="127">
        <v>3600.0</v>
      </c>
      <c r="J69" s="127">
        <v>0.0</v>
      </c>
      <c r="K69" s="127">
        <v>3600.0</v>
      </c>
      <c r="L69" s="127">
        <v>0.002</v>
      </c>
      <c r="M69" s="127">
        <v>3600.0</v>
      </c>
      <c r="N69" s="127">
        <v>-0.009</v>
      </c>
    </row>
    <row r="70" ht="12.75" customHeight="1">
      <c r="A70" s="127">
        <v>3660.0</v>
      </c>
      <c r="B70" s="127">
        <v>0.011</v>
      </c>
      <c r="C70" s="127">
        <v>3660.0</v>
      </c>
      <c r="D70" s="127">
        <v>0.003</v>
      </c>
      <c r="E70" s="127">
        <v>3660.0</v>
      </c>
      <c r="F70" s="127">
        <v>-0.003</v>
      </c>
      <c r="G70" s="127">
        <v>3660.0</v>
      </c>
      <c r="H70" s="127">
        <v>-0.006</v>
      </c>
      <c r="I70" s="127">
        <v>3660.0</v>
      </c>
      <c r="J70" s="127">
        <v>0.001</v>
      </c>
      <c r="K70" s="127">
        <v>3660.0</v>
      </c>
      <c r="L70" s="127">
        <v>0.002</v>
      </c>
      <c r="M70" s="127">
        <v>3660.0</v>
      </c>
      <c r="N70" s="127">
        <v>-0.01</v>
      </c>
    </row>
    <row r="71" ht="12.75" customHeight="1">
      <c r="A71" s="127">
        <v>3720.0</v>
      </c>
      <c r="B71" s="127">
        <v>0.012</v>
      </c>
      <c r="C71" s="127">
        <v>3720.0</v>
      </c>
      <c r="D71" s="127">
        <v>0.004</v>
      </c>
      <c r="E71" s="127">
        <v>3720.0</v>
      </c>
      <c r="F71" s="127">
        <v>-0.003</v>
      </c>
      <c r="G71" s="127">
        <v>3720.0</v>
      </c>
      <c r="H71" s="127">
        <v>-0.006</v>
      </c>
      <c r="I71" s="127">
        <v>3720.0</v>
      </c>
      <c r="J71" s="127">
        <v>0.0</v>
      </c>
      <c r="K71" s="127">
        <v>3720.0</v>
      </c>
      <c r="L71" s="127">
        <v>0.002</v>
      </c>
      <c r="M71" s="127">
        <v>3720.0</v>
      </c>
      <c r="N71" s="127">
        <v>-0.009</v>
      </c>
    </row>
    <row r="72" ht="12.75" customHeight="1">
      <c r="A72" s="127">
        <v>3780.0</v>
      </c>
      <c r="B72" s="127">
        <v>0.012</v>
      </c>
      <c r="C72" s="127">
        <v>3780.0</v>
      </c>
      <c r="D72" s="127">
        <v>0.004</v>
      </c>
      <c r="E72" s="127">
        <v>3780.0</v>
      </c>
      <c r="F72" s="127">
        <v>-0.002</v>
      </c>
      <c r="G72" s="127">
        <v>3780.0</v>
      </c>
      <c r="H72" s="127">
        <v>-0.006</v>
      </c>
      <c r="I72" s="127">
        <v>3780.0</v>
      </c>
      <c r="J72" s="127">
        <v>0.001</v>
      </c>
      <c r="K72" s="127">
        <v>3780.0</v>
      </c>
      <c r="L72" s="127">
        <v>0.002</v>
      </c>
      <c r="M72" s="127">
        <v>3780.0</v>
      </c>
      <c r="N72" s="127">
        <v>-0.01</v>
      </c>
    </row>
    <row r="73" ht="12.75" customHeight="1">
      <c r="A73" s="127">
        <v>3840.0</v>
      </c>
      <c r="B73" s="127">
        <v>0.012</v>
      </c>
      <c r="C73" s="127">
        <v>3840.0</v>
      </c>
      <c r="D73" s="127">
        <v>0.004</v>
      </c>
      <c r="E73" s="127">
        <v>3840.0</v>
      </c>
      <c r="F73" s="127">
        <v>-0.002</v>
      </c>
      <c r="G73" s="127">
        <v>3840.0</v>
      </c>
      <c r="H73" s="127">
        <v>-0.006</v>
      </c>
      <c r="I73" s="127">
        <v>3840.0</v>
      </c>
      <c r="J73" s="127">
        <v>0.0</v>
      </c>
      <c r="K73" s="127">
        <v>3840.0</v>
      </c>
      <c r="L73" s="127">
        <v>0.002</v>
      </c>
      <c r="M73" s="127">
        <v>3840.0</v>
      </c>
      <c r="N73" s="127">
        <v>-0.009</v>
      </c>
    </row>
    <row r="74" ht="12.75" customHeight="1">
      <c r="A74" s="127">
        <v>3900.0</v>
      </c>
      <c r="B74" s="127">
        <v>0.012</v>
      </c>
      <c r="C74" s="127">
        <v>3900.0</v>
      </c>
      <c r="D74" s="127">
        <v>0.004</v>
      </c>
      <c r="E74" s="127">
        <v>3900.0</v>
      </c>
      <c r="F74" s="127">
        <v>-0.003</v>
      </c>
      <c r="G74" s="127">
        <v>3900.0</v>
      </c>
      <c r="H74" s="127">
        <v>-0.006</v>
      </c>
      <c r="I74" s="127">
        <v>3900.0</v>
      </c>
      <c r="J74" s="127">
        <v>0.001</v>
      </c>
      <c r="K74" s="127">
        <v>3900.0</v>
      </c>
      <c r="L74" s="127">
        <v>0.002</v>
      </c>
      <c r="M74" s="127">
        <v>3900.0</v>
      </c>
      <c r="N74" s="127">
        <v>-0.009</v>
      </c>
    </row>
    <row r="75" ht="12.75" customHeight="1">
      <c r="A75" s="127">
        <v>3960.0</v>
      </c>
      <c r="B75" s="127">
        <v>0.012</v>
      </c>
      <c r="C75" s="127">
        <v>3960.0</v>
      </c>
      <c r="D75" s="127">
        <v>0.004</v>
      </c>
      <c r="E75" s="127">
        <v>3960.0</v>
      </c>
      <c r="F75" s="127">
        <v>-0.002</v>
      </c>
      <c r="G75" s="127">
        <v>3960.0</v>
      </c>
      <c r="H75" s="127">
        <v>-0.006</v>
      </c>
      <c r="I75" s="127">
        <v>3960.0</v>
      </c>
      <c r="J75" s="127">
        <v>0.001</v>
      </c>
      <c r="K75" s="127">
        <v>3960.0</v>
      </c>
      <c r="L75" s="127">
        <v>0.002</v>
      </c>
      <c r="M75" s="127">
        <v>3960.0</v>
      </c>
      <c r="N75" s="127">
        <v>-0.009</v>
      </c>
    </row>
    <row r="76" ht="12.75" customHeight="1">
      <c r="A76" s="127">
        <v>4020.0</v>
      </c>
      <c r="B76" s="127">
        <v>0.012</v>
      </c>
      <c r="C76" s="127">
        <v>4020.0</v>
      </c>
      <c r="D76" s="127">
        <v>0.004</v>
      </c>
      <c r="E76" s="127">
        <v>4020.0</v>
      </c>
      <c r="F76" s="127">
        <v>-0.002</v>
      </c>
      <c r="G76" s="127">
        <v>4020.0</v>
      </c>
      <c r="H76" s="127">
        <v>-0.006</v>
      </c>
      <c r="I76" s="127">
        <v>4020.0</v>
      </c>
      <c r="J76" s="127">
        <v>0.001</v>
      </c>
      <c r="K76" s="127">
        <v>4020.0</v>
      </c>
      <c r="L76" s="127">
        <v>0.002</v>
      </c>
      <c r="M76" s="127">
        <v>4020.0</v>
      </c>
      <c r="N76" s="127">
        <v>-0.009</v>
      </c>
    </row>
    <row r="77" ht="12.75" customHeight="1">
      <c r="A77" s="127">
        <v>4080.0</v>
      </c>
      <c r="B77" s="127">
        <v>0.012</v>
      </c>
      <c r="C77" s="127">
        <v>4080.0</v>
      </c>
      <c r="D77" s="127">
        <v>0.004</v>
      </c>
      <c r="E77" s="127">
        <v>4080.0</v>
      </c>
      <c r="F77" s="127">
        <v>-0.002</v>
      </c>
      <c r="G77" s="127">
        <v>4080.0</v>
      </c>
      <c r="H77" s="127">
        <v>-0.006</v>
      </c>
      <c r="I77" s="127">
        <v>4080.0</v>
      </c>
      <c r="J77" s="127">
        <v>0.001</v>
      </c>
      <c r="K77" s="127">
        <v>4080.0</v>
      </c>
      <c r="L77" s="127">
        <v>0.002</v>
      </c>
      <c r="M77" s="127">
        <v>4080.0</v>
      </c>
      <c r="N77" s="127">
        <v>-0.009</v>
      </c>
    </row>
    <row r="78" ht="12.75" customHeight="1">
      <c r="A78" s="127">
        <v>4140.0</v>
      </c>
      <c r="B78" s="127">
        <v>0.013</v>
      </c>
      <c r="C78" s="127">
        <v>4140.0</v>
      </c>
      <c r="D78" s="127">
        <v>0.005</v>
      </c>
      <c r="E78" s="127">
        <v>4140.0</v>
      </c>
      <c r="F78" s="127">
        <v>-0.002</v>
      </c>
      <c r="G78" s="127">
        <v>4140.0</v>
      </c>
      <c r="H78" s="127">
        <v>-0.006</v>
      </c>
      <c r="I78" s="127">
        <v>4140.0</v>
      </c>
      <c r="J78" s="127">
        <v>0.001</v>
      </c>
      <c r="K78" s="127">
        <v>4140.0</v>
      </c>
      <c r="L78" s="127">
        <v>0.002</v>
      </c>
      <c r="M78" s="127">
        <v>4140.0</v>
      </c>
      <c r="N78" s="127">
        <v>-0.009</v>
      </c>
    </row>
    <row r="79" ht="12.75" customHeight="1">
      <c r="A79" s="127">
        <v>4200.0</v>
      </c>
      <c r="B79" s="127">
        <v>0.013</v>
      </c>
      <c r="C79" s="127">
        <v>4200.0</v>
      </c>
      <c r="D79" s="127">
        <v>0.005</v>
      </c>
      <c r="E79" s="127">
        <v>4200.0</v>
      </c>
      <c r="F79" s="127">
        <v>-0.002</v>
      </c>
      <c r="G79" s="127">
        <v>4200.0</v>
      </c>
      <c r="H79" s="127">
        <v>-0.006</v>
      </c>
      <c r="I79" s="127">
        <v>4200.0</v>
      </c>
      <c r="J79" s="127">
        <v>0.001</v>
      </c>
      <c r="K79" s="127">
        <v>4200.0</v>
      </c>
      <c r="L79" s="127">
        <v>0.002</v>
      </c>
      <c r="M79" s="127">
        <v>4200.0</v>
      </c>
      <c r="N79" s="127">
        <v>-0.009</v>
      </c>
    </row>
    <row r="80" ht="12.75" customHeight="1">
      <c r="A80" s="127">
        <v>4260.0</v>
      </c>
      <c r="B80" s="127">
        <v>0.013</v>
      </c>
      <c r="C80" s="127">
        <v>4260.0</v>
      </c>
      <c r="D80" s="127">
        <v>0.005</v>
      </c>
      <c r="E80" s="127">
        <v>4260.0</v>
      </c>
      <c r="F80" s="127">
        <v>-0.001</v>
      </c>
      <c r="G80" s="127">
        <v>4260.0</v>
      </c>
      <c r="H80" s="127">
        <v>-0.006</v>
      </c>
      <c r="I80" s="127">
        <v>4260.0</v>
      </c>
      <c r="J80" s="127">
        <v>0.001</v>
      </c>
      <c r="K80" s="127">
        <v>4260.0</v>
      </c>
      <c r="L80" s="127">
        <v>0.002</v>
      </c>
      <c r="M80" s="127">
        <v>4260.0</v>
      </c>
      <c r="N80" s="127">
        <v>-0.009</v>
      </c>
    </row>
    <row r="81" ht="12.75" customHeight="1">
      <c r="A81" s="127">
        <v>4320.0</v>
      </c>
      <c r="B81" s="127">
        <v>0.013</v>
      </c>
      <c r="C81" s="127">
        <v>4320.0</v>
      </c>
      <c r="D81" s="127">
        <v>0.005</v>
      </c>
      <c r="E81" s="127">
        <v>4320.0</v>
      </c>
      <c r="F81" s="127">
        <v>-0.002</v>
      </c>
      <c r="G81" s="127">
        <v>4320.0</v>
      </c>
      <c r="H81" s="127">
        <v>-0.006</v>
      </c>
      <c r="I81" s="127">
        <v>4320.0</v>
      </c>
      <c r="J81" s="127">
        <v>0.002</v>
      </c>
      <c r="K81" s="127">
        <v>4320.0</v>
      </c>
      <c r="L81" s="127">
        <v>0.002</v>
      </c>
      <c r="M81" s="127">
        <v>4320.0</v>
      </c>
      <c r="N81" s="127">
        <v>-0.009</v>
      </c>
    </row>
    <row r="82" ht="12.75" customHeight="1">
      <c r="A82" s="127">
        <v>4380.0</v>
      </c>
      <c r="B82" s="127">
        <v>0.014</v>
      </c>
      <c r="C82" s="127">
        <v>4380.0</v>
      </c>
      <c r="D82" s="127">
        <v>0.005</v>
      </c>
      <c r="E82" s="127">
        <v>4380.0</v>
      </c>
      <c r="F82" s="127">
        <v>-0.001</v>
      </c>
      <c r="G82" s="127">
        <v>4380.0</v>
      </c>
      <c r="H82" s="127">
        <v>-0.006</v>
      </c>
      <c r="I82" s="127">
        <v>4380.0</v>
      </c>
      <c r="J82" s="127">
        <v>0.002</v>
      </c>
      <c r="K82" s="127">
        <v>4380.0</v>
      </c>
      <c r="L82" s="127">
        <v>0.002</v>
      </c>
      <c r="M82" s="127">
        <v>4380.0</v>
      </c>
      <c r="N82" s="127">
        <v>-0.009</v>
      </c>
    </row>
    <row r="83" ht="12.75" customHeight="1">
      <c r="A83" s="127">
        <v>4440.0</v>
      </c>
      <c r="B83" s="127">
        <v>0.014</v>
      </c>
      <c r="C83" s="127">
        <v>4440.0</v>
      </c>
      <c r="D83" s="127">
        <v>0.005</v>
      </c>
      <c r="E83" s="127">
        <v>4440.0</v>
      </c>
      <c r="F83" s="127">
        <v>-0.001</v>
      </c>
      <c r="G83" s="127">
        <v>4440.0</v>
      </c>
      <c r="H83" s="127">
        <v>-0.006</v>
      </c>
      <c r="I83" s="127">
        <v>4440.0</v>
      </c>
      <c r="J83" s="127">
        <v>0.002</v>
      </c>
      <c r="K83" s="127">
        <v>4440.0</v>
      </c>
      <c r="L83" s="127">
        <v>0.002</v>
      </c>
      <c r="M83" s="127">
        <v>4440.0</v>
      </c>
      <c r="N83" s="127">
        <v>-0.009</v>
      </c>
    </row>
    <row r="84" ht="12.75" customHeight="1">
      <c r="A84" s="127">
        <v>4500.0</v>
      </c>
      <c r="B84" s="127">
        <v>0.014</v>
      </c>
      <c r="C84" s="127">
        <v>4500.0</v>
      </c>
      <c r="D84" s="127">
        <v>0.006</v>
      </c>
      <c r="E84" s="127">
        <v>4500.0</v>
      </c>
      <c r="F84" s="127">
        <v>-0.001</v>
      </c>
      <c r="G84" s="127">
        <v>4500.0</v>
      </c>
      <c r="H84" s="127">
        <v>-0.006</v>
      </c>
      <c r="I84" s="127">
        <v>4500.0</v>
      </c>
      <c r="J84" s="127">
        <v>0.002</v>
      </c>
      <c r="K84" s="127">
        <v>4500.0</v>
      </c>
      <c r="L84" s="127">
        <v>0.002</v>
      </c>
      <c r="M84" s="127">
        <v>4500.0</v>
      </c>
      <c r="N84" s="127">
        <v>-0.009</v>
      </c>
    </row>
    <row r="85" ht="12.75" customHeight="1">
      <c r="A85" s="127">
        <v>4560.0</v>
      </c>
      <c r="B85" s="127">
        <v>0.014</v>
      </c>
      <c r="C85" s="127">
        <v>4560.0</v>
      </c>
      <c r="D85" s="127">
        <v>0.006</v>
      </c>
      <c r="E85" s="127">
        <v>4560.0</v>
      </c>
      <c r="F85" s="127">
        <v>-0.001</v>
      </c>
      <c r="G85" s="127">
        <v>4560.0</v>
      </c>
      <c r="H85" s="127">
        <v>-0.006</v>
      </c>
      <c r="I85" s="127">
        <v>4560.0</v>
      </c>
      <c r="J85" s="127">
        <v>0.002</v>
      </c>
      <c r="K85" s="127">
        <v>4560.0</v>
      </c>
      <c r="L85" s="127">
        <v>0.002</v>
      </c>
      <c r="M85" s="127">
        <v>4560.0</v>
      </c>
      <c r="N85" s="127">
        <v>-0.009</v>
      </c>
    </row>
    <row r="86" ht="12.75" customHeight="1">
      <c r="A86" s="127">
        <v>4620.0</v>
      </c>
      <c r="B86" s="127">
        <v>0.014</v>
      </c>
      <c r="C86" s="127">
        <v>4620.0</v>
      </c>
      <c r="D86" s="127">
        <v>0.006</v>
      </c>
      <c r="E86" s="127">
        <v>4620.0</v>
      </c>
      <c r="F86" s="127">
        <v>-0.001</v>
      </c>
      <c r="G86" s="127">
        <v>4620.0</v>
      </c>
      <c r="H86" s="127">
        <v>-0.006</v>
      </c>
      <c r="I86" s="127">
        <v>4620.0</v>
      </c>
      <c r="J86" s="127">
        <v>0.002</v>
      </c>
      <c r="K86" s="127">
        <v>4620.0</v>
      </c>
      <c r="L86" s="127">
        <v>0.002</v>
      </c>
      <c r="M86" s="127">
        <v>4620.0</v>
      </c>
      <c r="N86" s="127">
        <v>-0.009</v>
      </c>
    </row>
    <row r="87" ht="12.75" customHeight="1">
      <c r="A87" s="127">
        <v>4680.0</v>
      </c>
      <c r="B87" s="127">
        <v>0.015</v>
      </c>
      <c r="C87" s="127">
        <v>4680.0</v>
      </c>
      <c r="D87" s="127">
        <v>0.006</v>
      </c>
      <c r="E87" s="127">
        <v>4680.0</v>
      </c>
      <c r="F87" s="127">
        <v>-0.001</v>
      </c>
      <c r="G87" s="127">
        <v>4680.0</v>
      </c>
      <c r="H87" s="127">
        <v>-0.006</v>
      </c>
      <c r="I87" s="127">
        <v>4680.0</v>
      </c>
      <c r="J87" s="127">
        <v>0.002</v>
      </c>
      <c r="K87" s="127">
        <v>4680.0</v>
      </c>
      <c r="L87" s="127">
        <v>0.002</v>
      </c>
      <c r="M87" s="127">
        <v>4680.0</v>
      </c>
      <c r="N87" s="127">
        <v>-0.009</v>
      </c>
    </row>
    <row r="88" ht="12.75" customHeight="1">
      <c r="A88" s="127">
        <v>4740.0</v>
      </c>
      <c r="B88" s="127">
        <v>0.015</v>
      </c>
      <c r="C88" s="127">
        <v>4740.0</v>
      </c>
      <c r="D88" s="127">
        <v>0.006</v>
      </c>
      <c r="E88" s="127">
        <v>4740.0</v>
      </c>
      <c r="F88" s="127">
        <v>-0.001</v>
      </c>
      <c r="G88" s="127">
        <v>4740.0</v>
      </c>
      <c r="H88" s="127">
        <v>-0.006</v>
      </c>
      <c r="I88" s="127">
        <v>4740.0</v>
      </c>
      <c r="J88" s="127">
        <v>0.002</v>
      </c>
      <c r="K88" s="127">
        <v>4740.0</v>
      </c>
      <c r="L88" s="127">
        <v>0.002</v>
      </c>
      <c r="M88" s="127">
        <v>4740.0</v>
      </c>
      <c r="N88" s="127">
        <v>-0.009</v>
      </c>
    </row>
    <row r="89" ht="12.75" customHeight="1">
      <c r="A89" s="127">
        <v>4800.0</v>
      </c>
      <c r="B89" s="127">
        <v>0.015</v>
      </c>
      <c r="C89" s="127">
        <v>4800.0</v>
      </c>
      <c r="D89" s="127">
        <v>0.006</v>
      </c>
      <c r="E89" s="127">
        <v>4800.0</v>
      </c>
      <c r="F89" s="127">
        <v>0.0</v>
      </c>
      <c r="G89" s="127">
        <v>4800.0</v>
      </c>
      <c r="H89" s="127">
        <v>-0.006</v>
      </c>
      <c r="I89" s="127">
        <v>4800.0</v>
      </c>
      <c r="J89" s="127">
        <v>0.002</v>
      </c>
      <c r="K89" s="127">
        <v>4800.0</v>
      </c>
      <c r="L89" s="127">
        <v>0.002</v>
      </c>
      <c r="M89" s="127">
        <v>4800.0</v>
      </c>
      <c r="N89" s="127">
        <v>-0.009</v>
      </c>
    </row>
    <row r="90" ht="12.75" customHeight="1">
      <c r="A90" s="127">
        <v>4860.0</v>
      </c>
      <c r="B90" s="127">
        <v>0.015</v>
      </c>
      <c r="C90" s="127">
        <v>4860.0</v>
      </c>
      <c r="D90" s="127">
        <v>0.007</v>
      </c>
      <c r="E90" s="127">
        <v>4860.0</v>
      </c>
      <c r="F90" s="127">
        <v>0.0</v>
      </c>
      <c r="G90" s="127">
        <v>4860.0</v>
      </c>
      <c r="H90" s="127">
        <v>-0.006</v>
      </c>
      <c r="I90" s="127">
        <v>4860.0</v>
      </c>
      <c r="J90" s="127">
        <v>0.003</v>
      </c>
      <c r="K90" s="127">
        <v>4860.0</v>
      </c>
      <c r="L90" s="127">
        <v>0.002</v>
      </c>
      <c r="M90" s="127">
        <v>4860.0</v>
      </c>
      <c r="N90" s="127">
        <v>-0.009</v>
      </c>
    </row>
    <row r="91" ht="12.75" customHeight="1">
      <c r="A91" s="127">
        <v>4920.0</v>
      </c>
      <c r="B91" s="127">
        <v>0.015</v>
      </c>
      <c r="C91" s="127">
        <v>4920.0</v>
      </c>
      <c r="D91" s="127">
        <v>0.006</v>
      </c>
      <c r="E91" s="127">
        <v>4920.0</v>
      </c>
      <c r="F91" s="127">
        <v>0.0</v>
      </c>
      <c r="G91" s="127">
        <v>4920.0</v>
      </c>
      <c r="H91" s="127">
        <v>-0.006</v>
      </c>
      <c r="I91" s="127">
        <v>4920.0</v>
      </c>
      <c r="J91" s="127">
        <v>0.003</v>
      </c>
      <c r="K91" s="127">
        <v>4920.0</v>
      </c>
      <c r="L91" s="127">
        <v>0.002</v>
      </c>
      <c r="M91" s="127">
        <v>4920.0</v>
      </c>
      <c r="N91" s="127">
        <v>-0.009</v>
      </c>
    </row>
    <row r="92" ht="12.75" customHeight="1">
      <c r="A92" s="127">
        <v>4980.0</v>
      </c>
      <c r="B92" s="127">
        <v>0.015</v>
      </c>
      <c r="C92" s="127">
        <v>4980.0</v>
      </c>
      <c r="D92" s="127">
        <v>0.007</v>
      </c>
      <c r="E92" s="127">
        <v>4980.0</v>
      </c>
      <c r="F92" s="127">
        <v>0.0</v>
      </c>
      <c r="G92" s="127">
        <v>4980.0</v>
      </c>
      <c r="H92" s="127">
        <v>-0.006</v>
      </c>
      <c r="I92" s="127">
        <v>4980.0</v>
      </c>
      <c r="J92" s="127">
        <v>0.003</v>
      </c>
      <c r="K92" s="127">
        <v>4980.0</v>
      </c>
      <c r="L92" s="127">
        <v>0.002</v>
      </c>
      <c r="M92" s="127">
        <v>4980.0</v>
      </c>
      <c r="N92" s="127">
        <v>-0.009</v>
      </c>
    </row>
    <row r="93" ht="12.75" customHeight="1">
      <c r="A93" s="127">
        <v>5040.0</v>
      </c>
      <c r="B93" s="127">
        <v>0.015</v>
      </c>
      <c r="C93" s="127">
        <v>5040.0</v>
      </c>
      <c r="D93" s="127">
        <v>0.007</v>
      </c>
      <c r="E93" s="127">
        <v>5040.0</v>
      </c>
      <c r="F93" s="127">
        <v>0.0</v>
      </c>
      <c r="G93" s="127">
        <v>5040.0</v>
      </c>
      <c r="H93" s="127">
        <v>-0.006</v>
      </c>
      <c r="I93" s="127">
        <v>5040.0</v>
      </c>
      <c r="J93" s="127">
        <v>0.003</v>
      </c>
      <c r="K93" s="127">
        <v>5040.0</v>
      </c>
      <c r="L93" s="127">
        <v>0.002</v>
      </c>
      <c r="M93" s="127">
        <v>5040.0</v>
      </c>
      <c r="N93" s="127">
        <v>-0.009</v>
      </c>
    </row>
    <row r="94" ht="12.75" customHeight="1">
      <c r="A94" s="127">
        <v>5100.0</v>
      </c>
      <c r="B94" s="127">
        <v>0.015</v>
      </c>
      <c r="C94" s="127">
        <v>5100.0</v>
      </c>
      <c r="D94" s="127">
        <v>0.007</v>
      </c>
      <c r="E94" s="127">
        <v>5100.0</v>
      </c>
      <c r="F94" s="127">
        <v>0.0</v>
      </c>
      <c r="G94" s="127">
        <v>5100.0</v>
      </c>
      <c r="H94" s="127">
        <v>-0.006</v>
      </c>
      <c r="I94" s="127">
        <v>5100.0</v>
      </c>
      <c r="J94" s="127">
        <v>0.003</v>
      </c>
      <c r="K94" s="127">
        <v>5100.0</v>
      </c>
      <c r="L94" s="127">
        <v>0.002</v>
      </c>
      <c r="M94" s="127">
        <v>5100.0</v>
      </c>
      <c r="N94" s="127">
        <v>-0.009</v>
      </c>
    </row>
    <row r="95" ht="12.75" customHeight="1">
      <c r="A95" s="127">
        <v>5160.0</v>
      </c>
      <c r="B95" s="127">
        <v>0.016</v>
      </c>
      <c r="C95" s="127">
        <v>5160.0</v>
      </c>
      <c r="D95" s="127">
        <v>0.007</v>
      </c>
      <c r="E95" s="127">
        <v>5160.0</v>
      </c>
      <c r="F95" s="127">
        <v>0.0</v>
      </c>
      <c r="G95" s="127">
        <v>5160.0</v>
      </c>
      <c r="H95" s="127">
        <v>-0.006</v>
      </c>
      <c r="I95" s="127">
        <v>5160.0</v>
      </c>
      <c r="J95" s="127">
        <v>0.003</v>
      </c>
      <c r="K95" s="127">
        <v>5160.0</v>
      </c>
      <c r="L95" s="127">
        <v>0.002</v>
      </c>
      <c r="M95" s="127">
        <v>5160.0</v>
      </c>
      <c r="N95" s="127">
        <v>-0.009</v>
      </c>
    </row>
    <row r="96" ht="12.75" customHeight="1">
      <c r="A96" s="127">
        <v>5220.0</v>
      </c>
      <c r="B96" s="127">
        <v>0.016</v>
      </c>
      <c r="C96" s="127">
        <v>5220.0</v>
      </c>
      <c r="D96" s="127">
        <v>0.007</v>
      </c>
      <c r="E96" s="127">
        <v>5220.0</v>
      </c>
      <c r="F96" s="127">
        <v>0.0</v>
      </c>
      <c r="G96" s="127">
        <v>5220.0</v>
      </c>
      <c r="H96" s="127">
        <v>-0.006</v>
      </c>
      <c r="I96" s="127">
        <v>5220.0</v>
      </c>
      <c r="J96" s="127">
        <v>0.003</v>
      </c>
      <c r="K96" s="127">
        <v>5220.0</v>
      </c>
      <c r="L96" s="127">
        <v>0.002</v>
      </c>
      <c r="M96" s="127">
        <v>5220.0</v>
      </c>
      <c r="N96" s="127">
        <v>-0.009</v>
      </c>
    </row>
    <row r="97" ht="12.75" customHeight="1">
      <c r="A97" s="127">
        <v>5280.0</v>
      </c>
      <c r="B97" s="127">
        <v>0.016</v>
      </c>
      <c r="C97" s="127">
        <v>5280.0</v>
      </c>
      <c r="D97" s="127">
        <v>0.008</v>
      </c>
      <c r="E97" s="127">
        <v>5280.0</v>
      </c>
      <c r="F97" s="127">
        <v>0.0</v>
      </c>
      <c r="G97" s="127">
        <v>5280.0</v>
      </c>
      <c r="H97" s="127">
        <v>-0.006</v>
      </c>
      <c r="I97" s="127">
        <v>5280.0</v>
      </c>
      <c r="J97" s="127">
        <v>0.003</v>
      </c>
      <c r="K97" s="127">
        <v>5280.0</v>
      </c>
      <c r="L97" s="127">
        <v>0.002</v>
      </c>
      <c r="M97" s="127">
        <v>5280.0</v>
      </c>
      <c r="N97" s="127">
        <v>-0.009</v>
      </c>
    </row>
    <row r="98" ht="12.75" customHeight="1">
      <c r="A98" s="127">
        <v>5340.0</v>
      </c>
      <c r="B98" s="127">
        <v>0.016</v>
      </c>
      <c r="C98" s="127">
        <v>5340.0</v>
      </c>
      <c r="D98" s="127">
        <v>0.007</v>
      </c>
      <c r="E98" s="127">
        <v>5340.0</v>
      </c>
      <c r="F98" s="127">
        <v>0.0</v>
      </c>
      <c r="G98" s="127">
        <v>5340.0</v>
      </c>
      <c r="H98" s="127">
        <v>-0.006</v>
      </c>
      <c r="I98" s="127">
        <v>5340.0</v>
      </c>
      <c r="J98" s="127">
        <v>0.003</v>
      </c>
      <c r="K98" s="127">
        <v>5340.0</v>
      </c>
      <c r="L98" s="127">
        <v>0.003</v>
      </c>
      <c r="M98" s="127">
        <v>5340.0</v>
      </c>
      <c r="N98" s="127">
        <v>-0.009</v>
      </c>
    </row>
    <row r="99" ht="12.75" customHeight="1">
      <c r="A99" s="127">
        <v>5400.0</v>
      </c>
      <c r="B99" s="127">
        <v>0.016</v>
      </c>
      <c r="C99" s="127">
        <v>5400.0</v>
      </c>
      <c r="D99" s="127">
        <v>0.008</v>
      </c>
      <c r="E99" s="127">
        <v>5400.0</v>
      </c>
      <c r="F99" s="127">
        <v>0.0</v>
      </c>
      <c r="G99" s="127">
        <v>5400.0</v>
      </c>
      <c r="H99" s="127">
        <v>-0.006</v>
      </c>
      <c r="I99" s="127">
        <v>5400.0</v>
      </c>
      <c r="J99" s="127">
        <v>0.004</v>
      </c>
      <c r="K99" s="127">
        <v>5400.0</v>
      </c>
      <c r="L99" s="127">
        <v>0.002</v>
      </c>
      <c r="M99" s="127">
        <v>5400.0</v>
      </c>
      <c r="N99" s="127">
        <v>-0.009</v>
      </c>
    </row>
    <row r="100" ht="12.75" customHeight="1">
      <c r="A100" s="127">
        <v>5460.0</v>
      </c>
      <c r="B100" s="127">
        <v>0.017</v>
      </c>
      <c r="C100" s="127">
        <v>5460.0</v>
      </c>
      <c r="D100" s="127">
        <v>0.008</v>
      </c>
      <c r="E100" s="127">
        <v>5460.0</v>
      </c>
      <c r="F100" s="127">
        <v>0.001</v>
      </c>
      <c r="G100" s="127">
        <v>5460.0</v>
      </c>
      <c r="H100" s="127">
        <v>-0.006</v>
      </c>
      <c r="I100" s="127">
        <v>5460.0</v>
      </c>
      <c r="J100" s="127">
        <v>0.004</v>
      </c>
      <c r="K100" s="127">
        <v>5460.0</v>
      </c>
      <c r="L100" s="127">
        <v>0.002</v>
      </c>
      <c r="M100" s="127">
        <v>5460.0</v>
      </c>
      <c r="N100" s="127">
        <v>-0.008</v>
      </c>
    </row>
    <row r="101" ht="12.75" customHeight="1">
      <c r="A101" s="127">
        <v>5520.0</v>
      </c>
      <c r="B101" s="127">
        <v>0.017</v>
      </c>
      <c r="C101" s="127">
        <v>5520.0</v>
      </c>
      <c r="D101" s="127">
        <v>0.008</v>
      </c>
      <c r="E101" s="127">
        <v>5520.0</v>
      </c>
      <c r="F101" s="127">
        <v>0.001</v>
      </c>
      <c r="G101" s="127">
        <v>5520.0</v>
      </c>
      <c r="H101" s="127">
        <v>-0.006</v>
      </c>
      <c r="I101" s="127">
        <v>5520.0</v>
      </c>
      <c r="J101" s="127">
        <v>0.004</v>
      </c>
      <c r="K101" s="127">
        <v>5520.0</v>
      </c>
      <c r="L101" s="127">
        <v>0.002</v>
      </c>
      <c r="M101" s="127">
        <v>5520.0</v>
      </c>
      <c r="N101" s="127">
        <v>-0.009</v>
      </c>
    </row>
    <row r="102" ht="12.75" customHeight="1">
      <c r="A102" s="127">
        <v>5580.0</v>
      </c>
      <c r="B102" s="127">
        <v>0.017</v>
      </c>
      <c r="C102" s="127">
        <v>5580.0</v>
      </c>
      <c r="D102" s="127">
        <v>0.008</v>
      </c>
      <c r="E102" s="127">
        <v>5580.0</v>
      </c>
      <c r="F102" s="127">
        <v>0.001</v>
      </c>
      <c r="G102" s="127">
        <v>5580.0</v>
      </c>
      <c r="H102" s="127">
        <v>-0.006</v>
      </c>
      <c r="I102" s="127">
        <v>5580.0</v>
      </c>
      <c r="J102" s="127">
        <v>0.005</v>
      </c>
      <c r="K102" s="127">
        <v>5580.0</v>
      </c>
      <c r="L102" s="127">
        <v>0.002</v>
      </c>
      <c r="M102" s="127">
        <v>5580.0</v>
      </c>
      <c r="N102" s="127">
        <v>-0.008</v>
      </c>
    </row>
    <row r="103" ht="12.75" customHeight="1">
      <c r="A103" s="127">
        <v>5640.0</v>
      </c>
      <c r="B103" s="127">
        <v>0.017</v>
      </c>
      <c r="C103" s="127">
        <v>5640.0</v>
      </c>
      <c r="D103" s="127">
        <v>0.008</v>
      </c>
      <c r="E103" s="127">
        <v>5640.0</v>
      </c>
      <c r="F103" s="127">
        <v>0.001</v>
      </c>
      <c r="G103" s="127">
        <v>5640.0</v>
      </c>
      <c r="H103" s="127">
        <v>-0.005</v>
      </c>
      <c r="I103" s="127">
        <v>5640.0</v>
      </c>
      <c r="J103" s="127">
        <v>0.004</v>
      </c>
      <c r="K103" s="127">
        <v>5640.0</v>
      </c>
      <c r="L103" s="127">
        <v>0.002</v>
      </c>
      <c r="M103" s="127">
        <v>5640.0</v>
      </c>
      <c r="N103" s="127">
        <v>-0.008</v>
      </c>
    </row>
    <row r="104" ht="12.75" customHeight="1">
      <c r="A104" s="127">
        <v>5700.0</v>
      </c>
      <c r="B104" s="127">
        <v>0.018</v>
      </c>
      <c r="C104" s="127">
        <v>5700.0</v>
      </c>
      <c r="D104" s="127">
        <v>0.008</v>
      </c>
      <c r="E104" s="127">
        <v>5700.0</v>
      </c>
      <c r="F104" s="127">
        <v>0.001</v>
      </c>
      <c r="G104" s="127">
        <v>5700.0</v>
      </c>
      <c r="H104" s="127">
        <v>-0.006</v>
      </c>
      <c r="I104" s="127">
        <v>5700.0</v>
      </c>
      <c r="J104" s="127">
        <v>0.004</v>
      </c>
      <c r="K104" s="127">
        <v>5700.0</v>
      </c>
      <c r="L104" s="127">
        <v>0.002</v>
      </c>
      <c r="M104" s="127">
        <v>5700.0</v>
      </c>
      <c r="N104" s="127">
        <v>-0.009</v>
      </c>
    </row>
    <row r="105" ht="12.75" customHeight="1">
      <c r="A105" s="127">
        <v>5760.0</v>
      </c>
      <c r="B105" s="127">
        <v>0.017</v>
      </c>
      <c r="C105" s="127">
        <v>5760.0</v>
      </c>
      <c r="D105" s="127">
        <v>0.009</v>
      </c>
      <c r="E105" s="127">
        <v>5760.0</v>
      </c>
      <c r="F105" s="127">
        <v>0.001</v>
      </c>
      <c r="G105" s="127">
        <v>5760.0</v>
      </c>
      <c r="H105" s="127">
        <v>-0.005</v>
      </c>
      <c r="I105" s="127">
        <v>5760.0</v>
      </c>
      <c r="J105" s="127">
        <v>0.004</v>
      </c>
      <c r="K105" s="127">
        <v>5760.0</v>
      </c>
      <c r="L105" s="127">
        <v>0.002</v>
      </c>
      <c r="M105" s="127">
        <v>5760.0</v>
      </c>
      <c r="N105" s="127">
        <v>-0.009</v>
      </c>
    </row>
    <row r="106" ht="12.75" customHeight="1">
      <c r="A106" s="127">
        <v>5820.0</v>
      </c>
      <c r="B106" s="127">
        <v>0.018</v>
      </c>
      <c r="C106" s="127">
        <v>5820.0</v>
      </c>
      <c r="D106" s="127">
        <v>0.009</v>
      </c>
      <c r="E106" s="127">
        <v>5820.0</v>
      </c>
      <c r="F106" s="127">
        <v>0.001</v>
      </c>
      <c r="G106" s="127">
        <v>5820.0</v>
      </c>
      <c r="H106" s="127">
        <v>-0.006</v>
      </c>
      <c r="I106" s="127">
        <v>5820.0</v>
      </c>
      <c r="J106" s="127">
        <v>0.005</v>
      </c>
      <c r="K106" s="127">
        <v>5820.0</v>
      </c>
      <c r="L106" s="127">
        <v>0.002</v>
      </c>
      <c r="M106" s="127">
        <v>5820.0</v>
      </c>
      <c r="N106" s="127">
        <v>-0.009</v>
      </c>
    </row>
    <row r="107" ht="12.75" customHeight="1">
      <c r="A107" s="127">
        <v>5880.0</v>
      </c>
      <c r="B107" s="127">
        <v>0.018</v>
      </c>
      <c r="C107" s="127">
        <v>5880.0</v>
      </c>
      <c r="D107" s="127">
        <v>0.008</v>
      </c>
      <c r="E107" s="127">
        <v>5880.0</v>
      </c>
      <c r="F107" s="127">
        <v>0.001</v>
      </c>
      <c r="G107" s="127">
        <v>5880.0</v>
      </c>
      <c r="H107" s="127">
        <v>-0.005</v>
      </c>
      <c r="I107" s="127">
        <v>5880.0</v>
      </c>
      <c r="J107" s="127">
        <v>0.005</v>
      </c>
      <c r="K107" s="127">
        <v>5880.0</v>
      </c>
      <c r="L107" s="127">
        <v>0.002</v>
      </c>
      <c r="M107" s="127">
        <v>5880.0</v>
      </c>
      <c r="N107" s="127">
        <v>-0.009</v>
      </c>
    </row>
    <row r="108" ht="12.75" customHeight="1">
      <c r="A108" s="127">
        <v>5940.0</v>
      </c>
      <c r="B108" s="127">
        <v>0.018</v>
      </c>
      <c r="C108" s="127">
        <v>5940.0</v>
      </c>
      <c r="D108" s="127">
        <v>0.009</v>
      </c>
      <c r="E108" s="127">
        <v>5940.0</v>
      </c>
      <c r="F108" s="127">
        <v>0.002</v>
      </c>
      <c r="G108" s="127">
        <v>5940.0</v>
      </c>
      <c r="H108" s="127">
        <v>-0.005</v>
      </c>
      <c r="I108" s="127">
        <v>5940.0</v>
      </c>
      <c r="J108" s="127">
        <v>0.005</v>
      </c>
      <c r="K108" s="127">
        <v>5940.0</v>
      </c>
      <c r="L108" s="127">
        <v>0.002</v>
      </c>
      <c r="M108" s="127">
        <v>5940.0</v>
      </c>
      <c r="N108" s="127">
        <v>-0.008</v>
      </c>
    </row>
    <row r="109" ht="12.75" customHeight="1">
      <c r="A109" s="127">
        <v>6000.0</v>
      </c>
      <c r="B109" s="127">
        <v>0.018</v>
      </c>
      <c r="C109" s="127">
        <v>6000.0</v>
      </c>
      <c r="D109" s="127">
        <v>0.009</v>
      </c>
      <c r="E109" s="127">
        <v>6000.0</v>
      </c>
      <c r="F109" s="127">
        <v>0.002</v>
      </c>
      <c r="G109" s="127">
        <v>6000.0</v>
      </c>
      <c r="H109" s="127">
        <v>-0.005</v>
      </c>
      <c r="I109" s="127">
        <v>6000.0</v>
      </c>
      <c r="J109" s="127">
        <v>0.005</v>
      </c>
      <c r="K109" s="127">
        <v>6000.0</v>
      </c>
      <c r="L109" s="127">
        <v>0.002</v>
      </c>
      <c r="M109" s="127">
        <v>6000.0</v>
      </c>
      <c r="N109" s="127">
        <v>-0.008</v>
      </c>
    </row>
    <row r="110" ht="12.75" customHeight="1">
      <c r="A110" s="127">
        <v>6060.0</v>
      </c>
      <c r="B110" s="127">
        <v>0.019</v>
      </c>
      <c r="C110" s="127">
        <v>6060.0</v>
      </c>
      <c r="D110" s="127">
        <v>0.009</v>
      </c>
      <c r="E110" s="127">
        <v>6060.0</v>
      </c>
      <c r="F110" s="127">
        <v>0.002</v>
      </c>
      <c r="G110" s="127">
        <v>6060.0</v>
      </c>
      <c r="H110" s="127">
        <v>-0.005</v>
      </c>
      <c r="I110" s="127">
        <v>6060.0</v>
      </c>
      <c r="J110" s="127">
        <v>0.005</v>
      </c>
      <c r="K110" s="127">
        <v>6060.0</v>
      </c>
      <c r="L110" s="127">
        <v>0.003</v>
      </c>
      <c r="M110" s="127">
        <v>6060.0</v>
      </c>
      <c r="N110" s="127">
        <v>-0.008</v>
      </c>
    </row>
    <row r="111" ht="12.75" customHeight="1">
      <c r="A111" s="127">
        <v>6120.0</v>
      </c>
      <c r="B111" s="127">
        <v>0.018</v>
      </c>
      <c r="C111" s="127">
        <v>6120.0</v>
      </c>
      <c r="D111" s="127">
        <v>0.01</v>
      </c>
      <c r="E111" s="127">
        <v>6120.0</v>
      </c>
      <c r="F111" s="127">
        <v>0.002</v>
      </c>
      <c r="G111" s="127">
        <v>6120.0</v>
      </c>
      <c r="H111" s="127">
        <v>-0.006</v>
      </c>
      <c r="I111" s="127">
        <v>6120.0</v>
      </c>
      <c r="J111" s="127">
        <v>0.005</v>
      </c>
      <c r="K111" s="127">
        <v>6120.0</v>
      </c>
      <c r="L111" s="127">
        <v>0.002</v>
      </c>
      <c r="M111" s="127">
        <v>6120.0</v>
      </c>
      <c r="N111" s="127">
        <v>-0.008</v>
      </c>
    </row>
    <row r="112" ht="12.75" customHeight="1">
      <c r="A112" s="127">
        <v>6180.0</v>
      </c>
      <c r="B112" s="127">
        <v>0.019</v>
      </c>
      <c r="C112" s="127">
        <v>6180.0</v>
      </c>
      <c r="D112" s="127">
        <v>0.01</v>
      </c>
      <c r="E112" s="127">
        <v>6180.0</v>
      </c>
      <c r="F112" s="127">
        <v>0.002</v>
      </c>
      <c r="G112" s="127">
        <v>6180.0</v>
      </c>
      <c r="H112" s="127">
        <v>-0.005</v>
      </c>
      <c r="I112" s="127">
        <v>6180.0</v>
      </c>
      <c r="J112" s="127">
        <v>0.006</v>
      </c>
      <c r="K112" s="127">
        <v>6180.0</v>
      </c>
      <c r="L112" s="127">
        <v>0.003</v>
      </c>
      <c r="M112" s="127">
        <v>6180.0</v>
      </c>
      <c r="N112" s="127">
        <v>-0.008</v>
      </c>
    </row>
    <row r="113" ht="12.75" customHeight="1">
      <c r="A113" s="127">
        <v>6240.0</v>
      </c>
      <c r="B113" s="127">
        <v>0.019</v>
      </c>
      <c r="C113" s="127">
        <v>6240.0</v>
      </c>
      <c r="D113" s="127">
        <v>0.01</v>
      </c>
      <c r="E113" s="127">
        <v>6240.0</v>
      </c>
      <c r="F113" s="127">
        <v>0.002</v>
      </c>
      <c r="G113" s="127">
        <v>6240.0</v>
      </c>
      <c r="H113" s="127">
        <v>-0.006</v>
      </c>
      <c r="I113" s="127">
        <v>6240.0</v>
      </c>
      <c r="J113" s="127">
        <v>0.005</v>
      </c>
      <c r="K113" s="127">
        <v>6240.0</v>
      </c>
      <c r="L113" s="127">
        <v>0.003</v>
      </c>
      <c r="M113" s="127">
        <v>6240.0</v>
      </c>
      <c r="N113" s="127">
        <v>-0.008</v>
      </c>
    </row>
    <row r="114" ht="12.75" customHeight="1">
      <c r="A114" s="127">
        <v>6300.0</v>
      </c>
      <c r="B114" s="127">
        <v>0.019</v>
      </c>
      <c r="C114" s="127">
        <v>6300.0</v>
      </c>
      <c r="D114" s="127">
        <v>0.01</v>
      </c>
      <c r="E114" s="127">
        <v>6300.0</v>
      </c>
      <c r="F114" s="127">
        <v>0.002</v>
      </c>
      <c r="G114" s="127">
        <v>6300.0</v>
      </c>
      <c r="H114" s="127">
        <v>-0.005</v>
      </c>
      <c r="I114" s="127">
        <v>6300.0</v>
      </c>
      <c r="J114" s="127">
        <v>0.005</v>
      </c>
      <c r="K114" s="127">
        <v>6300.0</v>
      </c>
      <c r="L114" s="127">
        <v>0.002</v>
      </c>
      <c r="M114" s="127">
        <v>6300.0</v>
      </c>
      <c r="N114" s="127">
        <v>-0.008</v>
      </c>
    </row>
    <row r="115" ht="12.75" customHeight="1">
      <c r="A115" s="127">
        <v>6360.0</v>
      </c>
      <c r="B115" s="127">
        <v>0.019</v>
      </c>
      <c r="C115" s="127">
        <v>6360.0</v>
      </c>
      <c r="D115" s="127">
        <v>0.01</v>
      </c>
      <c r="E115" s="127">
        <v>6360.0</v>
      </c>
      <c r="F115" s="127">
        <v>0.002</v>
      </c>
      <c r="G115" s="127">
        <v>6360.0</v>
      </c>
      <c r="H115" s="127">
        <v>-0.005</v>
      </c>
      <c r="I115" s="127">
        <v>6360.0</v>
      </c>
      <c r="J115" s="127">
        <v>0.006</v>
      </c>
      <c r="K115" s="127">
        <v>6360.0</v>
      </c>
      <c r="L115" s="127">
        <v>0.003</v>
      </c>
      <c r="M115" s="127">
        <v>6360.0</v>
      </c>
      <c r="N115" s="127">
        <v>-0.008</v>
      </c>
    </row>
    <row r="116" ht="12.75" customHeight="1">
      <c r="A116" s="127">
        <v>6420.0</v>
      </c>
      <c r="B116" s="127">
        <v>0.019</v>
      </c>
      <c r="C116" s="127">
        <v>6420.0</v>
      </c>
      <c r="D116" s="127">
        <v>0.01</v>
      </c>
      <c r="E116" s="127">
        <v>6420.0</v>
      </c>
      <c r="F116" s="127">
        <v>0.003</v>
      </c>
      <c r="G116" s="127">
        <v>6420.0</v>
      </c>
      <c r="H116" s="127">
        <v>-0.005</v>
      </c>
      <c r="I116" s="127">
        <v>6420.0</v>
      </c>
      <c r="J116" s="127">
        <v>0.006</v>
      </c>
      <c r="K116" s="127">
        <v>6420.0</v>
      </c>
      <c r="L116" s="127">
        <v>0.002</v>
      </c>
      <c r="M116" s="127">
        <v>6420.0</v>
      </c>
      <c r="N116" s="127">
        <v>-0.008</v>
      </c>
    </row>
    <row r="117" ht="12.75" customHeight="1">
      <c r="A117" s="127">
        <v>6480.0</v>
      </c>
      <c r="B117" s="127">
        <v>0.02</v>
      </c>
      <c r="C117" s="127">
        <v>6480.0</v>
      </c>
      <c r="D117" s="127">
        <v>0.01</v>
      </c>
      <c r="E117" s="127">
        <v>6480.0</v>
      </c>
      <c r="F117" s="127">
        <v>0.003</v>
      </c>
      <c r="G117" s="127">
        <v>6480.0</v>
      </c>
      <c r="H117" s="127">
        <v>-0.005</v>
      </c>
      <c r="I117" s="127">
        <v>6480.0</v>
      </c>
      <c r="J117" s="127">
        <v>0.006</v>
      </c>
      <c r="K117" s="127">
        <v>6480.0</v>
      </c>
      <c r="L117" s="127">
        <v>0.003</v>
      </c>
      <c r="M117" s="127">
        <v>6480.0</v>
      </c>
      <c r="N117" s="127">
        <v>-0.008</v>
      </c>
    </row>
    <row r="118" ht="12.75" customHeight="1">
      <c r="A118" s="127">
        <v>6540.0</v>
      </c>
      <c r="B118" s="127">
        <v>0.02</v>
      </c>
      <c r="C118" s="127">
        <v>6540.0</v>
      </c>
      <c r="D118" s="127">
        <v>0.011</v>
      </c>
      <c r="E118" s="127">
        <v>6540.0</v>
      </c>
      <c r="F118" s="127">
        <v>0.002</v>
      </c>
      <c r="G118" s="127">
        <v>6540.0</v>
      </c>
      <c r="H118" s="127">
        <v>-0.005</v>
      </c>
      <c r="I118" s="127">
        <v>6540.0</v>
      </c>
      <c r="J118" s="127">
        <v>0.006</v>
      </c>
      <c r="K118" s="127">
        <v>6540.0</v>
      </c>
      <c r="L118" s="127">
        <v>0.002</v>
      </c>
      <c r="M118" s="127">
        <v>6540.0</v>
      </c>
      <c r="N118" s="127">
        <v>-0.008</v>
      </c>
    </row>
    <row r="119" ht="12.75" customHeight="1">
      <c r="A119" s="127">
        <v>6600.0</v>
      </c>
      <c r="B119" s="127">
        <v>0.02</v>
      </c>
    </row>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