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Compatibility Report" sheetId="3" r:id="rId6"/>
  </sheets>
  <definedNames>
    <definedName localSheetId="1" name="data144">Sheet2!$A$1:$N$86</definedName>
  </definedNames>
  <calcPr/>
  <extLst>
    <ext uri="GoogleSheetsCustomDataVersion1">
      <go:sheetsCustomData xmlns:go="http://customooxmlschemas.google.com/" r:id="rId7" roundtripDataSignature="AMtx7miuGDiLgh+Y1TUdTTgj6aeGu6ieUg=="/>
    </ext>
  </extLst>
</workbook>
</file>

<file path=xl/comments1.xml><?xml version="1.0" encoding="utf-8"?>
<comments xmlns:r="http://schemas.openxmlformats.org/officeDocument/2006/relationships" xmlns="http://schemas.openxmlformats.org/spreadsheetml/2006/main">
  <authors>
    <author/>
  </authors>
  <commentList>
    <comment authorId="0" ref="I61">
      <text>
        <t xml:space="preserve">======
ID#AAAAUiisCr4
procedure    (2022-01-29 20:14:00)
The pH of the buffer was measuerd emediatly before the experiment with a freashly callibrated glas electrode. And the pH of the combined reaction solutions was measured emediatly after the experiment with a freashly callibrated glas electrode.  
The four different solutions, sub., buf., H2O2 and enz. were alle added to the cuvetts and they were emidiatly schaken on the "minischaker" and placed in the spectrometer and allowed to equalibriate for 5 minuts before the spectrometer was "zero'ed" and kinetic experiment was initiated.</t>
      </text>
    </comment>
  </commentList>
  <extLst>
    <ext uri="GoogleSheetsCustomDataVersion1">
      <go:sheetsCustomData xmlns:go="http://customooxmlschemas.google.com/" r:id="rId1" roundtripDataSignature="AMtx7mi0Ya2WNDVAkGpnTbq1dlWUzGdW+w=="/>
    </ext>
  </extLst>
</comments>
</file>

<file path=xl/sharedStrings.xml><?xml version="1.0" encoding="utf-8"?>
<sst xmlns="http://schemas.openxmlformats.org/spreadsheetml/2006/main" count="268" uniqueCount="169">
  <si>
    <t>exp. #</t>
  </si>
  <si>
    <t>Buf 1.</t>
  </si>
  <si>
    <t>Na4P2O7*10H2O</t>
  </si>
  <si>
    <t>substrate</t>
  </si>
  <si>
    <t>BnOH</t>
  </si>
  <si>
    <t>M.W. [g/mol]</t>
  </si>
  <si>
    <t>method:</t>
  </si>
  <si>
    <t>BnOH_7kuv_8h</t>
  </si>
  <si>
    <t>Buf 2.</t>
  </si>
  <si>
    <t>NaH2PO4*2H2O</t>
  </si>
  <si>
    <t>dt [s]</t>
  </si>
  <si>
    <t>abs [nm]</t>
  </si>
  <si>
    <t>Calculator a.</t>
  </si>
  <si>
    <t>e [U/mM]</t>
  </si>
  <si>
    <t>target vol. [ml]</t>
  </si>
  <si>
    <t>target M [mmol/l]</t>
  </si>
  <si>
    <t>Buf. [g]</t>
  </si>
  <si>
    <t xml:space="preserve">T </t>
  </si>
  <si>
    <t>25 C</t>
  </si>
  <si>
    <t>Stam 1:</t>
  </si>
  <si>
    <t>stam 1:</t>
  </si>
  <si>
    <t>Buf 1. [g]</t>
  </si>
  <si>
    <t>final vol. [ml]</t>
  </si>
  <si>
    <t>[g]</t>
  </si>
  <si>
    <t>[Buf 1] mmol/l</t>
  </si>
  <si>
    <t>final Vol. [ml]</t>
  </si>
  <si>
    <t>Stam 2:</t>
  </si>
  <si>
    <t>[sub] mmol/L</t>
  </si>
  <si>
    <t>Buf 2. [g]</t>
  </si>
  <si>
    <t>D2O %</t>
  </si>
  <si>
    <t>opløsning 1:</t>
  </si>
  <si>
    <t>[Buf 2] mmol/l</t>
  </si>
  <si>
    <t>#</t>
  </si>
  <si>
    <t xml:space="preserve"> Stam. [ml]</t>
  </si>
  <si>
    <t>mmol/L</t>
  </si>
  <si>
    <t>Calculator b.</t>
  </si>
  <si>
    <t>a1</t>
  </si>
  <si>
    <t>Stam 1 ml</t>
  </si>
  <si>
    <t>b1</t>
  </si>
  <si>
    <t>c1</t>
  </si>
  <si>
    <t>Stam 2 ml</t>
  </si>
  <si>
    <t>d1</t>
  </si>
  <si>
    <t>Stam 1+2:</t>
  </si>
  <si>
    <t>Vol. Buf 1 [ml]</t>
  </si>
  <si>
    <t>30 % H2O2</t>
  </si>
  <si>
    <t>Vol. Buf 2 [ml]</t>
  </si>
  <si>
    <t>density g/L</t>
  </si>
  <si>
    <t>mmol/l</t>
  </si>
  <si>
    <t>Stam [ml]</t>
  </si>
  <si>
    <t>solvent vol. [ml]</t>
  </si>
  <si>
    <t>Fortynding</t>
  </si>
  <si>
    <t>pH before run.</t>
  </si>
  <si>
    <t>[H2O2] mmol/l</t>
  </si>
  <si>
    <t>Stam 1+2 [ml]</t>
  </si>
  <si>
    <t>pH after run.</t>
  </si>
  <si>
    <t>opløsning 2:</t>
  </si>
  <si>
    <t>[buf 1+2] mmol/l</t>
  </si>
  <si>
    <t>a2.2</t>
  </si>
  <si>
    <t>Solvent:</t>
  </si>
  <si>
    <t>b2.2</t>
  </si>
  <si>
    <t>H2O [ml]</t>
  </si>
  <si>
    <t>c2.2</t>
  </si>
  <si>
    <t>D2O [ml]</t>
  </si>
  <si>
    <t>d2.2</t>
  </si>
  <si>
    <t>Enz:</t>
  </si>
  <si>
    <t>g/mol</t>
  </si>
  <si>
    <t>g</t>
  </si>
  <si>
    <t>ml</t>
  </si>
  <si>
    <t>Kuv.</t>
  </si>
  <si>
    <t>solvent</t>
  </si>
  <si>
    <t>Enz [ml]</t>
  </si>
  <si>
    <t>Buf [ml]</t>
  </si>
  <si>
    <t>Sub [ml]</t>
  </si>
  <si>
    <t>H2O2 [ml]</t>
  </si>
  <si>
    <t>Vol [ml]</t>
  </si>
  <si>
    <t xml:space="preserve"> [sub] mmol/l</t>
  </si>
  <si>
    <t>[Enz] mmol/l</t>
  </si>
  <si>
    <t>[buf] mmol/l</t>
  </si>
  <si>
    <t>[D2O]%</t>
  </si>
  <si>
    <t>Kuv. 1 (a1,a2)</t>
  </si>
  <si>
    <t>Kuv. 2 (b1,a2)</t>
  </si>
  <si>
    <t>Kuv. 3 (c1,a2)</t>
  </si>
  <si>
    <t>Kuv. 4 (d1,a2)</t>
  </si>
  <si>
    <t>Kuv. 5 (a1,b2)</t>
  </si>
  <si>
    <t>Kuv. 6 (a1,c2)</t>
  </si>
  <si>
    <t>Kuv. 7 (a1,d2)</t>
  </si>
  <si>
    <t>Ref. 1 (a1,a2)</t>
  </si>
  <si>
    <t>Ref. 2 (b1,a2)</t>
  </si>
  <si>
    <t>Ref. 3 (c1,a2)</t>
  </si>
  <si>
    <t>Ref. 4 (d1,a2)</t>
  </si>
  <si>
    <t>Ref. 5 (a1,b2)</t>
  </si>
  <si>
    <t>Ref. 6 (a1,c2)</t>
  </si>
  <si>
    <t>Ref. 7 (a1,d2)</t>
  </si>
  <si>
    <t>Sum:</t>
  </si>
  <si>
    <t>Sum*10:</t>
  </si>
  <si>
    <t>Procedure</t>
  </si>
  <si>
    <t>Rates:</t>
  </si>
  <si>
    <t>[Sub] mM</t>
  </si>
  <si>
    <t>[H2O2] mM</t>
  </si>
  <si>
    <t>V 10^6[U/dt]</t>
  </si>
  <si>
    <t>V 10^6[mM/s]</t>
  </si>
  <si>
    <t>V/E 10^6[1/s]</t>
  </si>
  <si>
    <t>Fitted values:</t>
  </si>
  <si>
    <t>95 % conf.</t>
  </si>
  <si>
    <t>Kuv. 1</t>
  </si>
  <si>
    <t>Km(H2O2) [mM]</t>
  </si>
  <si>
    <t>Kuv. 2</t>
  </si>
  <si>
    <t>Vmax(H2O2) 10^6[1/s]</t>
  </si>
  <si>
    <t>Kuv. 3</t>
  </si>
  <si>
    <t>C(H2O2) [mM]</t>
  </si>
  <si>
    <t>Kuv. 4</t>
  </si>
  <si>
    <t>Km(Sub) [mM]</t>
  </si>
  <si>
    <t>Kuv. 5</t>
  </si>
  <si>
    <t>Vmax(Sub) 10^6[1/s]</t>
  </si>
  <si>
    <t>Kuv. 6</t>
  </si>
  <si>
    <t>C(Sub) [mM]</t>
  </si>
  <si>
    <t>Kuv. 7</t>
  </si>
  <si>
    <t>pH</t>
  </si>
  <si>
    <t>[Buf] mmol/L</t>
  </si>
  <si>
    <t>Fitting vectors:</t>
  </si>
  <si>
    <t>Kuv #</t>
  </si>
  <si>
    <t>S/V</t>
  </si>
  <si>
    <t>Kinetics Experiment - 144</t>
  </si>
  <si>
    <t>Conc. Units</t>
  </si>
  <si>
    <t>Raw Data</t>
  </si>
  <si>
    <t>Sample</t>
  </si>
  <si>
    <t>[S]</t>
  </si>
  <si>
    <t>[I]</t>
  </si>
  <si>
    <t>V</t>
  </si>
  <si>
    <t>Use</t>
  </si>
  <si>
    <t>Sample001</t>
  </si>
  <si>
    <t>Yes</t>
  </si>
  <si>
    <t>Sample002</t>
  </si>
  <si>
    <t>Sample003</t>
  </si>
  <si>
    <t>Sample004</t>
  </si>
  <si>
    <t>Sample005</t>
  </si>
  <si>
    <t>Sample006</t>
  </si>
  <si>
    <t>Sample007</t>
  </si>
  <si>
    <t>Sample008</t>
  </si>
  <si>
    <t>No</t>
  </si>
  <si>
    <t>Batch</t>
  </si>
  <si>
    <t>rate144.rre</t>
  </si>
  <si>
    <t>Evolution 600</t>
  </si>
  <si>
    <t>Data Mode</t>
  </si>
  <si>
    <t>A</t>
  </si>
  <si>
    <t>Smoothing</t>
  </si>
  <si>
    <t>None</t>
  </si>
  <si>
    <t>Date Collected</t>
  </si>
  <si>
    <t>Time Collected</t>
  </si>
  <si>
    <t>11:20:55PM</t>
  </si>
  <si>
    <t>11:21:02PM</t>
  </si>
  <si>
    <t>11:21:09PM</t>
  </si>
  <si>
    <t>11:21:16PM</t>
  </si>
  <si>
    <t>11:21:24PM</t>
  </si>
  <si>
    <t>12:35:34AM</t>
  </si>
  <si>
    <t>11:21:38PM</t>
  </si>
  <si>
    <t>ss.sss</t>
  </si>
  <si>
    <t>Value</t>
  </si>
  <si>
    <t>Compatibility Report for BnOH_pH_9,32_H2O2_35,24_#144.xls</t>
  </si>
  <si>
    <t>Run on 17-10-2013 08:48</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</si>
  <si>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</si>
  <si>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</si>
  <si>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</si>
  <si>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</si>
  <si>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Earlier versions of Excel only support line colors from the color palette. When the workbook is opened in an earlier version of Excel, all line colors will be mapped to the closest color in the color palette, and a chart may display multiple series in the same color.</t>
  </si>
  <si>
    <t>Sheet2'!A1:N82</t>
  </si>
  <si>
    <t>Excel 97-2003</t>
  </si>
  <si>
    <t>Minor loss of fidelity</t>
  </si>
  <si>
    <t>Some cells or styles in this workbook contain formatting that is not supported by the selected file format. These formats will be converted to the closest format available.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</si>
</sst>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0000"/>
  </numFmts>
  <fonts count="10">
    <font>
      <sz val="10.0"/>
      <color rgb="FF000000"/>
      <name val="Arial"/>
    </font>
    <font>
      <sz val="11.0"/>
      <color theme="1"/>
      <name val="Calibri"/>
    </font>
    <font>
      <b/>
      <sz val="11.0"/>
      <color theme="1"/>
      <name val="Calibri"/>
    </font>
    <font>
      <sz val="10.0"/>
      <color theme="1"/>
      <name val="Arial"/>
    </font>
    <font>
      <sz val="11.0"/>
      <color rgb="FF006411"/>
      <name val="Calibri"/>
    </font>
    <font>
      <b/>
      <sz val="10.0"/>
      <color theme="1"/>
      <name val="Arial"/>
    </font>
    <font>
      <b/>
      <sz val="12.0"/>
      <color theme="1"/>
      <name val="Calibri"/>
    </font>
    <font>
      <sz val="11.0"/>
      <color rgb="FF4600A5"/>
      <name val="Calibri"/>
    </font>
    <font>
      <color theme="1"/>
      <name val="Calibri"/>
    </font>
    <font>
      <u/>
      <sz val="10.0"/>
      <color theme="10"/>
      <name val="Arial"/>
    </font>
  </fonts>
  <fills count="6">
    <fill>
      <patternFill patternType="none"/>
    </fill>
    <fill>
      <patternFill patternType="lightGray"/>
    </fill>
    <fill>
      <patternFill patternType="solid">
        <fgColor rgb="FFFF99CC"/>
        <bgColor rgb="FFFF99CC"/>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54">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bottom style="medium">
        <color rgb="FF000000"/>
      </bottom>
    </border>
    <border>
      <left/>
      <right/>
      <top/>
      <bottom/>
    </border>
    <border>
      <left/>
      <right/>
      <top/>
      <bottom style="medium">
        <color rgb="FF000000"/>
      </bottom>
    </border>
    <border>
      <left/>
      <right/>
      <top style="medium">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style="medium">
        <color rgb="FF000000"/>
      </left>
      <right/>
      <top/>
      <bottom style="medium">
        <color rgb="FF000000"/>
      </bottom>
    </border>
    <border>
      <left style="thin">
        <color rgb="FF000000"/>
      </left>
      <right style="thin">
        <color rgb="FF000000"/>
      </right>
      <top/>
      <bottom style="medium">
        <color rgb="FF000000"/>
      </bottom>
    </border>
    <border>
      <left/>
      <right style="thin">
        <color rgb="FF000000"/>
      </right>
      <top/>
      <bottom style="medium">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double">
        <color rgb="FF000000"/>
      </bottom>
    </border>
    <border>
      <left style="thin">
        <color rgb="FF808080"/>
      </left>
      <right style="thin">
        <color rgb="FF808080"/>
      </right>
      <top style="thin">
        <color rgb="FF808080"/>
      </top>
      <bottom style="thin">
        <color rgb="FF80808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bottom style="thin">
        <color rgb="FF000000"/>
      </bottom>
    </border>
    <border>
      <right style="medium">
        <color rgb="FF000000"/>
      </right>
    </border>
    <border>
      <right style="medium">
        <color rgb="FF000000"/>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shrinkToFit="0" vertical="bottom" wrapText="0"/>
    </xf>
    <xf borderId="0" fillId="0" fontId="3" numFmtId="164" xfId="0" applyAlignment="1" applyFont="1" applyNumberFormat="1">
      <alignment shrinkToFit="0" vertical="bottom" wrapText="0"/>
    </xf>
    <xf borderId="1" fillId="2" fontId="2" numFmtId="0" xfId="0" applyAlignment="1" applyBorder="1" applyFont="1">
      <alignment shrinkToFit="0" vertical="bottom" wrapText="0"/>
    </xf>
    <xf borderId="3" fillId="3" fontId="2" numFmtId="0" xfId="0" applyAlignment="1" applyBorder="1" applyFont="1">
      <alignment shrinkToFit="0" vertical="bottom" wrapText="0"/>
    </xf>
    <xf borderId="2" fillId="0" fontId="3" numFmtId="164" xfId="0" applyAlignment="1" applyBorder="1" applyFont="1" applyNumberFormat="1">
      <alignment shrinkToFit="0" vertical="bottom" wrapText="0"/>
    </xf>
    <xf borderId="4" fillId="2" fontId="1" numFmtId="0" xfId="0" applyAlignment="1" applyBorder="1" applyFont="1">
      <alignment shrinkToFit="0" vertical="bottom" wrapText="0"/>
    </xf>
    <xf borderId="5" fillId="3" fontId="2" numFmtId="0" xfId="0" applyAlignment="1" applyBorder="1" applyFont="1">
      <alignment shrinkToFit="0" vertical="bottom" wrapText="0"/>
    </xf>
    <xf borderId="6" fillId="2" fontId="1" numFmtId="164" xfId="0" applyAlignment="1" applyBorder="1" applyFont="1" applyNumberFormat="1">
      <alignment shrinkToFit="0" vertical="bottom" wrapText="0"/>
    </xf>
    <xf borderId="7" fillId="3" fontId="2" numFmtId="164" xfId="0" applyAlignment="1" applyBorder="1" applyFont="1" applyNumberFormat="1">
      <alignment shrinkToFit="0" vertical="bottom" wrapText="0"/>
    </xf>
    <xf borderId="8" fillId="0" fontId="3" numFmtId="164" xfId="0" applyAlignment="1" applyBorder="1" applyFont="1" applyNumberFormat="1">
      <alignment shrinkToFit="0" vertical="bottom" wrapText="0"/>
    </xf>
    <xf borderId="4" fillId="2" fontId="1" numFmtId="164" xfId="0" applyAlignment="1" applyBorder="1" applyFont="1" applyNumberFormat="1">
      <alignment shrinkToFit="0" vertical="bottom" wrapText="0"/>
    </xf>
    <xf borderId="5" fillId="3" fontId="2" numFmtId="1" xfId="0" applyAlignment="1" applyBorder="1" applyFont="1" applyNumberFormat="1">
      <alignment shrinkToFit="0" vertical="bottom" wrapText="0"/>
    </xf>
    <xf borderId="1" fillId="4" fontId="2" numFmtId="164" xfId="0" applyAlignment="1" applyBorder="1" applyFill="1" applyFont="1" applyNumberFormat="1">
      <alignment shrinkToFit="0" vertical="bottom" wrapText="0"/>
    </xf>
    <xf borderId="3" fillId="4" fontId="4" numFmtId="164" xfId="0" applyAlignment="1" applyBorder="1" applyFont="1" applyNumberFormat="1">
      <alignment shrinkToFit="0" vertical="bottom" wrapText="0"/>
    </xf>
    <xf borderId="2" fillId="4" fontId="4" numFmtId="164" xfId="0" applyAlignment="1" applyBorder="1" applyFont="1" applyNumberFormat="1">
      <alignment shrinkToFit="0" vertical="bottom" wrapText="0"/>
    </xf>
    <xf borderId="9" fillId="2" fontId="1" numFmtId="164" xfId="0" applyAlignment="1" applyBorder="1" applyFont="1" applyNumberFormat="1">
      <alignment shrinkToFit="0" vertical="bottom" wrapText="0"/>
    </xf>
    <xf borderId="5" fillId="2" fontId="1" numFmtId="164" xfId="0" applyAlignment="1" applyBorder="1" applyFont="1" applyNumberFormat="1">
      <alignment shrinkToFit="0" vertical="bottom" wrapText="0"/>
    </xf>
    <xf borderId="10" fillId="2" fontId="1" numFmtId="0" xfId="0" applyAlignment="1" applyBorder="1" applyFont="1">
      <alignment shrinkToFit="0" vertical="bottom" wrapText="0"/>
    </xf>
    <xf borderId="11" fillId="3" fontId="2" numFmtId="0" xfId="0" applyAlignment="1" applyBorder="1" applyFont="1">
      <alignment shrinkToFit="0" vertical="bottom" wrapText="0"/>
    </xf>
    <xf borderId="10" fillId="3" fontId="1" numFmtId="164" xfId="0" applyAlignment="1" applyBorder="1" applyFont="1" applyNumberFormat="1">
      <alignment shrinkToFit="0" vertical="bottom" wrapText="0"/>
    </xf>
    <xf borderId="12" fillId="3" fontId="1" numFmtId="164" xfId="0" applyAlignment="1" applyBorder="1" applyFont="1" applyNumberFormat="1">
      <alignment shrinkToFit="0" vertical="bottom" wrapText="0"/>
    </xf>
    <xf borderId="11" fillId="2" fontId="1" numFmtId="164" xfId="0" applyAlignment="1" applyBorder="1" applyFont="1" applyNumberFormat="1">
      <alignment shrinkToFit="0" vertical="bottom" wrapText="0"/>
    </xf>
    <xf borderId="1" fillId="2" fontId="2" numFmtId="164" xfId="0" applyAlignment="1" applyBorder="1" applyFont="1" applyNumberFormat="1">
      <alignment shrinkToFit="0" vertical="bottom" wrapText="0"/>
    </xf>
    <xf borderId="3" fillId="0" fontId="3" numFmtId="164" xfId="0" applyAlignment="1" applyBorder="1" applyFont="1" applyNumberFormat="1">
      <alignment shrinkToFit="0" vertical="bottom" wrapText="0"/>
    </xf>
    <xf borderId="2" fillId="0" fontId="3" numFmtId="0" xfId="0" applyAlignment="1" applyBorder="1" applyFont="1">
      <alignment shrinkToFit="0" vertical="bottom" wrapText="0"/>
    </xf>
    <xf borderId="9" fillId="0" fontId="5" numFmtId="164" xfId="0" applyAlignment="1" applyBorder="1" applyFont="1" applyNumberFormat="1">
      <alignment shrinkToFit="0" vertical="bottom" wrapText="0"/>
    </xf>
    <xf borderId="5" fillId="0" fontId="3" numFmtId="164" xfId="0" applyAlignment="1" applyBorder="1" applyFont="1" applyNumberFormat="1">
      <alignment shrinkToFit="0" vertical="bottom" wrapText="0"/>
    </xf>
    <xf borderId="9" fillId="0" fontId="5" numFmtId="165" xfId="0" applyAlignment="1" applyBorder="1" applyFont="1" applyNumberFormat="1">
      <alignment shrinkToFit="0" vertical="bottom" wrapText="0"/>
    </xf>
    <xf borderId="5" fillId="0" fontId="5" numFmtId="164" xfId="0" applyAlignment="1" applyBorder="1" applyFont="1" applyNumberFormat="1">
      <alignment shrinkToFit="0" vertical="bottom" wrapText="0"/>
    </xf>
    <xf borderId="10" fillId="2" fontId="1" numFmtId="164" xfId="0" applyAlignment="1" applyBorder="1" applyFont="1" applyNumberFormat="1">
      <alignment shrinkToFit="0" vertical="bottom" wrapText="0"/>
    </xf>
    <xf borderId="12" fillId="2" fontId="1" numFmtId="164" xfId="0" applyAlignment="1" applyBorder="1" applyFont="1" applyNumberFormat="1">
      <alignment shrinkToFit="0" vertical="bottom" wrapText="0"/>
    </xf>
    <xf borderId="11" fillId="0" fontId="3" numFmtId="164" xfId="0" applyAlignment="1" applyBorder="1" applyFont="1" applyNumberFormat="1">
      <alignment shrinkToFit="0" vertical="bottom" wrapText="0"/>
    </xf>
    <xf borderId="5" fillId="0" fontId="5" numFmtId="0" xfId="0" applyAlignment="1" applyBorder="1" applyFont="1">
      <alignment shrinkToFit="0" vertical="bottom" wrapText="0"/>
    </xf>
    <xf borderId="5" fillId="2" fontId="1" numFmtId="165" xfId="0" applyAlignment="1" applyBorder="1" applyFont="1" applyNumberFormat="1">
      <alignment shrinkToFit="0" vertical="bottom" wrapText="0"/>
    </xf>
    <xf borderId="11" fillId="0" fontId="5" numFmtId="0" xfId="0" applyAlignment="1" applyBorder="1" applyFont="1">
      <alignment shrinkToFit="0" vertical="bottom" wrapText="0"/>
    </xf>
    <xf borderId="7" fillId="2" fontId="1" numFmtId="164" xfId="0" applyAlignment="1" applyBorder="1" applyFont="1" applyNumberFormat="1">
      <alignment shrinkToFit="0" vertical="bottom" wrapText="0"/>
    </xf>
    <xf borderId="5" fillId="2" fontId="2" numFmtId="164" xfId="0" applyAlignment="1" applyBorder="1" applyFont="1" applyNumberFormat="1">
      <alignment shrinkToFit="0" vertical="bottom" wrapText="0"/>
    </xf>
    <xf borderId="4" fillId="3" fontId="1" numFmtId="164" xfId="0" applyAlignment="1" applyBorder="1" applyFont="1" applyNumberFormat="1">
      <alignment shrinkToFit="0" vertical="bottom" wrapText="0"/>
    </xf>
    <xf borderId="9" fillId="3" fontId="1" numFmtId="164" xfId="0" applyAlignment="1" applyBorder="1" applyFont="1" applyNumberFormat="1">
      <alignment shrinkToFit="0" vertical="bottom" wrapText="0"/>
    </xf>
    <xf borderId="4" fillId="0" fontId="3" numFmtId="164" xfId="0" applyAlignment="1" applyBorder="1" applyFont="1" applyNumberFormat="1">
      <alignment shrinkToFit="0" vertical="bottom" wrapText="0"/>
    </xf>
    <xf borderId="9" fillId="0" fontId="3" numFmtId="164" xfId="0" applyAlignment="1" applyBorder="1" applyFont="1" applyNumberFormat="1">
      <alignment shrinkToFit="0" vertical="bottom" wrapText="0"/>
    </xf>
    <xf borderId="13" fillId="0" fontId="3" numFmtId="164" xfId="0" applyAlignment="1" applyBorder="1" applyFont="1" applyNumberFormat="1">
      <alignment shrinkToFit="0" vertical="bottom" wrapText="0"/>
    </xf>
    <xf borderId="14" fillId="0" fontId="3" numFmtId="164" xfId="0" applyAlignment="1" applyBorder="1" applyFont="1" applyNumberFormat="1">
      <alignment shrinkToFit="0" vertical="bottom" wrapText="0"/>
    </xf>
    <xf borderId="15" fillId="2" fontId="1" numFmtId="164" xfId="0" applyAlignment="1" applyBorder="1" applyFont="1" applyNumberFormat="1">
      <alignment shrinkToFit="0" vertical="bottom" wrapText="0"/>
    </xf>
    <xf borderId="12" fillId="0" fontId="5" numFmtId="165" xfId="0" applyAlignment="1" applyBorder="1" applyFont="1" applyNumberFormat="1">
      <alignment shrinkToFit="0" vertical="bottom" wrapText="0"/>
    </xf>
    <xf borderId="12" fillId="0" fontId="3" numFmtId="165" xfId="0" applyAlignment="1" applyBorder="1" applyFont="1" applyNumberFormat="1">
      <alignment shrinkToFit="0" vertical="bottom" wrapText="0"/>
    </xf>
    <xf borderId="11" fillId="0" fontId="3" numFmtId="165" xfId="0" applyAlignment="1" applyBorder="1" applyFont="1" applyNumberFormat="1">
      <alignment shrinkToFit="0" vertical="bottom" wrapText="0"/>
    </xf>
    <xf borderId="2" fillId="2" fontId="1" numFmtId="0" xfId="0" applyAlignment="1" applyBorder="1" applyFont="1">
      <alignment shrinkToFit="0" vertical="bottom" wrapText="0"/>
    </xf>
    <xf borderId="5" fillId="0" fontId="5" numFmtId="165" xfId="0" applyAlignment="1" applyBorder="1" applyFont="1" applyNumberFormat="1">
      <alignment shrinkToFit="0" vertical="bottom" wrapText="0"/>
    </xf>
    <xf borderId="1" fillId="2" fontId="5" numFmtId="164" xfId="0" applyAlignment="1" applyBorder="1" applyFont="1" applyNumberFormat="1">
      <alignment shrinkToFit="0" vertical="bottom" wrapText="0"/>
    </xf>
    <xf borderId="2" fillId="2" fontId="5" numFmtId="164" xfId="0" applyAlignment="1" applyBorder="1" applyFont="1" applyNumberFormat="1">
      <alignment shrinkToFit="0" vertical="bottom" wrapText="0"/>
    </xf>
    <xf borderId="4" fillId="2" fontId="3" numFmtId="164" xfId="0" applyAlignment="1" applyBorder="1" applyFont="1" applyNumberFormat="1">
      <alignment shrinkToFit="0" vertical="bottom" wrapText="0"/>
    </xf>
    <xf borderId="5" fillId="5" fontId="5" numFmtId="2" xfId="0" applyAlignment="1" applyBorder="1" applyFill="1" applyFont="1" applyNumberFormat="1">
      <alignment shrinkToFit="0" vertical="bottom" wrapText="0"/>
    </xf>
    <xf borderId="11" fillId="0" fontId="5" numFmtId="164" xfId="0" applyAlignment="1" applyBorder="1" applyFont="1" applyNumberFormat="1">
      <alignment shrinkToFit="0" vertical="bottom" wrapText="0"/>
    </xf>
    <xf borderId="5" fillId="2" fontId="5" numFmtId="164" xfId="0" applyAlignment="1" applyBorder="1" applyFont="1" applyNumberFormat="1">
      <alignment shrinkToFit="0" vertical="bottom" wrapText="0"/>
    </xf>
    <xf borderId="3" fillId="2" fontId="1" numFmtId="164" xfId="0" applyAlignment="1" applyBorder="1" applyFont="1" applyNumberFormat="1">
      <alignment shrinkToFit="0" vertical="bottom" wrapText="0"/>
    </xf>
    <xf borderId="2" fillId="2" fontId="1" numFmtId="164" xfId="0" applyAlignment="1" applyBorder="1" applyFont="1" applyNumberFormat="1">
      <alignment shrinkToFit="0" vertical="bottom" wrapText="0"/>
    </xf>
    <xf borderId="10" fillId="2" fontId="3" numFmtId="164" xfId="0" applyAlignment="1" applyBorder="1" applyFont="1" applyNumberFormat="1">
      <alignment shrinkToFit="0" vertical="bottom" wrapText="0"/>
    </xf>
    <xf borderId="12" fillId="2" fontId="3" numFmtId="164" xfId="0" applyAlignment="1" applyBorder="1" applyFont="1" applyNumberFormat="1">
      <alignment shrinkToFit="0" vertical="bottom" wrapText="0"/>
    </xf>
    <xf borderId="11" fillId="5" fontId="5" numFmtId="2" xfId="0" applyAlignment="1" applyBorder="1" applyFont="1" applyNumberFormat="1">
      <alignment shrinkToFit="0" vertical="bottom" wrapText="0"/>
    </xf>
    <xf borderId="0" fillId="0" fontId="5" numFmtId="164" xfId="0" applyAlignment="1" applyFont="1" applyNumberFormat="1">
      <alignment shrinkToFit="0" vertical="bottom" wrapText="0"/>
    </xf>
    <xf borderId="16" fillId="0" fontId="3" numFmtId="164" xfId="0" applyAlignment="1" applyBorder="1" applyFont="1" applyNumberFormat="1">
      <alignment shrinkToFit="0" vertical="bottom" wrapText="0"/>
    </xf>
    <xf borderId="16" fillId="0" fontId="3" numFmtId="164" xfId="0" applyAlignment="1" applyBorder="1" applyFont="1" applyNumberFormat="1">
      <alignment shrinkToFit="0" vertical="bottom" wrapText="1"/>
    </xf>
    <xf borderId="17" fillId="2" fontId="1" numFmtId="164" xfId="0" applyAlignment="1" applyBorder="1" applyFont="1" applyNumberFormat="1">
      <alignment shrinkToFit="0" vertical="bottom" wrapText="0"/>
    </xf>
    <xf borderId="18" fillId="2" fontId="1" numFmtId="164" xfId="0" applyAlignment="1" applyBorder="1" applyFont="1" applyNumberFormat="1">
      <alignment shrinkToFit="0" vertical="bottom" wrapText="0"/>
    </xf>
    <xf borderId="19" fillId="2" fontId="1" numFmtId="164" xfId="0" applyAlignment="1" applyBorder="1" applyFont="1" applyNumberFormat="1">
      <alignment shrinkToFit="0" vertical="bottom" wrapText="0"/>
    </xf>
    <xf borderId="20" fillId="2" fontId="2" numFmtId="164" xfId="0" applyAlignment="1" applyBorder="1" applyFont="1" applyNumberFormat="1">
      <alignment shrinkToFit="0" vertical="bottom" wrapText="0"/>
    </xf>
    <xf borderId="21" fillId="3" fontId="2" numFmtId="165" xfId="0" applyAlignment="1" applyBorder="1" applyFont="1" applyNumberFormat="1">
      <alignment shrinkToFit="0" vertical="bottom" wrapText="0"/>
    </xf>
    <xf borderId="22" fillId="2" fontId="1" numFmtId="165" xfId="0" applyAlignment="1" applyBorder="1" applyFont="1" applyNumberFormat="1">
      <alignment shrinkToFit="0" vertical="bottom" wrapText="0"/>
    </xf>
    <xf borderId="3" fillId="2" fontId="1" numFmtId="165" xfId="0" applyAlignment="1" applyBorder="1" applyFont="1" applyNumberFormat="1">
      <alignment shrinkToFit="0" vertical="bottom" wrapText="0"/>
    </xf>
    <xf borderId="23" fillId="2" fontId="1" numFmtId="165" xfId="0" applyAlignment="1" applyBorder="1" applyFont="1" applyNumberFormat="1">
      <alignment shrinkToFit="0" vertical="bottom" wrapText="0"/>
    </xf>
    <xf borderId="9" fillId="2" fontId="1" numFmtId="165" xfId="0" applyAlignment="1" applyBorder="1" applyFont="1" applyNumberFormat="1">
      <alignment shrinkToFit="0" vertical="bottom" wrapText="0"/>
    </xf>
    <xf borderId="24" fillId="2" fontId="1" numFmtId="165" xfId="0" applyAlignment="1" applyBorder="1" applyFont="1" applyNumberFormat="1">
      <alignment shrinkToFit="0" vertical="bottom" wrapText="0"/>
    </xf>
    <xf borderId="25" fillId="2" fontId="2" numFmtId="164" xfId="0" applyAlignment="1" applyBorder="1" applyFont="1" applyNumberFormat="1">
      <alignment shrinkToFit="0" vertical="bottom" wrapText="0"/>
    </xf>
    <xf borderId="9" fillId="3" fontId="2" numFmtId="165" xfId="0" applyAlignment="1" applyBorder="1" applyFont="1" applyNumberFormat="1">
      <alignment shrinkToFit="0" vertical="bottom" wrapText="0"/>
    </xf>
    <xf borderId="26" fillId="2" fontId="1" numFmtId="165" xfId="0" applyAlignment="1" applyBorder="1" applyFont="1" applyNumberFormat="1">
      <alignment shrinkToFit="0" vertical="bottom" wrapText="0"/>
    </xf>
    <xf borderId="27" fillId="2" fontId="2" numFmtId="164" xfId="0" applyAlignment="1" applyBorder="1" applyFont="1" applyNumberFormat="1">
      <alignment shrinkToFit="0" vertical="bottom" wrapText="0"/>
    </xf>
    <xf borderId="7" fillId="3" fontId="2" numFmtId="165" xfId="0" applyAlignment="1" applyBorder="1" applyFont="1" applyNumberFormat="1">
      <alignment shrinkToFit="0" vertical="bottom" wrapText="0"/>
    </xf>
    <xf borderId="28" fillId="2" fontId="1" numFmtId="165" xfId="0" applyAlignment="1" applyBorder="1" applyFont="1" applyNumberFormat="1">
      <alignment shrinkToFit="0" vertical="bottom" wrapText="0"/>
    </xf>
    <xf borderId="7" fillId="2" fontId="1" numFmtId="165" xfId="0" applyAlignment="1" applyBorder="1" applyFont="1" applyNumberFormat="1">
      <alignment shrinkToFit="0" vertical="bottom" wrapText="0"/>
    </xf>
    <xf borderId="9" fillId="2" fontId="2" numFmtId="164" xfId="0" applyAlignment="1" applyBorder="1" applyFont="1" applyNumberFormat="1">
      <alignment shrinkToFit="0" vertical="bottom" wrapText="0"/>
    </xf>
    <xf borderId="29" fillId="2" fontId="2" numFmtId="164" xfId="0" applyAlignment="1" applyBorder="1" applyFont="1" applyNumberFormat="1">
      <alignment shrinkToFit="0" vertical="bottom" wrapText="0"/>
    </xf>
    <xf borderId="30" fillId="3" fontId="2" numFmtId="165" xfId="0" applyAlignment="1" applyBorder="1" applyFont="1" applyNumberFormat="1">
      <alignment shrinkToFit="0" vertical="bottom" wrapText="0"/>
    </xf>
    <xf borderId="31" fillId="2" fontId="1" numFmtId="165" xfId="0" applyAlignment="1" applyBorder="1" applyFont="1" applyNumberFormat="1">
      <alignment shrinkToFit="0" vertical="bottom" wrapText="0"/>
    </xf>
    <xf borderId="30" fillId="2" fontId="1" numFmtId="165" xfId="0" applyAlignment="1" applyBorder="1" applyFont="1" applyNumberFormat="1">
      <alignment shrinkToFit="0" vertical="bottom" wrapText="0"/>
    </xf>
    <xf borderId="12" fillId="2" fontId="1" numFmtId="165" xfId="0" applyAlignment="1" applyBorder="1" applyFont="1" applyNumberFormat="1">
      <alignment shrinkToFit="0" vertical="bottom" wrapText="0"/>
    </xf>
    <xf borderId="24" fillId="3" fontId="2" numFmtId="165" xfId="0" applyAlignment="1" applyBorder="1" applyFont="1" applyNumberFormat="1">
      <alignment shrinkToFit="0" vertical="bottom" wrapText="0"/>
    </xf>
    <xf borderId="32" fillId="2" fontId="2" numFmtId="164" xfId="0" applyAlignment="1" applyBorder="1" applyFont="1" applyNumberFormat="1">
      <alignment shrinkToFit="0" vertical="bottom" wrapText="0"/>
    </xf>
    <xf borderId="12" fillId="3" fontId="2" numFmtId="165" xfId="0" applyAlignment="1" applyBorder="1" applyFont="1" applyNumberFormat="1">
      <alignment shrinkToFit="0" vertical="bottom" wrapText="0"/>
    </xf>
    <xf borderId="33" fillId="2" fontId="1" numFmtId="165" xfId="0" applyAlignment="1" applyBorder="1" applyFont="1" applyNumberFormat="1">
      <alignment shrinkToFit="0" vertical="bottom" wrapText="0"/>
    </xf>
    <xf borderId="24" fillId="2" fontId="2" numFmtId="164" xfId="0" applyAlignment="1" applyBorder="1" applyFont="1" applyNumberFormat="1">
      <alignment shrinkToFit="0" vertical="bottom" wrapText="0"/>
    </xf>
    <xf borderId="34" fillId="2" fontId="2" numFmtId="164" xfId="0" applyAlignment="1" applyBorder="1" applyFont="1" applyNumberFormat="1">
      <alignment shrinkToFit="0" vertical="bottom" wrapText="0"/>
    </xf>
    <xf borderId="35" fillId="3" fontId="2" numFmtId="164" xfId="0" applyAlignment="1" applyBorder="1" applyFont="1" applyNumberFormat="1">
      <alignment shrinkToFit="0" vertical="bottom" wrapText="0"/>
    </xf>
    <xf borderId="36" fillId="2" fontId="2" numFmtId="164" xfId="0" applyAlignment="1" applyBorder="1" applyFont="1" applyNumberFormat="1">
      <alignment shrinkToFit="0" vertical="bottom" wrapText="0"/>
    </xf>
    <xf borderId="23" fillId="2" fontId="2" numFmtId="164" xfId="0" applyAlignment="1" applyBorder="1" applyFont="1" applyNumberFormat="1">
      <alignment shrinkToFit="0" vertical="bottom" wrapText="0"/>
    </xf>
    <xf borderId="37" fillId="2" fontId="2" numFmtId="164" xfId="0" applyAlignment="1" applyBorder="1" applyFont="1" applyNumberFormat="1">
      <alignment shrinkToFit="0" vertical="bottom" wrapText="0"/>
    </xf>
    <xf borderId="36" fillId="2" fontId="6" numFmtId="164" xfId="0" applyAlignment="1" applyBorder="1" applyFont="1" applyNumberFormat="1">
      <alignment horizontal="left" shrinkToFit="0" vertical="bottom" wrapText="0"/>
    </xf>
    <xf borderId="23" fillId="3" fontId="1" numFmtId="164" xfId="0" applyAlignment="1" applyBorder="1" applyFont="1" applyNumberFormat="1">
      <alignment shrinkToFit="0" vertical="bottom" wrapText="0"/>
    </xf>
    <xf borderId="38" fillId="2" fontId="2" numFmtId="2" xfId="0" applyAlignment="1" applyBorder="1" applyFont="1" applyNumberFormat="1">
      <alignment shrinkToFit="0" vertical="bottom" wrapText="0"/>
    </xf>
    <xf borderId="9" fillId="2" fontId="2" numFmtId="2" xfId="0" applyAlignment="1" applyBorder="1" applyFont="1" applyNumberFormat="1">
      <alignment shrinkToFit="0" vertical="bottom" wrapText="0"/>
    </xf>
    <xf borderId="3" fillId="3" fontId="2" numFmtId="2" xfId="0" applyAlignment="1" applyBorder="1" applyFont="1" applyNumberFormat="1">
      <alignment shrinkToFit="0" vertical="bottom" wrapText="0"/>
    </xf>
    <xf borderId="39" fillId="2" fontId="2" numFmtId="2" xfId="0" applyAlignment="1" applyBorder="1" applyFont="1" applyNumberFormat="1">
      <alignment shrinkToFit="0" vertical="bottom" wrapText="0"/>
    </xf>
    <xf borderId="4" fillId="2" fontId="2" numFmtId="164" xfId="0" applyAlignment="1" applyBorder="1" applyFont="1" applyNumberFormat="1">
      <alignment shrinkToFit="0" vertical="bottom" wrapText="0"/>
    </xf>
    <xf borderId="9" fillId="3" fontId="2" numFmtId="2" xfId="0" applyAlignment="1" applyBorder="1" applyFont="1" applyNumberFormat="1">
      <alignment shrinkToFit="0" vertical="bottom" wrapText="0"/>
    </xf>
    <xf borderId="40" fillId="2" fontId="2" numFmtId="2" xfId="0" applyAlignment="1" applyBorder="1" applyFont="1" applyNumberFormat="1">
      <alignment shrinkToFit="0" vertical="bottom" wrapText="0"/>
    </xf>
    <xf borderId="10" fillId="2" fontId="2" numFmtId="164" xfId="0" applyAlignment="1" applyBorder="1" applyFont="1" applyNumberFormat="1">
      <alignment shrinkToFit="0" vertical="bottom" wrapText="0"/>
    </xf>
    <xf borderId="12" fillId="3" fontId="2" numFmtId="2" xfId="0" applyAlignment="1" applyBorder="1" applyFont="1" applyNumberFormat="1">
      <alignment shrinkToFit="0" vertical="bottom" wrapText="0"/>
    </xf>
    <xf borderId="41" fillId="2" fontId="2" numFmtId="2" xfId="0" applyAlignment="1" applyBorder="1" applyFont="1" applyNumberFormat="1">
      <alignment shrinkToFit="0" vertical="bottom" wrapText="0"/>
    </xf>
    <xf borderId="42" fillId="2" fontId="2" numFmtId="164" xfId="0" applyAlignment="1" applyBorder="1" applyFont="1" applyNumberFormat="1">
      <alignment shrinkToFit="0" vertical="bottom" wrapText="0"/>
    </xf>
    <xf borderId="30" fillId="2" fontId="2" numFmtId="2" xfId="0" applyAlignment="1" applyBorder="1" applyFont="1" applyNumberFormat="1">
      <alignment shrinkToFit="0" vertical="bottom" wrapText="0"/>
    </xf>
    <xf borderId="43" fillId="2" fontId="2" numFmtId="2" xfId="0" applyAlignment="1" applyBorder="1" applyFont="1" applyNumberFormat="1">
      <alignment shrinkToFit="0" vertical="bottom" wrapText="0"/>
    </xf>
    <xf borderId="44" fillId="2" fontId="2" numFmtId="164" xfId="0" applyAlignment="1" applyBorder="1" applyFont="1" applyNumberFormat="1">
      <alignment shrinkToFit="0" vertical="bottom" wrapText="0"/>
    </xf>
    <xf borderId="24" fillId="2" fontId="2" numFmtId="2" xfId="0" applyAlignment="1" applyBorder="1" applyFont="1" applyNumberFormat="1">
      <alignment shrinkToFit="0" vertical="bottom" wrapText="0"/>
    </xf>
    <xf borderId="45" fillId="0" fontId="3" numFmtId="164" xfId="0" applyAlignment="1" applyBorder="1" applyFont="1" applyNumberFormat="1">
      <alignment shrinkToFit="0" vertical="bottom" wrapText="0"/>
    </xf>
    <xf borderId="12" fillId="2" fontId="2" numFmtId="2" xfId="0" applyAlignment="1" applyBorder="1" applyFont="1" applyNumberFormat="1">
      <alignment shrinkToFit="0" vertical="bottom" wrapText="0"/>
    </xf>
    <xf borderId="46" fillId="0" fontId="3" numFmtId="164" xfId="0" applyAlignment="1" applyBorder="1" applyFont="1" applyNumberFormat="1">
      <alignment shrinkToFit="0" vertical="bottom" wrapText="0"/>
    </xf>
    <xf borderId="3" fillId="2" fontId="7" numFmtId="164" xfId="0" applyAlignment="1" applyBorder="1" applyFont="1" applyNumberFormat="1">
      <alignment shrinkToFit="0" vertical="bottom" wrapText="0"/>
    </xf>
    <xf borderId="4" fillId="2" fontId="2" numFmtId="1" xfId="0" applyAlignment="1" applyBorder="1" applyFont="1" applyNumberFormat="1">
      <alignment shrinkToFit="0" vertical="bottom" wrapText="0"/>
    </xf>
    <xf borderId="5" fillId="2" fontId="2" numFmtId="2" xfId="0" applyAlignment="1" applyBorder="1" applyFont="1" applyNumberFormat="1">
      <alignment shrinkToFit="0" vertical="bottom" wrapText="0"/>
    </xf>
    <xf borderId="10" fillId="2" fontId="2" numFmtId="1" xfId="0" applyAlignment="1" applyBorder="1" applyFont="1" applyNumberFormat="1">
      <alignment shrinkToFit="0" vertical="bottom" wrapText="0"/>
    </xf>
    <xf borderId="11" fillId="2" fontId="2" numFmtId="2" xfId="0" applyAlignment="1" applyBorder="1" applyFont="1" applyNumberFormat="1">
      <alignment shrinkToFit="0" vertical="bottom" wrapText="0"/>
    </xf>
    <xf borderId="0" fillId="0" fontId="3" numFmtId="166" xfId="0" applyAlignment="1" applyFont="1" applyNumberFormat="1">
      <alignment shrinkToFit="0" vertical="bottom" wrapText="0"/>
    </xf>
    <xf borderId="0" fillId="0" fontId="8" numFmtId="0" xfId="0" applyFont="1"/>
    <xf borderId="0" fillId="0" fontId="3" numFmtId="14" xfId="0" applyAlignment="1" applyFont="1" applyNumberFormat="1">
      <alignment shrinkToFit="0" vertical="bottom" wrapText="0"/>
    </xf>
    <xf borderId="0" fillId="0" fontId="5" numFmtId="0" xfId="0" applyAlignment="1" applyFont="1">
      <alignment shrinkToFit="0" vertical="top" wrapText="1"/>
    </xf>
    <xf borderId="0" fillId="0" fontId="5" numFmtId="0" xfId="0" applyAlignment="1" applyFont="1">
      <alignment horizontal="center" shrinkToFit="0" vertical="top" wrapText="1"/>
    </xf>
    <xf borderId="0" fillId="0" fontId="3" numFmtId="0" xfId="0" applyAlignment="1" applyFont="1">
      <alignment shrinkToFit="0" vertical="top" wrapText="1"/>
    </xf>
    <xf borderId="0" fillId="0" fontId="3" numFmtId="0" xfId="0" applyAlignment="1" applyFont="1">
      <alignment horizontal="center" shrinkToFit="0" vertical="top" wrapText="1"/>
    </xf>
    <xf borderId="47" fillId="0" fontId="3" numFmtId="0" xfId="0" applyAlignment="1" applyBorder="1" applyFont="1">
      <alignment shrinkToFit="0" vertical="top" wrapText="1"/>
    </xf>
    <xf borderId="48" fillId="0" fontId="3" numFmtId="0" xfId="0" applyAlignment="1" applyBorder="1" applyFont="1">
      <alignment shrinkToFit="0" vertical="top" wrapText="1"/>
    </xf>
    <xf borderId="48" fillId="0" fontId="3" numFmtId="0" xfId="0" applyAlignment="1" applyBorder="1" applyFont="1">
      <alignment horizontal="center" shrinkToFit="0" vertical="top" wrapText="1"/>
    </xf>
    <xf borderId="49" fillId="0" fontId="3" numFmtId="0" xfId="0" applyAlignment="1" applyBorder="1" applyFont="1">
      <alignment horizontal="center" shrinkToFit="0" vertical="top" wrapText="1"/>
    </xf>
    <xf borderId="50" fillId="0" fontId="3" numFmtId="0" xfId="0" applyAlignment="1" applyBorder="1" applyFont="1">
      <alignment shrinkToFit="0" vertical="top" wrapText="1"/>
    </xf>
    <xf borderId="16" fillId="0" fontId="3" numFmtId="0" xfId="0" applyAlignment="1" applyBorder="1" applyFont="1">
      <alignment shrinkToFit="0" vertical="top" wrapText="1"/>
    </xf>
    <xf borderId="16" fillId="0" fontId="3" numFmtId="0" xfId="0" applyAlignment="1" applyBorder="1" applyFont="1">
      <alignment horizontal="center" shrinkToFit="0" vertical="top" wrapText="1"/>
    </xf>
    <xf borderId="16" fillId="0" fontId="9" numFmtId="0" xfId="0" applyAlignment="1" applyBorder="1" applyFont="1">
      <alignment horizontal="center" shrinkToFit="0" vertical="top" wrapText="1"/>
    </xf>
    <xf borderId="46" fillId="0" fontId="3" numFmtId="0" xfId="0" applyAlignment="1" applyBorder="1" applyFont="1">
      <alignment horizontal="center" shrinkToFit="0" vertical="top" wrapText="1"/>
    </xf>
    <xf borderId="51" fillId="0" fontId="3" numFmtId="0" xfId="0" applyAlignment="1" applyBorder="1" applyFont="1">
      <alignment shrinkToFit="0" vertical="top" wrapText="1"/>
    </xf>
    <xf borderId="52" fillId="0" fontId="3" numFmtId="0" xfId="0" applyAlignment="1" applyBorder="1" applyFont="1">
      <alignment shrinkToFit="0" vertical="top" wrapText="1"/>
    </xf>
    <xf borderId="52" fillId="0" fontId="3" numFmtId="0" xfId="0" applyAlignment="1" applyBorder="1" applyFont="1">
      <alignment horizontal="center" shrinkToFit="0" vertical="top" wrapText="1"/>
    </xf>
    <xf borderId="53" fillId="0" fontId="3" numFmtId="0" xfId="0" applyAlignment="1" applyBorder="1" applyFont="1">
      <alignment horizontal="center"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Sheet1!$G$76:$G$79</c:f>
            </c:numRef>
          </c:xVal>
          <c:yVal>
            <c:numRef>
              <c:f>Sheet1!$H$76:$H$79</c:f>
              <c:numCache/>
            </c:numRef>
          </c:yVal>
        </c:ser>
        <c:dLbls>
          <c:showLegendKey val="0"/>
          <c:showVal val="0"/>
          <c:showCatName val="0"/>
          <c:showSerName val="0"/>
          <c:showPercent val="0"/>
          <c:showBubbleSize val="0"/>
        </c:dLbls>
        <c:axId val="369594517"/>
        <c:axId val="1708003255"/>
      </c:scatterChart>
      <c:valAx>
        <c:axId val="3695945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8003255"/>
      </c:valAx>
      <c:valAx>
        <c:axId val="170800325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9594517"/>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Sheet1!$C$76:$C$79</c:f>
            </c:numRef>
          </c:xVal>
          <c:yVal>
            <c:numRef>
              <c:f>Sheet1!$D$76:$D$79</c:f>
              <c:numCache/>
            </c:numRef>
          </c:yVal>
        </c:ser>
        <c:dLbls>
          <c:showLegendKey val="0"/>
          <c:showVal val="0"/>
          <c:showCatName val="0"/>
          <c:showSerName val="0"/>
          <c:showPercent val="0"/>
          <c:showBubbleSize val="0"/>
        </c:dLbls>
        <c:axId val="977354099"/>
        <c:axId val="1771001513"/>
      </c:scatterChart>
      <c:valAx>
        <c:axId val="9773540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1001513"/>
      </c:valAx>
      <c:valAx>
        <c:axId val="17710015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735409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666699"/>
              </a:solidFill>
              <a:ln cmpd="sng">
                <a:solidFill>
                  <a:srgbClr val="666699"/>
                </a:solidFill>
              </a:ln>
            </c:spPr>
          </c:marker>
          <c:xVal>
            <c:numRef>
              <c:f>Sheet2!$M$9:$M$82</c:f>
            </c:numRef>
          </c:xVal>
          <c:yVal>
            <c:numRef>
              <c:f>Sheet2!$B$9:$B$82</c:f>
              <c:numCache/>
            </c:numRef>
          </c:yVal>
        </c:ser>
        <c:ser>
          <c:idx val="1"/>
          <c:order val="1"/>
          <c:spPr>
            <a:ln>
              <a:noFill/>
            </a:ln>
          </c:spPr>
          <c:marker>
            <c:symbol val="circle"/>
            <c:size val="7"/>
            <c:spPr>
              <a:solidFill>
                <a:srgbClr val="993366"/>
              </a:solidFill>
              <a:ln cmpd="sng">
                <a:solidFill>
                  <a:srgbClr val="993366"/>
                </a:solidFill>
              </a:ln>
            </c:spPr>
          </c:marker>
          <c:xVal>
            <c:numRef>
              <c:f>Sheet2!$M$9:$M$82</c:f>
            </c:numRef>
          </c:xVal>
          <c:yVal>
            <c:numRef>
              <c:f>Sheet2!$J$9:$J$82</c:f>
              <c:numCache/>
            </c:numRef>
          </c:yVal>
        </c:ser>
        <c:ser>
          <c:idx val="2"/>
          <c:order val="2"/>
          <c:spPr>
            <a:ln>
              <a:noFill/>
            </a:ln>
          </c:spPr>
          <c:marker>
            <c:symbol val="circle"/>
            <c:size val="7"/>
            <c:spPr>
              <a:solidFill>
                <a:srgbClr val="969696"/>
              </a:solidFill>
              <a:ln cmpd="sng">
                <a:solidFill>
                  <a:srgbClr val="969696"/>
                </a:solidFill>
              </a:ln>
            </c:spPr>
          </c:marker>
          <c:xVal>
            <c:numRef>
              <c:f>Sheet2!$M$9:$M$82</c:f>
            </c:numRef>
          </c:xVal>
          <c:yVal>
            <c:numRef>
              <c:f>Sheet2!$L$9:$L$82</c:f>
              <c:numCache/>
            </c:numRef>
          </c:yVal>
        </c:ser>
        <c:ser>
          <c:idx val="3"/>
          <c:order val="3"/>
          <c:spPr>
            <a:ln>
              <a:noFill/>
            </a:ln>
          </c:spPr>
          <c:marker>
            <c:symbol val="circle"/>
            <c:size val="7"/>
            <c:spPr>
              <a:solidFill>
                <a:srgbClr val="666699"/>
              </a:solidFill>
              <a:ln cmpd="sng">
                <a:solidFill>
                  <a:srgbClr val="666699"/>
                </a:solidFill>
              </a:ln>
            </c:spPr>
          </c:marker>
          <c:xVal>
            <c:numRef>
              <c:f>Sheet2!$M$9:$M$82</c:f>
            </c:numRef>
          </c:xVal>
          <c:yVal>
            <c:numRef>
              <c:f>Sheet2!$N$9:$N$82</c:f>
              <c:numCache/>
            </c:numRef>
          </c:yVal>
        </c:ser>
        <c:dLbls>
          <c:showLegendKey val="0"/>
          <c:showVal val="0"/>
          <c:showCatName val="0"/>
          <c:showSerName val="0"/>
          <c:showPercent val="0"/>
          <c:showBubbleSize val="0"/>
        </c:dLbls>
        <c:axId val="180910505"/>
        <c:axId val="293395472"/>
      </c:scatterChart>
      <c:valAx>
        <c:axId val="1809105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3395472"/>
      </c:valAx>
      <c:valAx>
        <c:axId val="29339547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091050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266700</xdr:colOff>
      <xdr:row>82</xdr:row>
      <xdr:rowOff>95250</xdr:rowOff>
    </xdr:from>
    <xdr:ext cx="5048250" cy="3524250"/>
    <xdr:graphicFrame>
      <xdr:nvGraphicFramePr>
        <xdr:cNvPr descr="Chart 0" id="1396040690"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352425</xdr:colOff>
      <xdr:row>105</xdr:row>
      <xdr:rowOff>152400</xdr:rowOff>
    </xdr:from>
    <xdr:ext cx="4476750" cy="3409950"/>
    <xdr:graphicFrame>
      <xdr:nvGraphicFramePr>
        <xdr:cNvPr descr="Chart 1" id="1967504339"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276225</xdr:colOff>
      <xdr:row>129</xdr:row>
      <xdr:rowOff>-57150</xdr:rowOff>
    </xdr:from>
    <xdr:ext cx="9344025" cy="7477125"/>
    <xdr:pic>
      <xdr:nvPicPr>
        <xdr:cNvPr id="0" name="image1.png" title="Billed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485775</xdr:colOff>
      <xdr:row>15</xdr:row>
      <xdr:rowOff>66675</xdr:rowOff>
    </xdr:from>
    <xdr:ext cx="6419850" cy="5534025"/>
    <xdr:graphicFrame>
      <xdr:nvGraphicFramePr>
        <xdr:cNvPr descr="Chart 0" id="1073838737"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6.86"/>
    <col customWidth="1" min="3" max="3" width="13.0"/>
    <col customWidth="1" min="4" max="4" width="14.0"/>
    <col customWidth="1" min="5" max="5" width="17.29"/>
    <col customWidth="1" min="6" max="6" width="13.0"/>
    <col customWidth="1" min="7" max="7" width="11.43"/>
    <col customWidth="1" min="8" max="8" width="13.86"/>
    <col customWidth="1" min="9" max="9" width="22.29"/>
    <col customWidth="1" min="10" max="10" width="13.71"/>
    <col customWidth="1" min="11" max="11" width="13.14"/>
    <col customWidth="1" min="12" max="12" width="8.14"/>
    <col customWidth="1" min="13" max="13" width="13.71"/>
    <col customWidth="1" min="14" max="14" width="9.29"/>
    <col customWidth="1" min="15" max="16" width="9.14"/>
    <col customWidth="1" min="17" max="17" width="12.29"/>
    <col customWidth="1" min="18" max="24" width="9.14"/>
    <col customWidth="1" min="25" max="26" width="8.0"/>
  </cols>
  <sheetData>
    <row r="1" ht="15.0" customHeight="1">
      <c r="A1" s="1" t="s">
        <v>0</v>
      </c>
      <c r="B1" s="2">
        <v>144.0</v>
      </c>
      <c r="C1" s="3"/>
      <c r="D1" s="3"/>
      <c r="E1" s="3"/>
      <c r="F1" s="4" t="s">
        <v>1</v>
      </c>
      <c r="G1" s="5" t="s">
        <v>2</v>
      </c>
      <c r="H1" s="6"/>
      <c r="I1" s="3"/>
      <c r="J1" s="3"/>
      <c r="K1" s="3"/>
      <c r="L1" s="3"/>
      <c r="M1" s="3"/>
      <c r="N1" s="3"/>
      <c r="O1" s="3"/>
      <c r="P1" s="3"/>
      <c r="Q1" s="3"/>
      <c r="R1" s="3"/>
      <c r="S1" s="3"/>
      <c r="T1" s="3"/>
      <c r="U1" s="3"/>
      <c r="V1" s="3"/>
      <c r="W1" s="3"/>
      <c r="X1" s="3"/>
      <c r="Y1" s="3"/>
      <c r="Z1" s="3"/>
    </row>
    <row r="2" ht="15.75" customHeight="1">
      <c r="A2" s="7" t="s">
        <v>3</v>
      </c>
      <c r="B2" s="8" t="s">
        <v>4</v>
      </c>
      <c r="C2" s="3"/>
      <c r="D2" s="3"/>
      <c r="E2" s="3"/>
      <c r="F2" s="9" t="s">
        <v>5</v>
      </c>
      <c r="G2" s="10">
        <v>446.06</v>
      </c>
      <c r="H2" s="11"/>
      <c r="I2" s="3"/>
      <c r="J2" s="3"/>
      <c r="K2" s="3"/>
      <c r="L2" s="3"/>
      <c r="M2" s="3"/>
      <c r="N2" s="3"/>
      <c r="O2" s="3"/>
      <c r="P2" s="3"/>
      <c r="Q2" s="3"/>
      <c r="R2" s="3"/>
      <c r="S2" s="3"/>
      <c r="T2" s="3"/>
      <c r="U2" s="3"/>
      <c r="V2" s="3"/>
      <c r="W2" s="3"/>
      <c r="X2" s="3"/>
      <c r="Y2" s="3"/>
      <c r="Z2" s="3"/>
    </row>
    <row r="3" ht="15.0" customHeight="1">
      <c r="A3" s="7" t="s">
        <v>6</v>
      </c>
      <c r="B3" s="8" t="s">
        <v>7</v>
      </c>
      <c r="C3" s="3"/>
      <c r="D3" s="3"/>
      <c r="E3" s="3"/>
      <c r="F3" s="4" t="s">
        <v>8</v>
      </c>
      <c r="G3" s="5" t="s">
        <v>9</v>
      </c>
      <c r="H3" s="6"/>
      <c r="I3" s="3"/>
      <c r="J3" s="3"/>
      <c r="K3" s="3"/>
      <c r="L3" s="3"/>
      <c r="M3" s="3"/>
      <c r="N3" s="3"/>
      <c r="O3" s="3"/>
      <c r="P3" s="3"/>
      <c r="Q3" s="3"/>
      <c r="R3" s="3"/>
      <c r="S3" s="3"/>
      <c r="T3" s="3"/>
      <c r="U3" s="3"/>
      <c r="V3" s="3"/>
      <c r="W3" s="3"/>
      <c r="X3" s="3"/>
      <c r="Y3" s="3"/>
      <c r="Z3" s="3"/>
    </row>
    <row r="4" ht="15.75" customHeight="1">
      <c r="A4" s="12" t="s">
        <v>10</v>
      </c>
      <c r="B4" s="13">
        <v>60.0</v>
      </c>
      <c r="C4" s="3"/>
      <c r="D4" s="3"/>
      <c r="E4" s="3"/>
      <c r="F4" s="9" t="s">
        <v>5</v>
      </c>
      <c r="G4" s="10">
        <v>156.02</v>
      </c>
      <c r="H4" s="11"/>
      <c r="I4" s="3"/>
      <c r="J4" s="3"/>
      <c r="K4" s="3"/>
      <c r="L4" s="3"/>
      <c r="M4" s="3"/>
      <c r="N4" s="3"/>
      <c r="O4" s="3"/>
      <c r="P4" s="3"/>
      <c r="Q4" s="3"/>
      <c r="R4" s="3"/>
      <c r="S4" s="3"/>
      <c r="T4" s="3"/>
      <c r="U4" s="3"/>
      <c r="V4" s="3"/>
      <c r="W4" s="3"/>
      <c r="X4" s="3"/>
      <c r="Y4" s="3"/>
      <c r="Z4" s="3"/>
    </row>
    <row r="5" ht="15.0" customHeight="1">
      <c r="A5" s="7" t="s">
        <v>11</v>
      </c>
      <c r="B5" s="8">
        <v>285.0</v>
      </c>
      <c r="C5" s="3"/>
      <c r="D5" s="3"/>
      <c r="E5" s="3"/>
      <c r="F5" s="14" t="s">
        <v>12</v>
      </c>
      <c r="G5" s="15"/>
      <c r="H5" s="16"/>
      <c r="I5" s="3"/>
      <c r="J5" s="3"/>
      <c r="K5" s="3"/>
      <c r="L5" s="3"/>
      <c r="M5" s="3"/>
      <c r="N5" s="3"/>
      <c r="O5" s="3"/>
      <c r="P5" s="3"/>
      <c r="Q5" s="3"/>
      <c r="R5" s="3"/>
      <c r="S5" s="3"/>
      <c r="T5" s="3"/>
      <c r="U5" s="3"/>
      <c r="V5" s="3"/>
      <c r="W5" s="3"/>
      <c r="X5" s="3"/>
      <c r="Y5" s="3"/>
      <c r="Z5" s="3"/>
    </row>
    <row r="6" ht="15.0" customHeight="1">
      <c r="A6" s="7" t="s">
        <v>13</v>
      </c>
      <c r="B6" s="8">
        <v>1.23</v>
      </c>
      <c r="C6" s="3"/>
      <c r="D6" s="3"/>
      <c r="E6" s="3"/>
      <c r="F6" s="12" t="s">
        <v>14</v>
      </c>
      <c r="G6" s="17" t="s">
        <v>15</v>
      </c>
      <c r="H6" s="18" t="s">
        <v>16</v>
      </c>
      <c r="I6" s="3"/>
      <c r="J6" s="3"/>
      <c r="K6" s="3"/>
      <c r="L6" s="3"/>
      <c r="M6" s="3"/>
      <c r="N6" s="3"/>
      <c r="O6" s="3"/>
      <c r="P6" s="3"/>
      <c r="Q6" s="3"/>
      <c r="R6" s="3"/>
      <c r="S6" s="3"/>
      <c r="T6" s="3"/>
      <c r="U6" s="3"/>
      <c r="V6" s="3"/>
      <c r="W6" s="3"/>
      <c r="X6" s="3"/>
      <c r="Y6" s="3"/>
      <c r="Z6" s="3"/>
    </row>
    <row r="7" ht="15.75" customHeight="1">
      <c r="A7" s="19" t="s">
        <v>17</v>
      </c>
      <c r="B7" s="20" t="s">
        <v>18</v>
      </c>
      <c r="C7" s="3"/>
      <c r="D7" s="3"/>
      <c r="E7" s="3"/>
      <c r="F7" s="21">
        <v>100.0</v>
      </c>
      <c r="G7" s="22">
        <v>1000.0</v>
      </c>
      <c r="H7" s="23">
        <f>(G2*F7*G7)/10^6</f>
        <v>44.606</v>
      </c>
      <c r="I7" s="3"/>
      <c r="J7" s="3"/>
      <c r="K7" s="3"/>
      <c r="L7" s="3"/>
      <c r="M7" s="3"/>
      <c r="N7" s="3"/>
      <c r="O7" s="3"/>
      <c r="P7" s="3"/>
      <c r="Q7" s="3"/>
      <c r="R7" s="3"/>
      <c r="S7" s="3"/>
      <c r="T7" s="3"/>
      <c r="U7" s="3"/>
      <c r="V7" s="3"/>
      <c r="W7" s="3"/>
      <c r="X7" s="3"/>
      <c r="Y7" s="3"/>
      <c r="Z7" s="3"/>
    </row>
    <row r="8" ht="15.75" customHeight="1">
      <c r="A8" s="3"/>
      <c r="B8" s="3"/>
      <c r="C8" s="3"/>
      <c r="D8" s="3"/>
      <c r="E8" s="3"/>
      <c r="F8" s="24" t="s">
        <v>19</v>
      </c>
      <c r="G8" s="25"/>
      <c r="H8" s="6"/>
      <c r="I8" s="3"/>
      <c r="J8" s="3"/>
      <c r="K8" s="3"/>
      <c r="L8" s="3"/>
      <c r="M8" s="3"/>
      <c r="N8" s="3"/>
      <c r="O8" s="3"/>
      <c r="P8" s="3"/>
      <c r="Q8" s="3"/>
      <c r="R8" s="3"/>
      <c r="S8" s="3"/>
      <c r="T8" s="3"/>
      <c r="U8" s="3"/>
      <c r="V8" s="3"/>
      <c r="W8" s="3"/>
      <c r="X8" s="3"/>
      <c r="Y8" s="3"/>
      <c r="Z8" s="3"/>
    </row>
    <row r="9" ht="15.0" customHeight="1">
      <c r="A9" s="4" t="s">
        <v>20</v>
      </c>
      <c r="B9" s="26"/>
      <c r="C9" s="3"/>
      <c r="D9" s="3"/>
      <c r="E9" s="3"/>
      <c r="F9" s="12" t="s">
        <v>21</v>
      </c>
      <c r="G9" s="27">
        <v>30.1495</v>
      </c>
      <c r="H9" s="28"/>
      <c r="I9" s="3"/>
      <c r="J9" s="3"/>
      <c r="K9" s="3"/>
      <c r="L9" s="3"/>
      <c r="M9" s="3"/>
      <c r="N9" s="3"/>
      <c r="O9" s="3"/>
      <c r="P9" s="3"/>
      <c r="Q9" s="3"/>
      <c r="R9" s="3"/>
      <c r="S9" s="3"/>
      <c r="T9" s="3"/>
      <c r="U9" s="3"/>
      <c r="V9" s="3"/>
      <c r="W9" s="3"/>
      <c r="X9" s="3"/>
      <c r="Y9" s="3"/>
      <c r="Z9" s="3"/>
    </row>
    <row r="10" ht="15.0" customHeight="1">
      <c r="A10" s="7" t="s">
        <v>5</v>
      </c>
      <c r="B10" s="8">
        <v>108.14</v>
      </c>
      <c r="C10" s="3"/>
      <c r="D10" s="3"/>
      <c r="E10" s="3"/>
      <c r="F10" s="12" t="s">
        <v>22</v>
      </c>
      <c r="G10" s="29">
        <v>500.0</v>
      </c>
      <c r="H10" s="28"/>
      <c r="I10" s="3"/>
      <c r="J10" s="3"/>
      <c r="K10" s="3"/>
      <c r="L10" s="3"/>
      <c r="M10" s="3"/>
      <c r="N10" s="3"/>
      <c r="O10" s="3"/>
      <c r="P10" s="3"/>
      <c r="Q10" s="3"/>
      <c r="R10" s="3"/>
      <c r="S10" s="3"/>
      <c r="T10" s="3"/>
      <c r="U10" s="3"/>
      <c r="V10" s="3"/>
      <c r="W10" s="3"/>
      <c r="X10" s="3"/>
      <c r="Y10" s="3"/>
      <c r="Z10" s="3"/>
    </row>
    <row r="11" ht="15.75" customHeight="1">
      <c r="A11" s="7" t="s">
        <v>23</v>
      </c>
      <c r="B11" s="30">
        <v>0.2924</v>
      </c>
      <c r="C11" s="3"/>
      <c r="D11" s="3"/>
      <c r="E11" s="3"/>
      <c r="F11" s="31" t="s">
        <v>24</v>
      </c>
      <c r="G11" s="32">
        <f>10^6*(G9/G2)/G10</f>
        <v>135.1813657</v>
      </c>
      <c r="H11" s="33"/>
      <c r="I11" s="3"/>
      <c r="J11" s="3"/>
      <c r="K11" s="3"/>
      <c r="L11" s="3"/>
      <c r="M11" s="3"/>
      <c r="N11" s="3"/>
      <c r="O11" s="3"/>
      <c r="P11" s="3"/>
      <c r="Q11" s="3"/>
      <c r="R11" s="3"/>
      <c r="S11" s="3"/>
      <c r="T11" s="3"/>
      <c r="U11" s="3"/>
      <c r="V11" s="3"/>
      <c r="W11" s="3"/>
      <c r="X11" s="3"/>
      <c r="Y11" s="3"/>
      <c r="Z11" s="3"/>
    </row>
    <row r="12" ht="15.0" customHeight="1">
      <c r="A12" s="7" t="s">
        <v>25</v>
      </c>
      <c r="B12" s="34">
        <v>100.0</v>
      </c>
      <c r="C12" s="3"/>
      <c r="D12" s="3"/>
      <c r="E12" s="3"/>
      <c r="F12" s="24" t="s">
        <v>26</v>
      </c>
      <c r="G12" s="25"/>
      <c r="H12" s="6"/>
      <c r="I12" s="3"/>
      <c r="J12" s="3"/>
      <c r="K12" s="3"/>
      <c r="L12" s="3"/>
      <c r="M12" s="3"/>
      <c r="N12" s="3"/>
      <c r="O12" s="3"/>
      <c r="P12" s="3"/>
      <c r="Q12" s="3"/>
      <c r="R12" s="3"/>
      <c r="S12" s="3"/>
      <c r="T12" s="3"/>
      <c r="U12" s="3"/>
      <c r="V12" s="3"/>
      <c r="W12" s="3"/>
      <c r="X12" s="3"/>
      <c r="Y12" s="3"/>
      <c r="Z12" s="3"/>
    </row>
    <row r="13" ht="15.0" customHeight="1">
      <c r="A13" s="7" t="s">
        <v>27</v>
      </c>
      <c r="B13" s="35">
        <f>10^6*(B11/B10)/(B12)</f>
        <v>27.03902349</v>
      </c>
      <c r="C13" s="3"/>
      <c r="D13" s="3"/>
      <c r="E13" s="3"/>
      <c r="F13" s="12" t="s">
        <v>28</v>
      </c>
      <c r="G13" s="27">
        <v>39.0052</v>
      </c>
      <c r="H13" s="28"/>
      <c r="I13" s="3"/>
      <c r="J13" s="3"/>
      <c r="K13" s="3"/>
      <c r="L13" s="3"/>
      <c r="M13" s="3"/>
      <c r="N13" s="3"/>
      <c r="O13" s="3"/>
      <c r="P13" s="3"/>
      <c r="Q13" s="3"/>
      <c r="R13" s="3"/>
      <c r="S13" s="3"/>
      <c r="T13" s="3"/>
      <c r="U13" s="3"/>
      <c r="V13" s="3"/>
      <c r="W13" s="3"/>
      <c r="X13" s="3"/>
      <c r="Y13" s="3"/>
      <c r="Z13" s="3"/>
    </row>
    <row r="14" ht="15.75" customHeight="1">
      <c r="A14" s="19" t="s">
        <v>29</v>
      </c>
      <c r="B14" s="36">
        <v>0.0</v>
      </c>
      <c r="C14" s="3"/>
      <c r="D14" s="3"/>
      <c r="E14" s="3"/>
      <c r="F14" s="12" t="s">
        <v>22</v>
      </c>
      <c r="G14" s="29">
        <v>500.0</v>
      </c>
      <c r="H14" s="28"/>
      <c r="I14" s="3"/>
      <c r="J14" s="3"/>
      <c r="K14" s="3"/>
      <c r="L14" s="3"/>
      <c r="M14" s="3"/>
      <c r="N14" s="3"/>
      <c r="O14" s="3"/>
      <c r="P14" s="3"/>
      <c r="Q14" s="3"/>
      <c r="R14" s="3"/>
      <c r="S14" s="3"/>
      <c r="T14" s="3"/>
      <c r="U14" s="3"/>
      <c r="V14" s="3"/>
      <c r="W14" s="3"/>
      <c r="X14" s="3"/>
      <c r="Y14" s="3"/>
      <c r="Z14" s="3"/>
    </row>
    <row r="15" ht="15.75" customHeight="1">
      <c r="A15" s="4" t="s">
        <v>30</v>
      </c>
      <c r="B15" s="25"/>
      <c r="C15" s="25"/>
      <c r="D15" s="6"/>
      <c r="E15" s="3"/>
      <c r="F15" s="9" t="s">
        <v>31</v>
      </c>
      <c r="G15" s="37">
        <f>10^6*(G13/G4)/G14</f>
        <v>500.0025638</v>
      </c>
      <c r="H15" s="11"/>
      <c r="I15" s="3"/>
      <c r="J15" s="3"/>
      <c r="K15" s="3"/>
      <c r="L15" s="3"/>
      <c r="M15" s="3"/>
      <c r="N15" s="3"/>
      <c r="O15" s="3"/>
      <c r="P15" s="3"/>
      <c r="Q15" s="3"/>
      <c r="R15" s="3"/>
      <c r="S15" s="3"/>
      <c r="T15" s="3"/>
      <c r="U15" s="3"/>
      <c r="V15" s="3"/>
      <c r="W15" s="3"/>
      <c r="X15" s="3"/>
      <c r="Y15" s="3"/>
      <c r="Z15" s="3"/>
    </row>
    <row r="16" ht="15.0" customHeight="1">
      <c r="A16" s="12" t="s">
        <v>32</v>
      </c>
      <c r="B16" s="17" t="s">
        <v>33</v>
      </c>
      <c r="C16" s="17" t="s">
        <v>22</v>
      </c>
      <c r="D16" s="18" t="s">
        <v>34</v>
      </c>
      <c r="E16" s="3"/>
      <c r="F16" s="14" t="s">
        <v>35</v>
      </c>
      <c r="G16" s="15"/>
      <c r="H16" s="16"/>
      <c r="I16" s="3"/>
      <c r="J16" s="3"/>
      <c r="K16" s="3"/>
      <c r="L16" s="3"/>
      <c r="M16" s="3"/>
      <c r="N16" s="3"/>
      <c r="O16" s="3"/>
      <c r="P16" s="3"/>
      <c r="Q16" s="3"/>
      <c r="R16" s="3"/>
      <c r="S16" s="3"/>
      <c r="T16" s="3"/>
      <c r="U16" s="3"/>
      <c r="V16" s="3"/>
      <c r="W16" s="3"/>
      <c r="X16" s="3"/>
      <c r="Y16" s="3"/>
      <c r="Z16" s="3"/>
    </row>
    <row r="17" ht="15.0" customHeight="1">
      <c r="A17" s="12" t="s">
        <v>36</v>
      </c>
      <c r="B17" s="29">
        <v>25.0</v>
      </c>
      <c r="C17" s="29">
        <v>25.0</v>
      </c>
      <c r="D17" s="35">
        <f t="shared" ref="D17:D20" si="1">(B17*$B$13)/(C17)</f>
        <v>27.03902349</v>
      </c>
      <c r="E17" s="3"/>
      <c r="F17" s="12" t="s">
        <v>14</v>
      </c>
      <c r="G17" s="17" t="s">
        <v>15</v>
      </c>
      <c r="H17" s="38" t="s">
        <v>37</v>
      </c>
      <c r="I17" s="3"/>
      <c r="J17" s="3"/>
      <c r="K17" s="3"/>
      <c r="L17" s="3"/>
      <c r="M17" s="3"/>
      <c r="N17" s="3"/>
      <c r="O17" s="3"/>
      <c r="P17" s="3"/>
      <c r="Q17" s="3"/>
      <c r="R17" s="3"/>
      <c r="S17" s="3"/>
      <c r="T17" s="3"/>
      <c r="U17" s="3"/>
      <c r="V17" s="3"/>
      <c r="W17" s="3"/>
      <c r="X17" s="3"/>
      <c r="Y17" s="3"/>
      <c r="Z17" s="3"/>
    </row>
    <row r="18" ht="15.0" customHeight="1">
      <c r="A18" s="12" t="s">
        <v>38</v>
      </c>
      <c r="B18" s="29">
        <v>7.0</v>
      </c>
      <c r="C18" s="29">
        <v>25.0</v>
      </c>
      <c r="D18" s="35">
        <f t="shared" si="1"/>
        <v>7.570926577</v>
      </c>
      <c r="E18" s="3"/>
      <c r="F18" s="39">
        <v>100.0</v>
      </c>
      <c r="G18" s="40">
        <v>100.0</v>
      </c>
      <c r="H18" s="18">
        <f>F18*(G18)/G11</f>
        <v>73.97469278</v>
      </c>
      <c r="I18" s="3"/>
      <c r="J18" s="3"/>
      <c r="K18" s="3"/>
      <c r="L18" s="3"/>
      <c r="M18" s="3"/>
      <c r="N18" s="3"/>
      <c r="O18" s="3"/>
      <c r="P18" s="3"/>
      <c r="Q18" s="3"/>
      <c r="R18" s="3"/>
      <c r="S18" s="3"/>
      <c r="T18" s="3"/>
      <c r="U18" s="3"/>
      <c r="V18" s="3"/>
      <c r="W18" s="3"/>
      <c r="X18" s="3"/>
      <c r="Y18" s="3"/>
      <c r="Z18" s="3"/>
    </row>
    <row r="19" ht="15.0" customHeight="1">
      <c r="A19" s="12" t="s">
        <v>39</v>
      </c>
      <c r="B19" s="29">
        <v>2.0</v>
      </c>
      <c r="C19" s="29">
        <v>25.0</v>
      </c>
      <c r="D19" s="35">
        <f t="shared" si="1"/>
        <v>2.163121879</v>
      </c>
      <c r="E19" s="3"/>
      <c r="F19" s="41"/>
      <c r="G19" s="42"/>
      <c r="H19" s="38" t="s">
        <v>40</v>
      </c>
      <c r="I19" s="3"/>
      <c r="J19" s="3"/>
      <c r="K19" s="3"/>
      <c r="L19" s="3"/>
      <c r="M19" s="3"/>
      <c r="N19" s="3"/>
      <c r="O19" s="3"/>
      <c r="P19" s="3"/>
      <c r="Q19" s="3"/>
      <c r="R19" s="3"/>
      <c r="S19" s="3"/>
      <c r="T19" s="3"/>
      <c r="U19" s="3"/>
      <c r="V19" s="3"/>
      <c r="W19" s="3"/>
      <c r="X19" s="3"/>
      <c r="Y19" s="3"/>
      <c r="Z19" s="3"/>
    </row>
    <row r="20" ht="15.75" customHeight="1">
      <c r="A20" s="12" t="s">
        <v>41</v>
      </c>
      <c r="B20" s="29">
        <v>0.5</v>
      </c>
      <c r="C20" s="29">
        <v>25.0</v>
      </c>
      <c r="D20" s="35">
        <f t="shared" si="1"/>
        <v>0.5407804698</v>
      </c>
      <c r="E20" s="3"/>
      <c r="F20" s="43"/>
      <c r="G20" s="44"/>
      <c r="H20" s="45">
        <f>F18*(G18)/G15</f>
        <v>19.99989745</v>
      </c>
      <c r="I20" s="3"/>
      <c r="J20" s="3"/>
      <c r="K20" s="3"/>
      <c r="L20" s="3"/>
      <c r="M20" s="3"/>
      <c r="N20" s="3"/>
      <c r="O20" s="3"/>
      <c r="P20" s="3"/>
      <c r="Q20" s="3"/>
      <c r="R20" s="3"/>
      <c r="S20" s="3"/>
      <c r="T20" s="3"/>
      <c r="U20" s="3"/>
      <c r="V20" s="3"/>
      <c r="W20" s="3"/>
      <c r="X20" s="3"/>
      <c r="Y20" s="3"/>
      <c r="Z20" s="3"/>
    </row>
    <row r="21" ht="15.75" customHeight="1">
      <c r="A21" s="31" t="s">
        <v>29</v>
      </c>
      <c r="B21" s="46">
        <v>0.0</v>
      </c>
      <c r="C21" s="47"/>
      <c r="D21" s="48"/>
      <c r="E21" s="3"/>
      <c r="F21" s="24" t="s">
        <v>42</v>
      </c>
      <c r="G21" s="25"/>
      <c r="H21" s="6"/>
      <c r="I21" s="3"/>
      <c r="J21" s="3"/>
      <c r="K21" s="3"/>
      <c r="L21" s="3"/>
      <c r="M21" s="3"/>
      <c r="N21" s="3"/>
      <c r="O21" s="3"/>
      <c r="P21" s="3"/>
      <c r="Q21" s="3"/>
      <c r="R21" s="3"/>
      <c r="S21" s="3"/>
      <c r="T21" s="3"/>
      <c r="U21" s="3"/>
      <c r="V21" s="3"/>
      <c r="W21" s="3"/>
      <c r="X21" s="3"/>
      <c r="Y21" s="3"/>
      <c r="Z21" s="3"/>
    </row>
    <row r="22" ht="15.75" customHeight="1">
      <c r="A22" s="3"/>
      <c r="B22" s="3"/>
      <c r="C22" s="3"/>
      <c r="D22" s="3"/>
      <c r="E22" s="3"/>
      <c r="F22" s="12" t="s">
        <v>43</v>
      </c>
      <c r="G22" s="29">
        <v>148.0</v>
      </c>
      <c r="H22" s="28"/>
      <c r="I22" s="3"/>
      <c r="J22" s="3"/>
      <c r="K22" s="3"/>
      <c r="L22" s="3"/>
      <c r="M22" s="3"/>
      <c r="N22" s="3"/>
      <c r="O22" s="3"/>
      <c r="P22" s="3"/>
      <c r="Q22" s="3"/>
      <c r="R22" s="3"/>
      <c r="S22" s="3"/>
      <c r="T22" s="3"/>
      <c r="U22" s="3"/>
      <c r="V22" s="3"/>
      <c r="W22" s="3"/>
      <c r="X22" s="3"/>
      <c r="Y22" s="3"/>
      <c r="Z22" s="3"/>
    </row>
    <row r="23" ht="15.0" customHeight="1">
      <c r="A23" s="4" t="s">
        <v>26</v>
      </c>
      <c r="B23" s="49" t="s">
        <v>44</v>
      </c>
      <c r="C23" s="3"/>
      <c r="D23" s="3"/>
      <c r="E23" s="3"/>
      <c r="F23" s="12" t="s">
        <v>45</v>
      </c>
      <c r="G23" s="29">
        <v>40.0</v>
      </c>
      <c r="H23" s="28"/>
      <c r="I23" s="3"/>
      <c r="J23" s="3"/>
      <c r="K23" s="3"/>
      <c r="L23" s="3"/>
      <c r="M23" s="3"/>
      <c r="N23" s="3"/>
      <c r="O23" s="3"/>
      <c r="P23" s="3"/>
      <c r="Q23" s="3"/>
      <c r="R23" s="3"/>
      <c r="S23" s="3"/>
      <c r="T23" s="3"/>
      <c r="U23" s="3"/>
      <c r="V23" s="3"/>
      <c r="W23" s="3"/>
      <c r="X23" s="3"/>
      <c r="Y23" s="3"/>
      <c r="Z23" s="3"/>
    </row>
    <row r="24" ht="15.0" customHeight="1">
      <c r="A24" s="12" t="s">
        <v>46</v>
      </c>
      <c r="B24" s="18">
        <v>1110.0</v>
      </c>
      <c r="C24" s="3"/>
      <c r="D24" s="3"/>
      <c r="E24" s="3"/>
      <c r="F24" s="12" t="s">
        <v>22</v>
      </c>
      <c r="G24" s="29">
        <v>200.0</v>
      </c>
      <c r="H24" s="28"/>
      <c r="I24" s="3"/>
      <c r="J24" s="3"/>
      <c r="K24" s="3"/>
      <c r="L24" s="3"/>
      <c r="M24" s="3"/>
      <c r="N24" s="3"/>
      <c r="O24" s="3"/>
      <c r="P24" s="3"/>
      <c r="Q24" s="3"/>
      <c r="R24" s="3"/>
      <c r="S24" s="3"/>
      <c r="T24" s="3"/>
      <c r="U24" s="3"/>
      <c r="V24" s="3"/>
      <c r="W24" s="3"/>
      <c r="X24" s="3"/>
      <c r="Y24" s="3"/>
      <c r="Z24" s="3"/>
    </row>
    <row r="25" ht="15.0" customHeight="1">
      <c r="A25" s="12" t="s">
        <v>47</v>
      </c>
      <c r="B25" s="18">
        <f>10^3*(B24*0.3)/34.0147</f>
        <v>9789.884962</v>
      </c>
      <c r="C25" s="3"/>
      <c r="D25" s="3"/>
      <c r="E25" s="3"/>
      <c r="F25" s="12" t="s">
        <v>24</v>
      </c>
      <c r="G25" s="17">
        <f>G22*G11/G24</f>
        <v>100.0342106</v>
      </c>
      <c r="H25" s="28"/>
      <c r="I25" s="3"/>
      <c r="J25" s="3"/>
      <c r="K25" s="3"/>
      <c r="L25" s="3"/>
      <c r="M25" s="3"/>
      <c r="N25" s="3"/>
      <c r="O25" s="3"/>
      <c r="P25" s="3"/>
      <c r="Q25" s="3"/>
      <c r="R25" s="3"/>
      <c r="S25" s="3"/>
      <c r="T25" s="3"/>
      <c r="U25" s="3"/>
      <c r="V25" s="3"/>
      <c r="W25" s="3"/>
      <c r="X25" s="3"/>
      <c r="Y25" s="3"/>
      <c r="Z25" s="3"/>
    </row>
    <row r="26" ht="15.75" customHeight="1">
      <c r="A26" s="12" t="s">
        <v>48</v>
      </c>
      <c r="B26" s="50">
        <v>1.0</v>
      </c>
      <c r="C26" s="3"/>
      <c r="D26" s="3"/>
      <c r="E26" s="3"/>
      <c r="F26" s="9" t="s">
        <v>31</v>
      </c>
      <c r="G26" s="37">
        <f>G23*G15/G24</f>
        <v>100.0005128</v>
      </c>
      <c r="H26" s="11"/>
      <c r="I26" s="3"/>
      <c r="J26" s="3"/>
      <c r="K26" s="3"/>
      <c r="L26" s="3"/>
      <c r="M26" s="3"/>
      <c r="N26" s="3"/>
      <c r="O26" s="3"/>
      <c r="P26" s="3"/>
      <c r="Q26" s="3"/>
      <c r="R26" s="3"/>
      <c r="S26" s="3"/>
      <c r="T26" s="3"/>
      <c r="U26" s="3"/>
      <c r="V26" s="3"/>
      <c r="W26" s="3"/>
      <c r="X26" s="3"/>
      <c r="Y26" s="3"/>
      <c r="Z26" s="3"/>
    </row>
    <row r="27" ht="15.0" customHeight="1">
      <c r="A27" s="12" t="s">
        <v>49</v>
      </c>
      <c r="B27" s="50">
        <v>0.0</v>
      </c>
      <c r="C27" s="3"/>
      <c r="D27" s="3"/>
      <c r="E27" s="3"/>
      <c r="F27" s="51" t="s">
        <v>50</v>
      </c>
      <c r="G27" s="25"/>
      <c r="H27" s="52" t="s">
        <v>51</v>
      </c>
      <c r="I27" s="3"/>
      <c r="J27" s="3"/>
      <c r="K27" s="3"/>
      <c r="L27" s="3"/>
      <c r="M27" s="3"/>
      <c r="N27" s="3"/>
      <c r="O27" s="3"/>
      <c r="P27" s="3"/>
      <c r="Q27" s="3"/>
      <c r="R27" s="3"/>
      <c r="S27" s="3"/>
      <c r="T27" s="3"/>
      <c r="U27" s="3"/>
      <c r="V27" s="3"/>
      <c r="W27" s="3"/>
      <c r="X27" s="3"/>
      <c r="Y27" s="3"/>
      <c r="Z27" s="3"/>
    </row>
    <row r="28" ht="15.0" customHeight="1">
      <c r="A28" s="12" t="s">
        <v>52</v>
      </c>
      <c r="B28" s="18">
        <f>(B25*B26)/(B26+B27)</f>
        <v>9789.884962</v>
      </c>
      <c r="C28" s="3"/>
      <c r="D28" s="3"/>
      <c r="E28" s="3"/>
      <c r="F28" s="53" t="s">
        <v>53</v>
      </c>
      <c r="G28" s="29">
        <v>9.0</v>
      </c>
      <c r="H28" s="54">
        <v>9.28</v>
      </c>
      <c r="I28" s="3"/>
      <c r="J28" s="3"/>
      <c r="K28" s="3"/>
      <c r="L28" s="3"/>
      <c r="M28" s="3"/>
      <c r="N28" s="3"/>
      <c r="O28" s="3"/>
      <c r="P28" s="3"/>
      <c r="Q28" s="3"/>
      <c r="R28" s="3"/>
      <c r="S28" s="3"/>
      <c r="T28" s="3"/>
      <c r="U28" s="3"/>
      <c r="V28" s="3"/>
      <c r="W28" s="3"/>
      <c r="X28" s="3"/>
      <c r="Y28" s="3"/>
      <c r="Z28" s="3"/>
    </row>
    <row r="29" ht="15.75" customHeight="1">
      <c r="A29" s="31" t="s">
        <v>29</v>
      </c>
      <c r="B29" s="55">
        <v>0.0</v>
      </c>
      <c r="C29" s="3"/>
      <c r="D29" s="3"/>
      <c r="E29" s="3"/>
      <c r="F29" s="53" t="s">
        <v>22</v>
      </c>
      <c r="G29" s="29">
        <v>12.0</v>
      </c>
      <c r="H29" s="56" t="s">
        <v>54</v>
      </c>
      <c r="I29" s="3"/>
      <c r="J29" s="3"/>
      <c r="K29" s="3"/>
      <c r="L29" s="3"/>
      <c r="M29" s="3"/>
      <c r="N29" s="3"/>
      <c r="O29" s="3"/>
      <c r="P29" s="3"/>
      <c r="Q29" s="3"/>
      <c r="R29" s="3"/>
      <c r="S29" s="3"/>
      <c r="T29" s="3"/>
      <c r="U29" s="3"/>
      <c r="V29" s="3"/>
      <c r="W29" s="3"/>
      <c r="X29" s="3"/>
      <c r="Y29" s="3"/>
      <c r="Z29" s="3"/>
    </row>
    <row r="30" ht="15.75" customHeight="1">
      <c r="A30" s="24" t="s">
        <v>55</v>
      </c>
      <c r="B30" s="57"/>
      <c r="C30" s="57"/>
      <c r="D30" s="58"/>
      <c r="E30" s="3"/>
      <c r="F30" s="59" t="s">
        <v>56</v>
      </c>
      <c r="G30" s="60">
        <f>(G25+G26)*(G28/G29)</f>
        <v>150.0260425</v>
      </c>
      <c r="H30" s="61">
        <v>9.36</v>
      </c>
      <c r="I30" s="3"/>
      <c r="J30" s="3"/>
      <c r="K30" s="3"/>
      <c r="L30" s="3"/>
      <c r="M30" s="3"/>
      <c r="N30" s="3"/>
      <c r="O30" s="3"/>
      <c r="P30" s="3"/>
      <c r="Q30" s="3"/>
      <c r="R30" s="3"/>
      <c r="S30" s="3"/>
      <c r="T30" s="3"/>
      <c r="U30" s="3"/>
      <c r="V30" s="3"/>
      <c r="W30" s="3"/>
      <c r="X30" s="3"/>
      <c r="Y30" s="3"/>
      <c r="Z30" s="3"/>
    </row>
    <row r="31" ht="15.75" customHeight="1">
      <c r="A31" s="12" t="s">
        <v>32</v>
      </c>
      <c r="B31" s="17" t="s">
        <v>33</v>
      </c>
      <c r="C31" s="17" t="s">
        <v>22</v>
      </c>
      <c r="D31" s="18" t="s">
        <v>34</v>
      </c>
      <c r="E31" s="3"/>
      <c r="F31" s="3"/>
      <c r="G31" s="3"/>
      <c r="H31" s="3"/>
      <c r="I31" s="3"/>
      <c r="J31" s="3"/>
      <c r="K31" s="3"/>
      <c r="L31" s="3"/>
      <c r="M31" s="3"/>
      <c r="N31" s="3"/>
      <c r="O31" s="3"/>
      <c r="P31" s="3"/>
      <c r="Q31" s="3"/>
      <c r="R31" s="3"/>
      <c r="S31" s="3"/>
      <c r="T31" s="3"/>
      <c r="U31" s="3"/>
      <c r="V31" s="3"/>
      <c r="W31" s="3"/>
      <c r="X31" s="3"/>
      <c r="Y31" s="3"/>
      <c r="Z31" s="3"/>
    </row>
    <row r="32" ht="15.0" customHeight="1">
      <c r="A32" s="12" t="s">
        <v>57</v>
      </c>
      <c r="B32" s="29">
        <v>0.48</v>
      </c>
      <c r="C32" s="29">
        <v>10.0</v>
      </c>
      <c r="D32" s="35">
        <f t="shared" ref="D32:D35" si="2">$B$28*(B32/C32)</f>
        <v>469.9144782</v>
      </c>
      <c r="E32" s="3"/>
      <c r="F32" s="4" t="s">
        <v>58</v>
      </c>
      <c r="G32" s="6"/>
      <c r="H32" s="3"/>
      <c r="I32" s="3"/>
      <c r="J32" s="3"/>
      <c r="K32" s="3"/>
      <c r="L32" s="3"/>
      <c r="M32" s="3"/>
      <c r="N32" s="3"/>
      <c r="O32" s="3"/>
      <c r="P32" s="3"/>
      <c r="Q32" s="3"/>
      <c r="R32" s="3"/>
      <c r="S32" s="3"/>
      <c r="T32" s="3"/>
      <c r="U32" s="3"/>
      <c r="V32" s="3"/>
      <c r="W32" s="3"/>
      <c r="X32" s="3"/>
      <c r="Y32" s="3"/>
      <c r="Z32" s="3"/>
    </row>
    <row r="33" ht="15.0" customHeight="1">
      <c r="A33" s="12" t="s">
        <v>59</v>
      </c>
      <c r="B33" s="29">
        <v>0.34</v>
      </c>
      <c r="C33" s="29">
        <v>10.0</v>
      </c>
      <c r="D33" s="35">
        <f t="shared" si="2"/>
        <v>332.8560887</v>
      </c>
      <c r="E33" s="3"/>
      <c r="F33" s="12" t="s">
        <v>60</v>
      </c>
      <c r="G33" s="30">
        <v>0.0</v>
      </c>
      <c r="H33" s="3"/>
      <c r="I33" s="3"/>
      <c r="J33" s="3"/>
      <c r="K33" s="3"/>
      <c r="L33" s="3"/>
      <c r="M33" s="3"/>
      <c r="N33" s="3"/>
      <c r="O33" s="3"/>
      <c r="P33" s="3"/>
      <c r="Q33" s="3"/>
      <c r="R33" s="3"/>
      <c r="S33" s="3"/>
      <c r="T33" s="3"/>
      <c r="U33" s="3"/>
      <c r="V33" s="3"/>
      <c r="W33" s="3"/>
      <c r="X33" s="3"/>
      <c r="Y33" s="3"/>
      <c r="Z33" s="3"/>
    </row>
    <row r="34" ht="15.0" customHeight="1">
      <c r="A34" s="12" t="s">
        <v>61</v>
      </c>
      <c r="B34" s="29">
        <v>0.2</v>
      </c>
      <c r="C34" s="29">
        <v>10.0</v>
      </c>
      <c r="D34" s="35">
        <f t="shared" si="2"/>
        <v>195.7976992</v>
      </c>
      <c r="E34" s="3"/>
      <c r="F34" s="12" t="s">
        <v>62</v>
      </c>
      <c r="G34" s="30">
        <v>1.0</v>
      </c>
      <c r="H34" s="3"/>
      <c r="I34" s="3"/>
      <c r="J34" s="3"/>
      <c r="K34" s="3"/>
      <c r="L34" s="3"/>
      <c r="M34" s="3"/>
      <c r="N34" s="3"/>
      <c r="O34" s="3"/>
      <c r="P34" s="3"/>
      <c r="Q34" s="3"/>
      <c r="R34" s="3"/>
      <c r="S34" s="3"/>
      <c r="T34" s="3"/>
      <c r="U34" s="3"/>
      <c r="V34" s="3"/>
      <c r="W34" s="3"/>
      <c r="X34" s="3"/>
      <c r="Y34" s="3"/>
      <c r="Z34" s="3"/>
    </row>
    <row r="35" ht="15.75" customHeight="1">
      <c r="A35" s="12" t="s">
        <v>63</v>
      </c>
      <c r="B35" s="29">
        <v>0.07</v>
      </c>
      <c r="C35" s="29">
        <v>10.0</v>
      </c>
      <c r="D35" s="35">
        <f t="shared" si="2"/>
        <v>68.52919473</v>
      </c>
      <c r="E35" s="3"/>
      <c r="F35" s="31" t="s">
        <v>29</v>
      </c>
      <c r="G35" s="23">
        <v>0.0</v>
      </c>
      <c r="H35" s="3"/>
      <c r="I35" s="3"/>
      <c r="J35" s="3"/>
      <c r="K35" s="3"/>
      <c r="L35" s="3"/>
      <c r="M35" s="3"/>
      <c r="N35" s="3"/>
      <c r="O35" s="3"/>
      <c r="P35" s="3"/>
      <c r="Q35" s="3"/>
      <c r="R35" s="3"/>
      <c r="S35" s="3"/>
      <c r="T35" s="3"/>
      <c r="U35" s="3"/>
      <c r="V35" s="3"/>
      <c r="W35" s="3"/>
      <c r="X35" s="3"/>
      <c r="Y35" s="3"/>
      <c r="Z35" s="3"/>
    </row>
    <row r="36" ht="15.75" customHeight="1">
      <c r="A36" s="31" t="s">
        <v>29</v>
      </c>
      <c r="B36" s="46">
        <v>0.0</v>
      </c>
      <c r="C36" s="47"/>
      <c r="D36" s="48"/>
      <c r="E36" s="3"/>
      <c r="F36" s="3"/>
      <c r="G36" s="3"/>
      <c r="H36" s="3"/>
      <c r="I36" s="3"/>
      <c r="J36" s="3"/>
      <c r="K36" s="3"/>
      <c r="L36" s="3"/>
      <c r="M36" s="3"/>
      <c r="N36" s="3"/>
      <c r="O36" s="3"/>
      <c r="P36" s="3"/>
      <c r="Q36" s="3"/>
      <c r="R36" s="3"/>
      <c r="S36" s="3"/>
      <c r="T36" s="3"/>
      <c r="U36" s="3"/>
      <c r="V36" s="3"/>
      <c r="W36" s="3"/>
      <c r="X36" s="3"/>
      <c r="Y36" s="3"/>
      <c r="Z36" s="3"/>
    </row>
    <row r="37" ht="15.0" customHeight="1">
      <c r="A37" s="3"/>
      <c r="B37" s="3"/>
      <c r="C37" s="3"/>
      <c r="D37" s="3"/>
      <c r="E37" s="3"/>
      <c r="F37" s="4" t="s">
        <v>64</v>
      </c>
      <c r="G37" s="6"/>
      <c r="H37" s="3"/>
      <c r="I37" s="3"/>
      <c r="J37" s="3"/>
      <c r="K37" s="3"/>
      <c r="L37" s="3"/>
      <c r="M37" s="3"/>
      <c r="N37" s="3"/>
      <c r="O37" s="3"/>
      <c r="P37" s="3"/>
      <c r="Q37" s="3"/>
      <c r="R37" s="3"/>
      <c r="S37" s="3"/>
      <c r="T37" s="3"/>
      <c r="U37" s="3"/>
      <c r="V37" s="3"/>
      <c r="W37" s="3"/>
      <c r="X37" s="3"/>
      <c r="Y37" s="3"/>
      <c r="Z37" s="3"/>
    </row>
    <row r="38" ht="15.0" customHeight="1">
      <c r="A38" s="3"/>
      <c r="B38" s="3"/>
      <c r="C38" s="3"/>
      <c r="D38" s="3"/>
      <c r="E38" s="3"/>
      <c r="F38" s="12" t="s">
        <v>65</v>
      </c>
      <c r="G38" s="18">
        <v>1054.29</v>
      </c>
      <c r="H38" s="3"/>
      <c r="I38" s="3"/>
      <c r="J38" s="3"/>
      <c r="K38" s="3"/>
      <c r="L38" s="3"/>
      <c r="M38" s="3"/>
      <c r="N38" s="3"/>
      <c r="O38" s="3"/>
      <c r="P38" s="3"/>
      <c r="Q38" s="3"/>
      <c r="R38" s="3"/>
      <c r="S38" s="3"/>
      <c r="T38" s="3"/>
      <c r="U38" s="3"/>
      <c r="V38" s="3"/>
      <c r="W38" s="3"/>
      <c r="X38" s="3"/>
      <c r="Y38" s="3"/>
      <c r="Z38" s="3"/>
    </row>
    <row r="39" ht="15.0" customHeight="1">
      <c r="A39" s="3"/>
      <c r="B39" s="62"/>
      <c r="C39" s="3"/>
      <c r="D39" s="3"/>
      <c r="E39" s="3"/>
      <c r="F39" s="12" t="s">
        <v>66</v>
      </c>
      <c r="G39" s="30">
        <v>0.0058</v>
      </c>
      <c r="H39" s="3"/>
      <c r="I39" s="3"/>
      <c r="J39" s="3"/>
      <c r="K39" s="3"/>
      <c r="L39" s="3"/>
      <c r="M39" s="3"/>
      <c r="N39" s="3"/>
      <c r="O39" s="3"/>
      <c r="P39" s="3"/>
      <c r="Q39" s="3"/>
      <c r="R39" s="3"/>
      <c r="S39" s="3"/>
      <c r="T39" s="3"/>
      <c r="U39" s="3"/>
      <c r="V39" s="3"/>
      <c r="W39" s="3"/>
      <c r="X39" s="3"/>
      <c r="Y39" s="3"/>
      <c r="Z39" s="3"/>
    </row>
    <row r="40" ht="15.0" customHeight="1">
      <c r="A40" s="3"/>
      <c r="B40" s="3"/>
      <c r="C40" s="3"/>
      <c r="D40" s="3"/>
      <c r="E40" s="3"/>
      <c r="F40" s="12" t="s">
        <v>67</v>
      </c>
      <c r="G40" s="50">
        <v>4.0</v>
      </c>
      <c r="H40" s="3"/>
      <c r="I40" s="3"/>
      <c r="J40" s="3"/>
      <c r="K40" s="3"/>
      <c r="L40" s="3"/>
      <c r="M40" s="3"/>
      <c r="N40" s="3"/>
      <c r="O40" s="3"/>
      <c r="P40" s="3"/>
      <c r="Q40" s="3"/>
      <c r="R40" s="3"/>
      <c r="S40" s="3"/>
      <c r="T40" s="3"/>
      <c r="U40" s="3"/>
      <c r="V40" s="3"/>
      <c r="W40" s="3"/>
      <c r="X40" s="3"/>
      <c r="Y40" s="3"/>
      <c r="Z40" s="3"/>
    </row>
    <row r="41" ht="15.0" customHeight="1">
      <c r="A41" s="3"/>
      <c r="B41" s="3"/>
      <c r="C41" s="3"/>
      <c r="D41" s="3"/>
      <c r="E41" s="3"/>
      <c r="F41" s="12" t="s">
        <v>47</v>
      </c>
      <c r="G41" s="18">
        <f>10^6*(G39/G38)/G40</f>
        <v>1.375333163</v>
      </c>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1" t="s">
        <v>29</v>
      </c>
      <c r="G42" s="55">
        <v>0.0</v>
      </c>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63"/>
      <c r="B44" s="63"/>
      <c r="C44" s="63"/>
      <c r="D44" s="63"/>
      <c r="E44" s="63"/>
      <c r="F44" s="63"/>
      <c r="G44" s="63"/>
      <c r="H44" s="63"/>
      <c r="I44" s="63"/>
      <c r="J44" s="64"/>
      <c r="K44" s="63"/>
      <c r="L44" s="63"/>
      <c r="M44" s="3"/>
      <c r="N44" s="3"/>
      <c r="O44" s="3"/>
      <c r="P44" s="3"/>
      <c r="Q44" s="3"/>
      <c r="R44" s="3"/>
      <c r="S44" s="3"/>
      <c r="T44" s="3"/>
      <c r="U44" s="3"/>
      <c r="V44" s="3"/>
      <c r="W44" s="3"/>
      <c r="X44" s="3"/>
      <c r="Y44" s="3"/>
      <c r="Z44" s="3"/>
    </row>
    <row r="45" ht="15.75" customHeight="1">
      <c r="A45" s="65" t="s">
        <v>68</v>
      </c>
      <c r="B45" s="66" t="s">
        <v>69</v>
      </c>
      <c r="C45" s="66" t="s">
        <v>70</v>
      </c>
      <c r="D45" s="66" t="s">
        <v>71</v>
      </c>
      <c r="E45" s="66" t="s">
        <v>72</v>
      </c>
      <c r="F45" s="66" t="s">
        <v>73</v>
      </c>
      <c r="G45" s="65" t="s">
        <v>74</v>
      </c>
      <c r="H45" s="65" t="s">
        <v>75</v>
      </c>
      <c r="I45" s="65" t="s">
        <v>52</v>
      </c>
      <c r="J45" s="65" t="s">
        <v>76</v>
      </c>
      <c r="K45" s="67" t="s">
        <v>77</v>
      </c>
      <c r="L45" s="67" t="s">
        <v>78</v>
      </c>
      <c r="M45" s="3"/>
      <c r="N45" s="3"/>
      <c r="O45" s="3"/>
      <c r="P45" s="3"/>
      <c r="Q45" s="3"/>
      <c r="R45" s="3"/>
      <c r="S45" s="3"/>
      <c r="T45" s="3"/>
      <c r="U45" s="3"/>
      <c r="V45" s="3"/>
      <c r="W45" s="3"/>
      <c r="X45" s="3"/>
      <c r="Y45" s="3"/>
      <c r="Z45" s="3"/>
    </row>
    <row r="46" ht="15.0" customHeight="1">
      <c r="A46" s="68" t="s">
        <v>79</v>
      </c>
      <c r="B46" s="69">
        <v>0.01</v>
      </c>
      <c r="C46" s="69">
        <v>0.015</v>
      </c>
      <c r="D46" s="69">
        <v>0.5</v>
      </c>
      <c r="E46" s="69">
        <v>0.4</v>
      </c>
      <c r="F46" s="69">
        <v>0.075</v>
      </c>
      <c r="G46" s="70">
        <f t="shared" ref="G46:G59" si="3">SUM(A46:F46)</f>
        <v>1</v>
      </c>
      <c r="H46" s="71">
        <f>$D$17*E46</f>
        <v>10.8156094</v>
      </c>
      <c r="I46" s="72">
        <f>(F46*D32)/G46</f>
        <v>35.24358586</v>
      </c>
      <c r="J46" s="72">
        <f t="shared" ref="J46:J52" si="4">C46*$G$41/G46</f>
        <v>0.02062999744</v>
      </c>
      <c r="K46" s="73">
        <f t="shared" ref="K46:K59" si="5">($G$30*D46)/G46</f>
        <v>75.01302127</v>
      </c>
      <c r="L46" s="74">
        <f t="shared" ref="L46:L59" si="6">100*($B$21*E46+$G$42*C46+F46*$B$36+D46*$G$16+B46*$G$35)/G46</f>
        <v>0</v>
      </c>
      <c r="M46" s="3"/>
      <c r="N46" s="3"/>
      <c r="O46" s="3"/>
      <c r="P46" s="3"/>
      <c r="Q46" s="3"/>
      <c r="R46" s="3"/>
      <c r="S46" s="3"/>
      <c r="T46" s="3"/>
      <c r="U46" s="3"/>
      <c r="V46" s="3"/>
      <c r="W46" s="3"/>
      <c r="X46" s="3"/>
      <c r="Y46" s="3"/>
      <c r="Z46" s="3"/>
    </row>
    <row r="47" ht="15.0" customHeight="1">
      <c r="A47" s="75" t="s">
        <v>80</v>
      </c>
      <c r="B47" s="76">
        <v>0.01</v>
      </c>
      <c r="C47" s="76">
        <v>0.015</v>
      </c>
      <c r="D47" s="76">
        <v>0.5</v>
      </c>
      <c r="E47" s="76">
        <v>0.4</v>
      </c>
      <c r="F47" s="76">
        <v>0.075</v>
      </c>
      <c r="G47" s="77">
        <f t="shared" si="3"/>
        <v>1</v>
      </c>
      <c r="H47" s="73">
        <f>$D$18*E47</f>
        <v>3.028370631</v>
      </c>
      <c r="I47" s="73">
        <f>(F47*D32)/G47</f>
        <v>35.24358586</v>
      </c>
      <c r="J47" s="73">
        <f t="shared" si="4"/>
        <v>0.02062999744</v>
      </c>
      <c r="K47" s="73">
        <f t="shared" si="5"/>
        <v>75.01302127</v>
      </c>
      <c r="L47" s="73">
        <f t="shared" si="6"/>
        <v>0</v>
      </c>
      <c r="M47" s="3"/>
      <c r="N47" s="3"/>
      <c r="O47" s="3"/>
      <c r="P47" s="3"/>
      <c r="Q47" s="3"/>
      <c r="R47" s="3"/>
      <c r="S47" s="3"/>
      <c r="T47" s="3"/>
      <c r="U47" s="3"/>
      <c r="V47" s="3"/>
      <c r="W47" s="3"/>
      <c r="X47" s="3"/>
      <c r="Y47" s="3"/>
      <c r="Z47" s="3"/>
    </row>
    <row r="48" ht="15.0" customHeight="1">
      <c r="A48" s="75" t="s">
        <v>81</v>
      </c>
      <c r="B48" s="76">
        <v>0.01</v>
      </c>
      <c r="C48" s="76">
        <v>0.015</v>
      </c>
      <c r="D48" s="76">
        <v>0.5</v>
      </c>
      <c r="E48" s="76">
        <v>0.4</v>
      </c>
      <c r="F48" s="76">
        <v>0.075</v>
      </c>
      <c r="G48" s="77">
        <f t="shared" si="3"/>
        <v>1</v>
      </c>
      <c r="H48" s="73">
        <f>$D$19*E48</f>
        <v>0.8652487516</v>
      </c>
      <c r="I48" s="73">
        <f t="shared" ref="I48:I49" si="7">(F48*$D$32)/G48</f>
        <v>35.24358586</v>
      </c>
      <c r="J48" s="73">
        <f t="shared" si="4"/>
        <v>0.02062999744</v>
      </c>
      <c r="K48" s="73">
        <f t="shared" si="5"/>
        <v>75.01302127</v>
      </c>
      <c r="L48" s="73">
        <f t="shared" si="6"/>
        <v>0</v>
      </c>
      <c r="M48" s="3"/>
      <c r="N48" s="3"/>
      <c r="O48" s="3"/>
      <c r="P48" s="3"/>
      <c r="Q48" s="3"/>
      <c r="R48" s="3"/>
      <c r="S48" s="3"/>
      <c r="T48" s="3"/>
      <c r="U48" s="3"/>
      <c r="V48" s="3"/>
      <c r="W48" s="3"/>
      <c r="X48" s="3"/>
      <c r="Y48" s="3"/>
      <c r="Z48" s="3"/>
    </row>
    <row r="49" ht="15.0" customHeight="1">
      <c r="A49" s="75" t="s">
        <v>82</v>
      </c>
      <c r="B49" s="76">
        <v>0.01</v>
      </c>
      <c r="C49" s="76">
        <v>0.015</v>
      </c>
      <c r="D49" s="76">
        <v>0.5</v>
      </c>
      <c r="E49" s="76">
        <v>0.4</v>
      </c>
      <c r="F49" s="76">
        <v>0.075</v>
      </c>
      <c r="G49" s="77">
        <f t="shared" si="3"/>
        <v>1</v>
      </c>
      <c r="H49" s="73">
        <f>$D$20*E49</f>
        <v>0.2163121879</v>
      </c>
      <c r="I49" s="73">
        <f t="shared" si="7"/>
        <v>35.24358586</v>
      </c>
      <c r="J49" s="73">
        <f t="shared" si="4"/>
        <v>0.02062999744</v>
      </c>
      <c r="K49" s="73">
        <f t="shared" si="5"/>
        <v>75.01302127</v>
      </c>
      <c r="L49" s="73">
        <f t="shared" si="6"/>
        <v>0</v>
      </c>
      <c r="M49" s="3"/>
      <c r="N49" s="3"/>
      <c r="O49" s="3"/>
      <c r="P49" s="3"/>
      <c r="Q49" s="3"/>
      <c r="R49" s="3"/>
      <c r="S49" s="3"/>
      <c r="T49" s="3"/>
      <c r="U49" s="3"/>
      <c r="V49" s="3"/>
      <c r="W49" s="3"/>
      <c r="X49" s="3"/>
      <c r="Y49" s="3"/>
      <c r="Z49" s="3"/>
    </row>
    <row r="50" ht="15.0" customHeight="1">
      <c r="A50" s="78" t="s">
        <v>83</v>
      </c>
      <c r="B50" s="79">
        <v>0.01</v>
      </c>
      <c r="C50" s="79">
        <v>0.015</v>
      </c>
      <c r="D50" s="79">
        <v>0.5</v>
      </c>
      <c r="E50" s="79">
        <v>0.4</v>
      </c>
      <c r="F50" s="79">
        <v>0.075</v>
      </c>
      <c r="G50" s="80">
        <f t="shared" si="3"/>
        <v>1</v>
      </c>
      <c r="H50" s="81">
        <f t="shared" ref="H50:H52" si="8">$D$17*E50</f>
        <v>10.8156094</v>
      </c>
      <c r="I50" s="73">
        <f>(F50*$D$33)/G50</f>
        <v>24.96420665</v>
      </c>
      <c r="J50" s="73">
        <f t="shared" si="4"/>
        <v>0.02062999744</v>
      </c>
      <c r="K50" s="73">
        <f t="shared" si="5"/>
        <v>75.01302127</v>
      </c>
      <c r="L50" s="81">
        <f t="shared" si="6"/>
        <v>0</v>
      </c>
      <c r="M50" s="3"/>
      <c r="N50" s="3"/>
      <c r="O50" s="3"/>
      <c r="P50" s="3"/>
      <c r="Q50" s="3"/>
      <c r="R50" s="3"/>
      <c r="S50" s="3"/>
      <c r="T50" s="3"/>
      <c r="U50" s="3"/>
      <c r="V50" s="3"/>
      <c r="W50" s="3"/>
      <c r="X50" s="3"/>
      <c r="Y50" s="3"/>
      <c r="Z50" s="3"/>
    </row>
    <row r="51" ht="15.0" customHeight="1">
      <c r="A51" s="82" t="s">
        <v>84</v>
      </c>
      <c r="B51" s="76">
        <v>0.01</v>
      </c>
      <c r="C51" s="76">
        <v>0.015</v>
      </c>
      <c r="D51" s="76">
        <v>0.5</v>
      </c>
      <c r="E51" s="76">
        <v>0.4</v>
      </c>
      <c r="F51" s="76">
        <v>0.075</v>
      </c>
      <c r="G51" s="73">
        <f t="shared" si="3"/>
        <v>1</v>
      </c>
      <c r="H51" s="73">
        <f t="shared" si="8"/>
        <v>10.8156094</v>
      </c>
      <c r="I51" s="73">
        <f>(F51*$D$34)/G51</f>
        <v>14.68482744</v>
      </c>
      <c r="J51" s="73">
        <f t="shared" si="4"/>
        <v>0.02062999744</v>
      </c>
      <c r="K51" s="73">
        <f t="shared" si="5"/>
        <v>75.01302127</v>
      </c>
      <c r="L51" s="73">
        <f t="shared" si="6"/>
        <v>0</v>
      </c>
      <c r="M51" s="3"/>
      <c r="N51" s="3"/>
      <c r="O51" s="3"/>
      <c r="P51" s="3"/>
      <c r="Q51" s="3"/>
      <c r="R51" s="3"/>
      <c r="S51" s="3"/>
      <c r="T51" s="3"/>
      <c r="U51" s="3"/>
      <c r="V51" s="3"/>
      <c r="W51" s="3"/>
      <c r="X51" s="3"/>
      <c r="Y51" s="3"/>
      <c r="Z51" s="3"/>
    </row>
    <row r="52" ht="15.75" customHeight="1">
      <c r="A52" s="83" t="s">
        <v>85</v>
      </c>
      <c r="B52" s="84">
        <v>0.01</v>
      </c>
      <c r="C52" s="84">
        <v>0.015</v>
      </c>
      <c r="D52" s="84">
        <v>0.5</v>
      </c>
      <c r="E52" s="84">
        <v>0.4</v>
      </c>
      <c r="F52" s="84">
        <v>0.075</v>
      </c>
      <c r="G52" s="85">
        <f t="shared" si="3"/>
        <v>1</v>
      </c>
      <c r="H52" s="86">
        <f t="shared" si="8"/>
        <v>10.8156094</v>
      </c>
      <c r="I52" s="86">
        <f>(F52*$D$35)/G52</f>
        <v>5.139689605</v>
      </c>
      <c r="J52" s="74">
        <f t="shared" si="4"/>
        <v>0.02062999744</v>
      </c>
      <c r="K52" s="87">
        <f t="shared" si="5"/>
        <v>75.01302127</v>
      </c>
      <c r="L52" s="86">
        <f t="shared" si="6"/>
        <v>0</v>
      </c>
      <c r="M52" s="3"/>
      <c r="N52" s="3"/>
      <c r="O52" s="3"/>
      <c r="P52" s="3"/>
      <c r="Q52" s="3"/>
      <c r="R52" s="3"/>
      <c r="S52" s="3"/>
      <c r="T52" s="3"/>
      <c r="U52" s="3"/>
      <c r="V52" s="3"/>
      <c r="W52" s="3"/>
      <c r="X52" s="3"/>
      <c r="Y52" s="3"/>
      <c r="Z52" s="3"/>
    </row>
    <row r="53" ht="15.0" customHeight="1">
      <c r="A53" s="68" t="s">
        <v>86</v>
      </c>
      <c r="B53" s="88">
        <f t="shared" ref="B53:B59" si="10">(B46+C46)*2</f>
        <v>0.05</v>
      </c>
      <c r="C53" s="88">
        <v>0.0</v>
      </c>
      <c r="D53" s="88">
        <f t="shared" ref="D53:F53" si="9">D46*2</f>
        <v>1</v>
      </c>
      <c r="E53" s="88">
        <f t="shared" si="9"/>
        <v>0.8</v>
      </c>
      <c r="F53" s="88">
        <f t="shared" si="9"/>
        <v>0.15</v>
      </c>
      <c r="G53" s="70">
        <f t="shared" si="3"/>
        <v>2</v>
      </c>
      <c r="H53" s="71">
        <f>$D$17*E53/G53</f>
        <v>10.8156094</v>
      </c>
      <c r="I53" s="71">
        <f t="shared" ref="I53:I56" si="12">(F53*$D$32)/G53</f>
        <v>35.24358586</v>
      </c>
      <c r="J53" s="72">
        <f t="shared" ref="J53:J59" si="13">C53*$G$41/G53*1000</f>
        <v>0</v>
      </c>
      <c r="K53" s="74">
        <f t="shared" si="5"/>
        <v>75.01302127</v>
      </c>
      <c r="L53" s="74">
        <f t="shared" si="6"/>
        <v>0</v>
      </c>
      <c r="M53" s="3"/>
      <c r="N53" s="3"/>
      <c r="O53" s="3"/>
      <c r="P53" s="3"/>
      <c r="Q53" s="3"/>
      <c r="R53" s="3"/>
      <c r="S53" s="3"/>
      <c r="T53" s="3"/>
      <c r="U53" s="3"/>
      <c r="V53" s="3"/>
      <c r="W53" s="3"/>
      <c r="X53" s="3"/>
      <c r="Y53" s="3"/>
      <c r="Z53" s="3"/>
    </row>
    <row r="54" ht="15.0" customHeight="1">
      <c r="A54" s="75" t="s">
        <v>87</v>
      </c>
      <c r="B54" s="88">
        <f t="shared" si="10"/>
        <v>0.05</v>
      </c>
      <c r="C54" s="76">
        <v>0.0</v>
      </c>
      <c r="D54" s="88">
        <f t="shared" ref="D54:F54" si="11">D47*2</f>
        <v>1</v>
      </c>
      <c r="E54" s="88">
        <f t="shared" si="11"/>
        <v>0.8</v>
      </c>
      <c r="F54" s="88">
        <f t="shared" si="11"/>
        <v>0.15</v>
      </c>
      <c r="G54" s="77">
        <f t="shared" si="3"/>
        <v>2</v>
      </c>
      <c r="H54" s="73">
        <f>$D$18*E54/G54</f>
        <v>3.028370631</v>
      </c>
      <c r="I54" s="73">
        <f t="shared" si="12"/>
        <v>35.24358586</v>
      </c>
      <c r="J54" s="73">
        <f t="shared" si="13"/>
        <v>0</v>
      </c>
      <c r="K54" s="73">
        <f t="shared" si="5"/>
        <v>75.01302127</v>
      </c>
      <c r="L54" s="73">
        <f t="shared" si="6"/>
        <v>0</v>
      </c>
      <c r="M54" s="3"/>
      <c r="N54" s="3"/>
      <c r="O54" s="3"/>
      <c r="P54" s="3"/>
      <c r="Q54" s="3"/>
      <c r="R54" s="3"/>
      <c r="S54" s="3"/>
      <c r="T54" s="3"/>
      <c r="U54" s="3"/>
      <c r="V54" s="3"/>
      <c r="W54" s="3"/>
      <c r="X54" s="3"/>
      <c r="Y54" s="3"/>
      <c r="Z54" s="3"/>
    </row>
    <row r="55" ht="15.0" customHeight="1">
      <c r="A55" s="75" t="s">
        <v>88</v>
      </c>
      <c r="B55" s="88">
        <f t="shared" si="10"/>
        <v>0.05</v>
      </c>
      <c r="C55" s="76">
        <v>0.0</v>
      </c>
      <c r="D55" s="88">
        <f t="shared" ref="D55:F55" si="14">D48*2</f>
        <v>1</v>
      </c>
      <c r="E55" s="88">
        <f t="shared" si="14"/>
        <v>0.8</v>
      </c>
      <c r="F55" s="88">
        <f t="shared" si="14"/>
        <v>0.15</v>
      </c>
      <c r="G55" s="77">
        <f t="shared" si="3"/>
        <v>2</v>
      </c>
      <c r="H55" s="73">
        <f>$D$19*E55/G55</f>
        <v>0.8652487516</v>
      </c>
      <c r="I55" s="73">
        <f t="shared" si="12"/>
        <v>35.24358586</v>
      </c>
      <c r="J55" s="73">
        <f t="shared" si="13"/>
        <v>0</v>
      </c>
      <c r="K55" s="73">
        <f t="shared" si="5"/>
        <v>75.01302127</v>
      </c>
      <c r="L55" s="73">
        <f t="shared" si="6"/>
        <v>0</v>
      </c>
      <c r="M55" s="3"/>
      <c r="N55" s="3"/>
      <c r="O55" s="3"/>
      <c r="P55" s="3"/>
      <c r="Q55" s="3"/>
      <c r="R55" s="3"/>
      <c r="S55" s="3"/>
      <c r="T55" s="3"/>
      <c r="U55" s="3"/>
      <c r="V55" s="3"/>
      <c r="W55" s="3"/>
      <c r="X55" s="3"/>
      <c r="Y55" s="3"/>
      <c r="Z55" s="3"/>
    </row>
    <row r="56" ht="15.0" customHeight="1">
      <c r="A56" s="75" t="s">
        <v>89</v>
      </c>
      <c r="B56" s="88">
        <f t="shared" si="10"/>
        <v>0.05</v>
      </c>
      <c r="C56" s="76">
        <v>0.0</v>
      </c>
      <c r="D56" s="88">
        <f t="shared" ref="D56:F56" si="15">D49*2</f>
        <v>1</v>
      </c>
      <c r="E56" s="88">
        <f t="shared" si="15"/>
        <v>0.8</v>
      </c>
      <c r="F56" s="88">
        <f t="shared" si="15"/>
        <v>0.15</v>
      </c>
      <c r="G56" s="77">
        <f t="shared" si="3"/>
        <v>2</v>
      </c>
      <c r="H56" s="73">
        <f>$D$20*E56/G56</f>
        <v>0.2163121879</v>
      </c>
      <c r="I56" s="73">
        <f t="shared" si="12"/>
        <v>35.24358586</v>
      </c>
      <c r="J56" s="73">
        <f t="shared" si="13"/>
        <v>0</v>
      </c>
      <c r="K56" s="73">
        <f t="shared" si="5"/>
        <v>75.01302127</v>
      </c>
      <c r="L56" s="73">
        <f t="shared" si="6"/>
        <v>0</v>
      </c>
      <c r="M56" s="3"/>
      <c r="N56" s="3"/>
      <c r="O56" s="3"/>
      <c r="P56" s="3"/>
      <c r="Q56" s="3"/>
      <c r="R56" s="3"/>
      <c r="S56" s="3"/>
      <c r="T56" s="3"/>
      <c r="U56" s="3"/>
      <c r="V56" s="3"/>
      <c r="W56" s="3"/>
      <c r="X56" s="3"/>
      <c r="Y56" s="3"/>
      <c r="Z56" s="3"/>
    </row>
    <row r="57" ht="15.0" customHeight="1">
      <c r="A57" s="78" t="s">
        <v>90</v>
      </c>
      <c r="B57" s="88">
        <f t="shared" si="10"/>
        <v>0.05</v>
      </c>
      <c r="C57" s="79">
        <v>0.0</v>
      </c>
      <c r="D57" s="79">
        <f t="shared" ref="D57:F57" si="16">D50*2</f>
        <v>1</v>
      </c>
      <c r="E57" s="79">
        <f t="shared" si="16"/>
        <v>0.8</v>
      </c>
      <c r="F57" s="79">
        <f t="shared" si="16"/>
        <v>0.15</v>
      </c>
      <c r="G57" s="80">
        <f t="shared" si="3"/>
        <v>2</v>
      </c>
      <c r="H57" s="81">
        <f t="shared" ref="H57:H59" si="18">$D$17*E57/G57</f>
        <v>10.8156094</v>
      </c>
      <c r="I57" s="81">
        <f>(F57*$D$33)/G57</f>
        <v>24.96420665</v>
      </c>
      <c r="J57" s="73">
        <f t="shared" si="13"/>
        <v>0</v>
      </c>
      <c r="K57" s="73">
        <f t="shared" si="5"/>
        <v>75.01302127</v>
      </c>
      <c r="L57" s="81">
        <f t="shared" si="6"/>
        <v>0</v>
      </c>
      <c r="M57" s="3"/>
      <c r="N57" s="3"/>
      <c r="O57" s="3"/>
      <c r="P57" s="3"/>
      <c r="Q57" s="3"/>
      <c r="R57" s="3"/>
      <c r="S57" s="3"/>
      <c r="T57" s="3"/>
      <c r="U57" s="3"/>
      <c r="V57" s="3"/>
      <c r="W57" s="3"/>
      <c r="X57" s="3"/>
      <c r="Y57" s="3"/>
      <c r="Z57" s="3"/>
    </row>
    <row r="58" ht="15.0" customHeight="1">
      <c r="A58" s="82" t="s">
        <v>91</v>
      </c>
      <c r="B58" s="88">
        <f t="shared" si="10"/>
        <v>0.05</v>
      </c>
      <c r="C58" s="76">
        <v>0.0</v>
      </c>
      <c r="D58" s="76">
        <f t="shared" ref="D58:F58" si="17">D51*2</f>
        <v>1</v>
      </c>
      <c r="E58" s="76">
        <f t="shared" si="17"/>
        <v>0.8</v>
      </c>
      <c r="F58" s="76">
        <f t="shared" si="17"/>
        <v>0.15</v>
      </c>
      <c r="G58" s="73">
        <f t="shared" si="3"/>
        <v>2</v>
      </c>
      <c r="H58" s="73">
        <f t="shared" si="18"/>
        <v>10.8156094</v>
      </c>
      <c r="I58" s="73">
        <f>(F58*$D$34)/G58</f>
        <v>14.68482744</v>
      </c>
      <c r="J58" s="73">
        <f t="shared" si="13"/>
        <v>0</v>
      </c>
      <c r="K58" s="73">
        <f t="shared" si="5"/>
        <v>75.01302127</v>
      </c>
      <c r="L58" s="73">
        <f t="shared" si="6"/>
        <v>0</v>
      </c>
      <c r="M58" s="3"/>
      <c r="N58" s="3"/>
      <c r="O58" s="3"/>
      <c r="P58" s="3"/>
      <c r="Q58" s="3"/>
      <c r="R58" s="3"/>
      <c r="S58" s="3"/>
      <c r="T58" s="3"/>
      <c r="U58" s="3"/>
      <c r="V58" s="3"/>
      <c r="W58" s="3"/>
      <c r="X58" s="3"/>
      <c r="Y58" s="3"/>
      <c r="Z58" s="3"/>
    </row>
    <row r="59" ht="15.75" customHeight="1">
      <c r="A59" s="89" t="s">
        <v>92</v>
      </c>
      <c r="B59" s="90">
        <f t="shared" si="10"/>
        <v>0.05</v>
      </c>
      <c r="C59" s="90">
        <v>0.0</v>
      </c>
      <c r="D59" s="90">
        <f t="shared" ref="D59:F59" si="19">D52*2</f>
        <v>1</v>
      </c>
      <c r="E59" s="90">
        <f t="shared" si="19"/>
        <v>0.8</v>
      </c>
      <c r="F59" s="90">
        <f t="shared" si="19"/>
        <v>0.15</v>
      </c>
      <c r="G59" s="91">
        <f t="shared" si="3"/>
        <v>2</v>
      </c>
      <c r="H59" s="86">
        <f t="shared" si="18"/>
        <v>10.8156094</v>
      </c>
      <c r="I59" s="86">
        <f>(F59*$D$35)/G59</f>
        <v>5.139689605</v>
      </c>
      <c r="J59" s="87">
        <f t="shared" si="13"/>
        <v>0</v>
      </c>
      <c r="K59" s="87">
        <f t="shared" si="5"/>
        <v>75.01302127</v>
      </c>
      <c r="L59" s="86">
        <f t="shared" si="6"/>
        <v>0</v>
      </c>
      <c r="M59" s="3"/>
      <c r="N59" s="3"/>
      <c r="O59" s="3"/>
      <c r="P59" s="3"/>
      <c r="Q59" s="3"/>
      <c r="R59" s="3"/>
      <c r="S59" s="3"/>
      <c r="T59" s="3"/>
      <c r="U59" s="3"/>
      <c r="V59" s="3"/>
      <c r="W59" s="3"/>
      <c r="X59" s="3"/>
      <c r="Y59" s="3"/>
      <c r="Z59" s="3"/>
    </row>
    <row r="60" ht="15.0" customHeight="1">
      <c r="A60" s="92" t="s">
        <v>93</v>
      </c>
      <c r="B60" s="92">
        <f t="shared" ref="B60:F60" si="20">SUM(B46:B59)</f>
        <v>0.42</v>
      </c>
      <c r="C60" s="92">
        <f t="shared" si="20"/>
        <v>0.105</v>
      </c>
      <c r="D60" s="92">
        <f t="shared" si="20"/>
        <v>10.5</v>
      </c>
      <c r="E60" s="92">
        <f t="shared" si="20"/>
        <v>8.4</v>
      </c>
      <c r="F60" s="92">
        <f t="shared" si="20"/>
        <v>1.575</v>
      </c>
      <c r="G60" s="92">
        <f>SUM(G46:G57)</f>
        <v>17</v>
      </c>
      <c r="H60" s="3"/>
      <c r="I60" s="3"/>
      <c r="J60" s="3"/>
      <c r="K60" s="3"/>
      <c r="L60" s="3"/>
      <c r="M60" s="3"/>
      <c r="N60" s="3"/>
      <c r="O60" s="3"/>
      <c r="P60" s="3"/>
      <c r="Q60" s="3"/>
      <c r="R60" s="3"/>
      <c r="S60" s="3"/>
      <c r="T60" s="3"/>
      <c r="U60" s="3"/>
      <c r="V60" s="3"/>
      <c r="W60" s="3"/>
      <c r="X60" s="3"/>
      <c r="Y60" s="3"/>
      <c r="Z60" s="3"/>
    </row>
    <row r="61" ht="15.75" customHeight="1">
      <c r="A61" s="93" t="s">
        <v>94</v>
      </c>
      <c r="B61" s="93">
        <f t="shared" ref="B61:G61" si="21">B60*10</f>
        <v>4.2</v>
      </c>
      <c r="C61" s="93">
        <f t="shared" si="21"/>
        <v>1.05</v>
      </c>
      <c r="D61" s="93">
        <f t="shared" si="21"/>
        <v>105</v>
      </c>
      <c r="E61" s="93">
        <f t="shared" si="21"/>
        <v>84</v>
      </c>
      <c r="F61" s="93">
        <f t="shared" si="21"/>
        <v>15.75</v>
      </c>
      <c r="G61" s="93">
        <f t="shared" si="21"/>
        <v>170</v>
      </c>
      <c r="H61" s="3"/>
      <c r="I61" s="94" t="s">
        <v>95</v>
      </c>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95" t="s">
        <v>96</v>
      </c>
      <c r="B63" s="96" t="s">
        <v>97</v>
      </c>
      <c r="C63" s="96" t="s">
        <v>98</v>
      </c>
      <c r="D63" s="96" t="s">
        <v>99</v>
      </c>
      <c r="E63" s="96" t="s">
        <v>100</v>
      </c>
      <c r="F63" s="97" t="s">
        <v>101</v>
      </c>
      <c r="G63" s="3"/>
      <c r="H63" s="3"/>
      <c r="I63" s="98" t="s">
        <v>102</v>
      </c>
      <c r="J63" s="99"/>
      <c r="K63" s="100" t="s">
        <v>103</v>
      </c>
      <c r="L63" s="3"/>
      <c r="M63" s="3"/>
      <c r="N63" s="3"/>
      <c r="O63" s="3"/>
      <c r="P63" s="3"/>
      <c r="Q63" s="3"/>
      <c r="R63" s="3"/>
      <c r="S63" s="3"/>
      <c r="T63" s="3"/>
      <c r="U63" s="3"/>
      <c r="V63" s="3"/>
      <c r="W63" s="3"/>
      <c r="X63" s="3"/>
      <c r="Y63" s="3"/>
      <c r="Z63" s="3"/>
    </row>
    <row r="64" ht="15.0" customHeight="1">
      <c r="A64" s="82" t="s">
        <v>104</v>
      </c>
      <c r="B64" s="101">
        <f t="shared" ref="B64:C64" si="22">H46</f>
        <v>10.8156094</v>
      </c>
      <c r="C64" s="101">
        <f t="shared" si="22"/>
        <v>35.24358586</v>
      </c>
      <c r="D64" s="101">
        <f t="shared" ref="D64:D70" si="24">E85*10^6</f>
        <v>903.3188751</v>
      </c>
      <c r="E64" s="101">
        <f t="shared" ref="E64:E70" si="25">(D64/$B$6)/$B$4</f>
        <v>12.24009316</v>
      </c>
      <c r="F64" s="101">
        <f t="shared" ref="F64:F70" si="26">E64/J46</f>
        <v>593.3153019</v>
      </c>
      <c r="G64" s="3"/>
      <c r="H64" s="3"/>
      <c r="I64" s="24" t="s">
        <v>105</v>
      </c>
      <c r="J64" s="102">
        <v>0.0</v>
      </c>
      <c r="K64" s="103"/>
      <c r="L64" s="3"/>
      <c r="M64" s="3"/>
      <c r="N64" s="3"/>
      <c r="O64" s="3"/>
      <c r="P64" s="3"/>
      <c r="Q64" s="3"/>
      <c r="R64" s="3"/>
      <c r="S64" s="3"/>
      <c r="T64" s="3"/>
      <c r="U64" s="3"/>
      <c r="V64" s="3"/>
      <c r="W64" s="3"/>
      <c r="X64" s="3"/>
      <c r="Y64" s="3"/>
      <c r="Z64" s="3"/>
    </row>
    <row r="65" ht="15.0" customHeight="1">
      <c r="A65" s="82" t="s">
        <v>106</v>
      </c>
      <c r="B65" s="101">
        <f t="shared" ref="B65:C65" si="23">H47</f>
        <v>3.028370631</v>
      </c>
      <c r="C65" s="101">
        <f t="shared" si="23"/>
        <v>35.24358586</v>
      </c>
      <c r="D65" s="101">
        <f t="shared" si="24"/>
        <v>2630.412424</v>
      </c>
      <c r="E65" s="101">
        <f t="shared" si="25"/>
        <v>35.64244477</v>
      </c>
      <c r="F65" s="101">
        <f t="shared" si="26"/>
        <v>1727.699913</v>
      </c>
      <c r="G65" s="3"/>
      <c r="H65" s="3"/>
      <c r="I65" s="104" t="s">
        <v>107</v>
      </c>
      <c r="J65" s="105">
        <v>0.0</v>
      </c>
      <c r="K65" s="106"/>
      <c r="L65" s="3"/>
      <c r="M65" s="3"/>
      <c r="N65" s="3"/>
      <c r="O65" s="3"/>
      <c r="P65" s="3"/>
      <c r="Q65" s="3"/>
      <c r="R65" s="3"/>
      <c r="S65" s="3"/>
      <c r="T65" s="3"/>
      <c r="U65" s="3"/>
      <c r="V65" s="3"/>
      <c r="W65" s="3"/>
      <c r="X65" s="3"/>
      <c r="Y65" s="3"/>
      <c r="Z65" s="3"/>
    </row>
    <row r="66" ht="15.75" customHeight="1">
      <c r="A66" s="82" t="s">
        <v>108</v>
      </c>
      <c r="B66" s="101">
        <f t="shared" ref="B66:C66" si="27">H48</f>
        <v>0.8652487516</v>
      </c>
      <c r="C66" s="101">
        <f t="shared" si="27"/>
        <v>35.24358586</v>
      </c>
      <c r="D66" s="101">
        <f t="shared" si="24"/>
        <v>1024.463997</v>
      </c>
      <c r="E66" s="101">
        <f t="shared" si="25"/>
        <v>13.88162597</v>
      </c>
      <c r="F66" s="101">
        <f t="shared" si="26"/>
        <v>672.8854917</v>
      </c>
      <c r="G66" s="3"/>
      <c r="H66" s="3"/>
      <c r="I66" s="107" t="s">
        <v>109</v>
      </c>
      <c r="J66" s="108">
        <v>0.0</v>
      </c>
      <c r="K66" s="109"/>
      <c r="L66" s="3"/>
      <c r="M66" s="3"/>
      <c r="N66" s="3"/>
      <c r="O66" s="3"/>
      <c r="P66" s="3"/>
      <c r="Q66" s="3"/>
      <c r="R66" s="3"/>
      <c r="S66" s="3"/>
      <c r="T66" s="3"/>
      <c r="U66" s="3"/>
      <c r="V66" s="3"/>
      <c r="W66" s="3"/>
      <c r="X66" s="3"/>
      <c r="Y66" s="3"/>
      <c r="Z66" s="3"/>
    </row>
    <row r="67" ht="15.0" customHeight="1">
      <c r="A67" s="82" t="s">
        <v>110</v>
      </c>
      <c r="B67" s="101">
        <f t="shared" ref="B67:C67" si="28">H49</f>
        <v>0.2163121879</v>
      </c>
      <c r="C67" s="101">
        <f t="shared" si="28"/>
        <v>35.24358586</v>
      </c>
      <c r="D67" s="101">
        <f t="shared" si="24"/>
        <v>719.0327425</v>
      </c>
      <c r="E67" s="101">
        <f t="shared" si="25"/>
        <v>9.742991091</v>
      </c>
      <c r="F67" s="101">
        <f t="shared" si="26"/>
        <v>472.273015</v>
      </c>
      <c r="G67" s="3"/>
      <c r="H67" s="3"/>
      <c r="I67" s="24" t="s">
        <v>111</v>
      </c>
      <c r="J67" s="102">
        <v>0.0</v>
      </c>
      <c r="K67" s="103"/>
      <c r="L67" s="3"/>
      <c r="M67" s="3"/>
      <c r="N67" s="3"/>
      <c r="O67" s="3"/>
      <c r="P67" s="3"/>
      <c r="Q67" s="3"/>
      <c r="R67" s="3"/>
      <c r="S67" s="3"/>
      <c r="T67" s="3"/>
      <c r="U67" s="3"/>
      <c r="V67" s="3"/>
      <c r="W67" s="3"/>
      <c r="X67" s="3"/>
      <c r="Y67" s="3"/>
      <c r="Z67" s="3"/>
    </row>
    <row r="68" ht="15.0" customHeight="1">
      <c r="A68" s="82" t="s">
        <v>112</v>
      </c>
      <c r="B68" s="101">
        <f t="shared" ref="B68:C68" si="29">H50</f>
        <v>10.8156094</v>
      </c>
      <c r="C68" s="101">
        <f t="shared" si="29"/>
        <v>24.96420665</v>
      </c>
      <c r="D68" s="101">
        <f t="shared" si="24"/>
        <v>218.0457991</v>
      </c>
      <c r="E68" s="101">
        <f t="shared" si="25"/>
        <v>2.954550123</v>
      </c>
      <c r="F68" s="101">
        <f t="shared" si="26"/>
        <v>143.2162137</v>
      </c>
      <c r="G68" s="3"/>
      <c r="H68" s="3"/>
      <c r="I68" s="104" t="s">
        <v>113</v>
      </c>
      <c r="J68" s="105">
        <v>0.0</v>
      </c>
      <c r="K68" s="106"/>
      <c r="L68" s="3"/>
      <c r="M68" s="3"/>
      <c r="N68" s="3"/>
      <c r="O68" s="3"/>
      <c r="P68" s="3"/>
      <c r="Q68" s="3"/>
      <c r="R68" s="3"/>
      <c r="S68" s="3"/>
      <c r="T68" s="3"/>
      <c r="U68" s="3"/>
      <c r="V68" s="3"/>
      <c r="W68" s="3"/>
      <c r="X68" s="3"/>
      <c r="Y68" s="3"/>
      <c r="Z68" s="3"/>
    </row>
    <row r="69" ht="15.75" customHeight="1">
      <c r="A69" s="82" t="s">
        <v>114</v>
      </c>
      <c r="B69" s="101">
        <f t="shared" ref="B69:C69" si="30">H51</f>
        <v>10.8156094</v>
      </c>
      <c r="C69" s="101">
        <f t="shared" si="30"/>
        <v>14.68482744</v>
      </c>
      <c r="D69" s="101">
        <f t="shared" si="24"/>
        <v>228.4332882</v>
      </c>
      <c r="E69" s="101">
        <f t="shared" si="25"/>
        <v>3.095302009</v>
      </c>
      <c r="F69" s="101">
        <f t="shared" si="26"/>
        <v>150.0388945</v>
      </c>
      <c r="G69" s="3"/>
      <c r="H69" s="3"/>
      <c r="I69" s="107" t="s">
        <v>115</v>
      </c>
      <c r="J69" s="108">
        <v>0.0</v>
      </c>
      <c r="K69" s="109"/>
      <c r="L69" s="3"/>
      <c r="M69" s="3"/>
      <c r="N69" s="3"/>
      <c r="O69" s="3"/>
      <c r="P69" s="3"/>
      <c r="Q69" s="3"/>
      <c r="R69" s="3"/>
      <c r="S69" s="3"/>
      <c r="T69" s="3"/>
      <c r="U69" s="3"/>
      <c r="V69" s="3"/>
      <c r="W69" s="3"/>
      <c r="X69" s="3"/>
      <c r="Y69" s="3"/>
      <c r="Z69" s="3"/>
    </row>
    <row r="70" ht="15.75" customHeight="1">
      <c r="A70" s="110" t="s">
        <v>116</v>
      </c>
      <c r="B70" s="111">
        <f t="shared" ref="B70:C70" si="31">H52</f>
        <v>10.8156094</v>
      </c>
      <c r="C70" s="111">
        <f t="shared" si="31"/>
        <v>5.139689605</v>
      </c>
      <c r="D70" s="111">
        <f t="shared" si="24"/>
        <v>139.8260062</v>
      </c>
      <c r="E70" s="111">
        <f t="shared" si="25"/>
        <v>1.894661331</v>
      </c>
      <c r="F70" s="112">
        <f t="shared" si="26"/>
        <v>91.84011468</v>
      </c>
      <c r="G70" s="3"/>
      <c r="H70" s="3"/>
      <c r="I70" s="113" t="s">
        <v>117</v>
      </c>
      <c r="J70" s="114">
        <f>(H28+H30)/2</f>
        <v>9.32</v>
      </c>
      <c r="K70" s="115"/>
      <c r="L70" s="3"/>
      <c r="M70" s="3"/>
      <c r="N70" s="3"/>
      <c r="O70" s="3"/>
      <c r="P70" s="3"/>
      <c r="Q70" s="3"/>
      <c r="R70" s="3"/>
      <c r="S70" s="3"/>
      <c r="T70" s="3"/>
      <c r="U70" s="3"/>
      <c r="V70" s="3"/>
      <c r="W70" s="3"/>
      <c r="X70" s="3"/>
      <c r="Y70" s="3"/>
      <c r="Z70" s="3"/>
    </row>
    <row r="71" ht="15.75" customHeight="1">
      <c r="A71" s="3"/>
      <c r="B71" s="3"/>
      <c r="C71" s="3"/>
      <c r="D71" s="3"/>
      <c r="E71" s="3"/>
      <c r="F71" s="3"/>
      <c r="G71" s="3"/>
      <c r="H71" s="3"/>
      <c r="I71" s="107" t="s">
        <v>118</v>
      </c>
      <c r="J71" s="116">
        <f>K46</f>
        <v>75.01302127</v>
      </c>
      <c r="K71" s="117"/>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0" customHeight="1">
      <c r="A73" s="3"/>
      <c r="B73" s="24" t="s">
        <v>119</v>
      </c>
      <c r="C73" s="118"/>
      <c r="D73" s="6"/>
      <c r="E73" s="3"/>
      <c r="F73" s="24" t="s">
        <v>119</v>
      </c>
      <c r="G73" s="118"/>
      <c r="H73" s="6"/>
      <c r="I73" s="3"/>
      <c r="J73" s="3"/>
      <c r="K73" s="3"/>
      <c r="L73" s="3"/>
      <c r="M73" s="3"/>
      <c r="N73" s="3"/>
      <c r="O73" s="3"/>
      <c r="P73" s="3"/>
      <c r="Q73" s="3"/>
      <c r="R73" s="3"/>
      <c r="S73" s="3"/>
      <c r="T73" s="3"/>
      <c r="U73" s="3"/>
      <c r="V73" s="3"/>
      <c r="W73" s="3"/>
      <c r="X73" s="3"/>
      <c r="Y73" s="3"/>
      <c r="Z73" s="3"/>
    </row>
    <row r="74" ht="15.0" customHeight="1">
      <c r="A74" s="3"/>
      <c r="B74" s="104" t="s">
        <v>97</v>
      </c>
      <c r="C74" s="101">
        <f>H46</f>
        <v>10.8156094</v>
      </c>
      <c r="D74" s="28"/>
      <c r="E74" s="3"/>
      <c r="F74" s="104" t="s">
        <v>98</v>
      </c>
      <c r="G74" s="101">
        <f>I46</f>
        <v>35.24358586</v>
      </c>
      <c r="H74" s="28"/>
      <c r="I74" s="3"/>
      <c r="J74" s="3"/>
      <c r="K74" s="3"/>
      <c r="L74" s="3"/>
      <c r="M74" s="3"/>
      <c r="N74" s="3"/>
      <c r="O74" s="3"/>
      <c r="P74" s="3"/>
      <c r="Q74" s="3"/>
      <c r="R74" s="3"/>
      <c r="S74" s="3"/>
      <c r="T74" s="3"/>
      <c r="U74" s="3"/>
      <c r="V74" s="3"/>
      <c r="W74" s="3"/>
      <c r="X74" s="3"/>
      <c r="Y74" s="3"/>
      <c r="Z74" s="3"/>
    </row>
    <row r="75" ht="15.0" customHeight="1">
      <c r="A75" s="3"/>
      <c r="B75" s="104" t="s">
        <v>120</v>
      </c>
      <c r="C75" s="82" t="s">
        <v>98</v>
      </c>
      <c r="D75" s="38" t="s">
        <v>101</v>
      </c>
      <c r="E75" s="3"/>
      <c r="F75" s="104" t="s">
        <v>120</v>
      </c>
      <c r="G75" s="82" t="s">
        <v>97</v>
      </c>
      <c r="H75" s="38" t="s">
        <v>101</v>
      </c>
      <c r="I75" s="3" t="s">
        <v>121</v>
      </c>
      <c r="J75" s="3"/>
      <c r="K75" s="3"/>
      <c r="L75" s="3"/>
      <c r="M75" s="3"/>
      <c r="N75" s="3"/>
      <c r="O75" s="3"/>
      <c r="P75" s="3"/>
      <c r="Q75" s="3"/>
      <c r="R75" s="3"/>
      <c r="S75" s="3"/>
      <c r="T75" s="3"/>
      <c r="U75" s="3"/>
      <c r="V75" s="3"/>
      <c r="W75" s="3"/>
      <c r="X75" s="3"/>
      <c r="Y75" s="3"/>
      <c r="Z75" s="3"/>
    </row>
    <row r="76" ht="15.0" customHeight="1">
      <c r="A76" s="3"/>
      <c r="B76" s="119">
        <v>7.0</v>
      </c>
      <c r="C76" s="101">
        <f>I52</f>
        <v>5.139689605</v>
      </c>
      <c r="D76" s="120">
        <f>F70</f>
        <v>91.84011468</v>
      </c>
      <c r="E76" s="3"/>
      <c r="F76" s="119">
        <v>4.0</v>
      </c>
      <c r="G76" s="101">
        <f>H49</f>
        <v>0.2163121879</v>
      </c>
      <c r="H76" s="120">
        <f>F67</f>
        <v>472.273015</v>
      </c>
      <c r="I76" s="3">
        <f t="shared" ref="I76:I79" si="32">G76/H76</f>
        <v>0.0004580236029</v>
      </c>
      <c r="J76" s="3"/>
      <c r="K76" s="3"/>
      <c r="L76" s="3"/>
      <c r="M76" s="3"/>
      <c r="N76" s="3"/>
      <c r="O76" s="3"/>
      <c r="P76" s="3"/>
      <c r="Q76" s="3"/>
      <c r="R76" s="3"/>
      <c r="S76" s="3"/>
      <c r="T76" s="3"/>
      <c r="U76" s="3"/>
      <c r="V76" s="3"/>
      <c r="W76" s="3"/>
      <c r="X76" s="3"/>
      <c r="Y76" s="3"/>
      <c r="Z76" s="3"/>
    </row>
    <row r="77" ht="15.0" customHeight="1">
      <c r="A77" s="3"/>
      <c r="B77" s="119">
        <v>6.0</v>
      </c>
      <c r="C77" s="101">
        <f>I51</f>
        <v>14.68482744</v>
      </c>
      <c r="D77" s="120">
        <f>F69</f>
        <v>150.0388945</v>
      </c>
      <c r="E77" s="3"/>
      <c r="F77" s="119">
        <v>3.0</v>
      </c>
      <c r="G77" s="101">
        <f>H48</f>
        <v>0.8652487516</v>
      </c>
      <c r="H77" s="120">
        <f>F66</f>
        <v>672.8854917</v>
      </c>
      <c r="I77" s="3">
        <f t="shared" si="32"/>
        <v>0.001285878151</v>
      </c>
      <c r="J77" s="3"/>
      <c r="K77" s="3"/>
      <c r="L77" s="3"/>
      <c r="M77" s="3"/>
      <c r="N77" s="3"/>
      <c r="O77" s="3"/>
      <c r="P77" s="3"/>
      <c r="Q77" s="3"/>
      <c r="R77" s="3"/>
      <c r="S77" s="3"/>
      <c r="T77" s="3"/>
      <c r="U77" s="3"/>
      <c r="V77" s="3"/>
      <c r="W77" s="3"/>
      <c r="X77" s="3"/>
      <c r="Y77" s="3"/>
      <c r="Z77" s="3"/>
    </row>
    <row r="78" ht="15.0" customHeight="1">
      <c r="A78" s="3"/>
      <c r="B78" s="119">
        <v>5.0</v>
      </c>
      <c r="C78" s="101">
        <f>I50</f>
        <v>24.96420665</v>
      </c>
      <c r="D78" s="120">
        <f>F68</f>
        <v>143.2162137</v>
      </c>
      <c r="E78" s="3"/>
      <c r="F78" s="119">
        <v>2.0</v>
      </c>
      <c r="G78" s="101">
        <f>H47</f>
        <v>3.028370631</v>
      </c>
      <c r="H78" s="120">
        <f>F65</f>
        <v>1727.699913</v>
      </c>
      <c r="I78" s="3">
        <f t="shared" si="32"/>
        <v>0.0017528337</v>
      </c>
      <c r="J78" s="3"/>
      <c r="K78" s="3"/>
      <c r="L78" s="3"/>
      <c r="M78" s="3"/>
      <c r="N78" s="3"/>
      <c r="O78" s="3"/>
      <c r="P78" s="3"/>
      <c r="Q78" s="3"/>
      <c r="R78" s="3"/>
      <c r="S78" s="3"/>
      <c r="T78" s="3"/>
      <c r="U78" s="3"/>
      <c r="V78" s="3"/>
      <c r="W78" s="3"/>
      <c r="X78" s="3"/>
      <c r="Y78" s="3"/>
      <c r="Z78" s="3"/>
    </row>
    <row r="79" ht="15.75" customHeight="1">
      <c r="A79" s="3"/>
      <c r="B79" s="121">
        <v>1.0</v>
      </c>
      <c r="C79" s="116">
        <f>I46</f>
        <v>35.24358586</v>
      </c>
      <c r="D79" s="122">
        <f>F64</f>
        <v>593.3153019</v>
      </c>
      <c r="E79" s="3"/>
      <c r="F79" s="121">
        <v>1.0</v>
      </c>
      <c r="G79" s="116">
        <f>H46</f>
        <v>10.8156094</v>
      </c>
      <c r="H79" s="122">
        <f>F64</f>
        <v>593.3153019</v>
      </c>
      <c r="I79" s="3">
        <f t="shared" si="32"/>
        <v>0.01822910915</v>
      </c>
      <c r="J79" s="3"/>
      <c r="K79" s="3"/>
      <c r="L79" s="3"/>
      <c r="M79" s="3"/>
      <c r="N79" s="3"/>
      <c r="O79" s="3"/>
      <c r="P79" s="3"/>
      <c r="Q79" s="3"/>
      <c r="R79" s="3"/>
      <c r="S79" s="3"/>
      <c r="T79" s="3"/>
      <c r="U79" s="3"/>
      <c r="V79" s="3"/>
      <c r="W79" s="3"/>
      <c r="X79" s="3"/>
      <c r="Y79" s="3"/>
      <c r="Z79" s="3"/>
    </row>
    <row r="80" ht="13.5" customHeight="1">
      <c r="A80" s="3"/>
      <c r="B80" s="63"/>
      <c r="C80" s="63"/>
      <c r="D80" s="63"/>
      <c r="E80" s="63"/>
      <c r="F80" s="63"/>
      <c r="G80" s="3"/>
      <c r="H80" s="3"/>
      <c r="I80" s="3"/>
      <c r="J80" s="3"/>
      <c r="K80" s="3"/>
      <c r="L80" s="3"/>
      <c r="M80" s="3"/>
      <c r="N80" s="3"/>
      <c r="O80" s="3"/>
      <c r="P80" s="3"/>
      <c r="Q80" s="3"/>
      <c r="R80" s="3"/>
      <c r="S80" s="3"/>
      <c r="T80" s="3"/>
      <c r="U80" s="3"/>
      <c r="V80" s="3"/>
      <c r="W80" s="3"/>
      <c r="X80" s="3"/>
      <c r="Y80" s="3"/>
      <c r="Z80" s="3"/>
    </row>
    <row r="81" ht="12.75" customHeight="1">
      <c r="A81" s="3"/>
      <c r="B81" s="3" t="s">
        <v>122</v>
      </c>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t="s">
        <v>123</v>
      </c>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t="s">
        <v>124</v>
      </c>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t="s">
        <v>125</v>
      </c>
      <c r="C84" s="3" t="s">
        <v>126</v>
      </c>
      <c r="D84" s="3" t="s">
        <v>127</v>
      </c>
      <c r="E84" s="3" t="s">
        <v>128</v>
      </c>
      <c r="F84" s="3" t="s">
        <v>129</v>
      </c>
      <c r="G84" s="3"/>
      <c r="H84" s="3"/>
      <c r="I84" s="3"/>
      <c r="J84" s="3"/>
      <c r="K84" s="3"/>
      <c r="L84" s="3"/>
      <c r="M84" s="3"/>
      <c r="N84" s="3"/>
      <c r="O84" s="3"/>
      <c r="P84" s="3"/>
      <c r="Q84" s="3"/>
      <c r="R84" s="3"/>
      <c r="S84" s="3"/>
      <c r="T84" s="3"/>
      <c r="U84" s="3"/>
      <c r="V84" s="3"/>
      <c r="W84" s="3"/>
      <c r="X84" s="3"/>
      <c r="Y84" s="3"/>
      <c r="Z84" s="3"/>
    </row>
    <row r="85" ht="12.75" customHeight="1">
      <c r="A85" s="3"/>
      <c r="B85" s="3" t="s">
        <v>130</v>
      </c>
      <c r="C85" s="3">
        <v>0.0</v>
      </c>
      <c r="D85" s="3">
        <v>0.0</v>
      </c>
      <c r="E85" s="123">
        <v>9.03318875057E-4</v>
      </c>
      <c r="F85" s="3" t="s">
        <v>131</v>
      </c>
      <c r="G85" s="3"/>
      <c r="H85" s="3"/>
      <c r="I85" s="3"/>
      <c r="J85" s="3"/>
      <c r="K85" s="3"/>
      <c r="L85" s="3"/>
      <c r="M85" s="3"/>
      <c r="N85" s="3"/>
      <c r="O85" s="3"/>
      <c r="P85" s="3"/>
      <c r="Q85" s="3"/>
      <c r="R85" s="3"/>
      <c r="S85" s="3"/>
      <c r="T85" s="3"/>
      <c r="U85" s="3"/>
      <c r="V85" s="3"/>
      <c r="W85" s="3"/>
      <c r="X85" s="3"/>
      <c r="Y85" s="3"/>
      <c r="Z85" s="3"/>
    </row>
    <row r="86" ht="12.75" customHeight="1">
      <c r="A86" s="3"/>
      <c r="B86" s="3" t="s">
        <v>132</v>
      </c>
      <c r="C86" s="3">
        <v>0.0</v>
      </c>
      <c r="D86" s="3">
        <v>0.0</v>
      </c>
      <c r="E86" s="123">
        <v>0.00263041242417</v>
      </c>
      <c r="F86" s="3" t="s">
        <v>131</v>
      </c>
      <c r="G86" s="3"/>
      <c r="H86" s="3"/>
      <c r="I86" s="3"/>
      <c r="J86" s="3"/>
      <c r="K86" s="3"/>
      <c r="L86" s="3"/>
      <c r="M86" s="3"/>
      <c r="N86" s="3"/>
      <c r="O86" s="3"/>
      <c r="P86" s="3"/>
      <c r="Q86" s="3"/>
      <c r="R86" s="3"/>
      <c r="S86" s="3"/>
      <c r="T86" s="3"/>
      <c r="U86" s="3"/>
      <c r="V86" s="3"/>
      <c r="W86" s="3"/>
      <c r="X86" s="3"/>
      <c r="Y86" s="3"/>
      <c r="Z86" s="3"/>
    </row>
    <row r="87" ht="12.75" customHeight="1">
      <c r="A87" s="3"/>
      <c r="B87" s="3" t="s">
        <v>133</v>
      </c>
      <c r="C87" s="3">
        <v>0.0</v>
      </c>
      <c r="D87" s="3">
        <v>0.0</v>
      </c>
      <c r="E87" s="123">
        <v>0.001024463996672</v>
      </c>
      <c r="F87" s="62" t="s">
        <v>131</v>
      </c>
      <c r="G87" s="3"/>
      <c r="H87" s="3"/>
      <c r="I87" s="3"/>
      <c r="J87" s="3"/>
      <c r="K87" s="3"/>
      <c r="L87" s="3"/>
      <c r="M87" s="3"/>
      <c r="N87" s="3"/>
      <c r="O87" s="3"/>
      <c r="P87" s="3"/>
      <c r="Q87" s="3"/>
      <c r="R87" s="3"/>
      <c r="S87" s="3"/>
      <c r="T87" s="3"/>
      <c r="U87" s="3"/>
      <c r="V87" s="3"/>
      <c r="W87" s="3"/>
      <c r="X87" s="3"/>
      <c r="Y87" s="3"/>
      <c r="Z87" s="3"/>
    </row>
    <row r="88" ht="12.75" customHeight="1">
      <c r="A88" s="3"/>
      <c r="B88" s="3" t="s">
        <v>134</v>
      </c>
      <c r="C88" s="3">
        <v>0.0</v>
      </c>
      <c r="D88" s="3">
        <v>0.0</v>
      </c>
      <c r="E88" s="123">
        <v>7.19032742516E-4</v>
      </c>
      <c r="F88" s="3" t="s">
        <v>131</v>
      </c>
      <c r="G88" s="3"/>
      <c r="H88" s="3"/>
      <c r="I88" s="3"/>
      <c r="J88" s="3"/>
      <c r="K88" s="3"/>
      <c r="L88" s="3"/>
      <c r="M88" s="3"/>
      <c r="N88" s="3"/>
      <c r="O88" s="3"/>
      <c r="P88" s="3"/>
      <c r="Q88" s="3"/>
      <c r="R88" s="3"/>
      <c r="S88" s="3"/>
      <c r="T88" s="3"/>
      <c r="U88" s="3"/>
      <c r="V88" s="3"/>
      <c r="W88" s="3"/>
      <c r="X88" s="3"/>
      <c r="Y88" s="3"/>
      <c r="Z88" s="3"/>
    </row>
    <row r="89" ht="12.75" customHeight="1">
      <c r="A89" s="3"/>
      <c r="B89" s="3" t="s">
        <v>135</v>
      </c>
      <c r="C89" s="3">
        <v>0.0</v>
      </c>
      <c r="D89" s="3">
        <v>0.0</v>
      </c>
      <c r="E89" s="123">
        <v>2.1804579906E-4</v>
      </c>
      <c r="F89" s="3" t="s">
        <v>131</v>
      </c>
      <c r="G89" s="3"/>
      <c r="H89" s="3"/>
      <c r="I89" s="3"/>
      <c r="J89" s="3"/>
      <c r="K89" s="3"/>
      <c r="L89" s="3"/>
      <c r="M89" s="3"/>
      <c r="N89" s="3"/>
      <c r="O89" s="3"/>
      <c r="P89" s="3"/>
      <c r="Q89" s="3"/>
      <c r="R89" s="3"/>
      <c r="S89" s="3"/>
      <c r="T89" s="3"/>
      <c r="U89" s="3"/>
      <c r="V89" s="3"/>
      <c r="W89" s="3"/>
      <c r="X89" s="3"/>
      <c r="Y89" s="3"/>
      <c r="Z89" s="3"/>
    </row>
    <row r="90" ht="12.75" customHeight="1">
      <c r="A90" s="3"/>
      <c r="B90" s="3" t="s">
        <v>136</v>
      </c>
      <c r="C90" s="3">
        <v>0.0</v>
      </c>
      <c r="D90" s="3">
        <v>0.0</v>
      </c>
      <c r="E90" s="123">
        <v>2.28433288238E-4</v>
      </c>
      <c r="F90" s="3" t="s">
        <v>131</v>
      </c>
      <c r="G90" s="3"/>
      <c r="H90" s="3"/>
      <c r="I90" s="3"/>
      <c r="J90" s="3"/>
      <c r="K90" s="3"/>
      <c r="L90" s="3"/>
      <c r="M90" s="3"/>
      <c r="N90" s="3"/>
      <c r="O90" s="3"/>
      <c r="P90" s="3"/>
      <c r="Q90" s="3"/>
      <c r="R90" s="3"/>
      <c r="S90" s="3"/>
      <c r="T90" s="3"/>
      <c r="U90" s="3"/>
      <c r="V90" s="3"/>
      <c r="W90" s="3"/>
      <c r="X90" s="3"/>
      <c r="Y90" s="3"/>
      <c r="Z90" s="3"/>
    </row>
    <row r="91" ht="12.75" customHeight="1">
      <c r="A91" s="3"/>
      <c r="B91" s="3" t="s">
        <v>137</v>
      </c>
      <c r="C91" s="3">
        <v>0.0</v>
      </c>
      <c r="D91" s="3">
        <v>0.0</v>
      </c>
      <c r="E91" s="123">
        <v>1.39826006198E-4</v>
      </c>
      <c r="F91" s="3" t="s">
        <v>131</v>
      </c>
      <c r="G91" s="3"/>
      <c r="H91" s="3"/>
      <c r="I91" s="3"/>
      <c r="J91" s="3"/>
      <c r="K91" s="3"/>
      <c r="L91" s="3"/>
      <c r="M91" s="3"/>
      <c r="N91" s="3"/>
      <c r="O91" s="3"/>
      <c r="P91" s="3"/>
      <c r="Q91" s="3"/>
      <c r="R91" s="3"/>
      <c r="S91" s="3"/>
      <c r="T91" s="3"/>
      <c r="U91" s="3"/>
      <c r="V91" s="3"/>
      <c r="W91" s="3"/>
      <c r="X91" s="3"/>
      <c r="Y91" s="3"/>
      <c r="Z91" s="3"/>
    </row>
    <row r="92" ht="12.75" customHeight="1">
      <c r="A92" s="3"/>
      <c r="B92" s="3" t="s">
        <v>138</v>
      </c>
      <c r="C92" s="3">
        <v>0.0</v>
      </c>
      <c r="D92" s="3">
        <v>0.0</v>
      </c>
      <c r="E92" s="123">
        <v>0.0</v>
      </c>
      <c r="F92" s="3" t="s">
        <v>139</v>
      </c>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62"/>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1.0"/>
    <col customWidth="1" min="3" max="3" width="13.43"/>
    <col customWidth="1" min="4" max="4" width="11.0"/>
    <col customWidth="1" min="5" max="5" width="13.43"/>
    <col customWidth="1" min="6" max="6" width="11.0"/>
    <col customWidth="1" min="7" max="7" width="13.43"/>
    <col customWidth="1" min="8" max="8" width="11.0"/>
    <col customWidth="1" min="9" max="9" width="13.43"/>
    <col customWidth="1" min="10" max="10" width="11.0"/>
    <col customWidth="1" min="11" max="11" width="13.43"/>
    <col customWidth="1" min="12" max="12" width="11.0"/>
    <col customWidth="1" min="13" max="13" width="13.43"/>
    <col customWidth="1" min="14" max="14" width="11.0"/>
    <col customWidth="1" min="15" max="38" width="8.0"/>
  </cols>
  <sheetData>
    <row r="1" ht="12.75" customHeight="1">
      <c r="A1" s="124" t="s">
        <v>140</v>
      </c>
      <c r="B1" s="124" t="s">
        <v>141</v>
      </c>
    </row>
    <row r="2" ht="12.75" customHeight="1">
      <c r="A2" s="124" t="s">
        <v>142</v>
      </c>
      <c r="B2" s="124">
        <v>161008.0</v>
      </c>
    </row>
    <row r="3" ht="12.75" customHeight="1">
      <c r="A3" s="124" t="s">
        <v>125</v>
      </c>
      <c r="B3" s="124" t="s">
        <v>130</v>
      </c>
      <c r="C3" s="124" t="s">
        <v>125</v>
      </c>
      <c r="D3" s="124" t="s">
        <v>132</v>
      </c>
      <c r="E3" s="124" t="s">
        <v>125</v>
      </c>
      <c r="F3" s="124" t="s">
        <v>133</v>
      </c>
      <c r="G3" s="124" t="s">
        <v>125</v>
      </c>
      <c r="H3" s="124" t="s">
        <v>134</v>
      </c>
      <c r="I3" s="124" t="s">
        <v>125</v>
      </c>
      <c r="J3" s="124" t="s">
        <v>135</v>
      </c>
      <c r="K3" s="124" t="s">
        <v>125</v>
      </c>
      <c r="L3" s="124" t="s">
        <v>136</v>
      </c>
      <c r="M3" s="124" t="s">
        <v>125</v>
      </c>
      <c r="N3" s="124" t="s">
        <v>137</v>
      </c>
    </row>
    <row r="4" ht="12.75" customHeight="1">
      <c r="A4" s="124" t="s">
        <v>143</v>
      </c>
      <c r="B4" s="124" t="s">
        <v>144</v>
      </c>
      <c r="C4" s="124" t="s">
        <v>143</v>
      </c>
      <c r="D4" s="124" t="s">
        <v>144</v>
      </c>
      <c r="E4" s="124" t="s">
        <v>143</v>
      </c>
      <c r="F4" s="124" t="s">
        <v>144</v>
      </c>
      <c r="G4" s="124" t="s">
        <v>143</v>
      </c>
      <c r="H4" s="124" t="s">
        <v>144</v>
      </c>
      <c r="I4" s="124" t="s">
        <v>143</v>
      </c>
      <c r="J4" s="124" t="s">
        <v>144</v>
      </c>
      <c r="K4" s="124" t="s">
        <v>143</v>
      </c>
      <c r="L4" s="124" t="s">
        <v>144</v>
      </c>
      <c r="M4" s="124" t="s">
        <v>143</v>
      </c>
      <c r="N4" s="124" t="s">
        <v>144</v>
      </c>
    </row>
    <row r="5" ht="12.75" customHeight="1">
      <c r="A5" s="124" t="s">
        <v>145</v>
      </c>
      <c r="B5" s="124" t="s">
        <v>146</v>
      </c>
      <c r="C5" s="124" t="s">
        <v>145</v>
      </c>
      <c r="D5" s="124" t="s">
        <v>146</v>
      </c>
      <c r="E5" s="124" t="s">
        <v>145</v>
      </c>
      <c r="F5" s="124" t="s">
        <v>146</v>
      </c>
      <c r="G5" s="124" t="s">
        <v>145</v>
      </c>
      <c r="H5" s="124" t="s">
        <v>146</v>
      </c>
      <c r="I5" s="124" t="s">
        <v>145</v>
      </c>
      <c r="J5" s="124" t="s">
        <v>146</v>
      </c>
      <c r="K5" s="124" t="s">
        <v>145</v>
      </c>
      <c r="L5" s="124" t="s">
        <v>146</v>
      </c>
      <c r="M5" s="124" t="s">
        <v>145</v>
      </c>
      <c r="N5" s="124" t="s">
        <v>146</v>
      </c>
    </row>
    <row r="6" ht="12.75" customHeight="1">
      <c r="A6" s="124" t="s">
        <v>147</v>
      </c>
      <c r="B6" s="125">
        <v>40426.0</v>
      </c>
      <c r="C6" s="124" t="s">
        <v>147</v>
      </c>
      <c r="D6" s="125">
        <v>40426.0</v>
      </c>
      <c r="E6" s="124" t="s">
        <v>147</v>
      </c>
      <c r="F6" s="125">
        <v>40426.0</v>
      </c>
      <c r="G6" s="124" t="s">
        <v>147</v>
      </c>
      <c r="H6" s="125">
        <v>40426.0</v>
      </c>
      <c r="I6" s="124" t="s">
        <v>147</v>
      </c>
      <c r="J6" s="125">
        <v>40426.0</v>
      </c>
      <c r="K6" s="124" t="s">
        <v>147</v>
      </c>
      <c r="L6" s="125">
        <v>40427.0</v>
      </c>
      <c r="M6" s="124" t="s">
        <v>147</v>
      </c>
      <c r="N6" s="125">
        <v>40426.0</v>
      </c>
    </row>
    <row r="7" ht="12.75" customHeight="1">
      <c r="A7" s="124" t="s">
        <v>148</v>
      </c>
      <c r="B7" s="124" t="s">
        <v>149</v>
      </c>
      <c r="C7" s="124" t="s">
        <v>148</v>
      </c>
      <c r="D7" s="124" t="s">
        <v>150</v>
      </c>
      <c r="E7" s="124" t="s">
        <v>148</v>
      </c>
      <c r="F7" s="124" t="s">
        <v>151</v>
      </c>
      <c r="G7" s="124" t="s">
        <v>148</v>
      </c>
      <c r="H7" s="124" t="s">
        <v>152</v>
      </c>
      <c r="I7" s="124" t="s">
        <v>148</v>
      </c>
      <c r="J7" s="124" t="s">
        <v>153</v>
      </c>
      <c r="K7" s="124" t="s">
        <v>148</v>
      </c>
      <c r="L7" s="124" t="s">
        <v>154</v>
      </c>
      <c r="M7" s="124" t="s">
        <v>148</v>
      </c>
      <c r="N7" s="124" t="s">
        <v>155</v>
      </c>
    </row>
    <row r="8" ht="12.75" customHeight="1">
      <c r="A8" s="124" t="s">
        <v>156</v>
      </c>
      <c r="B8" s="124" t="s">
        <v>157</v>
      </c>
      <c r="C8" s="124" t="s">
        <v>156</v>
      </c>
      <c r="D8" s="124" t="s">
        <v>157</v>
      </c>
      <c r="E8" s="124" t="s">
        <v>156</v>
      </c>
      <c r="F8" s="124" t="s">
        <v>157</v>
      </c>
      <c r="G8" s="124" t="s">
        <v>156</v>
      </c>
      <c r="H8" s="124" t="s">
        <v>157</v>
      </c>
      <c r="I8" s="124" t="s">
        <v>156</v>
      </c>
      <c r="J8" s="124" t="s">
        <v>157</v>
      </c>
      <c r="K8" s="124" t="s">
        <v>156</v>
      </c>
      <c r="L8" s="124" t="s">
        <v>157</v>
      </c>
      <c r="M8" s="124" t="s">
        <v>156</v>
      </c>
      <c r="N8" s="124" t="s">
        <v>157</v>
      </c>
    </row>
    <row r="9" ht="12.75" customHeight="1">
      <c r="A9" s="124">
        <v>0.0</v>
      </c>
      <c r="B9" s="124">
        <v>0.0</v>
      </c>
      <c r="C9" s="124">
        <v>0.0</v>
      </c>
      <c r="D9" s="124">
        <v>-0.011</v>
      </c>
      <c r="E9" s="124">
        <v>0.0</v>
      </c>
      <c r="F9" s="124">
        <v>-0.011</v>
      </c>
      <c r="G9" s="124">
        <v>0.0</v>
      </c>
      <c r="H9" s="124">
        <v>-0.015</v>
      </c>
      <c r="I9" s="124">
        <v>0.0</v>
      </c>
      <c r="J9" s="124">
        <v>-0.015</v>
      </c>
      <c r="K9" s="124">
        <v>0.0</v>
      </c>
      <c r="L9" s="124">
        <v>-0.013</v>
      </c>
      <c r="M9" s="124">
        <v>0.0</v>
      </c>
      <c r="N9" s="124">
        <v>-0.017</v>
      </c>
    </row>
    <row r="10" ht="12.75" customHeight="1">
      <c r="A10" s="124">
        <v>60.0</v>
      </c>
      <c r="B10" s="124">
        <v>0.003</v>
      </c>
      <c r="C10" s="124">
        <v>60.0</v>
      </c>
      <c r="D10" s="124">
        <v>-0.01</v>
      </c>
      <c r="E10" s="124">
        <v>60.0</v>
      </c>
      <c r="F10" s="124">
        <v>-0.011</v>
      </c>
      <c r="G10" s="124">
        <v>60.0</v>
      </c>
      <c r="H10" s="124">
        <v>-0.015</v>
      </c>
      <c r="I10" s="124">
        <v>60.0</v>
      </c>
      <c r="J10" s="124">
        <v>-0.014</v>
      </c>
      <c r="K10" s="124">
        <v>60.0</v>
      </c>
      <c r="L10" s="124">
        <v>-0.013</v>
      </c>
      <c r="M10" s="124">
        <v>60.0</v>
      </c>
      <c r="N10" s="124">
        <v>-0.018</v>
      </c>
    </row>
    <row r="11" ht="12.75" customHeight="1">
      <c r="A11" s="124">
        <v>120.0</v>
      </c>
      <c r="B11" s="124">
        <v>0.005</v>
      </c>
      <c r="C11" s="124">
        <v>120.0</v>
      </c>
      <c r="D11" s="124">
        <v>-0.01</v>
      </c>
      <c r="E11" s="124">
        <v>120.0</v>
      </c>
      <c r="F11" s="124">
        <v>-0.011</v>
      </c>
      <c r="G11" s="124">
        <v>120.0</v>
      </c>
      <c r="H11" s="124">
        <v>-0.015</v>
      </c>
      <c r="I11" s="124">
        <v>120.0</v>
      </c>
      <c r="J11" s="124">
        <v>-0.014</v>
      </c>
      <c r="K11" s="124">
        <v>120.0</v>
      </c>
      <c r="L11" s="124">
        <v>-0.013</v>
      </c>
      <c r="M11" s="124">
        <v>120.0</v>
      </c>
      <c r="N11" s="124">
        <v>-0.017</v>
      </c>
    </row>
    <row r="12" ht="12.75" customHeight="1">
      <c r="A12" s="124">
        <v>180.0</v>
      </c>
      <c r="B12" s="124">
        <v>0.007</v>
      </c>
      <c r="C12" s="124">
        <v>180.0</v>
      </c>
      <c r="D12" s="124">
        <v>-0.01</v>
      </c>
      <c r="E12" s="124">
        <v>180.0</v>
      </c>
      <c r="F12" s="124">
        <v>-0.01</v>
      </c>
      <c r="G12" s="124">
        <v>180.0</v>
      </c>
      <c r="H12" s="124">
        <v>-0.016</v>
      </c>
      <c r="I12" s="124">
        <v>180.0</v>
      </c>
      <c r="J12" s="124">
        <v>-0.013</v>
      </c>
      <c r="K12" s="124">
        <v>180.0</v>
      </c>
      <c r="L12" s="124">
        <v>-0.012</v>
      </c>
      <c r="M12" s="124">
        <v>180.0</v>
      </c>
      <c r="N12" s="124">
        <v>-0.017</v>
      </c>
    </row>
    <row r="13" ht="12.75" customHeight="1">
      <c r="A13" s="124">
        <v>240.0</v>
      </c>
      <c r="B13" s="124">
        <v>0.008</v>
      </c>
      <c r="C13" s="124">
        <v>240.0</v>
      </c>
      <c r="D13" s="124">
        <v>-0.009</v>
      </c>
      <c r="E13" s="124">
        <v>240.0</v>
      </c>
      <c r="F13" s="124">
        <v>-0.01</v>
      </c>
      <c r="G13" s="124">
        <v>240.0</v>
      </c>
      <c r="H13" s="124">
        <v>-0.017</v>
      </c>
      <c r="I13" s="124">
        <v>240.0</v>
      </c>
      <c r="J13" s="124">
        <v>-0.012</v>
      </c>
      <c r="K13" s="124">
        <v>240.0</v>
      </c>
      <c r="L13" s="124">
        <v>-0.012</v>
      </c>
      <c r="M13" s="124">
        <v>240.0</v>
      </c>
      <c r="N13" s="124">
        <v>-0.017</v>
      </c>
    </row>
    <row r="14" ht="12.75" customHeight="1">
      <c r="A14" s="124">
        <v>300.0</v>
      </c>
      <c r="B14" s="124">
        <v>0.009</v>
      </c>
      <c r="C14" s="124">
        <v>300.0</v>
      </c>
      <c r="D14" s="124">
        <v>-0.008</v>
      </c>
      <c r="E14" s="124">
        <v>300.0</v>
      </c>
      <c r="F14" s="124">
        <v>-0.01</v>
      </c>
      <c r="G14" s="124">
        <v>300.0</v>
      </c>
      <c r="H14" s="124">
        <v>-0.016</v>
      </c>
      <c r="I14" s="124">
        <v>300.0</v>
      </c>
      <c r="J14" s="124">
        <v>-0.012</v>
      </c>
      <c r="K14" s="124">
        <v>300.0</v>
      </c>
      <c r="L14" s="124">
        <v>-0.011</v>
      </c>
      <c r="M14" s="124">
        <v>300.0</v>
      </c>
      <c r="N14" s="124">
        <v>-0.017</v>
      </c>
    </row>
    <row r="15" ht="12.75" customHeight="1">
      <c r="A15" s="124">
        <v>360.0</v>
      </c>
      <c r="B15" s="124">
        <v>0.011</v>
      </c>
      <c r="C15" s="124">
        <v>360.0</v>
      </c>
      <c r="D15" s="124">
        <v>-0.007</v>
      </c>
      <c r="E15" s="124">
        <v>360.0</v>
      </c>
      <c r="F15" s="124">
        <v>-0.01</v>
      </c>
      <c r="G15" s="124">
        <v>360.0</v>
      </c>
      <c r="H15" s="124">
        <v>-0.017</v>
      </c>
      <c r="I15" s="124">
        <v>360.0</v>
      </c>
      <c r="J15" s="124">
        <v>-0.011</v>
      </c>
      <c r="K15" s="124">
        <v>360.0</v>
      </c>
      <c r="L15" s="124">
        <v>-0.011</v>
      </c>
      <c r="M15" s="124">
        <v>360.0</v>
      </c>
      <c r="N15" s="124">
        <v>-0.016</v>
      </c>
    </row>
    <row r="16" ht="12.75" customHeight="1">
      <c r="A16" s="124">
        <v>420.0</v>
      </c>
      <c r="B16" s="124">
        <v>0.011</v>
      </c>
      <c r="C16" s="124">
        <v>420.0</v>
      </c>
      <c r="D16" s="124">
        <v>-0.007</v>
      </c>
      <c r="E16" s="124">
        <v>420.0</v>
      </c>
      <c r="F16" s="124">
        <v>-0.009</v>
      </c>
      <c r="G16" s="124">
        <v>420.0</v>
      </c>
      <c r="H16" s="124">
        <v>-0.015</v>
      </c>
      <c r="I16" s="124">
        <v>420.0</v>
      </c>
      <c r="J16" s="124">
        <v>-0.011</v>
      </c>
      <c r="K16" s="124">
        <v>420.0</v>
      </c>
      <c r="L16" s="124">
        <v>-0.011</v>
      </c>
      <c r="M16" s="124">
        <v>420.0</v>
      </c>
      <c r="N16" s="124">
        <v>-0.017</v>
      </c>
    </row>
    <row r="17" ht="12.75" customHeight="1">
      <c r="A17" s="124">
        <v>480.0</v>
      </c>
      <c r="B17" s="124">
        <v>0.012</v>
      </c>
      <c r="C17" s="124">
        <v>480.0</v>
      </c>
      <c r="D17" s="124">
        <v>-0.006</v>
      </c>
      <c r="E17" s="124">
        <v>480.0</v>
      </c>
      <c r="F17" s="124">
        <v>-0.009</v>
      </c>
      <c r="G17" s="124">
        <v>480.0</v>
      </c>
      <c r="H17" s="124">
        <v>-0.015</v>
      </c>
      <c r="I17" s="124">
        <v>480.0</v>
      </c>
      <c r="J17" s="124">
        <v>-0.01</v>
      </c>
      <c r="K17" s="124">
        <v>480.0</v>
      </c>
      <c r="L17" s="124">
        <v>-0.01</v>
      </c>
      <c r="M17" s="124">
        <v>480.0</v>
      </c>
      <c r="N17" s="124">
        <v>-0.016</v>
      </c>
    </row>
    <row r="18" ht="12.75" customHeight="1">
      <c r="A18" s="124">
        <v>540.0</v>
      </c>
      <c r="B18" s="124">
        <v>0.013</v>
      </c>
      <c r="C18" s="124">
        <v>540.0</v>
      </c>
      <c r="D18" s="124">
        <v>-0.005</v>
      </c>
      <c r="E18" s="124">
        <v>540.0</v>
      </c>
      <c r="F18" s="124">
        <v>-0.009</v>
      </c>
      <c r="G18" s="124">
        <v>540.0</v>
      </c>
      <c r="H18" s="124">
        <v>-0.015</v>
      </c>
      <c r="I18" s="124">
        <v>540.0</v>
      </c>
      <c r="J18" s="124">
        <v>-0.01</v>
      </c>
      <c r="K18" s="124">
        <v>540.0</v>
      </c>
      <c r="L18" s="124">
        <v>-0.01</v>
      </c>
      <c r="M18" s="124">
        <v>540.0</v>
      </c>
      <c r="N18" s="124">
        <v>-0.016</v>
      </c>
    </row>
    <row r="19" ht="12.75" customHeight="1">
      <c r="A19" s="124">
        <v>600.0</v>
      </c>
      <c r="B19" s="124">
        <v>0.014</v>
      </c>
      <c r="C19" s="124">
        <v>600.0</v>
      </c>
      <c r="D19" s="124">
        <v>-0.004</v>
      </c>
      <c r="E19" s="124">
        <v>600.0</v>
      </c>
      <c r="F19" s="124">
        <v>-0.008</v>
      </c>
      <c r="G19" s="124">
        <v>600.0</v>
      </c>
      <c r="H19" s="124">
        <v>-0.016</v>
      </c>
      <c r="I19" s="124">
        <v>600.0</v>
      </c>
      <c r="J19" s="124">
        <v>-0.009</v>
      </c>
      <c r="K19" s="124">
        <v>600.0</v>
      </c>
      <c r="L19" s="124">
        <v>-0.01</v>
      </c>
      <c r="M19" s="124">
        <v>600.0</v>
      </c>
      <c r="N19" s="124">
        <v>-0.016</v>
      </c>
    </row>
    <row r="20" ht="12.75" customHeight="1">
      <c r="A20" s="124">
        <v>660.0</v>
      </c>
      <c r="B20" s="124">
        <v>0.014</v>
      </c>
      <c r="C20" s="124">
        <v>660.0</v>
      </c>
      <c r="D20" s="124">
        <v>-0.003</v>
      </c>
      <c r="E20" s="124">
        <v>660.0</v>
      </c>
      <c r="F20" s="124">
        <v>-0.008</v>
      </c>
      <c r="G20" s="124">
        <v>660.0</v>
      </c>
      <c r="H20" s="124">
        <v>-0.015</v>
      </c>
      <c r="I20" s="124">
        <v>660.0</v>
      </c>
      <c r="J20" s="124">
        <v>-0.009</v>
      </c>
      <c r="K20" s="124">
        <v>660.0</v>
      </c>
      <c r="L20" s="124">
        <v>-0.01</v>
      </c>
      <c r="M20" s="124">
        <v>660.0</v>
      </c>
      <c r="N20" s="124">
        <v>-0.015</v>
      </c>
    </row>
    <row r="21" ht="12.75" customHeight="1">
      <c r="A21" s="124">
        <v>720.0</v>
      </c>
      <c r="B21" s="124">
        <v>0.015</v>
      </c>
      <c r="C21" s="124">
        <v>720.0</v>
      </c>
      <c r="D21" s="124">
        <v>-0.001</v>
      </c>
      <c r="E21" s="124">
        <v>720.0</v>
      </c>
      <c r="F21" s="124">
        <v>-0.007</v>
      </c>
      <c r="G21" s="124">
        <v>720.0</v>
      </c>
      <c r="H21" s="124">
        <v>-0.015</v>
      </c>
      <c r="I21" s="124">
        <v>720.0</v>
      </c>
      <c r="J21" s="124">
        <v>-0.008</v>
      </c>
      <c r="K21" s="124">
        <v>720.0</v>
      </c>
      <c r="L21" s="124">
        <v>-0.009</v>
      </c>
      <c r="M21" s="124">
        <v>720.0</v>
      </c>
      <c r="N21" s="124">
        <v>-0.015</v>
      </c>
    </row>
    <row r="22" ht="12.75" customHeight="1">
      <c r="A22" s="124">
        <v>780.0</v>
      </c>
      <c r="B22" s="124">
        <v>0.016</v>
      </c>
      <c r="C22" s="124">
        <v>780.0</v>
      </c>
      <c r="D22" s="124">
        <v>0.0</v>
      </c>
      <c r="E22" s="124">
        <v>780.0</v>
      </c>
      <c r="F22" s="124">
        <v>-0.007</v>
      </c>
      <c r="G22" s="124">
        <v>780.0</v>
      </c>
      <c r="H22" s="124">
        <v>-0.015</v>
      </c>
      <c r="I22" s="124">
        <v>780.0</v>
      </c>
      <c r="J22" s="124">
        <v>-0.008</v>
      </c>
      <c r="K22" s="124">
        <v>780.0</v>
      </c>
      <c r="L22" s="124">
        <v>-0.009</v>
      </c>
      <c r="M22" s="124">
        <v>780.0</v>
      </c>
      <c r="N22" s="124">
        <v>-0.015</v>
      </c>
    </row>
    <row r="23" ht="12.75" customHeight="1">
      <c r="A23" s="124">
        <v>840.0</v>
      </c>
      <c r="B23" s="124">
        <v>0.017</v>
      </c>
      <c r="C23" s="124">
        <v>840.0</v>
      </c>
      <c r="D23" s="124">
        <v>0.001</v>
      </c>
      <c r="E23" s="124">
        <v>840.0</v>
      </c>
      <c r="F23" s="124">
        <v>-0.006</v>
      </c>
      <c r="G23" s="124">
        <v>840.0</v>
      </c>
      <c r="H23" s="124">
        <v>-0.015</v>
      </c>
      <c r="I23" s="124">
        <v>840.0</v>
      </c>
      <c r="J23" s="124">
        <v>-0.008</v>
      </c>
      <c r="K23" s="124">
        <v>840.0</v>
      </c>
      <c r="L23" s="124">
        <v>-0.009</v>
      </c>
      <c r="M23" s="124">
        <v>840.0</v>
      </c>
      <c r="N23" s="124">
        <v>-0.015</v>
      </c>
    </row>
    <row r="24" ht="12.75" customHeight="1">
      <c r="A24" s="124">
        <v>900.0</v>
      </c>
      <c r="B24" s="124">
        <v>0.017</v>
      </c>
      <c r="C24" s="124">
        <v>900.0</v>
      </c>
      <c r="D24" s="124">
        <v>0.002</v>
      </c>
      <c r="E24" s="124">
        <v>900.0</v>
      </c>
      <c r="F24" s="124">
        <v>-0.006</v>
      </c>
      <c r="G24" s="124">
        <v>900.0</v>
      </c>
      <c r="H24" s="124">
        <v>-0.015</v>
      </c>
      <c r="I24" s="124">
        <v>900.0</v>
      </c>
      <c r="J24" s="124">
        <v>-0.008</v>
      </c>
      <c r="K24" s="124">
        <v>900.0</v>
      </c>
      <c r="L24" s="124">
        <v>-0.008</v>
      </c>
      <c r="M24" s="124">
        <v>900.0</v>
      </c>
      <c r="N24" s="124">
        <v>-0.015</v>
      </c>
    </row>
    <row r="25" ht="12.75" customHeight="1">
      <c r="A25" s="124">
        <v>960.0</v>
      </c>
      <c r="B25" s="124">
        <v>0.018</v>
      </c>
      <c r="C25" s="124">
        <v>960.0</v>
      </c>
      <c r="D25" s="124">
        <v>0.004</v>
      </c>
      <c r="E25" s="124">
        <v>960.0</v>
      </c>
      <c r="F25" s="124">
        <v>-0.005</v>
      </c>
      <c r="G25" s="124">
        <v>960.0</v>
      </c>
      <c r="H25" s="124">
        <v>-0.016</v>
      </c>
      <c r="I25" s="124">
        <v>960.0</v>
      </c>
      <c r="J25" s="124">
        <v>-0.007</v>
      </c>
      <c r="K25" s="124">
        <v>960.0</v>
      </c>
      <c r="L25" s="124">
        <v>-0.008</v>
      </c>
      <c r="M25" s="124">
        <v>960.0</v>
      </c>
      <c r="N25" s="124">
        <v>-0.015</v>
      </c>
    </row>
    <row r="26" ht="12.75" customHeight="1">
      <c r="A26" s="124">
        <v>1020.0</v>
      </c>
      <c r="B26" s="124">
        <v>0.018</v>
      </c>
      <c r="C26" s="124">
        <v>1020.0</v>
      </c>
      <c r="D26" s="124">
        <v>0.006</v>
      </c>
      <c r="E26" s="124">
        <v>1020.0</v>
      </c>
      <c r="F26" s="124">
        <v>-0.004</v>
      </c>
      <c r="G26" s="124">
        <v>1020.0</v>
      </c>
      <c r="H26" s="124">
        <v>-0.016</v>
      </c>
      <c r="I26" s="124">
        <v>1020.0</v>
      </c>
      <c r="J26" s="124">
        <v>-0.007</v>
      </c>
      <c r="K26" s="124">
        <v>1020.0</v>
      </c>
      <c r="L26" s="124">
        <v>-0.008</v>
      </c>
      <c r="M26" s="124">
        <v>1020.0</v>
      </c>
      <c r="N26" s="124">
        <v>-0.015</v>
      </c>
    </row>
    <row r="27" ht="12.75" customHeight="1">
      <c r="A27" s="124">
        <v>1080.0</v>
      </c>
      <c r="B27" s="124">
        <v>0.019</v>
      </c>
      <c r="C27" s="124">
        <v>1080.0</v>
      </c>
      <c r="D27" s="124">
        <v>0.008</v>
      </c>
      <c r="E27" s="124">
        <v>1080.0</v>
      </c>
      <c r="F27" s="124">
        <v>-0.004</v>
      </c>
      <c r="G27" s="124">
        <v>1080.0</v>
      </c>
      <c r="H27" s="124">
        <v>-0.015</v>
      </c>
      <c r="I27" s="124">
        <v>1080.0</v>
      </c>
      <c r="J27" s="124">
        <v>-0.007</v>
      </c>
      <c r="K27" s="124">
        <v>1080.0</v>
      </c>
      <c r="L27" s="124">
        <v>-0.008</v>
      </c>
      <c r="M27" s="124">
        <v>1080.0</v>
      </c>
      <c r="N27" s="124">
        <v>-0.014</v>
      </c>
    </row>
    <row r="28" ht="12.75" customHeight="1">
      <c r="A28" s="124">
        <v>1140.0</v>
      </c>
      <c r="B28" s="124">
        <v>0.02</v>
      </c>
      <c r="C28" s="124">
        <v>1140.0</v>
      </c>
      <c r="D28" s="124">
        <v>0.009</v>
      </c>
      <c r="E28" s="124">
        <v>1140.0</v>
      </c>
      <c r="F28" s="124">
        <v>-0.003</v>
      </c>
      <c r="G28" s="124">
        <v>1140.0</v>
      </c>
      <c r="H28" s="124">
        <v>-0.015</v>
      </c>
      <c r="I28" s="124">
        <v>1140.0</v>
      </c>
      <c r="J28" s="124">
        <v>-0.006</v>
      </c>
      <c r="K28" s="124">
        <v>1140.0</v>
      </c>
      <c r="L28" s="124">
        <v>-0.007</v>
      </c>
      <c r="M28" s="124">
        <v>1140.0</v>
      </c>
      <c r="N28" s="124">
        <v>-0.014</v>
      </c>
    </row>
    <row r="29" ht="12.75" customHeight="1">
      <c r="A29" s="124">
        <v>1200.0</v>
      </c>
      <c r="B29" s="124">
        <v>0.02</v>
      </c>
      <c r="C29" s="124">
        <v>1200.0</v>
      </c>
      <c r="D29" s="124">
        <v>0.011</v>
      </c>
      <c r="E29" s="124">
        <v>1200.0</v>
      </c>
      <c r="F29" s="124">
        <v>-0.002</v>
      </c>
      <c r="G29" s="124">
        <v>1200.0</v>
      </c>
      <c r="H29" s="124">
        <v>-0.015</v>
      </c>
      <c r="I29" s="124">
        <v>1200.0</v>
      </c>
      <c r="J29" s="124">
        <v>-0.007</v>
      </c>
      <c r="K29" s="124">
        <v>1200.0</v>
      </c>
      <c r="L29" s="124">
        <v>-0.007</v>
      </c>
      <c r="M29" s="124">
        <v>1200.0</v>
      </c>
      <c r="N29" s="124">
        <v>-0.014</v>
      </c>
    </row>
    <row r="30" ht="12.75" customHeight="1">
      <c r="A30" s="124">
        <v>1260.0</v>
      </c>
      <c r="B30" s="124">
        <v>0.022</v>
      </c>
      <c r="C30" s="124">
        <v>1260.0</v>
      </c>
      <c r="D30" s="124">
        <v>0.013</v>
      </c>
      <c r="E30" s="124">
        <v>1260.0</v>
      </c>
      <c r="F30" s="124">
        <v>-0.002</v>
      </c>
      <c r="G30" s="124">
        <v>1260.0</v>
      </c>
      <c r="H30" s="124">
        <v>-0.015</v>
      </c>
      <c r="I30" s="124">
        <v>1260.0</v>
      </c>
      <c r="J30" s="124">
        <v>-0.006</v>
      </c>
      <c r="K30" s="124">
        <v>1260.0</v>
      </c>
      <c r="L30" s="124">
        <v>-0.007</v>
      </c>
      <c r="M30" s="124">
        <v>1260.0</v>
      </c>
      <c r="N30" s="124">
        <v>-0.014</v>
      </c>
    </row>
    <row r="31" ht="12.75" customHeight="1">
      <c r="A31" s="124">
        <v>1320.0</v>
      </c>
      <c r="B31" s="124">
        <v>0.022</v>
      </c>
      <c r="C31" s="124">
        <v>1320.0</v>
      </c>
      <c r="D31" s="124">
        <v>0.015</v>
      </c>
      <c r="E31" s="124">
        <v>1320.0</v>
      </c>
      <c r="F31" s="124">
        <v>-0.001</v>
      </c>
      <c r="G31" s="124">
        <v>1320.0</v>
      </c>
      <c r="H31" s="124">
        <v>-0.015</v>
      </c>
      <c r="I31" s="124">
        <v>1320.0</v>
      </c>
      <c r="J31" s="124">
        <v>-0.006</v>
      </c>
      <c r="K31" s="124">
        <v>1320.0</v>
      </c>
      <c r="L31" s="124">
        <v>-0.007</v>
      </c>
      <c r="M31" s="124">
        <v>1320.0</v>
      </c>
      <c r="N31" s="124">
        <v>-0.014</v>
      </c>
    </row>
    <row r="32" ht="12.75" customHeight="1">
      <c r="A32" s="124">
        <v>1380.0</v>
      </c>
      <c r="B32" s="124">
        <v>0.023</v>
      </c>
      <c r="C32" s="124">
        <v>1380.0</v>
      </c>
      <c r="D32" s="124">
        <v>0.017</v>
      </c>
      <c r="E32" s="124">
        <v>1380.0</v>
      </c>
      <c r="F32" s="124">
        <v>0.0</v>
      </c>
      <c r="G32" s="124">
        <v>1380.0</v>
      </c>
      <c r="H32" s="124">
        <v>-0.015</v>
      </c>
      <c r="I32" s="124">
        <v>1380.0</v>
      </c>
      <c r="J32" s="124">
        <v>-0.005</v>
      </c>
      <c r="K32" s="124">
        <v>1380.0</v>
      </c>
      <c r="L32" s="124">
        <v>-0.007</v>
      </c>
      <c r="M32" s="124">
        <v>1380.0</v>
      </c>
      <c r="N32" s="124">
        <v>-0.014</v>
      </c>
    </row>
    <row r="33" ht="12.75" customHeight="1">
      <c r="A33" s="124">
        <v>1440.0</v>
      </c>
      <c r="B33" s="124">
        <v>0.024</v>
      </c>
      <c r="C33" s="124">
        <v>1440.0</v>
      </c>
      <c r="D33" s="124">
        <v>0.019</v>
      </c>
      <c r="E33" s="124">
        <v>1440.0</v>
      </c>
      <c r="F33" s="124">
        <v>0.0</v>
      </c>
      <c r="G33" s="124">
        <v>1440.0</v>
      </c>
      <c r="H33" s="124">
        <v>-0.015</v>
      </c>
      <c r="I33" s="124">
        <v>1440.0</v>
      </c>
      <c r="J33" s="124">
        <v>-0.005</v>
      </c>
      <c r="K33" s="124">
        <v>1440.0</v>
      </c>
      <c r="L33" s="124">
        <v>-0.006</v>
      </c>
      <c r="M33" s="124">
        <v>1440.0</v>
      </c>
      <c r="N33" s="124">
        <v>-0.014</v>
      </c>
    </row>
    <row r="34" ht="12.75" customHeight="1">
      <c r="A34" s="124">
        <v>1500.0</v>
      </c>
      <c r="B34" s="124">
        <v>0.024</v>
      </c>
      <c r="C34" s="124">
        <v>1500.0</v>
      </c>
      <c r="D34" s="124">
        <v>0.021</v>
      </c>
      <c r="E34" s="124">
        <v>1500.0</v>
      </c>
      <c r="F34" s="124">
        <v>0.002</v>
      </c>
      <c r="G34" s="124">
        <v>1500.0</v>
      </c>
      <c r="H34" s="124">
        <v>-0.014</v>
      </c>
      <c r="I34" s="124">
        <v>1500.0</v>
      </c>
      <c r="J34" s="124">
        <v>-0.005</v>
      </c>
      <c r="K34" s="124">
        <v>1500.0</v>
      </c>
      <c r="L34" s="124">
        <v>-0.006</v>
      </c>
      <c r="M34" s="124">
        <v>1500.0</v>
      </c>
      <c r="N34" s="124">
        <v>-0.014</v>
      </c>
    </row>
    <row r="35" ht="12.75" customHeight="1">
      <c r="A35" s="124">
        <v>1560.0</v>
      </c>
      <c r="B35" s="124">
        <v>0.025</v>
      </c>
      <c r="C35" s="124">
        <v>1560.0</v>
      </c>
      <c r="D35" s="124">
        <v>0.024</v>
      </c>
      <c r="E35" s="124">
        <v>1560.0</v>
      </c>
      <c r="F35" s="124">
        <v>0.002</v>
      </c>
      <c r="G35" s="124">
        <v>1560.0</v>
      </c>
      <c r="H35" s="124">
        <v>-0.014</v>
      </c>
      <c r="I35" s="124">
        <v>1560.0</v>
      </c>
      <c r="J35" s="124">
        <v>-0.005</v>
      </c>
      <c r="K35" s="124">
        <v>1560.0</v>
      </c>
      <c r="L35" s="124">
        <v>-0.006</v>
      </c>
      <c r="M35" s="124">
        <v>1560.0</v>
      </c>
      <c r="N35" s="124">
        <v>-0.013</v>
      </c>
    </row>
    <row r="36" ht="12.75" customHeight="1">
      <c r="A36" s="124">
        <v>1620.0</v>
      </c>
      <c r="B36" s="124">
        <v>0.026</v>
      </c>
      <c r="C36" s="124">
        <v>1620.0</v>
      </c>
      <c r="D36" s="124">
        <v>0.025</v>
      </c>
      <c r="E36" s="124">
        <v>1620.0</v>
      </c>
      <c r="F36" s="124">
        <v>0.003</v>
      </c>
      <c r="G36" s="124">
        <v>1620.0</v>
      </c>
      <c r="H36" s="124">
        <v>-0.014</v>
      </c>
      <c r="I36" s="124">
        <v>1620.0</v>
      </c>
      <c r="J36" s="124">
        <v>-0.005</v>
      </c>
      <c r="K36" s="124">
        <v>1620.0</v>
      </c>
      <c r="L36" s="124">
        <v>-0.005</v>
      </c>
      <c r="M36" s="124">
        <v>1620.0</v>
      </c>
      <c r="N36" s="124">
        <v>-0.013</v>
      </c>
    </row>
    <row r="37" ht="12.75" customHeight="1">
      <c r="A37" s="124">
        <v>1680.0</v>
      </c>
      <c r="B37" s="124">
        <v>0.027</v>
      </c>
      <c r="C37" s="124">
        <v>1680.0</v>
      </c>
      <c r="D37" s="124">
        <v>0.027</v>
      </c>
      <c r="E37" s="124">
        <v>1680.0</v>
      </c>
      <c r="F37" s="124">
        <v>0.004</v>
      </c>
      <c r="G37" s="124">
        <v>1680.0</v>
      </c>
      <c r="H37" s="124">
        <v>-0.014</v>
      </c>
      <c r="I37" s="124">
        <v>1680.0</v>
      </c>
      <c r="J37" s="124">
        <v>-0.004</v>
      </c>
      <c r="K37" s="124">
        <v>1680.0</v>
      </c>
      <c r="L37" s="124">
        <v>-0.005</v>
      </c>
      <c r="M37" s="124">
        <v>1680.0</v>
      </c>
      <c r="N37" s="124">
        <v>-0.013</v>
      </c>
    </row>
    <row r="38" ht="12.75" customHeight="1">
      <c r="A38" s="124">
        <v>1740.0</v>
      </c>
      <c r="B38" s="124">
        <v>0.028</v>
      </c>
      <c r="C38" s="124">
        <v>1740.0</v>
      </c>
      <c r="D38" s="124">
        <v>0.029</v>
      </c>
      <c r="E38" s="124">
        <v>1740.0</v>
      </c>
      <c r="F38" s="124">
        <v>0.005</v>
      </c>
      <c r="G38" s="124">
        <v>1740.0</v>
      </c>
      <c r="H38" s="124">
        <v>-0.014</v>
      </c>
      <c r="I38" s="124">
        <v>1740.0</v>
      </c>
      <c r="J38" s="124">
        <v>-0.004</v>
      </c>
      <c r="K38" s="124">
        <v>1740.0</v>
      </c>
      <c r="L38" s="124">
        <v>-0.004</v>
      </c>
      <c r="M38" s="124">
        <v>1740.0</v>
      </c>
      <c r="N38" s="124">
        <v>-0.013</v>
      </c>
    </row>
    <row r="39" ht="12.75" customHeight="1">
      <c r="A39" s="124">
        <v>1800.0</v>
      </c>
      <c r="B39" s="124">
        <v>0.029</v>
      </c>
      <c r="C39" s="124">
        <v>1800.0</v>
      </c>
      <c r="D39" s="124">
        <v>0.027</v>
      </c>
      <c r="E39" s="124">
        <v>1800.0</v>
      </c>
      <c r="F39" s="124">
        <v>0.007</v>
      </c>
      <c r="G39" s="124">
        <v>1800.0</v>
      </c>
      <c r="H39" s="124">
        <v>-0.013</v>
      </c>
      <c r="I39" s="124">
        <v>1800.0</v>
      </c>
      <c r="J39" s="124">
        <v>-0.004</v>
      </c>
      <c r="K39" s="124">
        <v>1800.0</v>
      </c>
      <c r="L39" s="124">
        <v>-0.005</v>
      </c>
      <c r="M39" s="124">
        <v>1800.0</v>
      </c>
      <c r="N39" s="124">
        <v>-0.013</v>
      </c>
    </row>
    <row r="40" ht="12.75" customHeight="1">
      <c r="A40" s="124">
        <v>1860.0</v>
      </c>
      <c r="B40" s="124">
        <v>0.03</v>
      </c>
      <c r="C40" s="124">
        <v>1860.0</v>
      </c>
      <c r="D40" s="124">
        <v>0.03</v>
      </c>
      <c r="E40" s="124">
        <v>1860.0</v>
      </c>
      <c r="F40" s="124">
        <v>0.008</v>
      </c>
      <c r="G40" s="124">
        <v>1860.0</v>
      </c>
      <c r="H40" s="124">
        <v>-0.013</v>
      </c>
      <c r="I40" s="124">
        <v>1860.0</v>
      </c>
      <c r="J40" s="124">
        <v>-0.004</v>
      </c>
      <c r="K40" s="124">
        <v>1860.0</v>
      </c>
      <c r="L40" s="124">
        <v>-0.005</v>
      </c>
      <c r="M40" s="124">
        <v>1860.0</v>
      </c>
      <c r="N40" s="124">
        <v>-0.013</v>
      </c>
    </row>
    <row r="41" ht="12.75" customHeight="1">
      <c r="A41" s="124">
        <v>1920.0</v>
      </c>
      <c r="B41" s="124">
        <v>0.03</v>
      </c>
      <c r="C41" s="124">
        <v>1920.0</v>
      </c>
      <c r="D41" s="124">
        <v>0.032</v>
      </c>
      <c r="E41" s="124">
        <v>1920.0</v>
      </c>
      <c r="F41" s="124">
        <v>0.008</v>
      </c>
      <c r="G41" s="124">
        <v>1920.0</v>
      </c>
      <c r="H41" s="124">
        <v>-0.013</v>
      </c>
      <c r="I41" s="124">
        <v>1920.0</v>
      </c>
      <c r="J41" s="124">
        <v>-0.003</v>
      </c>
      <c r="K41" s="124">
        <v>1920.0</v>
      </c>
      <c r="L41" s="124">
        <v>-0.004</v>
      </c>
      <c r="M41" s="124">
        <v>1920.0</v>
      </c>
      <c r="N41" s="124">
        <v>-0.012</v>
      </c>
    </row>
    <row r="42" ht="12.75" customHeight="1">
      <c r="A42" s="124">
        <v>1980.0</v>
      </c>
      <c r="B42" s="124">
        <v>0.032</v>
      </c>
      <c r="C42" s="124">
        <v>1980.0</v>
      </c>
      <c r="D42" s="124">
        <v>0.035</v>
      </c>
      <c r="E42" s="124">
        <v>1980.0</v>
      </c>
      <c r="F42" s="124">
        <v>0.01</v>
      </c>
      <c r="G42" s="124">
        <v>1980.0</v>
      </c>
      <c r="H42" s="124">
        <v>-0.013</v>
      </c>
      <c r="I42" s="124">
        <v>1980.0</v>
      </c>
      <c r="J42" s="124">
        <v>-0.003</v>
      </c>
      <c r="K42" s="124">
        <v>1980.0</v>
      </c>
      <c r="L42" s="124">
        <v>-0.004</v>
      </c>
      <c r="M42" s="124">
        <v>1980.0</v>
      </c>
      <c r="N42" s="124">
        <v>-0.012</v>
      </c>
    </row>
    <row r="43" ht="12.75" customHeight="1">
      <c r="A43" s="124">
        <v>2040.0</v>
      </c>
      <c r="B43" s="124">
        <v>0.033</v>
      </c>
      <c r="C43" s="124">
        <v>2040.0</v>
      </c>
      <c r="D43" s="124">
        <v>0.037</v>
      </c>
      <c r="E43" s="124">
        <v>2040.0</v>
      </c>
      <c r="F43" s="124">
        <v>0.01</v>
      </c>
      <c r="G43" s="124">
        <v>2040.0</v>
      </c>
      <c r="H43" s="124">
        <v>-0.013</v>
      </c>
      <c r="I43" s="124">
        <v>2040.0</v>
      </c>
      <c r="J43" s="124">
        <v>-0.003</v>
      </c>
      <c r="K43" s="124">
        <v>2040.0</v>
      </c>
      <c r="L43" s="124">
        <v>-0.004</v>
      </c>
      <c r="M43" s="124">
        <v>2040.0</v>
      </c>
      <c r="N43" s="124">
        <v>-0.012</v>
      </c>
    </row>
    <row r="44" ht="12.75" customHeight="1">
      <c r="A44" s="124">
        <v>2100.0</v>
      </c>
      <c r="B44" s="124">
        <v>0.034</v>
      </c>
      <c r="C44" s="124">
        <v>2100.0</v>
      </c>
      <c r="D44" s="124">
        <v>0.039</v>
      </c>
      <c r="E44" s="124">
        <v>2100.0</v>
      </c>
      <c r="F44" s="124">
        <v>0.012</v>
      </c>
      <c r="G44" s="124">
        <v>2100.0</v>
      </c>
      <c r="H44" s="124">
        <v>-0.013</v>
      </c>
      <c r="I44" s="124">
        <v>2100.0</v>
      </c>
      <c r="J44" s="124">
        <v>-0.003</v>
      </c>
      <c r="K44" s="124">
        <v>2100.0</v>
      </c>
      <c r="L44" s="124">
        <v>-0.003</v>
      </c>
      <c r="M44" s="124">
        <v>2100.0</v>
      </c>
      <c r="N44" s="124">
        <v>-0.012</v>
      </c>
    </row>
    <row r="45" ht="12.75" customHeight="1">
      <c r="A45" s="124">
        <v>2160.0</v>
      </c>
      <c r="B45" s="124">
        <v>0.035</v>
      </c>
      <c r="C45" s="124">
        <v>2160.0</v>
      </c>
      <c r="D45" s="124">
        <v>0.042</v>
      </c>
      <c r="E45" s="124">
        <v>2160.0</v>
      </c>
      <c r="F45" s="124">
        <v>0.013</v>
      </c>
      <c r="G45" s="124">
        <v>2160.0</v>
      </c>
      <c r="H45" s="124">
        <v>-0.012</v>
      </c>
      <c r="I45" s="124">
        <v>2160.0</v>
      </c>
      <c r="J45" s="124">
        <v>-0.003</v>
      </c>
      <c r="K45" s="124">
        <v>2160.0</v>
      </c>
      <c r="L45" s="124">
        <v>-0.003</v>
      </c>
      <c r="M45" s="124">
        <v>2160.0</v>
      </c>
      <c r="N45" s="124">
        <v>-0.012</v>
      </c>
    </row>
    <row r="46" ht="12.75" customHeight="1">
      <c r="A46" s="124">
        <v>2220.0</v>
      </c>
      <c r="B46" s="124">
        <v>0.036</v>
      </c>
      <c r="C46" s="124">
        <v>2220.0</v>
      </c>
      <c r="D46" s="124">
        <v>0.045</v>
      </c>
      <c r="E46" s="124">
        <v>2220.0</v>
      </c>
      <c r="F46" s="124">
        <v>0.013</v>
      </c>
      <c r="G46" s="124">
        <v>2220.0</v>
      </c>
      <c r="H46" s="124">
        <v>-0.012</v>
      </c>
      <c r="I46" s="124">
        <v>2220.0</v>
      </c>
      <c r="J46" s="124">
        <v>-0.003</v>
      </c>
      <c r="K46" s="124">
        <v>2220.0</v>
      </c>
      <c r="L46" s="124">
        <v>-0.003</v>
      </c>
      <c r="M46" s="124">
        <v>2220.0</v>
      </c>
      <c r="N46" s="124">
        <v>-0.012</v>
      </c>
    </row>
    <row r="47" ht="12.75" customHeight="1">
      <c r="A47" s="124">
        <v>2280.0</v>
      </c>
      <c r="B47" s="124">
        <v>0.037</v>
      </c>
      <c r="C47" s="124">
        <v>2280.0</v>
      </c>
      <c r="D47" s="124">
        <v>0.047</v>
      </c>
      <c r="E47" s="124">
        <v>2280.0</v>
      </c>
      <c r="F47" s="124">
        <v>0.015</v>
      </c>
      <c r="G47" s="124">
        <v>2280.0</v>
      </c>
      <c r="H47" s="124">
        <v>-0.011</v>
      </c>
      <c r="I47" s="124">
        <v>2280.0</v>
      </c>
      <c r="J47" s="124">
        <v>-0.002</v>
      </c>
      <c r="K47" s="124">
        <v>2280.0</v>
      </c>
      <c r="L47" s="124">
        <v>-0.003</v>
      </c>
      <c r="M47" s="124">
        <v>2280.0</v>
      </c>
      <c r="N47" s="124">
        <v>-0.012</v>
      </c>
    </row>
    <row r="48" ht="12.75" customHeight="1">
      <c r="A48" s="124">
        <v>2340.0</v>
      </c>
      <c r="B48" s="124">
        <v>0.038</v>
      </c>
      <c r="C48" s="124">
        <v>2340.0</v>
      </c>
      <c r="D48" s="124">
        <v>0.05</v>
      </c>
      <c r="E48" s="124">
        <v>2340.0</v>
      </c>
      <c r="F48" s="124">
        <v>0.015</v>
      </c>
      <c r="G48" s="124">
        <v>2340.0</v>
      </c>
      <c r="H48" s="124">
        <v>-0.011</v>
      </c>
      <c r="I48" s="124">
        <v>2340.0</v>
      </c>
      <c r="J48" s="124">
        <v>-0.002</v>
      </c>
      <c r="K48" s="124">
        <v>2340.0</v>
      </c>
      <c r="L48" s="124">
        <v>-0.002</v>
      </c>
      <c r="M48" s="124">
        <v>2340.0</v>
      </c>
      <c r="N48" s="124">
        <v>-0.014</v>
      </c>
    </row>
    <row r="49" ht="12.75" customHeight="1">
      <c r="A49" s="124">
        <v>2400.0</v>
      </c>
      <c r="B49" s="124">
        <v>0.039</v>
      </c>
      <c r="C49" s="124">
        <v>2400.0</v>
      </c>
      <c r="D49" s="124">
        <v>0.053</v>
      </c>
      <c r="E49" s="124">
        <v>2400.0</v>
      </c>
      <c r="F49" s="124">
        <v>0.015</v>
      </c>
      <c r="G49" s="124">
        <v>2400.0</v>
      </c>
      <c r="H49" s="124">
        <v>-0.011</v>
      </c>
      <c r="I49" s="124">
        <v>2400.0</v>
      </c>
      <c r="J49" s="124">
        <v>-0.002</v>
      </c>
      <c r="K49" s="124">
        <v>2400.0</v>
      </c>
      <c r="L49" s="124">
        <v>-0.002</v>
      </c>
      <c r="M49" s="124">
        <v>2400.0</v>
      </c>
      <c r="N49" s="124">
        <v>-0.012</v>
      </c>
    </row>
    <row r="50" ht="12.75" customHeight="1">
      <c r="A50" s="124">
        <v>2460.0</v>
      </c>
      <c r="B50" s="124">
        <v>0.04</v>
      </c>
      <c r="C50" s="124">
        <v>2460.0</v>
      </c>
      <c r="D50" s="124">
        <v>0.056</v>
      </c>
      <c r="E50" s="124">
        <v>2460.0</v>
      </c>
      <c r="F50" s="124">
        <v>0.017</v>
      </c>
      <c r="G50" s="124">
        <v>2460.0</v>
      </c>
      <c r="H50" s="124">
        <v>-0.011</v>
      </c>
      <c r="I50" s="124">
        <v>2460.0</v>
      </c>
      <c r="J50" s="124">
        <v>-0.001</v>
      </c>
      <c r="K50" s="124">
        <v>2460.0</v>
      </c>
      <c r="L50" s="124">
        <v>-0.002</v>
      </c>
      <c r="M50" s="124">
        <v>2460.0</v>
      </c>
      <c r="N50" s="124">
        <v>-0.013</v>
      </c>
    </row>
    <row r="51" ht="12.75" customHeight="1">
      <c r="A51" s="124">
        <v>2520.0</v>
      </c>
      <c r="B51" s="124">
        <v>0.04</v>
      </c>
      <c r="C51" s="124">
        <v>2520.0</v>
      </c>
      <c r="D51" s="124">
        <v>0.059</v>
      </c>
      <c r="E51" s="124">
        <v>2520.0</v>
      </c>
      <c r="F51" s="124">
        <v>0.018</v>
      </c>
      <c r="G51" s="124">
        <v>2520.0</v>
      </c>
      <c r="H51" s="124">
        <v>-0.011</v>
      </c>
      <c r="I51" s="124">
        <v>2520.0</v>
      </c>
      <c r="J51" s="124">
        <v>-0.001</v>
      </c>
      <c r="K51" s="124">
        <v>2520.0</v>
      </c>
      <c r="L51" s="124">
        <v>-0.002</v>
      </c>
      <c r="M51" s="124">
        <v>2520.0</v>
      </c>
      <c r="N51" s="124">
        <v>-0.012</v>
      </c>
    </row>
    <row r="52" ht="12.75" customHeight="1">
      <c r="A52" s="124">
        <v>2580.0</v>
      </c>
      <c r="B52" s="124">
        <v>0.041</v>
      </c>
      <c r="C52" s="124">
        <v>2580.0</v>
      </c>
      <c r="D52" s="124">
        <v>0.061</v>
      </c>
      <c r="E52" s="124">
        <v>2580.0</v>
      </c>
      <c r="F52" s="124">
        <v>0.019</v>
      </c>
      <c r="G52" s="124">
        <v>2580.0</v>
      </c>
      <c r="H52" s="124">
        <v>-0.011</v>
      </c>
      <c r="I52" s="124">
        <v>2580.0</v>
      </c>
      <c r="J52" s="124">
        <v>-0.001</v>
      </c>
      <c r="K52" s="124">
        <v>2580.0</v>
      </c>
      <c r="L52" s="124">
        <v>-0.002</v>
      </c>
      <c r="M52" s="124">
        <v>2580.0</v>
      </c>
      <c r="N52" s="124">
        <v>-0.011</v>
      </c>
    </row>
    <row r="53" ht="12.75" customHeight="1">
      <c r="A53" s="124">
        <v>2640.0</v>
      </c>
      <c r="B53" s="124">
        <v>0.041</v>
      </c>
      <c r="C53" s="124">
        <v>2640.0</v>
      </c>
      <c r="D53" s="124">
        <v>0.064</v>
      </c>
      <c r="E53" s="124">
        <v>2640.0</v>
      </c>
      <c r="F53" s="124">
        <v>0.02</v>
      </c>
      <c r="G53" s="124">
        <v>2640.0</v>
      </c>
      <c r="H53" s="124">
        <v>-0.01</v>
      </c>
      <c r="I53" s="124">
        <v>2640.0</v>
      </c>
      <c r="J53" s="124">
        <v>-0.001</v>
      </c>
      <c r="K53" s="124">
        <v>2640.0</v>
      </c>
      <c r="L53" s="124">
        <v>-0.001</v>
      </c>
      <c r="M53" s="124">
        <v>2640.0</v>
      </c>
      <c r="N53" s="124">
        <v>-0.012</v>
      </c>
    </row>
    <row r="54" ht="12.75" customHeight="1">
      <c r="A54" s="124">
        <v>2700.0</v>
      </c>
      <c r="B54" s="124">
        <v>0.042</v>
      </c>
      <c r="C54" s="124">
        <v>2700.0</v>
      </c>
      <c r="D54" s="124">
        <v>0.058</v>
      </c>
      <c r="E54" s="124">
        <v>2700.0</v>
      </c>
      <c r="F54" s="124">
        <v>0.021</v>
      </c>
      <c r="G54" s="124">
        <v>2700.0</v>
      </c>
      <c r="H54" s="124">
        <v>-0.01</v>
      </c>
      <c r="I54" s="124">
        <v>2700.0</v>
      </c>
      <c r="J54" s="124">
        <v>-0.001</v>
      </c>
      <c r="K54" s="124">
        <v>2700.0</v>
      </c>
      <c r="L54" s="124">
        <v>-0.001</v>
      </c>
      <c r="M54" s="124">
        <v>2700.0</v>
      </c>
      <c r="N54" s="124">
        <v>-0.011</v>
      </c>
    </row>
    <row r="55" ht="12.75" customHeight="1">
      <c r="A55" s="124">
        <v>2760.0</v>
      </c>
      <c r="B55" s="124">
        <v>0.043</v>
      </c>
      <c r="C55" s="124">
        <v>2760.0</v>
      </c>
      <c r="D55" s="124">
        <v>0.053</v>
      </c>
      <c r="E55" s="124">
        <v>2760.0</v>
      </c>
      <c r="F55" s="124">
        <v>0.022</v>
      </c>
      <c r="G55" s="124">
        <v>2760.0</v>
      </c>
      <c r="H55" s="124">
        <v>-0.01</v>
      </c>
      <c r="I55" s="124">
        <v>2760.0</v>
      </c>
      <c r="J55" s="124">
        <v>0.0</v>
      </c>
      <c r="K55" s="124">
        <v>2760.0</v>
      </c>
      <c r="L55" s="124">
        <v>-0.001</v>
      </c>
      <c r="M55" s="124">
        <v>2760.0</v>
      </c>
      <c r="N55" s="124">
        <v>-0.011</v>
      </c>
    </row>
    <row r="56" ht="12.75" customHeight="1">
      <c r="A56" s="124">
        <v>2820.0</v>
      </c>
      <c r="B56" s="124">
        <v>0.044</v>
      </c>
      <c r="C56" s="124">
        <v>2820.0</v>
      </c>
      <c r="D56" s="124">
        <v>0.057</v>
      </c>
      <c r="E56" s="124">
        <v>2820.0</v>
      </c>
      <c r="F56" s="124">
        <v>0.024</v>
      </c>
      <c r="G56" s="124">
        <v>2820.0</v>
      </c>
      <c r="H56" s="124">
        <v>-0.009</v>
      </c>
      <c r="I56" s="124">
        <v>2820.0</v>
      </c>
      <c r="J56" s="124">
        <v>0.0</v>
      </c>
      <c r="K56" s="124">
        <v>2820.0</v>
      </c>
      <c r="L56" s="124">
        <v>-0.001</v>
      </c>
      <c r="M56" s="124">
        <v>2820.0</v>
      </c>
      <c r="N56" s="124">
        <v>-0.011</v>
      </c>
    </row>
    <row r="57" ht="12.75" customHeight="1">
      <c r="A57" s="124">
        <v>2880.0</v>
      </c>
      <c r="B57" s="124">
        <v>0.04</v>
      </c>
      <c r="C57" s="124">
        <v>2880.0</v>
      </c>
      <c r="D57" s="124">
        <v>0.059</v>
      </c>
      <c r="E57" s="124">
        <v>2880.0</v>
      </c>
      <c r="F57" s="124">
        <v>0.025</v>
      </c>
      <c r="G57" s="124">
        <v>2880.0</v>
      </c>
      <c r="H57" s="124">
        <v>-0.009</v>
      </c>
      <c r="I57" s="124">
        <v>2880.0</v>
      </c>
      <c r="J57" s="124">
        <v>0.0</v>
      </c>
      <c r="K57" s="124">
        <v>2880.0</v>
      </c>
      <c r="L57" s="124">
        <v>0.0</v>
      </c>
      <c r="M57" s="124">
        <v>2880.0</v>
      </c>
      <c r="N57" s="124">
        <v>-0.011</v>
      </c>
    </row>
    <row r="58" ht="12.75" customHeight="1">
      <c r="A58" s="124">
        <v>2940.0</v>
      </c>
      <c r="B58" s="124">
        <v>0.042</v>
      </c>
      <c r="C58" s="124">
        <v>2940.0</v>
      </c>
      <c r="D58" s="124">
        <v>0.061</v>
      </c>
      <c r="E58" s="124">
        <v>2940.0</v>
      </c>
      <c r="F58" s="124">
        <v>0.026</v>
      </c>
      <c r="G58" s="124">
        <v>2940.0</v>
      </c>
      <c r="H58" s="124">
        <v>-0.009</v>
      </c>
      <c r="I58" s="124">
        <v>2940.0</v>
      </c>
      <c r="J58" s="124">
        <v>0.0</v>
      </c>
      <c r="K58" s="124">
        <v>2940.0</v>
      </c>
      <c r="L58" s="124">
        <v>0.0</v>
      </c>
      <c r="M58" s="124">
        <v>2940.0</v>
      </c>
      <c r="N58" s="124">
        <v>-0.011</v>
      </c>
    </row>
    <row r="59" ht="12.75" customHeight="1">
      <c r="A59" s="124">
        <v>3000.0</v>
      </c>
      <c r="B59" s="124">
        <v>0.042</v>
      </c>
      <c r="C59" s="124">
        <v>3000.0</v>
      </c>
      <c r="D59" s="124">
        <v>0.064</v>
      </c>
      <c r="E59" s="124">
        <v>3000.0</v>
      </c>
      <c r="F59" s="124">
        <v>0.027</v>
      </c>
      <c r="G59" s="124">
        <v>3000.0</v>
      </c>
      <c r="H59" s="124">
        <v>-0.008</v>
      </c>
      <c r="I59" s="124">
        <v>3000.0</v>
      </c>
      <c r="J59" s="124">
        <v>0.001</v>
      </c>
      <c r="K59" s="124">
        <v>3000.0</v>
      </c>
      <c r="L59" s="124">
        <v>0.0</v>
      </c>
      <c r="M59" s="124">
        <v>3000.0</v>
      </c>
      <c r="N59" s="124">
        <v>-0.011</v>
      </c>
    </row>
    <row r="60" ht="12.75" customHeight="1">
      <c r="A60" s="124">
        <v>3060.0</v>
      </c>
      <c r="B60" s="124">
        <v>0.041</v>
      </c>
      <c r="C60" s="124">
        <v>3060.0</v>
      </c>
      <c r="D60" s="124">
        <v>0.063</v>
      </c>
      <c r="E60" s="124">
        <v>3060.0</v>
      </c>
      <c r="F60" s="124">
        <v>0.028</v>
      </c>
      <c r="G60" s="124">
        <v>3060.0</v>
      </c>
      <c r="H60" s="124">
        <v>-0.008</v>
      </c>
      <c r="I60" s="124">
        <v>3060.0</v>
      </c>
      <c r="J60" s="124">
        <v>0.0</v>
      </c>
      <c r="K60" s="124">
        <v>3060.0</v>
      </c>
      <c r="L60" s="124">
        <v>0.001</v>
      </c>
      <c r="M60" s="124">
        <v>3060.0</v>
      </c>
      <c r="N60" s="124">
        <v>-0.011</v>
      </c>
    </row>
    <row r="61" ht="12.75" customHeight="1">
      <c r="A61" s="124">
        <v>3120.0</v>
      </c>
      <c r="B61" s="124">
        <v>0.043</v>
      </c>
      <c r="C61" s="124">
        <v>3120.0</v>
      </c>
      <c r="D61" s="124">
        <v>0.066</v>
      </c>
      <c r="E61" s="124">
        <v>3120.0</v>
      </c>
      <c r="F61" s="124">
        <v>0.03</v>
      </c>
      <c r="G61" s="124">
        <v>3120.0</v>
      </c>
      <c r="H61" s="124">
        <v>-0.007</v>
      </c>
      <c r="I61" s="124">
        <v>3120.0</v>
      </c>
      <c r="J61" s="124">
        <v>0.001</v>
      </c>
      <c r="K61" s="124">
        <v>3120.0</v>
      </c>
      <c r="L61" s="124">
        <v>0.001</v>
      </c>
      <c r="M61" s="124">
        <v>3120.0</v>
      </c>
      <c r="N61" s="124">
        <v>-0.01</v>
      </c>
    </row>
    <row r="62" ht="12.75" customHeight="1">
      <c r="A62" s="124">
        <v>3180.0</v>
      </c>
      <c r="B62" s="124">
        <v>0.044</v>
      </c>
      <c r="C62" s="124">
        <v>3180.0</v>
      </c>
      <c r="D62" s="124">
        <v>0.068</v>
      </c>
      <c r="E62" s="124">
        <v>3180.0</v>
      </c>
      <c r="F62" s="124">
        <v>0.024</v>
      </c>
      <c r="G62" s="124">
        <v>3180.0</v>
      </c>
      <c r="H62" s="124">
        <v>-0.007</v>
      </c>
      <c r="I62" s="124">
        <v>3180.0</v>
      </c>
      <c r="J62" s="124">
        <v>0.001</v>
      </c>
      <c r="K62" s="124">
        <v>3180.0</v>
      </c>
      <c r="L62" s="124">
        <v>0.001</v>
      </c>
      <c r="M62" s="124">
        <v>3180.0</v>
      </c>
      <c r="N62" s="124">
        <v>-0.01</v>
      </c>
    </row>
    <row r="63" ht="12.75" customHeight="1">
      <c r="A63" s="124">
        <v>3240.0</v>
      </c>
      <c r="B63" s="124">
        <v>0.044</v>
      </c>
      <c r="C63" s="124">
        <v>3240.0</v>
      </c>
      <c r="D63" s="124">
        <v>0.071</v>
      </c>
      <c r="E63" s="124">
        <v>3240.0</v>
      </c>
      <c r="F63" s="124">
        <v>0.025</v>
      </c>
      <c r="G63" s="124">
        <v>3240.0</v>
      </c>
      <c r="H63" s="124">
        <v>-0.006</v>
      </c>
      <c r="I63" s="124">
        <v>3240.0</v>
      </c>
      <c r="J63" s="124">
        <v>0.001</v>
      </c>
      <c r="K63" s="124">
        <v>3240.0</v>
      </c>
      <c r="L63" s="124">
        <v>0.001</v>
      </c>
      <c r="M63" s="124">
        <v>3240.0</v>
      </c>
      <c r="N63" s="124">
        <v>-0.01</v>
      </c>
    </row>
    <row r="64" ht="12.75" customHeight="1">
      <c r="A64" s="124">
        <v>3300.0</v>
      </c>
      <c r="B64" s="124">
        <v>0.045</v>
      </c>
      <c r="C64" s="124">
        <v>3300.0</v>
      </c>
      <c r="D64" s="124">
        <v>0.073</v>
      </c>
      <c r="E64" s="124">
        <v>3300.0</v>
      </c>
      <c r="F64" s="124">
        <v>0.026</v>
      </c>
      <c r="G64" s="124">
        <v>3300.0</v>
      </c>
      <c r="H64" s="124">
        <v>-0.006</v>
      </c>
      <c r="I64" s="124">
        <v>3300.0</v>
      </c>
      <c r="J64" s="124">
        <v>0.002</v>
      </c>
      <c r="K64" s="124">
        <v>3300.0</v>
      </c>
      <c r="L64" s="124">
        <v>0.001</v>
      </c>
      <c r="M64" s="124">
        <v>3300.0</v>
      </c>
      <c r="N64" s="124">
        <v>-0.01</v>
      </c>
    </row>
    <row r="65" ht="12.75" customHeight="1">
      <c r="A65" s="124">
        <v>3360.0</v>
      </c>
      <c r="B65" s="124">
        <v>0.046</v>
      </c>
      <c r="C65" s="124">
        <v>3360.0</v>
      </c>
      <c r="D65" s="124">
        <v>0.062</v>
      </c>
      <c r="E65" s="124">
        <v>3360.0</v>
      </c>
      <c r="F65" s="124">
        <v>0.027</v>
      </c>
      <c r="G65" s="124">
        <v>3360.0</v>
      </c>
      <c r="H65" s="124">
        <v>-0.005</v>
      </c>
      <c r="I65" s="124">
        <v>3360.0</v>
      </c>
      <c r="J65" s="124">
        <v>0.002</v>
      </c>
      <c r="K65" s="124">
        <v>3360.0</v>
      </c>
      <c r="L65" s="124">
        <v>0.001</v>
      </c>
      <c r="M65" s="124">
        <v>3360.0</v>
      </c>
      <c r="N65" s="124">
        <v>-0.01</v>
      </c>
    </row>
    <row r="66" ht="12.75" customHeight="1">
      <c r="A66" s="124">
        <v>3420.0</v>
      </c>
      <c r="B66" s="124">
        <v>0.047</v>
      </c>
      <c r="C66" s="124">
        <v>3420.0</v>
      </c>
      <c r="D66" s="124">
        <v>0.045</v>
      </c>
      <c r="E66" s="124">
        <v>3420.0</v>
      </c>
      <c r="F66" s="124">
        <v>0.028</v>
      </c>
      <c r="G66" s="124">
        <v>3420.0</v>
      </c>
      <c r="H66" s="124">
        <v>-0.005</v>
      </c>
      <c r="I66" s="124">
        <v>3420.0</v>
      </c>
      <c r="J66" s="124">
        <v>0.002</v>
      </c>
      <c r="K66" s="124">
        <v>3420.0</v>
      </c>
      <c r="L66" s="124">
        <v>0.002</v>
      </c>
      <c r="M66" s="124">
        <v>3420.0</v>
      </c>
      <c r="N66" s="124">
        <v>-0.01</v>
      </c>
    </row>
    <row r="67" ht="12.75" customHeight="1">
      <c r="A67" s="124">
        <v>3480.0</v>
      </c>
      <c r="B67" s="124">
        <v>0.048</v>
      </c>
      <c r="C67" s="124">
        <v>3480.0</v>
      </c>
      <c r="D67" s="124">
        <v>0.047</v>
      </c>
      <c r="E67" s="124">
        <v>3480.0</v>
      </c>
      <c r="F67" s="124">
        <v>0.03</v>
      </c>
      <c r="G67" s="124">
        <v>3480.0</v>
      </c>
      <c r="H67" s="124">
        <v>-0.004</v>
      </c>
      <c r="I67" s="124">
        <v>3480.0</v>
      </c>
      <c r="J67" s="124">
        <v>0.002</v>
      </c>
      <c r="K67" s="124">
        <v>3480.0</v>
      </c>
      <c r="L67" s="124">
        <v>0.002</v>
      </c>
      <c r="M67" s="124">
        <v>3480.0</v>
      </c>
      <c r="N67" s="124">
        <v>-0.01</v>
      </c>
    </row>
    <row r="68" ht="12.75" customHeight="1">
      <c r="A68" s="124">
        <v>3540.0</v>
      </c>
      <c r="B68" s="124">
        <v>0.049</v>
      </c>
      <c r="C68" s="124">
        <v>3540.0</v>
      </c>
      <c r="D68" s="124">
        <v>0.048</v>
      </c>
      <c r="E68" s="124">
        <v>3540.0</v>
      </c>
      <c r="F68" s="124">
        <v>0.027</v>
      </c>
      <c r="G68" s="124">
        <v>3540.0</v>
      </c>
      <c r="H68" s="124">
        <v>-0.004</v>
      </c>
      <c r="I68" s="124">
        <v>3540.0</v>
      </c>
      <c r="J68" s="124">
        <v>0.003</v>
      </c>
      <c r="K68" s="124">
        <v>3540.0</v>
      </c>
      <c r="L68" s="124">
        <v>0.002</v>
      </c>
      <c r="M68" s="124">
        <v>3540.0</v>
      </c>
      <c r="N68" s="124">
        <v>-0.01</v>
      </c>
    </row>
    <row r="69" ht="12.75" customHeight="1">
      <c r="A69" s="124">
        <v>3600.0</v>
      </c>
      <c r="B69" s="124">
        <v>0.05</v>
      </c>
      <c r="C69" s="124">
        <v>3600.0</v>
      </c>
      <c r="D69" s="124">
        <v>0.05</v>
      </c>
      <c r="E69" s="124">
        <v>3600.0</v>
      </c>
      <c r="F69" s="124">
        <v>0.028</v>
      </c>
      <c r="G69" s="124">
        <v>3600.0</v>
      </c>
      <c r="H69" s="124">
        <v>-0.003</v>
      </c>
      <c r="I69" s="124">
        <v>3600.0</v>
      </c>
      <c r="J69" s="124">
        <v>0.003</v>
      </c>
      <c r="K69" s="124">
        <v>3600.0</v>
      </c>
      <c r="L69" s="124">
        <v>0.002</v>
      </c>
      <c r="M69" s="124">
        <v>3600.0</v>
      </c>
      <c r="N69" s="124">
        <v>-0.009</v>
      </c>
    </row>
    <row r="70" ht="12.75" customHeight="1">
      <c r="A70" s="124">
        <v>3660.0</v>
      </c>
      <c r="B70" s="124">
        <v>0.051</v>
      </c>
      <c r="C70" s="124">
        <v>3660.0</v>
      </c>
      <c r="D70" s="124">
        <v>0.052</v>
      </c>
      <c r="E70" s="124">
        <v>3660.0</v>
      </c>
      <c r="F70" s="124">
        <v>0.03</v>
      </c>
      <c r="G70" s="124">
        <v>3660.0</v>
      </c>
      <c r="H70" s="124">
        <v>-0.002</v>
      </c>
      <c r="I70" s="124">
        <v>3660.0</v>
      </c>
      <c r="J70" s="124">
        <v>0.003</v>
      </c>
      <c r="K70" s="124">
        <v>3660.0</v>
      </c>
      <c r="L70" s="124">
        <v>0.002</v>
      </c>
      <c r="M70" s="124">
        <v>3660.0</v>
      </c>
      <c r="N70" s="124">
        <v>-0.009</v>
      </c>
    </row>
    <row r="71" ht="12.75" customHeight="1">
      <c r="A71" s="124">
        <v>3720.0</v>
      </c>
      <c r="B71" s="124">
        <v>0.053</v>
      </c>
      <c r="C71" s="124">
        <v>3720.0</v>
      </c>
      <c r="D71" s="124">
        <v>0.054</v>
      </c>
      <c r="E71" s="124">
        <v>3720.0</v>
      </c>
      <c r="F71" s="124">
        <v>0.031</v>
      </c>
      <c r="G71" s="124">
        <v>3720.0</v>
      </c>
      <c r="H71" s="124">
        <v>-0.006</v>
      </c>
      <c r="I71" s="124">
        <v>3720.0</v>
      </c>
      <c r="J71" s="124">
        <v>0.004</v>
      </c>
      <c r="K71" s="124">
        <v>3720.0</v>
      </c>
      <c r="L71" s="124">
        <v>0.003</v>
      </c>
      <c r="M71" s="124">
        <v>3720.0</v>
      </c>
      <c r="N71" s="124">
        <v>-0.01</v>
      </c>
    </row>
    <row r="72" ht="12.75" customHeight="1">
      <c r="A72" s="124">
        <v>3780.0</v>
      </c>
      <c r="B72" s="124">
        <v>0.053</v>
      </c>
      <c r="C72" s="124">
        <v>3780.0</v>
      </c>
      <c r="D72" s="124">
        <v>0.055</v>
      </c>
      <c r="E72" s="124">
        <v>3780.0</v>
      </c>
      <c r="F72" s="124">
        <v>0.032</v>
      </c>
      <c r="G72" s="124">
        <v>3780.0</v>
      </c>
      <c r="H72" s="124">
        <v>-0.005</v>
      </c>
      <c r="I72" s="124">
        <v>3780.0</v>
      </c>
      <c r="J72" s="124">
        <v>0.004</v>
      </c>
      <c r="K72" s="124">
        <v>3780.0</v>
      </c>
      <c r="L72" s="124">
        <v>0.003</v>
      </c>
      <c r="M72" s="124">
        <v>3780.0</v>
      </c>
      <c r="N72" s="124">
        <v>-0.009</v>
      </c>
    </row>
    <row r="73" ht="12.75" customHeight="1">
      <c r="A73" s="124">
        <v>3840.0</v>
      </c>
      <c r="B73" s="124">
        <v>0.046</v>
      </c>
      <c r="C73" s="124">
        <v>3840.0</v>
      </c>
      <c r="D73" s="124">
        <v>0.057</v>
      </c>
      <c r="E73" s="124">
        <v>3840.0</v>
      </c>
      <c r="F73" s="124">
        <v>0.034</v>
      </c>
      <c r="G73" s="124">
        <v>3840.0</v>
      </c>
      <c r="H73" s="124">
        <v>-0.005</v>
      </c>
      <c r="I73" s="124">
        <v>3840.0</v>
      </c>
      <c r="J73" s="124">
        <v>0.004</v>
      </c>
      <c r="K73" s="124">
        <v>3840.0</v>
      </c>
      <c r="L73" s="124">
        <v>0.003</v>
      </c>
      <c r="M73" s="124">
        <v>3840.0</v>
      </c>
      <c r="N73" s="124">
        <v>-0.009</v>
      </c>
    </row>
    <row r="74" ht="12.75" customHeight="1">
      <c r="A74" s="124">
        <v>3900.0</v>
      </c>
      <c r="B74" s="124">
        <v>0.047</v>
      </c>
      <c r="C74" s="124">
        <v>3900.0</v>
      </c>
      <c r="D74" s="124">
        <v>0.059</v>
      </c>
      <c r="E74" s="124">
        <v>3900.0</v>
      </c>
      <c r="F74" s="124">
        <v>0.035</v>
      </c>
      <c r="G74" s="124">
        <v>3900.0</v>
      </c>
      <c r="H74" s="124">
        <v>-0.004</v>
      </c>
      <c r="I74" s="124">
        <v>3900.0</v>
      </c>
      <c r="J74" s="124">
        <v>0.005</v>
      </c>
      <c r="K74" s="124">
        <v>3900.0</v>
      </c>
      <c r="L74" s="124">
        <v>0.004</v>
      </c>
      <c r="M74" s="124">
        <v>3900.0</v>
      </c>
      <c r="N74" s="124">
        <v>-0.009</v>
      </c>
    </row>
    <row r="75" ht="12.75" customHeight="1">
      <c r="A75" s="124">
        <v>3960.0</v>
      </c>
      <c r="B75" s="124">
        <v>0.048</v>
      </c>
      <c r="C75" s="124">
        <v>3960.0</v>
      </c>
      <c r="D75" s="124">
        <v>0.059</v>
      </c>
      <c r="E75" s="124">
        <v>3960.0</v>
      </c>
      <c r="F75" s="124">
        <v>0.036</v>
      </c>
      <c r="G75" s="124">
        <v>3960.0</v>
      </c>
      <c r="H75" s="124">
        <v>-0.004</v>
      </c>
      <c r="I75" s="124">
        <v>3960.0</v>
      </c>
      <c r="J75" s="124">
        <v>0.005</v>
      </c>
      <c r="K75" s="124">
        <v>3960.0</v>
      </c>
      <c r="L75" s="124">
        <v>0.004</v>
      </c>
      <c r="M75" s="124">
        <v>3960.0</v>
      </c>
      <c r="N75" s="124">
        <v>-0.009</v>
      </c>
    </row>
    <row r="76" ht="12.75" customHeight="1">
      <c r="A76" s="124">
        <v>4020.0</v>
      </c>
      <c r="B76" s="124">
        <v>0.049</v>
      </c>
      <c r="C76" s="124">
        <v>4020.0</v>
      </c>
      <c r="D76" s="124">
        <v>0.061</v>
      </c>
      <c r="E76" s="124">
        <v>4020.0</v>
      </c>
      <c r="F76" s="124">
        <v>0.038</v>
      </c>
      <c r="G76" s="124">
        <v>4020.0</v>
      </c>
      <c r="H76" s="124">
        <v>-0.003</v>
      </c>
      <c r="I76" s="124">
        <v>4020.0</v>
      </c>
      <c r="J76" s="124">
        <v>0.005</v>
      </c>
      <c r="K76" s="124">
        <v>4020.0</v>
      </c>
      <c r="L76" s="124">
        <v>0.004</v>
      </c>
      <c r="M76" s="124">
        <v>4020.0</v>
      </c>
      <c r="N76" s="124">
        <v>-0.009</v>
      </c>
    </row>
    <row r="77" ht="12.75" customHeight="1">
      <c r="A77" s="124">
        <v>4080.0</v>
      </c>
      <c r="B77" s="124">
        <v>0.05</v>
      </c>
      <c r="C77" s="124">
        <v>4080.0</v>
      </c>
      <c r="D77" s="124">
        <v>0.062</v>
      </c>
      <c r="E77" s="124">
        <v>4080.0</v>
      </c>
      <c r="F77" s="124">
        <v>0.033</v>
      </c>
      <c r="G77" s="124">
        <v>4080.0</v>
      </c>
      <c r="H77" s="124">
        <v>-0.002</v>
      </c>
      <c r="I77" s="124">
        <v>4080.0</v>
      </c>
      <c r="J77" s="124">
        <v>0.006</v>
      </c>
      <c r="K77" s="124">
        <v>4080.0</v>
      </c>
      <c r="L77" s="124">
        <v>0.004</v>
      </c>
      <c r="M77" s="124">
        <v>4080.0</v>
      </c>
      <c r="N77" s="124">
        <v>-0.009</v>
      </c>
    </row>
    <row r="78" ht="12.75" customHeight="1">
      <c r="A78" s="124">
        <v>4140.0</v>
      </c>
      <c r="B78" s="124">
        <v>0.05</v>
      </c>
      <c r="C78" s="124">
        <v>4140.0</v>
      </c>
      <c r="D78" s="124">
        <v>0.063</v>
      </c>
      <c r="E78" s="124">
        <v>4140.0</v>
      </c>
      <c r="F78" s="124">
        <v>0.034</v>
      </c>
      <c r="G78" s="124">
        <v>4140.0</v>
      </c>
      <c r="H78" s="124">
        <v>-0.001</v>
      </c>
      <c r="I78" s="124">
        <v>4140.0</v>
      </c>
      <c r="J78" s="124">
        <v>0.006</v>
      </c>
      <c r="K78" s="124">
        <v>4140.0</v>
      </c>
      <c r="L78" s="124">
        <v>0.004</v>
      </c>
      <c r="M78" s="124">
        <v>4140.0</v>
      </c>
      <c r="N78" s="124">
        <v>-0.01</v>
      </c>
    </row>
    <row r="79" ht="12.75" customHeight="1">
      <c r="A79" s="124">
        <v>4200.0</v>
      </c>
      <c r="B79" s="124">
        <v>0.051</v>
      </c>
      <c r="C79" s="124">
        <v>4200.0</v>
      </c>
      <c r="D79" s="124">
        <v>0.064</v>
      </c>
      <c r="E79" s="124">
        <v>4200.0</v>
      </c>
      <c r="F79" s="124">
        <v>0.035</v>
      </c>
      <c r="G79" s="124">
        <v>4200.0</v>
      </c>
      <c r="H79" s="124">
        <v>-0.001</v>
      </c>
      <c r="I79" s="124">
        <v>4200.0</v>
      </c>
      <c r="J79" s="124">
        <v>0.007</v>
      </c>
      <c r="K79" s="124">
        <v>4200.0</v>
      </c>
      <c r="L79" s="124">
        <v>0.004</v>
      </c>
      <c r="M79" s="124">
        <v>4200.0</v>
      </c>
      <c r="N79" s="124">
        <v>-0.008</v>
      </c>
    </row>
    <row r="80" ht="12.75" customHeight="1">
      <c r="A80" s="124">
        <v>4260.0</v>
      </c>
      <c r="B80" s="124">
        <v>0.053</v>
      </c>
      <c r="C80" s="124">
        <v>4260.0</v>
      </c>
      <c r="D80" s="124">
        <v>0.066</v>
      </c>
      <c r="E80" s="124">
        <v>4260.0</v>
      </c>
      <c r="F80" s="124">
        <v>0.036</v>
      </c>
      <c r="G80" s="124">
        <v>4260.0</v>
      </c>
      <c r="H80" s="124">
        <v>0.0</v>
      </c>
      <c r="I80" s="124">
        <v>4260.0</v>
      </c>
      <c r="J80" s="124">
        <v>0.007</v>
      </c>
      <c r="K80" s="124">
        <v>4260.0</v>
      </c>
      <c r="L80" s="124">
        <v>0.004</v>
      </c>
      <c r="M80" s="124">
        <v>4260.0</v>
      </c>
      <c r="N80" s="124">
        <v>-0.008</v>
      </c>
    </row>
    <row r="81" ht="12.75" customHeight="1">
      <c r="A81" s="124">
        <v>4320.0</v>
      </c>
      <c r="B81" s="124">
        <v>0.054</v>
      </c>
      <c r="C81" s="124">
        <v>4320.0</v>
      </c>
      <c r="D81" s="124">
        <v>0.055</v>
      </c>
      <c r="E81" s="124">
        <v>4320.0</v>
      </c>
      <c r="F81" s="124">
        <v>0.037</v>
      </c>
      <c r="G81" s="124">
        <v>4320.0</v>
      </c>
      <c r="H81" s="124">
        <v>0.001</v>
      </c>
      <c r="I81" s="124">
        <v>4320.0</v>
      </c>
      <c r="J81" s="124">
        <v>0.007</v>
      </c>
      <c r="K81" s="124">
        <v>4320.0</v>
      </c>
      <c r="L81" s="124">
        <v>0.005</v>
      </c>
      <c r="M81" s="124">
        <v>4320.0</v>
      </c>
      <c r="N81" s="124">
        <v>-0.008</v>
      </c>
    </row>
    <row r="82" ht="12.75" customHeight="1">
      <c r="A82" s="124">
        <v>4380.0</v>
      </c>
      <c r="B82" s="124">
        <v>0.055</v>
      </c>
      <c r="C82" s="124">
        <v>4380.0</v>
      </c>
      <c r="D82" s="124">
        <v>0.056</v>
      </c>
      <c r="E82" s="124">
        <v>4380.0</v>
      </c>
      <c r="F82" s="124">
        <v>0.038</v>
      </c>
      <c r="G82" s="124">
        <v>4380.0</v>
      </c>
      <c r="H82" s="124">
        <v>0.002</v>
      </c>
      <c r="I82" s="124">
        <v>4380.0</v>
      </c>
      <c r="J82" s="124">
        <v>0.008</v>
      </c>
      <c r="K82" s="124">
        <v>4380.0</v>
      </c>
      <c r="L82" s="124">
        <v>0.005</v>
      </c>
      <c r="M82" s="124">
        <v>4380.0</v>
      </c>
      <c r="N82" s="124">
        <v>-0.008</v>
      </c>
    </row>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
    <col customWidth="1" min="2" max="2" width="64.43"/>
    <col customWidth="1" min="3" max="3" width="1.57"/>
    <col customWidth="1" min="4" max="4" width="5.57"/>
    <col customWidth="1" min="5" max="6" width="16.0"/>
    <col customWidth="1" min="7" max="26" width="8.0"/>
  </cols>
  <sheetData>
    <row r="1" ht="12.75" customHeight="1">
      <c r="B1" s="126" t="s">
        <v>158</v>
      </c>
      <c r="C1" s="126"/>
      <c r="D1" s="127"/>
      <c r="E1" s="127"/>
      <c r="F1" s="127"/>
    </row>
    <row r="2" ht="12.75" customHeight="1">
      <c r="B2" s="126" t="s">
        <v>159</v>
      </c>
      <c r="C2" s="126"/>
      <c r="D2" s="127"/>
      <c r="E2" s="127"/>
      <c r="F2" s="127"/>
    </row>
    <row r="3" ht="12.75" customHeight="1">
      <c r="B3" s="128"/>
      <c r="C3" s="128"/>
      <c r="D3" s="129"/>
      <c r="E3" s="129"/>
      <c r="F3" s="129"/>
    </row>
    <row r="4" ht="51.0" customHeight="1">
      <c r="B4" s="128" t="s">
        <v>160</v>
      </c>
      <c r="C4" s="128"/>
      <c r="D4" s="129"/>
      <c r="E4" s="129"/>
      <c r="F4" s="129"/>
    </row>
    <row r="5" ht="12.75" customHeight="1">
      <c r="B5" s="128"/>
      <c r="C5" s="128"/>
      <c r="D5" s="129"/>
      <c r="E5" s="129"/>
      <c r="F5" s="129"/>
    </row>
    <row r="6" ht="12.75" customHeight="1">
      <c r="B6" s="126" t="s">
        <v>161</v>
      </c>
      <c r="C6" s="126"/>
      <c r="D6" s="127"/>
      <c r="E6" s="127" t="s">
        <v>162</v>
      </c>
      <c r="F6" s="127" t="s">
        <v>163</v>
      </c>
    </row>
    <row r="7" ht="13.5" customHeight="1">
      <c r="B7" s="128"/>
      <c r="C7" s="128"/>
      <c r="D7" s="129"/>
      <c r="E7" s="129"/>
      <c r="F7" s="129"/>
    </row>
    <row r="8" ht="51.0" customHeight="1">
      <c r="B8" s="130" t="s">
        <v>164</v>
      </c>
      <c r="C8" s="131"/>
      <c r="D8" s="132"/>
      <c r="E8" s="132">
        <v>1.0</v>
      </c>
      <c r="F8" s="133"/>
    </row>
    <row r="9" ht="13.5" customHeight="1">
      <c r="B9" s="134"/>
      <c r="C9" s="135"/>
      <c r="D9" s="136"/>
      <c r="E9" s="137" t="s">
        <v>165</v>
      </c>
      <c r="F9" s="138" t="s">
        <v>166</v>
      </c>
    </row>
    <row r="10" ht="12.75" customHeight="1">
      <c r="B10" s="128"/>
      <c r="C10" s="128"/>
      <c r="D10" s="129"/>
      <c r="E10" s="129"/>
      <c r="F10" s="129"/>
    </row>
    <row r="11" ht="12.75" customHeight="1">
      <c r="B11" s="128"/>
      <c r="C11" s="128"/>
      <c r="D11" s="129"/>
      <c r="E11" s="129"/>
      <c r="F11" s="129"/>
    </row>
    <row r="12" ht="12.75" customHeight="1">
      <c r="B12" s="126" t="s">
        <v>167</v>
      </c>
      <c r="C12" s="126"/>
      <c r="D12" s="127"/>
      <c r="E12" s="127"/>
      <c r="F12" s="127"/>
    </row>
    <row r="13" ht="13.5" customHeight="1">
      <c r="B13" s="128"/>
      <c r="C13" s="128"/>
      <c r="D13" s="129"/>
      <c r="E13" s="129"/>
      <c r="F13" s="129"/>
    </row>
    <row r="14" ht="39.0" customHeight="1">
      <c r="B14" s="139" t="s">
        <v>168</v>
      </c>
      <c r="C14" s="140"/>
      <c r="D14" s="141"/>
      <c r="E14" s="141">
        <v>72.0</v>
      </c>
      <c r="F14" s="142" t="s">
        <v>166</v>
      </c>
    </row>
    <row r="15" ht="12.75" customHeight="1">
      <c r="B15" s="128"/>
      <c r="C15" s="128"/>
      <c r="D15" s="129"/>
      <c r="E15" s="129"/>
      <c r="F15" s="129"/>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2010-04-07T07:35:01Z</dcterms:created>
  <dc:creator>kemmb6</dc:creator>
</cp:coreProperties>
</file>

<file path=docProps/custom.xml><?xml version="1.0" encoding="utf-8"?>
<Properties xmlns="http://schemas.openxmlformats.org/officeDocument/2006/custom-properties" xmlns:vt="http://schemas.openxmlformats.org/officeDocument/2006/docPropsVTypes"/>
</file>