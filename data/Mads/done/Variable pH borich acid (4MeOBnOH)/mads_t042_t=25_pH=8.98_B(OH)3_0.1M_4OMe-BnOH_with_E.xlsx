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42" vbProcedure="false">Sheet2!$A$1:$H$46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<sst xmlns="http://schemas.openxmlformats.org/spreadsheetml/2006/main" count="179" uniqueCount="118">
  <si>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</si>
  <si>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</si>
  <si>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</si>
  <si>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</si>
  <si>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</si>
  <si>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</si>
  <si>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</si>
  <si>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</si>
  <si>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</si>
  <si>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</si>
  <si>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</si>
  <si>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</si>
  <si>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</si>
  <si>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</si>
  <si>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</si>
  <si>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</si>
  <si>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</si>
  <si>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</si>
  <si>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</si>
  <si>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</si>
  <si>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</si>
  <si>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</si>
  <si>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</si>
  <si>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</si>
  <si>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</si>
  <si>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</si>
  <si>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</si>
  <si>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</si>
  <si>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</si>
  <si>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</si>
  <si>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</si>
  <si>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</si>
  <si>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</si>
  <si>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</si>
  <si>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</si>
  <si>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</si>
  <si>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</si>
  <si>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</si>
  <si>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</si>
  <si>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</si>
  <si>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</si>
  <si>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</si>
  <si>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</si>
  <si>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</si>
  <si>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</si>
  <si>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</si>
  <si>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</si>
  <si>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Boric acid buf.</t>
  </si>
  <si>
    <t xml:space="preserve">pH</t>
  </si>
  <si>
    <t xml:space="preserve">mmol/l</t>
  </si>
  <si>
    <t xml:space="preserve">T</t>
  </si>
  <si>
    <t xml:space="preserve">kuv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</si>
  <si>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</si>
  <si>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</si>
  <si>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</si>
  <si>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</si>
  <si>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</si>
  <si>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</si>
  <si>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</si>
  <si>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</si>
  <si>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</si>
  <si>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</si>
  <si>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</si>
  <si>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</si>
  <si>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</si>
  <si>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</si>
  <si>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</si>
  <si>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</si>
  <si>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</si>
  <si>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</si>
  <si>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</si>
  <si>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</si>
  <si>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</si>
  <si>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</si>
  <si>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</si>
  <si>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- 042 best fit 2</t>
  </si>
  <si>
    <t xml:space="preserve">Conc. Units</t>
  </si>
  <si>
    <t xml:space="preserve">Hanes-Woolf</t>
  </si>
  <si>
    <t xml:space="preserve">Raw Data</t>
  </si>
  <si>
    <t xml:space="preserve">Parameters</t>
  </si>
  <si>
    <t xml:space="preserve">[I]=0.000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</si>
  <si>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</si>
  <si>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</si>
  <si>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</si>
  <si>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</si>
  <si>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</si>
  <si>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Calculated Values</t>
  </si>
  <si>
    <t xml:space="preserve">Sample001</t>
  </si>
  <si>
    <t xml:space="preserve">Yes</t>
  </si>
  <si>
    <t xml:space="preserve">VMax</t>
  </si>
  <si>
    <t xml:space="preserve">Sample002</t>
  </si>
  <si>
    <t xml:space="preserve">Sample003</t>
  </si>
  <si>
    <t xml:space="preserve">Statistics</t>
  </si>
  <si>
    <t xml:space="preserve">Sample004</t>
  </si>
  <si>
    <t xml:space="preserve">Chi Squared</t>
  </si>
  <si>
    <t xml:space="preserve">Corr.Coeff.</t>
  </si>
  <si>
    <t xml:space="preserve">Batch</t>
  </si>
  <si>
    <t xml:space="preserve">rate042.rre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</si>
  <si>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</si>
  <si>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</si>
  <si>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</si>
  <si>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</si>
  <si>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</si>
  <si>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</si>
  <si>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</si>
  <si>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3:58:01PM</t>
  </si>
  <si>
    <t xml:space="preserve">3:58:07PM</t>
  </si>
  <si>
    <t xml:space="preserve">3:58:14PM</t>
  </si>
  <si>
    <t xml:space="preserve">4:30:51PM</t>
  </si>
  <si>
    <t xml:space="preserve">Substrate Conc.</t>
  </si>
  <si>
    <t xml:space="preserve">1.5286 mmol/L</t>
  </si>
  <si>
    <t xml:space="preserve">3.0571 mmol/L</t>
  </si>
  <si>
    <t xml:space="preserve">4.5857 mmol/L</t>
  </si>
  <si>
    <t xml:space="preserve">6.1142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</si>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</sst>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8"/>
      <color rgb="FF757575"/>
      <name val="Calibri"/>
      <family val="2"/>
    </font>
    <font>
      <sz val="10"/>
      <color rgb="FF1A1A1A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92922465"/>
        <c:axId val="57519977"/>
      </c:scatterChart>
      <c:valAx>
        <c:axId val="929224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7519977"/>
        <c:crosses val="autoZero"/>
        <c:crossBetween val="midCat"/>
      </c:valAx>
      <c:valAx>
        <c:axId val="5751997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29224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12919510"/>
        <c:axId val="2618805"/>
      </c:barChart>
      <c:catAx>
        <c:axId val="12919510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2618805"/>
        <c:auto val="1"/>
        <c:lblAlgn val="ctr"/>
        <c:lblOffset val="100"/>
        <c:noMultiLvlLbl val="0"/>
      </c:catAx>
      <c:valAx>
        <c:axId val="2618805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12919510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23819361"/>
        <c:axId val="76306966"/>
      </c:scatterChart>
      <c:valAx>
        <c:axId val="238193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6306966"/>
        <c:crosses val="autoZero"/>
        <c:crossBetween val="midCat"/>
      </c:valAx>
      <c:valAx>
        <c:axId val="7630696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819361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55351445"/>
        <c:axId val="6787238"/>
      </c:barChart>
      <c:catAx>
        <c:axId val="55351445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6787238"/>
        <c:auto val="1"/>
        <c:lblAlgn val="ctr"/>
        <c:lblOffset val="100"/>
        <c:noMultiLvlLbl val="0"/>
      </c:catAx>
      <c:valAx>
        <c:axId val="6787238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55351445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1.5286 mmol/L/Value, Substrate Conc./ss.sss, 3.0571 mmol/L/Value, Substrate Conc./ss.sss, 4.5857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</c:f>
              <c:numCache>
                <c:formatCode>General</c:formatCode>
                <c:ptCount val="14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</c:numCache>
            </c:numRef>
          </c:xVal>
          <c:yVal>
            <c:numRef>
              <c:f>Sheet2!$B$12:$B$22</c:f>
              <c:numCache>
                <c:formatCode>General</c:formatCode>
                <c:ptCount val="11"/>
                <c:pt idx="0">
                  <c:v>0.004</c:v>
                </c:pt>
                <c:pt idx="1">
                  <c:v>0.009</c:v>
                </c:pt>
                <c:pt idx="2">
                  <c:v>0.014</c:v>
                </c:pt>
                <c:pt idx="3">
                  <c:v>0.019</c:v>
                </c:pt>
                <c:pt idx="4">
                  <c:v>0.023</c:v>
                </c:pt>
                <c:pt idx="5">
                  <c:v>0.028</c:v>
                </c:pt>
                <c:pt idx="6">
                  <c:v>0.033</c:v>
                </c:pt>
                <c:pt idx="7">
                  <c:v>0.038</c:v>
                </c:pt>
                <c:pt idx="8">
                  <c:v>0.042</c:v>
                </c:pt>
                <c:pt idx="9">
                  <c:v>0.047</c:v>
                </c:pt>
                <c:pt idx="10">
                  <c:v>0.051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</c:f>
              <c:numCache>
                <c:formatCode>General</c:formatCode>
                <c:ptCount val="14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</c:numCache>
            </c:numRef>
          </c:xVal>
          <c:yVal>
            <c:numRef>
              <c:f>Sheet2!$D$12:$D$22</c:f>
              <c:numCache>
                <c:formatCode>General</c:formatCode>
                <c:ptCount val="11"/>
                <c:pt idx="0">
                  <c:v>0.013</c:v>
                </c:pt>
                <c:pt idx="1">
                  <c:v>0.02</c:v>
                </c:pt>
                <c:pt idx="2">
                  <c:v>0.027</c:v>
                </c:pt>
                <c:pt idx="3">
                  <c:v>0.033</c:v>
                </c:pt>
                <c:pt idx="4">
                  <c:v>0.04</c:v>
                </c:pt>
                <c:pt idx="5">
                  <c:v>0.047</c:v>
                </c:pt>
                <c:pt idx="6">
                  <c:v>0.054</c:v>
                </c:pt>
                <c:pt idx="7">
                  <c:v>0.06</c:v>
                </c:pt>
                <c:pt idx="8">
                  <c:v>0.067</c:v>
                </c:pt>
                <c:pt idx="9">
                  <c:v>0.074</c:v>
                </c:pt>
                <c:pt idx="10">
                  <c:v>0.081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</c:f>
              <c:numCache>
                <c:formatCode>General</c:formatCode>
                <c:ptCount val="14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</c:numCache>
            </c:numRef>
          </c:xVal>
          <c:yVal>
            <c:numRef>
              <c:f>Sheet2!$F$12:$F$22</c:f>
              <c:numCache>
                <c:formatCode>General</c:formatCode>
                <c:ptCount val="11"/>
                <c:pt idx="0">
                  <c:v>0.025</c:v>
                </c:pt>
                <c:pt idx="1">
                  <c:v>0.033</c:v>
                </c:pt>
                <c:pt idx="2">
                  <c:v>0.041</c:v>
                </c:pt>
                <c:pt idx="3">
                  <c:v>0.048</c:v>
                </c:pt>
                <c:pt idx="4">
                  <c:v>0.057</c:v>
                </c:pt>
                <c:pt idx="5">
                  <c:v>0.065</c:v>
                </c:pt>
                <c:pt idx="6">
                  <c:v>0.074</c:v>
                </c:pt>
                <c:pt idx="7">
                  <c:v>0.082</c:v>
                </c:pt>
                <c:pt idx="8">
                  <c:v>0.091</c:v>
                </c:pt>
                <c:pt idx="9">
                  <c:v>0.099</c:v>
                </c:pt>
                <c:pt idx="10">
                  <c:v>0.107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</c:f>
              <c:numCache>
                <c:formatCode>General</c:formatCode>
                <c:ptCount val="14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</c:numCache>
            </c:numRef>
          </c:xVal>
          <c:yVal>
            <c:numRef>
              <c:f>Sheet2!$H$12:$H$22</c:f>
              <c:numCache>
                <c:formatCode>General</c:formatCode>
                <c:ptCount val="11"/>
                <c:pt idx="0">
                  <c:v>0.038</c:v>
                </c:pt>
                <c:pt idx="1">
                  <c:v>0.047</c:v>
                </c:pt>
                <c:pt idx="2">
                  <c:v>0.056</c:v>
                </c:pt>
                <c:pt idx="3">
                  <c:v>0.066</c:v>
                </c:pt>
                <c:pt idx="4">
                  <c:v>0.076</c:v>
                </c:pt>
                <c:pt idx="5">
                  <c:v>0.085</c:v>
                </c:pt>
                <c:pt idx="6">
                  <c:v>0.095</c:v>
                </c:pt>
                <c:pt idx="7">
                  <c:v>0.105</c:v>
                </c:pt>
                <c:pt idx="8">
                  <c:v>0.115</c:v>
                </c:pt>
                <c:pt idx="9">
                  <c:v>0.125</c:v>
                </c:pt>
                <c:pt idx="10">
                  <c:v>0.135</c:v>
                </c:pt>
              </c:numCache>
            </c:numRef>
          </c:yVal>
          <c:smooth val="1"/>
        </c:ser>
        <c:axId val="22425804"/>
        <c:axId val="83104301"/>
      </c:scatterChart>
      <c:valAx>
        <c:axId val="22425804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3104301"/>
        <c:crosses val="autoZero"/>
        <c:crossBetween val="midCat"/>
      </c:valAx>
      <c:valAx>
        <c:axId val="8310430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242580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S, 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Sheet2!$O$28</c:f>
              <c:strCache>
                <c:ptCount val="1"/>
                <c:pt idx="0">
                  <c:v>S/V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Sheet2!$M$29:$M$32</c:f>
              <c:numCache>
                <c:formatCode>General</c:formatCode>
                <c:ptCount val="4"/>
                <c:pt idx="0">
                  <c:v>1.52855178403416</c:v>
                </c:pt>
                <c:pt idx="1">
                  <c:v>3.05710356806832</c:v>
                </c:pt>
                <c:pt idx="2">
                  <c:v>4.58565535210248</c:v>
                </c:pt>
                <c:pt idx="3">
                  <c:v>6.11420713613664</c:v>
                </c:pt>
              </c:numCache>
            </c:numRef>
          </c:xVal>
          <c:yVal>
            <c:numRef>
              <c:f>Sheet2!$O$29:$O$32</c:f>
              <c:numCache>
                <c:formatCode>General</c:formatCode>
                <c:ptCount val="4"/>
                <c:pt idx="0">
                  <c:v>0.183060093896307</c:v>
                </c:pt>
                <c:pt idx="1">
                  <c:v>0.275414735862011</c:v>
                </c:pt>
                <c:pt idx="2">
                  <c:v>0.350050026878052</c:v>
                </c:pt>
                <c:pt idx="3">
                  <c:v>0.399621381446839</c:v>
                </c:pt>
              </c:numCache>
            </c:numRef>
          </c:yVal>
          <c:smooth val="1"/>
        </c:ser>
        <c:axId val="75172132"/>
        <c:axId val="60064682"/>
      </c:scatterChart>
      <c:valAx>
        <c:axId val="75172132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0064682"/>
        <c:crosses val="autoZero"/>
        <c:crossBetween val="midCat"/>
      </c:valAx>
      <c:valAx>
        <c:axId val="6006468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51721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1.5286 mmol/L/Value, Substrate Conc./ss.sss, 3.0571 mmol/L/Value, Substrate Conc./ss.sss, 4.5857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Sheet2!$A$12:$A$250</c:f>
              <c:numCache>
                <c:formatCode>General</c:formatCode>
                <c:ptCount val="239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</c:numCache>
            </c:numRef>
          </c:xVal>
          <c:yVal>
            <c:numRef>
              <c:f>Sheet2!$B$12:$B$220</c:f>
              <c:numCache>
                <c:formatCode>General</c:formatCode>
                <c:ptCount val="209"/>
                <c:pt idx="0">
                  <c:v>0.004</c:v>
                </c:pt>
                <c:pt idx="1">
                  <c:v>0.009</c:v>
                </c:pt>
                <c:pt idx="2">
                  <c:v>0.014</c:v>
                </c:pt>
                <c:pt idx="3">
                  <c:v>0.019</c:v>
                </c:pt>
                <c:pt idx="4">
                  <c:v>0.023</c:v>
                </c:pt>
                <c:pt idx="5">
                  <c:v>0.028</c:v>
                </c:pt>
                <c:pt idx="6">
                  <c:v>0.033</c:v>
                </c:pt>
                <c:pt idx="7">
                  <c:v>0.038</c:v>
                </c:pt>
                <c:pt idx="8">
                  <c:v>0.042</c:v>
                </c:pt>
                <c:pt idx="9">
                  <c:v>0.047</c:v>
                </c:pt>
                <c:pt idx="10">
                  <c:v>0.051</c:v>
                </c:pt>
                <c:pt idx="11">
                  <c:v>0.056</c:v>
                </c:pt>
                <c:pt idx="12">
                  <c:v>0.06</c:v>
                </c:pt>
                <c:pt idx="13">
                  <c:v>0.065</c:v>
                </c:pt>
                <c:pt idx="14">
                  <c:v>0.07</c:v>
                </c:pt>
                <c:pt idx="15">
                  <c:v>0.074</c:v>
                </c:pt>
                <c:pt idx="16">
                  <c:v>0.078</c:v>
                </c:pt>
                <c:pt idx="17">
                  <c:v>0.083</c:v>
                </c:pt>
                <c:pt idx="18">
                  <c:v>0.088</c:v>
                </c:pt>
                <c:pt idx="19">
                  <c:v>0.092</c:v>
                </c:pt>
                <c:pt idx="20">
                  <c:v>0.096</c:v>
                </c:pt>
                <c:pt idx="21">
                  <c:v>0.1</c:v>
                </c:pt>
                <c:pt idx="22">
                  <c:v>0.104</c:v>
                </c:pt>
                <c:pt idx="23">
                  <c:v>0.109</c:v>
                </c:pt>
                <c:pt idx="24">
                  <c:v>0.113</c:v>
                </c:pt>
                <c:pt idx="25">
                  <c:v>0.118</c:v>
                </c:pt>
                <c:pt idx="26">
                  <c:v>0.122</c:v>
                </c:pt>
                <c:pt idx="27">
                  <c:v>0.126</c:v>
                </c:pt>
                <c:pt idx="28">
                  <c:v>0.13</c:v>
                </c:pt>
                <c:pt idx="29">
                  <c:v>0.135</c:v>
                </c:pt>
                <c:pt idx="30">
                  <c:v>0.139</c:v>
                </c:pt>
                <c:pt idx="31">
                  <c:v>0.143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Sheet2!$A$12:$A$250</c:f>
              <c:numCache>
                <c:formatCode>General</c:formatCode>
                <c:ptCount val="239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</c:numCache>
            </c:numRef>
          </c:xVal>
          <c:yVal>
            <c:numRef>
              <c:f>Sheet2!$D$12:$D$220</c:f>
              <c:numCache>
                <c:formatCode>General</c:formatCode>
                <c:ptCount val="209"/>
                <c:pt idx="0">
                  <c:v>0.013</c:v>
                </c:pt>
                <c:pt idx="1">
                  <c:v>0.02</c:v>
                </c:pt>
                <c:pt idx="2">
                  <c:v>0.027</c:v>
                </c:pt>
                <c:pt idx="3">
                  <c:v>0.033</c:v>
                </c:pt>
                <c:pt idx="4">
                  <c:v>0.04</c:v>
                </c:pt>
                <c:pt idx="5">
                  <c:v>0.047</c:v>
                </c:pt>
                <c:pt idx="6">
                  <c:v>0.054</c:v>
                </c:pt>
                <c:pt idx="7">
                  <c:v>0.06</c:v>
                </c:pt>
                <c:pt idx="8">
                  <c:v>0.067</c:v>
                </c:pt>
                <c:pt idx="9">
                  <c:v>0.074</c:v>
                </c:pt>
                <c:pt idx="10">
                  <c:v>0.081</c:v>
                </c:pt>
                <c:pt idx="11">
                  <c:v>0.088</c:v>
                </c:pt>
                <c:pt idx="12">
                  <c:v>0.095</c:v>
                </c:pt>
                <c:pt idx="13">
                  <c:v>0.102</c:v>
                </c:pt>
                <c:pt idx="14">
                  <c:v>0.108</c:v>
                </c:pt>
                <c:pt idx="15">
                  <c:v>0.115</c:v>
                </c:pt>
                <c:pt idx="16">
                  <c:v>0.122</c:v>
                </c:pt>
                <c:pt idx="17">
                  <c:v>0.129</c:v>
                </c:pt>
                <c:pt idx="18">
                  <c:v>0.135</c:v>
                </c:pt>
                <c:pt idx="19">
                  <c:v>0.142</c:v>
                </c:pt>
                <c:pt idx="20">
                  <c:v>0.149</c:v>
                </c:pt>
                <c:pt idx="21">
                  <c:v>0.156</c:v>
                </c:pt>
                <c:pt idx="22">
                  <c:v>0.163</c:v>
                </c:pt>
                <c:pt idx="23">
                  <c:v>0.17</c:v>
                </c:pt>
                <c:pt idx="24">
                  <c:v>0.176</c:v>
                </c:pt>
                <c:pt idx="25">
                  <c:v>0.183</c:v>
                </c:pt>
                <c:pt idx="26">
                  <c:v>0.19</c:v>
                </c:pt>
                <c:pt idx="27">
                  <c:v>0.196</c:v>
                </c:pt>
                <c:pt idx="28">
                  <c:v>0.203</c:v>
                </c:pt>
                <c:pt idx="29">
                  <c:v>0.21</c:v>
                </c:pt>
                <c:pt idx="30">
                  <c:v>0.216</c:v>
                </c:pt>
                <c:pt idx="31">
                  <c:v>0.223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Sheet2!$A$12:$A$250</c:f>
              <c:numCache>
                <c:formatCode>General</c:formatCode>
                <c:ptCount val="239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</c:numCache>
            </c:numRef>
          </c:xVal>
          <c:yVal>
            <c:numRef>
              <c:f>Sheet2!$F$12:$F$220</c:f>
              <c:numCache>
                <c:formatCode>General</c:formatCode>
                <c:ptCount val="209"/>
                <c:pt idx="0">
                  <c:v>0.025</c:v>
                </c:pt>
                <c:pt idx="1">
                  <c:v>0.033</c:v>
                </c:pt>
                <c:pt idx="2">
                  <c:v>0.041</c:v>
                </c:pt>
                <c:pt idx="3">
                  <c:v>0.048</c:v>
                </c:pt>
                <c:pt idx="4">
                  <c:v>0.057</c:v>
                </c:pt>
                <c:pt idx="5">
                  <c:v>0.065</c:v>
                </c:pt>
                <c:pt idx="6">
                  <c:v>0.074</c:v>
                </c:pt>
                <c:pt idx="7">
                  <c:v>0.082</c:v>
                </c:pt>
                <c:pt idx="8">
                  <c:v>0.091</c:v>
                </c:pt>
                <c:pt idx="9">
                  <c:v>0.099</c:v>
                </c:pt>
                <c:pt idx="10">
                  <c:v>0.107</c:v>
                </c:pt>
                <c:pt idx="11">
                  <c:v>0.116</c:v>
                </c:pt>
                <c:pt idx="12">
                  <c:v>0.124</c:v>
                </c:pt>
                <c:pt idx="13">
                  <c:v>0.133</c:v>
                </c:pt>
                <c:pt idx="14">
                  <c:v>0.141</c:v>
                </c:pt>
                <c:pt idx="15">
                  <c:v>0.149</c:v>
                </c:pt>
                <c:pt idx="16">
                  <c:v>0.158</c:v>
                </c:pt>
                <c:pt idx="17">
                  <c:v>0.166</c:v>
                </c:pt>
                <c:pt idx="18">
                  <c:v>0.175</c:v>
                </c:pt>
                <c:pt idx="19">
                  <c:v>0.183</c:v>
                </c:pt>
                <c:pt idx="20">
                  <c:v>0.192</c:v>
                </c:pt>
                <c:pt idx="21">
                  <c:v>0.2</c:v>
                </c:pt>
                <c:pt idx="22">
                  <c:v>0.209</c:v>
                </c:pt>
                <c:pt idx="23">
                  <c:v>0.217</c:v>
                </c:pt>
                <c:pt idx="24">
                  <c:v>0.226</c:v>
                </c:pt>
                <c:pt idx="25">
                  <c:v>0.234</c:v>
                </c:pt>
                <c:pt idx="26">
                  <c:v>0.243</c:v>
                </c:pt>
                <c:pt idx="27">
                  <c:v>0.251</c:v>
                </c:pt>
                <c:pt idx="28">
                  <c:v>0.259</c:v>
                </c:pt>
                <c:pt idx="29">
                  <c:v>0.268</c:v>
                </c:pt>
                <c:pt idx="30">
                  <c:v>0.276</c:v>
                </c:pt>
                <c:pt idx="31">
                  <c:v>0.285</c:v>
                </c:pt>
              </c:numCache>
            </c:numRef>
          </c:yVal>
          <c:smooth val="1"/>
        </c:ser>
        <c:ser>
          <c:idx val="3"/>
          <c:order val="3"/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>
                    <a:alpha val="9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Sheet2!$A$12:$A$250</c:f>
              <c:numCache>
                <c:formatCode>General</c:formatCode>
                <c:ptCount val="239"/>
                <c:pt idx="0">
                  <c:v>60</c:v>
                </c:pt>
                <c:pt idx="1">
                  <c:v>120</c:v>
                </c:pt>
                <c:pt idx="2">
                  <c:v>180</c:v>
                </c:pt>
                <c:pt idx="3">
                  <c:v>240</c:v>
                </c:pt>
                <c:pt idx="4">
                  <c:v>300</c:v>
                </c:pt>
                <c:pt idx="5">
                  <c:v>360</c:v>
                </c:pt>
                <c:pt idx="6">
                  <c:v>420</c:v>
                </c:pt>
                <c:pt idx="7">
                  <c:v>480</c:v>
                </c:pt>
                <c:pt idx="8">
                  <c:v>540</c:v>
                </c:pt>
                <c:pt idx="9">
                  <c:v>600</c:v>
                </c:pt>
                <c:pt idx="10">
                  <c:v>660</c:v>
                </c:pt>
                <c:pt idx="11">
                  <c:v>720</c:v>
                </c:pt>
                <c:pt idx="12">
                  <c:v>780</c:v>
                </c:pt>
                <c:pt idx="13">
                  <c:v>840</c:v>
                </c:pt>
                <c:pt idx="14">
                  <c:v>900</c:v>
                </c:pt>
                <c:pt idx="15">
                  <c:v>960</c:v>
                </c:pt>
                <c:pt idx="16">
                  <c:v>1020</c:v>
                </c:pt>
                <c:pt idx="17">
                  <c:v>1080</c:v>
                </c:pt>
                <c:pt idx="18">
                  <c:v>1140</c:v>
                </c:pt>
                <c:pt idx="19">
                  <c:v>1200</c:v>
                </c:pt>
                <c:pt idx="20">
                  <c:v>1260</c:v>
                </c:pt>
                <c:pt idx="21">
                  <c:v>1320</c:v>
                </c:pt>
                <c:pt idx="22">
                  <c:v>1380</c:v>
                </c:pt>
                <c:pt idx="23">
                  <c:v>1440</c:v>
                </c:pt>
                <c:pt idx="24">
                  <c:v>1500</c:v>
                </c:pt>
                <c:pt idx="25">
                  <c:v>1560</c:v>
                </c:pt>
                <c:pt idx="26">
                  <c:v>1620</c:v>
                </c:pt>
                <c:pt idx="27">
                  <c:v>1680</c:v>
                </c:pt>
                <c:pt idx="28">
                  <c:v>1740</c:v>
                </c:pt>
                <c:pt idx="29">
                  <c:v>1800</c:v>
                </c:pt>
                <c:pt idx="30">
                  <c:v>1860</c:v>
                </c:pt>
                <c:pt idx="31">
                  <c:v>1920</c:v>
                </c:pt>
              </c:numCache>
            </c:numRef>
          </c:xVal>
          <c:yVal>
            <c:numRef>
              <c:f>Sheet2!$H$12:$H$220</c:f>
              <c:numCache>
                <c:formatCode>General</c:formatCode>
                <c:ptCount val="209"/>
                <c:pt idx="0">
                  <c:v>0.038</c:v>
                </c:pt>
                <c:pt idx="1">
                  <c:v>0.047</c:v>
                </c:pt>
                <c:pt idx="2">
                  <c:v>0.056</c:v>
                </c:pt>
                <c:pt idx="3">
                  <c:v>0.066</c:v>
                </c:pt>
                <c:pt idx="4">
                  <c:v>0.076</c:v>
                </c:pt>
                <c:pt idx="5">
                  <c:v>0.085</c:v>
                </c:pt>
                <c:pt idx="6">
                  <c:v>0.095</c:v>
                </c:pt>
                <c:pt idx="7">
                  <c:v>0.105</c:v>
                </c:pt>
                <c:pt idx="8">
                  <c:v>0.115</c:v>
                </c:pt>
                <c:pt idx="9">
                  <c:v>0.125</c:v>
                </c:pt>
                <c:pt idx="10">
                  <c:v>0.135</c:v>
                </c:pt>
                <c:pt idx="11">
                  <c:v>0.145</c:v>
                </c:pt>
                <c:pt idx="12">
                  <c:v>0.155</c:v>
                </c:pt>
                <c:pt idx="13">
                  <c:v>0.166</c:v>
                </c:pt>
                <c:pt idx="14">
                  <c:v>0.176</c:v>
                </c:pt>
                <c:pt idx="15">
                  <c:v>0.186</c:v>
                </c:pt>
                <c:pt idx="16">
                  <c:v>0.196</c:v>
                </c:pt>
                <c:pt idx="17">
                  <c:v>0.206</c:v>
                </c:pt>
                <c:pt idx="18">
                  <c:v>0.217</c:v>
                </c:pt>
                <c:pt idx="19">
                  <c:v>0.227</c:v>
                </c:pt>
                <c:pt idx="20">
                  <c:v>0.237</c:v>
                </c:pt>
                <c:pt idx="21">
                  <c:v>0.248</c:v>
                </c:pt>
                <c:pt idx="22">
                  <c:v>0.258</c:v>
                </c:pt>
                <c:pt idx="23">
                  <c:v>0.268</c:v>
                </c:pt>
                <c:pt idx="24">
                  <c:v>0.279</c:v>
                </c:pt>
                <c:pt idx="25">
                  <c:v>0.289</c:v>
                </c:pt>
                <c:pt idx="26">
                  <c:v>0.3</c:v>
                </c:pt>
                <c:pt idx="27">
                  <c:v>0.31</c:v>
                </c:pt>
                <c:pt idx="28">
                  <c:v>0.321</c:v>
                </c:pt>
                <c:pt idx="29">
                  <c:v>0.332</c:v>
                </c:pt>
                <c:pt idx="30">
                  <c:v>0.343</c:v>
                </c:pt>
                <c:pt idx="31">
                  <c:v>0.353</c:v>
                </c:pt>
              </c:numCache>
            </c:numRef>
          </c:yVal>
          <c:smooth val="1"/>
        </c:ser>
        <c:axId val="11189630"/>
        <c:axId val="86851762"/>
      </c:scatterChart>
      <c:valAx>
        <c:axId val="11189630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6851762"/>
        <c:crosses val="autoZero"/>
        <c:crossBetween val="midCat"/>
      </c:valAx>
      <c:valAx>
        <c:axId val="86851762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118963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109800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6304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361800</xdr:colOff>
      <xdr:row>0</xdr:row>
      <xdr:rowOff>0</xdr:rowOff>
    </xdr:from>
    <xdr:to>
      <xdr:col>20</xdr:col>
      <xdr:colOff>431280</xdr:colOff>
      <xdr:row>21</xdr:row>
      <xdr:rowOff>132840</xdr:rowOff>
    </xdr:to>
    <xdr:graphicFrame>
      <xdr:nvGraphicFramePr>
        <xdr:cNvPr id="4" name="Chart 5"/>
        <xdr:cNvGraphicFramePr/>
      </xdr:nvGraphicFramePr>
      <xdr:xfrm>
        <a:off x="9392760" y="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876240</xdr:colOff>
      <xdr:row>24</xdr:row>
      <xdr:rowOff>9360</xdr:rowOff>
    </xdr:from>
    <xdr:to>
      <xdr:col>9</xdr:col>
      <xdr:colOff>99720</xdr:colOff>
      <xdr:row>45</xdr:row>
      <xdr:rowOff>142200</xdr:rowOff>
    </xdr:to>
    <xdr:graphicFrame>
      <xdr:nvGraphicFramePr>
        <xdr:cNvPr id="5" name="Chart 6"/>
        <xdr:cNvGraphicFramePr/>
      </xdr:nvGraphicFramePr>
      <xdr:xfrm>
        <a:off x="2851560" y="389556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66600</xdr:colOff>
      <xdr:row>48</xdr:row>
      <xdr:rowOff>104760</xdr:rowOff>
    </xdr:from>
    <xdr:to>
      <xdr:col>6</xdr:col>
      <xdr:colOff>883080</xdr:colOff>
      <xdr:row>70</xdr:row>
      <xdr:rowOff>75960</xdr:rowOff>
    </xdr:to>
    <xdr:graphicFrame>
      <xdr:nvGraphicFramePr>
        <xdr:cNvPr id="6" name="Chart 7"/>
        <xdr:cNvGraphicFramePr/>
      </xdr:nvGraphicFramePr>
      <xdr:xfrm>
        <a:off x="1094760" y="787716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3" activeCellId="0" sqref="F33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42</v>
      </c>
    </row>
    <row r="2" customFormat="false" ht="13.5" hidden="false" customHeight="true" outlineLevel="0" collapsed="false">
      <c r="C2" s="1" t="n">
        <v>300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1</v>
      </c>
      <c r="L5" s="9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138.17</v>
      </c>
      <c r="D7" s="9"/>
      <c r="F7" s="8" t="s">
        <v>41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42</v>
      </c>
      <c r="C8" s="3" t="n">
        <v>0.2112</v>
      </c>
      <c r="D8" s="9"/>
      <c r="F8" s="8" t="s">
        <v>42</v>
      </c>
      <c r="G8" s="3" t="n">
        <v>0.0228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0.05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0.001528551784</v>
      </c>
      <c r="D10" s="9"/>
      <c r="F10" s="8" t="s">
        <v>46</v>
      </c>
      <c r="G10" s="3" t="n">
        <f aca="false">G8/G7</f>
        <v>2.162592835E-005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0.03057103568</v>
      </c>
      <c r="D11" s="9"/>
      <c r="F11" s="8" t="s">
        <v>45</v>
      </c>
      <c r="G11" s="3" t="n">
        <f aca="false">G10/G9</f>
        <v>0.005406482087</v>
      </c>
      <c r="H11" s="9"/>
      <c r="J11" s="8" t="s">
        <v>47</v>
      </c>
      <c r="K11" s="3" t="s">
        <v>48</v>
      </c>
      <c r="L11" s="9" t="n">
        <v>8.98</v>
      </c>
    </row>
    <row r="12" customFormat="false" ht="13.5" hidden="false" customHeight="true" outlineLevel="0" collapsed="false">
      <c r="B12" s="10" t="s">
        <v>49</v>
      </c>
      <c r="C12" s="4" t="n">
        <f aca="false">C11*1000</f>
        <v>30.57103568</v>
      </c>
      <c r="D12" s="11"/>
      <c r="F12" s="8" t="s">
        <v>49</v>
      </c>
      <c r="G12" s="3" t="n">
        <f aca="false">G11*1000</f>
        <v>5.406482087</v>
      </c>
      <c r="H12" s="9"/>
      <c r="J12" s="8"/>
      <c r="K12" s="3" t="s">
        <v>50</v>
      </c>
      <c r="L12" s="9" t="n">
        <v>25</v>
      </c>
    </row>
    <row r="13" customFormat="false" ht="13.5" hidden="false" customHeight="true" outlineLevel="0" collapsed="false">
      <c r="F13" s="10" t="s">
        <v>51</v>
      </c>
      <c r="G13" s="4" t="n">
        <f aca="false">E20*G12/H20</f>
        <v>0.2703241044</v>
      </c>
      <c r="H13" s="11" t="s">
        <v>49</v>
      </c>
      <c r="J13" s="10"/>
      <c r="K13" s="4"/>
      <c r="L13" s="11"/>
    </row>
    <row r="14" customFormat="false" ht="12.75" hidden="false" customHeight="true" outlineLevel="0" collapsed="false"/>
    <row r="15" customFormat="false" ht="12.75" hidden="false" customHeight="true" outlineLevel="0" collapsed="false">
      <c r="G15" s="1" t="n">
        <v>0.240683303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customFormat="false" ht="13.5" hidden="false" customHeight="true" outlineLevel="0" collapsed="false">
      <c r="B19" s="12" t="s">
        <v>51</v>
      </c>
      <c r="C19" s="4" t="s">
        <v>54</v>
      </c>
      <c r="D19" s="4" t="s">
        <v>55</v>
      </c>
      <c r="E19" s="4" t="s">
        <v>56</v>
      </c>
      <c r="F19" s="4" t="s">
        <v>57</v>
      </c>
      <c r="G19" s="4" t="s">
        <v>58</v>
      </c>
      <c r="H19" s="4" t="s">
        <v>59</v>
      </c>
      <c r="I19" s="4" t="s">
        <v>45</v>
      </c>
      <c r="J19" s="4" t="s">
        <v>49</v>
      </c>
      <c r="K19" s="4" t="s">
        <v>45</v>
      </c>
      <c r="L19" s="4" t="s">
        <v>49</v>
      </c>
      <c r="M19" s="4" t="s">
        <v>49</v>
      </c>
    </row>
    <row r="20" customFormat="false" ht="12.75" hidden="false" customHeight="true" outlineLevel="0" collapsed="false">
      <c r="B20" s="13" t="n">
        <v>1</v>
      </c>
      <c r="C20" s="1" t="n">
        <v>1.7</v>
      </c>
      <c r="D20" s="1" t="n">
        <v>0</v>
      </c>
      <c r="E20" s="1" t="n">
        <v>0.1</v>
      </c>
      <c r="F20" s="1" t="n">
        <v>0.1</v>
      </c>
      <c r="G20" s="1" t="n">
        <v>0.1</v>
      </c>
      <c r="H20" s="1" t="n">
        <f aca="false">SUM(C20:G20)</f>
        <v>2</v>
      </c>
      <c r="I20" s="1" t="n">
        <f aca="false">F20*$C$11/H20</f>
        <v>0.001528551784</v>
      </c>
      <c r="J20" s="14" t="n">
        <f aca="false">I20*1000</f>
        <v>1.528551784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0.27032410435</v>
      </c>
    </row>
    <row r="21" customFormat="false" ht="12.75" hidden="false" customHeight="true" outlineLevel="0" collapsed="false">
      <c r="B21" s="13" t="n">
        <v>2</v>
      </c>
      <c r="C21" s="1" t="n">
        <v>1.6</v>
      </c>
      <c r="D21" s="1" t="n">
        <v>0</v>
      </c>
      <c r="E21" s="1" t="n">
        <v>0.1</v>
      </c>
      <c r="F21" s="1" t="n">
        <v>0.2</v>
      </c>
      <c r="G21" s="1" t="n">
        <v>0.1</v>
      </c>
      <c r="H21" s="1" t="n">
        <f aca="false">SUM(C21:G21)</f>
        <v>2</v>
      </c>
      <c r="I21" s="1" t="n">
        <f aca="false">F21*$C$11/H21</f>
        <v>0.003057103568</v>
      </c>
      <c r="J21" s="14" t="n">
        <f aca="false">I21*1000</f>
        <v>3.057103568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0.27032410435</v>
      </c>
    </row>
    <row r="22" customFormat="false" ht="12.75" hidden="false" customHeight="true" outlineLevel="0" collapsed="false">
      <c r="B22" s="13" t="n">
        <v>3</v>
      </c>
      <c r="C22" s="1" t="n">
        <v>1.5</v>
      </c>
      <c r="D22" s="1" t="n">
        <v>0</v>
      </c>
      <c r="E22" s="1" t="n">
        <v>0.1</v>
      </c>
      <c r="F22" s="1" t="n">
        <v>0.3</v>
      </c>
      <c r="G22" s="1" t="n">
        <v>0.1</v>
      </c>
      <c r="H22" s="1" t="n">
        <f aca="false">SUM(C22:G22)</f>
        <v>2</v>
      </c>
      <c r="I22" s="1" t="n">
        <f aca="false">F22*$C$11/H22</f>
        <v>0.004585655352</v>
      </c>
      <c r="J22" s="14" t="n">
        <f aca="false">I22*1000</f>
        <v>4.585655352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0.27032410435</v>
      </c>
    </row>
    <row r="23" customFormat="false" ht="12.75" hidden="false" customHeight="true" outlineLevel="0" collapsed="false">
      <c r="B23" s="16" t="n">
        <v>4</v>
      </c>
      <c r="C23" s="16" t="n">
        <v>1.4</v>
      </c>
      <c r="D23" s="16" t="n">
        <v>0</v>
      </c>
      <c r="E23" s="16" t="n">
        <v>0.1</v>
      </c>
      <c r="F23" s="16" t="n">
        <v>0.4</v>
      </c>
      <c r="G23" s="16" t="n">
        <v>0.1</v>
      </c>
      <c r="H23" s="16" t="n">
        <f aca="false">SUM(C23:G23)</f>
        <v>2</v>
      </c>
      <c r="I23" s="16" t="n">
        <f aca="false">F23*$C$11/H23</f>
        <v>0.006114207136</v>
      </c>
      <c r="J23" s="17" t="n">
        <f aca="false">I23*1000</f>
        <v>6.114207136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0.27032410435</v>
      </c>
    </row>
    <row r="24" customFormat="false" ht="12.75" hidden="false" customHeight="true" outlineLevel="0" collapsed="false">
      <c r="B24" s="13" t="n">
        <v>5</v>
      </c>
      <c r="C24" s="1" t="n">
        <v>1.7</v>
      </c>
      <c r="D24" s="3" t="n">
        <v>0.1</v>
      </c>
      <c r="E24" s="3" t="n">
        <v>0</v>
      </c>
      <c r="F24" s="1" t="n">
        <v>0.1</v>
      </c>
      <c r="G24" s="3" t="n">
        <v>0.1</v>
      </c>
      <c r="H24" s="1" t="n">
        <f aca="false">SUM(C24:G24)</f>
        <v>2</v>
      </c>
      <c r="I24" s="1" t="n">
        <f aca="false">F24*$C$11/H24</f>
        <v>0.001528551784</v>
      </c>
      <c r="J24" s="1" t="n">
        <f aca="false">I24*1000</f>
        <v>1.528551784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  <c r="U24" s="1" t="n">
        <f aca="false">1.4/2</f>
        <v>0.7</v>
      </c>
    </row>
    <row r="25" customFormat="false" ht="12.75" hidden="false" customHeight="true" outlineLevel="0" collapsed="false">
      <c r="B25" s="13" t="n">
        <v>6</v>
      </c>
      <c r="C25" s="1" t="n">
        <v>1.6</v>
      </c>
      <c r="D25" s="3" t="n">
        <v>0.1</v>
      </c>
      <c r="E25" s="3" t="n">
        <v>0</v>
      </c>
      <c r="F25" s="1" t="n">
        <v>0.2</v>
      </c>
      <c r="G25" s="3" t="n">
        <v>0.1</v>
      </c>
      <c r="H25" s="1" t="n">
        <f aca="false">SUM(C25:G25)</f>
        <v>2</v>
      </c>
      <c r="I25" s="1" t="n">
        <f aca="false">F25*$C$11/H25</f>
        <v>0.003057103568</v>
      </c>
      <c r="J25" s="1" t="n">
        <f aca="false">I25*1000</f>
        <v>3.057103568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1.5</v>
      </c>
      <c r="D26" s="3" t="n">
        <v>0.1</v>
      </c>
      <c r="E26" s="3" t="n">
        <v>0</v>
      </c>
      <c r="F26" s="1" t="n">
        <v>0.3</v>
      </c>
      <c r="G26" s="3" t="n">
        <v>0.1</v>
      </c>
      <c r="H26" s="1" t="n">
        <f aca="false">SUM(C26:G26)</f>
        <v>2</v>
      </c>
      <c r="I26" s="1" t="n">
        <f aca="false">F26*$C$11/H26</f>
        <v>0.004585655352</v>
      </c>
      <c r="J26" s="1" t="n">
        <f aca="false">I26*1000</f>
        <v>4.585655352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1.4</v>
      </c>
      <c r="D27" s="4" t="n">
        <v>0.1</v>
      </c>
      <c r="E27" s="4" t="n">
        <v>0</v>
      </c>
      <c r="F27" s="4" t="n">
        <v>0.4</v>
      </c>
      <c r="G27" s="4" t="n">
        <v>0.1</v>
      </c>
      <c r="H27" s="4" t="n">
        <f aca="false">SUM(C27:G27)</f>
        <v>2</v>
      </c>
      <c r="I27" s="4" t="n">
        <f aca="false">F27*$C$11/H27</f>
        <v>0.006114207136</v>
      </c>
      <c r="J27" s="4" t="n">
        <f aca="false">I27*1000</f>
        <v>6.114207136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>
      <c r="C28" s="1" t="n">
        <f aca="false">SUM(C20:C27)</f>
        <v>12.4</v>
      </c>
      <c r="D28" s="1" t="n">
        <f aca="false">SUM(D20:D27)</f>
        <v>0.4</v>
      </c>
      <c r="E28" s="1" t="n">
        <f aca="false">SUM(E20:E27)</f>
        <v>0.4</v>
      </c>
      <c r="F28" s="1" t="n">
        <f aca="false">SUM(F20:F27)</f>
        <v>2</v>
      </c>
      <c r="G28" s="1" t="n">
        <f aca="false">SUM(G20:G27)</f>
        <v>0.8</v>
      </c>
    </row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>
      <c r="J33" s="1" t="n">
        <v>0.008807218</v>
      </c>
    </row>
    <row r="34" customFormat="false" ht="12.75" hidden="false" customHeight="true" outlineLevel="0" collapsed="false">
      <c r="L34" s="18"/>
      <c r="M34" s="18" t="n">
        <v>2.91092E-005</v>
      </c>
    </row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60</v>
      </c>
      <c r="J38" s="3" t="n">
        <v>0.0179274491525162</v>
      </c>
      <c r="K38" s="1" t="s">
        <v>61</v>
      </c>
    </row>
    <row r="39" customFormat="false" ht="12.75" hidden="false" customHeight="true" outlineLevel="0" collapsed="false">
      <c r="H39" s="18"/>
      <c r="I39" s="1" t="s">
        <v>60</v>
      </c>
      <c r="J39" s="1" t="n">
        <f aca="false">J38/I2</f>
        <v>0.00238080334</v>
      </c>
      <c r="K39" s="1" t="s">
        <v>62</v>
      </c>
    </row>
    <row r="40" customFormat="false" ht="12.75" hidden="false" customHeight="true" outlineLevel="0" collapsed="false">
      <c r="I40" s="1" t="s">
        <v>63</v>
      </c>
      <c r="J40" s="3" t="n">
        <v>1.35003298051701</v>
      </c>
      <c r="K40" s="1" t="s">
        <v>64</v>
      </c>
    </row>
    <row r="41" customFormat="false" ht="12.75" hidden="false" customHeight="true" outlineLevel="0" collapsed="false">
      <c r="I41" s="1" t="s">
        <v>65</v>
      </c>
      <c r="J41" s="1" t="n">
        <f aca="false">J39/G13</f>
        <v>0.008807218083</v>
      </c>
      <c r="K41" s="1" t="s">
        <v>66</v>
      </c>
    </row>
    <row r="42" customFormat="false" ht="12.75" hidden="false" customHeight="true" outlineLevel="0" collapsed="false">
      <c r="J42" s="1" t="n">
        <f aca="false">J41/60</f>
        <v>0.000146786968</v>
      </c>
      <c r="K42" s="1" t="s">
        <v>67</v>
      </c>
    </row>
    <row r="43" customFormat="false" ht="12.75" hidden="false" customHeight="true" outlineLevel="0" collapsed="false">
      <c r="I43" s="1" t="s">
        <v>68</v>
      </c>
      <c r="J43" s="18" t="n">
        <v>1.43E-009</v>
      </c>
      <c r="K43" s="1" t="s">
        <v>69</v>
      </c>
    </row>
    <row r="44" customFormat="false" ht="12.75" hidden="false" customHeight="true" outlineLevel="0" collapsed="false">
      <c r="J44" s="19" t="n">
        <f aca="false">60*J43</f>
        <v>8.58E-008</v>
      </c>
      <c r="K44" s="1" t="s">
        <v>66</v>
      </c>
    </row>
    <row r="45" customFormat="false" ht="12.75" hidden="false" customHeight="true" outlineLevel="0" collapsed="false">
      <c r="I45" s="1" t="s">
        <v>70</v>
      </c>
      <c r="J45" s="18" t="n">
        <f aca="false">J42/J43</f>
        <v>102648.2294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71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72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73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74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2.7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3" t="s">
        <v>75</v>
      </c>
      <c r="D97" s="3"/>
      <c r="E97" s="3"/>
      <c r="F97" s="3"/>
      <c r="G97" s="3"/>
      <c r="H97" s="3" t="s">
        <v>75</v>
      </c>
      <c r="I97" s="3"/>
      <c r="J97" s="3"/>
      <c r="K97" s="3"/>
      <c r="L97" s="3"/>
      <c r="M97" s="3"/>
    </row>
    <row r="98" customFormat="false" ht="12.75" hidden="false" customHeight="true" outlineLevel="0" collapsed="false">
      <c r="B98" s="3"/>
      <c r="C98" s="3" t="s">
        <v>76</v>
      </c>
      <c r="D98" s="3"/>
      <c r="E98" s="3"/>
      <c r="F98" s="3"/>
      <c r="G98" s="3"/>
      <c r="H98" s="3" t="s">
        <v>77</v>
      </c>
      <c r="I98" s="3"/>
      <c r="J98" s="3"/>
      <c r="K98" s="3"/>
      <c r="L98" s="3"/>
      <c r="M98" s="3"/>
    </row>
    <row r="99" customFormat="false" ht="12.75" hidden="false" customHeight="true" outlineLevel="0" collapsed="false">
      <c r="B99" s="3"/>
      <c r="C99" s="3" t="s">
        <v>78</v>
      </c>
      <c r="D99" s="3"/>
      <c r="E99" s="3"/>
      <c r="F99" s="3"/>
      <c r="G99" s="3"/>
      <c r="H99" s="3"/>
      <c r="I99" s="3" t="s">
        <v>79</v>
      </c>
      <c r="J99" s="3" t="s">
        <v>80</v>
      </c>
      <c r="K99" s="3"/>
      <c r="L99" s="3"/>
      <c r="M99" s="3"/>
    </row>
    <row r="100" customFormat="false" ht="12.75" hidden="false" customHeight="true" outlineLevel="0" collapsed="false">
      <c r="B100" s="3"/>
      <c r="C100" s="3" t="s">
        <v>81</v>
      </c>
      <c r="D100" s="3" t="s">
        <v>82</v>
      </c>
      <c r="E100" s="3" t="s">
        <v>83</v>
      </c>
      <c r="F100" s="3" t="s">
        <v>84</v>
      </c>
      <c r="G100" s="3" t="s">
        <v>85</v>
      </c>
      <c r="H100" s="3" t="s">
        <v>86</v>
      </c>
      <c r="I100" s="3"/>
      <c r="J100" s="3"/>
      <c r="K100" s="3"/>
      <c r="L100" s="3"/>
      <c r="M100" s="3"/>
    </row>
    <row r="101" customFormat="false" ht="12.75" hidden="false" customHeight="true" outlineLevel="0" collapsed="false">
      <c r="B101" s="3"/>
      <c r="C101" s="3" t="s">
        <v>87</v>
      </c>
      <c r="D101" s="3" t="n">
        <v>1.52859999979509</v>
      </c>
      <c r="E101" s="3" t="n">
        <v>0</v>
      </c>
      <c r="F101" s="3" t="n">
        <v>0.004444834584024</v>
      </c>
      <c r="G101" s="3" t="s">
        <v>88</v>
      </c>
      <c r="H101" s="3"/>
      <c r="I101" s="3" t="s">
        <v>89</v>
      </c>
      <c r="J101" s="3" t="n">
        <v>0.0179274491525162</v>
      </c>
      <c r="K101" s="3"/>
      <c r="L101" s="3"/>
      <c r="M101" s="3"/>
    </row>
    <row r="102" customFormat="false" ht="12.75" hidden="false" customHeight="true" outlineLevel="0" collapsed="false">
      <c r="B102" s="3"/>
      <c r="C102" s="3" t="s">
        <v>90</v>
      </c>
      <c r="D102" s="3" t="n">
        <v>3.05709999991532</v>
      </c>
      <c r="E102" s="3" t="n">
        <v>0</v>
      </c>
      <c r="F102" s="3" t="n">
        <v>0.006785611950941</v>
      </c>
      <c r="G102" s="3" t="s">
        <v>88</v>
      </c>
      <c r="H102" s="3"/>
      <c r="I102" s="3" t="s">
        <v>63</v>
      </c>
      <c r="J102" s="3" t="n">
        <v>4.85084221281698</v>
      </c>
      <c r="K102" s="3"/>
      <c r="L102" s="3"/>
      <c r="M102" s="3"/>
    </row>
    <row r="103" customFormat="false" ht="12.75" hidden="false" customHeight="true" outlineLevel="0" collapsed="false">
      <c r="B103" s="3"/>
      <c r="C103" s="3" t="s">
        <v>91</v>
      </c>
      <c r="D103" s="3" t="n">
        <v>4.58569999971042</v>
      </c>
      <c r="E103" s="3" t="n">
        <v>0</v>
      </c>
      <c r="F103" s="3" t="n">
        <v>0.008439440313458</v>
      </c>
      <c r="G103" s="3" t="s">
        <v>88</v>
      </c>
      <c r="H103" s="3" t="s">
        <v>92</v>
      </c>
      <c r="I103" s="3"/>
      <c r="J103" s="3"/>
      <c r="K103" s="3"/>
      <c r="L103" s="3"/>
      <c r="M103" s="3"/>
    </row>
    <row r="104" customFormat="false" ht="12.75" hidden="false" customHeight="true" outlineLevel="0" collapsed="false">
      <c r="B104" s="3"/>
      <c r="C104" s="3" t="s">
        <v>93</v>
      </c>
      <c r="D104" s="3" t="n">
        <v>6.11419999983064</v>
      </c>
      <c r="E104" s="3" t="n">
        <v>0</v>
      </c>
      <c r="F104" s="3" t="n">
        <v>0.010238677189882</v>
      </c>
      <c r="G104" s="3" t="s">
        <v>88</v>
      </c>
      <c r="H104" s="3"/>
      <c r="I104" s="3" t="s">
        <v>94</v>
      </c>
      <c r="J104" s="3" t="n">
        <v>729.356827067286</v>
      </c>
      <c r="K104" s="3"/>
      <c r="L104" s="3"/>
      <c r="M104" s="3"/>
    </row>
    <row r="105" customFormat="false" ht="12.75" hidden="false" customHeight="true" outlineLevel="0" collapsed="false">
      <c r="B105" s="3"/>
      <c r="C105" s="3"/>
      <c r="D105" s="3"/>
      <c r="E105" s="3"/>
      <c r="F105" s="3"/>
      <c r="G105" s="3"/>
      <c r="H105" s="3"/>
      <c r="I105" s="3" t="s">
        <v>95</v>
      </c>
      <c r="J105" s="3" t="n">
        <v>0.990115675771653</v>
      </c>
      <c r="K105" s="3"/>
      <c r="L105" s="3"/>
      <c r="M105" s="3"/>
    </row>
    <row r="106" customFormat="false" ht="12.7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customFormat="false" ht="12.75" hidden="false" customHeight="true" outlineLevel="0" collapsed="false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customFormat="false" ht="12.75" hidden="false" customHeight="true" outlineLevel="0" collapsed="false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customFormat="false" ht="12.75" hidden="false" customHeight="true" outlineLevel="0" collapsed="false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customFormat="false" ht="12.75" hidden="false" customHeight="true" outlineLevel="0" collapsed="false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customFormat="false" ht="12.75" hidden="false" customHeight="true" outlineLevel="0" collapsed="false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customFormat="false" ht="12.75" hidden="false" customHeight="true" outlineLevel="0" collapsed="false">
      <c r="B113" s="3"/>
      <c r="C113" s="3"/>
      <c r="D113" s="3"/>
      <c r="E113" s="3"/>
      <c r="F113" s="3"/>
      <c r="G113" s="3"/>
      <c r="H113" s="3"/>
      <c r="I113" s="3"/>
      <c r="J113" s="3"/>
      <c r="K113" s="20"/>
    </row>
    <row r="114" customFormat="false" ht="12.75" hidden="false" customHeight="true" outlineLevel="0" collapsed="false"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customFormat="false" ht="12.75" hidden="false" customHeight="true" outlineLevel="0" collapsed="false"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customFormat="false" ht="12.75" hidden="false" customHeight="true" outlineLevel="0" collapsed="false"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3.43"/>
    <col collapsed="false" customWidth="true" hidden="false" outlineLevel="0" max="3" min="3" style="0" width="14.57"/>
    <col collapsed="false" customWidth="true" hidden="false" outlineLevel="0" max="4" min="4" style="0" width="13.43"/>
    <col collapsed="false" customWidth="true" hidden="false" outlineLevel="0" max="5" min="5" style="0" width="14.57"/>
    <col collapsed="false" customWidth="true" hidden="false" outlineLevel="0" max="6" min="6" style="0" width="13.43"/>
    <col collapsed="false" customWidth="true" hidden="false" outlineLevel="0" max="7" min="7" style="0" width="14.57"/>
    <col collapsed="false" customWidth="true" hidden="false" outlineLevel="0" max="8" min="8" style="0" width="13.43"/>
    <col collapsed="false" customWidth="true" hidden="false" outlineLevel="0" max="26" min="9" style="0" width="8"/>
  </cols>
  <sheetData>
    <row r="1" customFormat="false" ht="12.75" hidden="false" customHeight="true" outlineLevel="0" collapsed="false">
      <c r="A1" s="1" t="s">
        <v>96</v>
      </c>
      <c r="B1" s="1" t="s">
        <v>97</v>
      </c>
    </row>
    <row r="2" customFormat="false" ht="12.75" hidden="false" customHeight="true" outlineLevel="0" collapsed="false">
      <c r="A2" s="1" t="s">
        <v>98</v>
      </c>
      <c r="B2" s="1" t="n">
        <v>161008</v>
      </c>
    </row>
    <row r="3" customFormat="false" ht="12.75" hidden="false" customHeight="true" outlineLevel="0" collapsed="false">
      <c r="A3" s="1" t="s">
        <v>81</v>
      </c>
      <c r="B3" s="1" t="s">
        <v>87</v>
      </c>
      <c r="C3" s="1" t="s">
        <v>81</v>
      </c>
      <c r="D3" s="1" t="s">
        <v>90</v>
      </c>
      <c r="E3" s="1" t="s">
        <v>81</v>
      </c>
      <c r="F3" s="1" t="s">
        <v>91</v>
      </c>
      <c r="G3" s="1" t="s">
        <v>81</v>
      </c>
      <c r="H3" s="1" t="s">
        <v>93</v>
      </c>
    </row>
    <row r="4" customFormat="false" ht="12.75" hidden="false" customHeight="true" outlineLevel="0" collapsed="false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customFormat="false" ht="12.75" hidden="false" customHeight="true" outlineLevel="0" collapsed="false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customFormat="false" ht="12.75" hidden="false" customHeight="true" outlineLevel="0" collapsed="false">
      <c r="A6" s="1" t="s">
        <v>103</v>
      </c>
      <c r="B6" s="21" t="n">
        <v>40298</v>
      </c>
      <c r="C6" s="1" t="s">
        <v>103</v>
      </c>
      <c r="D6" s="21" t="n">
        <v>40298</v>
      </c>
      <c r="E6" s="1" t="s">
        <v>103</v>
      </c>
      <c r="F6" s="21" t="n">
        <v>40298</v>
      </c>
      <c r="G6" s="1" t="s">
        <v>103</v>
      </c>
      <c r="H6" s="21" t="n">
        <v>40298</v>
      </c>
    </row>
    <row r="7" customFormat="false" ht="12.75" hidden="false" customHeight="true" outlineLevel="0" collapsed="false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customFormat="false" ht="12.75" hidden="false" customHeight="true" outlineLevel="0" collapsed="false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customFormat="false" ht="12.75" hidden="false" customHeight="true" outlineLevel="0" collapsed="false">
      <c r="A11" s="1" t="n">
        <v>0</v>
      </c>
      <c r="B11" s="1" t="n">
        <v>0.001</v>
      </c>
      <c r="C11" s="1" t="n">
        <v>0</v>
      </c>
      <c r="D11" s="1" t="n">
        <v>0.007</v>
      </c>
      <c r="E11" s="1" t="n">
        <v>0</v>
      </c>
      <c r="F11" s="1" t="n">
        <v>0.018</v>
      </c>
      <c r="G11" s="1" t="n">
        <v>0</v>
      </c>
      <c r="H11" s="1" t="n">
        <v>0.03</v>
      </c>
    </row>
    <row r="12" customFormat="false" ht="12.75" hidden="false" customHeight="true" outlineLevel="0" collapsed="false">
      <c r="A12" s="1" t="n">
        <v>60</v>
      </c>
      <c r="B12" s="1" t="n">
        <v>0.004</v>
      </c>
      <c r="C12" s="1" t="n">
        <v>60</v>
      </c>
      <c r="D12" s="1" t="n">
        <v>0.013</v>
      </c>
      <c r="E12" s="1" t="n">
        <v>60</v>
      </c>
      <c r="F12" s="1" t="n">
        <v>0.025</v>
      </c>
      <c r="G12" s="1" t="n">
        <v>60</v>
      </c>
      <c r="H12" s="1" t="n">
        <v>0.038</v>
      </c>
    </row>
    <row r="13" customFormat="false" ht="12.75" hidden="false" customHeight="true" outlineLevel="0" collapsed="false">
      <c r="A13" s="1" t="n">
        <v>120</v>
      </c>
      <c r="B13" s="1" t="n">
        <v>0.009</v>
      </c>
      <c r="C13" s="1" t="n">
        <v>120</v>
      </c>
      <c r="D13" s="1" t="n">
        <v>0.02</v>
      </c>
      <c r="E13" s="1" t="n">
        <v>120</v>
      </c>
      <c r="F13" s="1" t="n">
        <v>0.033</v>
      </c>
      <c r="G13" s="1" t="n">
        <v>120</v>
      </c>
      <c r="H13" s="1" t="n">
        <v>0.047</v>
      </c>
    </row>
    <row r="14" customFormat="false" ht="12.75" hidden="false" customHeight="true" outlineLevel="0" collapsed="false">
      <c r="A14" s="1" t="n">
        <v>180</v>
      </c>
      <c r="B14" s="1" t="n">
        <v>0.014</v>
      </c>
      <c r="C14" s="1" t="n">
        <v>180</v>
      </c>
      <c r="D14" s="1" t="n">
        <v>0.027</v>
      </c>
      <c r="E14" s="1" t="n">
        <v>180</v>
      </c>
      <c r="F14" s="1" t="n">
        <v>0.041</v>
      </c>
      <c r="G14" s="1" t="n">
        <v>180</v>
      </c>
      <c r="H14" s="1" t="n">
        <v>0.056</v>
      </c>
    </row>
    <row r="15" customFormat="false" ht="12.75" hidden="false" customHeight="true" outlineLevel="0" collapsed="false">
      <c r="A15" s="1" t="n">
        <v>240</v>
      </c>
      <c r="B15" s="1" t="n">
        <v>0.019</v>
      </c>
      <c r="C15" s="1" t="n">
        <v>240</v>
      </c>
      <c r="D15" s="1" t="n">
        <v>0.033</v>
      </c>
      <c r="E15" s="1" t="n">
        <v>240</v>
      </c>
      <c r="F15" s="1" t="n">
        <v>0.048</v>
      </c>
      <c r="G15" s="1" t="n">
        <v>240</v>
      </c>
      <c r="H15" s="1" t="n">
        <v>0.066</v>
      </c>
    </row>
    <row r="16" customFormat="false" ht="12.75" hidden="false" customHeight="true" outlineLevel="0" collapsed="false">
      <c r="A16" s="1" t="n">
        <v>300</v>
      </c>
      <c r="B16" s="1" t="n">
        <v>0.023</v>
      </c>
      <c r="C16" s="1" t="n">
        <v>300</v>
      </c>
      <c r="D16" s="1" t="n">
        <v>0.04</v>
      </c>
      <c r="E16" s="1" t="n">
        <v>300</v>
      </c>
      <c r="F16" s="1" t="n">
        <v>0.057</v>
      </c>
      <c r="G16" s="1" t="n">
        <v>300</v>
      </c>
      <c r="H16" s="1" t="n">
        <v>0.076</v>
      </c>
    </row>
    <row r="17" customFormat="false" ht="12.75" hidden="false" customHeight="true" outlineLevel="0" collapsed="false">
      <c r="A17" s="1" t="n">
        <v>360</v>
      </c>
      <c r="B17" s="1" t="n">
        <v>0.028</v>
      </c>
      <c r="C17" s="1" t="n">
        <v>360</v>
      </c>
      <c r="D17" s="1" t="n">
        <v>0.047</v>
      </c>
      <c r="E17" s="1" t="n">
        <v>360</v>
      </c>
      <c r="F17" s="1" t="n">
        <v>0.065</v>
      </c>
      <c r="G17" s="1" t="n">
        <v>360</v>
      </c>
      <c r="H17" s="1" t="n">
        <v>0.085</v>
      </c>
    </row>
    <row r="18" customFormat="false" ht="12.75" hidden="false" customHeight="true" outlineLevel="0" collapsed="false">
      <c r="A18" s="1" t="n">
        <v>420</v>
      </c>
      <c r="B18" s="1" t="n">
        <v>0.033</v>
      </c>
      <c r="C18" s="1" t="n">
        <v>420</v>
      </c>
      <c r="D18" s="1" t="n">
        <v>0.054</v>
      </c>
      <c r="E18" s="1" t="n">
        <v>420</v>
      </c>
      <c r="F18" s="1" t="n">
        <v>0.074</v>
      </c>
      <c r="G18" s="1" t="n">
        <v>420</v>
      </c>
      <c r="H18" s="1" t="n">
        <v>0.095</v>
      </c>
    </row>
    <row r="19" customFormat="false" ht="12.75" hidden="false" customHeight="true" outlineLevel="0" collapsed="false">
      <c r="A19" s="1" t="n">
        <v>480</v>
      </c>
      <c r="B19" s="1" t="n">
        <v>0.038</v>
      </c>
      <c r="C19" s="1" t="n">
        <v>480</v>
      </c>
      <c r="D19" s="1" t="n">
        <v>0.06</v>
      </c>
      <c r="E19" s="1" t="n">
        <v>480</v>
      </c>
      <c r="F19" s="1" t="n">
        <v>0.082</v>
      </c>
      <c r="G19" s="1" t="n">
        <v>480</v>
      </c>
      <c r="H19" s="1" t="n">
        <v>0.105</v>
      </c>
    </row>
    <row r="20" customFormat="false" ht="12.75" hidden="false" customHeight="true" outlineLevel="0" collapsed="false">
      <c r="A20" s="1" t="n">
        <v>540</v>
      </c>
      <c r="B20" s="1" t="n">
        <v>0.042</v>
      </c>
      <c r="C20" s="1" t="n">
        <v>540</v>
      </c>
      <c r="D20" s="1" t="n">
        <v>0.067</v>
      </c>
      <c r="E20" s="1" t="n">
        <v>540</v>
      </c>
      <c r="F20" s="1" t="n">
        <v>0.091</v>
      </c>
      <c r="G20" s="1" t="n">
        <v>540</v>
      </c>
      <c r="H20" s="1" t="n">
        <v>0.115</v>
      </c>
    </row>
    <row r="21" customFormat="false" ht="12.75" hidden="false" customHeight="true" outlineLevel="0" collapsed="false">
      <c r="A21" s="1" t="n">
        <v>600</v>
      </c>
      <c r="B21" s="1" t="n">
        <v>0.047</v>
      </c>
      <c r="C21" s="1" t="n">
        <v>600</v>
      </c>
      <c r="D21" s="1" t="n">
        <v>0.074</v>
      </c>
      <c r="E21" s="1" t="n">
        <v>600</v>
      </c>
      <c r="F21" s="1" t="n">
        <v>0.099</v>
      </c>
      <c r="G21" s="1" t="n">
        <v>600</v>
      </c>
      <c r="H21" s="1" t="n">
        <v>0.125</v>
      </c>
    </row>
    <row r="22" customFormat="false" ht="12.75" hidden="false" customHeight="true" outlineLevel="0" collapsed="false">
      <c r="A22" s="1" t="n">
        <v>660</v>
      </c>
      <c r="B22" s="1" t="n">
        <v>0.051</v>
      </c>
      <c r="C22" s="1" t="n">
        <v>660</v>
      </c>
      <c r="D22" s="1" t="n">
        <v>0.081</v>
      </c>
      <c r="E22" s="1" t="n">
        <v>660</v>
      </c>
      <c r="F22" s="1" t="n">
        <v>0.107</v>
      </c>
      <c r="G22" s="1" t="n">
        <v>660</v>
      </c>
      <c r="H22" s="1" t="n">
        <v>0.135</v>
      </c>
    </row>
    <row r="23" customFormat="false" ht="12.75" hidden="false" customHeight="true" outlineLevel="0" collapsed="false">
      <c r="A23" s="1" t="n">
        <v>720</v>
      </c>
      <c r="B23" s="1" t="n">
        <v>0.056</v>
      </c>
      <c r="C23" s="1" t="n">
        <v>720</v>
      </c>
      <c r="D23" s="1" t="n">
        <v>0.088</v>
      </c>
      <c r="E23" s="1" t="n">
        <v>720</v>
      </c>
      <c r="F23" s="1" t="n">
        <v>0.116</v>
      </c>
      <c r="G23" s="1" t="n">
        <v>720</v>
      </c>
      <c r="H23" s="1" t="n">
        <v>0.145</v>
      </c>
    </row>
    <row r="24" customFormat="false" ht="12.75" hidden="false" customHeight="true" outlineLevel="0" collapsed="false">
      <c r="A24" s="1" t="n">
        <v>780</v>
      </c>
      <c r="B24" s="1" t="n">
        <v>0.06</v>
      </c>
      <c r="C24" s="1" t="n">
        <v>780</v>
      </c>
      <c r="D24" s="1" t="n">
        <v>0.095</v>
      </c>
      <c r="E24" s="1" t="n">
        <v>780</v>
      </c>
      <c r="F24" s="1" t="n">
        <v>0.124</v>
      </c>
      <c r="G24" s="1" t="n">
        <v>780</v>
      </c>
      <c r="H24" s="1" t="n">
        <v>0.155</v>
      </c>
    </row>
    <row r="25" customFormat="false" ht="12.75" hidden="false" customHeight="true" outlineLevel="0" collapsed="false">
      <c r="A25" s="1" t="n">
        <v>840</v>
      </c>
      <c r="B25" s="1" t="n">
        <v>0.065</v>
      </c>
      <c r="C25" s="1" t="n">
        <v>840</v>
      </c>
      <c r="D25" s="1" t="n">
        <v>0.102</v>
      </c>
      <c r="E25" s="1" t="n">
        <v>840</v>
      </c>
      <c r="F25" s="1" t="n">
        <v>0.133</v>
      </c>
      <c r="G25" s="1" t="n">
        <v>840</v>
      </c>
      <c r="H25" s="1" t="n">
        <v>0.166</v>
      </c>
    </row>
    <row r="26" customFormat="false" ht="12.75" hidden="false" customHeight="true" outlineLevel="0" collapsed="false">
      <c r="A26" s="1" t="n">
        <v>900</v>
      </c>
      <c r="B26" s="1" t="n">
        <v>0.07</v>
      </c>
      <c r="C26" s="1" t="n">
        <v>900</v>
      </c>
      <c r="D26" s="1" t="n">
        <v>0.108</v>
      </c>
      <c r="E26" s="1" t="n">
        <v>900</v>
      </c>
      <c r="F26" s="1" t="n">
        <v>0.141</v>
      </c>
      <c r="G26" s="1" t="n">
        <v>900</v>
      </c>
      <c r="H26" s="1" t="n">
        <v>0.176</v>
      </c>
    </row>
    <row r="27" customFormat="false" ht="12.75" hidden="false" customHeight="true" outlineLevel="0" collapsed="false">
      <c r="A27" s="1" t="n">
        <v>960</v>
      </c>
      <c r="B27" s="1" t="n">
        <v>0.074</v>
      </c>
      <c r="C27" s="1" t="n">
        <v>960</v>
      </c>
      <c r="D27" s="1" t="n">
        <v>0.115</v>
      </c>
      <c r="E27" s="1" t="n">
        <v>960</v>
      </c>
      <c r="F27" s="1" t="n">
        <v>0.149</v>
      </c>
      <c r="G27" s="1" t="n">
        <v>960</v>
      </c>
      <c r="H27" s="1" t="n">
        <v>0.186</v>
      </c>
    </row>
    <row r="28" customFormat="false" ht="12.75" hidden="false" customHeight="true" outlineLevel="0" collapsed="false">
      <c r="A28" s="1" t="n">
        <v>1020</v>
      </c>
      <c r="B28" s="1" t="n">
        <v>0.078</v>
      </c>
      <c r="C28" s="1" t="n">
        <v>1020</v>
      </c>
      <c r="D28" s="1" t="n">
        <v>0.122</v>
      </c>
      <c r="E28" s="1" t="n">
        <v>1020</v>
      </c>
      <c r="F28" s="1" t="n">
        <v>0.158</v>
      </c>
      <c r="G28" s="1" t="n">
        <v>1020</v>
      </c>
      <c r="H28" s="1" t="n">
        <v>0.196</v>
      </c>
      <c r="M28" s="22" t="s">
        <v>116</v>
      </c>
      <c r="N28" s="22" t="s">
        <v>84</v>
      </c>
      <c r="O28" s="22" t="s">
        <v>117</v>
      </c>
    </row>
    <row r="29" customFormat="false" ht="12.75" hidden="false" customHeight="true" outlineLevel="0" collapsed="false">
      <c r="A29" s="1" t="n">
        <v>1080</v>
      </c>
      <c r="B29" s="1" t="n">
        <v>0.083</v>
      </c>
      <c r="C29" s="1" t="n">
        <v>1080</v>
      </c>
      <c r="D29" s="1" t="n">
        <v>0.129</v>
      </c>
      <c r="E29" s="1" t="n">
        <v>1080</v>
      </c>
      <c r="F29" s="1" t="n">
        <v>0.166</v>
      </c>
      <c r="G29" s="1" t="n">
        <v>1080</v>
      </c>
      <c r="H29" s="1" t="n">
        <v>0.206</v>
      </c>
      <c r="M29" s="1" t="n">
        <v>1.52855178403416</v>
      </c>
      <c r="N29" s="22" t="n">
        <v>8.35</v>
      </c>
      <c r="O29" s="1" t="n">
        <f aca="false">M29/N29</f>
        <v>0.183060093896307</v>
      </c>
    </row>
    <row r="30" customFormat="false" ht="12.75" hidden="false" customHeight="true" outlineLevel="0" collapsed="false">
      <c r="A30" s="1" t="n">
        <v>1140</v>
      </c>
      <c r="B30" s="1" t="n">
        <v>0.088</v>
      </c>
      <c r="C30" s="1" t="n">
        <v>1140</v>
      </c>
      <c r="D30" s="1" t="n">
        <v>0.135</v>
      </c>
      <c r="E30" s="1" t="n">
        <v>1140</v>
      </c>
      <c r="F30" s="1" t="n">
        <v>0.175</v>
      </c>
      <c r="G30" s="1" t="n">
        <v>1140</v>
      </c>
      <c r="H30" s="1" t="n">
        <v>0.217</v>
      </c>
      <c r="M30" s="1" t="n">
        <v>3.05710356806832</v>
      </c>
      <c r="N30" s="22" t="n">
        <v>11.1</v>
      </c>
      <c r="O30" s="1" t="n">
        <f aca="false">M30/N30</f>
        <v>0.275414735862011</v>
      </c>
    </row>
    <row r="31" customFormat="false" ht="12.75" hidden="false" customHeight="true" outlineLevel="0" collapsed="false">
      <c r="A31" s="1" t="n">
        <v>1200</v>
      </c>
      <c r="B31" s="1" t="n">
        <v>0.092</v>
      </c>
      <c r="C31" s="1" t="n">
        <v>1200</v>
      </c>
      <c r="D31" s="1" t="n">
        <v>0.142</v>
      </c>
      <c r="E31" s="1" t="n">
        <v>1200</v>
      </c>
      <c r="F31" s="1" t="n">
        <v>0.183</v>
      </c>
      <c r="G31" s="1" t="n">
        <v>1200</v>
      </c>
      <c r="H31" s="1" t="n">
        <v>0.227</v>
      </c>
      <c r="M31" s="1" t="n">
        <v>4.58565535210248</v>
      </c>
      <c r="N31" s="22" t="n">
        <v>13.1</v>
      </c>
      <c r="O31" s="1" t="n">
        <f aca="false">M31/N31</f>
        <v>0.350050026878052</v>
      </c>
    </row>
    <row r="32" customFormat="false" ht="12.75" hidden="false" customHeight="true" outlineLevel="0" collapsed="false">
      <c r="A32" s="1" t="n">
        <v>1260</v>
      </c>
      <c r="B32" s="1" t="n">
        <v>0.096</v>
      </c>
      <c r="C32" s="1" t="n">
        <v>1260</v>
      </c>
      <c r="D32" s="1" t="n">
        <v>0.149</v>
      </c>
      <c r="E32" s="1" t="n">
        <v>1260</v>
      </c>
      <c r="F32" s="1" t="n">
        <v>0.192</v>
      </c>
      <c r="G32" s="1" t="n">
        <v>1260</v>
      </c>
      <c r="H32" s="1" t="n">
        <v>0.237</v>
      </c>
      <c r="M32" s="1" t="n">
        <v>6.11420713613664</v>
      </c>
      <c r="N32" s="22" t="n">
        <v>15.3</v>
      </c>
      <c r="O32" s="1" t="n">
        <f aca="false">M32/N32</f>
        <v>0.399621381446839</v>
      </c>
    </row>
    <row r="33" customFormat="false" ht="12.75" hidden="false" customHeight="true" outlineLevel="0" collapsed="false">
      <c r="A33" s="1" t="n">
        <v>1320</v>
      </c>
      <c r="B33" s="1" t="n">
        <v>0.1</v>
      </c>
      <c r="C33" s="1" t="n">
        <v>1320</v>
      </c>
      <c r="D33" s="1" t="n">
        <v>0.156</v>
      </c>
      <c r="E33" s="1" t="n">
        <v>1320</v>
      </c>
      <c r="F33" s="1" t="n">
        <v>0.2</v>
      </c>
      <c r="G33" s="1" t="n">
        <v>1320</v>
      </c>
      <c r="H33" s="1" t="n">
        <v>0.248</v>
      </c>
    </row>
    <row r="34" customFormat="false" ht="12.75" hidden="false" customHeight="true" outlineLevel="0" collapsed="false">
      <c r="A34" s="1" t="n">
        <v>1380</v>
      </c>
      <c r="B34" s="1" t="n">
        <v>0.104</v>
      </c>
      <c r="C34" s="1" t="n">
        <v>1380</v>
      </c>
      <c r="D34" s="1" t="n">
        <v>0.163</v>
      </c>
      <c r="E34" s="1" t="n">
        <v>1380</v>
      </c>
      <c r="F34" s="1" t="n">
        <v>0.209</v>
      </c>
      <c r="G34" s="1" t="n">
        <v>1380</v>
      </c>
      <c r="H34" s="1" t="n">
        <v>0.258</v>
      </c>
    </row>
    <row r="35" customFormat="false" ht="12.75" hidden="false" customHeight="true" outlineLevel="0" collapsed="false">
      <c r="A35" s="1" t="n">
        <v>1440</v>
      </c>
      <c r="B35" s="1" t="n">
        <v>0.109</v>
      </c>
      <c r="C35" s="1" t="n">
        <v>1440</v>
      </c>
      <c r="D35" s="1" t="n">
        <v>0.17</v>
      </c>
      <c r="E35" s="1" t="n">
        <v>1440</v>
      </c>
      <c r="F35" s="1" t="n">
        <v>0.217</v>
      </c>
      <c r="G35" s="1" t="n">
        <v>1440</v>
      </c>
      <c r="H35" s="1" t="n">
        <v>0.268</v>
      </c>
    </row>
    <row r="36" customFormat="false" ht="12.75" hidden="false" customHeight="true" outlineLevel="0" collapsed="false">
      <c r="A36" s="1" t="n">
        <v>1500</v>
      </c>
      <c r="B36" s="1" t="n">
        <v>0.113</v>
      </c>
      <c r="C36" s="1" t="n">
        <v>1500</v>
      </c>
      <c r="D36" s="1" t="n">
        <v>0.176</v>
      </c>
      <c r="E36" s="1" t="n">
        <v>1500</v>
      </c>
      <c r="F36" s="1" t="n">
        <v>0.226</v>
      </c>
      <c r="G36" s="1" t="n">
        <v>1500</v>
      </c>
      <c r="H36" s="1" t="n">
        <v>0.279</v>
      </c>
    </row>
    <row r="37" customFormat="false" ht="12.75" hidden="false" customHeight="true" outlineLevel="0" collapsed="false">
      <c r="A37" s="1" t="n">
        <v>1560</v>
      </c>
      <c r="B37" s="1" t="n">
        <v>0.118</v>
      </c>
      <c r="C37" s="1" t="n">
        <v>1560</v>
      </c>
      <c r="D37" s="1" t="n">
        <v>0.183</v>
      </c>
      <c r="E37" s="1" t="n">
        <v>1560</v>
      </c>
      <c r="F37" s="1" t="n">
        <v>0.234</v>
      </c>
      <c r="G37" s="1" t="n">
        <v>1560</v>
      </c>
      <c r="H37" s="1" t="n">
        <v>0.289</v>
      </c>
    </row>
    <row r="38" customFormat="false" ht="12.75" hidden="false" customHeight="true" outlineLevel="0" collapsed="false">
      <c r="A38" s="1" t="n">
        <v>1620</v>
      </c>
      <c r="B38" s="1" t="n">
        <v>0.122</v>
      </c>
      <c r="C38" s="1" t="n">
        <v>1620</v>
      </c>
      <c r="D38" s="1" t="n">
        <v>0.19</v>
      </c>
      <c r="E38" s="1" t="n">
        <v>1620</v>
      </c>
      <c r="F38" s="1" t="n">
        <v>0.243</v>
      </c>
      <c r="G38" s="1" t="n">
        <v>1620</v>
      </c>
      <c r="H38" s="1" t="n">
        <v>0.3</v>
      </c>
    </row>
    <row r="39" customFormat="false" ht="12.75" hidden="false" customHeight="true" outlineLevel="0" collapsed="false">
      <c r="A39" s="1" t="n">
        <v>1680</v>
      </c>
      <c r="B39" s="1" t="n">
        <v>0.126</v>
      </c>
      <c r="C39" s="1" t="n">
        <v>1680</v>
      </c>
      <c r="D39" s="1" t="n">
        <v>0.196</v>
      </c>
      <c r="E39" s="1" t="n">
        <v>1680</v>
      </c>
      <c r="F39" s="1" t="n">
        <v>0.251</v>
      </c>
      <c r="G39" s="1" t="n">
        <v>1680</v>
      </c>
      <c r="H39" s="1" t="n">
        <v>0.31</v>
      </c>
    </row>
    <row r="40" customFormat="false" ht="12.75" hidden="false" customHeight="true" outlineLevel="0" collapsed="false">
      <c r="A40" s="1" t="n">
        <v>1740</v>
      </c>
      <c r="B40" s="1" t="n">
        <v>0.13</v>
      </c>
      <c r="C40" s="1" t="n">
        <v>1740</v>
      </c>
      <c r="D40" s="1" t="n">
        <v>0.203</v>
      </c>
      <c r="E40" s="1" t="n">
        <v>1740</v>
      </c>
      <c r="F40" s="1" t="n">
        <v>0.259</v>
      </c>
      <c r="G40" s="1" t="n">
        <v>1740</v>
      </c>
      <c r="H40" s="1" t="n">
        <v>0.321</v>
      </c>
    </row>
    <row r="41" customFormat="false" ht="12.75" hidden="false" customHeight="true" outlineLevel="0" collapsed="false">
      <c r="A41" s="1" t="n">
        <v>1800</v>
      </c>
      <c r="B41" s="1" t="n">
        <v>0.135</v>
      </c>
      <c r="C41" s="1" t="n">
        <v>1800</v>
      </c>
      <c r="D41" s="1" t="n">
        <v>0.21</v>
      </c>
      <c r="E41" s="1" t="n">
        <v>1800</v>
      </c>
      <c r="F41" s="1" t="n">
        <v>0.268</v>
      </c>
      <c r="G41" s="1" t="n">
        <v>1800</v>
      </c>
      <c r="H41" s="1" t="n">
        <v>0.332</v>
      </c>
    </row>
    <row r="42" customFormat="false" ht="12.75" hidden="false" customHeight="true" outlineLevel="0" collapsed="false">
      <c r="A42" s="1" t="n">
        <v>1860</v>
      </c>
      <c r="B42" s="1" t="n">
        <v>0.139</v>
      </c>
      <c r="C42" s="1" t="n">
        <v>1860</v>
      </c>
      <c r="D42" s="1" t="n">
        <v>0.216</v>
      </c>
      <c r="E42" s="1" t="n">
        <v>1860</v>
      </c>
      <c r="F42" s="1" t="n">
        <v>0.276</v>
      </c>
      <c r="G42" s="1" t="n">
        <v>1860</v>
      </c>
      <c r="H42" s="1" t="n">
        <v>0.343</v>
      </c>
    </row>
    <row r="43" customFormat="false" ht="12.75" hidden="false" customHeight="true" outlineLevel="0" collapsed="false">
      <c r="A43" s="1" t="n">
        <v>1920</v>
      </c>
      <c r="B43" s="1" t="n">
        <v>0.143</v>
      </c>
      <c r="C43" s="1" t="n">
        <v>1920</v>
      </c>
      <c r="D43" s="1" t="n">
        <v>0.223</v>
      </c>
      <c r="E43" s="1" t="n">
        <v>1920</v>
      </c>
      <c r="F43" s="1" t="n">
        <v>0.285</v>
      </c>
      <c r="G43" s="1" t="n">
        <v>1920</v>
      </c>
      <c r="H43" s="1" t="n">
        <v>0.353</v>
      </c>
    </row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2024-12-12T22:01:43Z</dcterms:modified>
  <cp:revision>1</cp:revision>
  <dc:subject/>
  <dc:title/>
</cp:coreProperties>
</file>