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nes" sheetId="1" r:id="rId4"/>
    <sheet state="visible" name="Sheet1" sheetId="2" r:id="rId5"/>
    <sheet state="visible" name="Sheet2" sheetId="3" r:id="rId6"/>
  </sheets>
  <definedNames>
    <definedName localSheetId="2" name="data47">Sheet2!$A$1:$H$36</definedName>
  </definedNames>
  <calcPr/>
  <extLst>
    <ext uri="GoogleSheetsCustomDataVersion1">
      <go:sheetsCustomData xmlns:go="http://customooxmlschemas.google.com/" r:id="rId7" roundtripDataSignature="AMtx7mgNCfT7Uu7DzhXDmjCJq3/1PrEuCQ=="/>
    </ext>
  </extLst>
</workbook>
</file>

<file path=xl/sharedStrings.xml><?xml version="1.0" encoding="utf-8"?>
<sst xmlns="http://schemas.openxmlformats.org/spreadsheetml/2006/main" count="179" uniqueCount="119">
  <si>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</si>
  <si>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</si>
  <si>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</si>
  <si>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</si>
  <si>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</si>
  <si>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</si>
  <si>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</si>
  <si>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</si>
  <si>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</si>
  <si>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</si>
  <si>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</si>
  <si>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</si>
  <si>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</si>
  <si>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</si>
  <si>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</si>
  <si>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</si>
  <si>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</si>
  <si>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</si>
  <si>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</si>
  <si>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</si>
  <si>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</si>
  <si>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</si>
  <si>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</si>
  <si>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</si>
  <si>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</si>
  <si>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</si>
  <si>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PROBABILITY OUTPUT</t>
  </si>
  <si>
    <t>Observation</t>
  </si>
  <si>
    <t>Predicted Y</t>
  </si>
  <si>
    <t>Residuals</t>
  </si>
  <si>
    <t>Standard Residuals</t>
  </si>
  <si>
    <t>Percentile</t>
  </si>
  <si>
    <t>Y</t>
  </si>
  <si>
    <t>nm</t>
  </si>
  <si>
    <t>e</t>
  </si>
  <si>
    <t>4-methoxy-benzylalkohol</t>
  </si>
  <si>
    <t>Enz</t>
  </si>
  <si>
    <t>H202 30%</t>
  </si>
  <si>
    <t>H2O</t>
  </si>
  <si>
    <t>a-diesterketon</t>
  </si>
  <si>
    <t>ml</t>
  </si>
  <si>
    <t>g/mol</t>
  </si>
  <si>
    <t>g</t>
  </si>
  <si>
    <t>[H2O2]</t>
  </si>
  <si>
    <t>l</t>
  </si>
  <si>
    <t>mol/l</t>
  </si>
  <si>
    <t>mol</t>
  </si>
  <si>
    <t>Boric acid buf.</t>
  </si>
  <si>
    <t>pH</t>
  </si>
  <si>
    <t>mmol/l</t>
  </si>
  <si>
    <t>T</t>
  </si>
  <si>
    <t>kuv</t>
  </si>
  <si>
    <t>[sub]</t>
  </si>
  <si>
    <t>[Enz]</t>
  </si>
  <si>
    <t>Buf [ml]</t>
  </si>
  <si>
    <t>H2O [ml]</t>
  </si>
  <si>
    <t>Enz [ml]</t>
  </si>
  <si>
    <t>Sub [ml]</t>
  </si>
  <si>
    <t>H2O2 [ml]</t>
  </si>
  <si>
    <t>Vol [ml]</t>
  </si>
  <si>
    <t>Vmax</t>
  </si>
  <si>
    <t>U/min</t>
  </si>
  <si>
    <t>mM/min</t>
  </si>
  <si>
    <t>Km</t>
  </si>
  <si>
    <t>mmol/L</t>
  </si>
  <si>
    <t>kcat</t>
  </si>
  <si>
    <t>min^-1</t>
  </si>
  <si>
    <t>s-1</t>
  </si>
  <si>
    <t>kuncat</t>
  </si>
  <si>
    <t>s^-1</t>
  </si>
  <si>
    <t>kcat/uncat</t>
  </si>
  <si>
    <t xml:space="preserve">The cuvetts were washed three times in water and three times in iso-propyl aclohole and dried in the owen for 20 min. </t>
  </si>
  <si>
    <t>The buffer was added as 1*1ml plus x*0,2 ml, with x=3,2,1 respectivly.</t>
  </si>
  <si>
    <t>The substrate was added as x*0.2 ml, with x=1,2,3,4 respectivly.</t>
  </si>
  <si>
    <t xml:space="preserve">The cuvetts were stired for 10 sec each on the "automatic stirrer" at full speed before they were placed in the spectrometer. </t>
  </si>
  <si>
    <t>Kinetics Experiment - 047 best fit 2</t>
  </si>
  <si>
    <t xml:space="preserve">Kinetics Experiment - </t>
  </si>
  <si>
    <t>Conc. Units</t>
  </si>
  <si>
    <t>Hanes-Woolf</t>
  </si>
  <si>
    <t>Raw Data</t>
  </si>
  <si>
    <t>Parameters</t>
  </si>
  <si>
    <t>[I]=0.000</t>
  </si>
  <si>
    <t>Sample</t>
  </si>
  <si>
    <t>[S]</t>
  </si>
  <si>
    <t>[I]</t>
  </si>
  <si>
    <t>V</t>
  </si>
  <si>
    <t>Use</t>
  </si>
  <si>
    <t>Calculated Values</t>
  </si>
  <si>
    <t>Sample001</t>
  </si>
  <si>
    <t>Yes</t>
  </si>
  <si>
    <t>VMax</t>
  </si>
  <si>
    <t>Sample002</t>
  </si>
  <si>
    <t>Sample003</t>
  </si>
  <si>
    <t>Statistics</t>
  </si>
  <si>
    <t>Sample004</t>
  </si>
  <si>
    <t>Chi Squared</t>
  </si>
  <si>
    <t>Corr.Coeff.</t>
  </si>
  <si>
    <t>Batch</t>
  </si>
  <si>
    <t>rate047.rre</t>
  </si>
  <si>
    <t>Evolution 600</t>
  </si>
  <si>
    <t>Data Mode</t>
  </si>
  <si>
    <t>A</t>
  </si>
  <si>
    <t>Smoothing</t>
  </si>
  <si>
    <t>None</t>
  </si>
  <si>
    <t>Date Collected</t>
  </si>
  <si>
    <t>Time Collected</t>
  </si>
  <si>
    <t>8:59:37PM</t>
  </si>
  <si>
    <t>8:59:43PM</t>
  </si>
  <si>
    <t>8:59:50PM</t>
  </si>
  <si>
    <t>9:22:17PM</t>
  </si>
  <si>
    <t>Substrate Conc.</t>
  </si>
  <si>
    <t>1.5286 mmol/L</t>
  </si>
  <si>
    <t>3.0571 mmol/L</t>
  </si>
  <si>
    <t>4.5857 mmol/L</t>
  </si>
  <si>
    <t>6.1142 mmol/L</t>
  </si>
  <si>
    <t>ss.sss</t>
  </si>
  <si>
    <t>Value</t>
  </si>
  <si>
    <t>S</t>
  </si>
  <si>
    <t>S/V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</si>
</sst>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color theme="1"/>
      <name val="Calibri"/>
    </font>
    <font>
      <i/>
      <sz val="10.0"/>
      <color theme="1"/>
      <name val="Arial"/>
    </font>
    <font/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Border="1" applyFont="1"/>
    <xf borderId="0" fillId="0" fontId="4" numFmtId="0" xfId="0" applyAlignment="1" applyFont="1">
      <alignment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9" fillId="0" fontId="4" numFmtId="0" xfId="0" applyAlignment="1" applyBorder="1" applyFont="1">
      <alignment shrinkToFit="0" vertical="bottom" wrapText="0"/>
    </xf>
    <xf borderId="10" fillId="0" fontId="4" numFmtId="0" xfId="0" applyAlignment="1" applyBorder="1" applyFon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2" fillId="0" fontId="4" numFmtId="0" xfId="0" applyAlignment="1" applyBorder="1" applyFont="1">
      <alignment shrinkToFit="0" vertical="bottom" wrapText="0"/>
    </xf>
    <xf borderId="0" fillId="0" fontId="4" numFmtId="11" xfId="0" applyAlignment="1" applyFont="1" applyNumberFormat="1">
      <alignment shrinkToFit="0" vertical="bottom" wrapText="0"/>
    </xf>
    <xf borderId="0" fillId="0" fontId="1" numFmtId="11" xfId="0" applyFont="1" applyNumberFormat="1"/>
    <xf borderId="0" fillId="0" fontId="5" numFmtId="0" xfId="0" applyAlignment="1" applyFont="1">
      <alignment shrinkToFit="0" vertical="bottom" wrapText="0"/>
    </xf>
    <xf borderId="7" fillId="0" fontId="5" numFmtId="0" xfId="0" applyAlignment="1" applyBorder="1" applyFont="1">
      <alignment shrinkToFit="0" vertical="bottom" wrapText="0"/>
    </xf>
    <xf borderId="0" fillId="0" fontId="4" numFmtId="14" xfId="0" applyAlignment="1" applyFont="1" applyNumberFormat="1">
      <alignment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 Residual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yVal>
            <c:numRef>
              <c:f>hanes!$C$25:$C$27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624852"/>
        <c:axId val="1778786744"/>
      </c:scatterChart>
      <c:valAx>
        <c:axId val="389624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786744"/>
      </c:valAx>
      <c:valAx>
        <c:axId val="17787867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9624852"/>
      </c:valAx>
    </c:plotArea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X Variable 1 Line Fit  Plot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865193728"/>
        <c:axId val="182555959"/>
      </c:scatterChart>
      <c:valAx>
        <c:axId val="18651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X Variable 1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555959"/>
      </c:valAx>
      <c:valAx>
        <c:axId val="18255595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8651937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Normal Probability Plot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80"/>
              </a:solidFill>
              <a:ln cmpd="sng">
                <a:solidFill>
                  <a:srgbClr val="000080"/>
                </a:solidFill>
              </a:ln>
            </c:spPr>
          </c:marker>
          <c:xVal>
            <c:numRef>
              <c:f>hanes!$F$25:$F$27</c:f>
            </c:numRef>
          </c:xVal>
          <c:yVal>
            <c:numRef>
              <c:f>hanes!$G$25:$G$27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5198709"/>
        <c:axId val="785152954"/>
      </c:scatterChart>
      <c:valAx>
        <c:axId val="5251987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Sample Percentile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5152954"/>
      </c:valAx>
      <c:valAx>
        <c:axId val="78515295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5198709"/>
      </c:valAx>
    </c:plotArea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+mn-lt"/>
              </a:defRPr>
            </a:pPr>
            <a:r>
              <a:rPr b="1" i="0" sz="1200">
                <a:solidFill>
                  <a:srgbClr val="000000"/>
                </a:solidFill>
                <a:latin typeface="+mn-lt"/>
              </a:rPr>
              <a:t>hanes</a:t>
            </a:r>
          </a:p>
        </c:rich>
      </c:tx>
      <c:overlay val="0"/>
    </c:title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914718079"/>
        <c:axId val="240129665"/>
      </c:scatterChart>
      <c:valAx>
        <c:axId val="914718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129665"/>
      </c:valAx>
      <c:valAx>
        <c:axId val="240129665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914718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Sheet2!$B$11:$B$20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Sheet2!$D$11:$D$20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Sheet2!$F$11:$F$20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</c:f>
            </c:numRef>
          </c:xVal>
          <c:yVal>
            <c:numRef>
              <c:f>Sheet2!$H$11:$H$20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47706"/>
        <c:axId val="1679602421"/>
      </c:scatterChart>
      <c:valAx>
        <c:axId val="11134770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9602421"/>
      </c:valAx>
      <c:valAx>
        <c:axId val="16796024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3477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S, V og S/V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Sheet2!$L$28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1"/>
          </c:trendline>
          <c:xVal>
            <c:numRef>
              <c:f>Sheet2!$J$29:$J$32</c:f>
            </c:numRef>
          </c:xVal>
          <c:yVal>
            <c:numRef>
              <c:f>Sheet2!$L$29:$L$32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5238326"/>
        <c:axId val="1803964141"/>
      </c:scatterChart>
      <c:valAx>
        <c:axId val="13952383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3964141"/>
      </c:valAx>
      <c:valAx>
        <c:axId val="18039641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52383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1.5286 mmol/L/Value, Substrate Conc./ss.sss, 3.0571 mmol/L/Value, Substrate Conc./ss.sss, 4.5857 mmol/L/Value…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Sheet2!$B$9:$B$10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Sheet2!$B$11:$B$200</c:f>
              <c:numCache/>
            </c:numRef>
          </c:yVal>
        </c:ser>
        <c:ser>
          <c:idx val="1"/>
          <c:order val="1"/>
          <c:tx>
            <c:strRef>
              <c:f>Sheet2!$D$9:$D$10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Sheet2!$D$11:$D$200</c:f>
              <c:numCache/>
            </c:numRef>
          </c:yVal>
        </c:ser>
        <c:ser>
          <c:idx val="2"/>
          <c:order val="2"/>
          <c:tx>
            <c:strRef>
              <c:f>Sheet2!$F$9:$F$10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Sheet2!$F$11:$F$200</c:f>
              <c:numCache/>
            </c:numRef>
          </c:yVal>
        </c:ser>
        <c:ser>
          <c:idx val="3"/>
          <c:order val="3"/>
          <c:tx>
            <c:strRef>
              <c:f>Sheet2!$H$9:$H$10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</c:trendline>
          <c:xVal>
            <c:numRef>
              <c:f>Sheet2!$A$11:$A$220</c:f>
            </c:numRef>
          </c:xVal>
          <c:yVal>
            <c:numRef>
              <c:f>Sheet2!$H$11:$H$200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7723509"/>
        <c:axId val="1226494792"/>
      </c:scatterChart>
      <c:valAx>
        <c:axId val="15877235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Substrate Conc./ss.sss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6494792"/>
      </c:valAx>
      <c:valAx>
        <c:axId val="1226494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77235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0</xdr:row>
      <xdr:rowOff>0</xdr:rowOff>
    </xdr:from>
    <xdr:ext cx="3200400" cy="1647825"/>
    <xdr:graphicFrame>
      <xdr:nvGraphicFramePr>
        <xdr:cNvPr descr="Chart 0" id="13308493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</xdr:row>
      <xdr:rowOff>0</xdr:rowOff>
    </xdr:from>
    <xdr:ext cx="3200400" cy="1638300"/>
    <xdr:graphicFrame>
      <xdr:nvGraphicFramePr>
        <xdr:cNvPr descr="Chart 1" id="225259364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0</xdr:colOff>
      <xdr:row>4</xdr:row>
      <xdr:rowOff>0</xdr:rowOff>
    </xdr:from>
    <xdr:ext cx="3200400" cy="1647825"/>
    <xdr:graphicFrame>
      <xdr:nvGraphicFramePr>
        <xdr:cNvPr descr="Chart 2" id="19577736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47</xdr:row>
      <xdr:rowOff>95250</xdr:rowOff>
    </xdr:from>
    <xdr:ext cx="4152900" cy="3886200"/>
    <xdr:graphicFrame>
      <xdr:nvGraphicFramePr>
        <xdr:cNvPr descr="Chart 0" id="64252676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447675</xdr:colOff>
      <xdr:row>0</xdr:row>
      <xdr:rowOff>57150</xdr:rowOff>
    </xdr:from>
    <xdr:ext cx="5715000" cy="3533775"/>
    <xdr:graphicFrame>
      <xdr:nvGraphicFramePr>
        <xdr:cNvPr id="1605137824" name="Chart 5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114300</xdr:colOff>
      <xdr:row>0</xdr:row>
      <xdr:rowOff>114300</xdr:rowOff>
    </xdr:from>
    <xdr:ext cx="5715000" cy="3533775"/>
    <xdr:graphicFrame>
      <xdr:nvGraphicFramePr>
        <xdr:cNvPr id="243352851" name="Chart 6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447675</xdr:colOff>
      <xdr:row>35</xdr:row>
      <xdr:rowOff>57150</xdr:rowOff>
    </xdr:from>
    <xdr:ext cx="5715000" cy="3533775"/>
    <xdr:graphicFrame>
      <xdr:nvGraphicFramePr>
        <xdr:cNvPr id="2145542378" name="Chart 7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 ht="12.75" customHeight="1">
      <c r="A1" s="1" t="s">
        <v>0</v>
      </c>
    </row>
    <row r="2" ht="13.5" customHeight="1"/>
    <row r="3" ht="12.75" customHeight="1">
      <c r="A3" s="2" t="s">
        <v>1</v>
      </c>
      <c r="B3" s="3"/>
    </row>
    <row r="4" ht="12.75" customHeight="1">
      <c r="A4" s="4" t="s">
        <v>2</v>
      </c>
      <c r="B4" s="4">
        <v>0.9883700546222159</v>
      </c>
    </row>
    <row r="5" ht="12.75" customHeight="1">
      <c r="A5" s="4" t="s">
        <v>3</v>
      </c>
      <c r="B5" s="4">
        <v>0.9768753648739221</v>
      </c>
    </row>
    <row r="6" ht="12.75" customHeight="1">
      <c r="A6" s="4" t="s">
        <v>4</v>
      </c>
      <c r="B6" s="4">
        <v>0.9537507297478443</v>
      </c>
    </row>
    <row r="7" ht="12.75" customHeight="1">
      <c r="A7" s="4" t="s">
        <v>5</v>
      </c>
      <c r="B7" s="4">
        <v>13082.107927875064</v>
      </c>
    </row>
    <row r="8" ht="13.5" customHeight="1">
      <c r="A8" s="5" t="s">
        <v>6</v>
      </c>
      <c r="B8" s="5">
        <v>3.0</v>
      </c>
    </row>
    <row r="9" ht="12.75" customHeight="1"/>
    <row r="10" ht="13.5" customHeight="1">
      <c r="A10" s="1" t="s">
        <v>7</v>
      </c>
    </row>
    <row r="11" ht="12.75" customHeight="1">
      <c r="A11" s="2"/>
      <c r="B11" s="2" t="s">
        <v>8</v>
      </c>
      <c r="C11" s="2" t="s">
        <v>9</v>
      </c>
      <c r="D11" s="2" t="s">
        <v>10</v>
      </c>
      <c r="E11" s="2" t="s">
        <v>11</v>
      </c>
      <c r="F11" s="2" t="s">
        <v>12</v>
      </c>
    </row>
    <row r="12" ht="12.75" customHeight="1">
      <c r="A12" s="4" t="s">
        <v>13</v>
      </c>
      <c r="B12" s="4">
        <v>1.0</v>
      </c>
      <c r="C12" s="4">
        <v>7.229690807073693E9</v>
      </c>
      <c r="D12" s="4">
        <v>7.229690807073693E9</v>
      </c>
      <c r="E12" s="4">
        <v>42.243925560247646</v>
      </c>
      <c r="F12" s="4">
        <v>0.09718645932501202</v>
      </c>
    </row>
    <row r="13" ht="12.75" customHeight="1">
      <c r="A13" s="4" t="s">
        <v>14</v>
      </c>
      <c r="B13" s="4">
        <v>1.0</v>
      </c>
      <c r="C13" s="4">
        <v>1.7114154783657163E8</v>
      </c>
      <c r="D13" s="4">
        <v>1.7114154783657163E8</v>
      </c>
      <c r="E13" s="4"/>
      <c r="F13" s="4"/>
    </row>
    <row r="14" ht="13.5" customHeight="1">
      <c r="A14" s="5" t="s">
        <v>15</v>
      </c>
      <c r="B14" s="5">
        <v>2.0</v>
      </c>
      <c r="C14" s="5">
        <v>7.400832354910265E9</v>
      </c>
      <c r="D14" s="5"/>
      <c r="E14" s="5"/>
      <c r="F14" s="5"/>
    </row>
    <row r="15" ht="13.5" customHeight="1"/>
    <row r="16" ht="12.75" customHeight="1">
      <c r="A16" s="2"/>
      <c r="B16" s="2" t="s">
        <v>16</v>
      </c>
      <c r="C16" s="2" t="s">
        <v>5</v>
      </c>
      <c r="D16" s="2" t="s">
        <v>17</v>
      </c>
      <c r="E16" s="2" t="s">
        <v>18</v>
      </c>
      <c r="F16" s="2" t="s">
        <v>19</v>
      </c>
      <c r="G16" s="2" t="s">
        <v>20</v>
      </c>
      <c r="H16" s="2" t="s">
        <v>21</v>
      </c>
      <c r="I16" s="2" t="s">
        <v>22</v>
      </c>
    </row>
    <row r="17" ht="12.75" customHeight="1">
      <c r="A17" s="4" t="s">
        <v>23</v>
      </c>
      <c r="B17" s="4">
        <v>17635.36363643467</v>
      </c>
      <c r="C17" s="4">
        <v>15949.909032199663</v>
      </c>
      <c r="D17" s="4">
        <v>1.1056717377404732</v>
      </c>
      <c r="E17" s="4">
        <v>0.4680784391806955</v>
      </c>
      <c r="F17" s="4">
        <v>-185026.5778107945</v>
      </c>
      <c r="G17" s="4">
        <v>220297.3050836638</v>
      </c>
      <c r="H17" s="4">
        <v>-185026.5778107945</v>
      </c>
      <c r="I17" s="4">
        <v>220297.3050836638</v>
      </c>
    </row>
    <row r="18" ht="13.5" customHeight="1">
      <c r="A18" s="5" t="s">
        <v>24</v>
      </c>
      <c r="B18" s="5">
        <v>8854.546632317708</v>
      </c>
      <c r="C18" s="5">
        <v>1362.3358810039101</v>
      </c>
      <c r="D18" s="5">
        <v>6.499532718607369</v>
      </c>
      <c r="E18" s="5">
        <v>0.09718645932501198</v>
      </c>
      <c r="F18" s="5">
        <v>-8455.49783189185</v>
      </c>
      <c r="G18" s="5">
        <v>26164.591096527263</v>
      </c>
      <c r="H18" s="5">
        <v>-8455.49783189185</v>
      </c>
      <c r="I18" s="5">
        <v>26164.591096527263</v>
      </c>
    </row>
    <row r="19" ht="12.75" customHeight="1"/>
    <row r="20" ht="12.75" customHeight="1"/>
    <row r="21" ht="12.75" customHeight="1"/>
    <row r="22" ht="12.75" customHeight="1">
      <c r="A22" s="1" t="s">
        <v>25</v>
      </c>
      <c r="F22" s="1" t="s">
        <v>26</v>
      </c>
    </row>
    <row r="23" ht="13.5" customHeight="1"/>
    <row r="24" ht="12.75" customHeight="1">
      <c r="A24" s="2" t="s">
        <v>27</v>
      </c>
      <c r="B24" s="2" t="s">
        <v>28</v>
      </c>
      <c r="C24" s="2" t="s">
        <v>29</v>
      </c>
      <c r="D24" s="2" t="s">
        <v>30</v>
      </c>
      <c r="F24" s="2" t="s">
        <v>31</v>
      </c>
      <c r="G24" s="2" t="s">
        <v>32</v>
      </c>
    </row>
    <row r="25" ht="12.75" customHeight="1">
      <c r="A25" s="4">
        <v>1.0</v>
      </c>
      <c r="B25" s="4">
        <v>51875.43216789323</v>
      </c>
      <c r="C25" s="4">
        <v>-6083.056625629033</v>
      </c>
      <c r="D25" s="4">
        <v>-0.657595949221422</v>
      </c>
      <c r="F25" s="4">
        <v>16.666666666666668</v>
      </c>
      <c r="G25" s="4">
        <v>45792.3755422642</v>
      </c>
    </row>
    <row r="26" ht="12.75" customHeight="1">
      <c r="A26" s="4">
        <v>2.0</v>
      </c>
      <c r="B26" s="4">
        <v>103235.53496508107</v>
      </c>
      <c r="C26" s="4">
        <v>10645.349094850957</v>
      </c>
      <c r="D26" s="4">
        <v>1.1507929111375046</v>
      </c>
      <c r="F26" s="4">
        <v>50.0</v>
      </c>
      <c r="G26" s="4">
        <v>113880.88405993202</v>
      </c>
    </row>
    <row r="27" ht="13.5" customHeight="1">
      <c r="A27" s="5">
        <v>3.0</v>
      </c>
      <c r="B27" s="5">
        <v>171715.6720279982</v>
      </c>
      <c r="C27" s="5">
        <v>-4562.292469221837</v>
      </c>
      <c r="D27" s="5">
        <v>-0.49319696191607315</v>
      </c>
      <c r="F27" s="5">
        <v>83.33333333333334</v>
      </c>
      <c r="G27" s="5">
        <v>167153.37955877636</v>
      </c>
    </row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3:B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0"/>
    <col customWidth="1" min="3" max="3" width="12.43"/>
    <col customWidth="1" min="4" max="6" width="8.0"/>
    <col customWidth="1" min="7" max="7" width="12.43"/>
    <col customWidth="1" min="8" max="9" width="8.0"/>
    <col customWidth="1" min="10" max="10" width="12.43"/>
    <col customWidth="1" min="11" max="11" width="8.0"/>
    <col customWidth="1" min="12" max="12" width="10.86"/>
    <col customWidth="1" min="13" max="26" width="8.0"/>
  </cols>
  <sheetData>
    <row r="1" ht="12.75" customHeight="1">
      <c r="A1" s="1">
        <v>47.0</v>
      </c>
    </row>
    <row r="2" ht="13.5" customHeight="1">
      <c r="C2" s="1">
        <v>300.0</v>
      </c>
      <c r="D2" s="1" t="s">
        <v>33</v>
      </c>
      <c r="H2" s="1" t="s">
        <v>34</v>
      </c>
      <c r="I2" s="1">
        <v>7.53</v>
      </c>
    </row>
    <row r="3" ht="13.5" customHeight="1">
      <c r="J3" s="6"/>
      <c r="K3" s="7"/>
      <c r="L3" s="8"/>
    </row>
    <row r="4" ht="12.75" customHeight="1">
      <c r="B4" s="6"/>
      <c r="C4" s="7" t="s">
        <v>35</v>
      </c>
      <c r="D4" s="8"/>
      <c r="F4" s="6"/>
      <c r="G4" s="7" t="s">
        <v>36</v>
      </c>
      <c r="H4" s="8"/>
      <c r="J4" s="9"/>
      <c r="K4" s="4" t="s">
        <v>37</v>
      </c>
      <c r="L4" s="10" t="s">
        <v>38</v>
      </c>
    </row>
    <row r="5" ht="12.75" customHeight="1">
      <c r="B5" s="9"/>
      <c r="C5" s="4"/>
      <c r="D5" s="10"/>
      <c r="F5" s="9"/>
      <c r="G5" s="4" t="s">
        <v>39</v>
      </c>
      <c r="H5" s="10"/>
      <c r="J5" s="9" t="s">
        <v>40</v>
      </c>
      <c r="K5" s="4">
        <v>1.0</v>
      </c>
      <c r="L5" s="10">
        <v>9.0</v>
      </c>
    </row>
    <row r="6" ht="12.75" customHeight="1">
      <c r="B6" s="9"/>
      <c r="C6" s="4"/>
      <c r="D6" s="10"/>
      <c r="F6" s="9"/>
      <c r="G6" s="4"/>
      <c r="H6" s="10"/>
      <c r="J6" s="9"/>
      <c r="K6" s="4"/>
      <c r="L6" s="10"/>
    </row>
    <row r="7" ht="12.75" customHeight="1">
      <c r="B7" s="9" t="s">
        <v>41</v>
      </c>
      <c r="C7" s="4">
        <v>138.17</v>
      </c>
      <c r="D7" s="10"/>
      <c r="F7" s="9" t="s">
        <v>41</v>
      </c>
      <c r="G7" s="4">
        <v>1054.29</v>
      </c>
      <c r="H7" s="10"/>
      <c r="J7" s="9"/>
      <c r="K7" s="4"/>
      <c r="L7" s="10"/>
    </row>
    <row r="8" ht="12.75" customHeight="1">
      <c r="B8" s="9" t="s">
        <v>42</v>
      </c>
      <c r="C8" s="4">
        <v>0.2112</v>
      </c>
      <c r="D8" s="10"/>
      <c r="F8" s="9" t="s">
        <v>42</v>
      </c>
      <c r="G8" s="4">
        <v>0.0228</v>
      </c>
      <c r="H8" s="10"/>
      <c r="J8" s="9"/>
      <c r="K8" s="4" t="s">
        <v>43</v>
      </c>
      <c r="L8" s="10"/>
    </row>
    <row r="9" ht="12.75" customHeight="1">
      <c r="B9" s="9" t="s">
        <v>44</v>
      </c>
      <c r="C9" s="4">
        <v>0.05</v>
      </c>
      <c r="D9" s="10"/>
      <c r="F9" s="9" t="s">
        <v>44</v>
      </c>
      <c r="G9" s="4">
        <v>0.004</v>
      </c>
      <c r="H9" s="10"/>
      <c r="J9" s="9" t="s">
        <v>45</v>
      </c>
      <c r="K9" s="4">
        <f>55*(0.3/10)</f>
        <v>1.65</v>
      </c>
      <c r="L9" s="10"/>
    </row>
    <row r="10" ht="12.75" customHeight="1">
      <c r="B10" s="9" t="s">
        <v>46</v>
      </c>
      <c r="C10" s="4">
        <f>C8/C7</f>
        <v>0.001528551784</v>
      </c>
      <c r="D10" s="10"/>
      <c r="F10" s="9" t="s">
        <v>46</v>
      </c>
      <c r="G10" s="4">
        <f>G8/G7</f>
        <v>0.00002162592835</v>
      </c>
      <c r="H10" s="10"/>
      <c r="J10" s="9"/>
      <c r="K10" s="4"/>
      <c r="L10" s="10"/>
    </row>
    <row r="11" ht="12.75" customHeight="1">
      <c r="B11" s="9" t="s">
        <v>45</v>
      </c>
      <c r="C11" s="4">
        <f>C10/C9</f>
        <v>0.03057103568</v>
      </c>
      <c r="D11" s="10"/>
      <c r="F11" s="9" t="s">
        <v>45</v>
      </c>
      <c r="G11" s="4">
        <f>G10/G9</f>
        <v>0.005406482087</v>
      </c>
      <c r="H11" s="10"/>
      <c r="J11" s="9" t="s">
        <v>47</v>
      </c>
      <c r="K11" s="4" t="s">
        <v>48</v>
      </c>
      <c r="L11" s="10">
        <v>9.4</v>
      </c>
    </row>
    <row r="12" ht="13.5" customHeight="1">
      <c r="B12" s="11" t="s">
        <v>49</v>
      </c>
      <c r="C12" s="5">
        <f>C11*1000</f>
        <v>30.57103568</v>
      </c>
      <c r="D12" s="12"/>
      <c r="F12" s="9" t="s">
        <v>49</v>
      </c>
      <c r="G12" s="4">
        <f>G11*1000</f>
        <v>5.406482087</v>
      </c>
      <c r="H12" s="10"/>
      <c r="J12" s="9"/>
      <c r="K12" s="4" t="s">
        <v>50</v>
      </c>
      <c r="L12" s="10">
        <v>25.0</v>
      </c>
    </row>
    <row r="13" ht="13.5" customHeight="1">
      <c r="F13" s="11" t="s">
        <v>51</v>
      </c>
      <c r="G13" s="5">
        <f>E20*G12/H20</f>
        <v>0.2703241044</v>
      </c>
      <c r="H13" s="12" t="s">
        <v>49</v>
      </c>
      <c r="J13" s="11"/>
      <c r="K13" s="5"/>
      <c r="L13" s="12"/>
    </row>
    <row r="14" ht="12.75" customHeight="1"/>
    <row r="15" ht="12.75" customHeight="1">
      <c r="G15" s="1">
        <v>0.240683303</v>
      </c>
    </row>
    <row r="16" ht="12.75" customHeight="1"/>
    <row r="17" ht="12.75" customHeight="1"/>
    <row r="18" ht="12.75" customHeight="1">
      <c r="I18" s="1" t="s">
        <v>52</v>
      </c>
      <c r="J18" s="1" t="s">
        <v>52</v>
      </c>
      <c r="K18" s="1" t="s">
        <v>43</v>
      </c>
      <c r="L18" s="1" t="s">
        <v>43</v>
      </c>
      <c r="M18" s="1" t="s">
        <v>53</v>
      </c>
    </row>
    <row r="19" ht="13.5" customHeight="1">
      <c r="B19" s="13" t="s">
        <v>51</v>
      </c>
      <c r="C19" s="5" t="s">
        <v>54</v>
      </c>
      <c r="D19" s="5" t="s">
        <v>55</v>
      </c>
      <c r="E19" s="5" t="s">
        <v>56</v>
      </c>
      <c r="F19" s="5" t="s">
        <v>57</v>
      </c>
      <c r="G19" s="5" t="s">
        <v>58</v>
      </c>
      <c r="H19" s="5" t="s">
        <v>59</v>
      </c>
      <c r="I19" s="5" t="s">
        <v>45</v>
      </c>
      <c r="J19" s="5" t="s">
        <v>49</v>
      </c>
      <c r="K19" s="5" t="s">
        <v>45</v>
      </c>
      <c r="L19" s="5" t="s">
        <v>49</v>
      </c>
      <c r="M19" s="5" t="s">
        <v>49</v>
      </c>
    </row>
    <row r="20" ht="12.75" customHeight="1">
      <c r="B20" s="14">
        <v>1.0</v>
      </c>
      <c r="C20" s="1">
        <v>1.7</v>
      </c>
      <c r="D20" s="1">
        <v>0.0</v>
      </c>
      <c r="E20" s="1">
        <v>0.1</v>
      </c>
      <c r="F20" s="1">
        <v>0.1</v>
      </c>
      <c r="G20" s="1">
        <v>0.1</v>
      </c>
      <c r="H20" s="1">
        <f t="shared" ref="H20:H27" si="1">SUM(C20:G20)</f>
        <v>2</v>
      </c>
      <c r="I20" s="1">
        <f t="shared" ref="I20:I27" si="2">F20*$C$11/H20</f>
        <v>0.001528551784</v>
      </c>
      <c r="J20" s="1">
        <f t="shared" ref="J20:J27" si="3">I20*1000</f>
        <v>1.528551784</v>
      </c>
      <c r="K20" s="4">
        <f t="shared" ref="K20:K27" si="4">(G20*$K$9)/H20</f>
        <v>0.0825</v>
      </c>
      <c r="L20" s="4">
        <f t="shared" ref="L20:L27" si="5">K20*1000</f>
        <v>82.5</v>
      </c>
      <c r="M20" s="1">
        <f t="shared" ref="M20:M27" si="6">E20*$G$12/H20</f>
        <v>0.2703241044</v>
      </c>
    </row>
    <row r="21" ht="12.75" customHeight="1">
      <c r="B21" s="14">
        <v>2.0</v>
      </c>
      <c r="C21" s="1">
        <v>1.6</v>
      </c>
      <c r="D21" s="1">
        <v>0.0</v>
      </c>
      <c r="E21" s="1">
        <v>0.1</v>
      </c>
      <c r="F21" s="1">
        <v>0.2</v>
      </c>
      <c r="G21" s="1">
        <v>0.1</v>
      </c>
      <c r="H21" s="1">
        <f t="shared" si="1"/>
        <v>2</v>
      </c>
      <c r="I21" s="1">
        <f t="shared" si="2"/>
        <v>0.003057103568</v>
      </c>
      <c r="J21" s="1">
        <f t="shared" si="3"/>
        <v>3.057103568</v>
      </c>
      <c r="K21" s="4">
        <f t="shared" si="4"/>
        <v>0.0825</v>
      </c>
      <c r="L21" s="4">
        <f t="shared" si="5"/>
        <v>82.5</v>
      </c>
      <c r="M21" s="1">
        <f t="shared" si="6"/>
        <v>0.2703241044</v>
      </c>
    </row>
    <row r="22" ht="12.75" customHeight="1">
      <c r="B22" s="14">
        <v>3.0</v>
      </c>
      <c r="C22" s="1">
        <v>1.5</v>
      </c>
      <c r="D22" s="1">
        <v>0.0</v>
      </c>
      <c r="E22" s="1">
        <v>0.1</v>
      </c>
      <c r="F22" s="1">
        <v>0.3</v>
      </c>
      <c r="G22" s="1">
        <v>0.1</v>
      </c>
      <c r="H22" s="1">
        <f t="shared" si="1"/>
        <v>2</v>
      </c>
      <c r="I22" s="1">
        <f t="shared" si="2"/>
        <v>0.004585655352</v>
      </c>
      <c r="J22" s="1">
        <f t="shared" si="3"/>
        <v>4.585655352</v>
      </c>
      <c r="K22" s="4">
        <f t="shared" si="4"/>
        <v>0.0825</v>
      </c>
      <c r="L22" s="4">
        <f t="shared" si="5"/>
        <v>82.5</v>
      </c>
      <c r="M22" s="1">
        <f t="shared" si="6"/>
        <v>0.2703241044</v>
      </c>
    </row>
    <row r="23" ht="12.75" customHeight="1">
      <c r="B23" s="15">
        <v>4.0</v>
      </c>
      <c r="C23" s="15">
        <v>1.4</v>
      </c>
      <c r="D23" s="15">
        <v>0.0</v>
      </c>
      <c r="E23" s="15">
        <v>0.1</v>
      </c>
      <c r="F23" s="15">
        <v>0.4</v>
      </c>
      <c r="G23" s="15">
        <v>0.1</v>
      </c>
      <c r="H23" s="15">
        <f t="shared" si="1"/>
        <v>2</v>
      </c>
      <c r="I23" s="15">
        <f t="shared" si="2"/>
        <v>0.006114207136</v>
      </c>
      <c r="J23" s="15">
        <f t="shared" si="3"/>
        <v>6.114207136</v>
      </c>
      <c r="K23" s="15">
        <f t="shared" si="4"/>
        <v>0.0825</v>
      </c>
      <c r="L23" s="15">
        <f t="shared" si="5"/>
        <v>82.5</v>
      </c>
      <c r="M23" s="1">
        <f t="shared" si="6"/>
        <v>0.2703241044</v>
      </c>
    </row>
    <row r="24" ht="12.75" customHeight="1">
      <c r="B24" s="14">
        <v>5.0</v>
      </c>
      <c r="C24" s="1">
        <v>1.7</v>
      </c>
      <c r="D24" s="4">
        <v>0.1</v>
      </c>
      <c r="E24" s="4">
        <v>0.0</v>
      </c>
      <c r="F24" s="1">
        <v>0.1</v>
      </c>
      <c r="G24" s="4">
        <v>0.1</v>
      </c>
      <c r="H24" s="1">
        <f t="shared" si="1"/>
        <v>2</v>
      </c>
      <c r="I24" s="1">
        <f t="shared" si="2"/>
        <v>0.001528551784</v>
      </c>
      <c r="J24" s="1">
        <f t="shared" si="3"/>
        <v>1.528551784</v>
      </c>
      <c r="K24" s="4">
        <f t="shared" si="4"/>
        <v>0.0825</v>
      </c>
      <c r="L24" s="4">
        <f t="shared" si="5"/>
        <v>82.5</v>
      </c>
      <c r="M24" s="1">
        <f t="shared" si="6"/>
        <v>0</v>
      </c>
    </row>
    <row r="25" ht="12.75" customHeight="1">
      <c r="B25" s="14">
        <v>6.0</v>
      </c>
      <c r="C25" s="1">
        <v>1.6</v>
      </c>
      <c r="D25" s="4">
        <v>0.1</v>
      </c>
      <c r="E25" s="4">
        <v>0.0</v>
      </c>
      <c r="F25" s="1">
        <v>0.2</v>
      </c>
      <c r="G25" s="4">
        <v>0.1</v>
      </c>
      <c r="H25" s="1">
        <f t="shared" si="1"/>
        <v>2</v>
      </c>
      <c r="I25" s="1">
        <f t="shared" si="2"/>
        <v>0.003057103568</v>
      </c>
      <c r="J25" s="1">
        <f t="shared" si="3"/>
        <v>3.057103568</v>
      </c>
      <c r="K25" s="4">
        <f t="shared" si="4"/>
        <v>0.0825</v>
      </c>
      <c r="L25" s="4">
        <f t="shared" si="5"/>
        <v>82.5</v>
      </c>
      <c r="M25" s="1">
        <f t="shared" si="6"/>
        <v>0</v>
      </c>
    </row>
    <row r="26" ht="12.75" customHeight="1">
      <c r="B26" s="14">
        <v>7.0</v>
      </c>
      <c r="C26" s="1">
        <v>1.5</v>
      </c>
      <c r="D26" s="4">
        <v>0.1</v>
      </c>
      <c r="E26" s="4">
        <v>0.0</v>
      </c>
      <c r="F26" s="1">
        <v>0.3</v>
      </c>
      <c r="G26" s="4">
        <v>0.1</v>
      </c>
      <c r="H26" s="1">
        <f t="shared" si="1"/>
        <v>2</v>
      </c>
      <c r="I26" s="1">
        <f t="shared" si="2"/>
        <v>0.004585655352</v>
      </c>
      <c r="J26" s="1">
        <f t="shared" si="3"/>
        <v>4.585655352</v>
      </c>
      <c r="K26" s="4">
        <f t="shared" si="4"/>
        <v>0.0825</v>
      </c>
      <c r="L26" s="4">
        <f t="shared" si="5"/>
        <v>82.5</v>
      </c>
      <c r="M26" s="1">
        <f t="shared" si="6"/>
        <v>0</v>
      </c>
    </row>
    <row r="27" ht="13.5" customHeight="1">
      <c r="B27" s="13">
        <v>8.0</v>
      </c>
      <c r="C27" s="5">
        <v>1.4</v>
      </c>
      <c r="D27" s="5">
        <v>0.1</v>
      </c>
      <c r="E27" s="5">
        <v>0.0</v>
      </c>
      <c r="F27" s="5">
        <v>0.4</v>
      </c>
      <c r="G27" s="5">
        <v>0.1</v>
      </c>
      <c r="H27" s="5">
        <f t="shared" si="1"/>
        <v>2</v>
      </c>
      <c r="I27" s="5">
        <f t="shared" si="2"/>
        <v>0.006114207136</v>
      </c>
      <c r="J27" s="5">
        <f t="shared" si="3"/>
        <v>6.114207136</v>
      </c>
      <c r="K27" s="5">
        <f t="shared" si="4"/>
        <v>0.0825</v>
      </c>
      <c r="L27" s="5">
        <f t="shared" si="5"/>
        <v>82.5</v>
      </c>
      <c r="M27" s="5">
        <f t="shared" si="6"/>
        <v>0</v>
      </c>
    </row>
    <row r="28" ht="12.75" customHeight="1">
      <c r="C28" s="1">
        <f t="shared" ref="C28:G28" si="7">SUM(C20:C27)</f>
        <v>12.4</v>
      </c>
      <c r="D28" s="1">
        <f t="shared" si="7"/>
        <v>0.4</v>
      </c>
      <c r="E28" s="1">
        <f t="shared" si="7"/>
        <v>0.4</v>
      </c>
      <c r="F28" s="1">
        <f t="shared" si="7"/>
        <v>2</v>
      </c>
      <c r="G28" s="1">
        <f t="shared" si="7"/>
        <v>0.8</v>
      </c>
    </row>
    <row r="29" ht="12.75" customHeight="1"/>
    <row r="30" ht="12.75" customHeight="1"/>
    <row r="31" ht="12.75" customHeight="1">
      <c r="J31" s="1">
        <v>0.011134823</v>
      </c>
    </row>
    <row r="32" ht="12.75" customHeight="1"/>
    <row r="33" ht="12.75" customHeight="1"/>
    <row r="34" ht="12.75" customHeight="1">
      <c r="L34" s="16">
        <v>0.010233701</v>
      </c>
      <c r="M34" s="16"/>
    </row>
    <row r="35" ht="12.75" customHeight="1"/>
    <row r="36" ht="12.75" customHeight="1"/>
    <row r="37" ht="12.75" customHeight="1"/>
    <row r="38" ht="12.75" customHeight="1">
      <c r="I38" s="1" t="s">
        <v>60</v>
      </c>
      <c r="J38" s="4">
        <v>0.0212990389560981</v>
      </c>
      <c r="K38" s="1" t="s">
        <v>61</v>
      </c>
    </row>
    <row r="39" ht="12.75" customHeight="1">
      <c r="H39" s="16"/>
      <c r="I39" s="1" t="s">
        <v>60</v>
      </c>
      <c r="J39" s="1">
        <f>J38/I2</f>
        <v>0.00282855763</v>
      </c>
      <c r="K39" s="1" t="s">
        <v>62</v>
      </c>
    </row>
    <row r="40" ht="12.75" customHeight="1">
      <c r="I40" s="1" t="s">
        <v>63</v>
      </c>
      <c r="J40" s="4">
        <v>1.35003298051701</v>
      </c>
      <c r="K40" s="1" t="s">
        <v>64</v>
      </c>
    </row>
    <row r="41" ht="12.75" customHeight="1">
      <c r="I41" s="1" t="s">
        <v>65</v>
      </c>
      <c r="J41" s="1">
        <f>J39/G13</f>
        <v>0.01046357903</v>
      </c>
      <c r="K41" s="1" t="s">
        <v>66</v>
      </c>
    </row>
    <row r="42" ht="12.75" customHeight="1">
      <c r="J42" s="1">
        <f>J41/60</f>
        <v>0.0001743929839</v>
      </c>
      <c r="K42" s="1" t="s">
        <v>67</v>
      </c>
    </row>
    <row r="43" ht="12.75" customHeight="1">
      <c r="I43" s="1" t="s">
        <v>68</v>
      </c>
      <c r="J43" s="16">
        <v>1.43E-9</v>
      </c>
      <c r="K43" s="1" t="s">
        <v>69</v>
      </c>
    </row>
    <row r="44" ht="12.75" customHeight="1">
      <c r="J44" s="17">
        <f>60*J43</f>
        <v>0.0000000858</v>
      </c>
      <c r="K44" s="1" t="s">
        <v>66</v>
      </c>
    </row>
    <row r="45" ht="12.75" customHeight="1">
      <c r="I45" s="1" t="s">
        <v>70</v>
      </c>
      <c r="J45" s="16">
        <f>J42/J43</f>
        <v>121953.1356</v>
      </c>
    </row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ht="13.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ht="12.75" customHeight="1">
      <c r="B86" s="4"/>
      <c r="C86" s="6" t="s">
        <v>71</v>
      </c>
      <c r="D86" s="7"/>
      <c r="E86" s="7"/>
      <c r="F86" s="7"/>
      <c r="G86" s="7"/>
      <c r="H86" s="7"/>
      <c r="I86" s="7"/>
      <c r="J86" s="7"/>
      <c r="K86" s="7"/>
      <c r="L86" s="8"/>
      <c r="M86" s="4"/>
    </row>
    <row r="87" ht="12.75" customHeight="1">
      <c r="B87" s="4"/>
      <c r="C87" s="9" t="s">
        <v>72</v>
      </c>
      <c r="D87" s="4"/>
      <c r="E87" s="4"/>
      <c r="F87" s="4"/>
      <c r="G87" s="4"/>
      <c r="H87" s="4"/>
      <c r="I87" s="4"/>
      <c r="J87" s="4"/>
      <c r="K87" s="4"/>
      <c r="L87" s="10"/>
      <c r="M87" s="4"/>
    </row>
    <row r="88" ht="12.75" customHeight="1">
      <c r="B88" s="4"/>
      <c r="C88" s="9" t="s">
        <v>73</v>
      </c>
      <c r="D88" s="4"/>
      <c r="E88" s="4"/>
      <c r="F88" s="4"/>
      <c r="G88" s="4"/>
      <c r="H88" s="4"/>
      <c r="I88" s="4"/>
      <c r="J88" s="4"/>
      <c r="K88" s="4"/>
      <c r="L88" s="10"/>
      <c r="M88" s="4"/>
    </row>
    <row r="89" ht="13.5" customHeight="1">
      <c r="B89" s="4"/>
      <c r="C89" s="11" t="s">
        <v>74</v>
      </c>
      <c r="D89" s="5"/>
      <c r="E89" s="5"/>
      <c r="F89" s="5"/>
      <c r="G89" s="5"/>
      <c r="H89" s="5"/>
      <c r="I89" s="5"/>
      <c r="J89" s="5"/>
      <c r="K89" s="5"/>
      <c r="L89" s="12"/>
      <c r="M89" s="4"/>
    </row>
    <row r="90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ht="12.75" customHeight="1">
      <c r="B94" s="4"/>
      <c r="C94" s="4"/>
      <c r="D94" s="4"/>
      <c r="E94" s="4"/>
      <c r="F94" s="4"/>
      <c r="G94" s="4"/>
      <c r="H94" s="4"/>
      <c r="I94" s="4"/>
      <c r="J94" s="4"/>
      <c r="K94" s="18"/>
      <c r="L94" s="4"/>
      <c r="M94" s="4"/>
    </row>
    <row r="95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ht="13.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ht="12.75" customHeight="1">
      <c r="B97" s="4"/>
      <c r="C97" s="6" t="s">
        <v>75</v>
      </c>
      <c r="D97" s="7"/>
      <c r="E97" s="7"/>
      <c r="F97" s="7"/>
      <c r="G97" s="7"/>
      <c r="H97" s="7" t="s">
        <v>76</v>
      </c>
      <c r="I97" s="7"/>
      <c r="J97" s="7"/>
      <c r="K97" s="8"/>
      <c r="L97" s="4"/>
      <c r="M97" s="4"/>
    </row>
    <row r="98" ht="12.75" customHeight="1">
      <c r="B98" s="4"/>
      <c r="C98" s="9" t="s">
        <v>77</v>
      </c>
      <c r="D98" s="4"/>
      <c r="E98" s="4"/>
      <c r="F98" s="4"/>
      <c r="G98" s="4"/>
      <c r="H98" s="4" t="s">
        <v>78</v>
      </c>
      <c r="I98" s="4"/>
      <c r="J98" s="4"/>
      <c r="K98" s="10"/>
      <c r="L98" s="4"/>
      <c r="M98" s="4"/>
    </row>
    <row r="99" ht="12.75" customHeight="1">
      <c r="B99" s="4"/>
      <c r="C99" s="9" t="s">
        <v>79</v>
      </c>
      <c r="D99" s="4"/>
      <c r="E99" s="4"/>
      <c r="F99" s="4"/>
      <c r="G99" s="4"/>
      <c r="H99" s="4"/>
      <c r="I99" s="4" t="s">
        <v>80</v>
      </c>
      <c r="J99" s="4" t="s">
        <v>81</v>
      </c>
      <c r="K99" s="10"/>
      <c r="L99" s="4"/>
      <c r="M99" s="4"/>
    </row>
    <row r="100" ht="12.75" customHeight="1">
      <c r="B100" s="4"/>
      <c r="C100" s="9" t="s">
        <v>82</v>
      </c>
      <c r="D100" s="4" t="s">
        <v>83</v>
      </c>
      <c r="E100" s="4" t="s">
        <v>84</v>
      </c>
      <c r="F100" s="4" t="s">
        <v>85</v>
      </c>
      <c r="G100" s="4" t="s">
        <v>86</v>
      </c>
      <c r="H100" s="4" t="s">
        <v>87</v>
      </c>
      <c r="I100" s="4"/>
      <c r="J100" s="4"/>
      <c r="K100" s="10"/>
      <c r="L100" s="4"/>
      <c r="M100" s="4"/>
    </row>
    <row r="101" ht="12.75" customHeight="1">
      <c r="B101" s="4"/>
      <c r="C101" s="9" t="s">
        <v>88</v>
      </c>
      <c r="D101" s="4">
        <v>1.52859999979509</v>
      </c>
      <c r="E101" s="4">
        <v>0.0</v>
      </c>
      <c r="F101" s="4">
        <v>0.00389638391077</v>
      </c>
      <c r="G101" s="4" t="s">
        <v>89</v>
      </c>
      <c r="H101" s="4"/>
      <c r="I101" s="4" t="s">
        <v>90</v>
      </c>
      <c r="J101" s="4">
        <v>0.0212990389560981</v>
      </c>
      <c r="K101" s="10"/>
      <c r="L101" s="4"/>
      <c r="M101" s="4"/>
    </row>
    <row r="102" ht="12.75" customHeight="1">
      <c r="B102" s="4"/>
      <c r="C102" s="9" t="s">
        <v>91</v>
      </c>
      <c r="D102" s="4">
        <v>3.05709999991532</v>
      </c>
      <c r="E102" s="4">
        <v>0.0</v>
      </c>
      <c r="F102" s="4">
        <v>0.006257137168152</v>
      </c>
      <c r="G102" s="4" t="s">
        <v>89</v>
      </c>
      <c r="H102" s="4"/>
      <c r="I102" s="4" t="s">
        <v>63</v>
      </c>
      <c r="J102" s="4">
        <v>7.05184388517406</v>
      </c>
      <c r="K102" s="10"/>
      <c r="L102" s="4"/>
      <c r="M102" s="4"/>
    </row>
    <row r="103" ht="12.75" customHeight="1">
      <c r="B103" s="4"/>
      <c r="C103" s="9" t="s">
        <v>92</v>
      </c>
      <c r="D103" s="4">
        <v>4.58569999971042</v>
      </c>
      <c r="E103" s="4">
        <v>0.0</v>
      </c>
      <c r="F103" s="4">
        <v>0.008336095968995</v>
      </c>
      <c r="G103" s="4" t="s">
        <v>89</v>
      </c>
      <c r="H103" s="4" t="s">
        <v>93</v>
      </c>
      <c r="I103" s="4"/>
      <c r="J103" s="4"/>
      <c r="K103" s="10"/>
      <c r="L103" s="4"/>
      <c r="M103" s="4"/>
    </row>
    <row r="104" ht="12.75" customHeight="1">
      <c r="B104" s="4"/>
      <c r="C104" s="9" t="s">
        <v>94</v>
      </c>
      <c r="D104" s="4">
        <v>6.11419999983064</v>
      </c>
      <c r="E104" s="4">
        <v>0.0</v>
      </c>
      <c r="F104" s="4">
        <v>0.010006485640368</v>
      </c>
      <c r="G104" s="4" t="s">
        <v>89</v>
      </c>
      <c r="H104" s="4"/>
      <c r="I104" s="4" t="s">
        <v>95</v>
      </c>
      <c r="J104" s="4">
        <v>370.600904383847</v>
      </c>
      <c r="K104" s="10"/>
      <c r="L104" s="4"/>
      <c r="M104" s="4"/>
    </row>
    <row r="105" ht="13.5" customHeight="1">
      <c r="B105" s="4"/>
      <c r="C105" s="11"/>
      <c r="D105" s="5"/>
      <c r="E105" s="5"/>
      <c r="F105" s="5"/>
      <c r="G105" s="5"/>
      <c r="H105" s="5"/>
      <c r="I105" s="5" t="s">
        <v>96</v>
      </c>
      <c r="J105" s="5">
        <v>0.99288105010741</v>
      </c>
      <c r="K105" s="12"/>
      <c r="L105" s="4"/>
      <c r="M105" s="4"/>
    </row>
    <row r="106" ht="13.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ht="12.75" customHeight="1">
      <c r="B107" s="4"/>
      <c r="C107" s="6"/>
      <c r="D107" s="7"/>
      <c r="E107" s="7"/>
      <c r="F107" s="7"/>
      <c r="G107" s="7"/>
      <c r="H107" s="7"/>
      <c r="I107" s="7"/>
      <c r="J107" s="7"/>
      <c r="K107" s="8"/>
      <c r="L107" s="4"/>
      <c r="M107" s="4"/>
    </row>
    <row r="108" ht="12.75" customHeight="1">
      <c r="B108" s="4"/>
      <c r="C108" s="9"/>
      <c r="D108" s="4"/>
      <c r="E108" s="4"/>
      <c r="F108" s="4"/>
      <c r="G108" s="4"/>
      <c r="H108" s="4"/>
      <c r="I108" s="4"/>
      <c r="J108" s="4"/>
      <c r="K108" s="10"/>
      <c r="L108" s="4"/>
      <c r="M108" s="4"/>
    </row>
    <row r="109" ht="12.75" customHeight="1">
      <c r="B109" s="4"/>
      <c r="C109" s="9"/>
      <c r="D109" s="4"/>
      <c r="E109" s="4"/>
      <c r="F109" s="4"/>
      <c r="G109" s="4"/>
      <c r="H109" s="4"/>
      <c r="I109" s="4"/>
      <c r="J109" s="4"/>
      <c r="K109" s="10"/>
      <c r="L109" s="4"/>
      <c r="M109" s="4"/>
    </row>
    <row r="110" ht="12.75" customHeight="1">
      <c r="B110" s="4"/>
      <c r="C110" s="9"/>
      <c r="D110" s="4"/>
      <c r="E110" s="4"/>
      <c r="F110" s="4"/>
      <c r="G110" s="4"/>
      <c r="H110" s="4"/>
      <c r="I110" s="4"/>
      <c r="J110" s="4"/>
      <c r="K110" s="10"/>
      <c r="L110" s="4"/>
      <c r="M110" s="4"/>
    </row>
    <row r="111" ht="12.75" customHeight="1">
      <c r="B111" s="4"/>
      <c r="C111" s="9"/>
      <c r="D111" s="4"/>
      <c r="E111" s="4"/>
      <c r="F111" s="4"/>
      <c r="G111" s="4"/>
      <c r="H111" s="4"/>
      <c r="I111" s="4"/>
      <c r="J111" s="4"/>
      <c r="K111" s="10"/>
    </row>
    <row r="112" ht="12.75" customHeight="1">
      <c r="B112" s="4"/>
      <c r="C112" s="9"/>
      <c r="D112" s="4"/>
      <c r="E112" s="4"/>
      <c r="F112" s="4"/>
      <c r="G112" s="4"/>
      <c r="H112" s="4"/>
      <c r="I112" s="4"/>
      <c r="J112" s="4"/>
      <c r="K112" s="10"/>
    </row>
    <row r="113" ht="12.75" customHeight="1">
      <c r="B113" s="4"/>
      <c r="C113" s="9"/>
      <c r="D113" s="4"/>
      <c r="E113" s="4"/>
      <c r="F113" s="4"/>
      <c r="G113" s="4"/>
      <c r="H113" s="4"/>
      <c r="I113" s="4"/>
      <c r="J113" s="4"/>
      <c r="K113" s="19"/>
    </row>
    <row r="114" ht="12.75" customHeight="1">
      <c r="B114" s="4"/>
      <c r="C114" s="9"/>
      <c r="D114" s="4"/>
      <c r="E114" s="4"/>
      <c r="F114" s="4"/>
      <c r="G114" s="4"/>
      <c r="H114" s="4"/>
      <c r="I114" s="4"/>
      <c r="J114" s="4"/>
      <c r="K114" s="10"/>
    </row>
    <row r="115" ht="13.5" customHeight="1">
      <c r="B115" s="4"/>
      <c r="C115" s="11"/>
      <c r="D115" s="5"/>
      <c r="E115" s="5"/>
      <c r="F115" s="5"/>
      <c r="G115" s="5"/>
      <c r="H115" s="5"/>
      <c r="I115" s="5"/>
      <c r="J115" s="5"/>
      <c r="K115" s="12"/>
    </row>
    <row r="116" ht="12.75" customHeight="1">
      <c r="B116" s="4"/>
      <c r="F116" s="4"/>
    </row>
    <row r="117" ht="12.75" customHeight="1">
      <c r="B117" s="4"/>
      <c r="C117" s="4"/>
      <c r="D117" s="4"/>
      <c r="E117" s="4"/>
      <c r="F117" s="4"/>
      <c r="G117" s="4"/>
      <c r="H117" s="4"/>
    </row>
    <row r="118" ht="12.75" customHeight="1">
      <c r="B118" s="4"/>
      <c r="C118" s="4"/>
      <c r="D118" s="4"/>
      <c r="E118" s="4"/>
      <c r="F118" s="4"/>
      <c r="G118" s="4"/>
      <c r="H118" s="4"/>
    </row>
    <row r="119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ht="12.75" customHeight="1">
      <c r="B120" s="4"/>
      <c r="C120" s="4"/>
      <c r="D120" s="4"/>
      <c r="E120" s="4"/>
      <c r="F120" s="4"/>
      <c r="G120" s="4"/>
      <c r="H120" s="4"/>
    </row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3.43"/>
    <col customWidth="1" min="3" max="3" width="14.57"/>
    <col customWidth="1" min="4" max="4" width="13.43"/>
    <col customWidth="1" min="5" max="5" width="14.57"/>
    <col customWidth="1" min="6" max="6" width="13.43"/>
    <col customWidth="1" min="7" max="7" width="14.57"/>
    <col customWidth="1" min="8" max="8" width="13.43"/>
    <col customWidth="1" min="9" max="26" width="8.0"/>
  </cols>
  <sheetData>
    <row r="1" ht="12.75" customHeight="1">
      <c r="A1" s="1" t="s">
        <v>97</v>
      </c>
      <c r="B1" s="1" t="s">
        <v>98</v>
      </c>
    </row>
    <row r="2" ht="12.75" customHeight="1">
      <c r="A2" s="1" t="s">
        <v>99</v>
      </c>
      <c r="B2" s="1">
        <v>161008.0</v>
      </c>
    </row>
    <row r="3" ht="12.75" customHeight="1">
      <c r="A3" s="1" t="s">
        <v>82</v>
      </c>
      <c r="B3" s="1" t="s">
        <v>88</v>
      </c>
      <c r="C3" s="1" t="s">
        <v>82</v>
      </c>
      <c r="D3" s="1" t="s">
        <v>91</v>
      </c>
      <c r="E3" s="1" t="s">
        <v>82</v>
      </c>
      <c r="F3" s="1" t="s">
        <v>92</v>
      </c>
      <c r="G3" s="1" t="s">
        <v>82</v>
      </c>
      <c r="H3" s="1" t="s">
        <v>94</v>
      </c>
    </row>
    <row r="4" ht="12.75" customHeight="1">
      <c r="A4" s="1" t="s">
        <v>100</v>
      </c>
      <c r="B4" s="1" t="s">
        <v>101</v>
      </c>
      <c r="C4" s="1" t="s">
        <v>100</v>
      </c>
      <c r="D4" s="1" t="s">
        <v>101</v>
      </c>
      <c r="E4" s="1" t="s">
        <v>100</v>
      </c>
      <c r="F4" s="1" t="s">
        <v>101</v>
      </c>
      <c r="G4" s="1" t="s">
        <v>100</v>
      </c>
      <c r="H4" s="1" t="s">
        <v>101</v>
      </c>
    </row>
    <row r="5" ht="12.75" customHeight="1">
      <c r="A5" s="1" t="s">
        <v>102</v>
      </c>
      <c r="B5" s="1" t="s">
        <v>103</v>
      </c>
      <c r="C5" s="1" t="s">
        <v>102</v>
      </c>
      <c r="D5" s="1" t="s">
        <v>103</v>
      </c>
      <c r="E5" s="1" t="s">
        <v>102</v>
      </c>
      <c r="F5" s="1" t="s">
        <v>103</v>
      </c>
      <c r="G5" s="1" t="s">
        <v>102</v>
      </c>
      <c r="H5" s="1" t="s">
        <v>103</v>
      </c>
    </row>
    <row r="6" ht="12.75" customHeight="1">
      <c r="A6" s="1" t="s">
        <v>104</v>
      </c>
      <c r="B6" s="20">
        <v>40301.0</v>
      </c>
      <c r="C6" s="1" t="s">
        <v>104</v>
      </c>
      <c r="D6" s="20">
        <v>40301.0</v>
      </c>
      <c r="E6" s="1" t="s">
        <v>104</v>
      </c>
      <c r="F6" s="20">
        <v>40301.0</v>
      </c>
      <c r="G6" s="1" t="s">
        <v>104</v>
      </c>
      <c r="H6" s="20">
        <v>40301.0</v>
      </c>
    </row>
    <row r="7" ht="12.75" customHeight="1">
      <c r="A7" s="1" t="s">
        <v>105</v>
      </c>
      <c r="B7" s="1" t="s">
        <v>106</v>
      </c>
      <c r="C7" s="1" t="s">
        <v>105</v>
      </c>
      <c r="D7" s="1" t="s">
        <v>107</v>
      </c>
      <c r="E7" s="1" t="s">
        <v>105</v>
      </c>
      <c r="F7" s="1" t="s">
        <v>108</v>
      </c>
      <c r="G7" s="1" t="s">
        <v>105</v>
      </c>
      <c r="H7" s="1" t="s">
        <v>109</v>
      </c>
    </row>
    <row r="8" ht="12.75" customHeight="1"/>
    <row r="9" ht="12.75" customHeight="1">
      <c r="A9" s="1" t="s">
        <v>110</v>
      </c>
      <c r="B9" s="1" t="s">
        <v>111</v>
      </c>
      <c r="C9" s="1" t="s">
        <v>110</v>
      </c>
      <c r="D9" s="1" t="s">
        <v>112</v>
      </c>
      <c r="E9" s="1" t="s">
        <v>110</v>
      </c>
      <c r="F9" s="1" t="s">
        <v>113</v>
      </c>
      <c r="G9" s="1" t="s">
        <v>110</v>
      </c>
      <c r="H9" s="1" t="s">
        <v>114</v>
      </c>
    </row>
    <row r="10" ht="12.75" customHeight="1">
      <c r="A10" s="1" t="s">
        <v>115</v>
      </c>
      <c r="B10" s="1" t="s">
        <v>116</v>
      </c>
      <c r="C10" s="1" t="s">
        <v>115</v>
      </c>
      <c r="D10" s="1" t="s">
        <v>116</v>
      </c>
      <c r="E10" s="1" t="s">
        <v>115</v>
      </c>
      <c r="F10" s="1" t="s">
        <v>116</v>
      </c>
      <c r="G10" s="1" t="s">
        <v>115</v>
      </c>
      <c r="H10" s="1" t="s">
        <v>116</v>
      </c>
    </row>
    <row r="11" ht="12.75" customHeight="1">
      <c r="A11" s="1">
        <v>0.0</v>
      </c>
      <c r="B11" s="1">
        <v>0.001</v>
      </c>
      <c r="C11" s="1">
        <v>0.0</v>
      </c>
      <c r="D11" s="1">
        <v>0.012</v>
      </c>
      <c r="E11" s="1">
        <v>0.0</v>
      </c>
      <c r="F11" s="1">
        <v>0.026</v>
      </c>
      <c r="G11" s="1">
        <v>0.0</v>
      </c>
      <c r="H11" s="1">
        <v>0.029</v>
      </c>
    </row>
    <row r="12" ht="12.75" customHeight="1">
      <c r="A12" s="1">
        <v>60.0</v>
      </c>
      <c r="B12" s="1">
        <v>0.004</v>
      </c>
      <c r="C12" s="1">
        <v>60.0</v>
      </c>
      <c r="D12" s="1">
        <v>0.018</v>
      </c>
      <c r="E12" s="1">
        <v>60.0</v>
      </c>
      <c r="F12" s="1">
        <v>0.033</v>
      </c>
      <c r="G12" s="1">
        <v>60.0</v>
      </c>
      <c r="H12" s="1">
        <v>0.038</v>
      </c>
    </row>
    <row r="13" ht="12.75" customHeight="1">
      <c r="A13" s="1">
        <v>120.0</v>
      </c>
      <c r="B13" s="1">
        <v>0.009</v>
      </c>
      <c r="C13" s="1">
        <v>120.0</v>
      </c>
      <c r="D13" s="1">
        <v>0.023</v>
      </c>
      <c r="E13" s="1">
        <v>120.0</v>
      </c>
      <c r="F13" s="1">
        <v>0.041</v>
      </c>
      <c r="G13" s="1">
        <v>120.0</v>
      </c>
      <c r="H13" s="1">
        <v>0.047</v>
      </c>
    </row>
    <row r="14" ht="12.75" customHeight="1">
      <c r="A14" s="1">
        <v>180.0</v>
      </c>
      <c r="B14" s="1">
        <v>0.012</v>
      </c>
      <c r="C14" s="1">
        <v>180.0</v>
      </c>
      <c r="D14" s="1">
        <v>0.03</v>
      </c>
      <c r="E14" s="1">
        <v>180.0</v>
      </c>
      <c r="F14" s="1">
        <v>0.049</v>
      </c>
      <c r="G14" s="1">
        <v>180.0</v>
      </c>
      <c r="H14" s="1">
        <v>0.056</v>
      </c>
    </row>
    <row r="15" ht="12.75" customHeight="1">
      <c r="A15" s="1">
        <v>240.0</v>
      </c>
      <c r="B15" s="1">
        <v>0.017</v>
      </c>
      <c r="C15" s="1">
        <v>240.0</v>
      </c>
      <c r="D15" s="1">
        <v>0.036</v>
      </c>
      <c r="E15" s="1">
        <v>240.0</v>
      </c>
      <c r="F15" s="1">
        <v>0.057</v>
      </c>
      <c r="G15" s="1">
        <v>240.0</v>
      </c>
      <c r="H15" s="1">
        <v>0.065</v>
      </c>
    </row>
    <row r="16" ht="12.75" customHeight="1">
      <c r="A16" s="1">
        <v>300.0</v>
      </c>
      <c r="B16" s="1">
        <v>0.02</v>
      </c>
      <c r="C16" s="1">
        <v>300.0</v>
      </c>
      <c r="D16" s="1">
        <v>0.042</v>
      </c>
      <c r="E16" s="1">
        <v>300.0</v>
      </c>
      <c r="F16" s="1">
        <v>0.065</v>
      </c>
      <c r="G16" s="1">
        <v>300.0</v>
      </c>
      <c r="H16" s="1">
        <v>0.075</v>
      </c>
    </row>
    <row r="17" ht="12.75" customHeight="1">
      <c r="A17" s="1">
        <v>360.0</v>
      </c>
      <c r="B17" s="1">
        <v>0.024</v>
      </c>
      <c r="C17" s="1">
        <v>360.0</v>
      </c>
      <c r="D17" s="1">
        <v>0.048</v>
      </c>
      <c r="E17" s="1">
        <v>360.0</v>
      </c>
      <c r="F17" s="1">
        <v>0.073</v>
      </c>
      <c r="G17" s="1">
        <v>360.0</v>
      </c>
      <c r="H17" s="1">
        <v>0.085</v>
      </c>
    </row>
    <row r="18" ht="12.75" customHeight="1">
      <c r="A18" s="1">
        <v>420.0</v>
      </c>
      <c r="B18" s="1">
        <v>0.028</v>
      </c>
      <c r="C18" s="1">
        <v>420.0</v>
      </c>
      <c r="D18" s="1">
        <v>0.054</v>
      </c>
      <c r="E18" s="1">
        <v>420.0</v>
      </c>
      <c r="F18" s="1">
        <v>0.082</v>
      </c>
      <c r="G18" s="1">
        <v>420.0</v>
      </c>
      <c r="H18" s="1">
        <v>0.094</v>
      </c>
    </row>
    <row r="19" ht="12.75" customHeight="1">
      <c r="A19" s="1">
        <v>480.0</v>
      </c>
      <c r="B19" s="1">
        <v>0.032</v>
      </c>
      <c r="C19" s="1">
        <v>480.0</v>
      </c>
      <c r="D19" s="1">
        <v>0.061</v>
      </c>
      <c r="E19" s="1">
        <v>480.0</v>
      </c>
      <c r="F19" s="1">
        <v>0.09</v>
      </c>
      <c r="G19" s="1">
        <v>480.0</v>
      </c>
      <c r="H19" s="1">
        <v>0.104</v>
      </c>
    </row>
    <row r="20" ht="12.75" customHeight="1">
      <c r="A20" s="1">
        <v>540.0</v>
      </c>
      <c r="B20" s="1">
        <v>0.036</v>
      </c>
      <c r="C20" s="1">
        <v>540.0</v>
      </c>
      <c r="D20" s="1">
        <v>0.067</v>
      </c>
      <c r="E20" s="1">
        <v>540.0</v>
      </c>
      <c r="F20" s="1">
        <v>0.098</v>
      </c>
      <c r="G20" s="1">
        <v>540.0</v>
      </c>
      <c r="H20" s="1">
        <v>0.115</v>
      </c>
    </row>
    <row r="21" ht="12.75" customHeight="1">
      <c r="A21" s="1">
        <v>600.0</v>
      </c>
      <c r="B21" s="1">
        <v>0.04</v>
      </c>
      <c r="C21" s="1">
        <v>600.0</v>
      </c>
      <c r="D21" s="1">
        <v>0.073</v>
      </c>
      <c r="E21" s="1">
        <v>600.0</v>
      </c>
      <c r="F21" s="1">
        <v>0.106</v>
      </c>
      <c r="G21" s="1">
        <v>600.0</v>
      </c>
      <c r="H21" s="1">
        <v>0.124</v>
      </c>
    </row>
    <row r="22" ht="12.75" customHeight="1">
      <c r="A22" s="1">
        <v>660.0</v>
      </c>
      <c r="B22" s="1">
        <v>0.044</v>
      </c>
      <c r="C22" s="1">
        <v>660.0</v>
      </c>
      <c r="D22" s="1">
        <v>0.079</v>
      </c>
      <c r="E22" s="1">
        <v>660.0</v>
      </c>
      <c r="F22" s="1">
        <v>0.115</v>
      </c>
      <c r="G22" s="1">
        <v>660.0</v>
      </c>
      <c r="H22" s="1">
        <v>0.134</v>
      </c>
    </row>
    <row r="23" ht="12.75" customHeight="1">
      <c r="A23" s="1">
        <v>720.0</v>
      </c>
      <c r="B23" s="1">
        <v>0.048</v>
      </c>
      <c r="C23" s="1">
        <v>720.0</v>
      </c>
      <c r="D23" s="1">
        <v>0.086</v>
      </c>
      <c r="E23" s="1">
        <v>720.0</v>
      </c>
      <c r="F23" s="1">
        <v>0.123</v>
      </c>
      <c r="G23" s="1">
        <v>720.0</v>
      </c>
      <c r="H23" s="1">
        <v>0.144</v>
      </c>
    </row>
    <row r="24" ht="12.75" customHeight="1">
      <c r="A24" s="1">
        <v>780.0</v>
      </c>
      <c r="B24" s="1">
        <v>0.051</v>
      </c>
      <c r="C24" s="1">
        <v>780.0</v>
      </c>
      <c r="D24" s="1">
        <v>0.092</v>
      </c>
      <c r="E24" s="1">
        <v>780.0</v>
      </c>
      <c r="F24" s="1">
        <v>0.132</v>
      </c>
      <c r="G24" s="1">
        <v>780.0</v>
      </c>
      <c r="H24" s="1">
        <v>0.154</v>
      </c>
    </row>
    <row r="25" ht="12.75" customHeight="1">
      <c r="A25" s="1">
        <v>840.0</v>
      </c>
      <c r="B25" s="1">
        <v>0.055</v>
      </c>
      <c r="C25" s="1">
        <v>840.0</v>
      </c>
      <c r="D25" s="1">
        <v>0.098</v>
      </c>
      <c r="E25" s="1">
        <v>840.0</v>
      </c>
      <c r="F25" s="1">
        <v>0.139</v>
      </c>
      <c r="G25" s="1">
        <v>840.0</v>
      </c>
      <c r="H25" s="1">
        <v>0.165</v>
      </c>
    </row>
    <row r="26" ht="12.75" customHeight="1">
      <c r="A26" s="1">
        <v>900.0</v>
      </c>
      <c r="B26" s="1">
        <v>0.059</v>
      </c>
      <c r="C26" s="1">
        <v>900.0</v>
      </c>
      <c r="D26" s="1">
        <v>0.105</v>
      </c>
      <c r="E26" s="1">
        <v>900.0</v>
      </c>
      <c r="F26" s="1">
        <v>0.148</v>
      </c>
      <c r="G26" s="1">
        <v>900.0</v>
      </c>
      <c r="H26" s="1">
        <v>0.174</v>
      </c>
    </row>
    <row r="27" ht="12.75" customHeight="1">
      <c r="A27" s="1">
        <v>960.0</v>
      </c>
      <c r="B27" s="1">
        <v>0.063</v>
      </c>
      <c r="C27" s="1">
        <v>960.0</v>
      </c>
      <c r="D27" s="1">
        <v>0.111</v>
      </c>
      <c r="E27" s="1">
        <v>960.0</v>
      </c>
      <c r="F27" s="1">
        <v>0.157</v>
      </c>
      <c r="G27" s="1">
        <v>960.0</v>
      </c>
      <c r="H27" s="1">
        <v>0.184</v>
      </c>
    </row>
    <row r="28" ht="12.75" customHeight="1">
      <c r="A28" s="1">
        <v>1020.0</v>
      </c>
      <c r="B28" s="1">
        <v>0.067</v>
      </c>
      <c r="C28" s="1">
        <v>1020.0</v>
      </c>
      <c r="D28" s="1">
        <v>0.117</v>
      </c>
      <c r="E28" s="1">
        <v>1020.0</v>
      </c>
      <c r="F28" s="1">
        <v>0.165</v>
      </c>
      <c r="G28" s="1">
        <v>1020.0</v>
      </c>
      <c r="H28" s="1">
        <v>0.196</v>
      </c>
      <c r="J28" s="21" t="s">
        <v>117</v>
      </c>
      <c r="K28" s="21" t="s">
        <v>85</v>
      </c>
      <c r="L28" s="21" t="s">
        <v>118</v>
      </c>
    </row>
    <row r="29" ht="12.75" customHeight="1">
      <c r="A29" s="1">
        <v>1080.0</v>
      </c>
      <c r="B29" s="1">
        <v>0.071</v>
      </c>
      <c r="C29" s="1">
        <v>1080.0</v>
      </c>
      <c r="D29" s="1">
        <v>0.123</v>
      </c>
      <c r="E29" s="1">
        <v>1080.0</v>
      </c>
      <c r="F29" s="1">
        <v>0.174</v>
      </c>
      <c r="G29" s="1">
        <v>1080.0</v>
      </c>
      <c r="H29" s="1">
        <v>0.205</v>
      </c>
      <c r="J29" s="1">
        <v>1.528551784034161</v>
      </c>
      <c r="K29" s="21">
        <v>6.46</v>
      </c>
      <c r="L29" s="1">
        <f t="shared" ref="L29:L32" si="1">J29/K29</f>
        <v>0.2366179232</v>
      </c>
    </row>
    <row r="30" ht="12.75" customHeight="1">
      <c r="A30" s="1">
        <v>1140.0</v>
      </c>
      <c r="B30" s="1">
        <v>0.075</v>
      </c>
      <c r="C30" s="1">
        <v>1140.0</v>
      </c>
      <c r="D30" s="1">
        <v>0.129</v>
      </c>
      <c r="E30" s="1">
        <v>1140.0</v>
      </c>
      <c r="F30" s="1">
        <v>0.182</v>
      </c>
      <c r="G30" s="1">
        <v>1140.0</v>
      </c>
      <c r="H30" s="1">
        <v>0.216</v>
      </c>
      <c r="J30" s="1">
        <v>3.057103568068322</v>
      </c>
      <c r="K30" s="21">
        <v>9.7</v>
      </c>
      <c r="L30" s="1">
        <f t="shared" si="1"/>
        <v>0.3151653163</v>
      </c>
    </row>
    <row r="31" ht="12.75" customHeight="1">
      <c r="A31" s="1">
        <v>1200.0</v>
      </c>
      <c r="B31" s="1">
        <v>0.079</v>
      </c>
      <c r="C31" s="1">
        <v>1200.0</v>
      </c>
      <c r="D31" s="1">
        <v>0.136</v>
      </c>
      <c r="E31" s="1">
        <v>1200.0</v>
      </c>
      <c r="F31" s="1">
        <v>0.191</v>
      </c>
      <c r="G31" s="1">
        <v>1200.0</v>
      </c>
      <c r="H31" s="1">
        <v>0.226</v>
      </c>
      <c r="J31" s="1">
        <v>4.585655352102482</v>
      </c>
      <c r="K31" s="21">
        <v>12.7</v>
      </c>
      <c r="L31" s="1">
        <f t="shared" si="1"/>
        <v>0.3610752246</v>
      </c>
    </row>
    <row r="32" ht="12.75" customHeight="1">
      <c r="A32" s="1">
        <v>1260.0</v>
      </c>
      <c r="B32" s="1">
        <v>0.083</v>
      </c>
      <c r="C32" s="1">
        <v>1260.0</v>
      </c>
      <c r="D32" s="1">
        <v>0.142</v>
      </c>
      <c r="E32" s="1">
        <v>1260.0</v>
      </c>
      <c r="F32" s="1">
        <v>0.199</v>
      </c>
      <c r="G32" s="1">
        <v>1260.0</v>
      </c>
      <c r="H32" s="1">
        <v>0.236</v>
      </c>
      <c r="J32" s="1">
        <v>6.114207136136644</v>
      </c>
      <c r="K32" s="21">
        <v>14.5</v>
      </c>
      <c r="L32" s="1">
        <f t="shared" si="1"/>
        <v>0.4216694577</v>
      </c>
    </row>
    <row r="33" ht="12.75" customHeight="1">
      <c r="A33" s="1">
        <v>1320.0</v>
      </c>
      <c r="B33" s="1">
        <v>0.087</v>
      </c>
      <c r="C33" s="1">
        <v>1320.0</v>
      </c>
      <c r="D33" s="1">
        <v>0.149</v>
      </c>
      <c r="E33" s="1">
        <v>1320.0</v>
      </c>
      <c r="F33" s="1">
        <v>0.208</v>
      </c>
      <c r="G33" s="1">
        <v>1320.0</v>
      </c>
      <c r="H33" s="1">
        <v>0.247</v>
      </c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2010-04-07T07:35:01Z</dcterms:created>
  <dc:creator>kemmb6</dc:creator>
</cp:coreProperties>
</file>