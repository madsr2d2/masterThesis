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anes" sheetId="1" state="visible" r:id="rId2"/>
    <sheet name="Sheet1" sheetId="2" state="visible" r:id="rId3"/>
    <sheet name="Sheet2" sheetId="3" state="visible" r:id="rId4"/>
  </sheets>
  <definedNames>
    <definedName function="false" hidden="false" localSheetId="2" name="data46" vbProcedure="false">Sheet2!$A$1:$H$45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<sst xmlns="http://schemas.openxmlformats.org/spreadsheetml/2006/main" count="179" uniqueCount="118">
  <si>
    <t xml:space="preserve">SUMMARY OUTPUT</t>
  </si>
  <si>
    <t xml:space="preserve">Regression Statistics</t>
  </si>
  <si>
    <t xml:space="preserve">Multiple R</t>
  </si>
  <si>
    <t xml:space="preserve">R Square</t>
  </si>
  <si>
    <t xml:space="preserve">Adjusted R Square</t>
  </si>
  <si>
    <t xml:space="preserve">Standard Error</t>
  </si>
  <si>
    <t xml:space="preserve">Observations</t>
  </si>
  <si>
    <t xml:space="preserve">ANOVA</t>
  </si>
  <si>
    <t xml:space="preserve">df</t>
  </si>
  <si>
    <t xml:space="preserve">SS</t>
  </si>
  <si>
    <t xml:space="preserve">MS</t>
  </si>
  <si>
    <t xml:space="preserve">F</t>
  </si>
  <si>
    <t xml:space="preserve">Significance F</t>
  </si>
  <si>
    <t xml:space="preserve">Regression</t>
  </si>
  <si>
    <t xml:space="preserve">Residual</t>
  </si>
  <si>
    <t xml:space="preserve">Total</t>
  </si>
  <si>
    <t xml:space="preserve">Coefficients</t>
  </si>
  <si>
    <t xml:space="preserve">t Stat</t>
  </si>
  <si>
    <t xml:space="preserve">P-value</t>
  </si>
  <si>
    <t xml:space="preserve">Lower 95%</t>
  </si>
  <si>
    <t xml:space="preserve">Upper 95%</t>
  </si>
  <si>
    <t xml:space="preserve">Lower 95.0%</t>
  </si>
  <si>
    <t xml:space="preserve">Upper 95.0%</t>
  </si>
  <si>
    <t xml:space="preserve">Intercept</t>
  </si>
  <si>
    <t xml:space="preserve">X Variable 1</t>
  </si>
  <si>
    <t xml:space="preserve">RESIDUAL OUTPUT</t>
  </si>
  <si>
    <t xml:space="preserve">PROBABILITY OUTPUT</t>
  </si>
  <si>
    <t xml:space="preserve">Observation</t>
  </si>
  <si>
    <t xml:space="preserve">Predicted Y</t>
  </si>
  <si>
    <t xml:space="preserve">Residuals</t>
  </si>
  <si>
    <t xml:space="preserve">Standard Residuals</t>
  </si>
  <si>
    <t xml:space="preserve">Percentile</t>
  </si>
  <si>
    <t xml:space="preserve">Y</t>
  </si>
  <si>
    <t xml:space="preserve">nm</t>
  </si>
  <si>
    <t xml:space="preserve">e</t>
  </si>
  <si>
    <t xml:space="preserve">4-methoxy-benzylalkohol</t>
  </si>
  <si>
    <t xml:space="preserve">Enz</t>
  </si>
  <si>
    <t xml:space="preserve">H202 30%</t>
  </si>
  <si>
    <t xml:space="preserve">H2O</t>
  </si>
  <si>
    <t xml:space="preserve">a-diesterketon</t>
  </si>
  <si>
    <t xml:space="preserve">ml</t>
  </si>
  <si>
    <t xml:space="preserve">g/mol</t>
  </si>
  <si>
    <t xml:space="preserve">g</t>
  </si>
  <si>
    <t xml:space="preserve">[H2O2]</t>
  </si>
  <si>
    <t xml:space="preserve">l</t>
  </si>
  <si>
    <t xml:space="preserve">mol/l</t>
  </si>
  <si>
    <t xml:space="preserve">mol</t>
  </si>
  <si>
    <t xml:space="preserve">Boric acid buf.</t>
  </si>
  <si>
    <t xml:space="preserve">pH</t>
  </si>
  <si>
    <t xml:space="preserve">mmol/l</t>
  </si>
  <si>
    <t xml:space="preserve">T</t>
  </si>
  <si>
    <t xml:space="preserve">kuv</t>
  </si>
  <si>
    <t xml:space="preserve">[sub]</t>
  </si>
  <si>
    <t xml:space="preserve">[Enz]</t>
  </si>
  <si>
    <t xml:space="preserve">Buf [ml]</t>
  </si>
  <si>
    <t xml:space="preserve">H2O [ml]</t>
  </si>
  <si>
    <t xml:space="preserve">Enz [ml]</t>
  </si>
  <si>
    <t xml:space="preserve">Sub [ml]</t>
  </si>
  <si>
    <t xml:space="preserve">H2O2 [ml]</t>
  </si>
  <si>
    <t xml:space="preserve">Vol [ml]</t>
  </si>
  <si>
    <t xml:space="preserve">Vmax</t>
  </si>
  <si>
    <t xml:space="preserve">U/min</t>
  </si>
  <si>
    <t xml:space="preserve">mM/min</t>
  </si>
  <si>
    <t xml:space="preserve">Km</t>
  </si>
  <si>
    <t xml:space="preserve">mmol/L</t>
  </si>
  <si>
    <t xml:space="preserve">kcat</t>
  </si>
  <si>
    <t xml:space="preserve">min^-1</t>
  </si>
  <si>
    <t xml:space="preserve">s-1</t>
  </si>
  <si>
    <t xml:space="preserve">kuncat</t>
  </si>
  <si>
    <t xml:space="preserve">s^-1</t>
  </si>
  <si>
    <t xml:space="preserve">kcat/uncat</t>
  </si>
  <si>
    <t xml:space="preserve">The cuvetts were washed three times in water and three times in iso-propyl aclohole and dried in the owen for 20 min. </t>
  </si>
  <si>
    <t xml:space="preserve">The buffer was added as 1*1ml plus x*0,2 ml, with x=3,2,1 respectivly.</t>
  </si>
  <si>
    <t xml:space="preserve">The substrate was added as x*0.2 ml, with x=1,2,3,4 respectivly.</t>
  </si>
  <si>
    <t xml:space="preserve">The cuvetts were stired for 10 sec each on the "automatic stirrer" at full speed before they were placed in the spectrometer. </t>
  </si>
  <si>
    <t xml:space="preserve">Kinetics Experiment - 046 best fit 2</t>
  </si>
  <si>
    <t xml:space="preserve">Conc. Units</t>
  </si>
  <si>
    <t xml:space="preserve">Hanes-Woolf</t>
  </si>
  <si>
    <t xml:space="preserve">Raw Data</t>
  </si>
  <si>
    <t xml:space="preserve">Parameters</t>
  </si>
  <si>
    <t xml:space="preserve">[I]=0.000</t>
  </si>
  <si>
    <t xml:space="preserve">Sample</t>
  </si>
  <si>
    <t xml:space="preserve">[S]</t>
  </si>
  <si>
    <t xml:space="preserve">[I]</t>
  </si>
  <si>
    <t xml:space="preserve">V</t>
  </si>
  <si>
    <t xml:space="preserve">Use</t>
  </si>
  <si>
    <t xml:space="preserve">Calculated Values</t>
  </si>
  <si>
    <t xml:space="preserve">Sample001</t>
  </si>
  <si>
    <t xml:space="preserve">Yes</t>
  </si>
  <si>
    <t xml:space="preserve">VMax</t>
  </si>
  <si>
    <t xml:space="preserve">Sample002</t>
  </si>
  <si>
    <t xml:space="preserve">Sample003</t>
  </si>
  <si>
    <t xml:space="preserve">Statistics</t>
  </si>
  <si>
    <t xml:space="preserve">Sample004</t>
  </si>
  <si>
    <t xml:space="preserve">Chi Squared</t>
  </si>
  <si>
    <t xml:space="preserve">Corr.Coeff.</t>
  </si>
  <si>
    <t xml:space="preserve">Batch</t>
  </si>
  <si>
    <t xml:space="preserve">rate046.rre</t>
  </si>
  <si>
    <t xml:space="preserve">Evolution 600</t>
  </si>
  <si>
    <t xml:space="preserve">Data Mode</t>
  </si>
  <si>
    <t xml:space="preserve">A</t>
  </si>
  <si>
    <t xml:space="preserve">Smoothing</t>
  </si>
  <si>
    <t xml:space="preserve">None</t>
  </si>
  <si>
    <t xml:space="preserve">Date Collected</t>
  </si>
  <si>
    <t xml:space="preserve">Time Collected</t>
  </si>
  <si>
    <t xml:space="preserve">7:37:52PM</t>
  </si>
  <si>
    <t xml:space="preserve">7:37:57PM</t>
  </si>
  <si>
    <t xml:space="preserve">7:38:04PM</t>
  </si>
  <si>
    <t xml:space="preserve">8:09:41PM</t>
  </si>
  <si>
    <t xml:space="preserve">Substrate Conc.</t>
  </si>
  <si>
    <t xml:space="preserve">1.5286 mmol/L</t>
  </si>
  <si>
    <t xml:space="preserve">3.0571 mmol/L</t>
  </si>
  <si>
    <t xml:space="preserve">4.5857 mmol/L</t>
  </si>
  <si>
    <t xml:space="preserve">6.1142 mmol/L</t>
  </si>
  <si>
    <t xml:space="preserve">ss.sss</t>
  </si>
  <si>
    <t xml:space="preserve">Value</t>
  </si>
  <si>
    <t xml:space="preserve">S</t>
  </si>
  <si>
    <t xml:space="preserve">S/V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</si>
</sst>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E+00"/>
    <numFmt numFmtId="167" formatCode="mm/dd/yyyy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Arial"/>
      <family val="0"/>
      <charset val="1"/>
    </font>
    <font>
      <sz val="18"/>
      <color rgb="FF757575"/>
      <name val="Calibri"/>
      <family val="2"/>
    </font>
    <font>
      <sz val="10"/>
      <color rgb="FF1A1A1A"/>
      <name val="Calibri"/>
      <family val="2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8064A2"/>
      <rgbColor rgb="FF8B8B8B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 Residual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hanes!$C$25:$C$27</c:f>
              <c:numCache>
                <c:formatCode>General</c:formatCode>
                <c:ptCount val="3"/>
                <c:pt idx="0">
                  <c:v>-6083.05662562903</c:v>
                </c:pt>
                <c:pt idx="1">
                  <c:v>10645.349094851</c:v>
                </c:pt>
                <c:pt idx="2">
                  <c:v>-4562.29246922184</c:v>
                </c:pt>
              </c:numCache>
            </c:numRef>
          </c:yVal>
          <c:smooth val="1"/>
        </c:ser>
        <c:axId val="64770358"/>
        <c:axId val="36184257"/>
      </c:scatterChart>
      <c:valAx>
        <c:axId val="647703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X Variable 1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6184257"/>
        <c:crosses val="autoZero"/>
        <c:crossBetween val="midCat"/>
      </c:valAx>
      <c:valAx>
        <c:axId val="3618425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Residuals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4770358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X Variable 1 Line Fit 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45243649"/>
        <c:axId val="9964940"/>
      </c:barChart>
      <c:catAx>
        <c:axId val="45243649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9964940"/>
        <c:auto val="1"/>
        <c:lblAlgn val="ctr"/>
        <c:lblOffset val="100"/>
        <c:noMultiLvlLbl val="0"/>
      </c:catAx>
      <c:valAx>
        <c:axId val="9964940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45243649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Normal Probability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00008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hanes!$F$25:$F$27</c:f>
              <c:numCache>
                <c:formatCode>General</c:formatCode>
                <c:ptCount val="3"/>
                <c:pt idx="0">
                  <c:v>16.6666666666667</c:v>
                </c:pt>
                <c:pt idx="1">
                  <c:v>50</c:v>
                </c:pt>
                <c:pt idx="2">
                  <c:v>83.3333333333333</c:v>
                </c:pt>
              </c:numCache>
            </c:numRef>
          </c:xVal>
          <c:yVal>
            <c:numRef>
              <c:f>hanes!$G$25:$G$27</c:f>
              <c:numCache>
                <c:formatCode>General</c:formatCode>
                <c:ptCount val="3"/>
                <c:pt idx="0">
                  <c:v>45792.3755422642</c:v>
                </c:pt>
                <c:pt idx="1">
                  <c:v>113880.884059932</c:v>
                </c:pt>
                <c:pt idx="2">
                  <c:v>167153.379558776</c:v>
                </c:pt>
              </c:numCache>
            </c:numRef>
          </c:yVal>
          <c:smooth val="1"/>
        </c:ser>
        <c:axId val="61562578"/>
        <c:axId val="54496895"/>
      </c:scatterChart>
      <c:valAx>
        <c:axId val="615625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Sample Percentile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4496895"/>
        <c:crosses val="autoZero"/>
        <c:crossBetween val="midCat"/>
      </c:valAx>
      <c:valAx>
        <c:axId val="54496895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1562578"/>
        <c:crosses val="autoZero"/>
        <c:crossBetween val="midCat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200" spc="-1" strike="noStrike">
                <a:solidFill>
                  <a:srgbClr val="000000"/>
                </a:solidFill>
                <a:latin typeface="Calibri"/>
                <a:ea typeface="Calibri"/>
              </a:rPr>
              <a:t>hanes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axId val="17567372"/>
        <c:axId val="90586199"/>
      </c:barChart>
      <c:catAx>
        <c:axId val="17567372"/>
        <c:scaling>
          <c:orientation val="minMax"/>
        </c:scaling>
        <c:delete val="0"/>
        <c:axPos val="b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90586199"/>
        <c:auto val="1"/>
        <c:lblAlgn val="ctr"/>
        <c:lblOffset val="100"/>
        <c:noMultiLvlLbl val="0"/>
      </c:catAx>
      <c:valAx>
        <c:axId val="90586199"/>
        <c:scaling>
          <c:orientation val="minMax"/>
        </c:scaling>
        <c:delete val="0"/>
        <c:axPos val="l"/>
        <c:numFmt formatCode="General" sourceLinked="1"/>
        <c:tickLblPos val="none"/>
        <c:spPr>
          <a:ln w="0">
            <a:noFill/>
          </a:ln>
        </c:spPr>
        <c:txPr>
          <a:bodyPr/>
          <a:lstStyle/>
          <a:p>
            <a:pPr>
              <a:defRPr b="0" sz="1800" spc="-1"/>
            </a:pPr>
          </a:p>
        </c:txPr>
        <c:crossAx val="17567372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1.5286 mmol/L Value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</c:numCache>
            </c:numRef>
          </c:xVal>
          <c:yVal>
            <c:numRef>
              <c:f>Sheet2!$B$11:$B$20</c:f>
              <c:numCache>
                <c:formatCode>General</c:formatCode>
                <c:ptCount val="10"/>
                <c:pt idx="0">
                  <c:v>0.001</c:v>
                </c:pt>
                <c:pt idx="1">
                  <c:v>0.005</c:v>
                </c:pt>
                <c:pt idx="2">
                  <c:v>0.009</c:v>
                </c:pt>
                <c:pt idx="3">
                  <c:v>0.013</c:v>
                </c:pt>
                <c:pt idx="4">
                  <c:v>0.018</c:v>
                </c:pt>
                <c:pt idx="5">
                  <c:v>0.022</c:v>
                </c:pt>
                <c:pt idx="6">
                  <c:v>0.027</c:v>
                </c:pt>
                <c:pt idx="7">
                  <c:v>0.031</c:v>
                </c:pt>
                <c:pt idx="8">
                  <c:v>0.035</c:v>
                </c:pt>
                <c:pt idx="9">
                  <c:v>0.04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Sheet2!$D$9:$D$10</c:f>
              <c:strCache>
                <c:ptCount val="1"/>
                <c:pt idx="0">
                  <c:v>3.0571 mmol/L Value</c:v>
                </c:pt>
              </c:strCache>
            </c:strRef>
          </c:tx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</c:numCache>
            </c:numRef>
          </c:xVal>
          <c:yVal>
            <c:numRef>
              <c:f>Sheet2!$D$11:$D$20</c:f>
              <c:numCache>
                <c:formatCode>General</c:formatCode>
                <c:ptCount val="10"/>
                <c:pt idx="0">
                  <c:v>0.011</c:v>
                </c:pt>
                <c:pt idx="1">
                  <c:v>0.017</c:v>
                </c:pt>
                <c:pt idx="2">
                  <c:v>0.023</c:v>
                </c:pt>
                <c:pt idx="3">
                  <c:v>0.029</c:v>
                </c:pt>
                <c:pt idx="4">
                  <c:v>0.036</c:v>
                </c:pt>
                <c:pt idx="5">
                  <c:v>0.042</c:v>
                </c:pt>
                <c:pt idx="6">
                  <c:v>0.049</c:v>
                </c:pt>
                <c:pt idx="7">
                  <c:v>0.055</c:v>
                </c:pt>
                <c:pt idx="8">
                  <c:v>0.062</c:v>
                </c:pt>
                <c:pt idx="9">
                  <c:v>0.068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Sheet2!$F$9:$F$10</c:f>
              <c:strCache>
                <c:ptCount val="1"/>
                <c:pt idx="0">
                  <c:v>4.5857 mmol/L Value</c:v>
                </c:pt>
              </c:strCache>
            </c:strRef>
          </c:tx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</c:numCache>
            </c:numRef>
          </c:xVal>
          <c:yVal>
            <c:numRef>
              <c:f>Sheet2!$F$11:$F$20</c:f>
              <c:numCache>
                <c:formatCode>General</c:formatCode>
                <c:ptCount val="10"/>
                <c:pt idx="0">
                  <c:v>0.024</c:v>
                </c:pt>
                <c:pt idx="1">
                  <c:v>0.032</c:v>
                </c:pt>
                <c:pt idx="2">
                  <c:v>0.04</c:v>
                </c:pt>
                <c:pt idx="3">
                  <c:v>0.048</c:v>
                </c:pt>
                <c:pt idx="4">
                  <c:v>0.056</c:v>
                </c:pt>
                <c:pt idx="5">
                  <c:v>0.064</c:v>
                </c:pt>
                <c:pt idx="6">
                  <c:v>0.073</c:v>
                </c:pt>
                <c:pt idx="7">
                  <c:v>0.082</c:v>
                </c:pt>
                <c:pt idx="8">
                  <c:v>0.09</c:v>
                </c:pt>
                <c:pt idx="9">
                  <c:v>0.098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Sheet2!$H$9:$H$10</c:f>
              <c:strCache>
                <c:ptCount val="1"/>
                <c:pt idx="0">
                  <c:v>6.1142 mmol/L Value</c:v>
                </c:pt>
              </c:strCache>
            </c:strRef>
          </c:tx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</c:f>
              <c:numCache>
                <c:formatCode>General</c:formatCode>
                <c:ptCount val="15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</c:numCache>
            </c:numRef>
          </c:xVal>
          <c:yVal>
            <c:numRef>
              <c:f>Sheet2!$H$11:$H$20</c:f>
              <c:numCache>
                <c:formatCode>General</c:formatCode>
                <c:ptCount val="10"/>
                <c:pt idx="0">
                  <c:v>0.033</c:v>
                </c:pt>
                <c:pt idx="1">
                  <c:v>0.042</c:v>
                </c:pt>
                <c:pt idx="2">
                  <c:v>0.052</c:v>
                </c:pt>
                <c:pt idx="3">
                  <c:v>0.061</c:v>
                </c:pt>
                <c:pt idx="4">
                  <c:v>0.072</c:v>
                </c:pt>
                <c:pt idx="5">
                  <c:v>0.081</c:v>
                </c:pt>
                <c:pt idx="6">
                  <c:v>0.09</c:v>
                </c:pt>
                <c:pt idx="7">
                  <c:v>0.1</c:v>
                </c:pt>
                <c:pt idx="8">
                  <c:v>0.111</c:v>
                </c:pt>
                <c:pt idx="9">
                  <c:v>0.121</c:v>
                </c:pt>
              </c:numCache>
            </c:numRef>
          </c:yVal>
          <c:smooth val="1"/>
        </c:ser>
        <c:axId val="66748344"/>
        <c:axId val="73160329"/>
      </c:scatterChart>
      <c:valAx>
        <c:axId val="66748344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3160329"/>
        <c:crosses val="autoZero"/>
        <c:crossBetween val="midCat"/>
      </c:valAx>
      <c:valAx>
        <c:axId val="7316032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674834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S, V og S/V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Sheet2!$M$47</c:f>
              <c:strCache>
                <c:ptCount val="1"/>
                <c:pt idx="0">
                  <c:v>S/V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Sheet2!$K$48:$K$51</c:f>
              <c:numCache>
                <c:formatCode>General</c:formatCode>
                <c:ptCount val="4"/>
                <c:pt idx="0">
                  <c:v>1.52855178403416</c:v>
                </c:pt>
                <c:pt idx="1">
                  <c:v>3.05710356806832</c:v>
                </c:pt>
                <c:pt idx="2">
                  <c:v>4.58565535210248</c:v>
                </c:pt>
                <c:pt idx="3">
                  <c:v>6.11420713613664</c:v>
                </c:pt>
              </c:numCache>
            </c:numRef>
          </c:xVal>
          <c:yVal>
            <c:numRef>
              <c:f>Sheet2!$M$48:$M$51</c:f>
              <c:numCache>
                <c:formatCode>General</c:formatCode>
                <c:ptCount val="4"/>
                <c:pt idx="0">
                  <c:v>0.221529244062922</c:v>
                </c:pt>
                <c:pt idx="1">
                  <c:v>0.29971603608513</c:v>
                </c:pt>
                <c:pt idx="2">
                  <c:v>0.347398132735037</c:v>
                </c:pt>
                <c:pt idx="3">
                  <c:v>0.394464976524945</c:v>
                </c:pt>
              </c:numCache>
            </c:numRef>
          </c:yVal>
          <c:smooth val="1"/>
        </c:ser>
        <c:axId val="49542395"/>
        <c:axId val="42322218"/>
      </c:scatterChart>
      <c:valAx>
        <c:axId val="49542395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2322218"/>
        <c:crosses val="autoZero"/>
        <c:crossBetween val="midCat"/>
      </c:valAx>
      <c:valAx>
        <c:axId val="4232221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954239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8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sz="1800" spc="-1" strike="noStrike">
                <a:solidFill>
                  <a:srgbClr val="757575"/>
                </a:solidFill>
                <a:latin typeface="Calibri"/>
                <a:ea typeface="Calibri"/>
              </a:rPr>
              <a:t>1.5286 mmol/L/Value, Substrate Conc./ss.sss, 3.0571 mmol/L/Value, Substrate Conc./ss.sss, 4.5857 mmol/L/Value…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Sheet2!$B$9:$B$10</c:f>
              <c:strCache>
                <c:ptCount val="1"/>
                <c:pt idx="0">
                  <c:v>1.5286 mmol/L Value</c:v>
                </c:pt>
              </c:strCache>
            </c:strRef>
          </c:tx>
          <c:spPr>
            <a:solidFill>
              <a:srgbClr val="4f81b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Sheet2!$A$11:$A$250</c:f>
              <c:numCache>
                <c:formatCode>General</c:formatCode>
                <c:ptCount val="24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</c:numCache>
            </c:numRef>
          </c:xVal>
          <c:yVal>
            <c:numRef>
              <c:f>Sheet2!$B$11:$B$200</c:f>
              <c:numCache>
                <c:formatCode>General</c:formatCode>
                <c:ptCount val="190"/>
                <c:pt idx="0">
                  <c:v>0.001</c:v>
                </c:pt>
                <c:pt idx="1">
                  <c:v>0.005</c:v>
                </c:pt>
                <c:pt idx="2">
                  <c:v>0.009</c:v>
                </c:pt>
                <c:pt idx="3">
                  <c:v>0.013</c:v>
                </c:pt>
                <c:pt idx="4">
                  <c:v>0.018</c:v>
                </c:pt>
                <c:pt idx="5">
                  <c:v>0.022</c:v>
                </c:pt>
                <c:pt idx="6">
                  <c:v>0.027</c:v>
                </c:pt>
                <c:pt idx="7">
                  <c:v>0.031</c:v>
                </c:pt>
                <c:pt idx="8">
                  <c:v>0.035</c:v>
                </c:pt>
                <c:pt idx="9">
                  <c:v>0.04</c:v>
                </c:pt>
                <c:pt idx="10">
                  <c:v>0.044</c:v>
                </c:pt>
                <c:pt idx="11">
                  <c:v>0.049</c:v>
                </c:pt>
                <c:pt idx="12">
                  <c:v>0.052</c:v>
                </c:pt>
                <c:pt idx="13">
                  <c:v>0.057</c:v>
                </c:pt>
                <c:pt idx="14">
                  <c:v>0.061</c:v>
                </c:pt>
                <c:pt idx="15">
                  <c:v>0.065</c:v>
                </c:pt>
                <c:pt idx="16">
                  <c:v>0.07</c:v>
                </c:pt>
                <c:pt idx="17">
                  <c:v>0.074</c:v>
                </c:pt>
                <c:pt idx="18">
                  <c:v>0.079</c:v>
                </c:pt>
                <c:pt idx="19">
                  <c:v>0.084</c:v>
                </c:pt>
                <c:pt idx="20">
                  <c:v>0.087</c:v>
                </c:pt>
                <c:pt idx="21">
                  <c:v>0.091</c:v>
                </c:pt>
                <c:pt idx="22">
                  <c:v>0.096</c:v>
                </c:pt>
                <c:pt idx="23">
                  <c:v>0.101</c:v>
                </c:pt>
                <c:pt idx="24">
                  <c:v>0.104</c:v>
                </c:pt>
                <c:pt idx="25">
                  <c:v>0.109</c:v>
                </c:pt>
                <c:pt idx="26">
                  <c:v>0.113</c:v>
                </c:pt>
                <c:pt idx="27">
                  <c:v>0.117</c:v>
                </c:pt>
                <c:pt idx="28">
                  <c:v>0.122</c:v>
                </c:pt>
                <c:pt idx="29">
                  <c:v>0.127</c:v>
                </c:pt>
                <c:pt idx="30">
                  <c:v>0.13</c:v>
                </c:pt>
                <c:pt idx="31">
                  <c:v>0.134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Sheet2!$D$9:$D$10</c:f>
              <c:strCache>
                <c:ptCount val="1"/>
                <c:pt idx="0">
                  <c:v>3.0571 mmol/L Value</c:v>
                </c:pt>
              </c:strCache>
            </c:strRef>
          </c:tx>
          <c:spPr>
            <a:solidFill>
              <a:srgbClr val="c0504d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c0504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Sheet2!$A$11:$A$250</c:f>
              <c:numCache>
                <c:formatCode>General</c:formatCode>
                <c:ptCount val="24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</c:numCache>
            </c:numRef>
          </c:xVal>
          <c:yVal>
            <c:numRef>
              <c:f>Sheet2!$D$11:$D$200</c:f>
              <c:numCache>
                <c:formatCode>General</c:formatCode>
                <c:ptCount val="190"/>
                <c:pt idx="0">
                  <c:v>0.011</c:v>
                </c:pt>
                <c:pt idx="1">
                  <c:v>0.017</c:v>
                </c:pt>
                <c:pt idx="2">
                  <c:v>0.023</c:v>
                </c:pt>
                <c:pt idx="3">
                  <c:v>0.029</c:v>
                </c:pt>
                <c:pt idx="4">
                  <c:v>0.036</c:v>
                </c:pt>
                <c:pt idx="5">
                  <c:v>0.042</c:v>
                </c:pt>
                <c:pt idx="6">
                  <c:v>0.049</c:v>
                </c:pt>
                <c:pt idx="7">
                  <c:v>0.055</c:v>
                </c:pt>
                <c:pt idx="8">
                  <c:v>0.062</c:v>
                </c:pt>
                <c:pt idx="9">
                  <c:v>0.068</c:v>
                </c:pt>
                <c:pt idx="10">
                  <c:v>0.075</c:v>
                </c:pt>
                <c:pt idx="11">
                  <c:v>0.081</c:v>
                </c:pt>
                <c:pt idx="12">
                  <c:v>0.088</c:v>
                </c:pt>
                <c:pt idx="13">
                  <c:v>0.094</c:v>
                </c:pt>
                <c:pt idx="14">
                  <c:v>0.1</c:v>
                </c:pt>
                <c:pt idx="15">
                  <c:v>0.107</c:v>
                </c:pt>
                <c:pt idx="16">
                  <c:v>0.114</c:v>
                </c:pt>
                <c:pt idx="17">
                  <c:v>0.12</c:v>
                </c:pt>
                <c:pt idx="18">
                  <c:v>0.127</c:v>
                </c:pt>
                <c:pt idx="19">
                  <c:v>0.133</c:v>
                </c:pt>
                <c:pt idx="20">
                  <c:v>0.14</c:v>
                </c:pt>
                <c:pt idx="21">
                  <c:v>0.147</c:v>
                </c:pt>
                <c:pt idx="22">
                  <c:v>0.153</c:v>
                </c:pt>
                <c:pt idx="23">
                  <c:v>0.159</c:v>
                </c:pt>
                <c:pt idx="24">
                  <c:v>0.166</c:v>
                </c:pt>
                <c:pt idx="25">
                  <c:v>0.173</c:v>
                </c:pt>
                <c:pt idx="26">
                  <c:v>0.179</c:v>
                </c:pt>
                <c:pt idx="27">
                  <c:v>0.186</c:v>
                </c:pt>
                <c:pt idx="28">
                  <c:v>0.193</c:v>
                </c:pt>
                <c:pt idx="29">
                  <c:v>0.199</c:v>
                </c:pt>
                <c:pt idx="30">
                  <c:v>0.206</c:v>
                </c:pt>
                <c:pt idx="31">
                  <c:v>0.213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Sheet2!$F$9:$F$10</c:f>
              <c:strCache>
                <c:ptCount val="1"/>
                <c:pt idx="0">
                  <c:v>4.5857 mmol/L Value</c:v>
                </c:pt>
              </c:strCache>
            </c:strRef>
          </c:tx>
          <c:spPr>
            <a:solidFill>
              <a:srgbClr val="9bbb59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9bbb59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Sheet2!$A$11:$A$250</c:f>
              <c:numCache>
                <c:formatCode>General</c:formatCode>
                <c:ptCount val="24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</c:numCache>
            </c:numRef>
          </c:xVal>
          <c:yVal>
            <c:numRef>
              <c:f>Sheet2!$F$11:$F$200</c:f>
              <c:numCache>
                <c:formatCode>General</c:formatCode>
                <c:ptCount val="190"/>
                <c:pt idx="0">
                  <c:v>0.024</c:v>
                </c:pt>
                <c:pt idx="1">
                  <c:v>0.032</c:v>
                </c:pt>
                <c:pt idx="2">
                  <c:v>0.04</c:v>
                </c:pt>
                <c:pt idx="3">
                  <c:v>0.048</c:v>
                </c:pt>
                <c:pt idx="4">
                  <c:v>0.056</c:v>
                </c:pt>
                <c:pt idx="5">
                  <c:v>0.064</c:v>
                </c:pt>
                <c:pt idx="6">
                  <c:v>0.073</c:v>
                </c:pt>
                <c:pt idx="7">
                  <c:v>0.082</c:v>
                </c:pt>
                <c:pt idx="8">
                  <c:v>0.09</c:v>
                </c:pt>
                <c:pt idx="9">
                  <c:v>0.098</c:v>
                </c:pt>
                <c:pt idx="10">
                  <c:v>0.107</c:v>
                </c:pt>
                <c:pt idx="11">
                  <c:v>0.115</c:v>
                </c:pt>
                <c:pt idx="12">
                  <c:v>0.124</c:v>
                </c:pt>
                <c:pt idx="13">
                  <c:v>0.133</c:v>
                </c:pt>
                <c:pt idx="14">
                  <c:v>0.141</c:v>
                </c:pt>
                <c:pt idx="15">
                  <c:v>0.15</c:v>
                </c:pt>
                <c:pt idx="16">
                  <c:v>0.159</c:v>
                </c:pt>
                <c:pt idx="17">
                  <c:v>0.168</c:v>
                </c:pt>
                <c:pt idx="18">
                  <c:v>0.176</c:v>
                </c:pt>
                <c:pt idx="19">
                  <c:v>0.185</c:v>
                </c:pt>
                <c:pt idx="20">
                  <c:v>0.193</c:v>
                </c:pt>
                <c:pt idx="21">
                  <c:v>0.202</c:v>
                </c:pt>
                <c:pt idx="22">
                  <c:v>0.212</c:v>
                </c:pt>
                <c:pt idx="23">
                  <c:v>0.22</c:v>
                </c:pt>
                <c:pt idx="24">
                  <c:v>0.229</c:v>
                </c:pt>
                <c:pt idx="25">
                  <c:v>0.238</c:v>
                </c:pt>
                <c:pt idx="26">
                  <c:v>0.247</c:v>
                </c:pt>
                <c:pt idx="27">
                  <c:v>0.256</c:v>
                </c:pt>
                <c:pt idx="28">
                  <c:v>0.265</c:v>
                </c:pt>
                <c:pt idx="29">
                  <c:v>0.274</c:v>
                </c:pt>
                <c:pt idx="30">
                  <c:v>0.284</c:v>
                </c:pt>
                <c:pt idx="31">
                  <c:v>0.293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Sheet2!$H$9:$H$10</c:f>
              <c:strCache>
                <c:ptCount val="1"/>
                <c:pt idx="0">
                  <c:v>6.1142 mmol/L Value</c:v>
                </c:pt>
              </c:strCache>
            </c:strRef>
          </c:tx>
          <c:spPr>
            <a:solidFill>
              <a:srgbClr val="8064a2"/>
            </a:solidFill>
            <a:ln w="19080">
              <a:noFill/>
            </a:ln>
          </c:spPr>
          <c:marker>
            <c:symbol val="circle"/>
            <c:size val="2"/>
            <c:spPr>
              <a:solidFill>
                <a:srgbClr val="8064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/>
                </a:solidFill>
                <a:round/>
              </a:ln>
            </c:spPr>
            <c:trendlineType val="exp"/>
            <c:forward val="0"/>
            <c:backward val="0"/>
            <c:dispRSqr val="1"/>
            <c:dispEq val="1"/>
          </c:trendline>
          <c:xVal>
            <c:numRef>
              <c:f>Sheet2!$A$11:$A$250</c:f>
              <c:numCache>
                <c:formatCode>General</c:formatCode>
                <c:ptCount val="240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  <c:pt idx="21">
                  <c:v>1260</c:v>
                </c:pt>
                <c:pt idx="22">
                  <c:v>1320</c:v>
                </c:pt>
                <c:pt idx="23">
                  <c:v>1380</c:v>
                </c:pt>
                <c:pt idx="24">
                  <c:v>1440</c:v>
                </c:pt>
                <c:pt idx="25">
                  <c:v>1500</c:v>
                </c:pt>
                <c:pt idx="26">
                  <c:v>1560</c:v>
                </c:pt>
                <c:pt idx="27">
                  <c:v>1620</c:v>
                </c:pt>
                <c:pt idx="28">
                  <c:v>1680</c:v>
                </c:pt>
                <c:pt idx="29">
                  <c:v>1740</c:v>
                </c:pt>
                <c:pt idx="30">
                  <c:v>1800</c:v>
                </c:pt>
                <c:pt idx="31">
                  <c:v>1860</c:v>
                </c:pt>
              </c:numCache>
            </c:numRef>
          </c:xVal>
          <c:yVal>
            <c:numRef>
              <c:f>Sheet2!$H$11:$H$200</c:f>
              <c:numCache>
                <c:formatCode>General</c:formatCode>
                <c:ptCount val="190"/>
                <c:pt idx="0">
                  <c:v>0.033</c:v>
                </c:pt>
                <c:pt idx="1">
                  <c:v>0.042</c:v>
                </c:pt>
                <c:pt idx="2">
                  <c:v>0.052</c:v>
                </c:pt>
                <c:pt idx="3">
                  <c:v>0.061</c:v>
                </c:pt>
                <c:pt idx="4">
                  <c:v>0.072</c:v>
                </c:pt>
                <c:pt idx="5">
                  <c:v>0.081</c:v>
                </c:pt>
                <c:pt idx="6">
                  <c:v>0.09</c:v>
                </c:pt>
                <c:pt idx="7">
                  <c:v>0.1</c:v>
                </c:pt>
                <c:pt idx="8">
                  <c:v>0.111</c:v>
                </c:pt>
                <c:pt idx="9">
                  <c:v>0.121</c:v>
                </c:pt>
                <c:pt idx="10">
                  <c:v>0.132</c:v>
                </c:pt>
                <c:pt idx="11">
                  <c:v>0.142</c:v>
                </c:pt>
                <c:pt idx="12">
                  <c:v>0.153</c:v>
                </c:pt>
                <c:pt idx="13">
                  <c:v>0.164</c:v>
                </c:pt>
                <c:pt idx="14">
                  <c:v>0.175</c:v>
                </c:pt>
                <c:pt idx="15">
                  <c:v>0.187</c:v>
                </c:pt>
                <c:pt idx="16">
                  <c:v>0.198</c:v>
                </c:pt>
                <c:pt idx="17">
                  <c:v>0.21</c:v>
                </c:pt>
                <c:pt idx="18">
                  <c:v>0.222</c:v>
                </c:pt>
                <c:pt idx="19">
                  <c:v>0.234</c:v>
                </c:pt>
                <c:pt idx="20">
                  <c:v>0.241</c:v>
                </c:pt>
                <c:pt idx="21">
                  <c:v>0.252</c:v>
                </c:pt>
                <c:pt idx="22">
                  <c:v>0.265</c:v>
                </c:pt>
                <c:pt idx="23">
                  <c:v>0.276</c:v>
                </c:pt>
                <c:pt idx="24">
                  <c:v>0.288</c:v>
                </c:pt>
                <c:pt idx="25">
                  <c:v>0.293</c:v>
                </c:pt>
                <c:pt idx="26">
                  <c:v>0.305</c:v>
                </c:pt>
                <c:pt idx="27">
                  <c:v>0.309</c:v>
                </c:pt>
                <c:pt idx="28">
                  <c:v>0.32</c:v>
                </c:pt>
                <c:pt idx="29">
                  <c:v>0.331</c:v>
                </c:pt>
                <c:pt idx="30">
                  <c:v>0.343</c:v>
                </c:pt>
                <c:pt idx="31">
                  <c:v>0.354</c:v>
                </c:pt>
              </c:numCache>
            </c:numRef>
          </c:yVal>
          <c:smooth val="1"/>
        </c:ser>
        <c:axId val="49127598"/>
        <c:axId val="5403209"/>
      </c:scatterChart>
      <c:valAx>
        <c:axId val="49127598"/>
        <c:scaling>
          <c:orientation val="minMax"/>
        </c:scaling>
        <c:delete val="0"/>
        <c:axPos val="b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Substrate Conc./ss.sss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403209"/>
        <c:crosses val="autoZero"/>
        <c:crossBetween val="midCat"/>
      </c:valAx>
      <c:valAx>
        <c:axId val="540320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912759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0</xdr:row>
      <xdr:rowOff>0</xdr:rowOff>
    </xdr:from>
    <xdr:to>
      <xdr:col>14</xdr:col>
      <xdr:colOff>377640</xdr:colOff>
      <xdr:row>9</xdr:row>
      <xdr:rowOff>171000</xdr:rowOff>
    </xdr:to>
    <xdr:graphicFrame>
      <xdr:nvGraphicFramePr>
        <xdr:cNvPr id="0" name="Chart 1"/>
        <xdr:cNvGraphicFramePr/>
      </xdr:nvGraphicFramePr>
      <xdr:xfrm>
        <a:off x="5080680" y="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0</xdr:rowOff>
    </xdr:from>
    <xdr:to>
      <xdr:col>15</xdr:col>
      <xdr:colOff>377640</xdr:colOff>
      <xdr:row>11</xdr:row>
      <xdr:rowOff>161640</xdr:rowOff>
    </xdr:to>
    <xdr:graphicFrame>
      <xdr:nvGraphicFramePr>
        <xdr:cNvPr id="1" name="Chart 2"/>
        <xdr:cNvGraphicFramePr/>
      </xdr:nvGraphicFramePr>
      <xdr:xfrm>
        <a:off x="5645160" y="333360"/>
        <a:ext cx="3200040" cy="1638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</xdr:row>
      <xdr:rowOff>0</xdr:rowOff>
    </xdr:from>
    <xdr:to>
      <xdr:col>16</xdr:col>
      <xdr:colOff>377280</xdr:colOff>
      <xdr:row>13</xdr:row>
      <xdr:rowOff>171000</xdr:rowOff>
    </xdr:to>
    <xdr:graphicFrame>
      <xdr:nvGraphicFramePr>
        <xdr:cNvPr id="2" name="Chart 3"/>
        <xdr:cNvGraphicFramePr/>
      </xdr:nvGraphicFramePr>
      <xdr:xfrm>
        <a:off x="6209640" y="657360"/>
        <a:ext cx="3200040" cy="164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171360</xdr:colOff>
      <xdr:row>47</xdr:row>
      <xdr:rowOff>95400</xdr:rowOff>
    </xdr:from>
    <xdr:to>
      <xdr:col>12</xdr:col>
      <xdr:colOff>109800</xdr:colOff>
      <xdr:row>71</xdr:row>
      <xdr:rowOff>95040</xdr:rowOff>
    </xdr:to>
    <xdr:graphicFrame>
      <xdr:nvGraphicFramePr>
        <xdr:cNvPr id="3" name="Chart 4"/>
        <xdr:cNvGraphicFramePr/>
      </xdr:nvGraphicFramePr>
      <xdr:xfrm>
        <a:off x="3870720" y="7763040"/>
        <a:ext cx="4152600" cy="388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57240</xdr:colOff>
      <xdr:row>1</xdr:row>
      <xdr:rowOff>28440</xdr:rowOff>
    </xdr:from>
    <xdr:to>
      <xdr:col>20</xdr:col>
      <xdr:colOff>126720</xdr:colOff>
      <xdr:row>39</xdr:row>
      <xdr:rowOff>9000</xdr:rowOff>
    </xdr:to>
    <xdr:graphicFrame>
      <xdr:nvGraphicFramePr>
        <xdr:cNvPr id="4" name="Chart 5"/>
        <xdr:cNvGraphicFramePr/>
      </xdr:nvGraphicFramePr>
      <xdr:xfrm>
        <a:off x="9088200" y="190440"/>
        <a:ext cx="5714640" cy="6133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790560</xdr:colOff>
      <xdr:row>29</xdr:row>
      <xdr:rowOff>76320</xdr:rowOff>
    </xdr:from>
    <xdr:to>
      <xdr:col>7</xdr:col>
      <xdr:colOff>578880</xdr:colOff>
      <xdr:row>51</xdr:row>
      <xdr:rowOff>47520</xdr:rowOff>
    </xdr:to>
    <xdr:graphicFrame>
      <xdr:nvGraphicFramePr>
        <xdr:cNvPr id="5" name="Chart 6"/>
        <xdr:cNvGraphicFramePr/>
      </xdr:nvGraphicFramePr>
      <xdr:xfrm>
        <a:off x="1818720" y="4772160"/>
        <a:ext cx="5714640" cy="353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57240</xdr:colOff>
      <xdr:row>56</xdr:row>
      <xdr:rowOff>28440</xdr:rowOff>
    </xdr:from>
    <xdr:to>
      <xdr:col>22</xdr:col>
      <xdr:colOff>126720</xdr:colOff>
      <xdr:row>94</xdr:row>
      <xdr:rowOff>9000</xdr:rowOff>
    </xdr:to>
    <xdr:graphicFrame>
      <xdr:nvGraphicFramePr>
        <xdr:cNvPr id="6" name="Chart 7"/>
        <xdr:cNvGraphicFramePr/>
      </xdr:nvGraphicFramePr>
      <xdr:xfrm>
        <a:off x="10217160" y="9096120"/>
        <a:ext cx="5714640" cy="6133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26" min="1" style="0" width="8"/>
  </cols>
  <sheetData>
    <row r="1" customFormat="false" ht="12.75" hidden="false" customHeight="true" outlineLevel="0" collapsed="false">
      <c r="A1" s="1" t="s">
        <v>0</v>
      </c>
    </row>
    <row r="2" customFormat="false" ht="13.5" hidden="false" customHeight="true" outlineLevel="0" collapsed="false"/>
    <row r="3" customFormat="false" ht="12.75" hidden="false" customHeight="true" outlineLevel="0" collapsed="false">
      <c r="A3" s="2" t="s">
        <v>1</v>
      </c>
      <c r="B3" s="2"/>
    </row>
    <row r="4" customFormat="false" ht="12.75" hidden="false" customHeight="true" outlineLevel="0" collapsed="false">
      <c r="A4" s="3" t="s">
        <v>2</v>
      </c>
      <c r="B4" s="3" t="n">
        <v>0.988370054622216</v>
      </c>
    </row>
    <row r="5" customFormat="false" ht="12.75" hidden="false" customHeight="true" outlineLevel="0" collapsed="false">
      <c r="A5" s="3" t="s">
        <v>3</v>
      </c>
      <c r="B5" s="3" t="n">
        <v>0.976875364873922</v>
      </c>
    </row>
    <row r="6" customFormat="false" ht="12.75" hidden="false" customHeight="true" outlineLevel="0" collapsed="false">
      <c r="A6" s="3" t="s">
        <v>4</v>
      </c>
      <c r="B6" s="3" t="n">
        <v>0.953750729747844</v>
      </c>
    </row>
    <row r="7" customFormat="false" ht="12.75" hidden="false" customHeight="true" outlineLevel="0" collapsed="false">
      <c r="A7" s="3" t="s">
        <v>5</v>
      </c>
      <c r="B7" s="3" t="n">
        <v>13082.1079278751</v>
      </c>
    </row>
    <row r="8" customFormat="false" ht="13.5" hidden="false" customHeight="true" outlineLevel="0" collapsed="false">
      <c r="A8" s="4" t="s">
        <v>6</v>
      </c>
      <c r="B8" s="4" t="n">
        <v>3</v>
      </c>
    </row>
    <row r="9" customFormat="false" ht="12.75" hidden="false" customHeight="true" outlineLevel="0" collapsed="false"/>
    <row r="10" customFormat="false" ht="13.5" hidden="false" customHeight="true" outlineLevel="0" collapsed="false">
      <c r="A10" s="1" t="s">
        <v>7</v>
      </c>
    </row>
    <row r="11" customFormat="false" ht="12.75" hidden="false" customHeight="true" outlineLevel="0" collapsed="false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customFormat="false" ht="12.75" hidden="false" customHeight="true" outlineLevel="0" collapsed="false">
      <c r="A12" s="3" t="s">
        <v>13</v>
      </c>
      <c r="B12" s="3" t="n">
        <v>1</v>
      </c>
      <c r="C12" s="3" t="n">
        <v>7229690807.07369</v>
      </c>
      <c r="D12" s="3" t="n">
        <v>7229690807.07369</v>
      </c>
      <c r="E12" s="3" t="n">
        <v>42.2439255602477</v>
      </c>
      <c r="F12" s="3" t="n">
        <v>0.097186459325012</v>
      </c>
    </row>
    <row r="13" customFormat="false" ht="12.75" hidden="false" customHeight="true" outlineLevel="0" collapsed="false">
      <c r="A13" s="3" t="s">
        <v>14</v>
      </c>
      <c r="B13" s="3" t="n">
        <v>1</v>
      </c>
      <c r="C13" s="3" t="n">
        <v>171141547.836572</v>
      </c>
      <c r="D13" s="3" t="n">
        <v>171141547.836572</v>
      </c>
      <c r="E13" s="3"/>
      <c r="F13" s="3"/>
    </row>
    <row r="14" customFormat="false" ht="13.5" hidden="false" customHeight="true" outlineLevel="0" collapsed="false">
      <c r="A14" s="4" t="s">
        <v>15</v>
      </c>
      <c r="B14" s="4" t="n">
        <v>2</v>
      </c>
      <c r="C14" s="4" t="n">
        <v>7400832354.91027</v>
      </c>
      <c r="D14" s="4"/>
      <c r="E14" s="4"/>
      <c r="F14" s="4"/>
    </row>
    <row r="15" customFormat="false" ht="13.5" hidden="false" customHeight="true" outlineLevel="0" collapsed="false"/>
    <row r="16" customFormat="false" ht="12.75" hidden="false" customHeight="true" outlineLevel="0" collapsed="false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customFormat="false" ht="12.75" hidden="false" customHeight="true" outlineLevel="0" collapsed="false">
      <c r="A17" s="3" t="s">
        <v>23</v>
      </c>
      <c r="B17" s="3" t="n">
        <v>17635.3636364347</v>
      </c>
      <c r="C17" s="3" t="n">
        <v>15949.9090321997</v>
      </c>
      <c r="D17" s="3" t="n">
        <v>1.10567173774047</v>
      </c>
      <c r="E17" s="3" t="n">
        <v>0.468078439180696</v>
      </c>
      <c r="F17" s="3" t="n">
        <v>-185026.577810795</v>
      </c>
      <c r="G17" s="3" t="n">
        <v>220297.305083664</v>
      </c>
      <c r="H17" s="3" t="n">
        <v>-185026.577810795</v>
      </c>
      <c r="I17" s="3" t="n">
        <v>220297.305083664</v>
      </c>
    </row>
    <row r="18" customFormat="false" ht="13.5" hidden="false" customHeight="true" outlineLevel="0" collapsed="false">
      <c r="A18" s="4" t="s">
        <v>24</v>
      </c>
      <c r="B18" s="4" t="n">
        <v>8854.54663231771</v>
      </c>
      <c r="C18" s="4" t="n">
        <v>1362.33588100391</v>
      </c>
      <c r="D18" s="4" t="n">
        <v>6.49953271860737</v>
      </c>
      <c r="E18" s="4" t="n">
        <v>0.097186459325012</v>
      </c>
      <c r="F18" s="4" t="n">
        <v>-8455.49783189185</v>
      </c>
      <c r="G18" s="4" t="n">
        <v>26164.5910965273</v>
      </c>
      <c r="H18" s="4" t="n">
        <v>-8455.49783189185</v>
      </c>
      <c r="I18" s="4" t="n">
        <v>26164.5910965273</v>
      </c>
    </row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>
      <c r="A22" s="1" t="s">
        <v>25</v>
      </c>
      <c r="F22" s="1" t="s">
        <v>26</v>
      </c>
    </row>
    <row r="23" customFormat="false" ht="13.5" hidden="false" customHeight="true" outlineLevel="0" collapsed="false"/>
    <row r="24" customFormat="false" ht="12.75" hidden="false" customHeight="true" outlineLevel="0" collapsed="false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customFormat="false" ht="12.75" hidden="false" customHeight="true" outlineLevel="0" collapsed="false">
      <c r="A25" s="3" t="n">
        <v>1</v>
      </c>
      <c r="B25" s="3" t="n">
        <v>51875.4321678932</v>
      </c>
      <c r="C25" s="3" t="n">
        <v>-6083.05662562903</v>
      </c>
      <c r="D25" s="3" t="n">
        <v>-0.657595949221422</v>
      </c>
      <c r="F25" s="3" t="n">
        <v>16.6666666666667</v>
      </c>
      <c r="G25" s="3" t="n">
        <v>45792.3755422642</v>
      </c>
    </row>
    <row r="26" customFormat="false" ht="12.75" hidden="false" customHeight="true" outlineLevel="0" collapsed="false">
      <c r="A26" s="3" t="n">
        <v>2</v>
      </c>
      <c r="B26" s="3" t="n">
        <v>103235.534965081</v>
      </c>
      <c r="C26" s="3" t="n">
        <v>10645.349094851</v>
      </c>
      <c r="D26" s="3" t="n">
        <v>1.1507929111375</v>
      </c>
      <c r="F26" s="3" t="n">
        <v>50</v>
      </c>
      <c r="G26" s="3" t="n">
        <v>113880.884059932</v>
      </c>
    </row>
    <row r="27" customFormat="false" ht="13.5" hidden="false" customHeight="true" outlineLevel="0" collapsed="false">
      <c r="A27" s="4" t="n">
        <v>3</v>
      </c>
      <c r="B27" s="4" t="n">
        <v>171715.672027998</v>
      </c>
      <c r="C27" s="4" t="n">
        <v>-4562.29246922184</v>
      </c>
      <c r="D27" s="4" t="n">
        <v>-0.493196961916073</v>
      </c>
      <c r="F27" s="4" t="n">
        <v>83.3333333333333</v>
      </c>
      <c r="G27" s="4" t="n">
        <v>167153.379558776</v>
      </c>
    </row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1"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29" activeCellId="0" sqref="Q29"/>
    </sheetView>
  </sheetViews>
  <sheetFormatPr defaultColWidth="14.445312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2.43"/>
    <col collapsed="false" customWidth="true" hidden="false" outlineLevel="0" max="6" min="4" style="0" width="8"/>
    <col collapsed="false" customWidth="true" hidden="false" outlineLevel="0" max="7" min="7" style="0" width="12.43"/>
    <col collapsed="false" customWidth="true" hidden="false" outlineLevel="0" max="9" min="8" style="0" width="8"/>
    <col collapsed="false" customWidth="true" hidden="false" outlineLevel="0" max="10" min="10" style="0" width="12.43"/>
    <col collapsed="false" customWidth="true" hidden="false" outlineLevel="0" max="11" min="11" style="0" width="8"/>
    <col collapsed="false" customWidth="true" hidden="false" outlineLevel="0" max="12" min="12" style="0" width="10.86"/>
    <col collapsed="false" customWidth="true" hidden="false" outlineLevel="0" max="26" min="13" style="0" width="8"/>
  </cols>
  <sheetData>
    <row r="1" customFormat="false" ht="12.75" hidden="false" customHeight="true" outlineLevel="0" collapsed="false">
      <c r="A1" s="1" t="n">
        <v>46</v>
      </c>
    </row>
    <row r="2" customFormat="false" ht="13.5" hidden="false" customHeight="true" outlineLevel="0" collapsed="false">
      <c r="C2" s="1" t="n">
        <v>300</v>
      </c>
      <c r="D2" s="1" t="s">
        <v>33</v>
      </c>
      <c r="H2" s="1" t="s">
        <v>34</v>
      </c>
      <c r="I2" s="1" t="n">
        <v>7.53</v>
      </c>
    </row>
    <row r="3" customFormat="false" ht="13.5" hidden="false" customHeight="true" outlineLevel="0" collapsed="false">
      <c r="J3" s="5"/>
      <c r="K3" s="6"/>
      <c r="L3" s="7"/>
    </row>
    <row r="4" customFormat="false" ht="12.75" hidden="false" customHeight="true" outlineLevel="0" collapsed="false">
      <c r="B4" s="5"/>
      <c r="C4" s="6" t="s">
        <v>35</v>
      </c>
      <c r="D4" s="7"/>
      <c r="F4" s="5"/>
      <c r="G4" s="6" t="s">
        <v>36</v>
      </c>
      <c r="H4" s="7"/>
      <c r="J4" s="8"/>
      <c r="K4" s="3" t="s">
        <v>37</v>
      </c>
      <c r="L4" s="9" t="s">
        <v>38</v>
      </c>
    </row>
    <row r="5" customFormat="false" ht="12.75" hidden="false" customHeight="true" outlineLevel="0" collapsed="false">
      <c r="B5" s="8"/>
      <c r="C5" s="3"/>
      <c r="D5" s="9"/>
      <c r="F5" s="8"/>
      <c r="G5" s="3" t="s">
        <v>39</v>
      </c>
      <c r="H5" s="9"/>
      <c r="J5" s="8" t="s">
        <v>40</v>
      </c>
      <c r="K5" s="3" t="n">
        <v>1</v>
      </c>
      <c r="L5" s="9" t="n">
        <v>9</v>
      </c>
    </row>
    <row r="6" customFormat="false" ht="12.75" hidden="false" customHeight="true" outlineLevel="0" collapsed="false">
      <c r="B6" s="8"/>
      <c r="C6" s="3"/>
      <c r="D6" s="9"/>
      <c r="F6" s="8"/>
      <c r="G6" s="3"/>
      <c r="H6" s="9"/>
      <c r="J6" s="8"/>
      <c r="K6" s="3"/>
      <c r="L6" s="9"/>
    </row>
    <row r="7" customFormat="false" ht="12.75" hidden="false" customHeight="true" outlineLevel="0" collapsed="false">
      <c r="B7" s="8" t="s">
        <v>41</v>
      </c>
      <c r="C7" s="3" t="n">
        <v>138.17</v>
      </c>
      <c r="D7" s="9"/>
      <c r="F7" s="8" t="s">
        <v>41</v>
      </c>
      <c r="G7" s="3" t="n">
        <v>1054.29</v>
      </c>
      <c r="H7" s="9"/>
      <c r="J7" s="8"/>
      <c r="K7" s="3"/>
      <c r="L7" s="9"/>
    </row>
    <row r="8" customFormat="false" ht="12.75" hidden="false" customHeight="true" outlineLevel="0" collapsed="false">
      <c r="B8" s="8" t="s">
        <v>42</v>
      </c>
      <c r="C8" s="3" t="n">
        <v>0.2112</v>
      </c>
      <c r="D8" s="9"/>
      <c r="F8" s="8" t="s">
        <v>42</v>
      </c>
      <c r="G8" s="3" t="n">
        <v>0.0228</v>
      </c>
      <c r="H8" s="9"/>
      <c r="J8" s="8"/>
      <c r="K8" s="3" t="s">
        <v>43</v>
      </c>
      <c r="L8" s="9"/>
    </row>
    <row r="9" customFormat="false" ht="12.75" hidden="false" customHeight="true" outlineLevel="0" collapsed="false">
      <c r="B9" s="8" t="s">
        <v>44</v>
      </c>
      <c r="C9" s="3" t="n">
        <v>0.05</v>
      </c>
      <c r="D9" s="9"/>
      <c r="F9" s="8" t="s">
        <v>44</v>
      </c>
      <c r="G9" s="3" t="n">
        <v>0.004</v>
      </c>
      <c r="H9" s="9"/>
      <c r="J9" s="8" t="s">
        <v>45</v>
      </c>
      <c r="K9" s="3" t="n">
        <f aca="false">55*(0.3/10)</f>
        <v>1.65</v>
      </c>
      <c r="L9" s="9"/>
    </row>
    <row r="10" customFormat="false" ht="12.75" hidden="false" customHeight="true" outlineLevel="0" collapsed="false">
      <c r="B10" s="8" t="s">
        <v>46</v>
      </c>
      <c r="C10" s="3" t="n">
        <f aca="false">C8/C7</f>
        <v>0.001528551784</v>
      </c>
      <c r="D10" s="9"/>
      <c r="F10" s="8" t="s">
        <v>46</v>
      </c>
      <c r="G10" s="3" t="n">
        <f aca="false">G8/G7</f>
        <v>2.162592835E-005</v>
      </c>
      <c r="H10" s="9"/>
      <c r="J10" s="8"/>
      <c r="K10" s="3"/>
      <c r="L10" s="9"/>
    </row>
    <row r="11" customFormat="false" ht="12.75" hidden="false" customHeight="true" outlineLevel="0" collapsed="false">
      <c r="B11" s="8" t="s">
        <v>45</v>
      </c>
      <c r="C11" s="3" t="n">
        <f aca="false">C10/C9</f>
        <v>0.03057103568</v>
      </c>
      <c r="D11" s="9"/>
      <c r="F11" s="8" t="s">
        <v>45</v>
      </c>
      <c r="G11" s="3" t="n">
        <f aca="false">G10/G9</f>
        <v>0.005406482087</v>
      </c>
      <c r="H11" s="9"/>
      <c r="J11" s="8" t="s">
        <v>47</v>
      </c>
      <c r="K11" s="3" t="s">
        <v>48</v>
      </c>
      <c r="L11" s="9" t="n">
        <v>9.23</v>
      </c>
    </row>
    <row r="12" customFormat="false" ht="13.5" hidden="false" customHeight="true" outlineLevel="0" collapsed="false">
      <c r="B12" s="10" t="s">
        <v>49</v>
      </c>
      <c r="C12" s="4" t="n">
        <f aca="false">C11*1000</f>
        <v>30.57103568</v>
      </c>
      <c r="D12" s="11"/>
      <c r="F12" s="8" t="s">
        <v>49</v>
      </c>
      <c r="G12" s="3" t="n">
        <f aca="false">G11*1000</f>
        <v>5.406482087</v>
      </c>
      <c r="H12" s="9"/>
      <c r="J12" s="8"/>
      <c r="K12" s="3" t="s">
        <v>50</v>
      </c>
      <c r="L12" s="9" t="n">
        <v>25</v>
      </c>
    </row>
    <row r="13" customFormat="false" ht="13.5" hidden="false" customHeight="true" outlineLevel="0" collapsed="false">
      <c r="F13" s="10" t="s">
        <v>51</v>
      </c>
      <c r="G13" s="4" t="n">
        <f aca="false">E20*G12/H20</f>
        <v>0.2703241044</v>
      </c>
      <c r="H13" s="11" t="s">
        <v>49</v>
      </c>
      <c r="J13" s="10"/>
      <c r="K13" s="4"/>
      <c r="L13" s="11"/>
    </row>
    <row r="14" customFormat="false" ht="12.75" hidden="false" customHeight="true" outlineLevel="0" collapsed="false"/>
    <row r="15" customFormat="false" ht="12.75" hidden="false" customHeight="true" outlineLevel="0" collapsed="false">
      <c r="G15" s="1" t="n">
        <v>0.240683303</v>
      </c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customFormat="false" ht="13.5" hidden="false" customHeight="true" outlineLevel="0" collapsed="false">
      <c r="B19" s="12" t="s">
        <v>51</v>
      </c>
      <c r="C19" s="4" t="s">
        <v>54</v>
      </c>
      <c r="D19" s="4" t="s">
        <v>55</v>
      </c>
      <c r="E19" s="4" t="s">
        <v>56</v>
      </c>
      <c r="F19" s="4" t="s">
        <v>57</v>
      </c>
      <c r="G19" s="4" t="s">
        <v>58</v>
      </c>
      <c r="H19" s="4" t="s">
        <v>59</v>
      </c>
      <c r="I19" s="4" t="s">
        <v>45</v>
      </c>
      <c r="J19" s="4" t="s">
        <v>49</v>
      </c>
      <c r="K19" s="4" t="s">
        <v>45</v>
      </c>
      <c r="L19" s="4" t="s">
        <v>49</v>
      </c>
      <c r="M19" s="4" t="s">
        <v>49</v>
      </c>
    </row>
    <row r="20" customFormat="false" ht="12.75" hidden="false" customHeight="true" outlineLevel="0" collapsed="false">
      <c r="B20" s="13" t="n">
        <v>1</v>
      </c>
      <c r="C20" s="1" t="n">
        <v>1.7</v>
      </c>
      <c r="D20" s="1" t="n">
        <v>0</v>
      </c>
      <c r="E20" s="1" t="n">
        <v>0.1</v>
      </c>
      <c r="F20" s="1" t="n">
        <v>0.1</v>
      </c>
      <c r="G20" s="1" t="n">
        <v>0.1</v>
      </c>
      <c r="H20" s="1" t="n">
        <f aca="false">SUM(C20:G20)</f>
        <v>2</v>
      </c>
      <c r="I20" s="14" t="n">
        <f aca="false">F20*$C$11/H20</f>
        <v>0.001528551784</v>
      </c>
      <c r="J20" s="14" t="n">
        <f aca="false">I20*1000</f>
        <v>1.528551784</v>
      </c>
      <c r="K20" s="15" t="n">
        <f aca="false">(G20*$K$9)/H20</f>
        <v>0.0825</v>
      </c>
      <c r="L20" s="15" t="n">
        <f aca="false">K20*1000</f>
        <v>82.5</v>
      </c>
      <c r="M20" s="14" t="n">
        <f aca="false">E20*$G$12/H20</f>
        <v>0.27032410435</v>
      </c>
    </row>
    <row r="21" customFormat="false" ht="12.75" hidden="false" customHeight="true" outlineLevel="0" collapsed="false">
      <c r="B21" s="13" t="n">
        <v>2</v>
      </c>
      <c r="C21" s="1" t="n">
        <v>1.6</v>
      </c>
      <c r="D21" s="1" t="n">
        <v>0</v>
      </c>
      <c r="E21" s="1" t="n">
        <v>0.1</v>
      </c>
      <c r="F21" s="1" t="n">
        <v>0.2</v>
      </c>
      <c r="G21" s="1" t="n">
        <v>0.1</v>
      </c>
      <c r="H21" s="1" t="n">
        <f aca="false">SUM(C21:G21)</f>
        <v>2</v>
      </c>
      <c r="I21" s="14" t="n">
        <f aca="false">F21*$C$11/H21</f>
        <v>0.003057103568</v>
      </c>
      <c r="J21" s="14" t="n">
        <f aca="false">I21*1000</f>
        <v>3.057103568</v>
      </c>
      <c r="K21" s="15" t="n">
        <f aca="false">(G21*$K$9)/H21</f>
        <v>0.0825</v>
      </c>
      <c r="L21" s="15" t="n">
        <f aca="false">K21*1000</f>
        <v>82.5</v>
      </c>
      <c r="M21" s="14" t="n">
        <f aca="false">E21*$G$12/H21</f>
        <v>0.27032410435</v>
      </c>
    </row>
    <row r="22" customFormat="false" ht="12.75" hidden="false" customHeight="true" outlineLevel="0" collapsed="false">
      <c r="B22" s="13" t="n">
        <v>3</v>
      </c>
      <c r="C22" s="1" t="n">
        <v>1.5</v>
      </c>
      <c r="D22" s="1" t="n">
        <v>0</v>
      </c>
      <c r="E22" s="1" t="n">
        <v>0.1</v>
      </c>
      <c r="F22" s="1" t="n">
        <v>0.3</v>
      </c>
      <c r="G22" s="1" t="n">
        <v>0.1</v>
      </c>
      <c r="H22" s="1" t="n">
        <f aca="false">SUM(C22:G22)</f>
        <v>2</v>
      </c>
      <c r="I22" s="14" t="n">
        <f aca="false">F22*$C$11/H22</f>
        <v>0.004585655352</v>
      </c>
      <c r="J22" s="14" t="n">
        <f aca="false">I22*1000</f>
        <v>4.585655352</v>
      </c>
      <c r="K22" s="15" t="n">
        <f aca="false">(G22*$K$9)/H22</f>
        <v>0.0825</v>
      </c>
      <c r="L22" s="15" t="n">
        <f aca="false">K22*1000</f>
        <v>82.5</v>
      </c>
      <c r="M22" s="14" t="n">
        <f aca="false">E22*$G$12/H22</f>
        <v>0.27032410435</v>
      </c>
    </row>
    <row r="23" customFormat="false" ht="12.75" hidden="false" customHeight="true" outlineLevel="0" collapsed="false">
      <c r="B23" s="16" t="n">
        <v>4</v>
      </c>
      <c r="C23" s="16" t="n">
        <v>1.4</v>
      </c>
      <c r="D23" s="16" t="n">
        <v>0</v>
      </c>
      <c r="E23" s="16" t="n">
        <v>0.1</v>
      </c>
      <c r="F23" s="16" t="n">
        <v>0.4</v>
      </c>
      <c r="G23" s="16" t="n">
        <v>0.1</v>
      </c>
      <c r="H23" s="16" t="n">
        <f aca="false">SUM(C23:G23)</f>
        <v>2</v>
      </c>
      <c r="I23" s="17" t="n">
        <f aca="false">F23*$C$11/H23</f>
        <v>0.006114207136</v>
      </c>
      <c r="J23" s="17" t="n">
        <f aca="false">I23*1000</f>
        <v>6.114207136</v>
      </c>
      <c r="K23" s="17" t="n">
        <f aca="false">(G23*$K$9)/H23</f>
        <v>0.0825</v>
      </c>
      <c r="L23" s="17" t="n">
        <f aca="false">K23*1000</f>
        <v>82.5</v>
      </c>
      <c r="M23" s="14" t="n">
        <f aca="false">E23*$G$12/H23</f>
        <v>0.27032410435</v>
      </c>
    </row>
    <row r="24" customFormat="false" ht="12.75" hidden="false" customHeight="true" outlineLevel="0" collapsed="false">
      <c r="B24" s="13" t="n">
        <v>5</v>
      </c>
      <c r="C24" s="1" t="n">
        <v>1.7</v>
      </c>
      <c r="D24" s="3" t="n">
        <v>0.1</v>
      </c>
      <c r="E24" s="3" t="n">
        <v>0</v>
      </c>
      <c r="F24" s="1" t="n">
        <v>0.1</v>
      </c>
      <c r="G24" s="3" t="n">
        <v>0.1</v>
      </c>
      <c r="H24" s="1" t="n">
        <f aca="false">SUM(C24:G24)</f>
        <v>2</v>
      </c>
      <c r="I24" s="1" t="n">
        <f aca="false">F24*$C$11/H24</f>
        <v>0.001528551784</v>
      </c>
      <c r="J24" s="1" t="n">
        <f aca="false">I24*1000</f>
        <v>1.528551784</v>
      </c>
      <c r="K24" s="3" t="n">
        <f aca="false">(G24*$K$9)/H24</f>
        <v>0.0825</v>
      </c>
      <c r="L24" s="3" t="n">
        <f aca="false">K24*1000</f>
        <v>82.5</v>
      </c>
      <c r="M24" s="1" t="n">
        <f aca="false">E24*$G$12/H24</f>
        <v>0</v>
      </c>
    </row>
    <row r="25" customFormat="false" ht="12.75" hidden="false" customHeight="true" outlineLevel="0" collapsed="false">
      <c r="B25" s="13" t="n">
        <v>6</v>
      </c>
      <c r="C25" s="1" t="n">
        <v>1.6</v>
      </c>
      <c r="D25" s="3" t="n">
        <v>0.1</v>
      </c>
      <c r="E25" s="3" t="n">
        <v>0</v>
      </c>
      <c r="F25" s="1" t="n">
        <v>0.2</v>
      </c>
      <c r="G25" s="3" t="n">
        <v>0.1</v>
      </c>
      <c r="H25" s="1" t="n">
        <f aca="false">SUM(C25:G25)</f>
        <v>2</v>
      </c>
      <c r="I25" s="1" t="n">
        <f aca="false">F25*$C$11/H25</f>
        <v>0.003057103568</v>
      </c>
      <c r="J25" s="1" t="n">
        <f aca="false">I25*1000</f>
        <v>3.057103568</v>
      </c>
      <c r="K25" s="3" t="n">
        <f aca="false">(G25*$K$9)/H25</f>
        <v>0.0825</v>
      </c>
      <c r="L25" s="3" t="n">
        <f aca="false">K25*1000</f>
        <v>82.5</v>
      </c>
      <c r="M25" s="1" t="n">
        <f aca="false">E25*$G$12/H25</f>
        <v>0</v>
      </c>
    </row>
    <row r="26" customFormat="false" ht="12.75" hidden="false" customHeight="true" outlineLevel="0" collapsed="false">
      <c r="B26" s="13" t="n">
        <v>7</v>
      </c>
      <c r="C26" s="1" t="n">
        <v>1.5</v>
      </c>
      <c r="D26" s="3" t="n">
        <v>0.1</v>
      </c>
      <c r="E26" s="3" t="n">
        <v>0</v>
      </c>
      <c r="F26" s="1" t="n">
        <v>0.3</v>
      </c>
      <c r="G26" s="3" t="n">
        <v>0.1</v>
      </c>
      <c r="H26" s="1" t="n">
        <f aca="false">SUM(C26:G26)</f>
        <v>2</v>
      </c>
      <c r="I26" s="1" t="n">
        <f aca="false">F26*$C$11/H26</f>
        <v>0.004585655352</v>
      </c>
      <c r="J26" s="1" t="n">
        <f aca="false">I26*1000</f>
        <v>4.585655352</v>
      </c>
      <c r="K26" s="3" t="n">
        <f aca="false">(G26*$K$9)/H26</f>
        <v>0.0825</v>
      </c>
      <c r="L26" s="3" t="n">
        <f aca="false">K26*1000</f>
        <v>82.5</v>
      </c>
      <c r="M26" s="1" t="n">
        <f aca="false">E26*$G$12/H26</f>
        <v>0</v>
      </c>
    </row>
    <row r="27" customFormat="false" ht="13.5" hidden="false" customHeight="true" outlineLevel="0" collapsed="false">
      <c r="B27" s="12" t="n">
        <v>8</v>
      </c>
      <c r="C27" s="4" t="n">
        <v>1.4</v>
      </c>
      <c r="D27" s="4" t="n">
        <v>0.1</v>
      </c>
      <c r="E27" s="4" t="n">
        <v>0</v>
      </c>
      <c r="F27" s="4" t="n">
        <v>0.4</v>
      </c>
      <c r="G27" s="4" t="n">
        <v>0.1</v>
      </c>
      <c r="H27" s="4" t="n">
        <f aca="false">SUM(C27:G27)</f>
        <v>2</v>
      </c>
      <c r="I27" s="4" t="n">
        <f aca="false">F27*$C$11/H27</f>
        <v>0.006114207136</v>
      </c>
      <c r="J27" s="4" t="n">
        <f aca="false">I27*1000</f>
        <v>6.114207136</v>
      </c>
      <c r="K27" s="4" t="n">
        <f aca="false">(G27*$K$9)/H27</f>
        <v>0.0825</v>
      </c>
      <c r="L27" s="4" t="n">
        <f aca="false">K27*1000</f>
        <v>82.5</v>
      </c>
      <c r="M27" s="4" t="n">
        <f aca="false">E27*$G$12/H27</f>
        <v>0</v>
      </c>
    </row>
    <row r="28" customFormat="false" ht="12.75" hidden="false" customHeight="true" outlineLevel="0" collapsed="false">
      <c r="C28" s="1" t="n">
        <f aca="false">SUM(C20:C27)</f>
        <v>12.4</v>
      </c>
      <c r="D28" s="1" t="n">
        <f aca="false">SUM(D20:D27)</f>
        <v>0.4</v>
      </c>
      <c r="E28" s="1" t="n">
        <f aca="false">SUM(E20:E27)</f>
        <v>0.4</v>
      </c>
      <c r="F28" s="1" t="n">
        <f aca="false">SUM(F20:F27)</f>
        <v>2</v>
      </c>
      <c r="G28" s="1" t="n">
        <f aca="false">SUM(G20:G27)</f>
        <v>0.8</v>
      </c>
    </row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>
      <c r="J31" s="1" t="n">
        <v>0.011134823</v>
      </c>
    </row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>
      <c r="L34" s="18" t="n">
        <v>0.010233701</v>
      </c>
      <c r="M34" s="18"/>
    </row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>
      <c r="I38" s="1" t="s">
        <v>60</v>
      </c>
      <c r="J38" s="3" t="n">
        <v>0.0208311136099551</v>
      </c>
      <c r="K38" s="1" t="s">
        <v>61</v>
      </c>
    </row>
    <row r="39" customFormat="false" ht="12.75" hidden="false" customHeight="true" outlineLevel="0" collapsed="false">
      <c r="H39" s="18"/>
      <c r="I39" s="1" t="s">
        <v>60</v>
      </c>
      <c r="J39" s="1" t="n">
        <f aca="false">J38/I2</f>
        <v>0.00276641615</v>
      </c>
      <c r="K39" s="1" t="s">
        <v>62</v>
      </c>
    </row>
    <row r="40" customFormat="false" ht="12.75" hidden="false" customHeight="true" outlineLevel="0" collapsed="false">
      <c r="I40" s="1" t="s">
        <v>63</v>
      </c>
      <c r="J40" s="3" t="n">
        <v>1.35003298051701</v>
      </c>
      <c r="K40" s="1" t="s">
        <v>64</v>
      </c>
    </row>
    <row r="41" customFormat="false" ht="12.75" hidden="false" customHeight="true" outlineLevel="0" collapsed="false">
      <c r="I41" s="1" t="s">
        <v>65</v>
      </c>
      <c r="J41" s="1" t="n">
        <f aca="false">J39/G13</f>
        <v>0.01023370134</v>
      </c>
      <c r="K41" s="1" t="s">
        <v>66</v>
      </c>
    </row>
    <row r="42" customFormat="false" ht="12.75" hidden="false" customHeight="true" outlineLevel="0" collapsed="false">
      <c r="J42" s="1" t="n">
        <f aca="false">J41/60</f>
        <v>0.0001705616891</v>
      </c>
      <c r="K42" s="1" t="s">
        <v>67</v>
      </c>
    </row>
    <row r="43" customFormat="false" ht="12.75" hidden="false" customHeight="true" outlineLevel="0" collapsed="false">
      <c r="I43" s="1" t="s">
        <v>68</v>
      </c>
      <c r="J43" s="18" t="n">
        <v>1.43E-009</v>
      </c>
      <c r="K43" s="1" t="s">
        <v>69</v>
      </c>
    </row>
    <row r="44" customFormat="false" ht="12.75" hidden="false" customHeight="true" outlineLevel="0" collapsed="false">
      <c r="J44" s="19" t="n">
        <f aca="false">60*J43</f>
        <v>8.58E-008</v>
      </c>
      <c r="K44" s="1" t="s">
        <v>66</v>
      </c>
    </row>
    <row r="45" customFormat="false" ht="12.75" hidden="false" customHeight="true" outlineLevel="0" collapsed="false">
      <c r="I45" s="1" t="s">
        <v>70</v>
      </c>
      <c r="J45" s="18" t="n">
        <f aca="false">J42/J43</f>
        <v>119273.9084</v>
      </c>
    </row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customFormat="false" ht="13.5" hidden="false" customHeight="true" outlineLevel="0" collapsed="false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customFormat="false" ht="12.75" hidden="false" customHeight="true" outlineLevel="0" collapsed="false">
      <c r="B86" s="3"/>
      <c r="C86" s="5" t="s">
        <v>71</v>
      </c>
      <c r="D86" s="6"/>
      <c r="E86" s="6"/>
      <c r="F86" s="6"/>
      <c r="G86" s="6"/>
      <c r="H86" s="6"/>
      <c r="I86" s="6"/>
      <c r="J86" s="6"/>
      <c r="K86" s="6"/>
      <c r="L86" s="7"/>
      <c r="M86" s="3"/>
    </row>
    <row r="87" customFormat="false" ht="12.75" hidden="false" customHeight="true" outlineLevel="0" collapsed="false">
      <c r="B87" s="3"/>
      <c r="C87" s="8" t="s">
        <v>72</v>
      </c>
      <c r="D87" s="3"/>
      <c r="E87" s="3"/>
      <c r="F87" s="3"/>
      <c r="G87" s="3"/>
      <c r="H87" s="3"/>
      <c r="I87" s="3"/>
      <c r="J87" s="3"/>
      <c r="K87" s="3"/>
      <c r="L87" s="9"/>
      <c r="M87" s="3"/>
    </row>
    <row r="88" customFormat="false" ht="12.75" hidden="false" customHeight="true" outlineLevel="0" collapsed="false">
      <c r="B88" s="3"/>
      <c r="C88" s="8" t="s">
        <v>73</v>
      </c>
      <c r="D88" s="3"/>
      <c r="E88" s="3"/>
      <c r="F88" s="3"/>
      <c r="G88" s="3"/>
      <c r="H88" s="3"/>
      <c r="I88" s="3"/>
      <c r="J88" s="3"/>
      <c r="K88" s="3"/>
      <c r="L88" s="9"/>
      <c r="M88" s="3"/>
    </row>
    <row r="89" customFormat="false" ht="13.5" hidden="false" customHeight="true" outlineLevel="0" collapsed="false">
      <c r="B89" s="3"/>
      <c r="C89" s="10" t="s">
        <v>74</v>
      </c>
      <c r="D89" s="4"/>
      <c r="E89" s="4"/>
      <c r="F89" s="4"/>
      <c r="G89" s="4"/>
      <c r="H89" s="4"/>
      <c r="I89" s="4"/>
      <c r="J89" s="4"/>
      <c r="K89" s="4"/>
      <c r="L89" s="11"/>
      <c r="M89" s="3"/>
    </row>
    <row r="90" customFormat="false" ht="12.75" hidden="false" customHeight="true" outlineLevel="0" collapsed="false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</row>
    <row r="91" customFormat="false" ht="12.75" hidden="false" customHeight="true" outlineLevel="0" collapsed="false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2.75" hidden="false" customHeight="true" outlineLevel="0" collapsed="false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</row>
    <row r="93" customFormat="false" ht="12.75" hidden="false" customHeight="true" outlineLevel="0" collapsed="false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</row>
    <row r="94" customFormat="false" ht="12.75" hidden="false" customHeight="true" outlineLevel="0" collapsed="false">
      <c r="B94" s="3"/>
      <c r="C94" s="3"/>
      <c r="D94" s="3"/>
      <c r="E94" s="3"/>
      <c r="F94" s="3"/>
      <c r="G94" s="3"/>
      <c r="H94" s="3"/>
      <c r="I94" s="3"/>
      <c r="J94" s="3"/>
      <c r="K94" s="20"/>
      <c r="L94" s="3"/>
      <c r="M94" s="3"/>
    </row>
    <row r="95" customFormat="false" ht="12.75" hidden="false" customHeight="true" outlineLevel="0" collapsed="false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customFormat="false" ht="13.5" hidden="false" customHeight="true" outlineLevel="0" collapsed="false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</row>
    <row r="97" customFormat="false" ht="12.75" hidden="false" customHeight="true" outlineLevel="0" collapsed="false">
      <c r="B97" s="3"/>
      <c r="C97" s="5" t="s">
        <v>75</v>
      </c>
      <c r="D97" s="6"/>
      <c r="E97" s="6"/>
      <c r="F97" s="6"/>
      <c r="G97" s="6"/>
      <c r="H97" s="6" t="s">
        <v>75</v>
      </c>
      <c r="I97" s="6"/>
      <c r="J97" s="6"/>
      <c r="K97" s="7"/>
      <c r="L97" s="3"/>
      <c r="M97" s="3"/>
    </row>
    <row r="98" customFormat="false" ht="12.75" hidden="false" customHeight="true" outlineLevel="0" collapsed="false">
      <c r="B98" s="3"/>
      <c r="C98" s="8" t="s">
        <v>76</v>
      </c>
      <c r="D98" s="3"/>
      <c r="E98" s="3"/>
      <c r="F98" s="3"/>
      <c r="G98" s="3"/>
      <c r="H98" s="3" t="s">
        <v>77</v>
      </c>
      <c r="I98" s="3"/>
      <c r="J98" s="3"/>
      <c r="K98" s="9"/>
      <c r="L98" s="3"/>
      <c r="M98" s="3"/>
    </row>
    <row r="99" customFormat="false" ht="12.75" hidden="false" customHeight="true" outlineLevel="0" collapsed="false">
      <c r="B99" s="3"/>
      <c r="C99" s="8" t="s">
        <v>78</v>
      </c>
      <c r="D99" s="3"/>
      <c r="E99" s="3"/>
      <c r="F99" s="3"/>
      <c r="G99" s="3"/>
      <c r="H99" s="3"/>
      <c r="I99" s="3" t="s">
        <v>79</v>
      </c>
      <c r="J99" s="3" t="s">
        <v>80</v>
      </c>
      <c r="K99" s="9"/>
      <c r="L99" s="3"/>
      <c r="M99" s="3"/>
    </row>
    <row r="100" customFormat="false" ht="12.75" hidden="false" customHeight="true" outlineLevel="0" collapsed="false">
      <c r="B100" s="3"/>
      <c r="C100" s="8" t="s">
        <v>81</v>
      </c>
      <c r="D100" s="3" t="s">
        <v>82</v>
      </c>
      <c r="E100" s="3" t="s">
        <v>83</v>
      </c>
      <c r="F100" s="3" t="s">
        <v>84</v>
      </c>
      <c r="G100" s="3" t="s">
        <v>85</v>
      </c>
      <c r="H100" s="3" t="s">
        <v>86</v>
      </c>
      <c r="I100" s="3"/>
      <c r="J100" s="3"/>
      <c r="K100" s="9"/>
      <c r="L100" s="3"/>
      <c r="M100" s="3"/>
    </row>
    <row r="101" customFormat="false" ht="12.75" hidden="false" customHeight="true" outlineLevel="0" collapsed="false">
      <c r="B101" s="3"/>
      <c r="C101" s="8" t="s">
        <v>87</v>
      </c>
      <c r="D101" s="3" t="n">
        <v>1.52859999979509</v>
      </c>
      <c r="E101" s="3" t="n">
        <v>0</v>
      </c>
      <c r="F101" s="3" t="n">
        <v>0.004320657110083</v>
      </c>
      <c r="G101" s="3" t="s">
        <v>88</v>
      </c>
      <c r="H101" s="3"/>
      <c r="I101" s="3" t="s">
        <v>89</v>
      </c>
      <c r="J101" s="3" t="n">
        <v>0.0208311136099551</v>
      </c>
      <c r="K101" s="9"/>
      <c r="L101" s="3"/>
      <c r="M101" s="3"/>
    </row>
    <row r="102" customFormat="false" ht="12.75" hidden="false" customHeight="true" outlineLevel="0" collapsed="false">
      <c r="B102" s="3"/>
      <c r="C102" s="8" t="s">
        <v>90</v>
      </c>
      <c r="D102" s="3" t="n">
        <v>3.05709999991532</v>
      </c>
      <c r="E102" s="3" t="n">
        <v>0</v>
      </c>
      <c r="F102" s="3" t="n">
        <v>0.006529079909897</v>
      </c>
      <c r="G102" s="3" t="s">
        <v>88</v>
      </c>
      <c r="H102" s="3"/>
      <c r="I102" s="3" t="s">
        <v>63</v>
      </c>
      <c r="J102" s="3" t="n">
        <v>6.21660532941357</v>
      </c>
      <c r="K102" s="9"/>
      <c r="L102" s="3"/>
      <c r="M102" s="3"/>
    </row>
    <row r="103" customFormat="false" ht="12.75" hidden="false" customHeight="true" outlineLevel="0" collapsed="false">
      <c r="B103" s="3"/>
      <c r="C103" s="8" t="s">
        <v>91</v>
      </c>
      <c r="D103" s="3" t="n">
        <v>4.58569999971042</v>
      </c>
      <c r="E103" s="3" t="n">
        <v>0</v>
      </c>
      <c r="F103" s="3" t="n">
        <v>0.008709093599795</v>
      </c>
      <c r="G103" s="3" t="s">
        <v>88</v>
      </c>
      <c r="H103" s="3" t="s">
        <v>92</v>
      </c>
      <c r="I103" s="3"/>
      <c r="J103" s="3"/>
      <c r="K103" s="9"/>
      <c r="L103" s="3"/>
      <c r="M103" s="3"/>
    </row>
    <row r="104" customFormat="false" ht="12.75" hidden="false" customHeight="true" outlineLevel="0" collapsed="false">
      <c r="B104" s="3"/>
      <c r="C104" s="8" t="s">
        <v>93</v>
      </c>
      <c r="D104" s="3" t="n">
        <v>6.11419999983064</v>
      </c>
      <c r="E104" s="3" t="n">
        <v>0</v>
      </c>
      <c r="F104" s="3" t="n">
        <v>0.010560957894971</v>
      </c>
      <c r="G104" s="3" t="s">
        <v>88</v>
      </c>
      <c r="H104" s="3"/>
      <c r="I104" s="3" t="s">
        <v>94</v>
      </c>
      <c r="J104" s="3" t="n">
        <v>1088.28519415901</v>
      </c>
      <c r="K104" s="9"/>
      <c r="L104" s="3"/>
      <c r="M104" s="3"/>
    </row>
    <row r="105" customFormat="false" ht="13.5" hidden="false" customHeight="true" outlineLevel="0" collapsed="false">
      <c r="B105" s="3"/>
      <c r="C105" s="10"/>
      <c r="D105" s="4"/>
      <c r="E105" s="4"/>
      <c r="F105" s="4"/>
      <c r="G105" s="4"/>
      <c r="H105" s="4"/>
      <c r="I105" s="4" t="s">
        <v>95</v>
      </c>
      <c r="J105" s="4" t="n">
        <v>0.980380639137351</v>
      </c>
      <c r="K105" s="11"/>
      <c r="L105" s="3"/>
      <c r="M105" s="3"/>
    </row>
    <row r="106" customFormat="false" ht="13.5" hidden="false" customHeight="true" outlineLevel="0" collapsed="false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</row>
    <row r="107" customFormat="false" ht="12.75" hidden="false" customHeight="true" outlineLevel="0" collapsed="false">
      <c r="B107" s="3"/>
      <c r="C107" s="5"/>
      <c r="D107" s="6"/>
      <c r="E107" s="6"/>
      <c r="F107" s="6"/>
      <c r="G107" s="6"/>
      <c r="H107" s="6"/>
      <c r="I107" s="6"/>
      <c r="J107" s="6"/>
      <c r="K107" s="7"/>
      <c r="L107" s="3"/>
      <c r="M107" s="3"/>
    </row>
    <row r="108" customFormat="false" ht="12.75" hidden="false" customHeight="true" outlineLevel="0" collapsed="false">
      <c r="B108" s="3"/>
      <c r="C108" s="8"/>
      <c r="D108" s="3"/>
      <c r="E108" s="3"/>
      <c r="F108" s="3"/>
      <c r="G108" s="3"/>
      <c r="H108" s="3"/>
      <c r="I108" s="3"/>
      <c r="J108" s="3"/>
      <c r="K108" s="9"/>
      <c r="L108" s="3"/>
      <c r="M108" s="3"/>
    </row>
    <row r="109" customFormat="false" ht="12.75" hidden="false" customHeight="true" outlineLevel="0" collapsed="false">
      <c r="B109" s="3"/>
      <c r="C109" s="8"/>
      <c r="D109" s="3"/>
      <c r="E109" s="3"/>
      <c r="F109" s="3"/>
      <c r="G109" s="3"/>
      <c r="H109" s="3"/>
      <c r="I109" s="3"/>
      <c r="J109" s="3"/>
      <c r="K109" s="9"/>
      <c r="L109" s="3"/>
      <c r="M109" s="3"/>
    </row>
    <row r="110" customFormat="false" ht="12.75" hidden="false" customHeight="true" outlineLevel="0" collapsed="false">
      <c r="B110" s="3"/>
      <c r="C110" s="8"/>
      <c r="D110" s="3"/>
      <c r="E110" s="3"/>
      <c r="F110" s="3"/>
      <c r="G110" s="3"/>
      <c r="H110" s="3"/>
      <c r="I110" s="3"/>
      <c r="J110" s="3"/>
      <c r="K110" s="9"/>
      <c r="L110" s="3"/>
      <c r="M110" s="3"/>
    </row>
    <row r="111" customFormat="false" ht="12.75" hidden="false" customHeight="true" outlineLevel="0" collapsed="false">
      <c r="B111" s="3"/>
      <c r="C111" s="8"/>
      <c r="D111" s="3"/>
      <c r="E111" s="3"/>
      <c r="F111" s="3"/>
      <c r="G111" s="3"/>
      <c r="H111" s="3"/>
      <c r="I111" s="3"/>
      <c r="J111" s="3"/>
      <c r="K111" s="9"/>
    </row>
    <row r="112" customFormat="false" ht="12.75" hidden="false" customHeight="true" outlineLevel="0" collapsed="false">
      <c r="B112" s="3"/>
      <c r="C112" s="8"/>
      <c r="D112" s="3"/>
      <c r="E112" s="3"/>
      <c r="F112" s="3"/>
      <c r="G112" s="3"/>
      <c r="H112" s="3"/>
      <c r="I112" s="3"/>
      <c r="J112" s="3"/>
      <c r="K112" s="9"/>
    </row>
    <row r="113" customFormat="false" ht="12.75" hidden="false" customHeight="true" outlineLevel="0" collapsed="false">
      <c r="B113" s="3"/>
      <c r="C113" s="8"/>
      <c r="D113" s="3"/>
      <c r="E113" s="3"/>
      <c r="F113" s="3"/>
      <c r="G113" s="3"/>
      <c r="H113" s="3"/>
      <c r="I113" s="3"/>
      <c r="J113" s="3"/>
      <c r="K113" s="21"/>
    </row>
    <row r="114" customFormat="false" ht="12.75" hidden="false" customHeight="true" outlineLevel="0" collapsed="false">
      <c r="B114" s="3"/>
      <c r="C114" s="8"/>
      <c r="D114" s="3"/>
      <c r="E114" s="3"/>
      <c r="F114" s="3"/>
      <c r="G114" s="3"/>
      <c r="H114" s="3"/>
      <c r="I114" s="3"/>
      <c r="J114" s="3"/>
      <c r="K114" s="9"/>
    </row>
    <row r="115" customFormat="false" ht="13.5" hidden="false" customHeight="true" outlineLevel="0" collapsed="false">
      <c r="B115" s="3"/>
      <c r="C115" s="10"/>
      <c r="D115" s="4"/>
      <c r="E115" s="4"/>
      <c r="F115" s="4"/>
      <c r="G115" s="4"/>
      <c r="H115" s="4"/>
      <c r="I115" s="4"/>
      <c r="J115" s="4"/>
      <c r="K115" s="11"/>
    </row>
    <row r="116" customFormat="false" ht="12.75" hidden="false" customHeight="true" outlineLevel="0" collapsed="false">
      <c r="B116" s="3"/>
      <c r="F116" s="3"/>
    </row>
    <row r="117" customFormat="false" ht="12.75" hidden="false" customHeight="true" outlineLevel="0" collapsed="false">
      <c r="B117" s="3"/>
      <c r="C117" s="3"/>
      <c r="D117" s="3"/>
      <c r="E117" s="3"/>
      <c r="F117" s="3"/>
      <c r="G117" s="3"/>
      <c r="H117" s="3"/>
    </row>
    <row r="118" customFormat="false" ht="12.75" hidden="false" customHeight="true" outlineLevel="0" collapsed="false">
      <c r="B118" s="3"/>
      <c r="C118" s="3"/>
      <c r="D118" s="3"/>
      <c r="E118" s="3"/>
      <c r="F118" s="3"/>
      <c r="G118" s="3"/>
      <c r="H118" s="3"/>
    </row>
    <row r="119" customFormat="false" ht="12.75" hidden="false" customHeight="true" outlineLevel="0" collapsed="false"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customFormat="false" ht="12.75" hidden="false" customHeight="true" outlineLevel="0" collapsed="false">
      <c r="B120" s="3"/>
      <c r="C120" s="3"/>
      <c r="D120" s="3"/>
      <c r="E120" s="3"/>
      <c r="F120" s="3"/>
      <c r="G120" s="3"/>
      <c r="H120" s="3"/>
    </row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14.57"/>
    <col collapsed="false" customWidth="true" hidden="false" outlineLevel="0" max="2" min="2" style="0" width="13.43"/>
    <col collapsed="false" customWidth="true" hidden="false" outlineLevel="0" max="3" min="3" style="0" width="14.57"/>
    <col collapsed="false" customWidth="true" hidden="false" outlineLevel="0" max="4" min="4" style="0" width="13.43"/>
    <col collapsed="false" customWidth="true" hidden="false" outlineLevel="0" max="5" min="5" style="0" width="14.57"/>
    <col collapsed="false" customWidth="true" hidden="false" outlineLevel="0" max="6" min="6" style="0" width="13.43"/>
    <col collapsed="false" customWidth="true" hidden="false" outlineLevel="0" max="7" min="7" style="0" width="14.57"/>
    <col collapsed="false" customWidth="true" hidden="false" outlineLevel="0" max="8" min="8" style="0" width="13.43"/>
    <col collapsed="false" customWidth="true" hidden="false" outlineLevel="0" max="26" min="9" style="0" width="8"/>
  </cols>
  <sheetData>
    <row r="1" customFormat="false" ht="12.75" hidden="false" customHeight="true" outlineLevel="0" collapsed="false">
      <c r="A1" s="1" t="s">
        <v>96</v>
      </c>
      <c r="B1" s="1" t="s">
        <v>97</v>
      </c>
    </row>
    <row r="2" customFormat="false" ht="12.75" hidden="false" customHeight="true" outlineLevel="0" collapsed="false">
      <c r="A2" s="1" t="s">
        <v>98</v>
      </c>
      <c r="B2" s="1" t="n">
        <v>161008</v>
      </c>
    </row>
    <row r="3" customFormat="false" ht="12.75" hidden="false" customHeight="true" outlineLevel="0" collapsed="false">
      <c r="A3" s="1" t="s">
        <v>81</v>
      </c>
      <c r="B3" s="1" t="s">
        <v>87</v>
      </c>
      <c r="C3" s="1" t="s">
        <v>81</v>
      </c>
      <c r="D3" s="1" t="s">
        <v>90</v>
      </c>
      <c r="E3" s="1" t="s">
        <v>81</v>
      </c>
      <c r="F3" s="1" t="s">
        <v>91</v>
      </c>
      <c r="G3" s="1" t="s">
        <v>81</v>
      </c>
      <c r="H3" s="1" t="s">
        <v>93</v>
      </c>
    </row>
    <row r="4" customFormat="false" ht="12.75" hidden="false" customHeight="true" outlineLevel="0" collapsed="false">
      <c r="A4" s="1" t="s">
        <v>99</v>
      </c>
      <c r="B4" s="1" t="s">
        <v>100</v>
      </c>
      <c r="C4" s="1" t="s">
        <v>99</v>
      </c>
      <c r="D4" s="1" t="s">
        <v>100</v>
      </c>
      <c r="E4" s="1" t="s">
        <v>99</v>
      </c>
      <c r="F4" s="1" t="s">
        <v>100</v>
      </c>
      <c r="G4" s="1" t="s">
        <v>99</v>
      </c>
      <c r="H4" s="1" t="s">
        <v>100</v>
      </c>
    </row>
    <row r="5" customFormat="false" ht="12.75" hidden="false" customHeight="true" outlineLevel="0" collapsed="false">
      <c r="A5" s="1" t="s">
        <v>101</v>
      </c>
      <c r="B5" s="1" t="s">
        <v>102</v>
      </c>
      <c r="C5" s="1" t="s">
        <v>101</v>
      </c>
      <c r="D5" s="1" t="s">
        <v>102</v>
      </c>
      <c r="E5" s="1" t="s">
        <v>101</v>
      </c>
      <c r="F5" s="1" t="s">
        <v>102</v>
      </c>
      <c r="G5" s="1" t="s">
        <v>101</v>
      </c>
      <c r="H5" s="1" t="s">
        <v>102</v>
      </c>
    </row>
    <row r="6" customFormat="false" ht="12.75" hidden="false" customHeight="true" outlineLevel="0" collapsed="false">
      <c r="A6" s="1" t="s">
        <v>103</v>
      </c>
      <c r="B6" s="22" t="n">
        <v>40301</v>
      </c>
      <c r="C6" s="1" t="s">
        <v>103</v>
      </c>
      <c r="D6" s="22" t="n">
        <v>40301</v>
      </c>
      <c r="E6" s="1" t="s">
        <v>103</v>
      </c>
      <c r="F6" s="22" t="n">
        <v>40301</v>
      </c>
      <c r="G6" s="1" t="s">
        <v>103</v>
      </c>
      <c r="H6" s="22" t="n">
        <v>40301</v>
      </c>
    </row>
    <row r="7" customFormat="false" ht="12.75" hidden="false" customHeight="true" outlineLevel="0" collapsed="false">
      <c r="A7" s="1" t="s">
        <v>104</v>
      </c>
      <c r="B7" s="1" t="s">
        <v>105</v>
      </c>
      <c r="C7" s="1" t="s">
        <v>104</v>
      </c>
      <c r="D7" s="1" t="s">
        <v>106</v>
      </c>
      <c r="E7" s="1" t="s">
        <v>104</v>
      </c>
      <c r="F7" s="1" t="s">
        <v>107</v>
      </c>
      <c r="G7" s="1" t="s">
        <v>104</v>
      </c>
      <c r="H7" s="1" t="s">
        <v>108</v>
      </c>
    </row>
    <row r="8" customFormat="false" ht="12.75" hidden="false" customHeight="true" outlineLevel="0" collapsed="false"/>
    <row r="9" customFormat="false" ht="12.75" hidden="false" customHeight="true" outlineLevel="0" collapsed="false">
      <c r="A9" s="1" t="s">
        <v>109</v>
      </c>
      <c r="B9" s="1" t="s">
        <v>110</v>
      </c>
      <c r="C9" s="1" t="s">
        <v>109</v>
      </c>
      <c r="D9" s="1" t="s">
        <v>111</v>
      </c>
      <c r="E9" s="1" t="s">
        <v>109</v>
      </c>
      <c r="F9" s="1" t="s">
        <v>112</v>
      </c>
      <c r="G9" s="1" t="s">
        <v>109</v>
      </c>
      <c r="H9" s="1" t="s">
        <v>113</v>
      </c>
    </row>
    <row r="10" customFormat="false" ht="12.75" hidden="false" customHeight="true" outlineLevel="0" collapsed="false">
      <c r="A10" s="1" t="s">
        <v>114</v>
      </c>
      <c r="B10" s="1" t="s">
        <v>115</v>
      </c>
      <c r="C10" s="1" t="s">
        <v>114</v>
      </c>
      <c r="D10" s="1" t="s">
        <v>115</v>
      </c>
      <c r="E10" s="1" t="s">
        <v>114</v>
      </c>
      <c r="F10" s="1" t="s">
        <v>115</v>
      </c>
      <c r="G10" s="1" t="s">
        <v>114</v>
      </c>
      <c r="H10" s="1" t="s">
        <v>115</v>
      </c>
    </row>
    <row r="11" customFormat="false" ht="12.75" hidden="false" customHeight="true" outlineLevel="0" collapsed="false">
      <c r="A11" s="1" t="n">
        <v>0</v>
      </c>
      <c r="B11" s="1" t="n">
        <v>0.001</v>
      </c>
      <c r="C11" s="1" t="n">
        <v>0</v>
      </c>
      <c r="D11" s="1" t="n">
        <v>0.011</v>
      </c>
      <c r="E11" s="1" t="n">
        <v>0</v>
      </c>
      <c r="F11" s="1" t="n">
        <v>0.024</v>
      </c>
      <c r="G11" s="1" t="n">
        <v>0</v>
      </c>
      <c r="H11" s="1" t="n">
        <v>0.033</v>
      </c>
    </row>
    <row r="12" customFormat="false" ht="12.75" hidden="false" customHeight="true" outlineLevel="0" collapsed="false">
      <c r="A12" s="1" t="n">
        <v>60</v>
      </c>
      <c r="B12" s="1" t="n">
        <v>0.005</v>
      </c>
      <c r="C12" s="1" t="n">
        <v>60</v>
      </c>
      <c r="D12" s="1" t="n">
        <v>0.017</v>
      </c>
      <c r="E12" s="1" t="n">
        <v>60</v>
      </c>
      <c r="F12" s="1" t="n">
        <v>0.032</v>
      </c>
      <c r="G12" s="1" t="n">
        <v>60</v>
      </c>
      <c r="H12" s="1" t="n">
        <v>0.042</v>
      </c>
    </row>
    <row r="13" customFormat="false" ht="12.75" hidden="false" customHeight="true" outlineLevel="0" collapsed="false">
      <c r="A13" s="1" t="n">
        <v>120</v>
      </c>
      <c r="B13" s="1" t="n">
        <v>0.009</v>
      </c>
      <c r="C13" s="1" t="n">
        <v>120</v>
      </c>
      <c r="D13" s="1" t="n">
        <v>0.023</v>
      </c>
      <c r="E13" s="1" t="n">
        <v>120</v>
      </c>
      <c r="F13" s="1" t="n">
        <v>0.04</v>
      </c>
      <c r="G13" s="1" t="n">
        <v>120</v>
      </c>
      <c r="H13" s="1" t="n">
        <v>0.052</v>
      </c>
    </row>
    <row r="14" customFormat="false" ht="12.75" hidden="false" customHeight="true" outlineLevel="0" collapsed="false">
      <c r="A14" s="1" t="n">
        <v>180</v>
      </c>
      <c r="B14" s="1" t="n">
        <v>0.013</v>
      </c>
      <c r="C14" s="1" t="n">
        <v>180</v>
      </c>
      <c r="D14" s="1" t="n">
        <v>0.029</v>
      </c>
      <c r="E14" s="1" t="n">
        <v>180</v>
      </c>
      <c r="F14" s="1" t="n">
        <v>0.048</v>
      </c>
      <c r="G14" s="1" t="n">
        <v>180</v>
      </c>
      <c r="H14" s="1" t="n">
        <v>0.061</v>
      </c>
    </row>
    <row r="15" customFormat="false" ht="12.75" hidden="false" customHeight="true" outlineLevel="0" collapsed="false">
      <c r="A15" s="1" t="n">
        <v>240</v>
      </c>
      <c r="B15" s="1" t="n">
        <v>0.018</v>
      </c>
      <c r="C15" s="1" t="n">
        <v>240</v>
      </c>
      <c r="D15" s="1" t="n">
        <v>0.036</v>
      </c>
      <c r="E15" s="1" t="n">
        <v>240</v>
      </c>
      <c r="F15" s="1" t="n">
        <v>0.056</v>
      </c>
      <c r="G15" s="1" t="n">
        <v>240</v>
      </c>
      <c r="H15" s="1" t="n">
        <v>0.072</v>
      </c>
    </row>
    <row r="16" customFormat="false" ht="12.75" hidden="false" customHeight="true" outlineLevel="0" collapsed="false">
      <c r="A16" s="1" t="n">
        <v>300</v>
      </c>
      <c r="B16" s="1" t="n">
        <v>0.022</v>
      </c>
      <c r="C16" s="1" t="n">
        <v>300</v>
      </c>
      <c r="D16" s="1" t="n">
        <v>0.042</v>
      </c>
      <c r="E16" s="1" t="n">
        <v>300</v>
      </c>
      <c r="F16" s="1" t="n">
        <v>0.064</v>
      </c>
      <c r="G16" s="1" t="n">
        <v>300</v>
      </c>
      <c r="H16" s="1" t="n">
        <v>0.081</v>
      </c>
    </row>
    <row r="17" customFormat="false" ht="12.75" hidden="false" customHeight="true" outlineLevel="0" collapsed="false">
      <c r="A17" s="1" t="n">
        <v>360</v>
      </c>
      <c r="B17" s="1" t="n">
        <v>0.027</v>
      </c>
      <c r="C17" s="1" t="n">
        <v>360</v>
      </c>
      <c r="D17" s="1" t="n">
        <v>0.049</v>
      </c>
      <c r="E17" s="1" t="n">
        <v>360</v>
      </c>
      <c r="F17" s="1" t="n">
        <v>0.073</v>
      </c>
      <c r="G17" s="1" t="n">
        <v>360</v>
      </c>
      <c r="H17" s="1" t="n">
        <v>0.09</v>
      </c>
    </row>
    <row r="18" customFormat="false" ht="12.75" hidden="false" customHeight="true" outlineLevel="0" collapsed="false">
      <c r="A18" s="1" t="n">
        <v>420</v>
      </c>
      <c r="B18" s="1" t="n">
        <v>0.031</v>
      </c>
      <c r="C18" s="1" t="n">
        <v>420</v>
      </c>
      <c r="D18" s="1" t="n">
        <v>0.055</v>
      </c>
      <c r="E18" s="1" t="n">
        <v>420</v>
      </c>
      <c r="F18" s="1" t="n">
        <v>0.082</v>
      </c>
      <c r="G18" s="1" t="n">
        <v>420</v>
      </c>
      <c r="H18" s="1" t="n">
        <v>0.1</v>
      </c>
    </row>
    <row r="19" customFormat="false" ht="12.75" hidden="false" customHeight="true" outlineLevel="0" collapsed="false">
      <c r="A19" s="1" t="n">
        <v>480</v>
      </c>
      <c r="B19" s="1" t="n">
        <v>0.035</v>
      </c>
      <c r="C19" s="1" t="n">
        <v>480</v>
      </c>
      <c r="D19" s="1" t="n">
        <v>0.062</v>
      </c>
      <c r="E19" s="1" t="n">
        <v>480</v>
      </c>
      <c r="F19" s="1" t="n">
        <v>0.09</v>
      </c>
      <c r="G19" s="1" t="n">
        <v>480</v>
      </c>
      <c r="H19" s="1" t="n">
        <v>0.111</v>
      </c>
    </row>
    <row r="20" customFormat="false" ht="12.75" hidden="false" customHeight="true" outlineLevel="0" collapsed="false">
      <c r="A20" s="1" t="n">
        <v>540</v>
      </c>
      <c r="B20" s="1" t="n">
        <v>0.04</v>
      </c>
      <c r="C20" s="1" t="n">
        <v>540</v>
      </c>
      <c r="D20" s="1" t="n">
        <v>0.068</v>
      </c>
      <c r="E20" s="1" t="n">
        <v>540</v>
      </c>
      <c r="F20" s="1" t="n">
        <v>0.098</v>
      </c>
      <c r="G20" s="1" t="n">
        <v>540</v>
      </c>
      <c r="H20" s="1" t="n">
        <v>0.121</v>
      </c>
    </row>
    <row r="21" customFormat="false" ht="12.75" hidden="false" customHeight="true" outlineLevel="0" collapsed="false">
      <c r="A21" s="1" t="n">
        <v>600</v>
      </c>
      <c r="B21" s="1" t="n">
        <v>0.044</v>
      </c>
      <c r="C21" s="1" t="n">
        <v>600</v>
      </c>
      <c r="D21" s="1" t="n">
        <v>0.075</v>
      </c>
      <c r="E21" s="1" t="n">
        <v>600</v>
      </c>
      <c r="F21" s="1" t="n">
        <v>0.107</v>
      </c>
      <c r="G21" s="1" t="n">
        <v>600</v>
      </c>
      <c r="H21" s="1" t="n">
        <v>0.132</v>
      </c>
    </row>
    <row r="22" customFormat="false" ht="12.75" hidden="false" customHeight="true" outlineLevel="0" collapsed="false">
      <c r="A22" s="1" t="n">
        <v>660</v>
      </c>
      <c r="B22" s="1" t="n">
        <v>0.049</v>
      </c>
      <c r="C22" s="1" t="n">
        <v>660</v>
      </c>
      <c r="D22" s="1" t="n">
        <v>0.081</v>
      </c>
      <c r="E22" s="1" t="n">
        <v>660</v>
      </c>
      <c r="F22" s="1" t="n">
        <v>0.115</v>
      </c>
      <c r="G22" s="1" t="n">
        <v>660</v>
      </c>
      <c r="H22" s="1" t="n">
        <v>0.142</v>
      </c>
    </row>
    <row r="23" customFormat="false" ht="12.75" hidden="false" customHeight="true" outlineLevel="0" collapsed="false">
      <c r="A23" s="1" t="n">
        <v>720</v>
      </c>
      <c r="B23" s="1" t="n">
        <v>0.052</v>
      </c>
      <c r="C23" s="1" t="n">
        <v>720</v>
      </c>
      <c r="D23" s="1" t="n">
        <v>0.088</v>
      </c>
      <c r="E23" s="1" t="n">
        <v>720</v>
      </c>
      <c r="F23" s="1" t="n">
        <v>0.124</v>
      </c>
      <c r="G23" s="1" t="n">
        <v>720</v>
      </c>
      <c r="H23" s="1" t="n">
        <v>0.153</v>
      </c>
    </row>
    <row r="24" customFormat="false" ht="12.75" hidden="false" customHeight="true" outlineLevel="0" collapsed="false">
      <c r="A24" s="1" t="n">
        <v>780</v>
      </c>
      <c r="B24" s="1" t="n">
        <v>0.057</v>
      </c>
      <c r="C24" s="1" t="n">
        <v>780</v>
      </c>
      <c r="D24" s="1" t="n">
        <v>0.094</v>
      </c>
      <c r="E24" s="1" t="n">
        <v>780</v>
      </c>
      <c r="F24" s="1" t="n">
        <v>0.133</v>
      </c>
      <c r="G24" s="1" t="n">
        <v>780</v>
      </c>
      <c r="H24" s="1" t="n">
        <v>0.164</v>
      </c>
    </row>
    <row r="25" customFormat="false" ht="12.75" hidden="false" customHeight="true" outlineLevel="0" collapsed="false">
      <c r="A25" s="1" t="n">
        <v>840</v>
      </c>
      <c r="B25" s="1" t="n">
        <v>0.061</v>
      </c>
      <c r="C25" s="1" t="n">
        <v>840</v>
      </c>
      <c r="D25" s="1" t="n">
        <v>0.1</v>
      </c>
      <c r="E25" s="1" t="n">
        <v>840</v>
      </c>
      <c r="F25" s="1" t="n">
        <v>0.141</v>
      </c>
      <c r="G25" s="1" t="n">
        <v>840</v>
      </c>
      <c r="H25" s="1" t="n">
        <v>0.175</v>
      </c>
    </row>
    <row r="26" customFormat="false" ht="12.75" hidden="false" customHeight="true" outlineLevel="0" collapsed="false">
      <c r="A26" s="1" t="n">
        <v>900</v>
      </c>
      <c r="B26" s="1" t="n">
        <v>0.065</v>
      </c>
      <c r="C26" s="1" t="n">
        <v>900</v>
      </c>
      <c r="D26" s="1" t="n">
        <v>0.107</v>
      </c>
      <c r="E26" s="1" t="n">
        <v>900</v>
      </c>
      <c r="F26" s="1" t="n">
        <v>0.15</v>
      </c>
      <c r="G26" s="1" t="n">
        <v>900</v>
      </c>
      <c r="H26" s="1" t="n">
        <v>0.187</v>
      </c>
    </row>
    <row r="27" customFormat="false" ht="12.75" hidden="false" customHeight="true" outlineLevel="0" collapsed="false">
      <c r="A27" s="1" t="n">
        <v>960</v>
      </c>
      <c r="B27" s="1" t="n">
        <v>0.07</v>
      </c>
      <c r="C27" s="1" t="n">
        <v>960</v>
      </c>
      <c r="D27" s="1" t="n">
        <v>0.114</v>
      </c>
      <c r="E27" s="1" t="n">
        <v>960</v>
      </c>
      <c r="F27" s="1" t="n">
        <v>0.159</v>
      </c>
      <c r="G27" s="1" t="n">
        <v>960</v>
      </c>
      <c r="H27" s="1" t="n">
        <v>0.198</v>
      </c>
    </row>
    <row r="28" customFormat="false" ht="12.75" hidden="false" customHeight="true" outlineLevel="0" collapsed="false">
      <c r="A28" s="1" t="n">
        <v>1020</v>
      </c>
      <c r="B28" s="1" t="n">
        <v>0.074</v>
      </c>
      <c r="C28" s="1" t="n">
        <v>1020</v>
      </c>
      <c r="D28" s="1" t="n">
        <v>0.12</v>
      </c>
      <c r="E28" s="1" t="n">
        <v>1020</v>
      </c>
      <c r="F28" s="1" t="n">
        <v>0.168</v>
      </c>
      <c r="G28" s="1" t="n">
        <v>1020</v>
      </c>
      <c r="H28" s="1" t="n">
        <v>0.21</v>
      </c>
    </row>
    <row r="29" customFormat="false" ht="12.75" hidden="false" customHeight="true" outlineLevel="0" collapsed="false">
      <c r="A29" s="1" t="n">
        <v>1080</v>
      </c>
      <c r="B29" s="1" t="n">
        <v>0.079</v>
      </c>
      <c r="C29" s="1" t="n">
        <v>1080</v>
      </c>
      <c r="D29" s="1" t="n">
        <v>0.127</v>
      </c>
      <c r="E29" s="1" t="n">
        <v>1080</v>
      </c>
      <c r="F29" s="1" t="n">
        <v>0.176</v>
      </c>
      <c r="G29" s="1" t="n">
        <v>1080</v>
      </c>
      <c r="H29" s="1" t="n">
        <v>0.222</v>
      </c>
    </row>
    <row r="30" customFormat="false" ht="12.75" hidden="false" customHeight="true" outlineLevel="0" collapsed="false">
      <c r="A30" s="1" t="n">
        <v>1140</v>
      </c>
      <c r="B30" s="1" t="n">
        <v>0.084</v>
      </c>
      <c r="C30" s="1" t="n">
        <v>1140</v>
      </c>
      <c r="D30" s="1" t="n">
        <v>0.133</v>
      </c>
      <c r="E30" s="1" t="n">
        <v>1140</v>
      </c>
      <c r="F30" s="1" t="n">
        <v>0.185</v>
      </c>
      <c r="G30" s="1" t="n">
        <v>1140</v>
      </c>
      <c r="H30" s="1" t="n">
        <v>0.234</v>
      </c>
    </row>
    <row r="31" customFormat="false" ht="12.75" hidden="false" customHeight="true" outlineLevel="0" collapsed="false">
      <c r="A31" s="1" t="n">
        <v>1200</v>
      </c>
      <c r="B31" s="1" t="n">
        <v>0.087</v>
      </c>
      <c r="C31" s="1" t="n">
        <v>1200</v>
      </c>
      <c r="D31" s="1" t="n">
        <v>0.14</v>
      </c>
      <c r="E31" s="1" t="n">
        <v>1200</v>
      </c>
      <c r="F31" s="1" t="n">
        <v>0.193</v>
      </c>
      <c r="G31" s="1" t="n">
        <v>1200</v>
      </c>
      <c r="H31" s="1" t="n">
        <v>0.241</v>
      </c>
    </row>
    <row r="32" customFormat="false" ht="12.75" hidden="false" customHeight="true" outlineLevel="0" collapsed="false">
      <c r="A32" s="1" t="n">
        <v>1260</v>
      </c>
      <c r="B32" s="1" t="n">
        <v>0.091</v>
      </c>
      <c r="C32" s="1" t="n">
        <v>1260</v>
      </c>
      <c r="D32" s="1" t="n">
        <v>0.147</v>
      </c>
      <c r="E32" s="1" t="n">
        <v>1260</v>
      </c>
      <c r="F32" s="1" t="n">
        <v>0.202</v>
      </c>
      <c r="G32" s="1" t="n">
        <v>1260</v>
      </c>
      <c r="H32" s="1" t="n">
        <v>0.252</v>
      </c>
    </row>
    <row r="33" customFormat="false" ht="12.75" hidden="false" customHeight="true" outlineLevel="0" collapsed="false">
      <c r="A33" s="1" t="n">
        <v>1320</v>
      </c>
      <c r="B33" s="1" t="n">
        <v>0.096</v>
      </c>
      <c r="C33" s="1" t="n">
        <v>1320</v>
      </c>
      <c r="D33" s="1" t="n">
        <v>0.153</v>
      </c>
      <c r="E33" s="1" t="n">
        <v>1320</v>
      </c>
      <c r="F33" s="1" t="n">
        <v>0.212</v>
      </c>
      <c r="G33" s="1" t="n">
        <v>1320</v>
      </c>
      <c r="H33" s="1" t="n">
        <v>0.265</v>
      </c>
    </row>
    <row r="34" customFormat="false" ht="12.75" hidden="false" customHeight="true" outlineLevel="0" collapsed="false">
      <c r="A34" s="1" t="n">
        <v>1380</v>
      </c>
      <c r="B34" s="1" t="n">
        <v>0.101</v>
      </c>
      <c r="C34" s="1" t="n">
        <v>1380</v>
      </c>
      <c r="D34" s="1" t="n">
        <v>0.159</v>
      </c>
      <c r="E34" s="1" t="n">
        <v>1380</v>
      </c>
      <c r="F34" s="1" t="n">
        <v>0.22</v>
      </c>
      <c r="G34" s="1" t="n">
        <v>1380</v>
      </c>
      <c r="H34" s="1" t="n">
        <v>0.276</v>
      </c>
    </row>
    <row r="35" customFormat="false" ht="12.75" hidden="false" customHeight="true" outlineLevel="0" collapsed="false">
      <c r="A35" s="1" t="n">
        <v>1440</v>
      </c>
      <c r="B35" s="1" t="n">
        <v>0.104</v>
      </c>
      <c r="C35" s="1" t="n">
        <v>1440</v>
      </c>
      <c r="D35" s="1" t="n">
        <v>0.166</v>
      </c>
      <c r="E35" s="1" t="n">
        <v>1440</v>
      </c>
      <c r="F35" s="1" t="n">
        <v>0.229</v>
      </c>
      <c r="G35" s="1" t="n">
        <v>1440</v>
      </c>
      <c r="H35" s="1" t="n">
        <v>0.288</v>
      </c>
    </row>
    <row r="36" customFormat="false" ht="12.75" hidden="false" customHeight="true" outlineLevel="0" collapsed="false">
      <c r="A36" s="1" t="n">
        <v>1500</v>
      </c>
      <c r="B36" s="1" t="n">
        <v>0.109</v>
      </c>
      <c r="C36" s="1" t="n">
        <v>1500</v>
      </c>
      <c r="D36" s="1" t="n">
        <v>0.173</v>
      </c>
      <c r="E36" s="1" t="n">
        <v>1500</v>
      </c>
      <c r="F36" s="1" t="n">
        <v>0.238</v>
      </c>
      <c r="G36" s="1" t="n">
        <v>1500</v>
      </c>
      <c r="H36" s="1" t="n">
        <v>0.293</v>
      </c>
    </row>
    <row r="37" customFormat="false" ht="12.75" hidden="false" customHeight="true" outlineLevel="0" collapsed="false">
      <c r="A37" s="1" t="n">
        <v>1560</v>
      </c>
      <c r="B37" s="1" t="n">
        <v>0.113</v>
      </c>
      <c r="C37" s="1" t="n">
        <v>1560</v>
      </c>
      <c r="D37" s="1" t="n">
        <v>0.179</v>
      </c>
      <c r="E37" s="1" t="n">
        <v>1560</v>
      </c>
      <c r="F37" s="1" t="n">
        <v>0.247</v>
      </c>
      <c r="G37" s="1" t="n">
        <v>1560</v>
      </c>
      <c r="H37" s="1" t="n">
        <v>0.305</v>
      </c>
    </row>
    <row r="38" customFormat="false" ht="12.75" hidden="false" customHeight="true" outlineLevel="0" collapsed="false">
      <c r="A38" s="1" t="n">
        <v>1620</v>
      </c>
      <c r="B38" s="1" t="n">
        <v>0.117</v>
      </c>
      <c r="C38" s="1" t="n">
        <v>1620</v>
      </c>
      <c r="D38" s="1" t="n">
        <v>0.186</v>
      </c>
      <c r="E38" s="1" t="n">
        <v>1620</v>
      </c>
      <c r="F38" s="1" t="n">
        <v>0.256</v>
      </c>
      <c r="G38" s="1" t="n">
        <v>1620</v>
      </c>
      <c r="H38" s="1" t="n">
        <v>0.309</v>
      </c>
    </row>
    <row r="39" customFormat="false" ht="12.75" hidden="false" customHeight="true" outlineLevel="0" collapsed="false">
      <c r="A39" s="1" t="n">
        <v>1680</v>
      </c>
      <c r="B39" s="1" t="n">
        <v>0.122</v>
      </c>
      <c r="C39" s="1" t="n">
        <v>1680</v>
      </c>
      <c r="D39" s="1" t="n">
        <v>0.193</v>
      </c>
      <c r="E39" s="1" t="n">
        <v>1680</v>
      </c>
      <c r="F39" s="1" t="n">
        <v>0.265</v>
      </c>
      <c r="G39" s="1" t="n">
        <v>1680</v>
      </c>
      <c r="H39" s="1" t="n">
        <v>0.32</v>
      </c>
    </row>
    <row r="40" customFormat="false" ht="12.75" hidden="false" customHeight="true" outlineLevel="0" collapsed="false">
      <c r="A40" s="1" t="n">
        <v>1740</v>
      </c>
      <c r="B40" s="1" t="n">
        <v>0.127</v>
      </c>
      <c r="C40" s="1" t="n">
        <v>1740</v>
      </c>
      <c r="D40" s="1" t="n">
        <v>0.199</v>
      </c>
      <c r="E40" s="1" t="n">
        <v>1740</v>
      </c>
      <c r="F40" s="1" t="n">
        <v>0.274</v>
      </c>
      <c r="G40" s="1" t="n">
        <v>1740</v>
      </c>
      <c r="H40" s="1" t="n">
        <v>0.331</v>
      </c>
    </row>
    <row r="41" customFormat="false" ht="12.75" hidden="false" customHeight="true" outlineLevel="0" collapsed="false">
      <c r="A41" s="1" t="n">
        <v>1800</v>
      </c>
      <c r="B41" s="1" t="n">
        <v>0.13</v>
      </c>
      <c r="C41" s="1" t="n">
        <v>1800</v>
      </c>
      <c r="D41" s="1" t="n">
        <v>0.206</v>
      </c>
      <c r="E41" s="1" t="n">
        <v>1800</v>
      </c>
      <c r="F41" s="1" t="n">
        <v>0.284</v>
      </c>
      <c r="G41" s="1" t="n">
        <v>1800</v>
      </c>
      <c r="H41" s="1" t="n">
        <v>0.343</v>
      </c>
    </row>
    <row r="42" customFormat="false" ht="12.75" hidden="false" customHeight="true" outlineLevel="0" collapsed="false">
      <c r="A42" s="1" t="n">
        <v>1860</v>
      </c>
      <c r="B42" s="1" t="n">
        <v>0.134</v>
      </c>
      <c r="C42" s="1" t="n">
        <v>1860</v>
      </c>
      <c r="D42" s="1" t="n">
        <v>0.213</v>
      </c>
      <c r="E42" s="1" t="n">
        <v>1860</v>
      </c>
      <c r="F42" s="1" t="n">
        <v>0.293</v>
      </c>
      <c r="G42" s="1" t="n">
        <v>1860</v>
      </c>
      <c r="H42" s="1" t="n">
        <v>0.354</v>
      </c>
    </row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>
      <c r="K47" s="23" t="s">
        <v>116</v>
      </c>
      <c r="L47" s="23" t="s">
        <v>84</v>
      </c>
      <c r="M47" s="23" t="s">
        <v>117</v>
      </c>
    </row>
    <row r="48" customFormat="false" ht="12.75" hidden="false" customHeight="true" outlineLevel="0" collapsed="false">
      <c r="K48" s="1" t="n">
        <v>1.52855178403416</v>
      </c>
      <c r="L48" s="23" t="n">
        <v>6.9</v>
      </c>
      <c r="M48" s="1" t="n">
        <f aca="false">K48/L48</f>
        <v>0.221529244062922</v>
      </c>
    </row>
    <row r="49" customFormat="false" ht="12.75" hidden="false" customHeight="true" outlineLevel="0" collapsed="false">
      <c r="K49" s="1" t="n">
        <v>3.05710356806832</v>
      </c>
      <c r="L49" s="23" t="n">
        <v>10.2</v>
      </c>
      <c r="M49" s="1" t="n">
        <f aca="false">K49/L49</f>
        <v>0.29971603608513</v>
      </c>
    </row>
    <row r="50" customFormat="false" ht="12.75" hidden="false" customHeight="true" outlineLevel="0" collapsed="false">
      <c r="K50" s="1" t="n">
        <v>4.58565535210248</v>
      </c>
      <c r="L50" s="23" t="n">
        <v>13.2</v>
      </c>
      <c r="M50" s="1" t="n">
        <f aca="false">K50/L50</f>
        <v>0.347398132735037</v>
      </c>
    </row>
    <row r="51" customFormat="false" ht="12.75" hidden="false" customHeight="true" outlineLevel="0" collapsed="false">
      <c r="K51" s="1" t="n">
        <v>6.11420713613664</v>
      </c>
      <c r="L51" s="23" t="n">
        <v>15.5</v>
      </c>
      <c r="M51" s="1" t="n">
        <f aca="false">K51/L51</f>
        <v>0.394464976524945</v>
      </c>
    </row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  <dc:description/>
  <dc:language>en-BS</dc:language>
  <cp:lastModifiedBy/>
  <dcterms:modified xsi:type="dcterms:W3CDTF">2024-12-12T22:14:22Z</dcterms:modified>
  <cp:revision>1</cp:revision>
  <dc:subject/>
  <dc:title/>
</cp:coreProperties>
</file>