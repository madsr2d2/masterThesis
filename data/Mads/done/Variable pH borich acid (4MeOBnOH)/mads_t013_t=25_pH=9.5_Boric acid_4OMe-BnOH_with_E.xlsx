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13" vbProcedure="false">Sheet2!$A$1:$H$91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<sst xmlns="http://schemas.openxmlformats.org/spreadsheetml/2006/main" count="182" uniqueCount="119">
  <si>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</si>
  <si>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</si>
  <si>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</si>
  <si>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</si>
  <si>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</si>
  <si>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</si>
  <si>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</si>
  <si>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</si>
  <si>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</si>
  <si>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</si>
  <si>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</si>
  <si>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</si>
  <si>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</si>
  <si>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</si>
  <si>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</si>
  <si>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</si>
  <si>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</si>
  <si>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</si>
  <si>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</si>
  <si>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</si>
  <si>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</si>
  <si>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</si>
  <si>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</si>
  <si>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</si>
  <si>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</si>
  <si>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</si>
  <si>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</si>
  <si>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</si>
  <si>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</si>
  <si>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</si>
  <si>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</si>
  <si>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</si>
  <si>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</si>
  <si>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</si>
  <si>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</si>
  <si>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</si>
  <si>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</si>
  <si>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</si>
  <si>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</si>
  <si>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</si>
  <si>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</si>
  <si>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</si>
  <si>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</si>
  <si>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</si>
  <si>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</si>
  <si>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</si>
  <si>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</si>
  <si>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</si>
  <si>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</si>
  <si>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</si>
  <si>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</si>
  <si>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</si>
  <si>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</si>
  <si>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</si>
  <si>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</si>
  <si>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</si>
  <si>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</si>
  <si>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</si>
  <si>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</si>
  <si>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</si>
  <si>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</si>
  <si>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</si>
  <si>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</si>
  <si>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</si>
  <si>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</si>
  <si>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</si>
  <si>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</si>
  <si>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</si>
  <si>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</si>
  <si>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Buffer was prepeared by mixing 0.0699g NaBH4 with 0.1964 g B(OH)3 in 0.05 l water and the pH was adjusted with a NaOH solution.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</si>
  <si>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</si>
  <si>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</si>
  <si>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</si>
  <si>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</si>
  <si>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- 012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</si>
  <si>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</si>
  <si>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</si>
  <si>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</si>
  <si>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</si>
  <si>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</si>
  <si>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</si>
  <si>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</si>
  <si>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</si>
  <si>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</si>
  <si>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</si>
  <si>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</si>
  <si>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</si>
  <si>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</si>
  <si>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No</t>
  </si>
  <si>
    <t xml:space="preserve">Sample002</t>
  </si>
  <si>
    <t xml:space="preserve">Yes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</si>
  <si>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</si>
  <si>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</si>
  <si>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</si>
  <si>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</si>
  <si>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</si>
  <si>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Batch</t>
  </si>
  <si>
    <t xml:space="preserve">mads_t013.rre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</si>
  <si>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</si>
  <si>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</si>
  <si>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</si>
  <si>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</si>
  <si>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</si>
  <si>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</si>
  <si>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4/17/2010</t>
  </si>
  <si>
    <t xml:space="preserve">Time Collected</t>
  </si>
  <si>
    <t xml:space="preserve">11:32:16PM</t>
  </si>
  <si>
    <t xml:space="preserve">10:29:24PM</t>
  </si>
  <si>
    <t xml:space="preserve">10:29:31PM</t>
  </si>
  <si>
    <t xml:space="preserve">10:29:38PM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</si>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</sst>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E+00"/>
    <numFmt numFmtId="168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73143614"/>
        <c:axId val="74140988"/>
      </c:scatterChart>
      <c:valAx>
        <c:axId val="73143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140988"/>
        <c:crosses val="autoZero"/>
        <c:crossBetween val="midCat"/>
      </c:valAx>
      <c:valAx>
        <c:axId val="741409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1436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4483784"/>
        <c:axId val="48677496"/>
      </c:barChart>
      <c:catAx>
        <c:axId val="64483784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8677496"/>
        <c:auto val="1"/>
        <c:lblAlgn val="ctr"/>
        <c:lblOffset val="100"/>
        <c:noMultiLvlLbl val="0"/>
      </c:catAx>
      <c:valAx>
        <c:axId val="48677496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4483784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93046079"/>
        <c:axId val="76416258"/>
      </c:scatterChart>
      <c:valAx>
        <c:axId val="93046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416258"/>
        <c:crosses val="autoZero"/>
        <c:crossBetween val="midCat"/>
      </c:valAx>
      <c:valAx>
        <c:axId val="764162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0460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91262977"/>
        <c:axId val="17005446"/>
      </c:barChart>
      <c:catAx>
        <c:axId val="91262977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7005446"/>
        <c:auto val="1"/>
        <c:lblAlgn val="ctr"/>
        <c:lblOffset val="100"/>
        <c:noMultiLvlLbl val="0"/>
      </c:catAx>
      <c:valAx>
        <c:axId val="17005446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1262977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</c:numCache>
            </c:numRef>
          </c:xVal>
          <c:yVal>
            <c:numRef>
              <c:f>Sheet2!$B$12:$B$20</c:f>
              <c:numCache>
                <c:formatCode>General</c:formatCode>
                <c:ptCount val="9"/>
                <c:pt idx="0">
                  <c:v>0.002</c:v>
                </c:pt>
                <c:pt idx="1">
                  <c:v>0.004</c:v>
                </c:pt>
                <c:pt idx="2">
                  <c:v>0.006</c:v>
                </c:pt>
                <c:pt idx="3">
                  <c:v>0.009</c:v>
                </c:pt>
                <c:pt idx="4">
                  <c:v>0.012</c:v>
                </c:pt>
                <c:pt idx="5">
                  <c:v>0.015</c:v>
                </c:pt>
                <c:pt idx="6">
                  <c:v>0.019</c:v>
                </c:pt>
                <c:pt idx="7">
                  <c:v>0.022</c:v>
                </c:pt>
                <c:pt idx="8">
                  <c:v>0.026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</c:numCache>
            </c:numRef>
          </c:xVal>
          <c:yVal>
            <c:numRef>
              <c:f>Sheet2!$D$12:$D$17</c:f>
              <c:numCache>
                <c:formatCode>General</c:formatCode>
                <c:ptCount val="6"/>
                <c:pt idx="0">
                  <c:v>0.016</c:v>
                </c:pt>
                <c:pt idx="1">
                  <c:v>0.019</c:v>
                </c:pt>
                <c:pt idx="2">
                  <c:v>0.022</c:v>
                </c:pt>
                <c:pt idx="3">
                  <c:v>0.024</c:v>
                </c:pt>
                <c:pt idx="4">
                  <c:v>0.027</c:v>
                </c:pt>
                <c:pt idx="5">
                  <c:v>0.03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</c:numCache>
            </c:numRef>
          </c:xVal>
          <c:yVal>
            <c:numRef>
              <c:f>Sheet2!$F$12:$F$20</c:f>
              <c:numCache>
                <c:formatCode>General</c:formatCode>
                <c:ptCount val="9"/>
                <c:pt idx="0">
                  <c:v>0.017</c:v>
                </c:pt>
                <c:pt idx="1">
                  <c:v>0.019</c:v>
                </c:pt>
                <c:pt idx="2">
                  <c:v>0.021</c:v>
                </c:pt>
                <c:pt idx="3">
                  <c:v>0.023</c:v>
                </c:pt>
                <c:pt idx="4">
                  <c:v>0.026</c:v>
                </c:pt>
                <c:pt idx="5">
                  <c:v>0.028</c:v>
                </c:pt>
                <c:pt idx="6">
                  <c:v>0.032</c:v>
                </c:pt>
                <c:pt idx="7">
                  <c:v>0.035</c:v>
                </c:pt>
                <c:pt idx="8">
                  <c:v>0.039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</c:numCache>
            </c:numRef>
          </c:xVal>
          <c:yVal>
            <c:numRef>
              <c:f>Sheet2!$H$12:$H$18</c:f>
              <c:numCache>
                <c:formatCode>General</c:formatCode>
                <c:ptCount val="7"/>
                <c:pt idx="0">
                  <c:v>0.026</c:v>
                </c:pt>
                <c:pt idx="1">
                  <c:v>0.029</c:v>
                </c:pt>
                <c:pt idx="2">
                  <c:v>0.033</c:v>
                </c:pt>
                <c:pt idx="3">
                  <c:v>0.036</c:v>
                </c:pt>
                <c:pt idx="4">
                  <c:v>0.04</c:v>
                </c:pt>
                <c:pt idx="5">
                  <c:v>0.043</c:v>
                </c:pt>
                <c:pt idx="6">
                  <c:v>0.047</c:v>
                </c:pt>
              </c:numCache>
            </c:numRef>
          </c:yVal>
          <c:smooth val="1"/>
        </c:ser>
        <c:axId val="12779521"/>
        <c:axId val="88035260"/>
      </c:scatterChart>
      <c:valAx>
        <c:axId val="1277952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035260"/>
        <c:crosses val="autoZero"/>
        <c:crossBetween val="midCat"/>
      </c:valAx>
      <c:valAx>
        <c:axId val="8803526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7795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Sheet2!$A$12:$A$87</c:f>
              <c:numCache>
                <c:formatCode>General</c:formatCode>
                <c:ptCount val="76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  <c:pt idx="14">
                  <c:v>735</c:v>
                </c:pt>
                <c:pt idx="15">
                  <c:v>784</c:v>
                </c:pt>
                <c:pt idx="16">
                  <c:v>833</c:v>
                </c:pt>
                <c:pt idx="17">
                  <c:v>882</c:v>
                </c:pt>
                <c:pt idx="18">
                  <c:v>931</c:v>
                </c:pt>
                <c:pt idx="19">
                  <c:v>980</c:v>
                </c:pt>
                <c:pt idx="20">
                  <c:v>1029</c:v>
                </c:pt>
                <c:pt idx="21">
                  <c:v>1078</c:v>
                </c:pt>
                <c:pt idx="22">
                  <c:v>1127</c:v>
                </c:pt>
                <c:pt idx="23">
                  <c:v>1176</c:v>
                </c:pt>
                <c:pt idx="24">
                  <c:v>1225</c:v>
                </c:pt>
                <c:pt idx="25">
                  <c:v>1274</c:v>
                </c:pt>
                <c:pt idx="26">
                  <c:v>1323</c:v>
                </c:pt>
                <c:pt idx="27">
                  <c:v>1372</c:v>
                </c:pt>
                <c:pt idx="28">
                  <c:v>1421</c:v>
                </c:pt>
                <c:pt idx="29">
                  <c:v>1470</c:v>
                </c:pt>
                <c:pt idx="30">
                  <c:v>1519</c:v>
                </c:pt>
                <c:pt idx="31">
                  <c:v>1568</c:v>
                </c:pt>
                <c:pt idx="32">
                  <c:v>1617</c:v>
                </c:pt>
                <c:pt idx="33">
                  <c:v>1666</c:v>
                </c:pt>
                <c:pt idx="34">
                  <c:v>1715</c:v>
                </c:pt>
                <c:pt idx="35">
                  <c:v>1764</c:v>
                </c:pt>
                <c:pt idx="36">
                  <c:v>1813</c:v>
                </c:pt>
                <c:pt idx="37">
                  <c:v>1862</c:v>
                </c:pt>
                <c:pt idx="38">
                  <c:v>1911</c:v>
                </c:pt>
                <c:pt idx="39">
                  <c:v>1960</c:v>
                </c:pt>
                <c:pt idx="40">
                  <c:v>2009</c:v>
                </c:pt>
                <c:pt idx="41">
                  <c:v>2058</c:v>
                </c:pt>
                <c:pt idx="42">
                  <c:v>2107</c:v>
                </c:pt>
                <c:pt idx="43">
                  <c:v>2156</c:v>
                </c:pt>
                <c:pt idx="44">
                  <c:v>2205</c:v>
                </c:pt>
                <c:pt idx="45">
                  <c:v>2254</c:v>
                </c:pt>
                <c:pt idx="46">
                  <c:v>2303</c:v>
                </c:pt>
                <c:pt idx="47">
                  <c:v>2352</c:v>
                </c:pt>
                <c:pt idx="48">
                  <c:v>2401</c:v>
                </c:pt>
                <c:pt idx="49">
                  <c:v>2450</c:v>
                </c:pt>
                <c:pt idx="50">
                  <c:v>2499</c:v>
                </c:pt>
                <c:pt idx="51">
                  <c:v>2548</c:v>
                </c:pt>
                <c:pt idx="52">
                  <c:v>2597</c:v>
                </c:pt>
                <c:pt idx="53">
                  <c:v>2646</c:v>
                </c:pt>
                <c:pt idx="54">
                  <c:v>2695</c:v>
                </c:pt>
                <c:pt idx="55">
                  <c:v>2744</c:v>
                </c:pt>
                <c:pt idx="56">
                  <c:v>2793</c:v>
                </c:pt>
                <c:pt idx="57">
                  <c:v>2842</c:v>
                </c:pt>
                <c:pt idx="58">
                  <c:v>2891</c:v>
                </c:pt>
                <c:pt idx="59">
                  <c:v>2940</c:v>
                </c:pt>
                <c:pt idx="60">
                  <c:v>2989</c:v>
                </c:pt>
                <c:pt idx="61">
                  <c:v>3038</c:v>
                </c:pt>
                <c:pt idx="62">
                  <c:v>3087</c:v>
                </c:pt>
                <c:pt idx="63">
                  <c:v>3136</c:v>
                </c:pt>
                <c:pt idx="64">
                  <c:v>3185</c:v>
                </c:pt>
                <c:pt idx="65">
                  <c:v>3234</c:v>
                </c:pt>
                <c:pt idx="66">
                  <c:v>3283</c:v>
                </c:pt>
                <c:pt idx="67">
                  <c:v>3332</c:v>
                </c:pt>
                <c:pt idx="68">
                  <c:v>3381</c:v>
                </c:pt>
                <c:pt idx="69">
                  <c:v>3430</c:v>
                </c:pt>
                <c:pt idx="70">
                  <c:v>3479</c:v>
                </c:pt>
                <c:pt idx="71">
                  <c:v>3528</c:v>
                </c:pt>
                <c:pt idx="72">
                  <c:v>3577</c:v>
                </c:pt>
                <c:pt idx="73">
                  <c:v>3626</c:v>
                </c:pt>
                <c:pt idx="74">
                  <c:v>3675</c:v>
                </c:pt>
                <c:pt idx="75">
                  <c:v>3724</c:v>
                </c:pt>
              </c:numCache>
            </c:numRef>
          </c:xVal>
          <c:yVal>
            <c:numRef>
              <c:f>Sheet2!$B$12:$B$87</c:f>
              <c:numCache>
                <c:formatCode>General</c:formatCode>
                <c:ptCount val="76"/>
                <c:pt idx="0">
                  <c:v>0.002</c:v>
                </c:pt>
                <c:pt idx="1">
                  <c:v>0.004</c:v>
                </c:pt>
                <c:pt idx="2">
                  <c:v>0.006</c:v>
                </c:pt>
                <c:pt idx="3">
                  <c:v>0.009</c:v>
                </c:pt>
                <c:pt idx="4">
                  <c:v>0.012</c:v>
                </c:pt>
                <c:pt idx="5">
                  <c:v>0.015</c:v>
                </c:pt>
                <c:pt idx="6">
                  <c:v>0.019</c:v>
                </c:pt>
                <c:pt idx="7">
                  <c:v>0.022</c:v>
                </c:pt>
                <c:pt idx="8">
                  <c:v>0.026</c:v>
                </c:pt>
                <c:pt idx="9">
                  <c:v>0.031</c:v>
                </c:pt>
                <c:pt idx="10">
                  <c:v>0.032</c:v>
                </c:pt>
                <c:pt idx="11">
                  <c:v>0.036</c:v>
                </c:pt>
                <c:pt idx="12">
                  <c:v>0.041</c:v>
                </c:pt>
                <c:pt idx="13">
                  <c:v>0.046</c:v>
                </c:pt>
                <c:pt idx="14">
                  <c:v>0.051</c:v>
                </c:pt>
                <c:pt idx="15">
                  <c:v>0.056</c:v>
                </c:pt>
                <c:pt idx="16">
                  <c:v>0.061</c:v>
                </c:pt>
                <c:pt idx="17">
                  <c:v>0.054</c:v>
                </c:pt>
                <c:pt idx="18">
                  <c:v>0.04</c:v>
                </c:pt>
                <c:pt idx="19">
                  <c:v>0.043</c:v>
                </c:pt>
                <c:pt idx="20">
                  <c:v>0.047</c:v>
                </c:pt>
                <c:pt idx="21">
                  <c:v>0.05</c:v>
                </c:pt>
                <c:pt idx="22">
                  <c:v>0.052</c:v>
                </c:pt>
                <c:pt idx="23">
                  <c:v>0.052</c:v>
                </c:pt>
                <c:pt idx="24">
                  <c:v>0.056</c:v>
                </c:pt>
                <c:pt idx="25">
                  <c:v>0.06</c:v>
                </c:pt>
                <c:pt idx="26">
                  <c:v>0.065</c:v>
                </c:pt>
                <c:pt idx="27">
                  <c:v>0.07</c:v>
                </c:pt>
                <c:pt idx="28">
                  <c:v>0.074</c:v>
                </c:pt>
                <c:pt idx="29">
                  <c:v>0.067</c:v>
                </c:pt>
                <c:pt idx="30">
                  <c:v>0.029</c:v>
                </c:pt>
                <c:pt idx="31">
                  <c:v>0.031</c:v>
                </c:pt>
                <c:pt idx="32">
                  <c:v>0.032</c:v>
                </c:pt>
                <c:pt idx="33">
                  <c:v>0.035</c:v>
                </c:pt>
                <c:pt idx="34">
                  <c:v>0.037</c:v>
                </c:pt>
                <c:pt idx="35">
                  <c:v>0.038</c:v>
                </c:pt>
                <c:pt idx="36">
                  <c:v>0.04</c:v>
                </c:pt>
                <c:pt idx="37">
                  <c:v>0.041</c:v>
                </c:pt>
                <c:pt idx="38">
                  <c:v>0.043</c:v>
                </c:pt>
                <c:pt idx="39">
                  <c:v>0.046</c:v>
                </c:pt>
                <c:pt idx="40">
                  <c:v>0.05</c:v>
                </c:pt>
                <c:pt idx="41">
                  <c:v>0.054</c:v>
                </c:pt>
                <c:pt idx="42">
                  <c:v>0.058</c:v>
                </c:pt>
                <c:pt idx="43">
                  <c:v>0.031</c:v>
                </c:pt>
                <c:pt idx="44">
                  <c:v>0.032</c:v>
                </c:pt>
                <c:pt idx="45">
                  <c:v>0.033</c:v>
                </c:pt>
                <c:pt idx="46">
                  <c:v>0.035</c:v>
                </c:pt>
                <c:pt idx="47">
                  <c:v>0.036</c:v>
                </c:pt>
                <c:pt idx="48">
                  <c:v>0.037</c:v>
                </c:pt>
                <c:pt idx="49">
                  <c:v>0.038</c:v>
                </c:pt>
                <c:pt idx="50">
                  <c:v>0.04</c:v>
                </c:pt>
                <c:pt idx="51">
                  <c:v>0.041</c:v>
                </c:pt>
                <c:pt idx="52">
                  <c:v>0.044</c:v>
                </c:pt>
                <c:pt idx="53">
                  <c:v>0.045</c:v>
                </c:pt>
                <c:pt idx="54">
                  <c:v>0.046</c:v>
                </c:pt>
                <c:pt idx="55">
                  <c:v>0.049</c:v>
                </c:pt>
                <c:pt idx="56">
                  <c:v>0.051</c:v>
                </c:pt>
                <c:pt idx="57">
                  <c:v>0.052</c:v>
                </c:pt>
                <c:pt idx="58">
                  <c:v>0.054</c:v>
                </c:pt>
                <c:pt idx="59">
                  <c:v>0.056</c:v>
                </c:pt>
                <c:pt idx="60">
                  <c:v>0.058</c:v>
                </c:pt>
                <c:pt idx="61">
                  <c:v>0.06</c:v>
                </c:pt>
                <c:pt idx="62">
                  <c:v>0.062</c:v>
                </c:pt>
                <c:pt idx="63">
                  <c:v>0.064</c:v>
                </c:pt>
                <c:pt idx="64">
                  <c:v>0.066</c:v>
                </c:pt>
                <c:pt idx="65">
                  <c:v>0.07</c:v>
                </c:pt>
                <c:pt idx="66">
                  <c:v>0.072</c:v>
                </c:pt>
                <c:pt idx="67">
                  <c:v>0.075</c:v>
                </c:pt>
                <c:pt idx="68">
                  <c:v>0.077</c:v>
                </c:pt>
                <c:pt idx="69">
                  <c:v>0.081</c:v>
                </c:pt>
                <c:pt idx="70">
                  <c:v>0.092</c:v>
                </c:pt>
                <c:pt idx="71">
                  <c:v>0.083</c:v>
                </c:pt>
                <c:pt idx="72">
                  <c:v>0.085</c:v>
                </c:pt>
                <c:pt idx="73">
                  <c:v>0.087</c:v>
                </c:pt>
                <c:pt idx="74">
                  <c:v>0.089</c:v>
                </c:pt>
                <c:pt idx="75">
                  <c:v>0.092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Sheet2!$A$12:$A$87</c:f>
              <c:numCache>
                <c:formatCode>General</c:formatCode>
                <c:ptCount val="76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  <c:pt idx="14">
                  <c:v>735</c:v>
                </c:pt>
                <c:pt idx="15">
                  <c:v>784</c:v>
                </c:pt>
                <c:pt idx="16">
                  <c:v>833</c:v>
                </c:pt>
                <c:pt idx="17">
                  <c:v>882</c:v>
                </c:pt>
                <c:pt idx="18">
                  <c:v>931</c:v>
                </c:pt>
                <c:pt idx="19">
                  <c:v>980</c:v>
                </c:pt>
                <c:pt idx="20">
                  <c:v>1029</c:v>
                </c:pt>
                <c:pt idx="21">
                  <c:v>1078</c:v>
                </c:pt>
                <c:pt idx="22">
                  <c:v>1127</c:v>
                </c:pt>
                <c:pt idx="23">
                  <c:v>1176</c:v>
                </c:pt>
                <c:pt idx="24">
                  <c:v>1225</c:v>
                </c:pt>
                <c:pt idx="25">
                  <c:v>1274</c:v>
                </c:pt>
                <c:pt idx="26">
                  <c:v>1323</c:v>
                </c:pt>
                <c:pt idx="27">
                  <c:v>1372</c:v>
                </c:pt>
                <c:pt idx="28">
                  <c:v>1421</c:v>
                </c:pt>
                <c:pt idx="29">
                  <c:v>1470</c:v>
                </c:pt>
                <c:pt idx="30">
                  <c:v>1519</c:v>
                </c:pt>
                <c:pt idx="31">
                  <c:v>1568</c:v>
                </c:pt>
                <c:pt idx="32">
                  <c:v>1617</c:v>
                </c:pt>
                <c:pt idx="33">
                  <c:v>1666</c:v>
                </c:pt>
                <c:pt idx="34">
                  <c:v>1715</c:v>
                </c:pt>
                <c:pt idx="35">
                  <c:v>1764</c:v>
                </c:pt>
                <c:pt idx="36">
                  <c:v>1813</c:v>
                </c:pt>
                <c:pt idx="37">
                  <c:v>1862</c:v>
                </c:pt>
                <c:pt idx="38">
                  <c:v>1911</c:v>
                </c:pt>
                <c:pt idx="39">
                  <c:v>1960</c:v>
                </c:pt>
                <c:pt idx="40">
                  <c:v>2009</c:v>
                </c:pt>
                <c:pt idx="41">
                  <c:v>2058</c:v>
                </c:pt>
                <c:pt idx="42">
                  <c:v>2107</c:v>
                </c:pt>
                <c:pt idx="43">
                  <c:v>2156</c:v>
                </c:pt>
                <c:pt idx="44">
                  <c:v>2205</c:v>
                </c:pt>
                <c:pt idx="45">
                  <c:v>2254</c:v>
                </c:pt>
                <c:pt idx="46">
                  <c:v>2303</c:v>
                </c:pt>
                <c:pt idx="47">
                  <c:v>2352</c:v>
                </c:pt>
                <c:pt idx="48">
                  <c:v>2401</c:v>
                </c:pt>
                <c:pt idx="49">
                  <c:v>2450</c:v>
                </c:pt>
                <c:pt idx="50">
                  <c:v>2499</c:v>
                </c:pt>
                <c:pt idx="51">
                  <c:v>2548</c:v>
                </c:pt>
                <c:pt idx="52">
                  <c:v>2597</c:v>
                </c:pt>
                <c:pt idx="53">
                  <c:v>2646</c:v>
                </c:pt>
                <c:pt idx="54">
                  <c:v>2695</c:v>
                </c:pt>
                <c:pt idx="55">
                  <c:v>2744</c:v>
                </c:pt>
                <c:pt idx="56">
                  <c:v>2793</c:v>
                </c:pt>
                <c:pt idx="57">
                  <c:v>2842</c:v>
                </c:pt>
                <c:pt idx="58">
                  <c:v>2891</c:v>
                </c:pt>
                <c:pt idx="59">
                  <c:v>2940</c:v>
                </c:pt>
                <c:pt idx="60">
                  <c:v>2989</c:v>
                </c:pt>
                <c:pt idx="61">
                  <c:v>3038</c:v>
                </c:pt>
                <c:pt idx="62">
                  <c:v>3087</c:v>
                </c:pt>
                <c:pt idx="63">
                  <c:v>3136</c:v>
                </c:pt>
                <c:pt idx="64">
                  <c:v>3185</c:v>
                </c:pt>
                <c:pt idx="65">
                  <c:v>3234</c:v>
                </c:pt>
                <c:pt idx="66">
                  <c:v>3283</c:v>
                </c:pt>
                <c:pt idx="67">
                  <c:v>3332</c:v>
                </c:pt>
                <c:pt idx="68">
                  <c:v>3381</c:v>
                </c:pt>
                <c:pt idx="69">
                  <c:v>3430</c:v>
                </c:pt>
                <c:pt idx="70">
                  <c:v>3479</c:v>
                </c:pt>
                <c:pt idx="71">
                  <c:v>3528</c:v>
                </c:pt>
                <c:pt idx="72">
                  <c:v>3577</c:v>
                </c:pt>
                <c:pt idx="73">
                  <c:v>3626</c:v>
                </c:pt>
                <c:pt idx="74">
                  <c:v>3675</c:v>
                </c:pt>
                <c:pt idx="75">
                  <c:v>3724</c:v>
                </c:pt>
              </c:numCache>
            </c:numRef>
          </c:xVal>
          <c:yVal>
            <c:numRef>
              <c:f>Sheet2!$D$12:$D$87</c:f>
              <c:numCache>
                <c:formatCode>General</c:formatCode>
                <c:ptCount val="76"/>
                <c:pt idx="0">
                  <c:v>0.016</c:v>
                </c:pt>
                <c:pt idx="1">
                  <c:v>0.019</c:v>
                </c:pt>
                <c:pt idx="2">
                  <c:v>0.022</c:v>
                </c:pt>
                <c:pt idx="3">
                  <c:v>0.024</c:v>
                </c:pt>
                <c:pt idx="4">
                  <c:v>0.027</c:v>
                </c:pt>
                <c:pt idx="5">
                  <c:v>0.03</c:v>
                </c:pt>
                <c:pt idx="6">
                  <c:v>0.031</c:v>
                </c:pt>
                <c:pt idx="7">
                  <c:v>0.032</c:v>
                </c:pt>
                <c:pt idx="8">
                  <c:v>0.037</c:v>
                </c:pt>
                <c:pt idx="9">
                  <c:v>0.037</c:v>
                </c:pt>
                <c:pt idx="10">
                  <c:v>0.04</c:v>
                </c:pt>
                <c:pt idx="11">
                  <c:v>0.038</c:v>
                </c:pt>
                <c:pt idx="12">
                  <c:v>0.041</c:v>
                </c:pt>
                <c:pt idx="13">
                  <c:v>0.044</c:v>
                </c:pt>
                <c:pt idx="14">
                  <c:v>0.035</c:v>
                </c:pt>
                <c:pt idx="15">
                  <c:v>0.037</c:v>
                </c:pt>
                <c:pt idx="16">
                  <c:v>0.039</c:v>
                </c:pt>
                <c:pt idx="17">
                  <c:v>0.042</c:v>
                </c:pt>
                <c:pt idx="18">
                  <c:v>0.042</c:v>
                </c:pt>
                <c:pt idx="19">
                  <c:v>0.044</c:v>
                </c:pt>
                <c:pt idx="20">
                  <c:v>0.048</c:v>
                </c:pt>
                <c:pt idx="21">
                  <c:v>0.052</c:v>
                </c:pt>
                <c:pt idx="22">
                  <c:v>0.052</c:v>
                </c:pt>
                <c:pt idx="23">
                  <c:v>0.056</c:v>
                </c:pt>
                <c:pt idx="24">
                  <c:v>0.061</c:v>
                </c:pt>
                <c:pt idx="25">
                  <c:v>0.062</c:v>
                </c:pt>
                <c:pt idx="26">
                  <c:v>0.048</c:v>
                </c:pt>
                <c:pt idx="27">
                  <c:v>0.051</c:v>
                </c:pt>
                <c:pt idx="28">
                  <c:v>0.052</c:v>
                </c:pt>
                <c:pt idx="29">
                  <c:v>0.054</c:v>
                </c:pt>
                <c:pt idx="30">
                  <c:v>0.057</c:v>
                </c:pt>
                <c:pt idx="31">
                  <c:v>0.058</c:v>
                </c:pt>
                <c:pt idx="32">
                  <c:v>0.061</c:v>
                </c:pt>
                <c:pt idx="33">
                  <c:v>0.064</c:v>
                </c:pt>
                <c:pt idx="34">
                  <c:v>0.065</c:v>
                </c:pt>
                <c:pt idx="35">
                  <c:v>0.067</c:v>
                </c:pt>
                <c:pt idx="36">
                  <c:v>0.071</c:v>
                </c:pt>
                <c:pt idx="37">
                  <c:v>0.072</c:v>
                </c:pt>
                <c:pt idx="38">
                  <c:v>0.075</c:v>
                </c:pt>
                <c:pt idx="39">
                  <c:v>0.079</c:v>
                </c:pt>
                <c:pt idx="40">
                  <c:v>0.08</c:v>
                </c:pt>
                <c:pt idx="41">
                  <c:v>0.084</c:v>
                </c:pt>
                <c:pt idx="42">
                  <c:v>0.088</c:v>
                </c:pt>
                <c:pt idx="43">
                  <c:v>0.09</c:v>
                </c:pt>
                <c:pt idx="44">
                  <c:v>0.093</c:v>
                </c:pt>
                <c:pt idx="45">
                  <c:v>0.097</c:v>
                </c:pt>
                <c:pt idx="46">
                  <c:v>0.098</c:v>
                </c:pt>
                <c:pt idx="47">
                  <c:v>0.103</c:v>
                </c:pt>
                <c:pt idx="48">
                  <c:v>0.107</c:v>
                </c:pt>
                <c:pt idx="49">
                  <c:v>0.108</c:v>
                </c:pt>
                <c:pt idx="50">
                  <c:v>0.112</c:v>
                </c:pt>
                <c:pt idx="51">
                  <c:v>0.116</c:v>
                </c:pt>
                <c:pt idx="52">
                  <c:v>0.12</c:v>
                </c:pt>
                <c:pt idx="53">
                  <c:v>0.123</c:v>
                </c:pt>
                <c:pt idx="54">
                  <c:v>0.126</c:v>
                </c:pt>
                <c:pt idx="55">
                  <c:v>0.132</c:v>
                </c:pt>
                <c:pt idx="56">
                  <c:v>0.134</c:v>
                </c:pt>
                <c:pt idx="57">
                  <c:v>0.138</c:v>
                </c:pt>
                <c:pt idx="58">
                  <c:v>0.142</c:v>
                </c:pt>
                <c:pt idx="59">
                  <c:v>0.148</c:v>
                </c:pt>
                <c:pt idx="60">
                  <c:v>0.15</c:v>
                </c:pt>
                <c:pt idx="61">
                  <c:v>0.154</c:v>
                </c:pt>
                <c:pt idx="62">
                  <c:v>0.159</c:v>
                </c:pt>
                <c:pt idx="63">
                  <c:v>0.162</c:v>
                </c:pt>
                <c:pt idx="64">
                  <c:v>0.168</c:v>
                </c:pt>
                <c:pt idx="65">
                  <c:v>0.173</c:v>
                </c:pt>
                <c:pt idx="66">
                  <c:v>0.178</c:v>
                </c:pt>
                <c:pt idx="67">
                  <c:v>0.18</c:v>
                </c:pt>
                <c:pt idx="68">
                  <c:v>0.186</c:v>
                </c:pt>
                <c:pt idx="69">
                  <c:v>0.191</c:v>
                </c:pt>
                <c:pt idx="70">
                  <c:v>0.197</c:v>
                </c:pt>
                <c:pt idx="71">
                  <c:v>0.202</c:v>
                </c:pt>
                <c:pt idx="72">
                  <c:v>0.209</c:v>
                </c:pt>
                <c:pt idx="73">
                  <c:v>0.216</c:v>
                </c:pt>
                <c:pt idx="74">
                  <c:v>0.221</c:v>
                </c:pt>
                <c:pt idx="75">
                  <c:v>0.228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Sheet2!$A$12:$A$87</c:f>
              <c:numCache>
                <c:formatCode>General</c:formatCode>
                <c:ptCount val="76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  <c:pt idx="14">
                  <c:v>735</c:v>
                </c:pt>
                <c:pt idx="15">
                  <c:v>784</c:v>
                </c:pt>
                <c:pt idx="16">
                  <c:v>833</c:v>
                </c:pt>
                <c:pt idx="17">
                  <c:v>882</c:v>
                </c:pt>
                <c:pt idx="18">
                  <c:v>931</c:v>
                </c:pt>
                <c:pt idx="19">
                  <c:v>980</c:v>
                </c:pt>
                <c:pt idx="20">
                  <c:v>1029</c:v>
                </c:pt>
                <c:pt idx="21">
                  <c:v>1078</c:v>
                </c:pt>
                <c:pt idx="22">
                  <c:v>1127</c:v>
                </c:pt>
                <c:pt idx="23">
                  <c:v>1176</c:v>
                </c:pt>
                <c:pt idx="24">
                  <c:v>1225</c:v>
                </c:pt>
                <c:pt idx="25">
                  <c:v>1274</c:v>
                </c:pt>
                <c:pt idx="26">
                  <c:v>1323</c:v>
                </c:pt>
                <c:pt idx="27">
                  <c:v>1372</c:v>
                </c:pt>
                <c:pt idx="28">
                  <c:v>1421</c:v>
                </c:pt>
                <c:pt idx="29">
                  <c:v>1470</c:v>
                </c:pt>
                <c:pt idx="30">
                  <c:v>1519</c:v>
                </c:pt>
                <c:pt idx="31">
                  <c:v>1568</c:v>
                </c:pt>
                <c:pt idx="32">
                  <c:v>1617</c:v>
                </c:pt>
                <c:pt idx="33">
                  <c:v>1666</c:v>
                </c:pt>
                <c:pt idx="34">
                  <c:v>1715</c:v>
                </c:pt>
                <c:pt idx="35">
                  <c:v>1764</c:v>
                </c:pt>
                <c:pt idx="36">
                  <c:v>1813</c:v>
                </c:pt>
                <c:pt idx="37">
                  <c:v>1862</c:v>
                </c:pt>
                <c:pt idx="38">
                  <c:v>1911</c:v>
                </c:pt>
                <c:pt idx="39">
                  <c:v>1960</c:v>
                </c:pt>
                <c:pt idx="40">
                  <c:v>2009</c:v>
                </c:pt>
                <c:pt idx="41">
                  <c:v>2058</c:v>
                </c:pt>
                <c:pt idx="42">
                  <c:v>2107</c:v>
                </c:pt>
                <c:pt idx="43">
                  <c:v>2156</c:v>
                </c:pt>
                <c:pt idx="44">
                  <c:v>2205</c:v>
                </c:pt>
                <c:pt idx="45">
                  <c:v>2254</c:v>
                </c:pt>
                <c:pt idx="46">
                  <c:v>2303</c:v>
                </c:pt>
                <c:pt idx="47">
                  <c:v>2352</c:v>
                </c:pt>
                <c:pt idx="48">
                  <c:v>2401</c:v>
                </c:pt>
                <c:pt idx="49">
                  <c:v>2450</c:v>
                </c:pt>
                <c:pt idx="50">
                  <c:v>2499</c:v>
                </c:pt>
                <c:pt idx="51">
                  <c:v>2548</c:v>
                </c:pt>
                <c:pt idx="52">
                  <c:v>2597</c:v>
                </c:pt>
                <c:pt idx="53">
                  <c:v>2646</c:v>
                </c:pt>
                <c:pt idx="54">
                  <c:v>2695</c:v>
                </c:pt>
                <c:pt idx="55">
                  <c:v>2744</c:v>
                </c:pt>
                <c:pt idx="56">
                  <c:v>2793</c:v>
                </c:pt>
                <c:pt idx="57">
                  <c:v>2842</c:v>
                </c:pt>
                <c:pt idx="58">
                  <c:v>2891</c:v>
                </c:pt>
                <c:pt idx="59">
                  <c:v>2940</c:v>
                </c:pt>
                <c:pt idx="60">
                  <c:v>2989</c:v>
                </c:pt>
                <c:pt idx="61">
                  <c:v>3038</c:v>
                </c:pt>
                <c:pt idx="62">
                  <c:v>3087</c:v>
                </c:pt>
                <c:pt idx="63">
                  <c:v>3136</c:v>
                </c:pt>
                <c:pt idx="64">
                  <c:v>3185</c:v>
                </c:pt>
                <c:pt idx="65">
                  <c:v>3234</c:v>
                </c:pt>
                <c:pt idx="66">
                  <c:v>3283</c:v>
                </c:pt>
                <c:pt idx="67">
                  <c:v>3332</c:v>
                </c:pt>
                <c:pt idx="68">
                  <c:v>3381</c:v>
                </c:pt>
                <c:pt idx="69">
                  <c:v>3430</c:v>
                </c:pt>
                <c:pt idx="70">
                  <c:v>3479</c:v>
                </c:pt>
                <c:pt idx="71">
                  <c:v>3528</c:v>
                </c:pt>
                <c:pt idx="72">
                  <c:v>3577</c:v>
                </c:pt>
                <c:pt idx="73">
                  <c:v>3626</c:v>
                </c:pt>
                <c:pt idx="74">
                  <c:v>3675</c:v>
                </c:pt>
                <c:pt idx="75">
                  <c:v>3724</c:v>
                </c:pt>
              </c:numCache>
            </c:numRef>
          </c:xVal>
          <c:yVal>
            <c:numRef>
              <c:f>Sheet2!$F$12:$F$87</c:f>
              <c:numCache>
                <c:formatCode>General</c:formatCode>
                <c:ptCount val="76"/>
                <c:pt idx="0">
                  <c:v>0.017</c:v>
                </c:pt>
                <c:pt idx="1">
                  <c:v>0.019</c:v>
                </c:pt>
                <c:pt idx="2">
                  <c:v>0.021</c:v>
                </c:pt>
                <c:pt idx="3">
                  <c:v>0.023</c:v>
                </c:pt>
                <c:pt idx="4">
                  <c:v>0.026</c:v>
                </c:pt>
                <c:pt idx="5">
                  <c:v>0.028</c:v>
                </c:pt>
                <c:pt idx="6">
                  <c:v>0.032</c:v>
                </c:pt>
                <c:pt idx="7">
                  <c:v>0.035</c:v>
                </c:pt>
                <c:pt idx="8">
                  <c:v>0.039</c:v>
                </c:pt>
                <c:pt idx="9">
                  <c:v>0.042</c:v>
                </c:pt>
                <c:pt idx="10">
                  <c:v>0.046</c:v>
                </c:pt>
                <c:pt idx="11">
                  <c:v>0.051</c:v>
                </c:pt>
                <c:pt idx="12">
                  <c:v>0.055</c:v>
                </c:pt>
                <c:pt idx="13">
                  <c:v>0.058</c:v>
                </c:pt>
                <c:pt idx="14">
                  <c:v>0.063</c:v>
                </c:pt>
                <c:pt idx="15">
                  <c:v>0.068</c:v>
                </c:pt>
                <c:pt idx="16">
                  <c:v>0.073</c:v>
                </c:pt>
                <c:pt idx="17">
                  <c:v>0.078</c:v>
                </c:pt>
                <c:pt idx="18">
                  <c:v>0.084</c:v>
                </c:pt>
                <c:pt idx="19">
                  <c:v>0.088</c:v>
                </c:pt>
                <c:pt idx="20">
                  <c:v>0.094</c:v>
                </c:pt>
                <c:pt idx="21">
                  <c:v>0.099</c:v>
                </c:pt>
                <c:pt idx="22">
                  <c:v>0.104</c:v>
                </c:pt>
                <c:pt idx="23">
                  <c:v>0.11</c:v>
                </c:pt>
                <c:pt idx="24">
                  <c:v>0.117</c:v>
                </c:pt>
                <c:pt idx="25">
                  <c:v>0.107</c:v>
                </c:pt>
                <c:pt idx="26">
                  <c:v>0.107</c:v>
                </c:pt>
                <c:pt idx="27">
                  <c:v>0.113</c:v>
                </c:pt>
                <c:pt idx="28">
                  <c:v>0.119</c:v>
                </c:pt>
                <c:pt idx="29">
                  <c:v>0.124</c:v>
                </c:pt>
                <c:pt idx="30">
                  <c:v>0.13</c:v>
                </c:pt>
                <c:pt idx="31">
                  <c:v>0.137</c:v>
                </c:pt>
                <c:pt idx="32">
                  <c:v>0.142</c:v>
                </c:pt>
                <c:pt idx="33">
                  <c:v>0.148</c:v>
                </c:pt>
                <c:pt idx="34">
                  <c:v>0.155</c:v>
                </c:pt>
                <c:pt idx="35">
                  <c:v>0.162</c:v>
                </c:pt>
                <c:pt idx="36">
                  <c:v>0.168</c:v>
                </c:pt>
                <c:pt idx="37">
                  <c:v>0.174</c:v>
                </c:pt>
                <c:pt idx="38">
                  <c:v>0.181</c:v>
                </c:pt>
                <c:pt idx="39">
                  <c:v>0.187</c:v>
                </c:pt>
                <c:pt idx="40">
                  <c:v>0.195</c:v>
                </c:pt>
                <c:pt idx="41">
                  <c:v>0.195</c:v>
                </c:pt>
                <c:pt idx="42">
                  <c:v>0.202</c:v>
                </c:pt>
                <c:pt idx="43">
                  <c:v>0.209</c:v>
                </c:pt>
                <c:pt idx="44">
                  <c:v>0.218</c:v>
                </c:pt>
                <c:pt idx="45">
                  <c:v>0.226</c:v>
                </c:pt>
                <c:pt idx="46">
                  <c:v>0.234</c:v>
                </c:pt>
                <c:pt idx="47">
                  <c:v>0.241</c:v>
                </c:pt>
                <c:pt idx="48">
                  <c:v>0.25</c:v>
                </c:pt>
                <c:pt idx="49">
                  <c:v>0.26</c:v>
                </c:pt>
                <c:pt idx="50">
                  <c:v>0.268</c:v>
                </c:pt>
                <c:pt idx="51">
                  <c:v>0.276</c:v>
                </c:pt>
                <c:pt idx="52">
                  <c:v>0.286</c:v>
                </c:pt>
                <c:pt idx="53">
                  <c:v>0.293</c:v>
                </c:pt>
                <c:pt idx="54">
                  <c:v>0.303</c:v>
                </c:pt>
                <c:pt idx="55">
                  <c:v>0.31</c:v>
                </c:pt>
                <c:pt idx="56">
                  <c:v>0.317</c:v>
                </c:pt>
                <c:pt idx="57">
                  <c:v>0.321</c:v>
                </c:pt>
                <c:pt idx="58">
                  <c:v>0.315</c:v>
                </c:pt>
                <c:pt idx="59">
                  <c:v>0.32</c:v>
                </c:pt>
                <c:pt idx="60">
                  <c:v>0.328</c:v>
                </c:pt>
                <c:pt idx="61">
                  <c:v>0.339</c:v>
                </c:pt>
                <c:pt idx="62">
                  <c:v>0.349</c:v>
                </c:pt>
                <c:pt idx="63">
                  <c:v>0.359</c:v>
                </c:pt>
                <c:pt idx="64">
                  <c:v>0.369</c:v>
                </c:pt>
                <c:pt idx="65">
                  <c:v>0.38</c:v>
                </c:pt>
                <c:pt idx="66">
                  <c:v>0.391</c:v>
                </c:pt>
                <c:pt idx="67">
                  <c:v>0.4</c:v>
                </c:pt>
                <c:pt idx="68">
                  <c:v>0.41</c:v>
                </c:pt>
                <c:pt idx="69">
                  <c:v>0.422</c:v>
                </c:pt>
                <c:pt idx="70">
                  <c:v>0.434</c:v>
                </c:pt>
                <c:pt idx="71">
                  <c:v>0.444</c:v>
                </c:pt>
                <c:pt idx="72">
                  <c:v>0.454</c:v>
                </c:pt>
                <c:pt idx="73">
                  <c:v>0.467</c:v>
                </c:pt>
                <c:pt idx="74">
                  <c:v>0.483</c:v>
                </c:pt>
                <c:pt idx="75">
                  <c:v>0.486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Sheet2!$A$12:$A$87</c:f>
              <c:numCache>
                <c:formatCode>General</c:formatCode>
                <c:ptCount val="76"/>
                <c:pt idx="0">
                  <c:v>49</c:v>
                </c:pt>
                <c:pt idx="1">
                  <c:v>98</c:v>
                </c:pt>
                <c:pt idx="2">
                  <c:v>147</c:v>
                </c:pt>
                <c:pt idx="3">
                  <c:v>196</c:v>
                </c:pt>
                <c:pt idx="4">
                  <c:v>245</c:v>
                </c:pt>
                <c:pt idx="5">
                  <c:v>294</c:v>
                </c:pt>
                <c:pt idx="6">
                  <c:v>343</c:v>
                </c:pt>
                <c:pt idx="7">
                  <c:v>392</c:v>
                </c:pt>
                <c:pt idx="8">
                  <c:v>441</c:v>
                </c:pt>
                <c:pt idx="9">
                  <c:v>490</c:v>
                </c:pt>
                <c:pt idx="10">
                  <c:v>539</c:v>
                </c:pt>
                <c:pt idx="11">
                  <c:v>588</c:v>
                </c:pt>
                <c:pt idx="12">
                  <c:v>637</c:v>
                </c:pt>
                <c:pt idx="13">
                  <c:v>686</c:v>
                </c:pt>
                <c:pt idx="14">
                  <c:v>735</c:v>
                </c:pt>
                <c:pt idx="15">
                  <c:v>784</c:v>
                </c:pt>
                <c:pt idx="16">
                  <c:v>833</c:v>
                </c:pt>
                <c:pt idx="17">
                  <c:v>882</c:v>
                </c:pt>
                <c:pt idx="18">
                  <c:v>931</c:v>
                </c:pt>
                <c:pt idx="19">
                  <c:v>980</c:v>
                </c:pt>
                <c:pt idx="20">
                  <c:v>1029</c:v>
                </c:pt>
                <c:pt idx="21">
                  <c:v>1078</c:v>
                </c:pt>
                <c:pt idx="22">
                  <c:v>1127</c:v>
                </c:pt>
                <c:pt idx="23">
                  <c:v>1176</c:v>
                </c:pt>
                <c:pt idx="24">
                  <c:v>1225</c:v>
                </c:pt>
                <c:pt idx="25">
                  <c:v>1274</c:v>
                </c:pt>
                <c:pt idx="26">
                  <c:v>1323</c:v>
                </c:pt>
                <c:pt idx="27">
                  <c:v>1372</c:v>
                </c:pt>
                <c:pt idx="28">
                  <c:v>1421</c:v>
                </c:pt>
                <c:pt idx="29">
                  <c:v>1470</c:v>
                </c:pt>
                <c:pt idx="30">
                  <c:v>1519</c:v>
                </c:pt>
                <c:pt idx="31">
                  <c:v>1568</c:v>
                </c:pt>
                <c:pt idx="32">
                  <c:v>1617</c:v>
                </c:pt>
                <c:pt idx="33">
                  <c:v>1666</c:v>
                </c:pt>
                <c:pt idx="34">
                  <c:v>1715</c:v>
                </c:pt>
                <c:pt idx="35">
                  <c:v>1764</c:v>
                </c:pt>
                <c:pt idx="36">
                  <c:v>1813</c:v>
                </c:pt>
                <c:pt idx="37">
                  <c:v>1862</c:v>
                </c:pt>
                <c:pt idx="38">
                  <c:v>1911</c:v>
                </c:pt>
                <c:pt idx="39">
                  <c:v>1960</c:v>
                </c:pt>
                <c:pt idx="40">
                  <c:v>2009</c:v>
                </c:pt>
                <c:pt idx="41">
                  <c:v>2058</c:v>
                </c:pt>
                <c:pt idx="42">
                  <c:v>2107</c:v>
                </c:pt>
                <c:pt idx="43">
                  <c:v>2156</c:v>
                </c:pt>
                <c:pt idx="44">
                  <c:v>2205</c:v>
                </c:pt>
                <c:pt idx="45">
                  <c:v>2254</c:v>
                </c:pt>
                <c:pt idx="46">
                  <c:v>2303</c:v>
                </c:pt>
                <c:pt idx="47">
                  <c:v>2352</c:v>
                </c:pt>
                <c:pt idx="48">
                  <c:v>2401</c:v>
                </c:pt>
                <c:pt idx="49">
                  <c:v>2450</c:v>
                </c:pt>
                <c:pt idx="50">
                  <c:v>2499</c:v>
                </c:pt>
                <c:pt idx="51">
                  <c:v>2548</c:v>
                </c:pt>
                <c:pt idx="52">
                  <c:v>2597</c:v>
                </c:pt>
                <c:pt idx="53">
                  <c:v>2646</c:v>
                </c:pt>
                <c:pt idx="54">
                  <c:v>2695</c:v>
                </c:pt>
                <c:pt idx="55">
                  <c:v>2744</c:v>
                </c:pt>
                <c:pt idx="56">
                  <c:v>2793</c:v>
                </c:pt>
                <c:pt idx="57">
                  <c:v>2842</c:v>
                </c:pt>
                <c:pt idx="58">
                  <c:v>2891</c:v>
                </c:pt>
                <c:pt idx="59">
                  <c:v>2940</c:v>
                </c:pt>
                <c:pt idx="60">
                  <c:v>2989</c:v>
                </c:pt>
                <c:pt idx="61">
                  <c:v>3038</c:v>
                </c:pt>
                <c:pt idx="62">
                  <c:v>3087</c:v>
                </c:pt>
                <c:pt idx="63">
                  <c:v>3136</c:v>
                </c:pt>
                <c:pt idx="64">
                  <c:v>3185</c:v>
                </c:pt>
                <c:pt idx="65">
                  <c:v>3234</c:v>
                </c:pt>
                <c:pt idx="66">
                  <c:v>3283</c:v>
                </c:pt>
                <c:pt idx="67">
                  <c:v>3332</c:v>
                </c:pt>
                <c:pt idx="68">
                  <c:v>3381</c:v>
                </c:pt>
                <c:pt idx="69">
                  <c:v>3430</c:v>
                </c:pt>
                <c:pt idx="70">
                  <c:v>3479</c:v>
                </c:pt>
                <c:pt idx="71">
                  <c:v>3528</c:v>
                </c:pt>
                <c:pt idx="72">
                  <c:v>3577</c:v>
                </c:pt>
                <c:pt idx="73">
                  <c:v>3626</c:v>
                </c:pt>
                <c:pt idx="74">
                  <c:v>3675</c:v>
                </c:pt>
                <c:pt idx="75">
                  <c:v>3724</c:v>
                </c:pt>
              </c:numCache>
            </c:numRef>
          </c:xVal>
          <c:yVal>
            <c:numRef>
              <c:f>Sheet2!$H$12:$H$87</c:f>
              <c:numCache>
                <c:formatCode>General</c:formatCode>
                <c:ptCount val="76"/>
                <c:pt idx="0">
                  <c:v>0.026</c:v>
                </c:pt>
                <c:pt idx="1">
                  <c:v>0.029</c:v>
                </c:pt>
                <c:pt idx="2">
                  <c:v>0.033</c:v>
                </c:pt>
                <c:pt idx="3">
                  <c:v>0.036</c:v>
                </c:pt>
                <c:pt idx="4">
                  <c:v>0.04</c:v>
                </c:pt>
                <c:pt idx="5">
                  <c:v>0.043</c:v>
                </c:pt>
                <c:pt idx="6">
                  <c:v>0.047</c:v>
                </c:pt>
                <c:pt idx="7">
                  <c:v>0.046</c:v>
                </c:pt>
                <c:pt idx="8">
                  <c:v>0.05</c:v>
                </c:pt>
                <c:pt idx="9">
                  <c:v>0.053</c:v>
                </c:pt>
                <c:pt idx="10">
                  <c:v>0.056</c:v>
                </c:pt>
                <c:pt idx="11">
                  <c:v>0.061</c:v>
                </c:pt>
                <c:pt idx="12">
                  <c:v>0.06</c:v>
                </c:pt>
                <c:pt idx="13">
                  <c:v>0.063</c:v>
                </c:pt>
                <c:pt idx="14">
                  <c:v>0.066</c:v>
                </c:pt>
                <c:pt idx="15">
                  <c:v>0.07</c:v>
                </c:pt>
                <c:pt idx="16">
                  <c:v>0.073</c:v>
                </c:pt>
                <c:pt idx="17">
                  <c:v>0.076</c:v>
                </c:pt>
                <c:pt idx="18">
                  <c:v>0.08</c:v>
                </c:pt>
                <c:pt idx="19">
                  <c:v>0.084</c:v>
                </c:pt>
                <c:pt idx="20">
                  <c:v>0.088</c:v>
                </c:pt>
                <c:pt idx="21">
                  <c:v>0.092</c:v>
                </c:pt>
                <c:pt idx="22">
                  <c:v>0.096</c:v>
                </c:pt>
                <c:pt idx="23">
                  <c:v>0.101</c:v>
                </c:pt>
                <c:pt idx="24">
                  <c:v>0.105</c:v>
                </c:pt>
                <c:pt idx="25">
                  <c:v>0.109</c:v>
                </c:pt>
                <c:pt idx="26">
                  <c:v>0.114</c:v>
                </c:pt>
                <c:pt idx="27">
                  <c:v>0.118</c:v>
                </c:pt>
                <c:pt idx="28">
                  <c:v>0.123</c:v>
                </c:pt>
                <c:pt idx="29">
                  <c:v>0.128</c:v>
                </c:pt>
                <c:pt idx="30">
                  <c:v>0.133</c:v>
                </c:pt>
                <c:pt idx="31">
                  <c:v>0.138</c:v>
                </c:pt>
                <c:pt idx="32">
                  <c:v>0.144</c:v>
                </c:pt>
                <c:pt idx="33">
                  <c:v>0.148</c:v>
                </c:pt>
                <c:pt idx="34">
                  <c:v>0.155</c:v>
                </c:pt>
                <c:pt idx="35">
                  <c:v>0.161</c:v>
                </c:pt>
                <c:pt idx="36">
                  <c:v>0.166</c:v>
                </c:pt>
                <c:pt idx="37">
                  <c:v>0.172</c:v>
                </c:pt>
                <c:pt idx="38">
                  <c:v>0.178</c:v>
                </c:pt>
                <c:pt idx="39">
                  <c:v>0.184</c:v>
                </c:pt>
                <c:pt idx="40">
                  <c:v>0.191</c:v>
                </c:pt>
                <c:pt idx="41">
                  <c:v>0.197</c:v>
                </c:pt>
                <c:pt idx="42">
                  <c:v>0.202</c:v>
                </c:pt>
                <c:pt idx="43">
                  <c:v>0.209</c:v>
                </c:pt>
                <c:pt idx="44">
                  <c:v>0.216</c:v>
                </c:pt>
                <c:pt idx="45">
                  <c:v>0.224</c:v>
                </c:pt>
                <c:pt idx="46">
                  <c:v>0.23</c:v>
                </c:pt>
                <c:pt idx="47">
                  <c:v>0.237</c:v>
                </c:pt>
                <c:pt idx="48">
                  <c:v>0.244</c:v>
                </c:pt>
                <c:pt idx="49">
                  <c:v>0.252</c:v>
                </c:pt>
                <c:pt idx="50">
                  <c:v>0.258</c:v>
                </c:pt>
                <c:pt idx="51">
                  <c:v>0.266</c:v>
                </c:pt>
                <c:pt idx="52">
                  <c:v>0.274</c:v>
                </c:pt>
                <c:pt idx="53">
                  <c:v>0.282</c:v>
                </c:pt>
                <c:pt idx="54">
                  <c:v>0.29</c:v>
                </c:pt>
                <c:pt idx="55">
                  <c:v>0.298</c:v>
                </c:pt>
                <c:pt idx="56">
                  <c:v>0.305</c:v>
                </c:pt>
                <c:pt idx="57">
                  <c:v>0.314</c:v>
                </c:pt>
                <c:pt idx="58">
                  <c:v>0.325</c:v>
                </c:pt>
                <c:pt idx="59">
                  <c:v>0.334</c:v>
                </c:pt>
                <c:pt idx="60">
                  <c:v>0.343</c:v>
                </c:pt>
                <c:pt idx="61">
                  <c:v>0.355</c:v>
                </c:pt>
                <c:pt idx="62">
                  <c:v>0.367</c:v>
                </c:pt>
                <c:pt idx="63">
                  <c:v>0.377</c:v>
                </c:pt>
                <c:pt idx="64">
                  <c:v>0.395</c:v>
                </c:pt>
                <c:pt idx="65">
                  <c:v>0.406</c:v>
                </c:pt>
                <c:pt idx="66">
                  <c:v>0.421</c:v>
                </c:pt>
                <c:pt idx="67">
                  <c:v>0.434</c:v>
                </c:pt>
                <c:pt idx="68">
                  <c:v>0.448</c:v>
                </c:pt>
                <c:pt idx="69">
                  <c:v>0.462</c:v>
                </c:pt>
                <c:pt idx="70">
                  <c:v>0.476</c:v>
                </c:pt>
                <c:pt idx="71">
                  <c:v>0.491</c:v>
                </c:pt>
                <c:pt idx="72">
                  <c:v>0.508</c:v>
                </c:pt>
                <c:pt idx="73">
                  <c:v>0.531</c:v>
                </c:pt>
                <c:pt idx="74">
                  <c:v>0.495</c:v>
                </c:pt>
                <c:pt idx="75">
                  <c:v>0.52</c:v>
                </c:pt>
              </c:numCache>
            </c:numRef>
          </c:yVal>
          <c:smooth val="1"/>
        </c:ser>
        <c:axId val="31086167"/>
        <c:axId val="89348321"/>
      </c:scatterChart>
      <c:valAx>
        <c:axId val="31086167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348321"/>
        <c:crosses val="autoZero"/>
        <c:crossBetween val="midCat"/>
      </c:valAx>
      <c:valAx>
        <c:axId val="8934832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0861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Sheet2!$L$72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Sheet2!$K$73:$K$76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Sheet2!$L$73:$L$76</c:f>
              <c:numCache>
                <c:formatCode>General</c:formatCode>
                <c:ptCount val="4"/>
                <c:pt idx="0">
                  <c:v>3.58</c:v>
                </c:pt>
                <c:pt idx="1">
                  <c:v>5.6</c:v>
                </c:pt>
                <c:pt idx="2">
                  <c:v>2.26</c:v>
                </c:pt>
                <c:pt idx="3">
                  <c:v>6.75</c:v>
                </c:pt>
              </c:numCache>
            </c:numRef>
          </c:yVal>
          <c:smooth val="1"/>
        </c:ser>
        <c:axId val="75494718"/>
        <c:axId val="41770626"/>
      </c:scatterChart>
      <c:valAx>
        <c:axId val="75494718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770626"/>
        <c:crosses val="autoZero"/>
        <c:crossBetween val="midCat"/>
      </c:valAx>
      <c:valAx>
        <c:axId val="4177062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4947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447840</xdr:colOff>
      <xdr:row>21</xdr:row>
      <xdr:rowOff>95400</xdr:rowOff>
    </xdr:from>
    <xdr:to>
      <xdr:col>18</xdr:col>
      <xdr:colOff>469800</xdr:colOff>
      <xdr:row>46</xdr:row>
      <xdr:rowOff>123840</xdr:rowOff>
    </xdr:to>
    <xdr:graphicFrame>
      <xdr:nvGraphicFramePr>
        <xdr:cNvPr id="4" name="Chart 5"/>
        <xdr:cNvGraphicFramePr/>
      </xdr:nvGraphicFramePr>
      <xdr:xfrm>
        <a:off x="8157240" y="3495960"/>
        <a:ext cx="5667120" cy="407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19080</xdr:colOff>
      <xdr:row>44</xdr:row>
      <xdr:rowOff>85680</xdr:rowOff>
    </xdr:from>
    <xdr:to>
      <xdr:col>6</xdr:col>
      <xdr:colOff>865080</xdr:colOff>
      <xdr:row>91</xdr:row>
      <xdr:rowOff>104400</xdr:rowOff>
    </xdr:to>
    <xdr:graphicFrame>
      <xdr:nvGraphicFramePr>
        <xdr:cNvPr id="5" name="Chart 6"/>
        <xdr:cNvGraphicFramePr/>
      </xdr:nvGraphicFramePr>
      <xdr:xfrm>
        <a:off x="1954440" y="7210440"/>
        <a:ext cx="4695480" cy="762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152280</xdr:colOff>
      <xdr:row>49</xdr:row>
      <xdr:rowOff>9360</xdr:rowOff>
    </xdr:from>
    <xdr:to>
      <xdr:col>18</xdr:col>
      <xdr:colOff>182160</xdr:colOff>
      <xdr:row>64</xdr:row>
      <xdr:rowOff>37440</xdr:rowOff>
    </xdr:to>
    <xdr:graphicFrame>
      <xdr:nvGraphicFramePr>
        <xdr:cNvPr id="6" name="Chart 7"/>
        <xdr:cNvGraphicFramePr/>
      </xdr:nvGraphicFramePr>
      <xdr:xfrm>
        <a:off x="9555480" y="7943760"/>
        <a:ext cx="3981240" cy="24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13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2.181562948E-005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0.005453907369</v>
      </c>
      <c r="H11" s="9"/>
      <c r="J11" s="8"/>
      <c r="K11" s="3" t="s">
        <v>47</v>
      </c>
      <c r="L11" s="9" t="n">
        <v>9.5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5.453907369</v>
      </c>
      <c r="H12" s="9"/>
      <c r="J12" s="8"/>
      <c r="K12" s="3"/>
      <c r="L12" s="9"/>
    </row>
    <row r="13" customFormat="false" ht="13.5" hidden="false" customHeight="true" outlineLevel="0" collapsed="false">
      <c r="F13" s="10" t="s">
        <v>49</v>
      </c>
      <c r="G13" s="4" t="n">
        <f aca="false">E20*G12/H20</f>
        <v>0.2726953684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customFormat="false" ht="13.5" hidden="false" customHeight="true" outlineLevel="0" collapsed="false">
      <c r="B19" s="12" t="s">
        <v>49</v>
      </c>
      <c r="C19" s="4" t="s">
        <v>52</v>
      </c>
      <c r="D19" s="4" t="s">
        <v>53</v>
      </c>
      <c r="E19" s="4" t="s">
        <v>54</v>
      </c>
      <c r="F19" s="4" t="s">
        <v>55</v>
      </c>
      <c r="G19" s="4" t="s">
        <v>56</v>
      </c>
      <c r="H19" s="4" t="s">
        <v>57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4" t="n">
        <f aca="false">F20*$C$11/H20</f>
        <v>0.001849774432</v>
      </c>
      <c r="J20" s="15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0.27269536845</v>
      </c>
      <c r="P20" s="16" t="n">
        <f aca="false">C20/H20</f>
        <v>0.8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4" t="n">
        <f aca="false">F21*$C$11/H21</f>
        <v>0.003699548864</v>
      </c>
      <c r="J21" s="15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0.27269536845</v>
      </c>
      <c r="P21" s="16" t="n">
        <f aca="false">C21/H21</f>
        <v>0.7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4" t="n">
        <f aca="false">F22*$C$11/H22</f>
        <v>0.005549323296</v>
      </c>
      <c r="J22" s="15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0.27269536845</v>
      </c>
      <c r="P22" s="16" t="n">
        <f aca="false">C22/H22</f>
        <v>0.6</v>
      </c>
    </row>
    <row r="23" customFormat="false" ht="12.75" hidden="false" customHeight="true" outlineLevel="0" collapsed="false">
      <c r="B23" s="17" t="n">
        <v>4</v>
      </c>
      <c r="C23" s="17" t="n">
        <v>1</v>
      </c>
      <c r="D23" s="17" t="n">
        <v>0</v>
      </c>
      <c r="E23" s="17" t="n">
        <v>0.1</v>
      </c>
      <c r="F23" s="17" t="n">
        <v>0.8</v>
      </c>
      <c r="G23" s="17" t="n">
        <v>0.1</v>
      </c>
      <c r="H23" s="17" t="n">
        <f aca="false">SUM(C23:G23)</f>
        <v>2</v>
      </c>
      <c r="I23" s="18" t="n">
        <f aca="false">F23*$C$11/H23</f>
        <v>0.007399097728</v>
      </c>
      <c r="J23" s="18" t="n">
        <f aca="false">I23*1000</f>
        <v>7.399097728</v>
      </c>
      <c r="K23" s="18" t="n">
        <f aca="false">(G23*$K$9)/H23</f>
        <v>0.0825</v>
      </c>
      <c r="L23" s="18" t="n">
        <f aca="false">K23*1000</f>
        <v>82.5</v>
      </c>
      <c r="M23" s="14" t="n">
        <f aca="false">E23*$G$12/H23</f>
        <v>0.27269536845</v>
      </c>
      <c r="P23" s="16" t="n">
        <f aca="false">C23/H23</f>
        <v>0.5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J31" s="1" t="n">
        <v>0.002107048</v>
      </c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9"/>
    </row>
    <row r="35" customFormat="false" ht="12.75" hidden="false" customHeight="true" outlineLevel="0" collapsed="false"/>
    <row r="36" customFormat="false" ht="12.75" hidden="false" customHeight="true" outlineLevel="0" collapsed="false">
      <c r="C36" s="1" t="n">
        <f aca="false">LOG(1)</f>
        <v>0</v>
      </c>
    </row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58</v>
      </c>
      <c r="J38" s="3" t="n">
        <v>0.0158660723808893</v>
      </c>
      <c r="K38" s="1" t="s">
        <v>59</v>
      </c>
    </row>
    <row r="39" customFormat="false" ht="12.75" hidden="false" customHeight="true" outlineLevel="0" collapsed="false">
      <c r="H39" s="19"/>
      <c r="I39" s="1" t="s">
        <v>58</v>
      </c>
      <c r="J39" s="1" t="n">
        <f aca="false">J38/I2</f>
        <v>0.002107048125</v>
      </c>
      <c r="K39" s="1" t="s">
        <v>60</v>
      </c>
    </row>
    <row r="40" customFormat="false" ht="12.75" hidden="false" customHeight="true" outlineLevel="0" collapsed="false">
      <c r="I40" s="1" t="s">
        <v>61</v>
      </c>
      <c r="J40" s="3" t="n">
        <v>1.04991104407625</v>
      </c>
      <c r="K40" s="1" t="s">
        <v>62</v>
      </c>
    </row>
    <row r="41" customFormat="false" ht="12.75" hidden="false" customHeight="true" outlineLevel="0" collapsed="false">
      <c r="I41" s="1" t="s">
        <v>63</v>
      </c>
      <c r="J41" s="1" t="n">
        <f aca="false">J39/G13</f>
        <v>0.007726747018</v>
      </c>
      <c r="K41" s="1" t="s">
        <v>64</v>
      </c>
    </row>
    <row r="42" customFormat="false" ht="12.75" hidden="false" customHeight="true" outlineLevel="0" collapsed="false">
      <c r="J42" s="1" t="n">
        <f aca="false">J41/60</f>
        <v>0.000128779117</v>
      </c>
      <c r="K42" s="1" t="s">
        <v>65</v>
      </c>
    </row>
    <row r="43" customFormat="false" ht="12.75" hidden="false" customHeight="true" outlineLevel="0" collapsed="false">
      <c r="I43" s="1" t="s">
        <v>66</v>
      </c>
      <c r="J43" s="19" t="n">
        <v>1.43E-009</v>
      </c>
      <c r="K43" s="1" t="s">
        <v>67</v>
      </c>
    </row>
    <row r="44" customFormat="false" ht="12.75" hidden="false" customHeight="true" outlineLevel="0" collapsed="false">
      <c r="J44" s="20" t="n">
        <f aca="false">60*J43</f>
        <v>8.58E-008</v>
      </c>
      <c r="K44" s="1" t="s">
        <v>64</v>
      </c>
    </row>
    <row r="45" customFormat="false" ht="12.75" hidden="false" customHeight="true" outlineLevel="0" collapsed="false">
      <c r="I45" s="1" t="s">
        <v>68</v>
      </c>
      <c r="J45" s="19" t="n">
        <f aca="false">J42/J43</f>
        <v>90055.32655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>
      <c r="C77" s="1" t="s">
        <v>69</v>
      </c>
    </row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1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0.0158660723808893</v>
      </c>
      <c r="F101" s="3"/>
      <c r="G101" s="3" t="s">
        <v>87</v>
      </c>
      <c r="H101" s="3" t="n">
        <v>1.84980000025821</v>
      </c>
      <c r="I101" s="3" t="n">
        <v>0</v>
      </c>
      <c r="J101" s="3" t="n">
        <v>0.013380788778231</v>
      </c>
      <c r="K101" s="22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61</v>
      </c>
      <c r="E102" s="3" t="n">
        <v>1.04991104407625</v>
      </c>
      <c r="F102" s="3"/>
      <c r="G102" s="3" t="s">
        <v>89</v>
      </c>
      <c r="H102" s="3" t="n">
        <v>3.696599999816</v>
      </c>
      <c r="I102" s="3" t="n">
        <v>0</v>
      </c>
      <c r="J102" s="3" t="n">
        <v>0.01249831021987</v>
      </c>
      <c r="K102" s="9" t="s">
        <v>90</v>
      </c>
      <c r="L102" s="3"/>
      <c r="M102" s="3"/>
    </row>
    <row r="103" customFormat="false" ht="12.75" hidden="false" customHeight="true" outlineLevel="0" collapsed="false">
      <c r="B103" s="3"/>
      <c r="C103" s="8" t="s">
        <v>91</v>
      </c>
      <c r="D103" s="3"/>
      <c r="E103" s="3"/>
      <c r="F103" s="3"/>
      <c r="G103" s="3" t="s">
        <v>92</v>
      </c>
      <c r="H103" s="3" t="n">
        <v>5.549299999793</v>
      </c>
      <c r="I103" s="3" t="n">
        <v>0</v>
      </c>
      <c r="J103" s="3" t="n">
        <v>0.013127481184231</v>
      </c>
      <c r="K103" s="9" t="s">
        <v>90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93</v>
      </c>
      <c r="E104" s="3" t="n">
        <v>69.1899736828541</v>
      </c>
      <c r="F104" s="3"/>
      <c r="G104" s="3" t="s">
        <v>94</v>
      </c>
      <c r="H104" s="3" t="n">
        <v>7.39899999972296</v>
      </c>
      <c r="I104" s="3" t="n">
        <v>0</v>
      </c>
      <c r="J104" s="3" t="n">
        <v>0.013983707451255</v>
      </c>
      <c r="K104" s="9" t="s">
        <v>90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95</v>
      </c>
      <c r="E105" s="4" t="n">
        <v>0.99873179784538</v>
      </c>
      <c r="F105" s="4"/>
      <c r="G105" s="4"/>
      <c r="H105" s="4"/>
      <c r="I105" s="4"/>
      <c r="J105" s="4"/>
      <c r="K105" s="11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L108" s="3"/>
      <c r="M108" s="3"/>
    </row>
    <row r="109" customFormat="false" ht="12.75" hidden="false" customHeight="true" outlineLevel="0" collapsed="false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2.75" hidden="false" customHeight="true" outlineLevel="0" collapsed="false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2.75" hidden="false" customHeight="true" outlineLevel="0" collapsed="false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customFormat="false" ht="12.75" hidden="false" customHeight="true" outlineLevel="0" collapsed="false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customFormat="false" ht="12.75" hidden="false" customHeight="true" outlineLevel="0" collapsed="false">
      <c r="B113" s="3"/>
      <c r="C113" s="3"/>
      <c r="D113" s="3"/>
      <c r="E113" s="3"/>
      <c r="F113" s="3"/>
      <c r="G113" s="21"/>
      <c r="H113" s="3"/>
      <c r="I113" s="3"/>
      <c r="J113" s="3"/>
      <c r="K113" s="3"/>
      <c r="L113" s="3"/>
      <c r="M113" s="3"/>
    </row>
    <row r="114" customFormat="false" ht="12.75" hidden="false" customHeight="true" outlineLevel="0" collapsed="false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2.75" hidden="false" customHeight="true" outlineLevel="0" collapsed="false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92</v>
      </c>
      <c r="G3" s="1" t="s">
        <v>81</v>
      </c>
      <c r="H3" s="1" t="s">
        <v>94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3" t="s">
        <v>104</v>
      </c>
      <c r="C6" s="1" t="s">
        <v>103</v>
      </c>
      <c r="D6" s="23" t="s">
        <v>104</v>
      </c>
      <c r="E6" s="1" t="s">
        <v>103</v>
      </c>
      <c r="F6" s="23" t="s">
        <v>104</v>
      </c>
      <c r="G6" s="1" t="s">
        <v>103</v>
      </c>
      <c r="H6" s="23" t="s">
        <v>104</v>
      </c>
    </row>
    <row r="7" customFormat="false" ht="12.75" hidden="false" customHeight="true" outlineLevel="0" collapsed="false">
      <c r="A7" s="1" t="s">
        <v>105</v>
      </c>
      <c r="B7" s="1" t="s">
        <v>106</v>
      </c>
      <c r="C7" s="1" t="s">
        <v>105</v>
      </c>
      <c r="D7" s="1" t="s">
        <v>107</v>
      </c>
      <c r="E7" s="1" t="s">
        <v>105</v>
      </c>
      <c r="F7" s="1" t="s">
        <v>108</v>
      </c>
      <c r="G7" s="1" t="s">
        <v>105</v>
      </c>
      <c r="H7" s="1" t="s">
        <v>109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110</v>
      </c>
      <c r="B9" s="1" t="s">
        <v>111</v>
      </c>
      <c r="C9" s="1" t="s">
        <v>110</v>
      </c>
      <c r="D9" s="1" t="s">
        <v>112</v>
      </c>
      <c r="E9" s="1" t="s">
        <v>110</v>
      </c>
      <c r="F9" s="1" t="s">
        <v>113</v>
      </c>
      <c r="G9" s="1" t="s">
        <v>110</v>
      </c>
      <c r="H9" s="1" t="s">
        <v>114</v>
      </c>
    </row>
    <row r="10" customFormat="false" ht="12.75" hidden="false" customHeight="true" outlineLevel="0" collapsed="false">
      <c r="A10" s="1" t="s">
        <v>115</v>
      </c>
      <c r="B10" s="1" t="s">
        <v>116</v>
      </c>
      <c r="C10" s="1" t="s">
        <v>115</v>
      </c>
      <c r="D10" s="1" t="s">
        <v>116</v>
      </c>
      <c r="E10" s="1" t="s">
        <v>115</v>
      </c>
      <c r="F10" s="1" t="s">
        <v>116</v>
      </c>
      <c r="G10" s="1" t="s">
        <v>115</v>
      </c>
      <c r="H10" s="1" t="s">
        <v>116</v>
      </c>
    </row>
    <row r="11" customFormat="false" ht="12.75" hidden="false" customHeight="true" outlineLevel="0" collapsed="false">
      <c r="A11" s="1" t="n">
        <v>0</v>
      </c>
      <c r="B11" s="1" t="n">
        <v>-0.001</v>
      </c>
      <c r="C11" s="1" t="n">
        <v>0</v>
      </c>
      <c r="D11" s="1" t="n">
        <v>0.013</v>
      </c>
      <c r="E11" s="1" t="n">
        <v>0</v>
      </c>
      <c r="F11" s="1" t="n">
        <v>0.015</v>
      </c>
      <c r="G11" s="1" t="n">
        <v>0</v>
      </c>
      <c r="H11" s="1" t="n">
        <v>0.022</v>
      </c>
    </row>
    <row r="12" customFormat="false" ht="12.75" hidden="false" customHeight="true" outlineLevel="0" collapsed="false">
      <c r="A12" s="1" t="n">
        <v>49</v>
      </c>
      <c r="B12" s="1" t="n">
        <v>0.002</v>
      </c>
      <c r="C12" s="1" t="n">
        <v>49</v>
      </c>
      <c r="D12" s="1" t="n">
        <v>0.016</v>
      </c>
      <c r="E12" s="1" t="n">
        <v>49</v>
      </c>
      <c r="F12" s="1" t="n">
        <v>0.017</v>
      </c>
      <c r="G12" s="1" t="n">
        <v>49</v>
      </c>
      <c r="H12" s="1" t="n">
        <v>0.026</v>
      </c>
    </row>
    <row r="13" customFormat="false" ht="12.75" hidden="false" customHeight="true" outlineLevel="0" collapsed="false">
      <c r="A13" s="1" t="n">
        <v>98</v>
      </c>
      <c r="B13" s="1" t="n">
        <v>0.004</v>
      </c>
      <c r="C13" s="1" t="n">
        <v>98</v>
      </c>
      <c r="D13" s="1" t="n">
        <v>0.019</v>
      </c>
      <c r="E13" s="1" t="n">
        <v>98</v>
      </c>
      <c r="F13" s="1" t="n">
        <v>0.019</v>
      </c>
      <c r="G13" s="1" t="n">
        <v>98</v>
      </c>
      <c r="H13" s="1" t="n">
        <v>0.029</v>
      </c>
    </row>
    <row r="14" customFormat="false" ht="12.75" hidden="false" customHeight="true" outlineLevel="0" collapsed="false">
      <c r="A14" s="1" t="n">
        <v>147</v>
      </c>
      <c r="B14" s="1" t="n">
        <v>0.006</v>
      </c>
      <c r="C14" s="1" t="n">
        <v>147</v>
      </c>
      <c r="D14" s="1" t="n">
        <v>0.022</v>
      </c>
      <c r="E14" s="1" t="n">
        <v>147</v>
      </c>
      <c r="F14" s="1" t="n">
        <v>0.021</v>
      </c>
      <c r="G14" s="1" t="n">
        <v>147</v>
      </c>
      <c r="H14" s="1" t="n">
        <v>0.033</v>
      </c>
    </row>
    <row r="15" customFormat="false" ht="12.75" hidden="false" customHeight="true" outlineLevel="0" collapsed="false">
      <c r="A15" s="1" t="n">
        <v>196</v>
      </c>
      <c r="B15" s="1" t="n">
        <v>0.009</v>
      </c>
      <c r="C15" s="1" t="n">
        <v>196</v>
      </c>
      <c r="D15" s="1" t="n">
        <v>0.024</v>
      </c>
      <c r="E15" s="1" t="n">
        <v>196</v>
      </c>
      <c r="F15" s="1" t="n">
        <v>0.023</v>
      </c>
      <c r="G15" s="1" t="n">
        <v>196</v>
      </c>
      <c r="H15" s="1" t="n">
        <v>0.036</v>
      </c>
    </row>
    <row r="16" customFormat="false" ht="12.75" hidden="false" customHeight="true" outlineLevel="0" collapsed="false">
      <c r="A16" s="1" t="n">
        <v>245</v>
      </c>
      <c r="B16" s="1" t="n">
        <v>0.012</v>
      </c>
      <c r="C16" s="1" t="n">
        <v>245</v>
      </c>
      <c r="D16" s="1" t="n">
        <v>0.027</v>
      </c>
      <c r="E16" s="1" t="n">
        <v>245</v>
      </c>
      <c r="F16" s="1" t="n">
        <v>0.026</v>
      </c>
      <c r="G16" s="1" t="n">
        <v>245</v>
      </c>
      <c r="H16" s="1" t="n">
        <v>0.04</v>
      </c>
    </row>
    <row r="17" customFormat="false" ht="12.75" hidden="false" customHeight="true" outlineLevel="0" collapsed="false">
      <c r="A17" s="1" t="n">
        <v>294</v>
      </c>
      <c r="B17" s="1" t="n">
        <v>0.015</v>
      </c>
      <c r="C17" s="1" t="n">
        <v>294</v>
      </c>
      <c r="D17" s="1" t="n">
        <v>0.03</v>
      </c>
      <c r="E17" s="1" t="n">
        <v>294</v>
      </c>
      <c r="F17" s="1" t="n">
        <v>0.028</v>
      </c>
      <c r="G17" s="1" t="n">
        <v>294</v>
      </c>
      <c r="H17" s="1" t="n">
        <v>0.043</v>
      </c>
    </row>
    <row r="18" customFormat="false" ht="12.75" hidden="false" customHeight="true" outlineLevel="0" collapsed="false">
      <c r="A18" s="1" t="n">
        <v>343</v>
      </c>
      <c r="B18" s="1" t="n">
        <v>0.019</v>
      </c>
      <c r="C18" s="1" t="n">
        <v>343</v>
      </c>
      <c r="D18" s="1" t="n">
        <v>0.031</v>
      </c>
      <c r="E18" s="1" t="n">
        <v>343</v>
      </c>
      <c r="F18" s="1" t="n">
        <v>0.032</v>
      </c>
      <c r="G18" s="1" t="n">
        <v>343</v>
      </c>
      <c r="H18" s="1" t="n">
        <v>0.047</v>
      </c>
    </row>
    <row r="19" customFormat="false" ht="12.75" hidden="false" customHeight="true" outlineLevel="0" collapsed="false">
      <c r="A19" s="1" t="n">
        <v>392</v>
      </c>
      <c r="B19" s="1" t="n">
        <v>0.022</v>
      </c>
      <c r="C19" s="1" t="n">
        <v>392</v>
      </c>
      <c r="D19" s="1" t="n">
        <v>0.032</v>
      </c>
      <c r="E19" s="1" t="n">
        <v>392</v>
      </c>
      <c r="F19" s="1" t="n">
        <v>0.035</v>
      </c>
      <c r="G19" s="1" t="n">
        <v>392</v>
      </c>
      <c r="H19" s="1" t="n">
        <v>0.046</v>
      </c>
    </row>
    <row r="20" customFormat="false" ht="12.75" hidden="false" customHeight="true" outlineLevel="0" collapsed="false">
      <c r="A20" s="1" t="n">
        <v>441</v>
      </c>
      <c r="B20" s="1" t="n">
        <v>0.026</v>
      </c>
      <c r="C20" s="1" t="n">
        <v>441</v>
      </c>
      <c r="D20" s="1" t="n">
        <v>0.037</v>
      </c>
      <c r="E20" s="1" t="n">
        <v>441</v>
      </c>
      <c r="F20" s="1" t="n">
        <v>0.039</v>
      </c>
      <c r="G20" s="1" t="n">
        <v>441</v>
      </c>
      <c r="H20" s="1" t="n">
        <v>0.05</v>
      </c>
    </row>
    <row r="21" customFormat="false" ht="12.75" hidden="false" customHeight="true" outlineLevel="0" collapsed="false">
      <c r="A21" s="1" t="n">
        <v>490</v>
      </c>
      <c r="B21" s="1" t="n">
        <v>0.031</v>
      </c>
      <c r="C21" s="1" t="n">
        <v>490</v>
      </c>
      <c r="D21" s="1" t="n">
        <v>0.037</v>
      </c>
      <c r="E21" s="1" t="n">
        <v>490</v>
      </c>
      <c r="F21" s="1" t="n">
        <v>0.042</v>
      </c>
      <c r="G21" s="1" t="n">
        <v>490</v>
      </c>
      <c r="H21" s="1" t="n">
        <v>0.053</v>
      </c>
    </row>
    <row r="22" customFormat="false" ht="12.75" hidden="false" customHeight="true" outlineLevel="0" collapsed="false">
      <c r="A22" s="1" t="n">
        <v>539</v>
      </c>
      <c r="B22" s="1" t="n">
        <v>0.032</v>
      </c>
      <c r="C22" s="1" t="n">
        <v>539</v>
      </c>
      <c r="D22" s="1" t="n">
        <v>0.04</v>
      </c>
      <c r="E22" s="1" t="n">
        <v>539</v>
      </c>
      <c r="F22" s="1" t="n">
        <v>0.046</v>
      </c>
      <c r="G22" s="1" t="n">
        <v>539</v>
      </c>
      <c r="H22" s="1" t="n">
        <v>0.056</v>
      </c>
    </row>
    <row r="23" customFormat="false" ht="12.75" hidden="false" customHeight="true" outlineLevel="0" collapsed="false">
      <c r="A23" s="1" t="n">
        <v>588</v>
      </c>
      <c r="B23" s="1" t="n">
        <v>0.036</v>
      </c>
      <c r="C23" s="1" t="n">
        <v>588</v>
      </c>
      <c r="D23" s="1" t="n">
        <v>0.038</v>
      </c>
      <c r="E23" s="1" t="n">
        <v>588</v>
      </c>
      <c r="F23" s="1" t="n">
        <v>0.051</v>
      </c>
      <c r="G23" s="1" t="n">
        <v>588</v>
      </c>
      <c r="H23" s="1" t="n">
        <v>0.061</v>
      </c>
    </row>
    <row r="24" customFormat="false" ht="12.75" hidden="false" customHeight="true" outlineLevel="0" collapsed="false">
      <c r="A24" s="1" t="n">
        <v>637</v>
      </c>
      <c r="B24" s="1" t="n">
        <v>0.041</v>
      </c>
      <c r="C24" s="1" t="n">
        <v>637</v>
      </c>
      <c r="D24" s="1" t="n">
        <v>0.041</v>
      </c>
      <c r="E24" s="1" t="n">
        <v>637</v>
      </c>
      <c r="F24" s="1" t="n">
        <v>0.055</v>
      </c>
      <c r="G24" s="1" t="n">
        <v>637</v>
      </c>
      <c r="H24" s="1" t="n">
        <v>0.06</v>
      </c>
    </row>
    <row r="25" customFormat="false" ht="12.75" hidden="false" customHeight="true" outlineLevel="0" collapsed="false">
      <c r="A25" s="1" t="n">
        <v>686</v>
      </c>
      <c r="B25" s="1" t="n">
        <v>0.046</v>
      </c>
      <c r="C25" s="1" t="n">
        <v>686</v>
      </c>
      <c r="D25" s="1" t="n">
        <v>0.044</v>
      </c>
      <c r="E25" s="1" t="n">
        <v>686</v>
      </c>
      <c r="F25" s="1" t="n">
        <v>0.058</v>
      </c>
      <c r="G25" s="1" t="n">
        <v>686</v>
      </c>
      <c r="H25" s="1" t="n">
        <v>0.063</v>
      </c>
    </row>
    <row r="26" customFormat="false" ht="12.75" hidden="false" customHeight="true" outlineLevel="0" collapsed="false">
      <c r="A26" s="1" t="n">
        <v>735</v>
      </c>
      <c r="B26" s="1" t="n">
        <v>0.051</v>
      </c>
      <c r="C26" s="1" t="n">
        <v>735</v>
      </c>
      <c r="D26" s="1" t="n">
        <v>0.035</v>
      </c>
      <c r="E26" s="1" t="n">
        <v>735</v>
      </c>
      <c r="F26" s="1" t="n">
        <v>0.063</v>
      </c>
      <c r="G26" s="1" t="n">
        <v>735</v>
      </c>
      <c r="H26" s="1" t="n">
        <v>0.066</v>
      </c>
    </row>
    <row r="27" customFormat="false" ht="12.75" hidden="false" customHeight="true" outlineLevel="0" collapsed="false">
      <c r="A27" s="1" t="n">
        <v>784</v>
      </c>
      <c r="B27" s="1" t="n">
        <v>0.056</v>
      </c>
      <c r="C27" s="1" t="n">
        <v>784</v>
      </c>
      <c r="D27" s="1" t="n">
        <v>0.037</v>
      </c>
      <c r="E27" s="1" t="n">
        <v>784</v>
      </c>
      <c r="F27" s="1" t="n">
        <v>0.068</v>
      </c>
      <c r="G27" s="1" t="n">
        <v>784</v>
      </c>
      <c r="H27" s="1" t="n">
        <v>0.07</v>
      </c>
    </row>
    <row r="28" customFormat="false" ht="12.75" hidden="false" customHeight="true" outlineLevel="0" collapsed="false">
      <c r="A28" s="1" t="n">
        <v>833</v>
      </c>
      <c r="B28" s="1" t="n">
        <v>0.061</v>
      </c>
      <c r="C28" s="1" t="n">
        <v>833</v>
      </c>
      <c r="D28" s="1" t="n">
        <v>0.039</v>
      </c>
      <c r="E28" s="1" t="n">
        <v>833</v>
      </c>
      <c r="F28" s="1" t="n">
        <v>0.073</v>
      </c>
      <c r="G28" s="1" t="n">
        <v>833</v>
      </c>
      <c r="H28" s="1" t="n">
        <v>0.073</v>
      </c>
    </row>
    <row r="29" customFormat="false" ht="12.75" hidden="false" customHeight="true" outlineLevel="0" collapsed="false">
      <c r="A29" s="1" t="n">
        <v>882</v>
      </c>
      <c r="B29" s="1" t="n">
        <v>0.054</v>
      </c>
      <c r="C29" s="1" t="n">
        <v>882</v>
      </c>
      <c r="D29" s="1" t="n">
        <v>0.042</v>
      </c>
      <c r="E29" s="1" t="n">
        <v>882</v>
      </c>
      <c r="F29" s="1" t="n">
        <v>0.078</v>
      </c>
      <c r="G29" s="1" t="n">
        <v>882</v>
      </c>
      <c r="H29" s="1" t="n">
        <v>0.076</v>
      </c>
    </row>
    <row r="30" customFormat="false" ht="12.75" hidden="false" customHeight="true" outlineLevel="0" collapsed="false">
      <c r="A30" s="1" t="n">
        <v>931</v>
      </c>
      <c r="B30" s="1" t="n">
        <v>0.04</v>
      </c>
      <c r="C30" s="1" t="n">
        <v>931</v>
      </c>
      <c r="D30" s="1" t="n">
        <v>0.042</v>
      </c>
      <c r="E30" s="1" t="n">
        <v>931</v>
      </c>
      <c r="F30" s="1" t="n">
        <v>0.084</v>
      </c>
      <c r="G30" s="1" t="n">
        <v>931</v>
      </c>
      <c r="H30" s="1" t="n">
        <v>0.08</v>
      </c>
    </row>
    <row r="31" customFormat="false" ht="12.75" hidden="false" customHeight="true" outlineLevel="0" collapsed="false">
      <c r="A31" s="1" t="n">
        <v>980</v>
      </c>
      <c r="B31" s="1" t="n">
        <v>0.043</v>
      </c>
      <c r="C31" s="1" t="n">
        <v>980</v>
      </c>
      <c r="D31" s="1" t="n">
        <v>0.044</v>
      </c>
      <c r="E31" s="1" t="n">
        <v>980</v>
      </c>
      <c r="F31" s="1" t="n">
        <v>0.088</v>
      </c>
      <c r="G31" s="1" t="n">
        <v>980</v>
      </c>
      <c r="H31" s="1" t="n">
        <v>0.084</v>
      </c>
    </row>
    <row r="32" customFormat="false" ht="12.75" hidden="false" customHeight="true" outlineLevel="0" collapsed="false">
      <c r="A32" s="1" t="n">
        <v>1029</v>
      </c>
      <c r="B32" s="1" t="n">
        <v>0.047</v>
      </c>
      <c r="C32" s="1" t="n">
        <v>1029</v>
      </c>
      <c r="D32" s="1" t="n">
        <v>0.048</v>
      </c>
      <c r="E32" s="1" t="n">
        <v>1029</v>
      </c>
      <c r="F32" s="1" t="n">
        <v>0.094</v>
      </c>
      <c r="G32" s="1" t="n">
        <v>1029</v>
      </c>
      <c r="H32" s="1" t="n">
        <v>0.088</v>
      </c>
    </row>
    <row r="33" customFormat="false" ht="12.75" hidden="false" customHeight="true" outlineLevel="0" collapsed="false">
      <c r="A33" s="1" t="n">
        <v>1078</v>
      </c>
      <c r="B33" s="1" t="n">
        <v>0.05</v>
      </c>
      <c r="C33" s="1" t="n">
        <v>1078</v>
      </c>
      <c r="D33" s="1" t="n">
        <v>0.052</v>
      </c>
      <c r="E33" s="1" t="n">
        <v>1078</v>
      </c>
      <c r="F33" s="1" t="n">
        <v>0.099</v>
      </c>
      <c r="G33" s="1" t="n">
        <v>1078</v>
      </c>
      <c r="H33" s="1" t="n">
        <v>0.092</v>
      </c>
    </row>
    <row r="34" customFormat="false" ht="12.75" hidden="false" customHeight="true" outlineLevel="0" collapsed="false">
      <c r="A34" s="1" t="n">
        <v>1127</v>
      </c>
      <c r="B34" s="1" t="n">
        <v>0.052</v>
      </c>
      <c r="C34" s="1" t="n">
        <v>1127</v>
      </c>
      <c r="D34" s="1" t="n">
        <v>0.052</v>
      </c>
      <c r="E34" s="1" t="n">
        <v>1127</v>
      </c>
      <c r="F34" s="1" t="n">
        <v>0.104</v>
      </c>
      <c r="G34" s="1" t="n">
        <v>1127</v>
      </c>
      <c r="H34" s="1" t="n">
        <v>0.096</v>
      </c>
    </row>
    <row r="35" customFormat="false" ht="12.75" hidden="false" customHeight="true" outlineLevel="0" collapsed="false">
      <c r="A35" s="1" t="n">
        <v>1176</v>
      </c>
      <c r="B35" s="1" t="n">
        <v>0.052</v>
      </c>
      <c r="C35" s="1" t="n">
        <v>1176</v>
      </c>
      <c r="D35" s="1" t="n">
        <v>0.056</v>
      </c>
      <c r="E35" s="1" t="n">
        <v>1176</v>
      </c>
      <c r="F35" s="1" t="n">
        <v>0.11</v>
      </c>
      <c r="G35" s="1" t="n">
        <v>1176</v>
      </c>
      <c r="H35" s="1" t="n">
        <v>0.101</v>
      </c>
    </row>
    <row r="36" customFormat="false" ht="12.75" hidden="false" customHeight="true" outlineLevel="0" collapsed="false">
      <c r="A36" s="1" t="n">
        <v>1225</v>
      </c>
      <c r="B36" s="1" t="n">
        <v>0.056</v>
      </c>
      <c r="C36" s="1" t="n">
        <v>1225</v>
      </c>
      <c r="D36" s="1" t="n">
        <v>0.061</v>
      </c>
      <c r="E36" s="1" t="n">
        <v>1225</v>
      </c>
      <c r="F36" s="1" t="n">
        <v>0.117</v>
      </c>
      <c r="G36" s="1" t="n">
        <v>1225</v>
      </c>
      <c r="H36" s="1" t="n">
        <v>0.105</v>
      </c>
    </row>
    <row r="37" customFormat="false" ht="12.75" hidden="false" customHeight="true" outlineLevel="0" collapsed="false">
      <c r="A37" s="1" t="n">
        <v>1274</v>
      </c>
      <c r="B37" s="1" t="n">
        <v>0.06</v>
      </c>
      <c r="C37" s="1" t="n">
        <v>1274</v>
      </c>
      <c r="D37" s="1" t="n">
        <v>0.062</v>
      </c>
      <c r="E37" s="1" t="n">
        <v>1274</v>
      </c>
      <c r="F37" s="1" t="n">
        <v>0.107</v>
      </c>
      <c r="G37" s="1" t="n">
        <v>1274</v>
      </c>
      <c r="H37" s="1" t="n">
        <v>0.109</v>
      </c>
    </row>
    <row r="38" customFormat="false" ht="12.75" hidden="false" customHeight="true" outlineLevel="0" collapsed="false">
      <c r="A38" s="1" t="n">
        <v>1323</v>
      </c>
      <c r="B38" s="1" t="n">
        <v>0.065</v>
      </c>
      <c r="C38" s="1" t="n">
        <v>1323</v>
      </c>
      <c r="D38" s="1" t="n">
        <v>0.048</v>
      </c>
      <c r="E38" s="1" t="n">
        <v>1323</v>
      </c>
      <c r="F38" s="1" t="n">
        <v>0.107</v>
      </c>
      <c r="G38" s="1" t="n">
        <v>1323</v>
      </c>
      <c r="H38" s="1" t="n">
        <v>0.114</v>
      </c>
    </row>
    <row r="39" customFormat="false" ht="12.75" hidden="false" customHeight="true" outlineLevel="0" collapsed="false">
      <c r="A39" s="1" t="n">
        <v>1372</v>
      </c>
      <c r="B39" s="1" t="n">
        <v>0.07</v>
      </c>
      <c r="C39" s="1" t="n">
        <v>1372</v>
      </c>
      <c r="D39" s="1" t="n">
        <v>0.051</v>
      </c>
      <c r="E39" s="1" t="n">
        <v>1372</v>
      </c>
      <c r="F39" s="1" t="n">
        <v>0.113</v>
      </c>
      <c r="G39" s="1" t="n">
        <v>1372</v>
      </c>
      <c r="H39" s="1" t="n">
        <v>0.118</v>
      </c>
    </row>
    <row r="40" customFormat="false" ht="12.75" hidden="false" customHeight="true" outlineLevel="0" collapsed="false">
      <c r="A40" s="1" t="n">
        <v>1421</v>
      </c>
      <c r="B40" s="1" t="n">
        <v>0.074</v>
      </c>
      <c r="C40" s="1" t="n">
        <v>1421</v>
      </c>
      <c r="D40" s="1" t="n">
        <v>0.052</v>
      </c>
      <c r="E40" s="1" t="n">
        <v>1421</v>
      </c>
      <c r="F40" s="1" t="n">
        <v>0.119</v>
      </c>
      <c r="G40" s="1" t="n">
        <v>1421</v>
      </c>
      <c r="H40" s="1" t="n">
        <v>0.123</v>
      </c>
    </row>
    <row r="41" customFormat="false" ht="12.75" hidden="false" customHeight="true" outlineLevel="0" collapsed="false">
      <c r="A41" s="1" t="n">
        <v>1470</v>
      </c>
      <c r="B41" s="1" t="n">
        <v>0.067</v>
      </c>
      <c r="C41" s="1" t="n">
        <v>1470</v>
      </c>
      <c r="D41" s="1" t="n">
        <v>0.054</v>
      </c>
      <c r="E41" s="1" t="n">
        <v>1470</v>
      </c>
      <c r="F41" s="1" t="n">
        <v>0.124</v>
      </c>
      <c r="G41" s="1" t="n">
        <v>1470</v>
      </c>
      <c r="H41" s="1" t="n">
        <v>0.128</v>
      </c>
    </row>
    <row r="42" customFormat="false" ht="12.75" hidden="false" customHeight="true" outlineLevel="0" collapsed="false">
      <c r="A42" s="1" t="n">
        <v>1519</v>
      </c>
      <c r="B42" s="1" t="n">
        <v>0.029</v>
      </c>
      <c r="C42" s="1" t="n">
        <v>1519</v>
      </c>
      <c r="D42" s="1" t="n">
        <v>0.057</v>
      </c>
      <c r="E42" s="1" t="n">
        <v>1519</v>
      </c>
      <c r="F42" s="1" t="n">
        <v>0.13</v>
      </c>
      <c r="G42" s="1" t="n">
        <v>1519</v>
      </c>
      <c r="H42" s="1" t="n">
        <v>0.133</v>
      </c>
    </row>
    <row r="43" customFormat="false" ht="12.75" hidden="false" customHeight="true" outlineLevel="0" collapsed="false">
      <c r="A43" s="1" t="n">
        <v>1568</v>
      </c>
      <c r="B43" s="1" t="n">
        <v>0.031</v>
      </c>
      <c r="C43" s="1" t="n">
        <v>1568</v>
      </c>
      <c r="D43" s="1" t="n">
        <v>0.058</v>
      </c>
      <c r="E43" s="1" t="n">
        <v>1568</v>
      </c>
      <c r="F43" s="1" t="n">
        <v>0.137</v>
      </c>
      <c r="G43" s="1" t="n">
        <v>1568</v>
      </c>
      <c r="H43" s="1" t="n">
        <v>0.138</v>
      </c>
    </row>
    <row r="44" customFormat="false" ht="12.75" hidden="false" customHeight="true" outlineLevel="0" collapsed="false">
      <c r="A44" s="1" t="n">
        <v>1617</v>
      </c>
      <c r="B44" s="1" t="n">
        <v>0.032</v>
      </c>
      <c r="C44" s="1" t="n">
        <v>1617</v>
      </c>
      <c r="D44" s="1" t="n">
        <v>0.061</v>
      </c>
      <c r="E44" s="1" t="n">
        <v>1617</v>
      </c>
      <c r="F44" s="1" t="n">
        <v>0.142</v>
      </c>
      <c r="G44" s="1" t="n">
        <v>1617</v>
      </c>
      <c r="H44" s="1" t="n">
        <v>0.144</v>
      </c>
    </row>
    <row r="45" customFormat="false" ht="12.75" hidden="false" customHeight="true" outlineLevel="0" collapsed="false">
      <c r="A45" s="1" t="n">
        <v>1666</v>
      </c>
      <c r="B45" s="1" t="n">
        <v>0.035</v>
      </c>
      <c r="C45" s="1" t="n">
        <v>1666</v>
      </c>
      <c r="D45" s="1" t="n">
        <v>0.064</v>
      </c>
      <c r="E45" s="1" t="n">
        <v>1666</v>
      </c>
      <c r="F45" s="1" t="n">
        <v>0.148</v>
      </c>
      <c r="G45" s="1" t="n">
        <v>1666</v>
      </c>
      <c r="H45" s="1" t="n">
        <v>0.148</v>
      </c>
    </row>
    <row r="46" customFormat="false" ht="12.75" hidden="false" customHeight="true" outlineLevel="0" collapsed="false">
      <c r="A46" s="1" t="n">
        <v>1715</v>
      </c>
      <c r="B46" s="1" t="n">
        <v>0.037</v>
      </c>
      <c r="C46" s="1" t="n">
        <v>1715</v>
      </c>
      <c r="D46" s="1" t="n">
        <v>0.065</v>
      </c>
      <c r="E46" s="1" t="n">
        <v>1715</v>
      </c>
      <c r="F46" s="1" t="n">
        <v>0.155</v>
      </c>
      <c r="G46" s="1" t="n">
        <v>1715</v>
      </c>
      <c r="H46" s="1" t="n">
        <v>0.155</v>
      </c>
    </row>
    <row r="47" customFormat="false" ht="12.75" hidden="false" customHeight="true" outlineLevel="0" collapsed="false">
      <c r="A47" s="1" t="n">
        <v>1764</v>
      </c>
      <c r="B47" s="1" t="n">
        <v>0.038</v>
      </c>
      <c r="C47" s="1" t="n">
        <v>1764</v>
      </c>
      <c r="D47" s="1" t="n">
        <v>0.067</v>
      </c>
      <c r="E47" s="1" t="n">
        <v>1764</v>
      </c>
      <c r="F47" s="1" t="n">
        <v>0.162</v>
      </c>
      <c r="G47" s="1" t="n">
        <v>1764</v>
      </c>
      <c r="H47" s="1" t="n">
        <v>0.161</v>
      </c>
    </row>
    <row r="48" customFormat="false" ht="12.75" hidden="false" customHeight="true" outlineLevel="0" collapsed="false">
      <c r="A48" s="1" t="n">
        <v>1813</v>
      </c>
      <c r="B48" s="1" t="n">
        <v>0.04</v>
      </c>
      <c r="C48" s="1" t="n">
        <v>1813</v>
      </c>
      <c r="D48" s="1" t="n">
        <v>0.071</v>
      </c>
      <c r="E48" s="1" t="n">
        <v>1813</v>
      </c>
      <c r="F48" s="1" t="n">
        <v>0.168</v>
      </c>
      <c r="G48" s="1" t="n">
        <v>1813</v>
      </c>
      <c r="H48" s="1" t="n">
        <v>0.166</v>
      </c>
    </row>
    <row r="49" customFormat="false" ht="12.75" hidden="false" customHeight="true" outlineLevel="0" collapsed="false">
      <c r="A49" s="1" t="n">
        <v>1862</v>
      </c>
      <c r="B49" s="1" t="n">
        <v>0.041</v>
      </c>
      <c r="C49" s="1" t="n">
        <v>1862</v>
      </c>
      <c r="D49" s="1" t="n">
        <v>0.072</v>
      </c>
      <c r="E49" s="1" t="n">
        <v>1862</v>
      </c>
      <c r="F49" s="1" t="n">
        <v>0.174</v>
      </c>
      <c r="G49" s="1" t="n">
        <v>1862</v>
      </c>
      <c r="H49" s="1" t="n">
        <v>0.172</v>
      </c>
    </row>
    <row r="50" customFormat="false" ht="12.75" hidden="false" customHeight="true" outlineLevel="0" collapsed="false">
      <c r="A50" s="1" t="n">
        <v>1911</v>
      </c>
      <c r="B50" s="1" t="n">
        <v>0.043</v>
      </c>
      <c r="C50" s="1" t="n">
        <v>1911</v>
      </c>
      <c r="D50" s="1" t="n">
        <v>0.075</v>
      </c>
      <c r="E50" s="1" t="n">
        <v>1911</v>
      </c>
      <c r="F50" s="1" t="n">
        <v>0.181</v>
      </c>
      <c r="G50" s="1" t="n">
        <v>1911</v>
      </c>
      <c r="H50" s="1" t="n">
        <v>0.178</v>
      </c>
    </row>
    <row r="51" customFormat="false" ht="12.75" hidden="false" customHeight="true" outlineLevel="0" collapsed="false">
      <c r="A51" s="1" t="n">
        <v>1960</v>
      </c>
      <c r="B51" s="1" t="n">
        <v>0.046</v>
      </c>
      <c r="C51" s="1" t="n">
        <v>1960</v>
      </c>
      <c r="D51" s="1" t="n">
        <v>0.079</v>
      </c>
      <c r="E51" s="1" t="n">
        <v>1960</v>
      </c>
      <c r="F51" s="1" t="n">
        <v>0.187</v>
      </c>
      <c r="G51" s="1" t="n">
        <v>1960</v>
      </c>
      <c r="H51" s="1" t="n">
        <v>0.184</v>
      </c>
    </row>
    <row r="52" customFormat="false" ht="12.75" hidden="false" customHeight="true" outlineLevel="0" collapsed="false">
      <c r="A52" s="1" t="n">
        <v>2009</v>
      </c>
      <c r="B52" s="1" t="n">
        <v>0.05</v>
      </c>
      <c r="C52" s="1" t="n">
        <v>2009</v>
      </c>
      <c r="D52" s="1" t="n">
        <v>0.08</v>
      </c>
      <c r="E52" s="1" t="n">
        <v>2009</v>
      </c>
      <c r="F52" s="1" t="n">
        <v>0.195</v>
      </c>
      <c r="G52" s="1" t="n">
        <v>2009</v>
      </c>
      <c r="H52" s="1" t="n">
        <v>0.191</v>
      </c>
    </row>
    <row r="53" customFormat="false" ht="12.75" hidden="false" customHeight="true" outlineLevel="0" collapsed="false">
      <c r="A53" s="1" t="n">
        <v>2058</v>
      </c>
      <c r="B53" s="1" t="n">
        <v>0.054</v>
      </c>
      <c r="C53" s="1" t="n">
        <v>2058</v>
      </c>
      <c r="D53" s="1" t="n">
        <v>0.084</v>
      </c>
      <c r="E53" s="1" t="n">
        <v>2058</v>
      </c>
      <c r="F53" s="1" t="n">
        <v>0.195</v>
      </c>
      <c r="G53" s="1" t="n">
        <v>2058</v>
      </c>
      <c r="H53" s="1" t="n">
        <v>0.197</v>
      </c>
    </row>
    <row r="54" customFormat="false" ht="12.75" hidden="false" customHeight="true" outlineLevel="0" collapsed="false">
      <c r="A54" s="1" t="n">
        <v>2107</v>
      </c>
      <c r="B54" s="1" t="n">
        <v>0.058</v>
      </c>
      <c r="C54" s="1" t="n">
        <v>2107</v>
      </c>
      <c r="D54" s="1" t="n">
        <v>0.088</v>
      </c>
      <c r="E54" s="1" t="n">
        <v>2107</v>
      </c>
      <c r="F54" s="1" t="n">
        <v>0.202</v>
      </c>
      <c r="G54" s="1" t="n">
        <v>2107</v>
      </c>
      <c r="H54" s="1" t="n">
        <v>0.202</v>
      </c>
    </row>
    <row r="55" customFormat="false" ht="12.75" hidden="false" customHeight="true" outlineLevel="0" collapsed="false">
      <c r="A55" s="1" t="n">
        <v>2156</v>
      </c>
      <c r="B55" s="1" t="n">
        <v>0.031</v>
      </c>
      <c r="C55" s="1" t="n">
        <v>2156</v>
      </c>
      <c r="D55" s="1" t="n">
        <v>0.09</v>
      </c>
      <c r="E55" s="1" t="n">
        <v>2156</v>
      </c>
      <c r="F55" s="1" t="n">
        <v>0.209</v>
      </c>
      <c r="G55" s="1" t="n">
        <v>2156</v>
      </c>
      <c r="H55" s="1" t="n">
        <v>0.209</v>
      </c>
    </row>
    <row r="56" customFormat="false" ht="12.75" hidden="false" customHeight="true" outlineLevel="0" collapsed="false">
      <c r="A56" s="1" t="n">
        <v>2205</v>
      </c>
      <c r="B56" s="1" t="n">
        <v>0.032</v>
      </c>
      <c r="C56" s="1" t="n">
        <v>2205</v>
      </c>
      <c r="D56" s="1" t="n">
        <v>0.093</v>
      </c>
      <c r="E56" s="1" t="n">
        <v>2205</v>
      </c>
      <c r="F56" s="1" t="n">
        <v>0.218</v>
      </c>
      <c r="G56" s="1" t="n">
        <v>2205</v>
      </c>
      <c r="H56" s="1" t="n">
        <v>0.216</v>
      </c>
    </row>
    <row r="57" customFormat="false" ht="12.75" hidden="false" customHeight="true" outlineLevel="0" collapsed="false">
      <c r="A57" s="1" t="n">
        <v>2254</v>
      </c>
      <c r="B57" s="1" t="n">
        <v>0.033</v>
      </c>
      <c r="C57" s="1" t="n">
        <v>2254</v>
      </c>
      <c r="D57" s="1" t="n">
        <v>0.097</v>
      </c>
      <c r="E57" s="1" t="n">
        <v>2254</v>
      </c>
      <c r="F57" s="1" t="n">
        <v>0.226</v>
      </c>
      <c r="G57" s="1" t="n">
        <v>2254</v>
      </c>
      <c r="H57" s="1" t="n">
        <v>0.224</v>
      </c>
    </row>
    <row r="58" customFormat="false" ht="12.75" hidden="false" customHeight="true" outlineLevel="0" collapsed="false">
      <c r="A58" s="1" t="n">
        <v>2303</v>
      </c>
      <c r="B58" s="1" t="n">
        <v>0.035</v>
      </c>
      <c r="C58" s="1" t="n">
        <v>2303</v>
      </c>
      <c r="D58" s="1" t="n">
        <v>0.098</v>
      </c>
      <c r="E58" s="1" t="n">
        <v>2303</v>
      </c>
      <c r="F58" s="1" t="n">
        <v>0.234</v>
      </c>
      <c r="G58" s="1" t="n">
        <v>2303</v>
      </c>
      <c r="H58" s="1" t="n">
        <v>0.23</v>
      </c>
    </row>
    <row r="59" customFormat="false" ht="12.75" hidden="false" customHeight="true" outlineLevel="0" collapsed="false">
      <c r="A59" s="1" t="n">
        <v>2352</v>
      </c>
      <c r="B59" s="1" t="n">
        <v>0.036</v>
      </c>
      <c r="C59" s="1" t="n">
        <v>2352</v>
      </c>
      <c r="D59" s="1" t="n">
        <v>0.103</v>
      </c>
      <c r="E59" s="1" t="n">
        <v>2352</v>
      </c>
      <c r="F59" s="1" t="n">
        <v>0.241</v>
      </c>
      <c r="G59" s="1" t="n">
        <v>2352</v>
      </c>
      <c r="H59" s="1" t="n">
        <v>0.237</v>
      </c>
    </row>
    <row r="60" customFormat="false" ht="12.75" hidden="false" customHeight="true" outlineLevel="0" collapsed="false">
      <c r="A60" s="1" t="n">
        <v>2401</v>
      </c>
      <c r="B60" s="1" t="n">
        <v>0.037</v>
      </c>
      <c r="C60" s="1" t="n">
        <v>2401</v>
      </c>
      <c r="D60" s="1" t="n">
        <v>0.107</v>
      </c>
      <c r="E60" s="1" t="n">
        <v>2401</v>
      </c>
      <c r="F60" s="1" t="n">
        <v>0.25</v>
      </c>
      <c r="G60" s="1" t="n">
        <v>2401</v>
      </c>
      <c r="H60" s="1" t="n">
        <v>0.244</v>
      </c>
    </row>
    <row r="61" customFormat="false" ht="12.75" hidden="false" customHeight="true" outlineLevel="0" collapsed="false">
      <c r="A61" s="1" t="n">
        <v>2450</v>
      </c>
      <c r="B61" s="1" t="n">
        <v>0.038</v>
      </c>
      <c r="C61" s="1" t="n">
        <v>2450</v>
      </c>
      <c r="D61" s="1" t="n">
        <v>0.108</v>
      </c>
      <c r="E61" s="1" t="n">
        <v>2450</v>
      </c>
      <c r="F61" s="1" t="n">
        <v>0.26</v>
      </c>
      <c r="G61" s="1" t="n">
        <v>2450</v>
      </c>
      <c r="H61" s="1" t="n">
        <v>0.252</v>
      </c>
    </row>
    <row r="62" customFormat="false" ht="12.75" hidden="false" customHeight="true" outlineLevel="0" collapsed="false">
      <c r="A62" s="1" t="n">
        <v>2499</v>
      </c>
      <c r="B62" s="1" t="n">
        <v>0.04</v>
      </c>
      <c r="C62" s="1" t="n">
        <v>2499</v>
      </c>
      <c r="D62" s="1" t="n">
        <v>0.112</v>
      </c>
      <c r="E62" s="1" t="n">
        <v>2499</v>
      </c>
      <c r="F62" s="1" t="n">
        <v>0.268</v>
      </c>
      <c r="G62" s="1" t="n">
        <v>2499</v>
      </c>
      <c r="H62" s="1" t="n">
        <v>0.258</v>
      </c>
    </row>
    <row r="63" customFormat="false" ht="12.75" hidden="false" customHeight="true" outlineLevel="0" collapsed="false">
      <c r="A63" s="1" t="n">
        <v>2548</v>
      </c>
      <c r="B63" s="1" t="n">
        <v>0.041</v>
      </c>
      <c r="C63" s="1" t="n">
        <v>2548</v>
      </c>
      <c r="D63" s="1" t="n">
        <v>0.116</v>
      </c>
      <c r="E63" s="1" t="n">
        <v>2548</v>
      </c>
      <c r="F63" s="1" t="n">
        <v>0.276</v>
      </c>
      <c r="G63" s="1" t="n">
        <v>2548</v>
      </c>
      <c r="H63" s="1" t="n">
        <v>0.266</v>
      </c>
    </row>
    <row r="64" customFormat="false" ht="12.75" hidden="false" customHeight="true" outlineLevel="0" collapsed="false">
      <c r="A64" s="1" t="n">
        <v>2597</v>
      </c>
      <c r="B64" s="1" t="n">
        <v>0.044</v>
      </c>
      <c r="C64" s="1" t="n">
        <v>2597</v>
      </c>
      <c r="D64" s="1" t="n">
        <v>0.12</v>
      </c>
      <c r="E64" s="1" t="n">
        <v>2597</v>
      </c>
      <c r="F64" s="1" t="n">
        <v>0.286</v>
      </c>
      <c r="G64" s="1" t="n">
        <v>2597</v>
      </c>
      <c r="H64" s="1" t="n">
        <v>0.274</v>
      </c>
    </row>
    <row r="65" customFormat="false" ht="12.75" hidden="false" customHeight="true" outlineLevel="0" collapsed="false">
      <c r="A65" s="1" t="n">
        <v>2646</v>
      </c>
      <c r="B65" s="1" t="n">
        <v>0.045</v>
      </c>
      <c r="C65" s="1" t="n">
        <v>2646</v>
      </c>
      <c r="D65" s="1" t="n">
        <v>0.123</v>
      </c>
      <c r="E65" s="1" t="n">
        <v>2646</v>
      </c>
      <c r="F65" s="1" t="n">
        <v>0.293</v>
      </c>
      <c r="G65" s="1" t="n">
        <v>2646</v>
      </c>
      <c r="H65" s="1" t="n">
        <v>0.282</v>
      </c>
    </row>
    <row r="66" customFormat="false" ht="12.75" hidden="false" customHeight="true" outlineLevel="0" collapsed="false">
      <c r="A66" s="1" t="n">
        <v>2695</v>
      </c>
      <c r="B66" s="1" t="n">
        <v>0.046</v>
      </c>
      <c r="C66" s="1" t="n">
        <v>2695</v>
      </c>
      <c r="D66" s="1" t="n">
        <v>0.126</v>
      </c>
      <c r="E66" s="1" t="n">
        <v>2695</v>
      </c>
      <c r="F66" s="1" t="n">
        <v>0.303</v>
      </c>
      <c r="G66" s="1" t="n">
        <v>2695</v>
      </c>
      <c r="H66" s="1" t="n">
        <v>0.29</v>
      </c>
    </row>
    <row r="67" customFormat="false" ht="12.75" hidden="false" customHeight="true" outlineLevel="0" collapsed="false">
      <c r="A67" s="1" t="n">
        <v>2744</v>
      </c>
      <c r="B67" s="1" t="n">
        <v>0.049</v>
      </c>
      <c r="C67" s="1" t="n">
        <v>2744</v>
      </c>
      <c r="D67" s="1" t="n">
        <v>0.132</v>
      </c>
      <c r="E67" s="1" t="n">
        <v>2744</v>
      </c>
      <c r="F67" s="1" t="n">
        <v>0.31</v>
      </c>
      <c r="G67" s="1" t="n">
        <v>2744</v>
      </c>
      <c r="H67" s="1" t="n">
        <v>0.298</v>
      </c>
    </row>
    <row r="68" customFormat="false" ht="12.75" hidden="false" customHeight="true" outlineLevel="0" collapsed="false">
      <c r="A68" s="1" t="n">
        <v>2793</v>
      </c>
      <c r="B68" s="1" t="n">
        <v>0.051</v>
      </c>
      <c r="C68" s="1" t="n">
        <v>2793</v>
      </c>
      <c r="D68" s="1" t="n">
        <v>0.134</v>
      </c>
      <c r="E68" s="1" t="n">
        <v>2793</v>
      </c>
      <c r="F68" s="1" t="n">
        <v>0.317</v>
      </c>
      <c r="G68" s="1" t="n">
        <v>2793</v>
      </c>
      <c r="H68" s="1" t="n">
        <v>0.305</v>
      </c>
    </row>
    <row r="69" customFormat="false" ht="12.75" hidden="false" customHeight="true" outlineLevel="0" collapsed="false">
      <c r="A69" s="1" t="n">
        <v>2842</v>
      </c>
      <c r="B69" s="1" t="n">
        <v>0.052</v>
      </c>
      <c r="C69" s="1" t="n">
        <v>2842</v>
      </c>
      <c r="D69" s="1" t="n">
        <v>0.138</v>
      </c>
      <c r="E69" s="1" t="n">
        <v>2842</v>
      </c>
      <c r="F69" s="1" t="n">
        <v>0.321</v>
      </c>
      <c r="G69" s="1" t="n">
        <v>2842</v>
      </c>
      <c r="H69" s="1" t="n">
        <v>0.314</v>
      </c>
    </row>
    <row r="70" customFormat="false" ht="12.75" hidden="false" customHeight="true" outlineLevel="0" collapsed="false">
      <c r="A70" s="1" t="n">
        <v>2891</v>
      </c>
      <c r="B70" s="1" t="n">
        <v>0.054</v>
      </c>
      <c r="C70" s="1" t="n">
        <v>2891</v>
      </c>
      <c r="D70" s="1" t="n">
        <v>0.142</v>
      </c>
      <c r="E70" s="1" t="n">
        <v>2891</v>
      </c>
      <c r="F70" s="1" t="n">
        <v>0.315</v>
      </c>
      <c r="G70" s="1" t="n">
        <v>2891</v>
      </c>
      <c r="H70" s="1" t="n">
        <v>0.325</v>
      </c>
    </row>
    <row r="71" customFormat="false" ht="12.75" hidden="false" customHeight="true" outlineLevel="0" collapsed="false">
      <c r="A71" s="1" t="n">
        <v>2940</v>
      </c>
      <c r="B71" s="1" t="n">
        <v>0.056</v>
      </c>
      <c r="C71" s="1" t="n">
        <v>2940</v>
      </c>
      <c r="D71" s="1" t="n">
        <v>0.148</v>
      </c>
      <c r="E71" s="1" t="n">
        <v>2940</v>
      </c>
      <c r="F71" s="1" t="n">
        <v>0.32</v>
      </c>
      <c r="G71" s="1" t="n">
        <v>2940</v>
      </c>
      <c r="H71" s="1" t="n">
        <v>0.334</v>
      </c>
    </row>
    <row r="72" customFormat="false" ht="12.75" hidden="false" customHeight="true" outlineLevel="0" collapsed="false">
      <c r="A72" s="1" t="n">
        <v>2989</v>
      </c>
      <c r="B72" s="1" t="n">
        <v>0.058</v>
      </c>
      <c r="C72" s="1" t="n">
        <v>2989</v>
      </c>
      <c r="D72" s="1" t="n">
        <v>0.15</v>
      </c>
      <c r="E72" s="1" t="n">
        <v>2989</v>
      </c>
      <c r="F72" s="1" t="n">
        <v>0.328</v>
      </c>
      <c r="G72" s="1" t="n">
        <v>2989</v>
      </c>
      <c r="H72" s="1" t="n">
        <v>0.343</v>
      </c>
      <c r="K72" s="24" t="s">
        <v>117</v>
      </c>
      <c r="L72" s="24" t="s">
        <v>84</v>
      </c>
      <c r="M72" s="24" t="s">
        <v>118</v>
      </c>
    </row>
    <row r="73" customFormat="false" ht="12.75" hidden="false" customHeight="true" outlineLevel="0" collapsed="false">
      <c r="A73" s="1" t="n">
        <v>3038</v>
      </c>
      <c r="B73" s="1" t="n">
        <v>0.06</v>
      </c>
      <c r="C73" s="1" t="n">
        <v>3038</v>
      </c>
      <c r="D73" s="1" t="n">
        <v>0.154</v>
      </c>
      <c r="E73" s="1" t="n">
        <v>3038</v>
      </c>
      <c r="F73" s="1" t="n">
        <v>0.339</v>
      </c>
      <c r="G73" s="1" t="n">
        <v>3038</v>
      </c>
      <c r="H73" s="1" t="n">
        <v>0.355</v>
      </c>
      <c r="K73" s="1" t="n">
        <v>1.84977443246243</v>
      </c>
      <c r="L73" s="24" t="n">
        <v>3.58</v>
      </c>
      <c r="M73" s="1" t="n">
        <f aca="false">K73/L73</f>
        <v>0.516696768844253</v>
      </c>
    </row>
    <row r="74" customFormat="false" ht="12.75" hidden="false" customHeight="true" outlineLevel="0" collapsed="false">
      <c r="A74" s="1" t="n">
        <v>3087</v>
      </c>
      <c r="B74" s="1" t="n">
        <v>0.062</v>
      </c>
      <c r="C74" s="1" t="n">
        <v>3087</v>
      </c>
      <c r="D74" s="1" t="n">
        <v>0.159</v>
      </c>
      <c r="E74" s="1" t="n">
        <v>3087</v>
      </c>
      <c r="F74" s="1" t="n">
        <v>0.349</v>
      </c>
      <c r="G74" s="1" t="n">
        <v>3087</v>
      </c>
      <c r="H74" s="1" t="n">
        <v>0.367</v>
      </c>
      <c r="K74" s="1" t="n">
        <v>3.69954886492485</v>
      </c>
      <c r="L74" s="24" t="n">
        <v>5.6</v>
      </c>
      <c r="M74" s="1" t="n">
        <f aca="false">K74/L74</f>
        <v>0.660633725879438</v>
      </c>
    </row>
    <row r="75" customFormat="false" ht="12.75" hidden="false" customHeight="true" outlineLevel="0" collapsed="false">
      <c r="A75" s="1" t="n">
        <v>3136</v>
      </c>
      <c r="B75" s="1" t="n">
        <v>0.064</v>
      </c>
      <c r="C75" s="1" t="n">
        <v>3136</v>
      </c>
      <c r="D75" s="1" t="n">
        <v>0.162</v>
      </c>
      <c r="E75" s="1" t="n">
        <v>3136</v>
      </c>
      <c r="F75" s="1" t="n">
        <v>0.359</v>
      </c>
      <c r="G75" s="1" t="n">
        <v>3136</v>
      </c>
      <c r="H75" s="1" t="n">
        <v>0.377</v>
      </c>
      <c r="K75" s="1" t="n">
        <v>5.54932329738728</v>
      </c>
      <c r="L75" s="24" t="n">
        <v>2.26</v>
      </c>
      <c r="M75" s="1" t="n">
        <f aca="false">K75/L75</f>
        <v>2.45545278645455</v>
      </c>
    </row>
    <row r="76" customFormat="false" ht="12.75" hidden="false" customHeight="true" outlineLevel="0" collapsed="false">
      <c r="A76" s="1" t="n">
        <v>3185</v>
      </c>
      <c r="B76" s="1" t="n">
        <v>0.066</v>
      </c>
      <c r="C76" s="1" t="n">
        <v>3185</v>
      </c>
      <c r="D76" s="1" t="n">
        <v>0.168</v>
      </c>
      <c r="E76" s="1" t="n">
        <v>3185</v>
      </c>
      <c r="F76" s="1" t="n">
        <v>0.369</v>
      </c>
      <c r="G76" s="1" t="n">
        <v>3185</v>
      </c>
      <c r="H76" s="1" t="n">
        <v>0.395</v>
      </c>
      <c r="K76" s="1" t="n">
        <v>7.3990977298497</v>
      </c>
      <c r="L76" s="24" t="n">
        <v>6.75</v>
      </c>
      <c r="M76" s="1" t="n">
        <f aca="false">K76/L76</f>
        <v>1.0961626266444</v>
      </c>
    </row>
    <row r="77" customFormat="false" ht="12.75" hidden="false" customHeight="true" outlineLevel="0" collapsed="false">
      <c r="A77" s="1" t="n">
        <v>3234</v>
      </c>
      <c r="B77" s="1" t="n">
        <v>0.07</v>
      </c>
      <c r="C77" s="1" t="n">
        <v>3234</v>
      </c>
      <c r="D77" s="1" t="n">
        <v>0.173</v>
      </c>
      <c r="E77" s="1" t="n">
        <v>3234</v>
      </c>
      <c r="F77" s="1" t="n">
        <v>0.38</v>
      </c>
      <c r="G77" s="1" t="n">
        <v>3234</v>
      </c>
      <c r="H77" s="1" t="n">
        <v>0.406</v>
      </c>
    </row>
    <row r="78" customFormat="false" ht="12.75" hidden="false" customHeight="true" outlineLevel="0" collapsed="false">
      <c r="A78" s="1" t="n">
        <v>3283</v>
      </c>
      <c r="B78" s="1" t="n">
        <v>0.072</v>
      </c>
      <c r="C78" s="1" t="n">
        <v>3283</v>
      </c>
      <c r="D78" s="1" t="n">
        <v>0.178</v>
      </c>
      <c r="E78" s="1" t="n">
        <v>3283</v>
      </c>
      <c r="F78" s="1" t="n">
        <v>0.391</v>
      </c>
      <c r="G78" s="1" t="n">
        <v>3283</v>
      </c>
      <c r="H78" s="1" t="n">
        <v>0.421</v>
      </c>
    </row>
    <row r="79" customFormat="false" ht="12.75" hidden="false" customHeight="true" outlineLevel="0" collapsed="false">
      <c r="A79" s="1" t="n">
        <v>3332</v>
      </c>
      <c r="B79" s="1" t="n">
        <v>0.075</v>
      </c>
      <c r="C79" s="1" t="n">
        <v>3332</v>
      </c>
      <c r="D79" s="1" t="n">
        <v>0.18</v>
      </c>
      <c r="E79" s="1" t="n">
        <v>3332</v>
      </c>
      <c r="F79" s="1" t="n">
        <v>0.4</v>
      </c>
      <c r="G79" s="1" t="n">
        <v>3332</v>
      </c>
      <c r="H79" s="1" t="n">
        <v>0.434</v>
      </c>
    </row>
    <row r="80" customFormat="false" ht="12.75" hidden="false" customHeight="true" outlineLevel="0" collapsed="false">
      <c r="A80" s="1" t="n">
        <v>3381</v>
      </c>
      <c r="B80" s="1" t="n">
        <v>0.077</v>
      </c>
      <c r="C80" s="1" t="n">
        <v>3381</v>
      </c>
      <c r="D80" s="1" t="n">
        <v>0.186</v>
      </c>
      <c r="E80" s="1" t="n">
        <v>3381</v>
      </c>
      <c r="F80" s="1" t="n">
        <v>0.41</v>
      </c>
      <c r="G80" s="1" t="n">
        <v>3381</v>
      </c>
      <c r="H80" s="1" t="n">
        <v>0.448</v>
      </c>
    </row>
    <row r="81" customFormat="false" ht="12.75" hidden="false" customHeight="true" outlineLevel="0" collapsed="false">
      <c r="A81" s="1" t="n">
        <v>3430</v>
      </c>
      <c r="B81" s="1" t="n">
        <v>0.081</v>
      </c>
      <c r="C81" s="1" t="n">
        <v>3430</v>
      </c>
      <c r="D81" s="1" t="n">
        <v>0.191</v>
      </c>
      <c r="E81" s="1" t="n">
        <v>3430</v>
      </c>
      <c r="F81" s="1" t="n">
        <v>0.422</v>
      </c>
      <c r="G81" s="1" t="n">
        <v>3430</v>
      </c>
      <c r="H81" s="1" t="n">
        <v>0.462</v>
      </c>
    </row>
    <row r="82" customFormat="false" ht="12.75" hidden="false" customHeight="true" outlineLevel="0" collapsed="false">
      <c r="A82" s="1" t="n">
        <v>3479</v>
      </c>
      <c r="B82" s="1" t="n">
        <v>0.092</v>
      </c>
      <c r="C82" s="1" t="n">
        <v>3479</v>
      </c>
      <c r="D82" s="1" t="n">
        <v>0.197</v>
      </c>
      <c r="E82" s="1" t="n">
        <v>3479</v>
      </c>
      <c r="F82" s="1" t="n">
        <v>0.434</v>
      </c>
      <c r="G82" s="1" t="n">
        <v>3479</v>
      </c>
      <c r="H82" s="1" t="n">
        <v>0.476</v>
      </c>
    </row>
    <row r="83" customFormat="false" ht="12.75" hidden="false" customHeight="true" outlineLevel="0" collapsed="false">
      <c r="A83" s="1" t="n">
        <v>3528</v>
      </c>
      <c r="B83" s="1" t="n">
        <v>0.083</v>
      </c>
      <c r="C83" s="1" t="n">
        <v>3528</v>
      </c>
      <c r="D83" s="1" t="n">
        <v>0.202</v>
      </c>
      <c r="E83" s="1" t="n">
        <v>3528</v>
      </c>
      <c r="F83" s="1" t="n">
        <v>0.444</v>
      </c>
      <c r="G83" s="1" t="n">
        <v>3528</v>
      </c>
      <c r="H83" s="1" t="n">
        <v>0.491</v>
      </c>
    </row>
    <row r="84" customFormat="false" ht="12.75" hidden="false" customHeight="true" outlineLevel="0" collapsed="false">
      <c r="A84" s="1" t="n">
        <v>3577</v>
      </c>
      <c r="B84" s="1" t="n">
        <v>0.085</v>
      </c>
      <c r="C84" s="1" t="n">
        <v>3577</v>
      </c>
      <c r="D84" s="1" t="n">
        <v>0.209</v>
      </c>
      <c r="E84" s="1" t="n">
        <v>3577</v>
      </c>
      <c r="F84" s="1" t="n">
        <v>0.454</v>
      </c>
      <c r="G84" s="1" t="n">
        <v>3577</v>
      </c>
      <c r="H84" s="1" t="n">
        <v>0.508</v>
      </c>
    </row>
    <row r="85" customFormat="false" ht="12.75" hidden="false" customHeight="true" outlineLevel="0" collapsed="false">
      <c r="A85" s="1" t="n">
        <v>3626</v>
      </c>
      <c r="B85" s="1" t="n">
        <v>0.087</v>
      </c>
      <c r="C85" s="1" t="n">
        <v>3626</v>
      </c>
      <c r="D85" s="1" t="n">
        <v>0.216</v>
      </c>
      <c r="E85" s="1" t="n">
        <v>3626</v>
      </c>
      <c r="F85" s="1" t="n">
        <v>0.467</v>
      </c>
      <c r="G85" s="1" t="n">
        <v>3626</v>
      </c>
      <c r="H85" s="1" t="n">
        <v>0.531</v>
      </c>
    </row>
    <row r="86" customFormat="false" ht="12.75" hidden="false" customHeight="true" outlineLevel="0" collapsed="false">
      <c r="A86" s="1" t="n">
        <v>3675</v>
      </c>
      <c r="B86" s="1" t="n">
        <v>0.089</v>
      </c>
      <c r="C86" s="1" t="n">
        <v>3675</v>
      </c>
      <c r="D86" s="1" t="n">
        <v>0.221</v>
      </c>
      <c r="E86" s="1" t="n">
        <v>3675</v>
      </c>
      <c r="F86" s="1" t="n">
        <v>0.483</v>
      </c>
      <c r="G86" s="1" t="n">
        <v>3675</v>
      </c>
      <c r="H86" s="1" t="n">
        <v>0.495</v>
      </c>
    </row>
    <row r="87" customFormat="false" ht="12.75" hidden="false" customHeight="true" outlineLevel="0" collapsed="false">
      <c r="A87" s="1" t="n">
        <v>3724</v>
      </c>
      <c r="B87" s="1" t="n">
        <v>0.092</v>
      </c>
      <c r="C87" s="1" t="n">
        <v>3724</v>
      </c>
      <c r="D87" s="1" t="n">
        <v>0.228</v>
      </c>
      <c r="E87" s="1" t="n">
        <v>3724</v>
      </c>
      <c r="F87" s="1" t="n">
        <v>0.486</v>
      </c>
      <c r="G87" s="1" t="n">
        <v>3724</v>
      </c>
      <c r="H87" s="1" t="n">
        <v>0.52</v>
      </c>
    </row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2024-12-12T18:57:54Z</dcterms:modified>
  <cp:revision>1</cp:revision>
  <dc:subject/>
  <dc:title/>
</cp:coreProperties>
</file>