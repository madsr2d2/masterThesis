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41">Sheet2!$A$1:$H$58</definedName>
  </definedNames>
  <calcPr/>
  <extLst>
    <ext uri="GoogleSheetsCustomDataVersion1">
      <go:sheetsCustomData xmlns:go="http://customooxmlschemas.google.com/" r:id="rId7" roundtripDataSignature="AMtx7mjngpzr0YONO++r88cbu8OdixTbag=="/>
    </ext>
  </extLst>
</workbook>
</file>

<file path=xl/sharedStrings.xml><?xml version="1.0" encoding="utf-8"?>
<sst xmlns="http://schemas.openxmlformats.org/spreadsheetml/2006/main" count="179" uniqueCount="118">
  <si>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</si>
  <si>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</si>
  <si>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</si>
  <si>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</si>
  <si>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</si>
  <si>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</si>
  <si>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</si>
  <si>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</si>
  <si>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</si>
  <si>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</si>
  <si>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</si>
  <si>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</si>
  <si>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</si>
  <si>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</si>
  <si>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</si>
  <si>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</si>
  <si>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</si>
  <si>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</si>
  <si>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</si>
  <si>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</si>
  <si>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</si>
  <si>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</si>
  <si>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</si>
  <si>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</si>
  <si>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</si>
  <si>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</si>
  <si>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</si>
  <si>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</si>
  <si>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</si>
  <si>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</si>
  <si>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</si>
  <si>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</si>
  <si>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</si>
  <si>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</si>
  <si>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</si>
  <si>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</si>
  <si>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</si>
  <si>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</si>
  <si>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</si>
  <si>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</si>
  <si>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</si>
  <si>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</si>
  <si>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</si>
  <si>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</si>
  <si>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</si>
  <si>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</si>
  <si>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</si>
  <si>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</si>
  <si>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</si>
  <si>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</si>
  <si>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</si>
  <si>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</si>
  <si>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</si>
  <si>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</si>
  <si>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</si>
  <si>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</si>
  <si>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</si>
  <si>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</si>
  <si>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</si>
  <si>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</si>
  <si>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</si>
  <si>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</si>
  <si>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</si>
  <si>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</si>
  <si>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</si>
  <si>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</si>
  <si>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</si>
  <si>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</si>
  <si>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</si>
  <si>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</si>
  <si>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</si>
  <si>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</si>
  <si>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</si>
  <si>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</si>
  <si>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</si>
  <si>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- 041 best fit 2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</si>
  <si>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</si>
  <si>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</si>
  <si>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</si>
  <si>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</si>
  <si>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</si>
  <si>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</si>
  <si>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</si>
  <si>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[S]</t>
  </si>
  <si>
    <t>[I]</t>
  </si>
  <si>
    <t>V</t>
  </si>
  <si>
    <t>Use</t>
  </si>
  <si>
    <t>VMax</t>
  </si>
  <si>
    <t>Sample001</t>
  </si>
  <si>
    <t>Yes</t>
  </si>
  <si>
    <t>Sample002</t>
  </si>
  <si>
    <t>Statistics</t>
  </si>
  <si>
    <t>Sample003</t>
  </si>
  <si>
    <t>Chi Squared</t>
  </si>
  <si>
    <t>Sample004</t>
  </si>
  <si>
    <t>Corr.Coeff.</t>
  </si>
  <si>
    <t>Batch</t>
  </si>
  <si>
    <t>rate041.rre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</si>
  <si>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</si>
  <si>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</si>
  <si>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</si>
  <si>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</si>
  <si>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</si>
  <si>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</si>
  <si>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</si>
  <si>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2:23:08PM</t>
  </si>
  <si>
    <t>2:23:13PM</t>
  </si>
  <si>
    <t>2:23:21PM</t>
  </si>
  <si>
    <t>3:07:56PM</t>
  </si>
  <si>
    <t>Substrate Conc.</t>
  </si>
  <si>
    <t>1.5286 mmol/L</t>
  </si>
  <si>
    <t>3.0571 mmol/L</t>
  </si>
  <si>
    <t>4.5857 mmol/L</t>
  </si>
  <si>
    <t>6.1142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</si>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</sst>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534380"/>
        <c:axId val="152666818"/>
      </c:scatterChart>
      <c:valAx>
        <c:axId val="278534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66818"/>
      </c:valAx>
      <c:valAx>
        <c:axId val="1526668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534380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43118112"/>
        <c:axId val="1589834902"/>
      </c:scatterChart>
      <c:valAx>
        <c:axId val="204311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834902"/>
      </c:valAx>
      <c:valAx>
        <c:axId val="15898349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43118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53469"/>
        <c:axId val="990602321"/>
      </c:scatterChart>
      <c:valAx>
        <c:axId val="142853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602321"/>
      </c:valAx>
      <c:valAx>
        <c:axId val="9906023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53469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89406725"/>
        <c:axId val="221652022"/>
      </c:scatterChart>
      <c:valAx>
        <c:axId val="689406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652022"/>
      </c:valAx>
      <c:valAx>
        <c:axId val="22165202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89406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Sheet2!$B$11:$B$20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Sheet2!$D$11:$D$20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Sheet2!$F$11:$F$20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Sheet2!$H$11:$H$20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661562"/>
        <c:axId val="230031985"/>
      </c:scatterChart>
      <c:valAx>
        <c:axId val="17746615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031985"/>
      </c:valAx>
      <c:valAx>
        <c:axId val="230031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661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Sheet2!$N$35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Sheet2!$L$36:$L$39</c:f>
            </c:numRef>
          </c:xVal>
          <c:yVal>
            <c:numRef>
              <c:f>Sheet2!$N$36:$N$39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594782"/>
        <c:axId val="2051390555"/>
      </c:scatterChart>
      <c:valAx>
        <c:axId val="6515947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390555"/>
      </c:valAx>
      <c:valAx>
        <c:axId val="2051390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594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Sheet2!$B$11:$B$200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Sheet2!$D$11:$D$200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Sheet2!$F$11:$F$200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Sheet2!$H$11:$H$200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366404"/>
        <c:axId val="1922167444"/>
      </c:scatterChart>
      <c:valAx>
        <c:axId val="10623664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167444"/>
      </c:valAx>
      <c:valAx>
        <c:axId val="1922167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366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210798243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98997590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86553992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44420956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5</xdr:row>
      <xdr:rowOff>28575</xdr:rowOff>
    </xdr:from>
    <xdr:ext cx="5715000" cy="3533775"/>
    <xdr:graphicFrame>
      <xdr:nvGraphicFramePr>
        <xdr:cNvPr id="553815931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19050</xdr:colOff>
      <xdr:row>2</xdr:row>
      <xdr:rowOff>57150</xdr:rowOff>
    </xdr:from>
    <xdr:ext cx="5715000" cy="3533775"/>
    <xdr:graphicFrame>
      <xdr:nvGraphicFramePr>
        <xdr:cNvPr id="67856338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76200</xdr:colOff>
      <xdr:row>37</xdr:row>
      <xdr:rowOff>28575</xdr:rowOff>
    </xdr:from>
    <xdr:ext cx="5715000" cy="3533775"/>
    <xdr:graphicFrame>
      <xdr:nvGraphicFramePr>
        <xdr:cNvPr id="634442915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41.0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0.2112</v>
      </c>
      <c r="D8" s="10"/>
      <c r="F8" s="9" t="s">
        <v>42</v>
      </c>
      <c r="G8" s="4">
        <v>0.0228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0.001528551784</v>
      </c>
      <c r="D10" s="10"/>
      <c r="F10" s="9" t="s">
        <v>46</v>
      </c>
      <c r="G10" s="4">
        <f>G8/G7</f>
        <v>0.00002162592835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0.03057103568</v>
      </c>
      <c r="D11" s="10"/>
      <c r="F11" s="9" t="s">
        <v>45</v>
      </c>
      <c r="G11" s="4">
        <f>G10/G9</f>
        <v>0.005406482087</v>
      </c>
      <c r="H11" s="10"/>
      <c r="J11" s="9" t="s">
        <v>47</v>
      </c>
      <c r="K11" s="4" t="s">
        <v>48</v>
      </c>
      <c r="L11" s="10">
        <v>8.46</v>
      </c>
    </row>
    <row r="12" ht="13.5" customHeight="1">
      <c r="B12" s="11" t="s">
        <v>49</v>
      </c>
      <c r="C12" s="5">
        <f>C11*1000</f>
        <v>30.57103568</v>
      </c>
      <c r="D12" s="12"/>
      <c r="F12" s="9" t="s">
        <v>49</v>
      </c>
      <c r="G12" s="4">
        <f>G11*1000</f>
        <v>5.406482087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0.2703241044</v>
      </c>
      <c r="H13" s="12" t="s">
        <v>49</v>
      </c>
      <c r="J13" s="11"/>
      <c r="K13" s="5"/>
      <c r="L13" s="12"/>
    </row>
    <row r="14" ht="12.75" customHeight="1"/>
    <row r="15" ht="12.75" customHeight="1">
      <c r="G15" s="1">
        <v>0.240683303</v>
      </c>
    </row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0.001528551784</v>
      </c>
      <c r="J20" s="1">
        <f t="shared" ref="J20:J27" si="3">I20*1000</f>
        <v>1.528551784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0.2703241044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0.003057103568</v>
      </c>
      <c r="J21" s="1">
        <f t="shared" si="3"/>
        <v>3.057103568</v>
      </c>
      <c r="K21" s="4">
        <f t="shared" si="4"/>
        <v>0.0825</v>
      </c>
      <c r="L21" s="4">
        <f t="shared" si="5"/>
        <v>82.5</v>
      </c>
      <c r="M21" s="1">
        <f t="shared" si="6"/>
        <v>0.2703241044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0.004585655352</v>
      </c>
      <c r="J22" s="1">
        <f t="shared" si="3"/>
        <v>4.585655352</v>
      </c>
      <c r="K22" s="4">
        <f t="shared" si="4"/>
        <v>0.0825</v>
      </c>
      <c r="L22" s="4">
        <f t="shared" si="5"/>
        <v>82.5</v>
      </c>
      <c r="M22" s="1">
        <f t="shared" si="6"/>
        <v>0.2703241044</v>
      </c>
      <c r="R22" s="4">
        <f t="shared" ref="R22:R25" si="7">0.1*(C20/H20)</f>
        <v>0.085</v>
      </c>
    </row>
    <row r="23" ht="12.75" customHeight="1">
      <c r="B23" s="15">
        <v>4.0</v>
      </c>
      <c r="C23" s="15">
        <v>1.4</v>
      </c>
      <c r="D23" s="15">
        <v>0.0</v>
      </c>
      <c r="E23" s="15">
        <v>0.1</v>
      </c>
      <c r="F23" s="15">
        <v>0.4</v>
      </c>
      <c r="G23" s="15">
        <v>0.1</v>
      </c>
      <c r="H23" s="15">
        <f t="shared" si="1"/>
        <v>2</v>
      </c>
      <c r="I23" s="15">
        <f t="shared" si="2"/>
        <v>0.006114207136</v>
      </c>
      <c r="J23" s="15">
        <f t="shared" si="3"/>
        <v>6.114207136</v>
      </c>
      <c r="K23" s="15">
        <f t="shared" si="4"/>
        <v>0.0825</v>
      </c>
      <c r="L23" s="15">
        <f t="shared" si="5"/>
        <v>82.5</v>
      </c>
      <c r="M23" s="1">
        <f t="shared" si="6"/>
        <v>0.2703241044</v>
      </c>
      <c r="R23" s="4">
        <f t="shared" si="7"/>
        <v>0.08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0.001528551784</v>
      </c>
      <c r="J24" s="1">
        <f t="shared" si="3"/>
        <v>1.528551784</v>
      </c>
      <c r="K24" s="4">
        <f t="shared" si="4"/>
        <v>0.0825</v>
      </c>
      <c r="L24" s="4">
        <f t="shared" si="5"/>
        <v>82.5</v>
      </c>
      <c r="M24" s="1">
        <f t="shared" si="6"/>
        <v>0</v>
      </c>
      <c r="R24" s="4">
        <f t="shared" si="7"/>
        <v>0.075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0.003057103568</v>
      </c>
      <c r="J25" s="1">
        <f t="shared" si="3"/>
        <v>3.057103568</v>
      </c>
      <c r="K25" s="4">
        <f t="shared" si="4"/>
        <v>0.0825</v>
      </c>
      <c r="L25" s="4">
        <f t="shared" si="5"/>
        <v>82.5</v>
      </c>
      <c r="M25" s="1">
        <f t="shared" si="6"/>
        <v>0</v>
      </c>
      <c r="R25" s="4">
        <f t="shared" si="7"/>
        <v>0.07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0.004585655352</v>
      </c>
      <c r="J26" s="1">
        <f t="shared" si="3"/>
        <v>4.585655352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0.006114207136</v>
      </c>
      <c r="J27" s="5">
        <f t="shared" si="3"/>
        <v>6.114207136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8">SUM(C20:C27)</f>
        <v>12.4</v>
      </c>
      <c r="D28" s="1">
        <f t="shared" si="8"/>
        <v>0.4</v>
      </c>
      <c r="E28" s="1">
        <f t="shared" si="8"/>
        <v>0.4</v>
      </c>
      <c r="F28" s="1">
        <f t="shared" si="8"/>
        <v>2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6"/>
      <c r="M34" s="16">
        <v>2.91092E-5</v>
      </c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0.00778737259804247</v>
      </c>
      <c r="K38" s="1" t="s">
        <v>61</v>
      </c>
    </row>
    <row r="39" ht="12.75" customHeight="1">
      <c r="H39" s="16"/>
      <c r="I39" s="1" t="s">
        <v>60</v>
      </c>
      <c r="J39" s="1">
        <f>J38/I2</f>
        <v>0.001034179628</v>
      </c>
      <c r="K39" s="1" t="s">
        <v>62</v>
      </c>
    </row>
    <row r="40" ht="12.75" customHeight="1">
      <c r="I40" s="1" t="s">
        <v>63</v>
      </c>
      <c r="J40" s="4">
        <v>1.35003298051701</v>
      </c>
      <c r="K40" s="1" t="s">
        <v>64</v>
      </c>
    </row>
    <row r="41" ht="12.75" customHeight="1">
      <c r="I41" s="1" t="s">
        <v>65</v>
      </c>
      <c r="J41" s="1">
        <f>J39/G13</f>
        <v>0.003825702596</v>
      </c>
      <c r="K41" s="1" t="s">
        <v>66</v>
      </c>
      <c r="O41" s="1">
        <v>0.003825703</v>
      </c>
    </row>
    <row r="42" ht="12.75" customHeight="1">
      <c r="J42" s="1">
        <f>J41/60</f>
        <v>0.00006376170994</v>
      </c>
      <c r="K42" s="1" t="s">
        <v>67</v>
      </c>
    </row>
    <row r="43" ht="12.75" customHeight="1">
      <c r="I43" s="1" t="s">
        <v>68</v>
      </c>
      <c r="J43" s="16">
        <v>1.43E-9</v>
      </c>
      <c r="K43" s="1" t="s">
        <v>69</v>
      </c>
    </row>
    <row r="44" ht="12.75" customHeight="1">
      <c r="J44" s="17">
        <f>60*J43</f>
        <v>0.0000000858</v>
      </c>
      <c r="K44" s="1" t="s">
        <v>66</v>
      </c>
    </row>
    <row r="45" ht="12.75" customHeight="1">
      <c r="I45" s="1" t="s">
        <v>70</v>
      </c>
      <c r="J45" s="16">
        <f>J42/J43</f>
        <v>44588.60835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75</v>
      </c>
      <c r="D97" s="7"/>
      <c r="E97" s="7"/>
      <c r="F97" s="7"/>
      <c r="G97" s="7" t="s">
        <v>75</v>
      </c>
      <c r="H97" s="7"/>
      <c r="I97" s="7"/>
      <c r="J97" s="7"/>
      <c r="K97" s="8"/>
      <c r="L97" s="4"/>
      <c r="M97" s="4"/>
    </row>
    <row r="98" ht="12.75" customHeight="1">
      <c r="B98" s="4"/>
      <c r="C98" s="9" t="s">
        <v>76</v>
      </c>
      <c r="D98" s="4"/>
      <c r="E98" s="4"/>
      <c r="F98" s="4"/>
      <c r="G98" s="4" t="s">
        <v>77</v>
      </c>
      <c r="H98" s="4"/>
      <c r="I98" s="4"/>
      <c r="J98" s="4"/>
      <c r="K98" s="10"/>
      <c r="L98" s="4"/>
      <c r="M98" s="4"/>
    </row>
    <row r="99" ht="12.75" customHeight="1">
      <c r="B99" s="4"/>
      <c r="C99" s="9"/>
      <c r="D99" s="4" t="s">
        <v>78</v>
      </c>
      <c r="E99" s="4" t="s">
        <v>79</v>
      </c>
      <c r="F99" s="4"/>
      <c r="G99" s="4" t="s">
        <v>80</v>
      </c>
      <c r="H99" s="4"/>
      <c r="I99" s="4"/>
      <c r="J99" s="4"/>
      <c r="K99" s="10"/>
      <c r="L99" s="4"/>
      <c r="M99" s="4"/>
    </row>
    <row r="100" ht="12.75" customHeight="1">
      <c r="B100" s="4"/>
      <c r="C100" s="9" t="s">
        <v>81</v>
      </c>
      <c r="D100" s="4"/>
      <c r="E100" s="4"/>
      <c r="F100" s="4"/>
      <c r="G100" s="4" t="s">
        <v>82</v>
      </c>
      <c r="H100" s="4" t="s">
        <v>83</v>
      </c>
      <c r="I100" s="4" t="s">
        <v>84</v>
      </c>
      <c r="J100" s="4" t="s">
        <v>85</v>
      </c>
      <c r="K100" s="10" t="s">
        <v>86</v>
      </c>
      <c r="L100" s="4"/>
      <c r="M100" s="4"/>
    </row>
    <row r="101" ht="12.75" customHeight="1">
      <c r="B101" s="4"/>
      <c r="C101" s="9"/>
      <c r="D101" s="4" t="s">
        <v>87</v>
      </c>
      <c r="E101" s="4">
        <v>0.00778737259804247</v>
      </c>
      <c r="F101" s="4"/>
      <c r="G101" s="4" t="s">
        <v>88</v>
      </c>
      <c r="H101" s="4">
        <v>1.52859999979509</v>
      </c>
      <c r="I101" s="4">
        <v>0.0</v>
      </c>
      <c r="J101" s="4">
        <v>0.002539329472454</v>
      </c>
      <c r="K101" s="10" t="s">
        <v>89</v>
      </c>
      <c r="L101" s="4"/>
      <c r="M101" s="4"/>
    </row>
    <row r="102" ht="12.75" customHeight="1">
      <c r="B102" s="4"/>
      <c r="C102" s="9"/>
      <c r="D102" s="4" t="s">
        <v>63</v>
      </c>
      <c r="E102" s="4">
        <v>3.18382789938014</v>
      </c>
      <c r="F102" s="4"/>
      <c r="G102" s="4" t="s">
        <v>90</v>
      </c>
      <c r="H102" s="4">
        <v>3.05709999991532</v>
      </c>
      <c r="I102" s="4">
        <v>0.0</v>
      </c>
      <c r="J102" s="4">
        <v>0.003836982213001</v>
      </c>
      <c r="K102" s="10" t="s">
        <v>89</v>
      </c>
      <c r="L102" s="4"/>
      <c r="M102" s="4"/>
    </row>
    <row r="103" ht="12.75" customHeight="1">
      <c r="B103" s="4"/>
      <c r="C103" s="9" t="s">
        <v>91</v>
      </c>
      <c r="D103" s="4"/>
      <c r="E103" s="4"/>
      <c r="F103" s="4"/>
      <c r="G103" s="4" t="s">
        <v>92</v>
      </c>
      <c r="H103" s="4">
        <v>4.58569999971042</v>
      </c>
      <c r="I103" s="4">
        <v>0.0</v>
      </c>
      <c r="J103" s="4">
        <v>0.004511036696144</v>
      </c>
      <c r="K103" s="10" t="s">
        <v>89</v>
      </c>
      <c r="L103" s="4"/>
      <c r="M103" s="4"/>
    </row>
    <row r="104" ht="12.75" customHeight="1">
      <c r="B104" s="4"/>
      <c r="C104" s="9"/>
      <c r="D104" s="4" t="s">
        <v>93</v>
      </c>
      <c r="E104" s="4">
        <v>508.006451998159</v>
      </c>
      <c r="F104" s="4"/>
      <c r="G104" s="4" t="s">
        <v>94</v>
      </c>
      <c r="H104" s="4">
        <v>6.11419999983064</v>
      </c>
      <c r="I104" s="4">
        <v>0.0</v>
      </c>
      <c r="J104" s="4">
        <v>0.005168461265174</v>
      </c>
      <c r="K104" s="10" t="s">
        <v>89</v>
      </c>
      <c r="L104" s="4"/>
      <c r="M104" s="4"/>
    </row>
    <row r="105" ht="13.5" customHeight="1">
      <c r="B105" s="4"/>
      <c r="C105" s="11"/>
      <c r="D105" s="5" t="s">
        <v>95</v>
      </c>
      <c r="E105" s="5">
        <v>0.99868404936744</v>
      </c>
      <c r="F105" s="5"/>
      <c r="G105" s="5"/>
      <c r="H105" s="5"/>
      <c r="I105" s="5"/>
      <c r="J105" s="5"/>
      <c r="K105" s="12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  <c r="M113" s="4"/>
      <c r="N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2.7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2.7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2.7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96</v>
      </c>
      <c r="B1" s="1" t="s">
        <v>97</v>
      </c>
    </row>
    <row r="2" ht="12.75" customHeight="1">
      <c r="A2" s="1" t="s">
        <v>98</v>
      </c>
      <c r="B2" s="1">
        <v>161008.0</v>
      </c>
    </row>
    <row r="3" ht="12.75" customHeight="1">
      <c r="A3" s="1" t="s">
        <v>82</v>
      </c>
      <c r="B3" s="1" t="s">
        <v>88</v>
      </c>
      <c r="C3" s="1" t="s">
        <v>82</v>
      </c>
      <c r="D3" s="1" t="s">
        <v>90</v>
      </c>
      <c r="E3" s="1" t="s">
        <v>82</v>
      </c>
      <c r="F3" s="1" t="s">
        <v>92</v>
      </c>
      <c r="G3" s="1" t="s">
        <v>82</v>
      </c>
      <c r="H3" s="1" t="s">
        <v>94</v>
      </c>
    </row>
    <row r="4" ht="12.75" customHeight="1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ht="12.75" customHeight="1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ht="12.75" customHeight="1">
      <c r="A6" s="1" t="s">
        <v>103</v>
      </c>
      <c r="B6" s="19">
        <v>40298.0</v>
      </c>
      <c r="C6" s="1" t="s">
        <v>103</v>
      </c>
      <c r="D6" s="19">
        <v>40298.0</v>
      </c>
      <c r="E6" s="1" t="s">
        <v>103</v>
      </c>
      <c r="F6" s="19">
        <v>40298.0</v>
      </c>
      <c r="G6" s="1" t="s">
        <v>103</v>
      </c>
      <c r="H6" s="19">
        <v>40298.0</v>
      </c>
    </row>
    <row r="7" ht="12.75" customHeight="1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ht="12.75" customHeight="1"/>
    <row r="9" ht="12.75" customHeight="1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ht="12.75" customHeight="1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ht="12.75" customHeight="1">
      <c r="A11" s="1">
        <v>0.0</v>
      </c>
      <c r="B11" s="1">
        <v>0.0</v>
      </c>
      <c r="C11" s="1">
        <v>0.0</v>
      </c>
      <c r="D11" s="1">
        <v>0.009</v>
      </c>
      <c r="E11" s="1">
        <v>0.0</v>
      </c>
      <c r="F11" s="1">
        <v>0.014</v>
      </c>
      <c r="G11" s="1">
        <v>0.0</v>
      </c>
      <c r="H11" s="1">
        <v>0.021</v>
      </c>
    </row>
    <row r="12" ht="12.75" customHeight="1">
      <c r="A12" s="1">
        <v>60.0</v>
      </c>
      <c r="B12" s="1">
        <v>0.001</v>
      </c>
      <c r="C12" s="1">
        <v>60.0</v>
      </c>
      <c r="D12" s="1">
        <v>0.012</v>
      </c>
      <c r="E12" s="1">
        <v>60.0</v>
      </c>
      <c r="F12" s="1">
        <v>0.017</v>
      </c>
      <c r="G12" s="1">
        <v>60.0</v>
      </c>
      <c r="H12" s="1">
        <v>0.024</v>
      </c>
    </row>
    <row r="13" ht="12.75" customHeight="1">
      <c r="A13" s="1">
        <v>120.0</v>
      </c>
      <c r="B13" s="1">
        <v>0.004</v>
      </c>
      <c r="C13" s="1">
        <v>120.0</v>
      </c>
      <c r="D13" s="1">
        <v>0.015</v>
      </c>
      <c r="E13" s="1">
        <v>120.0</v>
      </c>
      <c r="F13" s="1">
        <v>0.021</v>
      </c>
      <c r="G13" s="1">
        <v>120.0</v>
      </c>
      <c r="H13" s="1">
        <v>0.028</v>
      </c>
    </row>
    <row r="14" ht="12.75" customHeight="1">
      <c r="A14" s="1">
        <v>180.0</v>
      </c>
      <c r="B14" s="1">
        <v>0.006</v>
      </c>
      <c r="C14" s="1">
        <v>180.0</v>
      </c>
      <c r="D14" s="1">
        <v>0.018</v>
      </c>
      <c r="E14" s="1">
        <v>180.0</v>
      </c>
      <c r="F14" s="1">
        <v>0.025</v>
      </c>
      <c r="G14" s="1">
        <v>180.0</v>
      </c>
      <c r="H14" s="1">
        <v>0.032</v>
      </c>
    </row>
    <row r="15" ht="12.75" customHeight="1">
      <c r="A15" s="1">
        <v>240.0</v>
      </c>
      <c r="B15" s="1">
        <v>0.009</v>
      </c>
      <c r="C15" s="1">
        <v>240.0</v>
      </c>
      <c r="D15" s="1">
        <v>0.022</v>
      </c>
      <c r="E15" s="1">
        <v>240.0</v>
      </c>
      <c r="F15" s="1">
        <v>0.029</v>
      </c>
      <c r="G15" s="1">
        <v>240.0</v>
      </c>
      <c r="H15" s="1">
        <v>0.036</v>
      </c>
    </row>
    <row r="16" ht="12.75" customHeight="1">
      <c r="A16" s="1">
        <v>300.0</v>
      </c>
      <c r="B16" s="1">
        <v>0.011</v>
      </c>
      <c r="C16" s="1">
        <v>300.0</v>
      </c>
      <c r="D16" s="1">
        <v>0.025</v>
      </c>
      <c r="E16" s="1">
        <v>300.0</v>
      </c>
      <c r="F16" s="1">
        <v>0.033</v>
      </c>
      <c r="G16" s="1">
        <v>300.0</v>
      </c>
      <c r="H16" s="1">
        <v>0.041</v>
      </c>
    </row>
    <row r="17" ht="12.75" customHeight="1">
      <c r="A17" s="1">
        <v>360.0</v>
      </c>
      <c r="B17" s="1">
        <v>0.014</v>
      </c>
      <c r="C17" s="1">
        <v>360.0</v>
      </c>
      <c r="D17" s="1">
        <v>0.029</v>
      </c>
      <c r="E17" s="1">
        <v>360.0</v>
      </c>
      <c r="F17" s="1">
        <v>0.037</v>
      </c>
      <c r="G17" s="1">
        <v>360.0</v>
      </c>
      <c r="H17" s="1">
        <v>0.046</v>
      </c>
    </row>
    <row r="18" ht="12.75" customHeight="1">
      <c r="A18" s="1">
        <v>420.0</v>
      </c>
      <c r="B18" s="1">
        <v>0.016</v>
      </c>
      <c r="C18" s="1">
        <v>420.0</v>
      </c>
      <c r="D18" s="1">
        <v>0.033</v>
      </c>
      <c r="E18" s="1">
        <v>420.0</v>
      </c>
      <c r="F18" s="1">
        <v>0.042</v>
      </c>
      <c r="G18" s="1">
        <v>420.0</v>
      </c>
      <c r="H18" s="1">
        <v>0.05</v>
      </c>
    </row>
    <row r="19" ht="12.75" customHeight="1">
      <c r="A19" s="1">
        <v>480.0</v>
      </c>
      <c r="B19" s="1">
        <v>0.018</v>
      </c>
      <c r="C19" s="1">
        <v>480.0</v>
      </c>
      <c r="D19" s="1">
        <v>0.037</v>
      </c>
      <c r="E19" s="1">
        <v>480.0</v>
      </c>
      <c r="F19" s="1">
        <v>0.046</v>
      </c>
      <c r="G19" s="1">
        <v>480.0</v>
      </c>
      <c r="H19" s="1">
        <v>0.055</v>
      </c>
    </row>
    <row r="20" ht="12.75" customHeight="1">
      <c r="A20" s="1">
        <v>540.0</v>
      </c>
      <c r="B20" s="1">
        <v>0.021</v>
      </c>
      <c r="C20" s="1">
        <v>540.0</v>
      </c>
      <c r="D20" s="1">
        <v>0.04</v>
      </c>
      <c r="E20" s="1">
        <v>540.0</v>
      </c>
      <c r="F20" s="1">
        <v>0.05</v>
      </c>
      <c r="G20" s="1">
        <v>540.0</v>
      </c>
      <c r="H20" s="1">
        <v>0.06</v>
      </c>
    </row>
    <row r="21" ht="12.75" customHeight="1">
      <c r="A21" s="1">
        <v>600.0</v>
      </c>
      <c r="B21" s="1">
        <v>0.023</v>
      </c>
      <c r="C21" s="1">
        <v>600.0</v>
      </c>
      <c r="D21" s="1">
        <v>0.044</v>
      </c>
      <c r="E21" s="1">
        <v>600.0</v>
      </c>
      <c r="F21" s="1">
        <v>0.054</v>
      </c>
      <c r="G21" s="1">
        <v>600.0</v>
      </c>
      <c r="H21" s="1">
        <v>0.065</v>
      </c>
    </row>
    <row r="22" ht="12.75" customHeight="1">
      <c r="A22" s="1">
        <v>660.0</v>
      </c>
      <c r="B22" s="1">
        <v>0.026</v>
      </c>
      <c r="C22" s="1">
        <v>660.0</v>
      </c>
      <c r="D22" s="1">
        <v>0.048</v>
      </c>
      <c r="E22" s="1">
        <v>660.0</v>
      </c>
      <c r="F22" s="1">
        <v>0.059</v>
      </c>
      <c r="G22" s="1">
        <v>660.0</v>
      </c>
      <c r="H22" s="1">
        <v>0.071</v>
      </c>
    </row>
    <row r="23" ht="12.75" customHeight="1">
      <c r="A23" s="1">
        <v>720.0</v>
      </c>
      <c r="B23" s="1">
        <v>0.029</v>
      </c>
      <c r="C23" s="1">
        <v>720.0</v>
      </c>
      <c r="D23" s="1">
        <v>0.052</v>
      </c>
      <c r="E23" s="1">
        <v>720.0</v>
      </c>
      <c r="F23" s="1">
        <v>0.064</v>
      </c>
      <c r="G23" s="1">
        <v>720.0</v>
      </c>
      <c r="H23" s="1">
        <v>0.075</v>
      </c>
    </row>
    <row r="24" ht="12.75" customHeight="1">
      <c r="A24" s="1">
        <v>780.0</v>
      </c>
      <c r="B24" s="1">
        <v>0.031</v>
      </c>
      <c r="C24" s="1">
        <v>780.0</v>
      </c>
      <c r="D24" s="1">
        <v>0.056</v>
      </c>
      <c r="E24" s="1">
        <v>780.0</v>
      </c>
      <c r="F24" s="1">
        <v>0.068</v>
      </c>
      <c r="G24" s="1">
        <v>780.0</v>
      </c>
      <c r="H24" s="1">
        <v>0.08</v>
      </c>
    </row>
    <row r="25" ht="12.75" customHeight="1">
      <c r="A25" s="1">
        <v>840.0</v>
      </c>
      <c r="B25" s="1">
        <v>0.034</v>
      </c>
      <c r="C25" s="1">
        <v>840.0</v>
      </c>
      <c r="D25" s="1">
        <v>0.06</v>
      </c>
      <c r="E25" s="1">
        <v>840.0</v>
      </c>
      <c r="F25" s="1">
        <v>0.072</v>
      </c>
      <c r="G25" s="1">
        <v>840.0</v>
      </c>
      <c r="H25" s="1">
        <v>0.086</v>
      </c>
    </row>
    <row r="26" ht="12.75" customHeight="1">
      <c r="A26" s="1">
        <v>900.0</v>
      </c>
      <c r="B26" s="1">
        <v>0.037</v>
      </c>
      <c r="C26" s="1">
        <v>900.0</v>
      </c>
      <c r="D26" s="1">
        <v>0.064</v>
      </c>
      <c r="E26" s="1">
        <v>900.0</v>
      </c>
      <c r="F26" s="1">
        <v>0.077</v>
      </c>
      <c r="G26" s="1">
        <v>900.0</v>
      </c>
      <c r="H26" s="1">
        <v>0.091</v>
      </c>
    </row>
    <row r="27" ht="12.75" customHeight="1">
      <c r="A27" s="1">
        <v>960.0</v>
      </c>
      <c r="B27" s="1">
        <v>0.039</v>
      </c>
      <c r="C27" s="1">
        <v>960.0</v>
      </c>
      <c r="D27" s="1">
        <v>0.068</v>
      </c>
      <c r="E27" s="1">
        <v>960.0</v>
      </c>
      <c r="F27" s="1">
        <v>0.082</v>
      </c>
      <c r="G27" s="1">
        <v>960.0</v>
      </c>
      <c r="H27" s="1">
        <v>0.096</v>
      </c>
    </row>
    <row r="28" ht="12.75" customHeight="1">
      <c r="A28" s="1">
        <v>1020.0</v>
      </c>
      <c r="B28" s="1">
        <v>0.042</v>
      </c>
      <c r="C28" s="1">
        <v>1020.0</v>
      </c>
      <c r="D28" s="1">
        <v>0.071</v>
      </c>
      <c r="E28" s="1">
        <v>1020.0</v>
      </c>
      <c r="F28" s="1">
        <v>0.087</v>
      </c>
      <c r="G28" s="1">
        <v>1020.0</v>
      </c>
      <c r="H28" s="1">
        <v>0.101</v>
      </c>
    </row>
    <row r="29" ht="12.75" customHeight="1">
      <c r="A29" s="1">
        <v>1080.0</v>
      </c>
      <c r="B29" s="1">
        <v>0.044</v>
      </c>
      <c r="C29" s="1">
        <v>1080.0</v>
      </c>
      <c r="D29" s="1">
        <v>0.075</v>
      </c>
      <c r="E29" s="1">
        <v>1080.0</v>
      </c>
      <c r="F29" s="1">
        <v>0.091</v>
      </c>
      <c r="G29" s="1">
        <v>1080.0</v>
      </c>
      <c r="H29" s="1">
        <v>0.107</v>
      </c>
    </row>
    <row r="30" ht="12.75" customHeight="1">
      <c r="A30" s="1">
        <v>1140.0</v>
      </c>
      <c r="B30" s="1">
        <v>0.047</v>
      </c>
      <c r="C30" s="1">
        <v>1140.0</v>
      </c>
      <c r="D30" s="1">
        <v>0.079</v>
      </c>
      <c r="E30" s="1">
        <v>1140.0</v>
      </c>
      <c r="F30" s="1">
        <v>0.096</v>
      </c>
      <c r="G30" s="1">
        <v>1140.0</v>
      </c>
      <c r="H30" s="1">
        <v>0.112</v>
      </c>
    </row>
    <row r="31" ht="12.75" customHeight="1">
      <c r="A31" s="1">
        <v>1200.0</v>
      </c>
      <c r="B31" s="1">
        <v>0.05</v>
      </c>
      <c r="C31" s="1">
        <v>1200.0</v>
      </c>
      <c r="D31" s="1">
        <v>0.083</v>
      </c>
      <c r="E31" s="1">
        <v>1200.0</v>
      </c>
      <c r="F31" s="1">
        <v>0.1</v>
      </c>
      <c r="G31" s="1">
        <v>1200.0</v>
      </c>
      <c r="H31" s="1">
        <v>0.117</v>
      </c>
    </row>
    <row r="32" ht="12.75" customHeight="1">
      <c r="A32" s="1">
        <v>1260.0</v>
      </c>
      <c r="B32" s="1">
        <v>0.052</v>
      </c>
      <c r="C32" s="1">
        <v>1260.0</v>
      </c>
      <c r="D32" s="1">
        <v>0.088</v>
      </c>
      <c r="E32" s="1">
        <v>1260.0</v>
      </c>
      <c r="F32" s="1">
        <v>0.105</v>
      </c>
      <c r="G32" s="1">
        <v>1260.0</v>
      </c>
      <c r="H32" s="1">
        <v>0.123</v>
      </c>
    </row>
    <row r="33" ht="12.75" customHeight="1">
      <c r="A33" s="1">
        <v>1320.0</v>
      </c>
      <c r="B33" s="1">
        <v>0.055</v>
      </c>
      <c r="C33" s="1">
        <v>1320.0</v>
      </c>
      <c r="D33" s="1">
        <v>0.091</v>
      </c>
      <c r="E33" s="1">
        <v>1320.0</v>
      </c>
      <c r="F33" s="1">
        <v>0.109</v>
      </c>
      <c r="G33" s="1">
        <v>1320.0</v>
      </c>
      <c r="H33" s="1">
        <v>0.128</v>
      </c>
    </row>
    <row r="34" ht="12.75" customHeight="1">
      <c r="A34" s="1">
        <v>1380.0</v>
      </c>
      <c r="B34" s="1">
        <v>0.057</v>
      </c>
      <c r="C34" s="1">
        <v>1380.0</v>
      </c>
      <c r="D34" s="1">
        <v>0.095</v>
      </c>
      <c r="E34" s="1">
        <v>1380.0</v>
      </c>
      <c r="F34" s="1">
        <v>0.114</v>
      </c>
      <c r="G34" s="1">
        <v>1380.0</v>
      </c>
      <c r="H34" s="1">
        <v>0.133</v>
      </c>
    </row>
    <row r="35" ht="12.75" customHeight="1">
      <c r="A35" s="1">
        <v>1440.0</v>
      </c>
      <c r="B35" s="1">
        <v>0.059</v>
      </c>
      <c r="C35" s="1">
        <v>1440.0</v>
      </c>
      <c r="D35" s="1">
        <v>0.099</v>
      </c>
      <c r="E35" s="1">
        <v>1440.0</v>
      </c>
      <c r="F35" s="1">
        <v>0.118</v>
      </c>
      <c r="G35" s="1">
        <v>1440.0</v>
      </c>
      <c r="H35" s="1">
        <v>0.138</v>
      </c>
      <c r="L35" s="20" t="s">
        <v>116</v>
      </c>
      <c r="M35" s="20" t="s">
        <v>85</v>
      </c>
      <c r="N35" s="20" t="s">
        <v>117</v>
      </c>
    </row>
    <row r="36" ht="12.75" customHeight="1">
      <c r="A36" s="1">
        <v>1500.0</v>
      </c>
      <c r="B36" s="1">
        <v>0.062</v>
      </c>
      <c r="C36" s="1">
        <v>1500.0</v>
      </c>
      <c r="D36" s="1">
        <v>0.103</v>
      </c>
      <c r="E36" s="1">
        <v>1500.0</v>
      </c>
      <c r="F36" s="1">
        <v>0.123</v>
      </c>
      <c r="G36" s="1">
        <v>1500.0</v>
      </c>
      <c r="H36" s="1">
        <v>0.143</v>
      </c>
      <c r="L36" s="1">
        <v>1.528551784034161</v>
      </c>
      <c r="M36" s="20">
        <v>3.75</v>
      </c>
      <c r="N36" s="1">
        <f t="shared" ref="N36:N39" si="1">L36/M36</f>
        <v>0.4076138091</v>
      </c>
    </row>
    <row r="37" ht="12.75" customHeight="1">
      <c r="A37" s="1">
        <v>1560.0</v>
      </c>
      <c r="B37" s="1">
        <v>0.065</v>
      </c>
      <c r="C37" s="1">
        <v>1560.0</v>
      </c>
      <c r="D37" s="1">
        <v>0.107</v>
      </c>
      <c r="E37" s="1">
        <v>1560.0</v>
      </c>
      <c r="F37" s="1">
        <v>0.127</v>
      </c>
      <c r="G37" s="1">
        <v>1560.0</v>
      </c>
      <c r="H37" s="1">
        <v>0.149</v>
      </c>
      <c r="L37" s="1">
        <v>3.057103568068322</v>
      </c>
      <c r="M37" s="20">
        <v>5.01</v>
      </c>
      <c r="N37" s="1">
        <f t="shared" si="1"/>
        <v>0.610200313</v>
      </c>
    </row>
    <row r="38" ht="12.75" customHeight="1">
      <c r="A38" s="1">
        <v>1620.0</v>
      </c>
      <c r="B38" s="1">
        <v>0.067</v>
      </c>
      <c r="C38" s="1">
        <v>1620.0</v>
      </c>
      <c r="D38" s="1">
        <v>0.111</v>
      </c>
      <c r="E38" s="1">
        <v>1620.0</v>
      </c>
      <c r="F38" s="1">
        <v>0.132</v>
      </c>
      <c r="G38" s="1">
        <v>1620.0</v>
      </c>
      <c r="H38" s="1">
        <v>0.154</v>
      </c>
      <c r="L38" s="1">
        <v>4.585655352102482</v>
      </c>
      <c r="M38" s="20">
        <v>6.05</v>
      </c>
      <c r="N38" s="1">
        <f t="shared" si="1"/>
        <v>0.7579595623</v>
      </c>
    </row>
    <row r="39" ht="12.75" customHeight="1">
      <c r="A39" s="1">
        <v>1680.0</v>
      </c>
      <c r="B39" s="1">
        <v>0.07</v>
      </c>
      <c r="C39" s="1">
        <v>1680.0</v>
      </c>
      <c r="D39" s="1">
        <v>0.114</v>
      </c>
      <c r="E39" s="1">
        <v>1680.0</v>
      </c>
      <c r="F39" s="1">
        <v>0.137</v>
      </c>
      <c r="G39" s="1">
        <v>1680.0</v>
      </c>
      <c r="H39" s="1">
        <v>0.159</v>
      </c>
      <c r="L39" s="1">
        <v>6.114207136136644</v>
      </c>
      <c r="M39" s="20">
        <v>5.96</v>
      </c>
      <c r="N39" s="1">
        <f t="shared" si="1"/>
        <v>1.025873681</v>
      </c>
    </row>
    <row r="40" ht="12.75" customHeight="1">
      <c r="A40" s="1">
        <v>1740.0</v>
      </c>
      <c r="B40" s="1">
        <v>0.072</v>
      </c>
      <c r="C40" s="1">
        <v>1740.0</v>
      </c>
      <c r="D40" s="1">
        <v>0.118</v>
      </c>
      <c r="E40" s="1">
        <v>1740.0</v>
      </c>
      <c r="F40" s="1">
        <v>0.141</v>
      </c>
      <c r="G40" s="1">
        <v>1740.0</v>
      </c>
      <c r="H40" s="1">
        <v>0.164</v>
      </c>
    </row>
    <row r="41" ht="12.75" customHeight="1">
      <c r="A41" s="1">
        <v>1800.0</v>
      </c>
      <c r="B41" s="1">
        <v>0.075</v>
      </c>
      <c r="C41" s="1">
        <v>1800.0</v>
      </c>
      <c r="D41" s="1">
        <v>0.122</v>
      </c>
      <c r="E41" s="1">
        <v>1800.0</v>
      </c>
      <c r="F41" s="1">
        <v>0.146</v>
      </c>
      <c r="G41" s="1">
        <v>1800.0</v>
      </c>
      <c r="H41" s="1">
        <v>0.169</v>
      </c>
    </row>
    <row r="42" ht="12.75" customHeight="1">
      <c r="A42" s="1">
        <v>1860.0</v>
      </c>
      <c r="B42" s="1">
        <v>0.078</v>
      </c>
      <c r="C42" s="1">
        <v>1860.0</v>
      </c>
      <c r="D42" s="1">
        <v>0.125</v>
      </c>
      <c r="E42" s="1">
        <v>1860.0</v>
      </c>
      <c r="F42" s="1">
        <v>0.15</v>
      </c>
      <c r="G42" s="1">
        <v>1860.0</v>
      </c>
      <c r="H42" s="1">
        <v>0.174</v>
      </c>
    </row>
    <row r="43" ht="12.75" customHeight="1">
      <c r="A43" s="1">
        <v>1920.0</v>
      </c>
      <c r="B43" s="1">
        <v>0.081</v>
      </c>
      <c r="C43" s="1">
        <v>1920.0</v>
      </c>
      <c r="D43" s="1">
        <v>0.13</v>
      </c>
      <c r="E43" s="1">
        <v>1920.0</v>
      </c>
      <c r="F43" s="1">
        <v>0.154</v>
      </c>
      <c r="G43" s="1">
        <v>1920.0</v>
      </c>
      <c r="H43" s="1">
        <v>0.179</v>
      </c>
    </row>
    <row r="44" ht="12.75" customHeight="1">
      <c r="A44" s="1">
        <v>1980.0</v>
      </c>
      <c r="B44" s="1">
        <v>0.083</v>
      </c>
      <c r="C44" s="1">
        <v>1980.0</v>
      </c>
      <c r="D44" s="1">
        <v>0.133</v>
      </c>
      <c r="E44" s="1">
        <v>1980.0</v>
      </c>
      <c r="F44" s="1">
        <v>0.159</v>
      </c>
      <c r="G44" s="1">
        <v>1980.0</v>
      </c>
      <c r="H44" s="1">
        <v>0.185</v>
      </c>
    </row>
    <row r="45" ht="12.75" customHeight="1">
      <c r="A45" s="1">
        <v>2040.0</v>
      </c>
      <c r="B45" s="1">
        <v>0.086</v>
      </c>
      <c r="C45" s="1">
        <v>2040.0</v>
      </c>
      <c r="D45" s="1">
        <v>0.137</v>
      </c>
      <c r="E45" s="1">
        <v>2040.0</v>
      </c>
      <c r="F45" s="1">
        <v>0.164</v>
      </c>
      <c r="G45" s="1">
        <v>2040.0</v>
      </c>
      <c r="H45" s="1">
        <v>0.19</v>
      </c>
    </row>
    <row r="46" ht="12.75" customHeight="1">
      <c r="A46" s="1">
        <v>2100.0</v>
      </c>
      <c r="B46" s="1">
        <v>0.088</v>
      </c>
      <c r="C46" s="1">
        <v>2100.0</v>
      </c>
      <c r="D46" s="1">
        <v>0.141</v>
      </c>
      <c r="E46" s="1">
        <v>2100.0</v>
      </c>
      <c r="F46" s="1">
        <v>0.168</v>
      </c>
      <c r="G46" s="1">
        <v>2100.0</v>
      </c>
      <c r="H46" s="1">
        <v>0.195</v>
      </c>
    </row>
    <row r="47" ht="12.75" customHeight="1">
      <c r="A47" s="1">
        <v>2160.0</v>
      </c>
      <c r="B47" s="1">
        <v>0.09</v>
      </c>
      <c r="C47" s="1">
        <v>2160.0</v>
      </c>
      <c r="D47" s="1">
        <v>0.145</v>
      </c>
      <c r="E47" s="1">
        <v>2160.0</v>
      </c>
      <c r="F47" s="1">
        <v>0.173</v>
      </c>
      <c r="G47" s="1">
        <v>2160.0</v>
      </c>
      <c r="H47" s="1">
        <v>0.2</v>
      </c>
    </row>
    <row r="48" ht="12.75" customHeight="1">
      <c r="A48" s="1">
        <v>2220.0</v>
      </c>
      <c r="B48" s="1">
        <v>0.092</v>
      </c>
      <c r="C48" s="1">
        <v>2220.0</v>
      </c>
      <c r="D48" s="1">
        <v>0.148</v>
      </c>
      <c r="E48" s="1">
        <v>2220.0</v>
      </c>
      <c r="F48" s="1">
        <v>0.177</v>
      </c>
      <c r="G48" s="1">
        <v>2220.0</v>
      </c>
      <c r="H48" s="1">
        <v>0.205</v>
      </c>
    </row>
    <row r="49" ht="12.75" customHeight="1">
      <c r="A49" s="1">
        <v>2280.0</v>
      </c>
      <c r="B49" s="1">
        <v>0.095</v>
      </c>
      <c r="C49" s="1">
        <v>2280.0</v>
      </c>
      <c r="D49" s="1">
        <v>0.152</v>
      </c>
      <c r="E49" s="1">
        <v>2280.0</v>
      </c>
      <c r="F49" s="1">
        <v>0.182</v>
      </c>
      <c r="G49" s="1">
        <v>2280.0</v>
      </c>
      <c r="H49" s="1">
        <v>0.21</v>
      </c>
    </row>
    <row r="50" ht="12.75" customHeight="1">
      <c r="A50" s="1">
        <v>2340.0</v>
      </c>
      <c r="B50" s="1">
        <v>0.097</v>
      </c>
      <c r="C50" s="1">
        <v>2340.0</v>
      </c>
      <c r="D50" s="1">
        <v>0.156</v>
      </c>
      <c r="E50" s="1">
        <v>2340.0</v>
      </c>
      <c r="F50" s="1">
        <v>0.186</v>
      </c>
      <c r="G50" s="1">
        <v>2340.0</v>
      </c>
      <c r="H50" s="1">
        <v>0.216</v>
      </c>
    </row>
    <row r="51" ht="12.75" customHeight="1">
      <c r="A51" s="1">
        <v>2400.0</v>
      </c>
      <c r="B51" s="1">
        <v>0.1</v>
      </c>
      <c r="C51" s="1">
        <v>2400.0</v>
      </c>
      <c r="D51" s="1">
        <v>0.159</v>
      </c>
      <c r="E51" s="1">
        <v>2400.0</v>
      </c>
      <c r="F51" s="1">
        <v>0.19</v>
      </c>
      <c r="G51" s="1">
        <v>2400.0</v>
      </c>
      <c r="H51" s="1">
        <v>0.221</v>
      </c>
    </row>
    <row r="52" ht="12.75" customHeight="1">
      <c r="A52" s="1">
        <v>2460.0</v>
      </c>
      <c r="B52" s="1">
        <v>0.102</v>
      </c>
      <c r="C52" s="1">
        <v>2460.0</v>
      </c>
      <c r="D52" s="1">
        <v>0.163</v>
      </c>
      <c r="E52" s="1">
        <v>2460.0</v>
      </c>
      <c r="F52" s="1">
        <v>0.195</v>
      </c>
      <c r="G52" s="1">
        <v>2460.0</v>
      </c>
      <c r="H52" s="1">
        <v>0.226</v>
      </c>
    </row>
    <row r="53" ht="12.75" customHeight="1">
      <c r="A53" s="1">
        <v>2520.0</v>
      </c>
      <c r="B53" s="1">
        <v>0.104</v>
      </c>
      <c r="C53" s="1">
        <v>2520.0</v>
      </c>
      <c r="D53" s="1">
        <v>0.167</v>
      </c>
      <c r="E53" s="1">
        <v>2520.0</v>
      </c>
      <c r="F53" s="1">
        <v>0.199</v>
      </c>
      <c r="G53" s="1">
        <v>2520.0</v>
      </c>
      <c r="H53" s="1">
        <v>0.231</v>
      </c>
    </row>
    <row r="54" ht="12.75" customHeight="1">
      <c r="A54" s="1">
        <v>2580.0</v>
      </c>
      <c r="B54" s="1">
        <v>0.106</v>
      </c>
      <c r="C54" s="1">
        <v>2580.0</v>
      </c>
      <c r="D54" s="1">
        <v>0.17</v>
      </c>
      <c r="E54" s="1">
        <v>2580.0</v>
      </c>
      <c r="F54" s="1">
        <v>0.203</v>
      </c>
      <c r="G54" s="1">
        <v>2580.0</v>
      </c>
      <c r="H54" s="1">
        <v>0.236</v>
      </c>
    </row>
    <row r="55" ht="12.75" customHeight="1">
      <c r="A55" s="1">
        <v>2640.0</v>
      </c>
      <c r="B55" s="1">
        <v>0.11</v>
      </c>
      <c r="C55" s="1">
        <v>2640.0</v>
      </c>
      <c r="D55" s="1">
        <v>0.174</v>
      </c>
      <c r="E55" s="1">
        <v>2640.0</v>
      </c>
      <c r="F55" s="1">
        <v>0.208</v>
      </c>
      <c r="G55" s="1">
        <v>2640.0</v>
      </c>
      <c r="H55" s="1">
        <v>0.241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