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41" vbProcedure="false">Sheet2!$A$1:$H$58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<sst xmlns="http://schemas.openxmlformats.org/spreadsheetml/2006/main" count="179" uniqueCount="118">
  <si>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</si>
  <si>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</si>
  <si>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</si>
  <si>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</si>
  <si>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</si>
  <si>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</si>
  <si>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</si>
  <si>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</si>
  <si>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</si>
  <si>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</si>
  <si>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</si>
  <si>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</si>
  <si>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</si>
  <si>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</si>
  <si>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</si>
  <si>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</si>
  <si>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</si>
  <si>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</si>
  <si>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</si>
  <si>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</si>
  <si>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</si>
  <si>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</si>
  <si>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</si>
  <si>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</si>
  <si>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</si>
  <si>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</si>
  <si>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</si>
  <si>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</si>
  <si>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</si>
  <si>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</si>
  <si>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</si>
  <si>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</si>
  <si>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</si>
  <si>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</si>
  <si>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</si>
  <si>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</si>
  <si>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</si>
  <si>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</si>
  <si>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</si>
  <si>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</si>
  <si>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</si>
  <si>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</si>
  <si>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</si>
  <si>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</si>
  <si>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</si>
  <si>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</si>
  <si>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</si>
  <si>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Boric acid buf.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</si>
  <si>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</si>
  <si>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</si>
  <si>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</si>
  <si>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</si>
  <si>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</si>
  <si>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</si>
  <si>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</si>
  <si>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</si>
  <si>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</si>
  <si>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</si>
  <si>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</si>
  <si>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</si>
  <si>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</si>
  <si>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</si>
  <si>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</si>
  <si>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</si>
  <si>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</si>
  <si>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</si>
  <si>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</si>
  <si>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</si>
  <si>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</si>
  <si>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</si>
  <si>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</si>
  <si>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</si>
  <si>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</si>
  <si>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</si>
  <si>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</si>
  <si>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- 041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</si>
  <si>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</si>
  <si>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</si>
  <si>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</si>
  <si>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</si>
  <si>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</si>
  <si>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</si>
  <si>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</si>
  <si>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</si>
  <si>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</si>
  <si>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</si>
  <si>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</si>
  <si>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</si>
  <si>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</si>
  <si>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</si>
  <si>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</si>
  <si>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</si>
  <si>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</si>
  <si>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</si>
  <si>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</si>
  <si>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</si>
  <si>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Batch</t>
  </si>
  <si>
    <t xml:space="preserve">rate041.rre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</si>
  <si>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</si>
  <si>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</si>
  <si>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</si>
  <si>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</si>
  <si>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</si>
  <si>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</si>
  <si>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</si>
  <si>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2:23:08PM</t>
  </si>
  <si>
    <t xml:space="preserve">2:23:13PM</t>
  </si>
  <si>
    <t xml:space="preserve">2:23:21PM</t>
  </si>
  <si>
    <t xml:space="preserve">3:07:56PM</t>
  </si>
  <si>
    <t xml:space="preserve">Substrate Conc.</t>
  </si>
  <si>
    <t xml:space="preserve">1.5286 mmol/L</t>
  </si>
  <si>
    <t xml:space="preserve">3.0571 mmol/L</t>
  </si>
  <si>
    <t xml:space="preserve">4.5857 mmol/L</t>
  </si>
  <si>
    <t xml:space="preserve">6.1142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</si>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</sst>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89679452"/>
        <c:axId val="65537789"/>
      </c:scatterChart>
      <c:valAx>
        <c:axId val="89679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537789"/>
        <c:crosses val="autoZero"/>
        <c:crossBetween val="midCat"/>
      </c:valAx>
      <c:valAx>
        <c:axId val="655377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6794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2108829"/>
        <c:axId val="6439777"/>
      </c:barChart>
      <c:catAx>
        <c:axId val="62108829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439777"/>
        <c:auto val="1"/>
        <c:lblAlgn val="ctr"/>
        <c:lblOffset val="100"/>
        <c:noMultiLvlLbl val="0"/>
      </c:catAx>
      <c:valAx>
        <c:axId val="6439777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2108829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24559491"/>
        <c:axId val="57016568"/>
      </c:scatterChart>
      <c:valAx>
        <c:axId val="24559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016568"/>
        <c:crosses val="autoZero"/>
        <c:crossBetween val="midCat"/>
      </c:valAx>
      <c:valAx>
        <c:axId val="570165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45594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98750488"/>
        <c:axId val="78523144"/>
      </c:barChart>
      <c:catAx>
        <c:axId val="98750488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8523144"/>
        <c:auto val="1"/>
        <c:lblAlgn val="ctr"/>
        <c:lblOffset val="100"/>
        <c:noMultiLvlLbl val="0"/>
      </c:catAx>
      <c:valAx>
        <c:axId val="78523144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98750488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1.5286 mmol/L/Value, Substrate Conc./ss.sss, 3.0571 mmol/L/Value, Substrate Conc./ss.sss, 4.5857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</c:f>
              <c:numCache>
                <c:formatCode>General</c:formatCode>
                <c:ptCount val="2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</c:numCache>
            </c:numRef>
          </c:xVal>
          <c:yVal>
            <c:numRef>
              <c:f>Sheet2!$B$12:$B$30</c:f>
              <c:numCache>
                <c:formatCode>General</c:formatCode>
                <c:ptCount val="19"/>
                <c:pt idx="0">
                  <c:v>0.001</c:v>
                </c:pt>
                <c:pt idx="1">
                  <c:v>0.004</c:v>
                </c:pt>
                <c:pt idx="2">
                  <c:v>0.006</c:v>
                </c:pt>
                <c:pt idx="3">
                  <c:v>0.009</c:v>
                </c:pt>
                <c:pt idx="4">
                  <c:v>0.011</c:v>
                </c:pt>
                <c:pt idx="5">
                  <c:v>0.014</c:v>
                </c:pt>
                <c:pt idx="6">
                  <c:v>0.016</c:v>
                </c:pt>
                <c:pt idx="7">
                  <c:v>0.018</c:v>
                </c:pt>
                <c:pt idx="8">
                  <c:v>0.021</c:v>
                </c:pt>
                <c:pt idx="9">
                  <c:v>0.023</c:v>
                </c:pt>
                <c:pt idx="10">
                  <c:v>0.026</c:v>
                </c:pt>
                <c:pt idx="11">
                  <c:v>0.029</c:v>
                </c:pt>
                <c:pt idx="12">
                  <c:v>0.031</c:v>
                </c:pt>
                <c:pt idx="13">
                  <c:v>0.034</c:v>
                </c:pt>
                <c:pt idx="14">
                  <c:v>0.037</c:v>
                </c:pt>
                <c:pt idx="15">
                  <c:v>0.039</c:v>
                </c:pt>
                <c:pt idx="16">
                  <c:v>0.042</c:v>
                </c:pt>
                <c:pt idx="17">
                  <c:v>0.044</c:v>
                </c:pt>
                <c:pt idx="18">
                  <c:v>0.047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</c:f>
              <c:numCache>
                <c:formatCode>General</c:formatCode>
                <c:ptCount val="2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</c:numCache>
            </c:numRef>
          </c:xVal>
          <c:yVal>
            <c:numRef>
              <c:f>Sheet2!$D$12:$D$30</c:f>
              <c:numCache>
                <c:formatCode>General</c:formatCode>
                <c:ptCount val="19"/>
                <c:pt idx="0">
                  <c:v>0.012</c:v>
                </c:pt>
                <c:pt idx="1">
                  <c:v>0.015</c:v>
                </c:pt>
                <c:pt idx="2">
                  <c:v>0.018</c:v>
                </c:pt>
                <c:pt idx="3">
                  <c:v>0.022</c:v>
                </c:pt>
                <c:pt idx="4">
                  <c:v>0.025</c:v>
                </c:pt>
                <c:pt idx="5">
                  <c:v>0.029</c:v>
                </c:pt>
                <c:pt idx="6">
                  <c:v>0.033</c:v>
                </c:pt>
                <c:pt idx="7">
                  <c:v>0.037</c:v>
                </c:pt>
                <c:pt idx="8">
                  <c:v>0.04</c:v>
                </c:pt>
                <c:pt idx="9">
                  <c:v>0.044</c:v>
                </c:pt>
                <c:pt idx="10">
                  <c:v>0.048</c:v>
                </c:pt>
                <c:pt idx="11">
                  <c:v>0.052</c:v>
                </c:pt>
                <c:pt idx="12">
                  <c:v>0.056</c:v>
                </c:pt>
                <c:pt idx="13">
                  <c:v>0.06</c:v>
                </c:pt>
                <c:pt idx="14">
                  <c:v>0.064</c:v>
                </c:pt>
                <c:pt idx="15">
                  <c:v>0.068</c:v>
                </c:pt>
                <c:pt idx="16">
                  <c:v>0.071</c:v>
                </c:pt>
                <c:pt idx="17">
                  <c:v>0.075</c:v>
                </c:pt>
                <c:pt idx="18">
                  <c:v>0.079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</c:f>
              <c:numCache>
                <c:formatCode>General</c:formatCode>
                <c:ptCount val="2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</c:numCache>
            </c:numRef>
          </c:xVal>
          <c:yVal>
            <c:numRef>
              <c:f>Sheet2!$F$12:$F$30</c:f>
              <c:numCache>
                <c:formatCode>General</c:formatCode>
                <c:ptCount val="19"/>
                <c:pt idx="0">
                  <c:v>0.017</c:v>
                </c:pt>
                <c:pt idx="1">
                  <c:v>0.021</c:v>
                </c:pt>
                <c:pt idx="2">
                  <c:v>0.025</c:v>
                </c:pt>
                <c:pt idx="3">
                  <c:v>0.029</c:v>
                </c:pt>
                <c:pt idx="4">
                  <c:v>0.033</c:v>
                </c:pt>
                <c:pt idx="5">
                  <c:v>0.037</c:v>
                </c:pt>
                <c:pt idx="6">
                  <c:v>0.042</c:v>
                </c:pt>
                <c:pt idx="7">
                  <c:v>0.046</c:v>
                </c:pt>
                <c:pt idx="8">
                  <c:v>0.05</c:v>
                </c:pt>
                <c:pt idx="9">
                  <c:v>0.054</c:v>
                </c:pt>
                <c:pt idx="10">
                  <c:v>0.059</c:v>
                </c:pt>
                <c:pt idx="11">
                  <c:v>0.064</c:v>
                </c:pt>
                <c:pt idx="12">
                  <c:v>0.068</c:v>
                </c:pt>
                <c:pt idx="13">
                  <c:v>0.072</c:v>
                </c:pt>
                <c:pt idx="14">
                  <c:v>0.077</c:v>
                </c:pt>
                <c:pt idx="15">
                  <c:v>0.082</c:v>
                </c:pt>
                <c:pt idx="16">
                  <c:v>0.087</c:v>
                </c:pt>
                <c:pt idx="17">
                  <c:v>0.091</c:v>
                </c:pt>
                <c:pt idx="18">
                  <c:v>0.096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</c:f>
              <c:numCache>
                <c:formatCode>General</c:formatCode>
                <c:ptCount val="2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</c:numCache>
            </c:numRef>
          </c:xVal>
          <c:yVal>
            <c:numRef>
              <c:f>Sheet2!$H$12:$H$30</c:f>
              <c:numCache>
                <c:formatCode>General</c:formatCode>
                <c:ptCount val="19"/>
                <c:pt idx="0">
                  <c:v>0.024</c:v>
                </c:pt>
                <c:pt idx="1">
                  <c:v>0.028</c:v>
                </c:pt>
                <c:pt idx="2">
                  <c:v>0.032</c:v>
                </c:pt>
                <c:pt idx="3">
                  <c:v>0.036</c:v>
                </c:pt>
                <c:pt idx="4">
                  <c:v>0.041</c:v>
                </c:pt>
                <c:pt idx="5">
                  <c:v>0.046</c:v>
                </c:pt>
                <c:pt idx="6">
                  <c:v>0.05</c:v>
                </c:pt>
                <c:pt idx="7">
                  <c:v>0.055</c:v>
                </c:pt>
                <c:pt idx="8">
                  <c:v>0.06</c:v>
                </c:pt>
                <c:pt idx="9">
                  <c:v>0.065</c:v>
                </c:pt>
                <c:pt idx="10">
                  <c:v>0.071</c:v>
                </c:pt>
                <c:pt idx="11">
                  <c:v>0.075</c:v>
                </c:pt>
                <c:pt idx="12">
                  <c:v>0.08</c:v>
                </c:pt>
                <c:pt idx="13">
                  <c:v>0.086</c:v>
                </c:pt>
                <c:pt idx="14">
                  <c:v>0.091</c:v>
                </c:pt>
                <c:pt idx="15">
                  <c:v>0.096</c:v>
                </c:pt>
                <c:pt idx="16">
                  <c:v>0.101</c:v>
                </c:pt>
                <c:pt idx="17">
                  <c:v>0.107</c:v>
                </c:pt>
                <c:pt idx="18">
                  <c:v>0.112</c:v>
                </c:pt>
              </c:numCache>
            </c:numRef>
          </c:yVal>
          <c:smooth val="1"/>
        </c:ser>
        <c:axId val="10944386"/>
        <c:axId val="67982237"/>
      </c:scatterChart>
      <c:valAx>
        <c:axId val="10944386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982237"/>
        <c:crosses val="autoZero"/>
        <c:crossBetween val="midCat"/>
      </c:valAx>
      <c:valAx>
        <c:axId val="679822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9443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1.5286 mmol/L/Value, Substrate Conc./ss.sss, 3.0571 mmol/L/Value, Substrate Conc./ss.sss, 4.5857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Sheet2!$A$12:$A$350</c:f>
              <c:numCache>
                <c:formatCode>General</c:formatCode>
                <c:ptCount val="3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</c:numCache>
            </c:numRef>
          </c:xVal>
          <c:yVal>
            <c:numRef>
              <c:f>Sheet2!$B$12:$B$300</c:f>
              <c:numCache>
                <c:formatCode>General</c:formatCode>
                <c:ptCount val="289"/>
                <c:pt idx="0">
                  <c:v>0.001</c:v>
                </c:pt>
                <c:pt idx="1">
                  <c:v>0.004</c:v>
                </c:pt>
                <c:pt idx="2">
                  <c:v>0.006</c:v>
                </c:pt>
                <c:pt idx="3">
                  <c:v>0.009</c:v>
                </c:pt>
                <c:pt idx="4">
                  <c:v>0.011</c:v>
                </c:pt>
                <c:pt idx="5">
                  <c:v>0.014</c:v>
                </c:pt>
                <c:pt idx="6">
                  <c:v>0.016</c:v>
                </c:pt>
                <c:pt idx="7">
                  <c:v>0.018</c:v>
                </c:pt>
                <c:pt idx="8">
                  <c:v>0.021</c:v>
                </c:pt>
                <c:pt idx="9">
                  <c:v>0.023</c:v>
                </c:pt>
                <c:pt idx="10">
                  <c:v>0.026</c:v>
                </c:pt>
                <c:pt idx="11">
                  <c:v>0.029</c:v>
                </c:pt>
                <c:pt idx="12">
                  <c:v>0.031</c:v>
                </c:pt>
                <c:pt idx="13">
                  <c:v>0.034</c:v>
                </c:pt>
                <c:pt idx="14">
                  <c:v>0.037</c:v>
                </c:pt>
                <c:pt idx="15">
                  <c:v>0.039</c:v>
                </c:pt>
                <c:pt idx="16">
                  <c:v>0.042</c:v>
                </c:pt>
                <c:pt idx="17">
                  <c:v>0.044</c:v>
                </c:pt>
                <c:pt idx="18">
                  <c:v>0.047</c:v>
                </c:pt>
                <c:pt idx="19">
                  <c:v>0.05</c:v>
                </c:pt>
                <c:pt idx="20">
                  <c:v>0.052</c:v>
                </c:pt>
                <c:pt idx="21">
                  <c:v>0.055</c:v>
                </c:pt>
                <c:pt idx="22">
                  <c:v>0.057</c:v>
                </c:pt>
                <c:pt idx="23">
                  <c:v>0.059</c:v>
                </c:pt>
                <c:pt idx="24">
                  <c:v>0.062</c:v>
                </c:pt>
                <c:pt idx="25">
                  <c:v>0.065</c:v>
                </c:pt>
                <c:pt idx="26">
                  <c:v>0.067</c:v>
                </c:pt>
                <c:pt idx="27">
                  <c:v>0.07</c:v>
                </c:pt>
                <c:pt idx="28">
                  <c:v>0.072</c:v>
                </c:pt>
                <c:pt idx="29">
                  <c:v>0.075</c:v>
                </c:pt>
                <c:pt idx="30">
                  <c:v>0.078</c:v>
                </c:pt>
                <c:pt idx="31">
                  <c:v>0.081</c:v>
                </c:pt>
                <c:pt idx="32">
                  <c:v>0.083</c:v>
                </c:pt>
                <c:pt idx="33">
                  <c:v>0.086</c:v>
                </c:pt>
                <c:pt idx="34">
                  <c:v>0.088</c:v>
                </c:pt>
                <c:pt idx="35">
                  <c:v>0.09</c:v>
                </c:pt>
                <c:pt idx="36">
                  <c:v>0.092</c:v>
                </c:pt>
                <c:pt idx="37">
                  <c:v>0.095</c:v>
                </c:pt>
                <c:pt idx="38">
                  <c:v>0.097</c:v>
                </c:pt>
                <c:pt idx="39">
                  <c:v>0.1</c:v>
                </c:pt>
                <c:pt idx="40">
                  <c:v>0.102</c:v>
                </c:pt>
                <c:pt idx="41">
                  <c:v>0.104</c:v>
                </c:pt>
                <c:pt idx="42">
                  <c:v>0.106</c:v>
                </c:pt>
                <c:pt idx="43">
                  <c:v>0.11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Sheet2!$A$12:$A$350</c:f>
              <c:numCache>
                <c:formatCode>General</c:formatCode>
                <c:ptCount val="3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</c:numCache>
            </c:numRef>
          </c:xVal>
          <c:yVal>
            <c:numRef>
              <c:f>Sheet2!$D$12:$D$300</c:f>
              <c:numCache>
                <c:formatCode>General</c:formatCode>
                <c:ptCount val="289"/>
                <c:pt idx="0">
                  <c:v>0.012</c:v>
                </c:pt>
                <c:pt idx="1">
                  <c:v>0.015</c:v>
                </c:pt>
                <c:pt idx="2">
                  <c:v>0.018</c:v>
                </c:pt>
                <c:pt idx="3">
                  <c:v>0.022</c:v>
                </c:pt>
                <c:pt idx="4">
                  <c:v>0.025</c:v>
                </c:pt>
                <c:pt idx="5">
                  <c:v>0.029</c:v>
                </c:pt>
                <c:pt idx="6">
                  <c:v>0.033</c:v>
                </c:pt>
                <c:pt idx="7">
                  <c:v>0.037</c:v>
                </c:pt>
                <c:pt idx="8">
                  <c:v>0.04</c:v>
                </c:pt>
                <c:pt idx="9">
                  <c:v>0.044</c:v>
                </c:pt>
                <c:pt idx="10">
                  <c:v>0.048</c:v>
                </c:pt>
                <c:pt idx="11">
                  <c:v>0.052</c:v>
                </c:pt>
                <c:pt idx="12">
                  <c:v>0.056</c:v>
                </c:pt>
                <c:pt idx="13">
                  <c:v>0.06</c:v>
                </c:pt>
                <c:pt idx="14">
                  <c:v>0.064</c:v>
                </c:pt>
                <c:pt idx="15">
                  <c:v>0.068</c:v>
                </c:pt>
                <c:pt idx="16">
                  <c:v>0.071</c:v>
                </c:pt>
                <c:pt idx="17">
                  <c:v>0.075</c:v>
                </c:pt>
                <c:pt idx="18">
                  <c:v>0.079</c:v>
                </c:pt>
                <c:pt idx="19">
                  <c:v>0.083</c:v>
                </c:pt>
                <c:pt idx="20">
                  <c:v>0.088</c:v>
                </c:pt>
                <c:pt idx="21">
                  <c:v>0.091</c:v>
                </c:pt>
                <c:pt idx="22">
                  <c:v>0.095</c:v>
                </c:pt>
                <c:pt idx="23">
                  <c:v>0.099</c:v>
                </c:pt>
                <c:pt idx="24">
                  <c:v>0.103</c:v>
                </c:pt>
                <c:pt idx="25">
                  <c:v>0.107</c:v>
                </c:pt>
                <c:pt idx="26">
                  <c:v>0.111</c:v>
                </c:pt>
                <c:pt idx="27">
                  <c:v>0.114</c:v>
                </c:pt>
                <c:pt idx="28">
                  <c:v>0.118</c:v>
                </c:pt>
                <c:pt idx="29">
                  <c:v>0.122</c:v>
                </c:pt>
                <c:pt idx="30">
                  <c:v>0.125</c:v>
                </c:pt>
                <c:pt idx="31">
                  <c:v>0.13</c:v>
                </c:pt>
                <c:pt idx="32">
                  <c:v>0.133</c:v>
                </c:pt>
                <c:pt idx="33">
                  <c:v>0.137</c:v>
                </c:pt>
                <c:pt idx="34">
                  <c:v>0.141</c:v>
                </c:pt>
                <c:pt idx="35">
                  <c:v>0.145</c:v>
                </c:pt>
                <c:pt idx="36">
                  <c:v>0.148</c:v>
                </c:pt>
                <c:pt idx="37">
                  <c:v>0.152</c:v>
                </c:pt>
                <c:pt idx="38">
                  <c:v>0.156</c:v>
                </c:pt>
                <c:pt idx="39">
                  <c:v>0.159</c:v>
                </c:pt>
                <c:pt idx="40">
                  <c:v>0.163</c:v>
                </c:pt>
                <c:pt idx="41">
                  <c:v>0.167</c:v>
                </c:pt>
                <c:pt idx="42">
                  <c:v>0.17</c:v>
                </c:pt>
                <c:pt idx="43">
                  <c:v>0.174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Sheet2!$A$12:$A$350</c:f>
              <c:numCache>
                <c:formatCode>General</c:formatCode>
                <c:ptCount val="3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</c:numCache>
            </c:numRef>
          </c:xVal>
          <c:yVal>
            <c:numRef>
              <c:f>Sheet2!$F$12:$F$300</c:f>
              <c:numCache>
                <c:formatCode>General</c:formatCode>
                <c:ptCount val="289"/>
                <c:pt idx="0">
                  <c:v>0.017</c:v>
                </c:pt>
                <c:pt idx="1">
                  <c:v>0.021</c:v>
                </c:pt>
                <c:pt idx="2">
                  <c:v>0.025</c:v>
                </c:pt>
                <c:pt idx="3">
                  <c:v>0.029</c:v>
                </c:pt>
                <c:pt idx="4">
                  <c:v>0.033</c:v>
                </c:pt>
                <c:pt idx="5">
                  <c:v>0.037</c:v>
                </c:pt>
                <c:pt idx="6">
                  <c:v>0.042</c:v>
                </c:pt>
                <c:pt idx="7">
                  <c:v>0.046</c:v>
                </c:pt>
                <c:pt idx="8">
                  <c:v>0.05</c:v>
                </c:pt>
                <c:pt idx="9">
                  <c:v>0.054</c:v>
                </c:pt>
                <c:pt idx="10">
                  <c:v>0.059</c:v>
                </c:pt>
                <c:pt idx="11">
                  <c:v>0.064</c:v>
                </c:pt>
                <c:pt idx="12">
                  <c:v>0.068</c:v>
                </c:pt>
                <c:pt idx="13">
                  <c:v>0.072</c:v>
                </c:pt>
                <c:pt idx="14">
                  <c:v>0.077</c:v>
                </c:pt>
                <c:pt idx="15">
                  <c:v>0.082</c:v>
                </c:pt>
                <c:pt idx="16">
                  <c:v>0.087</c:v>
                </c:pt>
                <c:pt idx="17">
                  <c:v>0.091</c:v>
                </c:pt>
                <c:pt idx="18">
                  <c:v>0.096</c:v>
                </c:pt>
                <c:pt idx="19">
                  <c:v>0.1</c:v>
                </c:pt>
                <c:pt idx="20">
                  <c:v>0.105</c:v>
                </c:pt>
                <c:pt idx="21">
                  <c:v>0.109</c:v>
                </c:pt>
                <c:pt idx="22">
                  <c:v>0.114</c:v>
                </c:pt>
                <c:pt idx="23">
                  <c:v>0.118</c:v>
                </c:pt>
                <c:pt idx="24">
                  <c:v>0.123</c:v>
                </c:pt>
                <c:pt idx="25">
                  <c:v>0.127</c:v>
                </c:pt>
                <c:pt idx="26">
                  <c:v>0.132</c:v>
                </c:pt>
                <c:pt idx="27">
                  <c:v>0.137</c:v>
                </c:pt>
                <c:pt idx="28">
                  <c:v>0.141</c:v>
                </c:pt>
                <c:pt idx="29">
                  <c:v>0.146</c:v>
                </c:pt>
                <c:pt idx="30">
                  <c:v>0.15</c:v>
                </c:pt>
                <c:pt idx="31">
                  <c:v>0.154</c:v>
                </c:pt>
                <c:pt idx="32">
                  <c:v>0.159</c:v>
                </c:pt>
                <c:pt idx="33">
                  <c:v>0.164</c:v>
                </c:pt>
                <c:pt idx="34">
                  <c:v>0.168</c:v>
                </c:pt>
                <c:pt idx="35">
                  <c:v>0.173</c:v>
                </c:pt>
                <c:pt idx="36">
                  <c:v>0.177</c:v>
                </c:pt>
                <c:pt idx="37">
                  <c:v>0.182</c:v>
                </c:pt>
                <c:pt idx="38">
                  <c:v>0.186</c:v>
                </c:pt>
                <c:pt idx="39">
                  <c:v>0.19</c:v>
                </c:pt>
                <c:pt idx="40">
                  <c:v>0.195</c:v>
                </c:pt>
                <c:pt idx="41">
                  <c:v>0.199</c:v>
                </c:pt>
                <c:pt idx="42">
                  <c:v>0.203</c:v>
                </c:pt>
                <c:pt idx="43">
                  <c:v>0.208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Sheet2!$A$12:$A$350</c:f>
              <c:numCache>
                <c:formatCode>General</c:formatCode>
                <c:ptCount val="3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</c:numCache>
            </c:numRef>
          </c:xVal>
          <c:yVal>
            <c:numRef>
              <c:f>Sheet2!$H$12:$H$300</c:f>
              <c:numCache>
                <c:formatCode>General</c:formatCode>
                <c:ptCount val="289"/>
                <c:pt idx="0">
                  <c:v>0.024</c:v>
                </c:pt>
                <c:pt idx="1">
                  <c:v>0.028</c:v>
                </c:pt>
                <c:pt idx="2">
                  <c:v>0.032</c:v>
                </c:pt>
                <c:pt idx="3">
                  <c:v>0.036</c:v>
                </c:pt>
                <c:pt idx="4">
                  <c:v>0.041</c:v>
                </c:pt>
                <c:pt idx="5">
                  <c:v>0.046</c:v>
                </c:pt>
                <c:pt idx="6">
                  <c:v>0.05</c:v>
                </c:pt>
                <c:pt idx="7">
                  <c:v>0.055</c:v>
                </c:pt>
                <c:pt idx="8">
                  <c:v>0.06</c:v>
                </c:pt>
                <c:pt idx="9">
                  <c:v>0.065</c:v>
                </c:pt>
                <c:pt idx="10">
                  <c:v>0.071</c:v>
                </c:pt>
                <c:pt idx="11">
                  <c:v>0.075</c:v>
                </c:pt>
                <c:pt idx="12">
                  <c:v>0.08</c:v>
                </c:pt>
                <c:pt idx="13">
                  <c:v>0.086</c:v>
                </c:pt>
                <c:pt idx="14">
                  <c:v>0.091</c:v>
                </c:pt>
                <c:pt idx="15">
                  <c:v>0.096</c:v>
                </c:pt>
                <c:pt idx="16">
                  <c:v>0.101</c:v>
                </c:pt>
                <c:pt idx="17">
                  <c:v>0.107</c:v>
                </c:pt>
                <c:pt idx="18">
                  <c:v>0.112</c:v>
                </c:pt>
                <c:pt idx="19">
                  <c:v>0.117</c:v>
                </c:pt>
                <c:pt idx="20">
                  <c:v>0.123</c:v>
                </c:pt>
                <c:pt idx="21">
                  <c:v>0.128</c:v>
                </c:pt>
                <c:pt idx="22">
                  <c:v>0.133</c:v>
                </c:pt>
                <c:pt idx="23">
                  <c:v>0.138</c:v>
                </c:pt>
                <c:pt idx="24">
                  <c:v>0.143</c:v>
                </c:pt>
                <c:pt idx="25">
                  <c:v>0.149</c:v>
                </c:pt>
                <c:pt idx="26">
                  <c:v>0.154</c:v>
                </c:pt>
                <c:pt idx="27">
                  <c:v>0.159</c:v>
                </c:pt>
                <c:pt idx="28">
                  <c:v>0.164</c:v>
                </c:pt>
                <c:pt idx="29">
                  <c:v>0.169</c:v>
                </c:pt>
                <c:pt idx="30">
                  <c:v>0.174</c:v>
                </c:pt>
                <c:pt idx="31">
                  <c:v>0.179</c:v>
                </c:pt>
                <c:pt idx="32">
                  <c:v>0.185</c:v>
                </c:pt>
                <c:pt idx="33">
                  <c:v>0.19</c:v>
                </c:pt>
                <c:pt idx="34">
                  <c:v>0.195</c:v>
                </c:pt>
                <c:pt idx="35">
                  <c:v>0.2</c:v>
                </c:pt>
                <c:pt idx="36">
                  <c:v>0.205</c:v>
                </c:pt>
                <c:pt idx="37">
                  <c:v>0.21</c:v>
                </c:pt>
                <c:pt idx="38">
                  <c:v>0.216</c:v>
                </c:pt>
                <c:pt idx="39">
                  <c:v>0.221</c:v>
                </c:pt>
                <c:pt idx="40">
                  <c:v>0.226</c:v>
                </c:pt>
                <c:pt idx="41">
                  <c:v>0.231</c:v>
                </c:pt>
                <c:pt idx="42">
                  <c:v>0.236</c:v>
                </c:pt>
                <c:pt idx="43">
                  <c:v>0.241</c:v>
                </c:pt>
              </c:numCache>
            </c:numRef>
          </c:yVal>
          <c:smooth val="1"/>
        </c:ser>
        <c:axId val="52349211"/>
        <c:axId val="14293903"/>
      </c:scatterChart>
      <c:valAx>
        <c:axId val="5234921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293903"/>
        <c:crosses val="autoZero"/>
        <c:crossBetween val="midCat"/>
      </c:valAx>
      <c:valAx>
        <c:axId val="142939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3492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Sheet2!$M$57</c:f>
              <c:strCache>
                <c:ptCount val="1"/>
                <c:pt idx="0">
                  <c:v>S/V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Sheet2!$K$58:$K$61</c:f>
              <c:numCache>
                <c:formatCode>General</c:formatCode>
                <c:ptCount val="4"/>
                <c:pt idx="0">
                  <c:v>1.52855178403416</c:v>
                </c:pt>
                <c:pt idx="1">
                  <c:v>3.05710356806832</c:v>
                </c:pt>
                <c:pt idx="2">
                  <c:v>4.58565535210248</c:v>
                </c:pt>
                <c:pt idx="3">
                  <c:v>6.11420713613664</c:v>
                </c:pt>
              </c:numCache>
            </c:numRef>
          </c:xVal>
          <c:yVal>
            <c:numRef>
              <c:f>Sheet2!$M$58:$M$61</c:f>
              <c:numCache>
                <c:formatCode>General</c:formatCode>
                <c:ptCount val="4"/>
                <c:pt idx="0">
                  <c:v>0.385025638295758</c:v>
                </c:pt>
                <c:pt idx="1">
                  <c:v>0.522581806507406</c:v>
                </c:pt>
                <c:pt idx="2">
                  <c:v>0.705485438784997</c:v>
                </c:pt>
                <c:pt idx="3">
                  <c:v>0.864810061688351</c:v>
                </c:pt>
              </c:numCache>
            </c:numRef>
          </c:yVal>
          <c:smooth val="1"/>
        </c:ser>
        <c:axId val="6866301"/>
        <c:axId val="79474992"/>
      </c:scatterChart>
      <c:valAx>
        <c:axId val="6866301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474992"/>
        <c:crosses val="autoZero"/>
        <c:crossBetween val="midCat"/>
      </c:valAx>
      <c:valAx>
        <c:axId val="7947499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663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285840</xdr:colOff>
      <xdr:row>22</xdr:row>
      <xdr:rowOff>38160</xdr:rowOff>
    </xdr:from>
    <xdr:to>
      <xdr:col>20</xdr:col>
      <xdr:colOff>98640</xdr:colOff>
      <xdr:row>32</xdr:row>
      <xdr:rowOff>47160</xdr:rowOff>
    </xdr:to>
    <xdr:graphicFrame>
      <xdr:nvGraphicFramePr>
        <xdr:cNvPr id="2" name="Chart 3"/>
        <xdr:cNvGraphicFramePr/>
      </xdr:nvGraphicFramePr>
      <xdr:xfrm>
        <a:off x="8188920" y="365760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419040</xdr:colOff>
      <xdr:row>11</xdr:row>
      <xdr:rowOff>114480</xdr:rowOff>
    </xdr:from>
    <xdr:to>
      <xdr:col>22</xdr:col>
      <xdr:colOff>328680</xdr:colOff>
      <xdr:row>49</xdr:row>
      <xdr:rowOff>66600</xdr:rowOff>
    </xdr:to>
    <xdr:graphicFrame>
      <xdr:nvGraphicFramePr>
        <xdr:cNvPr id="4" name="Chart 5"/>
        <xdr:cNvGraphicFramePr/>
      </xdr:nvGraphicFramePr>
      <xdr:xfrm>
        <a:off x="8885520" y="1895760"/>
        <a:ext cx="7248240" cy="610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495360</xdr:colOff>
      <xdr:row>41</xdr:row>
      <xdr:rowOff>57240</xdr:rowOff>
    </xdr:from>
    <xdr:to>
      <xdr:col>7</xdr:col>
      <xdr:colOff>789120</xdr:colOff>
      <xdr:row>79</xdr:row>
      <xdr:rowOff>9000</xdr:rowOff>
    </xdr:to>
    <xdr:graphicFrame>
      <xdr:nvGraphicFramePr>
        <xdr:cNvPr id="5" name="Chart 6"/>
        <xdr:cNvGraphicFramePr/>
      </xdr:nvGraphicFramePr>
      <xdr:xfrm>
        <a:off x="495360" y="6696000"/>
        <a:ext cx="7248240" cy="610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733320</xdr:colOff>
      <xdr:row>15</xdr:row>
      <xdr:rowOff>104760</xdr:rowOff>
    </xdr:from>
    <xdr:to>
      <xdr:col>7</xdr:col>
      <xdr:colOff>521640</xdr:colOff>
      <xdr:row>37</xdr:row>
      <xdr:rowOff>75960</xdr:rowOff>
    </xdr:to>
    <xdr:graphicFrame>
      <xdr:nvGraphicFramePr>
        <xdr:cNvPr id="6" name="Chart 7"/>
        <xdr:cNvGraphicFramePr/>
      </xdr:nvGraphicFramePr>
      <xdr:xfrm>
        <a:off x="1761480" y="2533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4" activeCellId="0" sqref="S14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41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0.2112</v>
      </c>
      <c r="D8" s="9"/>
      <c r="F8" s="8" t="s">
        <v>42</v>
      </c>
      <c r="G8" s="3" t="n">
        <v>0.0228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0.05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0.001528551784</v>
      </c>
      <c r="D10" s="9"/>
      <c r="F10" s="8" t="s">
        <v>46</v>
      </c>
      <c r="G10" s="3" t="n">
        <f aca="false">G8/G7</f>
        <v>2.162592835E-005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0.03057103568</v>
      </c>
      <c r="D11" s="9"/>
      <c r="F11" s="8" t="s">
        <v>45</v>
      </c>
      <c r="G11" s="3" t="n">
        <f aca="false">G10/G9</f>
        <v>0.005406482087</v>
      </c>
      <c r="H11" s="9"/>
      <c r="J11" s="8" t="s">
        <v>47</v>
      </c>
      <c r="K11" s="3" t="s">
        <v>48</v>
      </c>
      <c r="L11" s="9" t="n">
        <v>8.46</v>
      </c>
    </row>
    <row r="12" customFormat="false" ht="13.5" hidden="false" customHeight="true" outlineLevel="0" collapsed="false">
      <c r="B12" s="10" t="s">
        <v>49</v>
      </c>
      <c r="C12" s="4" t="n">
        <f aca="false">C11*1000</f>
        <v>30.57103568</v>
      </c>
      <c r="D12" s="11"/>
      <c r="F12" s="8" t="s">
        <v>49</v>
      </c>
      <c r="G12" s="3" t="n">
        <f aca="false">G11*1000</f>
        <v>5.406482087</v>
      </c>
      <c r="H12" s="9"/>
      <c r="J12" s="8"/>
      <c r="K12" s="3" t="s">
        <v>50</v>
      </c>
      <c r="L12" s="9" t="n">
        <v>25</v>
      </c>
    </row>
    <row r="13" customFormat="false" ht="13.5" hidden="false" customHeight="true" outlineLevel="0" collapsed="false">
      <c r="F13" s="10" t="s">
        <v>51</v>
      </c>
      <c r="G13" s="4" t="n">
        <f aca="false">E20*G12/H20</f>
        <v>0.2703241044</v>
      </c>
      <c r="H13" s="11" t="s">
        <v>49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customFormat="false" ht="13.5" hidden="false" customHeight="true" outlineLevel="0" collapsed="false">
      <c r="B19" s="12" t="s">
        <v>51</v>
      </c>
      <c r="C19" s="4" t="s">
        <v>54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  <c r="I19" s="4" t="s">
        <v>45</v>
      </c>
      <c r="J19" s="4" t="s">
        <v>49</v>
      </c>
      <c r="K19" s="4" t="s">
        <v>45</v>
      </c>
      <c r="L19" s="4" t="s">
        <v>49</v>
      </c>
      <c r="M19" s="4" t="s">
        <v>49</v>
      </c>
    </row>
    <row r="20" customFormat="false" ht="12.75" hidden="false" customHeight="true" outlineLevel="0" collapsed="false">
      <c r="B20" s="13" t="n">
        <v>1</v>
      </c>
      <c r="C20" s="1" t="n">
        <v>1.7</v>
      </c>
      <c r="D20" s="1" t="n">
        <v>0</v>
      </c>
      <c r="E20" s="1" t="n">
        <v>0.1</v>
      </c>
      <c r="F20" s="1" t="n">
        <v>0.1</v>
      </c>
      <c r="G20" s="1" t="n">
        <v>0.1</v>
      </c>
      <c r="H20" s="1" t="n">
        <f aca="false">SUM(C20:G20)</f>
        <v>2</v>
      </c>
      <c r="I20" s="1" t="n">
        <f aca="false">F20*$C$11/H20</f>
        <v>0.001528551784</v>
      </c>
      <c r="J20" s="14" t="n">
        <f aca="false">I20*1000</f>
        <v>1.528551784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0.27032410435</v>
      </c>
    </row>
    <row r="21" customFormat="false" ht="12.75" hidden="false" customHeight="true" outlineLevel="0" collapsed="false">
      <c r="B21" s="13" t="n">
        <v>2</v>
      </c>
      <c r="C21" s="1" t="n">
        <v>1.6</v>
      </c>
      <c r="D21" s="1" t="n">
        <v>0</v>
      </c>
      <c r="E21" s="1" t="n">
        <v>0.1</v>
      </c>
      <c r="F21" s="1" t="n">
        <v>0.2</v>
      </c>
      <c r="G21" s="1" t="n">
        <v>0.1</v>
      </c>
      <c r="H21" s="1" t="n">
        <f aca="false">SUM(C21:G21)</f>
        <v>2</v>
      </c>
      <c r="I21" s="1" t="n">
        <f aca="false">F21*$C$11/H21</f>
        <v>0.003057103568</v>
      </c>
      <c r="J21" s="14" t="n">
        <f aca="false">I21*1000</f>
        <v>3.057103568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0.27032410435</v>
      </c>
    </row>
    <row r="22" customFormat="false" ht="12.75" hidden="false" customHeight="true" outlineLevel="0" collapsed="false">
      <c r="B22" s="13" t="n">
        <v>3</v>
      </c>
      <c r="C22" s="1" t="n">
        <v>1.5</v>
      </c>
      <c r="D22" s="1" t="n">
        <v>0</v>
      </c>
      <c r="E22" s="1" t="n">
        <v>0.1</v>
      </c>
      <c r="F22" s="1" t="n">
        <v>0.3</v>
      </c>
      <c r="G22" s="1" t="n">
        <v>0.1</v>
      </c>
      <c r="H22" s="1" t="n">
        <f aca="false">SUM(C22:G22)</f>
        <v>2</v>
      </c>
      <c r="I22" s="1" t="n">
        <f aca="false">F22*$C$11/H22</f>
        <v>0.004585655352</v>
      </c>
      <c r="J22" s="14" t="n">
        <f aca="false">I22*1000</f>
        <v>4.585655352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0.27032410435</v>
      </c>
      <c r="R22" s="3" t="n">
        <f aca="false">0.1*(C20/H20)</f>
        <v>0.085</v>
      </c>
    </row>
    <row r="23" customFormat="false" ht="12.75" hidden="false" customHeight="true" outlineLevel="0" collapsed="false">
      <c r="B23" s="16" t="n">
        <v>4</v>
      </c>
      <c r="C23" s="16" t="n">
        <v>1.4</v>
      </c>
      <c r="D23" s="16" t="n">
        <v>0</v>
      </c>
      <c r="E23" s="16" t="n">
        <v>0.1</v>
      </c>
      <c r="F23" s="16" t="n">
        <v>0.4</v>
      </c>
      <c r="G23" s="16" t="n">
        <v>0.1</v>
      </c>
      <c r="H23" s="16" t="n">
        <f aca="false">SUM(C23:G23)</f>
        <v>2</v>
      </c>
      <c r="I23" s="16" t="n">
        <f aca="false">F23*$C$11/H23</f>
        <v>0.006114207136</v>
      </c>
      <c r="J23" s="17" t="n">
        <f aca="false">I23*1000</f>
        <v>6.114207136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0.27032410435</v>
      </c>
      <c r="R23" s="3" t="n">
        <f aca="false">0.1*(C21/H21)</f>
        <v>0.08</v>
      </c>
    </row>
    <row r="24" customFormat="false" ht="12.75" hidden="false" customHeight="true" outlineLevel="0" collapsed="false">
      <c r="B24" s="13" t="n">
        <v>5</v>
      </c>
      <c r="C24" s="1" t="n">
        <v>1.7</v>
      </c>
      <c r="D24" s="3" t="n">
        <v>0.1</v>
      </c>
      <c r="E24" s="3" t="n">
        <v>0</v>
      </c>
      <c r="F24" s="1" t="n">
        <v>0.1</v>
      </c>
      <c r="G24" s="3" t="n">
        <v>0.1</v>
      </c>
      <c r="H24" s="1" t="n">
        <f aca="false">SUM(C24:G24)</f>
        <v>2</v>
      </c>
      <c r="I24" s="1" t="n">
        <f aca="false">F24*$C$11/H24</f>
        <v>0.001528551784</v>
      </c>
      <c r="J24" s="1" t="n">
        <f aca="false">I24*1000</f>
        <v>1.528551784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  <c r="R24" s="3" t="n">
        <f aca="false">0.1*(C22/H22)</f>
        <v>0.075</v>
      </c>
    </row>
    <row r="25" customFormat="false" ht="12.75" hidden="false" customHeight="true" outlineLevel="0" collapsed="false">
      <c r="B25" s="13" t="n">
        <v>6</v>
      </c>
      <c r="C25" s="1" t="n">
        <v>1.6</v>
      </c>
      <c r="D25" s="3" t="n">
        <v>0.1</v>
      </c>
      <c r="E25" s="3" t="n">
        <v>0</v>
      </c>
      <c r="F25" s="1" t="n">
        <v>0.2</v>
      </c>
      <c r="G25" s="3" t="n">
        <v>0.1</v>
      </c>
      <c r="H25" s="1" t="n">
        <f aca="false">SUM(C25:G25)</f>
        <v>2</v>
      </c>
      <c r="I25" s="1" t="n">
        <f aca="false">F25*$C$11/H25</f>
        <v>0.003057103568</v>
      </c>
      <c r="J25" s="1" t="n">
        <f aca="false">I25*1000</f>
        <v>3.057103568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  <c r="R25" s="3" t="n">
        <f aca="false">0.1*(C23/H23)</f>
        <v>0.07</v>
      </c>
    </row>
    <row r="26" customFormat="false" ht="12.75" hidden="false" customHeight="true" outlineLevel="0" collapsed="false">
      <c r="B26" s="13" t="n">
        <v>7</v>
      </c>
      <c r="C26" s="1" t="n">
        <v>1.5</v>
      </c>
      <c r="D26" s="3" t="n">
        <v>0.1</v>
      </c>
      <c r="E26" s="3" t="n">
        <v>0</v>
      </c>
      <c r="F26" s="1" t="n">
        <v>0.3</v>
      </c>
      <c r="G26" s="3" t="n">
        <v>0.1</v>
      </c>
      <c r="H26" s="1" t="n">
        <f aca="false">SUM(C26:G26)</f>
        <v>2</v>
      </c>
      <c r="I26" s="1" t="n">
        <f aca="false">F26*$C$11/H26</f>
        <v>0.004585655352</v>
      </c>
      <c r="J26" s="1" t="n">
        <f aca="false">I26*1000</f>
        <v>4.585655352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1.4</v>
      </c>
      <c r="D27" s="4" t="n">
        <v>0.1</v>
      </c>
      <c r="E27" s="4" t="n">
        <v>0</v>
      </c>
      <c r="F27" s="4" t="n">
        <v>0.4</v>
      </c>
      <c r="G27" s="4" t="n">
        <v>0.1</v>
      </c>
      <c r="H27" s="4" t="n">
        <f aca="false">SUM(C27:G27)</f>
        <v>2</v>
      </c>
      <c r="I27" s="4" t="n">
        <f aca="false">F27*$C$11/H27</f>
        <v>0.006114207136</v>
      </c>
      <c r="J27" s="4" t="n">
        <f aca="false">I27*1000</f>
        <v>6.114207136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12.4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2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L34" s="18"/>
      <c r="M34" s="18" t="n">
        <v>2.91092E-005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60</v>
      </c>
      <c r="J38" s="3" t="n">
        <v>0.00778737259804247</v>
      </c>
      <c r="K38" s="1" t="s">
        <v>61</v>
      </c>
    </row>
    <row r="39" customFormat="false" ht="12.75" hidden="false" customHeight="true" outlineLevel="0" collapsed="false">
      <c r="H39" s="18"/>
      <c r="I39" s="1" t="s">
        <v>60</v>
      </c>
      <c r="J39" s="1" t="n">
        <f aca="false">J38/I2</f>
        <v>0.001034179628</v>
      </c>
      <c r="K39" s="1" t="s">
        <v>62</v>
      </c>
    </row>
    <row r="40" customFormat="false" ht="12.75" hidden="false" customHeight="true" outlineLevel="0" collapsed="false">
      <c r="I40" s="1" t="s">
        <v>63</v>
      </c>
      <c r="J40" s="3" t="n">
        <v>1.35003298051701</v>
      </c>
      <c r="K40" s="1" t="s">
        <v>64</v>
      </c>
    </row>
    <row r="41" customFormat="false" ht="12.75" hidden="false" customHeight="true" outlineLevel="0" collapsed="false">
      <c r="I41" s="1" t="s">
        <v>65</v>
      </c>
      <c r="J41" s="1" t="n">
        <f aca="false">J39/G13</f>
        <v>0.003825702596</v>
      </c>
      <c r="K41" s="1" t="s">
        <v>66</v>
      </c>
      <c r="O41" s="1" t="n">
        <v>0.003825703</v>
      </c>
    </row>
    <row r="42" customFormat="false" ht="12.75" hidden="false" customHeight="true" outlineLevel="0" collapsed="false">
      <c r="J42" s="1" t="n">
        <f aca="false">J41/60</f>
        <v>6.376170994E-005</v>
      </c>
      <c r="K42" s="1" t="s">
        <v>67</v>
      </c>
    </row>
    <row r="43" customFormat="false" ht="12.75" hidden="false" customHeight="true" outlineLevel="0" collapsed="false">
      <c r="I43" s="1" t="s">
        <v>68</v>
      </c>
      <c r="J43" s="18" t="n">
        <v>1.43E-009</v>
      </c>
      <c r="K43" s="1" t="s">
        <v>69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66</v>
      </c>
    </row>
    <row r="45" customFormat="false" ht="12.75" hidden="false" customHeight="true" outlineLevel="0" collapsed="false">
      <c r="I45" s="1" t="s">
        <v>70</v>
      </c>
      <c r="J45" s="18" t="n">
        <f aca="false">J42/J43</f>
        <v>44588.60835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71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72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73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74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75</v>
      </c>
      <c r="D97" s="6"/>
      <c r="E97" s="6"/>
      <c r="F97" s="6"/>
      <c r="G97" s="6" t="s">
        <v>75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76</v>
      </c>
      <c r="D98" s="3"/>
      <c r="E98" s="3"/>
      <c r="F98" s="3"/>
      <c r="G98" s="3" t="s">
        <v>77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78</v>
      </c>
      <c r="E99" s="3" t="s">
        <v>79</v>
      </c>
      <c r="F99" s="3"/>
      <c r="G99" s="3" t="s">
        <v>80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81</v>
      </c>
      <c r="D100" s="3"/>
      <c r="E100" s="3"/>
      <c r="F100" s="3"/>
      <c r="G100" s="3" t="s">
        <v>82</v>
      </c>
      <c r="H100" s="3" t="s">
        <v>83</v>
      </c>
      <c r="I100" s="3" t="s">
        <v>84</v>
      </c>
      <c r="J100" s="3" t="s">
        <v>85</v>
      </c>
      <c r="K100" s="9" t="s">
        <v>86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87</v>
      </c>
      <c r="E101" s="3" t="n">
        <v>0.00778737259804247</v>
      </c>
      <c r="F101" s="3"/>
      <c r="G101" s="3" t="s">
        <v>88</v>
      </c>
      <c r="H101" s="3" t="n">
        <v>1.52859999979509</v>
      </c>
      <c r="I101" s="3" t="n">
        <v>0</v>
      </c>
      <c r="J101" s="3" t="n">
        <v>0.002539329472454</v>
      </c>
      <c r="K101" s="9" t="s">
        <v>89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63</v>
      </c>
      <c r="E102" s="3" t="n">
        <v>3.18382789938014</v>
      </c>
      <c r="F102" s="3"/>
      <c r="G102" s="3" t="s">
        <v>90</v>
      </c>
      <c r="H102" s="3" t="n">
        <v>3.05709999991532</v>
      </c>
      <c r="I102" s="3" t="n">
        <v>0</v>
      </c>
      <c r="J102" s="3" t="n">
        <v>0.003836982213001</v>
      </c>
      <c r="K102" s="9" t="s">
        <v>89</v>
      </c>
      <c r="L102" s="3"/>
      <c r="M102" s="3"/>
    </row>
    <row r="103" customFormat="false" ht="12.75" hidden="false" customHeight="true" outlineLevel="0" collapsed="false">
      <c r="B103" s="3"/>
      <c r="C103" s="8" t="s">
        <v>91</v>
      </c>
      <c r="D103" s="3"/>
      <c r="E103" s="3"/>
      <c r="F103" s="3"/>
      <c r="G103" s="3" t="s">
        <v>92</v>
      </c>
      <c r="H103" s="3" t="n">
        <v>4.58569999971042</v>
      </c>
      <c r="I103" s="3" t="n">
        <v>0</v>
      </c>
      <c r="J103" s="3" t="n">
        <v>0.004511036696144</v>
      </c>
      <c r="K103" s="9" t="s">
        <v>89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93</v>
      </c>
      <c r="E104" s="3" t="n">
        <v>508.006451998159</v>
      </c>
      <c r="F104" s="3"/>
      <c r="G104" s="3" t="s">
        <v>94</v>
      </c>
      <c r="H104" s="3" t="n">
        <v>6.11419999983064</v>
      </c>
      <c r="I104" s="3" t="n">
        <v>0</v>
      </c>
      <c r="J104" s="3" t="n">
        <v>0.005168461265174</v>
      </c>
      <c r="K104" s="9" t="s">
        <v>89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95</v>
      </c>
      <c r="E105" s="4" t="n">
        <v>0.99868404936744</v>
      </c>
      <c r="F105" s="4"/>
      <c r="G105" s="4"/>
      <c r="H105" s="4"/>
      <c r="I105" s="4"/>
      <c r="J105" s="4"/>
      <c r="K105" s="11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2.75" hidden="false" customHeight="true" outlineLevel="0" collapsed="false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2.75" hidden="false" customHeight="true" outlineLevel="0" collapsed="false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2.75" hidden="false" customHeight="true" outlineLevel="0" collapsed="false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2.75" hidden="false" customHeight="true" outlineLevel="0" collapsed="false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2.75" hidden="false" customHeight="true" outlineLevel="0" collapsed="false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2.75" hidden="false" customHeight="true" outlineLevel="0" collapsed="false">
      <c r="B113" s="3"/>
      <c r="C113" s="3"/>
      <c r="D113" s="3"/>
      <c r="E113" s="3"/>
      <c r="F113" s="3"/>
      <c r="G113" s="3"/>
      <c r="H113" s="3"/>
      <c r="I113" s="3"/>
      <c r="J113" s="3"/>
      <c r="K113" s="20"/>
      <c r="L113" s="3"/>
      <c r="M113" s="3"/>
      <c r="N113" s="3"/>
    </row>
    <row r="114" customFormat="false" ht="12.75" hidden="false" customHeight="true" outlineLevel="0" collapsed="false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2.75" hidden="false" customHeight="true" outlineLevel="0" collapsed="false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2.75" hidden="false" customHeight="true" outlineLevel="0" collapsed="false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12.75" hidden="false" customHeight="true" outlineLevel="0" collapsed="false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Format="false" ht="12.75" hidden="false" customHeight="true" outlineLevel="0" collapsed="false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0" width="13.43"/>
    <col collapsed="false" customWidth="true" hidden="false" outlineLevel="0" max="5" min="5" style="0" width="14.57"/>
    <col collapsed="false" customWidth="true" hidden="false" outlineLevel="0" max="6" min="6" style="0" width="13.43"/>
    <col collapsed="false" customWidth="true" hidden="false" outlineLevel="0" max="7" min="7" style="0" width="14.57"/>
    <col collapsed="false" customWidth="true" hidden="false" outlineLevel="0" max="8" min="8" style="0" width="13.43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82</v>
      </c>
      <c r="B3" s="1" t="s">
        <v>88</v>
      </c>
      <c r="C3" s="1" t="s">
        <v>82</v>
      </c>
      <c r="D3" s="1" t="s">
        <v>90</v>
      </c>
      <c r="E3" s="1" t="s">
        <v>82</v>
      </c>
      <c r="F3" s="1" t="s">
        <v>92</v>
      </c>
      <c r="G3" s="1" t="s">
        <v>82</v>
      </c>
      <c r="H3" s="1" t="s">
        <v>94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1" t="n">
        <v>40298</v>
      </c>
      <c r="C6" s="1" t="s">
        <v>103</v>
      </c>
      <c r="D6" s="21" t="n">
        <v>40298</v>
      </c>
      <c r="E6" s="1" t="s">
        <v>103</v>
      </c>
      <c r="F6" s="21" t="n">
        <v>40298</v>
      </c>
      <c r="G6" s="1" t="s">
        <v>103</v>
      </c>
      <c r="H6" s="21" t="n">
        <v>40298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0.009</v>
      </c>
      <c r="E11" s="1" t="n">
        <v>0</v>
      </c>
      <c r="F11" s="1" t="n">
        <v>0.014</v>
      </c>
      <c r="G11" s="1" t="n">
        <v>0</v>
      </c>
      <c r="H11" s="1" t="n">
        <v>0.021</v>
      </c>
    </row>
    <row r="12" customFormat="false" ht="12.75" hidden="false" customHeight="true" outlineLevel="0" collapsed="false">
      <c r="A12" s="1" t="n">
        <v>60</v>
      </c>
      <c r="B12" s="1" t="n">
        <v>0.001</v>
      </c>
      <c r="C12" s="1" t="n">
        <v>60</v>
      </c>
      <c r="D12" s="1" t="n">
        <v>0.012</v>
      </c>
      <c r="E12" s="1" t="n">
        <v>60</v>
      </c>
      <c r="F12" s="1" t="n">
        <v>0.017</v>
      </c>
      <c r="G12" s="1" t="n">
        <v>60</v>
      </c>
      <c r="H12" s="1" t="n">
        <v>0.024</v>
      </c>
    </row>
    <row r="13" customFormat="false" ht="12.75" hidden="false" customHeight="true" outlineLevel="0" collapsed="false">
      <c r="A13" s="1" t="n">
        <v>120</v>
      </c>
      <c r="B13" s="1" t="n">
        <v>0.004</v>
      </c>
      <c r="C13" s="1" t="n">
        <v>120</v>
      </c>
      <c r="D13" s="1" t="n">
        <v>0.015</v>
      </c>
      <c r="E13" s="1" t="n">
        <v>120</v>
      </c>
      <c r="F13" s="1" t="n">
        <v>0.021</v>
      </c>
      <c r="G13" s="1" t="n">
        <v>120</v>
      </c>
      <c r="H13" s="1" t="n">
        <v>0.028</v>
      </c>
    </row>
    <row r="14" customFormat="false" ht="12.75" hidden="false" customHeight="true" outlineLevel="0" collapsed="false">
      <c r="A14" s="1" t="n">
        <v>180</v>
      </c>
      <c r="B14" s="1" t="n">
        <v>0.006</v>
      </c>
      <c r="C14" s="1" t="n">
        <v>180</v>
      </c>
      <c r="D14" s="1" t="n">
        <v>0.018</v>
      </c>
      <c r="E14" s="1" t="n">
        <v>180</v>
      </c>
      <c r="F14" s="1" t="n">
        <v>0.025</v>
      </c>
      <c r="G14" s="1" t="n">
        <v>180</v>
      </c>
      <c r="H14" s="1" t="n">
        <v>0.032</v>
      </c>
    </row>
    <row r="15" customFormat="false" ht="12.75" hidden="false" customHeight="true" outlineLevel="0" collapsed="false">
      <c r="A15" s="1" t="n">
        <v>240</v>
      </c>
      <c r="B15" s="1" t="n">
        <v>0.009</v>
      </c>
      <c r="C15" s="1" t="n">
        <v>240</v>
      </c>
      <c r="D15" s="1" t="n">
        <v>0.022</v>
      </c>
      <c r="E15" s="1" t="n">
        <v>240</v>
      </c>
      <c r="F15" s="1" t="n">
        <v>0.029</v>
      </c>
      <c r="G15" s="1" t="n">
        <v>240</v>
      </c>
      <c r="H15" s="1" t="n">
        <v>0.036</v>
      </c>
    </row>
    <row r="16" customFormat="false" ht="12.75" hidden="false" customHeight="true" outlineLevel="0" collapsed="false">
      <c r="A16" s="1" t="n">
        <v>300</v>
      </c>
      <c r="B16" s="1" t="n">
        <v>0.011</v>
      </c>
      <c r="C16" s="1" t="n">
        <v>300</v>
      </c>
      <c r="D16" s="1" t="n">
        <v>0.025</v>
      </c>
      <c r="E16" s="1" t="n">
        <v>300</v>
      </c>
      <c r="F16" s="1" t="n">
        <v>0.033</v>
      </c>
      <c r="G16" s="1" t="n">
        <v>300</v>
      </c>
      <c r="H16" s="1" t="n">
        <v>0.041</v>
      </c>
    </row>
    <row r="17" customFormat="false" ht="12.75" hidden="false" customHeight="true" outlineLevel="0" collapsed="false">
      <c r="A17" s="1" t="n">
        <v>360</v>
      </c>
      <c r="B17" s="1" t="n">
        <v>0.014</v>
      </c>
      <c r="C17" s="1" t="n">
        <v>360</v>
      </c>
      <c r="D17" s="1" t="n">
        <v>0.029</v>
      </c>
      <c r="E17" s="1" t="n">
        <v>360</v>
      </c>
      <c r="F17" s="1" t="n">
        <v>0.037</v>
      </c>
      <c r="G17" s="1" t="n">
        <v>360</v>
      </c>
      <c r="H17" s="1" t="n">
        <v>0.046</v>
      </c>
    </row>
    <row r="18" customFormat="false" ht="12.75" hidden="false" customHeight="true" outlineLevel="0" collapsed="false">
      <c r="A18" s="1" t="n">
        <v>420</v>
      </c>
      <c r="B18" s="1" t="n">
        <v>0.016</v>
      </c>
      <c r="C18" s="1" t="n">
        <v>420</v>
      </c>
      <c r="D18" s="1" t="n">
        <v>0.033</v>
      </c>
      <c r="E18" s="1" t="n">
        <v>420</v>
      </c>
      <c r="F18" s="1" t="n">
        <v>0.042</v>
      </c>
      <c r="G18" s="1" t="n">
        <v>420</v>
      </c>
      <c r="H18" s="1" t="n">
        <v>0.05</v>
      </c>
    </row>
    <row r="19" customFormat="false" ht="12.75" hidden="false" customHeight="true" outlineLevel="0" collapsed="false">
      <c r="A19" s="1" t="n">
        <v>480</v>
      </c>
      <c r="B19" s="1" t="n">
        <v>0.018</v>
      </c>
      <c r="C19" s="1" t="n">
        <v>480</v>
      </c>
      <c r="D19" s="1" t="n">
        <v>0.037</v>
      </c>
      <c r="E19" s="1" t="n">
        <v>480</v>
      </c>
      <c r="F19" s="1" t="n">
        <v>0.046</v>
      </c>
      <c r="G19" s="1" t="n">
        <v>480</v>
      </c>
      <c r="H19" s="1" t="n">
        <v>0.055</v>
      </c>
    </row>
    <row r="20" customFormat="false" ht="12.75" hidden="false" customHeight="true" outlineLevel="0" collapsed="false">
      <c r="A20" s="1" t="n">
        <v>540</v>
      </c>
      <c r="B20" s="1" t="n">
        <v>0.021</v>
      </c>
      <c r="C20" s="1" t="n">
        <v>540</v>
      </c>
      <c r="D20" s="1" t="n">
        <v>0.04</v>
      </c>
      <c r="E20" s="1" t="n">
        <v>540</v>
      </c>
      <c r="F20" s="1" t="n">
        <v>0.05</v>
      </c>
      <c r="G20" s="1" t="n">
        <v>540</v>
      </c>
      <c r="H20" s="1" t="n">
        <v>0.06</v>
      </c>
    </row>
    <row r="21" customFormat="false" ht="12.75" hidden="false" customHeight="true" outlineLevel="0" collapsed="false">
      <c r="A21" s="1" t="n">
        <v>600</v>
      </c>
      <c r="B21" s="1" t="n">
        <v>0.023</v>
      </c>
      <c r="C21" s="1" t="n">
        <v>600</v>
      </c>
      <c r="D21" s="1" t="n">
        <v>0.044</v>
      </c>
      <c r="E21" s="1" t="n">
        <v>600</v>
      </c>
      <c r="F21" s="1" t="n">
        <v>0.054</v>
      </c>
      <c r="G21" s="1" t="n">
        <v>600</v>
      </c>
      <c r="H21" s="1" t="n">
        <v>0.065</v>
      </c>
    </row>
    <row r="22" customFormat="false" ht="12.75" hidden="false" customHeight="true" outlineLevel="0" collapsed="false">
      <c r="A22" s="1" t="n">
        <v>660</v>
      </c>
      <c r="B22" s="1" t="n">
        <v>0.026</v>
      </c>
      <c r="C22" s="1" t="n">
        <v>660</v>
      </c>
      <c r="D22" s="1" t="n">
        <v>0.048</v>
      </c>
      <c r="E22" s="1" t="n">
        <v>660</v>
      </c>
      <c r="F22" s="1" t="n">
        <v>0.059</v>
      </c>
      <c r="G22" s="1" t="n">
        <v>660</v>
      </c>
      <c r="H22" s="1" t="n">
        <v>0.071</v>
      </c>
    </row>
    <row r="23" customFormat="false" ht="12.75" hidden="false" customHeight="true" outlineLevel="0" collapsed="false">
      <c r="A23" s="1" t="n">
        <v>720</v>
      </c>
      <c r="B23" s="1" t="n">
        <v>0.029</v>
      </c>
      <c r="C23" s="1" t="n">
        <v>720</v>
      </c>
      <c r="D23" s="1" t="n">
        <v>0.052</v>
      </c>
      <c r="E23" s="1" t="n">
        <v>720</v>
      </c>
      <c r="F23" s="1" t="n">
        <v>0.064</v>
      </c>
      <c r="G23" s="1" t="n">
        <v>720</v>
      </c>
      <c r="H23" s="1" t="n">
        <v>0.075</v>
      </c>
    </row>
    <row r="24" customFormat="false" ht="12.75" hidden="false" customHeight="true" outlineLevel="0" collapsed="false">
      <c r="A24" s="1" t="n">
        <v>780</v>
      </c>
      <c r="B24" s="1" t="n">
        <v>0.031</v>
      </c>
      <c r="C24" s="1" t="n">
        <v>780</v>
      </c>
      <c r="D24" s="1" t="n">
        <v>0.056</v>
      </c>
      <c r="E24" s="1" t="n">
        <v>780</v>
      </c>
      <c r="F24" s="1" t="n">
        <v>0.068</v>
      </c>
      <c r="G24" s="1" t="n">
        <v>780</v>
      </c>
      <c r="H24" s="1" t="n">
        <v>0.08</v>
      </c>
    </row>
    <row r="25" customFormat="false" ht="12.75" hidden="false" customHeight="true" outlineLevel="0" collapsed="false">
      <c r="A25" s="1" t="n">
        <v>840</v>
      </c>
      <c r="B25" s="1" t="n">
        <v>0.034</v>
      </c>
      <c r="C25" s="1" t="n">
        <v>840</v>
      </c>
      <c r="D25" s="1" t="n">
        <v>0.06</v>
      </c>
      <c r="E25" s="1" t="n">
        <v>840</v>
      </c>
      <c r="F25" s="1" t="n">
        <v>0.072</v>
      </c>
      <c r="G25" s="1" t="n">
        <v>840</v>
      </c>
      <c r="H25" s="1" t="n">
        <v>0.086</v>
      </c>
    </row>
    <row r="26" customFormat="false" ht="12.75" hidden="false" customHeight="true" outlineLevel="0" collapsed="false">
      <c r="A26" s="1" t="n">
        <v>900</v>
      </c>
      <c r="B26" s="1" t="n">
        <v>0.037</v>
      </c>
      <c r="C26" s="1" t="n">
        <v>900</v>
      </c>
      <c r="D26" s="1" t="n">
        <v>0.064</v>
      </c>
      <c r="E26" s="1" t="n">
        <v>900</v>
      </c>
      <c r="F26" s="1" t="n">
        <v>0.077</v>
      </c>
      <c r="G26" s="1" t="n">
        <v>900</v>
      </c>
      <c r="H26" s="1" t="n">
        <v>0.091</v>
      </c>
    </row>
    <row r="27" customFormat="false" ht="12.75" hidden="false" customHeight="true" outlineLevel="0" collapsed="false">
      <c r="A27" s="1" t="n">
        <v>960</v>
      </c>
      <c r="B27" s="1" t="n">
        <v>0.039</v>
      </c>
      <c r="C27" s="1" t="n">
        <v>960</v>
      </c>
      <c r="D27" s="1" t="n">
        <v>0.068</v>
      </c>
      <c r="E27" s="1" t="n">
        <v>960</v>
      </c>
      <c r="F27" s="1" t="n">
        <v>0.082</v>
      </c>
      <c r="G27" s="1" t="n">
        <v>960</v>
      </c>
      <c r="H27" s="1" t="n">
        <v>0.096</v>
      </c>
    </row>
    <row r="28" customFormat="false" ht="12.75" hidden="false" customHeight="true" outlineLevel="0" collapsed="false">
      <c r="A28" s="1" t="n">
        <v>1020</v>
      </c>
      <c r="B28" s="1" t="n">
        <v>0.042</v>
      </c>
      <c r="C28" s="1" t="n">
        <v>1020</v>
      </c>
      <c r="D28" s="1" t="n">
        <v>0.071</v>
      </c>
      <c r="E28" s="1" t="n">
        <v>1020</v>
      </c>
      <c r="F28" s="1" t="n">
        <v>0.087</v>
      </c>
      <c r="G28" s="1" t="n">
        <v>1020</v>
      </c>
      <c r="H28" s="1" t="n">
        <v>0.101</v>
      </c>
    </row>
    <row r="29" customFormat="false" ht="12.75" hidden="false" customHeight="true" outlineLevel="0" collapsed="false">
      <c r="A29" s="1" t="n">
        <v>1080</v>
      </c>
      <c r="B29" s="1" t="n">
        <v>0.044</v>
      </c>
      <c r="C29" s="1" t="n">
        <v>1080</v>
      </c>
      <c r="D29" s="1" t="n">
        <v>0.075</v>
      </c>
      <c r="E29" s="1" t="n">
        <v>1080</v>
      </c>
      <c r="F29" s="1" t="n">
        <v>0.091</v>
      </c>
      <c r="G29" s="1" t="n">
        <v>1080</v>
      </c>
      <c r="H29" s="1" t="n">
        <v>0.107</v>
      </c>
    </row>
    <row r="30" customFormat="false" ht="12.75" hidden="false" customHeight="true" outlineLevel="0" collapsed="false">
      <c r="A30" s="1" t="n">
        <v>1140</v>
      </c>
      <c r="B30" s="1" t="n">
        <v>0.047</v>
      </c>
      <c r="C30" s="1" t="n">
        <v>1140</v>
      </c>
      <c r="D30" s="1" t="n">
        <v>0.079</v>
      </c>
      <c r="E30" s="1" t="n">
        <v>1140</v>
      </c>
      <c r="F30" s="1" t="n">
        <v>0.096</v>
      </c>
      <c r="G30" s="1" t="n">
        <v>1140</v>
      </c>
      <c r="H30" s="1" t="n">
        <v>0.112</v>
      </c>
    </row>
    <row r="31" customFormat="false" ht="12.75" hidden="false" customHeight="true" outlineLevel="0" collapsed="false">
      <c r="A31" s="1" t="n">
        <v>1200</v>
      </c>
      <c r="B31" s="1" t="n">
        <v>0.05</v>
      </c>
      <c r="C31" s="1" t="n">
        <v>1200</v>
      </c>
      <c r="D31" s="1" t="n">
        <v>0.083</v>
      </c>
      <c r="E31" s="1" t="n">
        <v>1200</v>
      </c>
      <c r="F31" s="1" t="n">
        <v>0.1</v>
      </c>
      <c r="G31" s="1" t="n">
        <v>1200</v>
      </c>
      <c r="H31" s="1" t="n">
        <v>0.117</v>
      </c>
    </row>
    <row r="32" customFormat="false" ht="12.75" hidden="false" customHeight="true" outlineLevel="0" collapsed="false">
      <c r="A32" s="1" t="n">
        <v>1260</v>
      </c>
      <c r="B32" s="1" t="n">
        <v>0.052</v>
      </c>
      <c r="C32" s="1" t="n">
        <v>1260</v>
      </c>
      <c r="D32" s="1" t="n">
        <v>0.088</v>
      </c>
      <c r="E32" s="1" t="n">
        <v>1260</v>
      </c>
      <c r="F32" s="1" t="n">
        <v>0.105</v>
      </c>
      <c r="G32" s="1" t="n">
        <v>1260</v>
      </c>
      <c r="H32" s="1" t="n">
        <v>0.123</v>
      </c>
    </row>
    <row r="33" customFormat="false" ht="12.75" hidden="false" customHeight="true" outlineLevel="0" collapsed="false">
      <c r="A33" s="1" t="n">
        <v>1320</v>
      </c>
      <c r="B33" s="1" t="n">
        <v>0.055</v>
      </c>
      <c r="C33" s="1" t="n">
        <v>1320</v>
      </c>
      <c r="D33" s="1" t="n">
        <v>0.091</v>
      </c>
      <c r="E33" s="1" t="n">
        <v>1320</v>
      </c>
      <c r="F33" s="1" t="n">
        <v>0.109</v>
      </c>
      <c r="G33" s="1" t="n">
        <v>1320</v>
      </c>
      <c r="H33" s="1" t="n">
        <v>0.128</v>
      </c>
    </row>
    <row r="34" customFormat="false" ht="12.75" hidden="false" customHeight="true" outlineLevel="0" collapsed="false">
      <c r="A34" s="1" t="n">
        <v>1380</v>
      </c>
      <c r="B34" s="1" t="n">
        <v>0.057</v>
      </c>
      <c r="C34" s="1" t="n">
        <v>1380</v>
      </c>
      <c r="D34" s="1" t="n">
        <v>0.095</v>
      </c>
      <c r="E34" s="1" t="n">
        <v>1380</v>
      </c>
      <c r="F34" s="1" t="n">
        <v>0.114</v>
      </c>
      <c r="G34" s="1" t="n">
        <v>1380</v>
      </c>
      <c r="H34" s="1" t="n">
        <v>0.133</v>
      </c>
    </row>
    <row r="35" customFormat="false" ht="12.75" hidden="false" customHeight="true" outlineLevel="0" collapsed="false">
      <c r="A35" s="1" t="n">
        <v>1440</v>
      </c>
      <c r="B35" s="1" t="n">
        <v>0.059</v>
      </c>
      <c r="C35" s="1" t="n">
        <v>1440</v>
      </c>
      <c r="D35" s="1" t="n">
        <v>0.099</v>
      </c>
      <c r="E35" s="1" t="n">
        <v>1440</v>
      </c>
      <c r="F35" s="1" t="n">
        <v>0.118</v>
      </c>
      <c r="G35" s="1" t="n">
        <v>1440</v>
      </c>
      <c r="H35" s="1" t="n">
        <v>0.138</v>
      </c>
    </row>
    <row r="36" customFormat="false" ht="12.75" hidden="false" customHeight="true" outlineLevel="0" collapsed="false">
      <c r="A36" s="1" t="n">
        <v>1500</v>
      </c>
      <c r="B36" s="1" t="n">
        <v>0.062</v>
      </c>
      <c r="C36" s="1" t="n">
        <v>1500</v>
      </c>
      <c r="D36" s="1" t="n">
        <v>0.103</v>
      </c>
      <c r="E36" s="1" t="n">
        <v>1500</v>
      </c>
      <c r="F36" s="1" t="n">
        <v>0.123</v>
      </c>
      <c r="G36" s="1" t="n">
        <v>1500</v>
      </c>
      <c r="H36" s="1" t="n">
        <v>0.143</v>
      </c>
    </row>
    <row r="37" customFormat="false" ht="12.75" hidden="false" customHeight="true" outlineLevel="0" collapsed="false">
      <c r="A37" s="1" t="n">
        <v>1560</v>
      </c>
      <c r="B37" s="1" t="n">
        <v>0.065</v>
      </c>
      <c r="C37" s="1" t="n">
        <v>1560</v>
      </c>
      <c r="D37" s="1" t="n">
        <v>0.107</v>
      </c>
      <c r="E37" s="1" t="n">
        <v>1560</v>
      </c>
      <c r="F37" s="1" t="n">
        <v>0.127</v>
      </c>
      <c r="G37" s="1" t="n">
        <v>1560</v>
      </c>
      <c r="H37" s="1" t="n">
        <v>0.149</v>
      </c>
    </row>
    <row r="38" customFormat="false" ht="12.75" hidden="false" customHeight="true" outlineLevel="0" collapsed="false">
      <c r="A38" s="1" t="n">
        <v>1620</v>
      </c>
      <c r="B38" s="1" t="n">
        <v>0.067</v>
      </c>
      <c r="C38" s="1" t="n">
        <v>1620</v>
      </c>
      <c r="D38" s="1" t="n">
        <v>0.111</v>
      </c>
      <c r="E38" s="1" t="n">
        <v>1620</v>
      </c>
      <c r="F38" s="1" t="n">
        <v>0.132</v>
      </c>
      <c r="G38" s="1" t="n">
        <v>1620</v>
      </c>
      <c r="H38" s="1" t="n">
        <v>0.154</v>
      </c>
    </row>
    <row r="39" customFormat="false" ht="12.75" hidden="false" customHeight="true" outlineLevel="0" collapsed="false">
      <c r="A39" s="1" t="n">
        <v>1680</v>
      </c>
      <c r="B39" s="1" t="n">
        <v>0.07</v>
      </c>
      <c r="C39" s="1" t="n">
        <v>1680</v>
      </c>
      <c r="D39" s="1" t="n">
        <v>0.114</v>
      </c>
      <c r="E39" s="1" t="n">
        <v>1680</v>
      </c>
      <c r="F39" s="1" t="n">
        <v>0.137</v>
      </c>
      <c r="G39" s="1" t="n">
        <v>1680</v>
      </c>
      <c r="H39" s="1" t="n">
        <v>0.159</v>
      </c>
    </row>
    <row r="40" customFormat="false" ht="12.75" hidden="false" customHeight="true" outlineLevel="0" collapsed="false">
      <c r="A40" s="1" t="n">
        <v>1740</v>
      </c>
      <c r="B40" s="1" t="n">
        <v>0.072</v>
      </c>
      <c r="C40" s="1" t="n">
        <v>1740</v>
      </c>
      <c r="D40" s="1" t="n">
        <v>0.118</v>
      </c>
      <c r="E40" s="1" t="n">
        <v>1740</v>
      </c>
      <c r="F40" s="1" t="n">
        <v>0.141</v>
      </c>
      <c r="G40" s="1" t="n">
        <v>1740</v>
      </c>
      <c r="H40" s="1" t="n">
        <v>0.164</v>
      </c>
    </row>
    <row r="41" customFormat="false" ht="12.75" hidden="false" customHeight="true" outlineLevel="0" collapsed="false">
      <c r="A41" s="1" t="n">
        <v>1800</v>
      </c>
      <c r="B41" s="1" t="n">
        <v>0.075</v>
      </c>
      <c r="C41" s="1" t="n">
        <v>1800</v>
      </c>
      <c r="D41" s="1" t="n">
        <v>0.122</v>
      </c>
      <c r="E41" s="1" t="n">
        <v>1800</v>
      </c>
      <c r="F41" s="1" t="n">
        <v>0.146</v>
      </c>
      <c r="G41" s="1" t="n">
        <v>1800</v>
      </c>
      <c r="H41" s="1" t="n">
        <v>0.169</v>
      </c>
    </row>
    <row r="42" customFormat="false" ht="12.75" hidden="false" customHeight="true" outlineLevel="0" collapsed="false">
      <c r="A42" s="1" t="n">
        <v>1860</v>
      </c>
      <c r="B42" s="1" t="n">
        <v>0.078</v>
      </c>
      <c r="C42" s="1" t="n">
        <v>1860</v>
      </c>
      <c r="D42" s="1" t="n">
        <v>0.125</v>
      </c>
      <c r="E42" s="1" t="n">
        <v>1860</v>
      </c>
      <c r="F42" s="1" t="n">
        <v>0.15</v>
      </c>
      <c r="G42" s="1" t="n">
        <v>1860</v>
      </c>
      <c r="H42" s="1" t="n">
        <v>0.174</v>
      </c>
    </row>
    <row r="43" customFormat="false" ht="12.75" hidden="false" customHeight="true" outlineLevel="0" collapsed="false">
      <c r="A43" s="1" t="n">
        <v>1920</v>
      </c>
      <c r="B43" s="1" t="n">
        <v>0.081</v>
      </c>
      <c r="C43" s="1" t="n">
        <v>1920</v>
      </c>
      <c r="D43" s="1" t="n">
        <v>0.13</v>
      </c>
      <c r="E43" s="1" t="n">
        <v>1920</v>
      </c>
      <c r="F43" s="1" t="n">
        <v>0.154</v>
      </c>
      <c r="G43" s="1" t="n">
        <v>1920</v>
      </c>
      <c r="H43" s="1" t="n">
        <v>0.179</v>
      </c>
    </row>
    <row r="44" customFormat="false" ht="12.75" hidden="false" customHeight="true" outlineLevel="0" collapsed="false">
      <c r="A44" s="1" t="n">
        <v>1980</v>
      </c>
      <c r="B44" s="1" t="n">
        <v>0.083</v>
      </c>
      <c r="C44" s="1" t="n">
        <v>1980</v>
      </c>
      <c r="D44" s="1" t="n">
        <v>0.133</v>
      </c>
      <c r="E44" s="1" t="n">
        <v>1980</v>
      </c>
      <c r="F44" s="1" t="n">
        <v>0.159</v>
      </c>
      <c r="G44" s="1" t="n">
        <v>1980</v>
      </c>
      <c r="H44" s="1" t="n">
        <v>0.185</v>
      </c>
    </row>
    <row r="45" customFormat="false" ht="12.75" hidden="false" customHeight="true" outlineLevel="0" collapsed="false">
      <c r="A45" s="1" t="n">
        <v>2040</v>
      </c>
      <c r="B45" s="1" t="n">
        <v>0.086</v>
      </c>
      <c r="C45" s="1" t="n">
        <v>2040</v>
      </c>
      <c r="D45" s="1" t="n">
        <v>0.137</v>
      </c>
      <c r="E45" s="1" t="n">
        <v>2040</v>
      </c>
      <c r="F45" s="1" t="n">
        <v>0.164</v>
      </c>
      <c r="G45" s="1" t="n">
        <v>2040</v>
      </c>
      <c r="H45" s="1" t="n">
        <v>0.19</v>
      </c>
    </row>
    <row r="46" customFormat="false" ht="12.75" hidden="false" customHeight="true" outlineLevel="0" collapsed="false">
      <c r="A46" s="1" t="n">
        <v>2100</v>
      </c>
      <c r="B46" s="1" t="n">
        <v>0.088</v>
      </c>
      <c r="C46" s="1" t="n">
        <v>2100</v>
      </c>
      <c r="D46" s="1" t="n">
        <v>0.141</v>
      </c>
      <c r="E46" s="1" t="n">
        <v>2100</v>
      </c>
      <c r="F46" s="1" t="n">
        <v>0.168</v>
      </c>
      <c r="G46" s="1" t="n">
        <v>2100</v>
      </c>
      <c r="H46" s="1" t="n">
        <v>0.195</v>
      </c>
    </row>
    <row r="47" customFormat="false" ht="12.75" hidden="false" customHeight="true" outlineLevel="0" collapsed="false">
      <c r="A47" s="1" t="n">
        <v>2160</v>
      </c>
      <c r="B47" s="1" t="n">
        <v>0.09</v>
      </c>
      <c r="C47" s="1" t="n">
        <v>2160</v>
      </c>
      <c r="D47" s="1" t="n">
        <v>0.145</v>
      </c>
      <c r="E47" s="1" t="n">
        <v>2160</v>
      </c>
      <c r="F47" s="1" t="n">
        <v>0.173</v>
      </c>
      <c r="G47" s="1" t="n">
        <v>2160</v>
      </c>
      <c r="H47" s="1" t="n">
        <v>0.2</v>
      </c>
    </row>
    <row r="48" customFormat="false" ht="12.75" hidden="false" customHeight="true" outlineLevel="0" collapsed="false">
      <c r="A48" s="1" t="n">
        <v>2220</v>
      </c>
      <c r="B48" s="1" t="n">
        <v>0.092</v>
      </c>
      <c r="C48" s="1" t="n">
        <v>2220</v>
      </c>
      <c r="D48" s="1" t="n">
        <v>0.148</v>
      </c>
      <c r="E48" s="1" t="n">
        <v>2220</v>
      </c>
      <c r="F48" s="1" t="n">
        <v>0.177</v>
      </c>
      <c r="G48" s="1" t="n">
        <v>2220</v>
      </c>
      <c r="H48" s="1" t="n">
        <v>0.205</v>
      </c>
    </row>
    <row r="49" customFormat="false" ht="12.75" hidden="false" customHeight="true" outlineLevel="0" collapsed="false">
      <c r="A49" s="1" t="n">
        <v>2280</v>
      </c>
      <c r="B49" s="1" t="n">
        <v>0.095</v>
      </c>
      <c r="C49" s="1" t="n">
        <v>2280</v>
      </c>
      <c r="D49" s="1" t="n">
        <v>0.152</v>
      </c>
      <c r="E49" s="1" t="n">
        <v>2280</v>
      </c>
      <c r="F49" s="1" t="n">
        <v>0.182</v>
      </c>
      <c r="G49" s="1" t="n">
        <v>2280</v>
      </c>
      <c r="H49" s="1" t="n">
        <v>0.21</v>
      </c>
    </row>
    <row r="50" customFormat="false" ht="12.75" hidden="false" customHeight="true" outlineLevel="0" collapsed="false">
      <c r="A50" s="1" t="n">
        <v>2340</v>
      </c>
      <c r="B50" s="1" t="n">
        <v>0.097</v>
      </c>
      <c r="C50" s="1" t="n">
        <v>2340</v>
      </c>
      <c r="D50" s="1" t="n">
        <v>0.156</v>
      </c>
      <c r="E50" s="1" t="n">
        <v>2340</v>
      </c>
      <c r="F50" s="1" t="n">
        <v>0.186</v>
      </c>
      <c r="G50" s="1" t="n">
        <v>2340</v>
      </c>
      <c r="H50" s="1" t="n">
        <v>0.216</v>
      </c>
    </row>
    <row r="51" customFormat="false" ht="12.75" hidden="false" customHeight="true" outlineLevel="0" collapsed="false">
      <c r="A51" s="1" t="n">
        <v>2400</v>
      </c>
      <c r="B51" s="1" t="n">
        <v>0.1</v>
      </c>
      <c r="C51" s="1" t="n">
        <v>2400</v>
      </c>
      <c r="D51" s="1" t="n">
        <v>0.159</v>
      </c>
      <c r="E51" s="1" t="n">
        <v>2400</v>
      </c>
      <c r="F51" s="1" t="n">
        <v>0.19</v>
      </c>
      <c r="G51" s="1" t="n">
        <v>2400</v>
      </c>
      <c r="H51" s="1" t="n">
        <v>0.221</v>
      </c>
    </row>
    <row r="52" customFormat="false" ht="12.75" hidden="false" customHeight="true" outlineLevel="0" collapsed="false">
      <c r="A52" s="1" t="n">
        <v>2460</v>
      </c>
      <c r="B52" s="1" t="n">
        <v>0.102</v>
      </c>
      <c r="C52" s="1" t="n">
        <v>2460</v>
      </c>
      <c r="D52" s="1" t="n">
        <v>0.163</v>
      </c>
      <c r="E52" s="1" t="n">
        <v>2460</v>
      </c>
      <c r="F52" s="1" t="n">
        <v>0.195</v>
      </c>
      <c r="G52" s="1" t="n">
        <v>2460</v>
      </c>
      <c r="H52" s="1" t="n">
        <v>0.226</v>
      </c>
    </row>
    <row r="53" customFormat="false" ht="12.75" hidden="false" customHeight="true" outlineLevel="0" collapsed="false">
      <c r="A53" s="1" t="n">
        <v>2520</v>
      </c>
      <c r="B53" s="1" t="n">
        <v>0.104</v>
      </c>
      <c r="C53" s="1" t="n">
        <v>2520</v>
      </c>
      <c r="D53" s="1" t="n">
        <v>0.167</v>
      </c>
      <c r="E53" s="1" t="n">
        <v>2520</v>
      </c>
      <c r="F53" s="1" t="n">
        <v>0.199</v>
      </c>
      <c r="G53" s="1" t="n">
        <v>2520</v>
      </c>
      <c r="H53" s="1" t="n">
        <v>0.231</v>
      </c>
    </row>
    <row r="54" customFormat="false" ht="12.75" hidden="false" customHeight="true" outlineLevel="0" collapsed="false">
      <c r="A54" s="1" t="n">
        <v>2580</v>
      </c>
      <c r="B54" s="1" t="n">
        <v>0.106</v>
      </c>
      <c r="C54" s="1" t="n">
        <v>2580</v>
      </c>
      <c r="D54" s="1" t="n">
        <v>0.17</v>
      </c>
      <c r="E54" s="1" t="n">
        <v>2580</v>
      </c>
      <c r="F54" s="1" t="n">
        <v>0.203</v>
      </c>
      <c r="G54" s="1" t="n">
        <v>2580</v>
      </c>
      <c r="H54" s="1" t="n">
        <v>0.236</v>
      </c>
    </row>
    <row r="55" customFormat="false" ht="12.75" hidden="false" customHeight="true" outlineLevel="0" collapsed="false">
      <c r="A55" s="1" t="n">
        <v>2640</v>
      </c>
      <c r="B55" s="1" t="n">
        <v>0.11</v>
      </c>
      <c r="C55" s="1" t="n">
        <v>2640</v>
      </c>
      <c r="D55" s="1" t="n">
        <v>0.174</v>
      </c>
      <c r="E55" s="1" t="n">
        <v>2640</v>
      </c>
      <c r="F55" s="1" t="n">
        <v>0.208</v>
      </c>
      <c r="G55" s="1" t="n">
        <v>2640</v>
      </c>
      <c r="H55" s="1" t="n">
        <v>0.241</v>
      </c>
    </row>
    <row r="56" customFormat="false" ht="12.75" hidden="false" customHeight="true" outlineLevel="0" collapsed="false"/>
    <row r="57" customFormat="false" ht="12.75" hidden="false" customHeight="true" outlineLevel="0" collapsed="false">
      <c r="K57" s="22" t="s">
        <v>116</v>
      </c>
      <c r="L57" s="22" t="s">
        <v>85</v>
      </c>
      <c r="M57" s="22" t="s">
        <v>117</v>
      </c>
    </row>
    <row r="58" customFormat="false" ht="12.75" hidden="false" customHeight="true" outlineLevel="0" collapsed="false">
      <c r="K58" s="1" t="n">
        <v>1.52855178403416</v>
      </c>
      <c r="L58" s="22" t="n">
        <v>3.97</v>
      </c>
      <c r="M58" s="1" t="n">
        <f aca="false">K58/L58</f>
        <v>0.385025638295758</v>
      </c>
    </row>
    <row r="59" customFormat="false" ht="12.75" hidden="false" customHeight="true" outlineLevel="0" collapsed="false">
      <c r="K59" s="1" t="n">
        <v>3.05710356806832</v>
      </c>
      <c r="L59" s="22" t="n">
        <v>5.85</v>
      </c>
      <c r="M59" s="1" t="n">
        <f aca="false">K59/L59</f>
        <v>0.522581806507406</v>
      </c>
    </row>
    <row r="60" customFormat="false" ht="12.75" hidden="false" customHeight="true" outlineLevel="0" collapsed="false">
      <c r="K60" s="1" t="n">
        <v>4.58565535210248</v>
      </c>
      <c r="L60" s="22" t="n">
        <v>6.5</v>
      </c>
      <c r="M60" s="1" t="n">
        <f aca="false">K60/L60</f>
        <v>0.705485438784997</v>
      </c>
    </row>
    <row r="61" customFormat="false" ht="12.75" hidden="false" customHeight="true" outlineLevel="0" collapsed="false">
      <c r="K61" s="1" t="n">
        <v>6.11420713613664</v>
      </c>
      <c r="L61" s="22" t="n">
        <v>7.07</v>
      </c>
      <c r="M61" s="1" t="n">
        <f aca="false">K61/L61</f>
        <v>0.864810061688351</v>
      </c>
    </row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2024-12-12T21:56:07Z</dcterms:modified>
  <cp:revision>1</cp:revision>
  <dc:subject/>
  <dc:title/>
</cp:coreProperties>
</file>