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45">Sheet2!$A$1:$H$68</definedName>
  </definedNames>
  <calcPr/>
  <extLst>
    <ext uri="GoogleSheetsCustomDataVersion1">
      <go:sheetsCustomData xmlns:go="http://customooxmlschemas.google.com/" r:id="rId7" roundtripDataSignature="AMtx7mj3lNplYvnJYMdyEGQLkcVF22oPeQ=="/>
    </ext>
  </extLst>
</workbook>
</file>

<file path=xl/sharedStrings.xml><?xml version="1.0" encoding="utf-8"?>
<sst xmlns="http://schemas.openxmlformats.org/spreadsheetml/2006/main" count="179" uniqueCount="118">
  <si>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</si>
  <si>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</si>
  <si>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</si>
  <si>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</si>
  <si>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</si>
  <si>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</si>
  <si>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</si>
  <si>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</si>
  <si>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</si>
  <si>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</si>
  <si>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</si>
  <si>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</si>
  <si>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</si>
  <si>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</si>
  <si>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</si>
  <si>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</si>
  <si>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</si>
  <si>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</si>
  <si>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</si>
  <si>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</si>
  <si>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</si>
  <si>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</si>
  <si>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</si>
  <si>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</si>
  <si>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</si>
  <si>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</si>
  <si>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</si>
  <si>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</si>
  <si>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</si>
  <si>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</si>
  <si>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</si>
  <si>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</si>
  <si>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</si>
  <si>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</si>
  <si>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</si>
  <si>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</si>
  <si>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</si>
  <si>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</si>
  <si>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</si>
  <si>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</si>
  <si>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</si>
  <si>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</si>
  <si>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</si>
  <si>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</si>
  <si>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</si>
  <si>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</si>
  <si>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</si>
  <si>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Boric acid buf.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</si>
  <si>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</si>
  <si>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</si>
  <si>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</si>
  <si>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</si>
  <si>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</si>
  <si>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</si>
  <si>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</si>
  <si>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</si>
  <si>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</si>
  <si>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</si>
  <si>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</si>
  <si>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</si>
  <si>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</si>
  <si>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</si>
  <si>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</si>
  <si>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</si>
  <si>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</si>
  <si>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</si>
  <si>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</si>
  <si>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</si>
  <si>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</si>
  <si>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</si>
  <si>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</si>
  <si>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</si>
  <si>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</si>
  <si>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</si>
  <si>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</si>
  <si>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- 045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</si>
  <si>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</si>
  <si>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</si>
  <si>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</si>
  <si>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</si>
  <si>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</si>
  <si>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</si>
  <si>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</si>
  <si>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</si>
  <si>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</si>
  <si>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</si>
  <si>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</si>
  <si>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</si>
  <si>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</si>
  <si>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</si>
  <si>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</si>
  <si>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</si>
  <si>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</si>
  <si>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</si>
  <si>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</si>
  <si>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</si>
  <si>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>Batch</t>
  </si>
  <si>
    <t>rate045.rre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</si>
  <si>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</si>
  <si>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</si>
  <si>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</si>
  <si>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</si>
  <si>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</si>
  <si>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</si>
  <si>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</si>
  <si>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5:28:01PM</t>
  </si>
  <si>
    <t>5:28:08PM</t>
  </si>
  <si>
    <t>5:28:15PM</t>
  </si>
  <si>
    <t>5:28:22PM</t>
  </si>
  <si>
    <t>Substrate Conc.</t>
  </si>
  <si>
    <t>1.5286 mmol/L</t>
  </si>
  <si>
    <t>3.0571 mmol/L</t>
  </si>
  <si>
    <t>4.5857 mmol/L</t>
  </si>
  <si>
    <t>6.1142 mmol/L</t>
  </si>
  <si>
    <t>ss.sss</t>
  </si>
  <si>
    <t>Value</t>
  </si>
  <si>
    <t>S</t>
  </si>
  <si>
    <t>S/V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</si>
</sst>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6649"/>
        <c:axId val="1484982120"/>
      </c:scatterChart>
      <c:valAx>
        <c:axId val="11116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982120"/>
      </c:valAx>
      <c:valAx>
        <c:axId val="1484982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6649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78146740"/>
        <c:axId val="1220325588"/>
      </c:scatterChart>
      <c:valAx>
        <c:axId val="2078146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0325588"/>
      </c:valAx>
      <c:valAx>
        <c:axId val="122032558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781467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388143"/>
        <c:axId val="1171650031"/>
      </c:scatterChart>
      <c:valAx>
        <c:axId val="1366388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650031"/>
      </c:valAx>
      <c:valAx>
        <c:axId val="1171650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388143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549149077"/>
        <c:axId val="761380540"/>
      </c:scatterChart>
      <c:valAx>
        <c:axId val="1549149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380540"/>
      </c:valAx>
      <c:valAx>
        <c:axId val="76138054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49149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Sheet2!$B$11:$B$20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Sheet2!$D$11:$D$20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Sheet2!$F$11:$F$20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Sheet2!$H$11:$H$20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502987"/>
        <c:axId val="1639156653"/>
      </c:scatterChart>
      <c:valAx>
        <c:axId val="8865029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9156653"/>
      </c:valAx>
      <c:valAx>
        <c:axId val="1639156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502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S, V og S/V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Sheet2!$N$54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Sheet2!$L$55:$L$58</c:f>
            </c:numRef>
          </c:xVal>
          <c:yVal>
            <c:numRef>
              <c:f>Sheet2!$N$55:$N$58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204715"/>
        <c:axId val="1334649634"/>
      </c:scatterChart>
      <c:valAx>
        <c:axId val="17362047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649634"/>
      </c:valAx>
      <c:valAx>
        <c:axId val="1334649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204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Sheet2!$B$11:$B$200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Sheet2!$D$11:$D$200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Sheet2!$F$11:$F$200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Sheet2!$H$11:$H$200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239319"/>
        <c:axId val="1862233758"/>
      </c:scatterChart>
      <c:valAx>
        <c:axId val="19032393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233758"/>
      </c:valAx>
      <c:valAx>
        <c:axId val="1862233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2393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28852546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93729787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06474957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203483183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495300</xdr:colOff>
      <xdr:row>6</xdr:row>
      <xdr:rowOff>9525</xdr:rowOff>
    </xdr:from>
    <xdr:ext cx="5715000" cy="3533775"/>
    <xdr:graphicFrame>
      <xdr:nvGraphicFramePr>
        <xdr:cNvPr id="444624130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885825</xdr:colOff>
      <xdr:row>43</xdr:row>
      <xdr:rowOff>114300</xdr:rowOff>
    </xdr:from>
    <xdr:ext cx="5715000" cy="3533775"/>
    <xdr:graphicFrame>
      <xdr:nvGraphicFramePr>
        <xdr:cNvPr id="681200297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495300</xdr:colOff>
      <xdr:row>31</xdr:row>
      <xdr:rowOff>9525</xdr:rowOff>
    </xdr:from>
    <xdr:ext cx="5715000" cy="3533775"/>
    <xdr:graphicFrame>
      <xdr:nvGraphicFramePr>
        <xdr:cNvPr id="131998981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45.0</v>
      </c>
    </row>
    <row r="2" ht="13.5" customHeight="1">
      <c r="C2" s="1">
        <v>300.0</v>
      </c>
      <c r="D2" s="1" t="s">
        <v>33</v>
      </c>
      <c r="H2" s="1" t="s">
        <v>34</v>
      </c>
      <c r="I2" s="1">
        <v>7.53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138.17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0.2112</v>
      </c>
      <c r="D8" s="10"/>
      <c r="F8" s="9" t="s">
        <v>42</v>
      </c>
      <c r="G8" s="4">
        <v>0.0228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0.05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0.001528551784</v>
      </c>
      <c r="D10" s="10"/>
      <c r="F10" s="9" t="s">
        <v>46</v>
      </c>
      <c r="G10" s="4">
        <f>G8/G7</f>
        <v>0.00002162592835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0.03057103568</v>
      </c>
      <c r="D11" s="10"/>
      <c r="F11" s="9" t="s">
        <v>45</v>
      </c>
      <c r="G11" s="4">
        <f>G10/G9</f>
        <v>0.005406482087</v>
      </c>
      <c r="H11" s="10"/>
      <c r="J11" s="9" t="s">
        <v>47</v>
      </c>
      <c r="K11" s="4" t="s">
        <v>48</v>
      </c>
      <c r="L11" s="10">
        <v>9.7</v>
      </c>
    </row>
    <row r="12" ht="13.5" customHeight="1">
      <c r="B12" s="11" t="s">
        <v>49</v>
      </c>
      <c r="C12" s="5">
        <f>C11*1000</f>
        <v>30.57103568</v>
      </c>
      <c r="D12" s="12"/>
      <c r="F12" s="9" t="s">
        <v>49</v>
      </c>
      <c r="G12" s="4">
        <f>G11*1000</f>
        <v>5.406482087</v>
      </c>
      <c r="H12" s="10"/>
      <c r="J12" s="9"/>
      <c r="K12" s="4" t="s">
        <v>50</v>
      </c>
      <c r="L12" s="10">
        <v>25.0</v>
      </c>
    </row>
    <row r="13" ht="13.5" customHeight="1">
      <c r="F13" s="11" t="s">
        <v>51</v>
      </c>
      <c r="G13" s="5">
        <f>E20*G12/H20</f>
        <v>0.2703241044</v>
      </c>
      <c r="H13" s="12" t="s">
        <v>49</v>
      </c>
      <c r="J13" s="11"/>
      <c r="K13" s="5"/>
      <c r="L13" s="12"/>
    </row>
    <row r="14" ht="12.75" customHeight="1"/>
    <row r="15" ht="12.75" customHeight="1">
      <c r="G15" s="1">
        <v>0.240683303</v>
      </c>
    </row>
    <row r="16" ht="12.75" customHeight="1"/>
    <row r="17" ht="12.75" customHeight="1"/>
    <row r="18" ht="12.75" customHeight="1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ht="13.5" customHeight="1">
      <c r="B19" s="13" t="s">
        <v>51</v>
      </c>
      <c r="C19" s="5" t="s">
        <v>54</v>
      </c>
      <c r="D19" s="5" t="s">
        <v>55</v>
      </c>
      <c r="E19" s="5" t="s">
        <v>56</v>
      </c>
      <c r="F19" s="5" t="s">
        <v>57</v>
      </c>
      <c r="G19" s="5" t="s">
        <v>58</v>
      </c>
      <c r="H19" s="5" t="s">
        <v>59</v>
      </c>
      <c r="I19" s="5" t="s">
        <v>45</v>
      </c>
      <c r="J19" s="5" t="s">
        <v>49</v>
      </c>
      <c r="K19" s="5" t="s">
        <v>45</v>
      </c>
      <c r="L19" s="5" t="s">
        <v>49</v>
      </c>
      <c r="M19" s="5" t="s">
        <v>49</v>
      </c>
    </row>
    <row r="20" ht="12.75" customHeight="1">
      <c r="B20" s="14">
        <v>1.0</v>
      </c>
      <c r="C20" s="1">
        <v>1.7</v>
      </c>
      <c r="D20" s="1">
        <v>0.0</v>
      </c>
      <c r="E20" s="1">
        <v>0.1</v>
      </c>
      <c r="F20" s="1">
        <v>0.1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0.001528551784</v>
      </c>
      <c r="J20" s="1">
        <f t="shared" ref="J20:J27" si="3">I20*1000</f>
        <v>1.528551784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0.2703241044</v>
      </c>
    </row>
    <row r="21" ht="12.75" customHeight="1">
      <c r="B21" s="14">
        <v>2.0</v>
      </c>
      <c r="C21" s="1">
        <v>1.6</v>
      </c>
      <c r="D21" s="1">
        <v>0.0</v>
      </c>
      <c r="E21" s="1">
        <v>0.1</v>
      </c>
      <c r="F21" s="1">
        <v>0.2</v>
      </c>
      <c r="G21" s="1">
        <v>0.1</v>
      </c>
      <c r="H21" s="1">
        <f t="shared" si="1"/>
        <v>2</v>
      </c>
      <c r="I21" s="1">
        <f t="shared" si="2"/>
        <v>0.003057103568</v>
      </c>
      <c r="J21" s="1">
        <f t="shared" si="3"/>
        <v>3.057103568</v>
      </c>
      <c r="K21" s="4">
        <f t="shared" si="4"/>
        <v>0.0825</v>
      </c>
      <c r="L21" s="4">
        <f t="shared" si="5"/>
        <v>82.5</v>
      </c>
      <c r="M21" s="1">
        <f t="shared" si="6"/>
        <v>0.2703241044</v>
      </c>
    </row>
    <row r="22" ht="12.75" customHeight="1">
      <c r="B22" s="14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1"/>
        <v>2</v>
      </c>
      <c r="I22" s="1">
        <f t="shared" si="2"/>
        <v>0.004585655352</v>
      </c>
      <c r="J22" s="1">
        <f t="shared" si="3"/>
        <v>4.585655352</v>
      </c>
      <c r="K22" s="4">
        <f t="shared" si="4"/>
        <v>0.0825</v>
      </c>
      <c r="L22" s="4">
        <f t="shared" si="5"/>
        <v>82.5</v>
      </c>
      <c r="M22" s="1">
        <f t="shared" si="6"/>
        <v>0.2703241044</v>
      </c>
    </row>
    <row r="23" ht="12.75" customHeight="1">
      <c r="B23" s="15">
        <v>4.0</v>
      </c>
      <c r="C23" s="15">
        <v>1.4</v>
      </c>
      <c r="D23" s="15">
        <v>0.0</v>
      </c>
      <c r="E23" s="15">
        <v>0.1</v>
      </c>
      <c r="F23" s="15">
        <v>0.4</v>
      </c>
      <c r="G23" s="15">
        <v>0.1</v>
      </c>
      <c r="H23" s="15">
        <f t="shared" si="1"/>
        <v>2</v>
      </c>
      <c r="I23" s="15">
        <f t="shared" si="2"/>
        <v>0.006114207136</v>
      </c>
      <c r="J23" s="15">
        <f t="shared" si="3"/>
        <v>6.114207136</v>
      </c>
      <c r="K23" s="15">
        <f t="shared" si="4"/>
        <v>0.0825</v>
      </c>
      <c r="L23" s="15">
        <f t="shared" si="5"/>
        <v>82.5</v>
      </c>
      <c r="M23" s="1">
        <f t="shared" si="6"/>
        <v>0.2703241044</v>
      </c>
    </row>
    <row r="24" ht="12.75" customHeight="1">
      <c r="B24" s="14">
        <v>5.0</v>
      </c>
      <c r="C24" s="1">
        <v>1.7</v>
      </c>
      <c r="D24" s="4">
        <v>0.1</v>
      </c>
      <c r="E24" s="4">
        <v>0.0</v>
      </c>
      <c r="F24" s="1">
        <v>0.1</v>
      </c>
      <c r="G24" s="4">
        <v>0.1</v>
      </c>
      <c r="H24" s="1">
        <f t="shared" si="1"/>
        <v>2</v>
      </c>
      <c r="I24" s="1">
        <f t="shared" si="2"/>
        <v>0.001528551784</v>
      </c>
      <c r="J24" s="1">
        <f t="shared" si="3"/>
        <v>1.528551784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14">
        <v>6.0</v>
      </c>
      <c r="C25" s="1">
        <v>1.6</v>
      </c>
      <c r="D25" s="4">
        <v>0.1</v>
      </c>
      <c r="E25" s="4">
        <v>0.0</v>
      </c>
      <c r="F25" s="1">
        <v>0.2</v>
      </c>
      <c r="G25" s="4">
        <v>0.1</v>
      </c>
      <c r="H25" s="1">
        <f t="shared" si="1"/>
        <v>2</v>
      </c>
      <c r="I25" s="1">
        <f t="shared" si="2"/>
        <v>0.003057103568</v>
      </c>
      <c r="J25" s="1">
        <f t="shared" si="3"/>
        <v>3.057103568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14">
        <v>7.0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1"/>
        <v>2</v>
      </c>
      <c r="I26" s="1">
        <f t="shared" si="2"/>
        <v>0.004585655352</v>
      </c>
      <c r="J26" s="1">
        <f t="shared" si="3"/>
        <v>4.585655352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1.4</v>
      </c>
      <c r="D27" s="5">
        <v>0.1</v>
      </c>
      <c r="E27" s="5">
        <v>0.0</v>
      </c>
      <c r="F27" s="5">
        <v>0.4</v>
      </c>
      <c r="G27" s="5">
        <v>0.1</v>
      </c>
      <c r="H27" s="5">
        <f t="shared" si="1"/>
        <v>2</v>
      </c>
      <c r="I27" s="5">
        <f t="shared" si="2"/>
        <v>0.006114207136</v>
      </c>
      <c r="J27" s="5">
        <f t="shared" si="3"/>
        <v>6.114207136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7">SUM(C20:C27)</f>
        <v>12.4</v>
      </c>
      <c r="D28" s="1">
        <f t="shared" si="7"/>
        <v>0.4</v>
      </c>
      <c r="E28" s="1">
        <f t="shared" si="7"/>
        <v>0.4</v>
      </c>
      <c r="F28" s="1">
        <f t="shared" si="7"/>
        <v>2</v>
      </c>
      <c r="G28" s="1">
        <f t="shared" si="7"/>
        <v>0.8</v>
      </c>
    </row>
    <row r="29" ht="12.75" customHeight="1"/>
    <row r="30" ht="12.75" customHeight="1"/>
    <row r="31" ht="12.75" customHeight="1"/>
    <row r="32" ht="12.75" customHeight="1">
      <c r="J32" s="1">
        <v>0.011134823</v>
      </c>
    </row>
    <row r="33" ht="12.75" customHeight="1"/>
    <row r="34" ht="12.75" customHeight="1">
      <c r="L34" s="16"/>
      <c r="M34" s="16"/>
    </row>
    <row r="35" ht="12.75" customHeight="1"/>
    <row r="36" ht="12.75" customHeight="1"/>
    <row r="37" ht="12.75" customHeight="1"/>
    <row r="38" ht="12.75" customHeight="1">
      <c r="I38" s="1" t="s">
        <v>60</v>
      </c>
      <c r="J38" s="4">
        <v>0.0226653838848188</v>
      </c>
      <c r="K38" s="1" t="s">
        <v>61</v>
      </c>
    </row>
    <row r="39" ht="12.75" customHeight="1">
      <c r="H39" s="16"/>
      <c r="I39" s="1" t="s">
        <v>60</v>
      </c>
      <c r="J39" s="1">
        <f>J38/I2</f>
        <v>0.00301001114</v>
      </c>
      <c r="K39" s="1" t="s">
        <v>62</v>
      </c>
      <c r="N39" s="1">
        <f>J39/G13</f>
        <v>0.01113482332</v>
      </c>
    </row>
    <row r="40" ht="12.75" customHeight="1">
      <c r="I40" s="1" t="s">
        <v>63</v>
      </c>
      <c r="J40" s="4">
        <v>1.35003298051701</v>
      </c>
      <c r="K40" s="1" t="s">
        <v>64</v>
      </c>
    </row>
    <row r="41" ht="12.75" customHeight="1">
      <c r="I41" s="1" t="s">
        <v>65</v>
      </c>
      <c r="J41" s="1">
        <f>J39/G13</f>
        <v>0.01113482332</v>
      </c>
      <c r="K41" s="1" t="s">
        <v>66</v>
      </c>
    </row>
    <row r="42" ht="12.75" customHeight="1">
      <c r="J42" s="1">
        <f>J41/60</f>
        <v>0.0001855803886</v>
      </c>
      <c r="K42" s="1" t="s">
        <v>67</v>
      </c>
    </row>
    <row r="43" ht="12.75" customHeight="1">
      <c r="I43" s="1" t="s">
        <v>68</v>
      </c>
      <c r="J43" s="16">
        <v>1.43E-9</v>
      </c>
      <c r="K43" s="1" t="s">
        <v>69</v>
      </c>
    </row>
    <row r="44" ht="12.75" customHeight="1">
      <c r="J44" s="17">
        <f>60*J43</f>
        <v>0.0000000858</v>
      </c>
      <c r="K44" s="1" t="s">
        <v>66</v>
      </c>
    </row>
    <row r="45" ht="12.75" customHeight="1">
      <c r="I45" s="1" t="s">
        <v>70</v>
      </c>
      <c r="J45" s="16">
        <f>J42/J43</f>
        <v>129776.4955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71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72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73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74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 t="s">
        <v>75</v>
      </c>
      <c r="D97" s="7"/>
      <c r="E97" s="7"/>
      <c r="F97" s="7"/>
      <c r="G97" s="7"/>
      <c r="H97" s="7" t="s">
        <v>75</v>
      </c>
      <c r="I97" s="7"/>
      <c r="J97" s="7"/>
      <c r="K97" s="8"/>
      <c r="L97" s="4"/>
      <c r="M97" s="4"/>
    </row>
    <row r="98" ht="12.75" customHeight="1">
      <c r="B98" s="4"/>
      <c r="C98" s="9" t="s">
        <v>76</v>
      </c>
      <c r="D98" s="4"/>
      <c r="E98" s="4"/>
      <c r="F98" s="4"/>
      <c r="G98" s="4"/>
      <c r="H98" s="4" t="s">
        <v>77</v>
      </c>
      <c r="I98" s="4"/>
      <c r="J98" s="4"/>
      <c r="K98" s="10"/>
      <c r="L98" s="4"/>
      <c r="M98" s="4"/>
    </row>
    <row r="99" ht="12.75" customHeight="1">
      <c r="B99" s="4"/>
      <c r="C99" s="9" t="s">
        <v>78</v>
      </c>
      <c r="D99" s="4"/>
      <c r="E99" s="4"/>
      <c r="F99" s="4"/>
      <c r="G99" s="4"/>
      <c r="H99" s="4"/>
      <c r="I99" s="4" t="s">
        <v>79</v>
      </c>
      <c r="J99" s="4" t="s">
        <v>80</v>
      </c>
      <c r="K99" s="10"/>
      <c r="L99" s="4"/>
      <c r="M99" s="4"/>
    </row>
    <row r="100" ht="12.75" customHeight="1">
      <c r="B100" s="4"/>
      <c r="C100" s="9" t="s">
        <v>81</v>
      </c>
      <c r="D100" s="4" t="s">
        <v>82</v>
      </c>
      <c r="E100" s="4" t="s">
        <v>83</v>
      </c>
      <c r="F100" s="4" t="s">
        <v>84</v>
      </c>
      <c r="G100" s="4" t="s">
        <v>85</v>
      </c>
      <c r="H100" s="4" t="s">
        <v>86</v>
      </c>
      <c r="I100" s="4"/>
      <c r="J100" s="4"/>
      <c r="K100" s="10"/>
      <c r="L100" s="4"/>
      <c r="M100" s="4"/>
    </row>
    <row r="101" ht="12.75" customHeight="1">
      <c r="B101" s="4"/>
      <c r="C101" s="9" t="s">
        <v>87</v>
      </c>
      <c r="D101" s="4">
        <v>1.52859999979509</v>
      </c>
      <c r="E101" s="4">
        <v>0.0</v>
      </c>
      <c r="F101" s="4">
        <v>0.003202660627355</v>
      </c>
      <c r="G101" s="4" t="s">
        <v>88</v>
      </c>
      <c r="H101" s="4"/>
      <c r="I101" s="4" t="s">
        <v>89</v>
      </c>
      <c r="J101" s="4">
        <v>0.0226653838848188</v>
      </c>
      <c r="K101" s="10"/>
      <c r="L101" s="4"/>
      <c r="M101" s="4"/>
    </row>
    <row r="102" ht="12.75" customHeight="1">
      <c r="B102" s="4"/>
      <c r="C102" s="9" t="s">
        <v>90</v>
      </c>
      <c r="D102" s="4">
        <v>3.05709999991532</v>
      </c>
      <c r="E102" s="4">
        <v>0.0</v>
      </c>
      <c r="F102" s="4">
        <v>0.005131567971903</v>
      </c>
      <c r="G102" s="4" t="s">
        <v>88</v>
      </c>
      <c r="H102" s="4"/>
      <c r="I102" s="4" t="s">
        <v>63</v>
      </c>
      <c r="J102" s="4">
        <v>9.58413031647555</v>
      </c>
      <c r="K102" s="10"/>
      <c r="L102" s="4"/>
      <c r="M102" s="4"/>
    </row>
    <row r="103" ht="12.75" customHeight="1">
      <c r="B103" s="4"/>
      <c r="C103" s="9" t="s">
        <v>91</v>
      </c>
      <c r="D103" s="4">
        <v>4.58569999971042</v>
      </c>
      <c r="E103" s="4">
        <v>0.0</v>
      </c>
      <c r="F103" s="4">
        <v>0.007796617556489</v>
      </c>
      <c r="G103" s="4" t="s">
        <v>88</v>
      </c>
      <c r="H103" s="4" t="s">
        <v>92</v>
      </c>
      <c r="I103" s="4"/>
      <c r="J103" s="4"/>
      <c r="K103" s="10"/>
      <c r="L103" s="4"/>
      <c r="M103" s="4"/>
    </row>
    <row r="104" ht="12.75" customHeight="1">
      <c r="B104" s="4"/>
      <c r="C104" s="9" t="s">
        <v>93</v>
      </c>
      <c r="D104" s="4">
        <v>6.11419999983064</v>
      </c>
      <c r="E104" s="4">
        <v>0.0</v>
      </c>
      <c r="F104" s="4">
        <v>0.008677351581192</v>
      </c>
      <c r="G104" s="4" t="s">
        <v>88</v>
      </c>
      <c r="H104" s="4"/>
      <c r="I104" s="4" t="s">
        <v>94</v>
      </c>
      <c r="J104" s="4">
        <v>3127.74159691167</v>
      </c>
      <c r="K104" s="10"/>
      <c r="L104" s="4"/>
      <c r="M104" s="4"/>
    </row>
    <row r="105" ht="13.5" customHeight="1">
      <c r="B105" s="4"/>
      <c r="C105" s="11"/>
      <c r="D105" s="5"/>
      <c r="E105" s="5"/>
      <c r="F105" s="5"/>
      <c r="G105" s="5"/>
      <c r="H105" s="5"/>
      <c r="I105" s="5" t="s">
        <v>95</v>
      </c>
      <c r="J105" s="5">
        <v>0.937597404663323</v>
      </c>
      <c r="K105" s="12"/>
      <c r="L105" s="4"/>
      <c r="M105" s="4"/>
    </row>
    <row r="106" ht="13.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6"/>
      <c r="D107" s="7"/>
      <c r="E107" s="7"/>
      <c r="F107" s="7"/>
      <c r="G107" s="7"/>
      <c r="H107" s="7"/>
      <c r="I107" s="7"/>
      <c r="J107" s="7"/>
      <c r="K107" s="8"/>
      <c r="L107" s="4"/>
      <c r="M107" s="4"/>
    </row>
    <row r="108" ht="12.75" customHeight="1">
      <c r="B108" s="4"/>
      <c r="C108" s="9"/>
      <c r="D108" s="4"/>
      <c r="E108" s="4"/>
      <c r="F108" s="4"/>
      <c r="G108" s="4"/>
      <c r="H108" s="4"/>
      <c r="I108" s="4"/>
      <c r="J108" s="4"/>
      <c r="K108" s="10"/>
      <c r="L108" s="4"/>
      <c r="M108" s="4"/>
    </row>
    <row r="109" ht="12.75" customHeight="1">
      <c r="B109" s="4"/>
      <c r="C109" s="9"/>
      <c r="D109" s="4"/>
      <c r="E109" s="4"/>
      <c r="F109" s="4"/>
      <c r="G109" s="4"/>
      <c r="H109" s="4"/>
      <c r="I109" s="4"/>
      <c r="J109" s="4"/>
      <c r="K109" s="10"/>
      <c r="L109" s="4"/>
      <c r="M109" s="4"/>
    </row>
    <row r="110" ht="12.75" customHeight="1">
      <c r="B110" s="4"/>
      <c r="C110" s="9"/>
      <c r="D110" s="4"/>
      <c r="E110" s="4"/>
      <c r="F110" s="4"/>
      <c r="G110" s="4"/>
      <c r="H110" s="4"/>
      <c r="I110" s="4"/>
      <c r="J110" s="4"/>
      <c r="K110" s="10"/>
      <c r="L110" s="4"/>
      <c r="M110" s="4"/>
    </row>
    <row r="111" ht="12.75" customHeight="1">
      <c r="B111" s="4"/>
      <c r="C111" s="9"/>
      <c r="D111" s="4"/>
      <c r="E111" s="4"/>
      <c r="F111" s="4"/>
      <c r="G111" s="4"/>
      <c r="H111" s="4"/>
      <c r="I111" s="4"/>
      <c r="J111" s="4"/>
      <c r="K111" s="10"/>
    </row>
    <row r="112" ht="12.75" customHeight="1">
      <c r="B112" s="4"/>
      <c r="C112" s="9"/>
      <c r="D112" s="4"/>
      <c r="E112" s="4"/>
      <c r="F112" s="4"/>
      <c r="G112" s="4"/>
      <c r="H112" s="4"/>
      <c r="I112" s="4"/>
      <c r="J112" s="4"/>
      <c r="K112" s="10"/>
    </row>
    <row r="113" ht="12.75" customHeight="1">
      <c r="B113" s="4"/>
      <c r="C113" s="9"/>
      <c r="D113" s="4"/>
      <c r="E113" s="4"/>
      <c r="F113" s="4"/>
      <c r="G113" s="4"/>
      <c r="H113" s="4"/>
      <c r="I113" s="4"/>
      <c r="J113" s="4"/>
      <c r="K113" s="19"/>
    </row>
    <row r="114" ht="12.75" customHeight="1">
      <c r="B114" s="4"/>
      <c r="C114" s="9"/>
      <c r="D114" s="4"/>
      <c r="E114" s="4"/>
      <c r="F114" s="4"/>
      <c r="G114" s="4"/>
      <c r="H114" s="4"/>
      <c r="I114" s="4"/>
      <c r="J114" s="4"/>
      <c r="K114" s="10"/>
    </row>
    <row r="115" ht="13.5" customHeight="1">
      <c r="B115" s="4"/>
      <c r="C115" s="11"/>
      <c r="D115" s="5"/>
      <c r="E115" s="5"/>
      <c r="F115" s="5"/>
      <c r="G115" s="5"/>
      <c r="H115" s="5"/>
      <c r="I115" s="5"/>
      <c r="J115" s="5"/>
      <c r="K115" s="12"/>
    </row>
    <row r="116" ht="12.75" customHeight="1">
      <c r="B116" s="4"/>
      <c r="F116" s="4"/>
    </row>
    <row r="117" ht="12.75" customHeight="1">
      <c r="B117" s="4"/>
      <c r="C117" s="4"/>
      <c r="D117" s="4"/>
      <c r="E117" s="4"/>
      <c r="F117" s="4"/>
      <c r="G117" s="4"/>
      <c r="H117" s="4"/>
    </row>
    <row r="118" ht="12.75" customHeight="1">
      <c r="B118" s="4"/>
      <c r="C118" s="4"/>
      <c r="D118" s="4"/>
      <c r="E118" s="4"/>
      <c r="F118" s="4"/>
      <c r="G118" s="4"/>
      <c r="H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96</v>
      </c>
      <c r="B1" s="1" t="s">
        <v>97</v>
      </c>
    </row>
    <row r="2" ht="12.75" customHeight="1">
      <c r="A2" s="1" t="s">
        <v>98</v>
      </c>
      <c r="B2" s="1">
        <v>161008.0</v>
      </c>
    </row>
    <row r="3" ht="12.75" customHeight="1">
      <c r="A3" s="1" t="s">
        <v>81</v>
      </c>
      <c r="B3" s="1" t="s">
        <v>87</v>
      </c>
      <c r="C3" s="1" t="s">
        <v>81</v>
      </c>
      <c r="D3" s="1" t="s">
        <v>90</v>
      </c>
      <c r="E3" s="1" t="s">
        <v>81</v>
      </c>
      <c r="F3" s="1" t="s">
        <v>91</v>
      </c>
      <c r="G3" s="1" t="s">
        <v>81</v>
      </c>
      <c r="H3" s="1" t="s">
        <v>93</v>
      </c>
    </row>
    <row r="4" ht="12.75" customHeight="1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ht="12.75" customHeight="1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ht="12.75" customHeight="1">
      <c r="A6" s="1" t="s">
        <v>103</v>
      </c>
      <c r="B6" s="20">
        <v>40301.0</v>
      </c>
      <c r="C6" s="1" t="s">
        <v>103</v>
      </c>
      <c r="D6" s="20">
        <v>40301.0</v>
      </c>
      <c r="E6" s="1" t="s">
        <v>103</v>
      </c>
      <c r="F6" s="20">
        <v>40301.0</v>
      </c>
      <c r="G6" s="1" t="s">
        <v>103</v>
      </c>
      <c r="H6" s="20">
        <v>40301.0</v>
      </c>
    </row>
    <row r="7" ht="12.75" customHeight="1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  <c r="N7" s="4"/>
    </row>
    <row r="8" ht="12.75" customHeight="1">
      <c r="N8" s="4"/>
    </row>
    <row r="9" ht="12.75" customHeight="1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  <c r="N9" s="4"/>
    </row>
    <row r="10" ht="12.75" customHeight="1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  <c r="N10" s="4"/>
    </row>
    <row r="11" ht="12.75" customHeight="1">
      <c r="A11" s="1">
        <v>0.0</v>
      </c>
      <c r="B11" s="1">
        <v>0.001</v>
      </c>
      <c r="C11" s="1">
        <v>0.0</v>
      </c>
      <c r="D11" s="1">
        <v>0.013</v>
      </c>
      <c r="E11" s="1">
        <v>0.0</v>
      </c>
      <c r="F11" s="1">
        <v>0.026</v>
      </c>
      <c r="G11" s="1">
        <v>0.0</v>
      </c>
      <c r="H11" s="1">
        <v>0.034</v>
      </c>
    </row>
    <row r="12" ht="12.75" customHeight="1">
      <c r="A12" s="1">
        <v>60.0</v>
      </c>
      <c r="B12" s="1">
        <v>0.004</v>
      </c>
      <c r="C12" s="1">
        <v>60.0</v>
      </c>
      <c r="D12" s="1">
        <v>0.018</v>
      </c>
      <c r="E12" s="1">
        <v>60.0</v>
      </c>
      <c r="F12" s="1">
        <v>0.033</v>
      </c>
      <c r="G12" s="1">
        <v>60.0</v>
      </c>
      <c r="H12" s="1">
        <v>0.041</v>
      </c>
    </row>
    <row r="13" ht="12.75" customHeight="1">
      <c r="A13" s="1">
        <v>120.0</v>
      </c>
      <c r="B13" s="1">
        <v>0.006</v>
      </c>
      <c r="C13" s="1">
        <v>120.0</v>
      </c>
      <c r="D13" s="1">
        <v>0.023</v>
      </c>
      <c r="E13" s="1">
        <v>120.0</v>
      </c>
      <c r="F13" s="1">
        <v>0.039</v>
      </c>
      <c r="G13" s="1">
        <v>120.0</v>
      </c>
      <c r="H13" s="1">
        <v>0.049</v>
      </c>
    </row>
    <row r="14" ht="12.75" customHeight="1">
      <c r="A14" s="1">
        <v>180.0</v>
      </c>
      <c r="B14" s="1">
        <v>0.009</v>
      </c>
      <c r="C14" s="1">
        <v>180.0</v>
      </c>
      <c r="D14" s="1">
        <v>0.027</v>
      </c>
      <c r="E14" s="1">
        <v>180.0</v>
      </c>
      <c r="F14" s="1">
        <v>0.046</v>
      </c>
      <c r="G14" s="1">
        <v>180.0</v>
      </c>
      <c r="H14" s="1">
        <v>0.056</v>
      </c>
    </row>
    <row r="15" ht="12.75" customHeight="1">
      <c r="A15" s="1">
        <v>240.0</v>
      </c>
      <c r="B15" s="1">
        <v>0.013</v>
      </c>
      <c r="C15" s="1">
        <v>240.0</v>
      </c>
      <c r="D15" s="1">
        <v>0.032</v>
      </c>
      <c r="E15" s="1">
        <v>240.0</v>
      </c>
      <c r="F15" s="1">
        <v>0.053</v>
      </c>
      <c r="G15" s="1">
        <v>240.0</v>
      </c>
      <c r="H15" s="1">
        <v>0.063</v>
      </c>
    </row>
    <row r="16" ht="12.75" customHeight="1">
      <c r="A16" s="1">
        <v>300.0</v>
      </c>
      <c r="B16" s="1">
        <v>0.016</v>
      </c>
      <c r="C16" s="1">
        <v>300.0</v>
      </c>
      <c r="D16" s="1">
        <v>0.037</v>
      </c>
      <c r="E16" s="1">
        <v>300.0</v>
      </c>
      <c r="F16" s="1">
        <v>0.06</v>
      </c>
      <c r="G16" s="1">
        <v>300.0</v>
      </c>
      <c r="H16" s="1">
        <v>0.072</v>
      </c>
    </row>
    <row r="17" ht="12.75" customHeight="1">
      <c r="A17" s="1">
        <v>360.0</v>
      </c>
      <c r="B17" s="1">
        <v>0.019</v>
      </c>
      <c r="C17" s="1">
        <v>360.0</v>
      </c>
      <c r="D17" s="1">
        <v>0.041</v>
      </c>
      <c r="E17" s="1">
        <v>360.0</v>
      </c>
      <c r="F17" s="1">
        <v>0.067</v>
      </c>
      <c r="G17" s="1">
        <v>360.0</v>
      </c>
      <c r="H17" s="1">
        <v>0.079</v>
      </c>
    </row>
    <row r="18" ht="12.75" customHeight="1">
      <c r="A18" s="1">
        <v>420.0</v>
      </c>
      <c r="B18" s="1">
        <v>0.023</v>
      </c>
      <c r="C18" s="1">
        <v>420.0</v>
      </c>
      <c r="D18" s="1">
        <v>0.046</v>
      </c>
      <c r="E18" s="1">
        <v>420.0</v>
      </c>
      <c r="F18" s="1">
        <v>0.074</v>
      </c>
      <c r="G18" s="1">
        <v>420.0</v>
      </c>
      <c r="H18" s="1">
        <v>0.088</v>
      </c>
    </row>
    <row r="19" ht="12.75" customHeight="1">
      <c r="A19" s="1">
        <v>480.0</v>
      </c>
      <c r="B19" s="1">
        <v>0.025</v>
      </c>
      <c r="C19" s="1">
        <v>480.0</v>
      </c>
      <c r="D19" s="1">
        <v>0.051</v>
      </c>
      <c r="E19" s="1">
        <v>480.0</v>
      </c>
      <c r="F19" s="1">
        <v>0.082</v>
      </c>
      <c r="G19" s="1">
        <v>480.0</v>
      </c>
      <c r="H19" s="1">
        <v>0.096</v>
      </c>
    </row>
    <row r="20" ht="12.75" customHeight="1">
      <c r="A20" s="1">
        <v>540.0</v>
      </c>
      <c r="B20" s="1">
        <v>0.03</v>
      </c>
      <c r="C20" s="1">
        <v>540.0</v>
      </c>
      <c r="D20" s="1">
        <v>0.056</v>
      </c>
      <c r="E20" s="1">
        <v>540.0</v>
      </c>
      <c r="F20" s="1">
        <v>0.089</v>
      </c>
      <c r="G20" s="1">
        <v>540.0</v>
      </c>
      <c r="H20" s="1">
        <v>0.104</v>
      </c>
    </row>
    <row r="21" ht="12.75" customHeight="1">
      <c r="A21" s="1">
        <v>600.0</v>
      </c>
      <c r="B21" s="1">
        <v>0.033</v>
      </c>
      <c r="C21" s="1">
        <v>600.0</v>
      </c>
      <c r="D21" s="1">
        <v>0.06</v>
      </c>
      <c r="E21" s="1">
        <v>600.0</v>
      </c>
      <c r="F21" s="1">
        <v>0.096</v>
      </c>
      <c r="G21" s="1">
        <v>600.0</v>
      </c>
      <c r="H21" s="1">
        <v>0.112</v>
      </c>
    </row>
    <row r="22" ht="12.75" customHeight="1">
      <c r="A22" s="1">
        <v>660.0</v>
      </c>
      <c r="B22" s="1">
        <v>0.035</v>
      </c>
      <c r="C22" s="1">
        <v>660.0</v>
      </c>
      <c r="D22" s="1">
        <v>0.066</v>
      </c>
      <c r="E22" s="1">
        <v>660.0</v>
      </c>
      <c r="F22" s="1">
        <v>0.103</v>
      </c>
      <c r="G22" s="1">
        <v>660.0</v>
      </c>
      <c r="H22" s="1">
        <v>0.12</v>
      </c>
    </row>
    <row r="23" ht="12.75" customHeight="1">
      <c r="A23" s="1">
        <v>720.0</v>
      </c>
      <c r="B23" s="1">
        <v>0.038</v>
      </c>
      <c r="C23" s="1">
        <v>720.0</v>
      </c>
      <c r="D23" s="1">
        <v>0.071</v>
      </c>
      <c r="E23" s="1">
        <v>720.0</v>
      </c>
      <c r="F23" s="1">
        <v>0.11</v>
      </c>
      <c r="G23" s="1">
        <v>720.0</v>
      </c>
      <c r="H23" s="1">
        <v>0.128</v>
      </c>
    </row>
    <row r="24" ht="12.75" customHeight="1">
      <c r="A24" s="1">
        <v>780.0</v>
      </c>
      <c r="B24" s="1">
        <v>0.042</v>
      </c>
      <c r="C24" s="1">
        <v>780.0</v>
      </c>
      <c r="D24" s="1">
        <v>0.076</v>
      </c>
      <c r="E24" s="1">
        <v>780.0</v>
      </c>
      <c r="F24" s="1">
        <v>0.117</v>
      </c>
      <c r="G24" s="1">
        <v>780.0</v>
      </c>
      <c r="H24" s="1">
        <v>0.137</v>
      </c>
    </row>
    <row r="25" ht="12.75" customHeight="1">
      <c r="A25" s="1">
        <v>840.0</v>
      </c>
      <c r="B25" s="1">
        <v>0.044</v>
      </c>
      <c r="C25" s="1">
        <v>840.0</v>
      </c>
      <c r="D25" s="1">
        <v>0.08</v>
      </c>
      <c r="E25" s="1">
        <v>840.0</v>
      </c>
      <c r="F25" s="1">
        <v>0.125</v>
      </c>
      <c r="G25" s="1">
        <v>840.0</v>
      </c>
      <c r="H25" s="1">
        <v>0.145</v>
      </c>
    </row>
    <row r="26" ht="12.75" customHeight="1">
      <c r="A26" s="1">
        <v>900.0</v>
      </c>
      <c r="B26" s="1">
        <v>0.047</v>
      </c>
      <c r="C26" s="1">
        <v>900.0</v>
      </c>
      <c r="D26" s="1">
        <v>0.085</v>
      </c>
      <c r="E26" s="1">
        <v>900.0</v>
      </c>
      <c r="F26" s="1">
        <v>0.132</v>
      </c>
      <c r="G26" s="1">
        <v>900.0</v>
      </c>
      <c r="H26" s="1">
        <v>0.153</v>
      </c>
    </row>
    <row r="27" ht="12.75" customHeight="1">
      <c r="A27" s="1">
        <v>960.0</v>
      </c>
      <c r="B27" s="1">
        <v>0.051</v>
      </c>
      <c r="C27" s="1">
        <v>960.0</v>
      </c>
      <c r="D27" s="1">
        <v>0.09</v>
      </c>
      <c r="E27" s="1">
        <v>960.0</v>
      </c>
      <c r="F27" s="1">
        <v>0.139</v>
      </c>
      <c r="G27" s="1">
        <v>960.0</v>
      </c>
      <c r="H27" s="1">
        <v>0.162</v>
      </c>
    </row>
    <row r="28" ht="12.75" customHeight="1">
      <c r="A28" s="1">
        <v>1020.0</v>
      </c>
      <c r="B28" s="1">
        <v>0.054</v>
      </c>
      <c r="C28" s="1">
        <v>1020.0</v>
      </c>
      <c r="D28" s="1">
        <v>0.096</v>
      </c>
      <c r="E28" s="1">
        <v>1020.0</v>
      </c>
      <c r="F28" s="1">
        <v>0.147</v>
      </c>
      <c r="G28" s="1">
        <v>1020.0</v>
      </c>
      <c r="H28" s="1">
        <v>0.17</v>
      </c>
    </row>
    <row r="29" ht="12.75" customHeight="1">
      <c r="A29" s="1">
        <v>1080.0</v>
      </c>
      <c r="B29" s="1">
        <v>0.057</v>
      </c>
      <c r="C29" s="1">
        <v>1080.0</v>
      </c>
      <c r="D29" s="1">
        <v>0.1</v>
      </c>
      <c r="E29" s="1">
        <v>1080.0</v>
      </c>
      <c r="F29" s="1">
        <v>0.154</v>
      </c>
      <c r="G29" s="1">
        <v>1080.0</v>
      </c>
      <c r="H29" s="1">
        <v>0.179</v>
      </c>
    </row>
    <row r="30" ht="12.75" customHeight="1">
      <c r="A30" s="1">
        <v>1140.0</v>
      </c>
      <c r="B30" s="1">
        <v>0.059</v>
      </c>
      <c r="C30" s="1">
        <v>1140.0</v>
      </c>
      <c r="D30" s="1">
        <v>0.106</v>
      </c>
      <c r="E30" s="1">
        <v>1140.0</v>
      </c>
      <c r="F30" s="1">
        <v>0.162</v>
      </c>
      <c r="G30" s="1">
        <v>1140.0</v>
      </c>
      <c r="H30" s="1">
        <v>0.187</v>
      </c>
    </row>
    <row r="31" ht="12.75" customHeight="1">
      <c r="A31" s="1">
        <v>1200.0</v>
      </c>
      <c r="B31" s="1">
        <v>0.064</v>
      </c>
      <c r="C31" s="1">
        <v>1200.0</v>
      </c>
      <c r="D31" s="1">
        <v>0.11</v>
      </c>
      <c r="E31" s="1">
        <v>1200.0</v>
      </c>
      <c r="F31" s="1">
        <v>0.17</v>
      </c>
      <c r="G31" s="1">
        <v>1200.0</v>
      </c>
      <c r="H31" s="1">
        <v>0.195</v>
      </c>
    </row>
    <row r="32" ht="12.75" customHeight="1">
      <c r="A32" s="1">
        <v>1260.0</v>
      </c>
      <c r="B32" s="1">
        <v>0.069</v>
      </c>
      <c r="C32" s="1">
        <v>1260.0</v>
      </c>
      <c r="D32" s="1">
        <v>0.116</v>
      </c>
      <c r="E32" s="1">
        <v>1260.0</v>
      </c>
      <c r="F32" s="1">
        <v>0.177</v>
      </c>
      <c r="G32" s="1">
        <v>1260.0</v>
      </c>
      <c r="H32" s="1">
        <v>0.204</v>
      </c>
    </row>
    <row r="33" ht="12.75" customHeight="1">
      <c r="A33" s="1">
        <v>1320.0</v>
      </c>
      <c r="B33" s="1">
        <v>0.069</v>
      </c>
      <c r="C33" s="1">
        <v>1320.0</v>
      </c>
      <c r="D33" s="1">
        <v>0.121</v>
      </c>
      <c r="E33" s="1">
        <v>1320.0</v>
      </c>
      <c r="F33" s="1">
        <v>0.185</v>
      </c>
      <c r="G33" s="1">
        <v>1320.0</v>
      </c>
      <c r="H33" s="1">
        <v>0.213</v>
      </c>
    </row>
    <row r="34" ht="12.75" customHeight="1">
      <c r="A34" s="1">
        <v>1380.0</v>
      </c>
      <c r="B34" s="1">
        <v>0.073</v>
      </c>
      <c r="C34" s="1">
        <v>1380.0</v>
      </c>
      <c r="D34" s="1">
        <v>0.126</v>
      </c>
      <c r="E34" s="1">
        <v>1380.0</v>
      </c>
      <c r="F34" s="1">
        <v>0.192</v>
      </c>
      <c r="G34" s="1">
        <v>1380.0</v>
      </c>
      <c r="H34" s="1">
        <v>0.222</v>
      </c>
    </row>
    <row r="35" ht="12.75" customHeight="1">
      <c r="A35" s="1">
        <v>1440.0</v>
      </c>
      <c r="B35" s="1">
        <v>0.078</v>
      </c>
      <c r="C35" s="1">
        <v>1440.0</v>
      </c>
      <c r="D35" s="1">
        <v>0.131</v>
      </c>
      <c r="E35" s="1">
        <v>1440.0</v>
      </c>
      <c r="F35" s="1">
        <v>0.201</v>
      </c>
      <c r="G35" s="1">
        <v>1440.0</v>
      </c>
      <c r="H35" s="1">
        <v>0.23</v>
      </c>
    </row>
    <row r="36" ht="12.75" customHeight="1">
      <c r="A36" s="1">
        <v>1500.0</v>
      </c>
      <c r="B36" s="1">
        <v>0.078</v>
      </c>
      <c r="C36" s="1">
        <v>1500.0</v>
      </c>
      <c r="D36" s="1">
        <v>0.137</v>
      </c>
      <c r="E36" s="1">
        <v>1500.0</v>
      </c>
      <c r="F36" s="1">
        <v>0.209</v>
      </c>
      <c r="G36" s="1">
        <v>1500.0</v>
      </c>
      <c r="H36" s="1">
        <v>0.24</v>
      </c>
    </row>
    <row r="37" ht="12.75" customHeight="1">
      <c r="A37" s="1">
        <v>1560.0</v>
      </c>
      <c r="B37" s="1">
        <v>0.084</v>
      </c>
      <c r="C37" s="1">
        <v>1560.0</v>
      </c>
      <c r="D37" s="1">
        <v>0.142</v>
      </c>
      <c r="E37" s="1">
        <v>1560.0</v>
      </c>
      <c r="F37" s="1">
        <v>0.217</v>
      </c>
      <c r="G37" s="1">
        <v>1560.0</v>
      </c>
      <c r="H37" s="1">
        <v>0.248</v>
      </c>
    </row>
    <row r="38" ht="12.75" customHeight="1">
      <c r="A38" s="1">
        <v>1620.0</v>
      </c>
      <c r="B38" s="1">
        <v>0.085</v>
      </c>
      <c r="C38" s="1">
        <v>1620.0</v>
      </c>
      <c r="D38" s="1">
        <v>0.148</v>
      </c>
      <c r="E38" s="1">
        <v>1620.0</v>
      </c>
      <c r="F38" s="1">
        <v>0.226</v>
      </c>
      <c r="G38" s="1">
        <v>1620.0</v>
      </c>
      <c r="H38" s="1">
        <v>0.256</v>
      </c>
    </row>
    <row r="39" ht="12.75" customHeight="1">
      <c r="A39" s="1">
        <v>1680.0</v>
      </c>
      <c r="B39" s="1">
        <v>0.089</v>
      </c>
      <c r="C39" s="1">
        <v>1680.0</v>
      </c>
      <c r="D39" s="1">
        <v>0.153</v>
      </c>
      <c r="E39" s="1">
        <v>1680.0</v>
      </c>
      <c r="F39" s="1">
        <v>0.235</v>
      </c>
      <c r="G39" s="1">
        <v>1680.0</v>
      </c>
      <c r="H39" s="1">
        <v>0.265</v>
      </c>
    </row>
    <row r="40" ht="12.75" customHeight="1">
      <c r="A40" s="1">
        <v>1740.0</v>
      </c>
      <c r="B40" s="1">
        <v>0.095</v>
      </c>
      <c r="C40" s="1">
        <v>1740.0</v>
      </c>
      <c r="D40" s="1">
        <v>0.159</v>
      </c>
      <c r="E40" s="1">
        <v>1740.0</v>
      </c>
      <c r="F40" s="1">
        <v>0.242</v>
      </c>
      <c r="G40" s="1">
        <v>1740.0</v>
      </c>
      <c r="H40" s="1">
        <v>0.275</v>
      </c>
    </row>
    <row r="41" ht="12.75" customHeight="1">
      <c r="A41" s="1">
        <v>1800.0</v>
      </c>
      <c r="B41" s="1">
        <v>0.095</v>
      </c>
      <c r="C41" s="1">
        <v>1800.0</v>
      </c>
      <c r="D41" s="1">
        <v>0.164</v>
      </c>
      <c r="E41" s="1">
        <v>1800.0</v>
      </c>
      <c r="F41" s="1">
        <v>0.252</v>
      </c>
      <c r="G41" s="1">
        <v>1800.0</v>
      </c>
      <c r="H41" s="1">
        <v>0.296</v>
      </c>
    </row>
    <row r="42" ht="12.75" customHeight="1">
      <c r="A42" s="1">
        <v>1860.0</v>
      </c>
      <c r="B42" s="1">
        <v>0.099</v>
      </c>
      <c r="C42" s="1">
        <v>1860.0</v>
      </c>
      <c r="D42" s="1">
        <v>0.171</v>
      </c>
      <c r="E42" s="1">
        <v>1860.0</v>
      </c>
      <c r="F42" s="1">
        <v>0.261</v>
      </c>
      <c r="G42" s="1">
        <v>1860.0</v>
      </c>
      <c r="H42" s="1">
        <v>0.313</v>
      </c>
    </row>
    <row r="43" ht="12.75" customHeight="1">
      <c r="A43" s="1">
        <v>1920.0</v>
      </c>
      <c r="B43" s="1">
        <v>0.104</v>
      </c>
      <c r="C43" s="1">
        <v>1920.0</v>
      </c>
      <c r="D43" s="1">
        <v>0.177</v>
      </c>
      <c r="E43" s="1">
        <v>1920.0</v>
      </c>
      <c r="F43" s="1">
        <v>0.271</v>
      </c>
      <c r="G43" s="1">
        <v>1920.0</v>
      </c>
      <c r="H43" s="1">
        <v>0.3</v>
      </c>
    </row>
    <row r="44" ht="12.75" customHeight="1">
      <c r="A44" s="1">
        <v>1980.0</v>
      </c>
      <c r="B44" s="1">
        <v>0.105</v>
      </c>
      <c r="C44" s="1">
        <v>1980.0</v>
      </c>
      <c r="D44" s="1">
        <v>0.184</v>
      </c>
      <c r="E44" s="1">
        <v>1980.0</v>
      </c>
      <c r="F44" s="1">
        <v>0.281</v>
      </c>
      <c r="G44" s="1">
        <v>1980.0</v>
      </c>
      <c r="H44" s="1">
        <v>0.31</v>
      </c>
    </row>
    <row r="45" ht="12.75" customHeight="1">
      <c r="A45" s="1">
        <v>2040.0</v>
      </c>
      <c r="B45" s="1">
        <v>0.109</v>
      </c>
      <c r="C45" s="1">
        <v>2040.0</v>
      </c>
      <c r="D45" s="1">
        <v>0.192</v>
      </c>
      <c r="E45" s="1">
        <v>2040.0</v>
      </c>
      <c r="F45" s="1">
        <v>0.294</v>
      </c>
      <c r="G45" s="1">
        <v>2040.0</v>
      </c>
      <c r="H45" s="1">
        <v>0.319</v>
      </c>
    </row>
    <row r="46" ht="12.75" customHeight="1">
      <c r="A46" s="1">
        <v>2100.0</v>
      </c>
      <c r="B46" s="1">
        <v>0.113</v>
      </c>
      <c r="C46" s="1">
        <v>2100.0</v>
      </c>
      <c r="D46" s="1">
        <v>0.189</v>
      </c>
      <c r="E46" s="1">
        <v>2100.0</v>
      </c>
      <c r="F46" s="1">
        <v>0.293</v>
      </c>
      <c r="G46" s="1">
        <v>2100.0</v>
      </c>
      <c r="H46" s="1">
        <v>0.329</v>
      </c>
    </row>
    <row r="47" ht="12.75" customHeight="1">
      <c r="A47" s="1">
        <v>2160.0</v>
      </c>
      <c r="B47" s="1">
        <v>0.115</v>
      </c>
      <c r="C47" s="1">
        <v>2160.0</v>
      </c>
      <c r="D47" s="1">
        <v>0.194</v>
      </c>
      <c r="E47" s="1">
        <v>2160.0</v>
      </c>
      <c r="F47" s="1">
        <v>0.302</v>
      </c>
      <c r="G47" s="1">
        <v>2160.0</v>
      </c>
      <c r="H47" s="1">
        <v>0.337</v>
      </c>
    </row>
    <row r="48" ht="12.75" customHeight="1">
      <c r="A48" s="1">
        <v>2220.0</v>
      </c>
      <c r="B48" s="1">
        <v>0.118</v>
      </c>
      <c r="C48" s="1">
        <v>2220.0</v>
      </c>
      <c r="D48" s="1">
        <v>0.199</v>
      </c>
      <c r="E48" s="1">
        <v>2220.0</v>
      </c>
      <c r="F48" s="1">
        <v>0.311</v>
      </c>
      <c r="G48" s="1">
        <v>2220.0</v>
      </c>
      <c r="H48" s="1">
        <v>0.346</v>
      </c>
    </row>
    <row r="49" ht="12.75" customHeight="1">
      <c r="A49" s="1">
        <v>2280.0</v>
      </c>
      <c r="B49" s="1">
        <v>0.123</v>
      </c>
      <c r="C49" s="1">
        <v>2280.0</v>
      </c>
      <c r="D49" s="1">
        <v>0.204</v>
      </c>
      <c r="E49" s="1">
        <v>2280.0</v>
      </c>
      <c r="F49" s="1">
        <v>0.32</v>
      </c>
      <c r="G49" s="1">
        <v>2280.0</v>
      </c>
      <c r="H49" s="1">
        <v>0.355</v>
      </c>
    </row>
    <row r="50" ht="12.75" customHeight="1">
      <c r="A50" s="1">
        <v>2340.0</v>
      </c>
      <c r="B50" s="1">
        <v>0.124</v>
      </c>
      <c r="C50" s="1">
        <v>2340.0</v>
      </c>
      <c r="D50" s="1">
        <v>0.209</v>
      </c>
      <c r="E50" s="1">
        <v>2340.0</v>
      </c>
      <c r="F50" s="1">
        <v>0.318</v>
      </c>
      <c r="G50" s="1">
        <v>2340.0</v>
      </c>
      <c r="H50" s="1">
        <v>0.366</v>
      </c>
    </row>
    <row r="51" ht="12.75" customHeight="1">
      <c r="A51" s="1">
        <v>2400.0</v>
      </c>
      <c r="B51" s="1">
        <v>0.128</v>
      </c>
      <c r="C51" s="1">
        <v>2400.0</v>
      </c>
      <c r="D51" s="1">
        <v>0.215</v>
      </c>
      <c r="E51" s="1">
        <v>2400.0</v>
      </c>
      <c r="F51" s="1">
        <v>0.326</v>
      </c>
      <c r="G51" s="1">
        <v>2400.0</v>
      </c>
      <c r="H51" s="1">
        <v>0.373</v>
      </c>
    </row>
    <row r="52" ht="12.75" customHeight="1">
      <c r="A52" s="1">
        <v>2460.0</v>
      </c>
      <c r="B52" s="1">
        <v>0.13</v>
      </c>
      <c r="C52" s="1">
        <v>2460.0</v>
      </c>
      <c r="D52" s="1">
        <v>0.22</v>
      </c>
      <c r="E52" s="1">
        <v>2460.0</v>
      </c>
      <c r="F52" s="1">
        <v>0.336</v>
      </c>
      <c r="G52" s="1">
        <v>2460.0</v>
      </c>
      <c r="H52" s="1">
        <v>0.383</v>
      </c>
    </row>
    <row r="53" ht="12.75" customHeight="1">
      <c r="A53" s="1">
        <v>2520.0</v>
      </c>
      <c r="B53" s="1">
        <v>0.134</v>
      </c>
      <c r="C53" s="1">
        <v>2520.0</v>
      </c>
      <c r="D53" s="1">
        <v>0.225</v>
      </c>
      <c r="E53" s="1">
        <v>2520.0</v>
      </c>
      <c r="F53" s="1">
        <v>0.345</v>
      </c>
      <c r="G53" s="1">
        <v>2520.0</v>
      </c>
      <c r="H53" s="1">
        <v>0.398</v>
      </c>
    </row>
    <row r="54" ht="12.75" customHeight="1">
      <c r="A54" s="1">
        <v>2580.0</v>
      </c>
      <c r="B54" s="1">
        <v>0.138</v>
      </c>
      <c r="C54" s="1">
        <v>2580.0</v>
      </c>
      <c r="D54" s="1">
        <v>0.23</v>
      </c>
      <c r="E54" s="1">
        <v>2580.0</v>
      </c>
      <c r="F54" s="1">
        <v>0.354</v>
      </c>
      <c r="G54" s="1">
        <v>2580.0</v>
      </c>
      <c r="H54" s="1">
        <v>0.399</v>
      </c>
      <c r="L54" s="21" t="s">
        <v>116</v>
      </c>
      <c r="M54" s="21" t="s">
        <v>84</v>
      </c>
      <c r="N54" s="21" t="s">
        <v>117</v>
      </c>
    </row>
    <row r="55" ht="12.75" customHeight="1">
      <c r="A55" s="1">
        <v>2640.0</v>
      </c>
      <c r="B55" s="1">
        <v>0.143</v>
      </c>
      <c r="C55" s="1">
        <v>2640.0</v>
      </c>
      <c r="D55" s="1">
        <v>0.236</v>
      </c>
      <c r="E55" s="1">
        <v>2640.0</v>
      </c>
      <c r="F55" s="1">
        <v>0.363</v>
      </c>
      <c r="G55" s="1">
        <v>2640.0</v>
      </c>
      <c r="H55" s="1">
        <v>0.409</v>
      </c>
      <c r="L55" s="1">
        <v>1.528551784034161</v>
      </c>
      <c r="M55" s="21">
        <v>4.46</v>
      </c>
      <c r="N55" s="1">
        <f t="shared" ref="N55:N58" si="1">L55/M55</f>
        <v>0.3427246153</v>
      </c>
    </row>
    <row r="56" ht="12.75" customHeight="1">
      <c r="A56" s="1">
        <v>2700.0</v>
      </c>
      <c r="B56" s="1">
        <v>0.143</v>
      </c>
      <c r="C56" s="1">
        <v>2700.0</v>
      </c>
      <c r="D56" s="1">
        <v>0.241</v>
      </c>
      <c r="E56" s="1">
        <v>2700.0</v>
      </c>
      <c r="F56" s="1">
        <v>0.372</v>
      </c>
      <c r="G56" s="1">
        <v>2700.0</v>
      </c>
      <c r="H56" s="1">
        <v>0.418</v>
      </c>
      <c r="L56" s="1">
        <v>3.057103568068322</v>
      </c>
      <c r="M56" s="21">
        <v>7.71</v>
      </c>
      <c r="N56" s="1">
        <f t="shared" si="1"/>
        <v>0.3965114874</v>
      </c>
    </row>
    <row r="57" ht="12.75" customHeight="1">
      <c r="A57" s="1">
        <v>2760.0</v>
      </c>
      <c r="B57" s="1">
        <v>0.152</v>
      </c>
      <c r="C57" s="1">
        <v>2760.0</v>
      </c>
      <c r="D57" s="1">
        <v>0.246</v>
      </c>
      <c r="E57" s="1">
        <v>2760.0</v>
      </c>
      <c r="F57" s="1">
        <v>0.381</v>
      </c>
      <c r="G57" s="1">
        <v>2760.0</v>
      </c>
      <c r="H57" s="1">
        <v>0.426</v>
      </c>
      <c r="L57" s="1">
        <v>4.585655352102482</v>
      </c>
      <c r="M57" s="21">
        <v>10.8</v>
      </c>
      <c r="N57" s="1">
        <f t="shared" si="1"/>
        <v>0.4245977178</v>
      </c>
    </row>
    <row r="58" ht="12.75" customHeight="1">
      <c r="A58" s="1">
        <v>2820.0</v>
      </c>
      <c r="B58" s="1">
        <v>0.159</v>
      </c>
      <c r="C58" s="1">
        <v>2820.0</v>
      </c>
      <c r="D58" s="1">
        <v>0.252</v>
      </c>
      <c r="E58" s="1">
        <v>2820.0</v>
      </c>
      <c r="F58" s="1">
        <v>0.39</v>
      </c>
      <c r="G58" s="1">
        <v>2820.0</v>
      </c>
      <c r="H58" s="1">
        <v>0.436</v>
      </c>
      <c r="L58" s="1">
        <v>6.114207136136644</v>
      </c>
      <c r="M58" s="21">
        <v>11.9</v>
      </c>
      <c r="N58" s="1">
        <f t="shared" si="1"/>
        <v>0.513798919</v>
      </c>
    </row>
    <row r="59" ht="12.75" customHeight="1">
      <c r="A59" s="1">
        <v>2880.0</v>
      </c>
      <c r="B59" s="1">
        <v>0.165</v>
      </c>
      <c r="C59" s="1">
        <v>2880.0</v>
      </c>
      <c r="D59" s="1">
        <v>0.257</v>
      </c>
      <c r="E59" s="1">
        <v>2880.0</v>
      </c>
      <c r="F59" s="1">
        <v>0.401</v>
      </c>
      <c r="G59" s="1">
        <v>2880.0</v>
      </c>
      <c r="H59" s="1">
        <v>0.444</v>
      </c>
    </row>
    <row r="60" ht="12.75" customHeight="1">
      <c r="A60" s="1">
        <v>2940.0</v>
      </c>
      <c r="B60" s="1">
        <v>0.18</v>
      </c>
      <c r="C60" s="1">
        <v>2940.0</v>
      </c>
      <c r="D60" s="1">
        <v>0.263</v>
      </c>
      <c r="E60" s="1">
        <v>2940.0</v>
      </c>
      <c r="F60" s="1">
        <v>0.411</v>
      </c>
      <c r="G60" s="1">
        <v>2940.0</v>
      </c>
      <c r="H60" s="1">
        <v>0.454</v>
      </c>
    </row>
    <row r="61" ht="12.75" customHeight="1">
      <c r="A61" s="1">
        <v>3000.0</v>
      </c>
      <c r="B61" s="1">
        <v>0.167</v>
      </c>
      <c r="C61" s="1">
        <v>3000.0</v>
      </c>
      <c r="D61" s="1">
        <v>0.268</v>
      </c>
      <c r="E61" s="1">
        <v>3000.0</v>
      </c>
      <c r="F61" s="1">
        <v>0.421</v>
      </c>
      <c r="G61" s="1">
        <v>3000.0</v>
      </c>
      <c r="H61" s="1">
        <v>0.462</v>
      </c>
    </row>
    <row r="62" ht="12.75" customHeight="1">
      <c r="A62" s="1">
        <v>3060.0</v>
      </c>
      <c r="B62" s="1">
        <v>0.162</v>
      </c>
      <c r="C62" s="1">
        <v>3060.0</v>
      </c>
      <c r="D62" s="1">
        <v>0.273</v>
      </c>
      <c r="E62" s="1">
        <v>3060.0</v>
      </c>
      <c r="F62" s="1">
        <v>0.44</v>
      </c>
      <c r="G62" s="1">
        <v>3060.0</v>
      </c>
      <c r="H62" s="1">
        <v>0.472</v>
      </c>
    </row>
    <row r="63" ht="12.75" customHeight="1">
      <c r="A63" s="1">
        <v>3120.0</v>
      </c>
      <c r="B63" s="1">
        <v>0.167</v>
      </c>
      <c r="C63" s="1">
        <v>3120.0</v>
      </c>
      <c r="D63" s="1">
        <v>0.279</v>
      </c>
      <c r="E63" s="1">
        <v>3120.0</v>
      </c>
      <c r="F63" s="1">
        <v>0.452</v>
      </c>
      <c r="G63" s="1">
        <v>3120.0</v>
      </c>
      <c r="H63" s="1">
        <v>0.48</v>
      </c>
    </row>
    <row r="64" ht="12.75" customHeight="1">
      <c r="A64" s="1">
        <v>3180.0</v>
      </c>
      <c r="B64" s="1">
        <v>0.171</v>
      </c>
      <c r="C64" s="1">
        <v>3180.0</v>
      </c>
      <c r="D64" s="1">
        <v>0.283</v>
      </c>
      <c r="E64" s="1">
        <v>3180.0</v>
      </c>
      <c r="F64" s="1">
        <v>0.467</v>
      </c>
      <c r="G64" s="1">
        <v>3180.0</v>
      </c>
      <c r="H64" s="1">
        <v>0.49</v>
      </c>
    </row>
    <row r="65" ht="12.75" customHeight="1">
      <c r="A65" s="1">
        <v>3240.0</v>
      </c>
      <c r="B65" s="1">
        <v>0.172</v>
      </c>
      <c r="C65" s="1">
        <v>3240.0</v>
      </c>
      <c r="D65" s="1">
        <v>0.289</v>
      </c>
      <c r="E65" s="1">
        <v>3240.0</v>
      </c>
      <c r="F65" s="1">
        <v>0.479</v>
      </c>
      <c r="G65" s="1">
        <v>3240.0</v>
      </c>
      <c r="H65" s="1">
        <v>0.499</v>
      </c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