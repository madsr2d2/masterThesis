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anes" sheetId="1" state="visible" r:id="rId2"/>
    <sheet name="Sheet1" sheetId="2" state="visible" r:id="rId3"/>
    <sheet name="Sheet2" sheetId="3" state="visible" r:id="rId4"/>
  </sheets>
  <definedNames>
    <definedName function="false" hidden="false" localSheetId="2" name="data43" vbProcedure="false">Sheet2!$A$1:$H$135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<sst xmlns="http://schemas.openxmlformats.org/spreadsheetml/2006/main" count="180" uniqueCount="119">
  <si>
    <t xml:space="preserve">SUMMARY OUTPUT</t>
  </si>
  <si>
    <t xml:space="preserve">Regression Statistics</t>
  </si>
  <si>
    <t xml:space="preserve">Multiple R</t>
  </si>
  <si>
    <t xml:space="preserve">R Square</t>
  </si>
  <si>
    <t xml:space="preserve">Adjusted R Square</t>
  </si>
  <si>
    <t xml:space="preserve">Standard Error</t>
  </si>
  <si>
    <t xml:space="preserve">Observations</t>
  </si>
  <si>
    <t xml:space="preserve">ANOVA</t>
  </si>
  <si>
    <t xml:space="preserve">df</t>
  </si>
  <si>
    <t xml:space="preserve">SS</t>
  </si>
  <si>
    <t xml:space="preserve">MS</t>
  </si>
  <si>
    <t xml:space="preserve">F</t>
  </si>
  <si>
    <t xml:space="preserve">Significance F</t>
  </si>
  <si>
    <t xml:space="preserve">Regression</t>
  </si>
  <si>
    <t xml:space="preserve">Residual</t>
  </si>
  <si>
    <t xml:space="preserve">Total</t>
  </si>
  <si>
    <t xml:space="preserve">Coefficients</t>
  </si>
  <si>
    <t xml:space="preserve">t Stat</t>
  </si>
  <si>
    <t xml:space="preserve">P-value</t>
  </si>
  <si>
    <t xml:space="preserve">Lower 95%</t>
  </si>
  <si>
    <t xml:space="preserve">Upper 95%</t>
  </si>
  <si>
    <t xml:space="preserve">Lower 95.0%</t>
  </si>
  <si>
    <t xml:space="preserve">Upper 95.0%</t>
  </si>
  <si>
    <t xml:space="preserve">Intercept</t>
  </si>
  <si>
    <t xml:space="preserve">X Variable 1</t>
  </si>
  <si>
    <t xml:space="preserve">RESIDUAL OUTPUT</t>
  </si>
  <si>
    <t xml:space="preserve">PROBABILITY OUTPUT</t>
  </si>
  <si>
    <t xml:space="preserve">Observation</t>
  </si>
  <si>
    <t xml:space="preserve">Predicted Y</t>
  </si>
  <si>
    <t xml:space="preserve">Residuals</t>
  </si>
  <si>
    <t xml:space="preserve">Standard Residuals</t>
  </si>
  <si>
    <t xml:space="preserve">Percentile</t>
  </si>
  <si>
    <t xml:space="preserve">Y</t>
  </si>
  <si>
    <t xml:space="preserve">nm</t>
  </si>
  <si>
    <t xml:space="preserve">e</t>
  </si>
  <si>
    <t xml:space="preserve">4-methoxy-benzylalkohol</t>
  </si>
  <si>
    <t xml:space="preserve">Enz</t>
  </si>
  <si>
    <t xml:space="preserve">H202 30%</t>
  </si>
  <si>
    <t xml:space="preserve">H2O</t>
  </si>
  <si>
    <t xml:space="preserve">a-diesterketon</t>
  </si>
  <si>
    <t xml:space="preserve">ml</t>
  </si>
  <si>
    <t xml:space="preserve">g/mol</t>
  </si>
  <si>
    <t xml:space="preserve">g</t>
  </si>
  <si>
    <t xml:space="preserve">[H2O2]</t>
  </si>
  <si>
    <t xml:space="preserve">l</t>
  </si>
  <si>
    <t xml:space="preserve">mol/l</t>
  </si>
  <si>
    <t xml:space="preserve">mol</t>
  </si>
  <si>
    <t xml:space="preserve">Boric acid buf.</t>
  </si>
  <si>
    <t xml:space="preserve">pH</t>
  </si>
  <si>
    <t xml:space="preserve">mmol/l</t>
  </si>
  <si>
    <t xml:space="preserve">T</t>
  </si>
  <si>
    <t xml:space="preserve">kuv</t>
  </si>
  <si>
    <t xml:space="preserve">[sub]</t>
  </si>
  <si>
    <t xml:space="preserve">[Enz]</t>
  </si>
  <si>
    <t xml:space="preserve">Buf [ml]</t>
  </si>
  <si>
    <t xml:space="preserve">H2O [ml]</t>
  </si>
  <si>
    <t xml:space="preserve">Enz [ml]</t>
  </si>
  <si>
    <t xml:space="preserve">Sub [ml]</t>
  </si>
  <si>
    <t xml:space="preserve">H2O2 [ml]</t>
  </si>
  <si>
    <t xml:space="preserve">Vol [ml]</t>
  </si>
  <si>
    <t xml:space="preserve">k</t>
  </si>
  <si>
    <t xml:space="preserve">Vmax</t>
  </si>
  <si>
    <t xml:space="preserve">U/min</t>
  </si>
  <si>
    <t xml:space="preserve">mM/min</t>
  </si>
  <si>
    <t xml:space="preserve">Km</t>
  </si>
  <si>
    <t xml:space="preserve">mmol/L</t>
  </si>
  <si>
    <t xml:space="preserve">kcat</t>
  </si>
  <si>
    <t xml:space="preserve">min^-1</t>
  </si>
  <si>
    <t xml:space="preserve">s-1</t>
  </si>
  <si>
    <t xml:space="preserve">kuncat</t>
  </si>
  <si>
    <t xml:space="preserve">s^-1</t>
  </si>
  <si>
    <t xml:space="preserve">kcat/uncat</t>
  </si>
  <si>
    <t xml:space="preserve">The cuvetts were washed three times in water and three times in iso-propyl aclohole and dried in the owen for 20 min. </t>
  </si>
  <si>
    <t xml:space="preserve">The buffer was added as 1*1ml plus x*0,2 ml, with x=3,2,1 respectivly.</t>
  </si>
  <si>
    <t xml:space="preserve">The substrate was added as x*0.2 ml, with x=1,2,3,4 respectivly.</t>
  </si>
  <si>
    <t xml:space="preserve">The cuvetts were stired for 10 sec each on the "automatic stirrer" at full speed before they were placed in the spectrometer. </t>
  </si>
  <si>
    <t xml:space="preserve">Kinetics Experiment - 043 best fit 2</t>
  </si>
  <si>
    <t xml:space="preserve">Conc. Units</t>
  </si>
  <si>
    <t xml:space="preserve">Hanes-Woolf</t>
  </si>
  <si>
    <t xml:space="preserve">Raw Data</t>
  </si>
  <si>
    <t xml:space="preserve">Parameters</t>
  </si>
  <si>
    <t xml:space="preserve">[I]=0.000</t>
  </si>
  <si>
    <t xml:space="preserve">Sample</t>
  </si>
  <si>
    <t xml:space="preserve">[S]</t>
  </si>
  <si>
    <t xml:space="preserve">[I]</t>
  </si>
  <si>
    <t xml:space="preserve">V</t>
  </si>
  <si>
    <t xml:space="preserve">Use</t>
  </si>
  <si>
    <t xml:space="preserve">Calculated Values</t>
  </si>
  <si>
    <t xml:space="preserve">Sample001</t>
  </si>
  <si>
    <t xml:space="preserve">Yes</t>
  </si>
  <si>
    <t xml:space="preserve">VMax</t>
  </si>
  <si>
    <t xml:space="preserve">Sample002</t>
  </si>
  <si>
    <t xml:space="preserve">Sample003</t>
  </si>
  <si>
    <t xml:space="preserve">Statistics</t>
  </si>
  <si>
    <t xml:space="preserve">Sample004</t>
  </si>
  <si>
    <t xml:space="preserve">Chi Squared</t>
  </si>
  <si>
    <t xml:space="preserve">Corr.Coeff.</t>
  </si>
  <si>
    <t xml:space="preserve">Batch</t>
  </si>
  <si>
    <t xml:space="preserve">rate043.rre</t>
  </si>
  <si>
    <t xml:space="preserve">Evolution 600</t>
  </si>
  <si>
    <t xml:space="preserve">Data Mode</t>
  </si>
  <si>
    <t xml:space="preserve">A</t>
  </si>
  <si>
    <t xml:space="preserve">Smoothing</t>
  </si>
  <si>
    <t xml:space="preserve">None</t>
  </si>
  <si>
    <t xml:space="preserve">Date Collected</t>
  </si>
  <si>
    <t xml:space="preserve">Time Collected</t>
  </si>
  <si>
    <t xml:space="preserve">6:07:29PM</t>
  </si>
  <si>
    <t xml:space="preserve">6:07:35PM</t>
  </si>
  <si>
    <t xml:space="preserve">6:07:41PM</t>
  </si>
  <si>
    <t xml:space="preserve">8:08:57PM</t>
  </si>
  <si>
    <t xml:space="preserve">Substrate Conc.</t>
  </si>
  <si>
    <t xml:space="preserve">1.5286 mmol/L</t>
  </si>
  <si>
    <t xml:space="preserve">3.0571 mmol/L</t>
  </si>
  <si>
    <t xml:space="preserve">4.5857 mmol/L</t>
  </si>
  <si>
    <t xml:space="preserve">6.1142 mmol/L</t>
  </si>
  <si>
    <t xml:space="preserve">ss.sss</t>
  </si>
  <si>
    <t xml:space="preserve">Value</t>
  </si>
  <si>
    <t xml:space="preserve">S</t>
  </si>
  <si>
    <t xml:space="preserve">S/V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</si>
</sst>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0E+00"/>
    <numFmt numFmtId="167" formatCode="mm/dd/yyyy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0000"/>
      <name val="Arial"/>
      <family val="0"/>
      <charset val="1"/>
    </font>
    <font>
      <sz val="18"/>
      <color rgb="FF757575"/>
      <name val="Calibri"/>
      <family val="2"/>
    </font>
    <font>
      <sz val="10"/>
      <color rgb="FF1A1A1A"/>
      <name val="Calibri"/>
      <family val="2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8064A2"/>
      <rgbColor rgb="FF8B8B8B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X Variable 1  Residual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008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hanes!$C$25:$C$27</c:f>
              <c:numCache>
                <c:formatCode>General</c:formatCode>
                <c:ptCount val="3"/>
                <c:pt idx="0">
                  <c:v>-6083.05662562903</c:v>
                </c:pt>
                <c:pt idx="1">
                  <c:v>10645.349094851</c:v>
                </c:pt>
                <c:pt idx="2">
                  <c:v>-4562.29246922184</c:v>
                </c:pt>
              </c:numCache>
            </c:numRef>
          </c:yVal>
          <c:smooth val="1"/>
        </c:ser>
        <c:axId val="26566515"/>
        <c:axId val="17242287"/>
      </c:scatterChart>
      <c:valAx>
        <c:axId val="265665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X Variable 1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7242287"/>
        <c:crosses val="autoZero"/>
        <c:crossBetween val="midCat"/>
      </c:valAx>
      <c:valAx>
        <c:axId val="1724228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Residuals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6566515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X Variable 1 Line Fit 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56252628"/>
        <c:axId val="59599000"/>
      </c:barChart>
      <c:catAx>
        <c:axId val="56252628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59599000"/>
        <c:auto val="1"/>
        <c:lblAlgn val="ctr"/>
        <c:lblOffset val="100"/>
        <c:noMultiLvlLbl val="0"/>
      </c:catAx>
      <c:valAx>
        <c:axId val="59599000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56252628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Normal Probability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008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hanes!$F$25:$F$27</c:f>
              <c:numCache>
                <c:formatCode>General</c:formatCode>
                <c:ptCount val="3"/>
                <c:pt idx="0">
                  <c:v>16.6666666666667</c:v>
                </c:pt>
                <c:pt idx="1">
                  <c:v>50</c:v>
                </c:pt>
                <c:pt idx="2">
                  <c:v>83.3333333333333</c:v>
                </c:pt>
              </c:numCache>
            </c:numRef>
          </c:xVal>
          <c:yVal>
            <c:numRef>
              <c:f>hanes!$G$25:$G$27</c:f>
              <c:numCache>
                <c:formatCode>General</c:formatCode>
                <c:ptCount val="3"/>
                <c:pt idx="0">
                  <c:v>45792.3755422642</c:v>
                </c:pt>
                <c:pt idx="1">
                  <c:v>113880.884059932</c:v>
                </c:pt>
                <c:pt idx="2">
                  <c:v>167153.379558776</c:v>
                </c:pt>
              </c:numCache>
            </c:numRef>
          </c:yVal>
          <c:smooth val="1"/>
        </c:ser>
        <c:axId val="25371501"/>
        <c:axId val="73747580"/>
      </c:scatterChart>
      <c:valAx>
        <c:axId val="253715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Sample Percentile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3747580"/>
        <c:crosses val="autoZero"/>
        <c:crossBetween val="midCat"/>
      </c:valAx>
      <c:valAx>
        <c:axId val="737475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5371501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hanes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7741264"/>
        <c:axId val="1121915"/>
      </c:barChart>
      <c:catAx>
        <c:axId val="7741264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1121915"/>
        <c:auto val="1"/>
        <c:lblAlgn val="ctr"/>
        <c:lblOffset val="100"/>
        <c:noMultiLvlLbl val="0"/>
      </c:catAx>
      <c:valAx>
        <c:axId val="1121915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7741264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1.5286 mmol/L/Value, Substrate Conc./ss.sss, 3.0571 mmol/L/Value, Substrate Conc./ss.sss, 4.5857 mmol/L/Value…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>
                    <a:alpha val="80000"/>
                  </a:srgbClr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Sheet2!$A$12:$A$55</c:f>
              <c:numCache>
                <c:formatCode>General</c:formatCode>
                <c:ptCount val="44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  <c:pt idx="5">
                  <c:v>360</c:v>
                </c:pt>
                <c:pt idx="6">
                  <c:v>420</c:v>
                </c:pt>
                <c:pt idx="7">
                  <c:v>480</c:v>
                </c:pt>
                <c:pt idx="8">
                  <c:v>540</c:v>
                </c:pt>
                <c:pt idx="9">
                  <c:v>600</c:v>
                </c:pt>
                <c:pt idx="10">
                  <c:v>660</c:v>
                </c:pt>
                <c:pt idx="11">
                  <c:v>720</c:v>
                </c:pt>
                <c:pt idx="12">
                  <c:v>780</c:v>
                </c:pt>
                <c:pt idx="13">
                  <c:v>840</c:v>
                </c:pt>
                <c:pt idx="14">
                  <c:v>900</c:v>
                </c:pt>
                <c:pt idx="15">
                  <c:v>960</c:v>
                </c:pt>
                <c:pt idx="16">
                  <c:v>1020</c:v>
                </c:pt>
                <c:pt idx="17">
                  <c:v>1080</c:v>
                </c:pt>
                <c:pt idx="18">
                  <c:v>1140</c:v>
                </c:pt>
                <c:pt idx="19">
                  <c:v>1200</c:v>
                </c:pt>
                <c:pt idx="20">
                  <c:v>1260</c:v>
                </c:pt>
                <c:pt idx="21">
                  <c:v>1320</c:v>
                </c:pt>
                <c:pt idx="22">
                  <c:v>1380</c:v>
                </c:pt>
                <c:pt idx="23">
                  <c:v>1440</c:v>
                </c:pt>
                <c:pt idx="24">
                  <c:v>1500</c:v>
                </c:pt>
                <c:pt idx="25">
                  <c:v>1560</c:v>
                </c:pt>
                <c:pt idx="26">
                  <c:v>1620</c:v>
                </c:pt>
                <c:pt idx="27">
                  <c:v>1680</c:v>
                </c:pt>
                <c:pt idx="28">
                  <c:v>1740</c:v>
                </c:pt>
                <c:pt idx="29">
                  <c:v>1800</c:v>
                </c:pt>
                <c:pt idx="30">
                  <c:v>1860</c:v>
                </c:pt>
                <c:pt idx="31">
                  <c:v>1920</c:v>
                </c:pt>
                <c:pt idx="32">
                  <c:v>1980</c:v>
                </c:pt>
                <c:pt idx="33">
                  <c:v>2040</c:v>
                </c:pt>
                <c:pt idx="34">
                  <c:v>2100</c:v>
                </c:pt>
                <c:pt idx="35">
                  <c:v>2160</c:v>
                </c:pt>
                <c:pt idx="36">
                  <c:v>2220</c:v>
                </c:pt>
                <c:pt idx="37">
                  <c:v>2280</c:v>
                </c:pt>
                <c:pt idx="38">
                  <c:v>2340</c:v>
                </c:pt>
                <c:pt idx="39">
                  <c:v>2400</c:v>
                </c:pt>
                <c:pt idx="40">
                  <c:v>2460</c:v>
                </c:pt>
                <c:pt idx="41">
                  <c:v>2520</c:v>
                </c:pt>
                <c:pt idx="42">
                  <c:v>2580</c:v>
                </c:pt>
                <c:pt idx="43">
                  <c:v>2640</c:v>
                </c:pt>
              </c:numCache>
            </c:numRef>
          </c:xVal>
          <c:yVal>
            <c:numRef>
              <c:f>Sheet2!$B$12:$B$25</c:f>
              <c:numCache>
                <c:formatCode>General</c:formatCode>
                <c:ptCount val="14"/>
                <c:pt idx="0">
                  <c:v>0.006</c:v>
                </c:pt>
                <c:pt idx="1">
                  <c:v>0.011</c:v>
                </c:pt>
                <c:pt idx="2">
                  <c:v>0.016</c:v>
                </c:pt>
                <c:pt idx="3">
                  <c:v>0.022</c:v>
                </c:pt>
                <c:pt idx="4">
                  <c:v>0.028</c:v>
                </c:pt>
                <c:pt idx="5">
                  <c:v>0.035</c:v>
                </c:pt>
                <c:pt idx="6">
                  <c:v>0.042</c:v>
                </c:pt>
                <c:pt idx="7">
                  <c:v>0.049</c:v>
                </c:pt>
                <c:pt idx="8">
                  <c:v>0.057</c:v>
                </c:pt>
                <c:pt idx="9">
                  <c:v>0.064</c:v>
                </c:pt>
                <c:pt idx="10">
                  <c:v>0.071</c:v>
                </c:pt>
                <c:pt idx="11">
                  <c:v>0.08</c:v>
                </c:pt>
                <c:pt idx="12">
                  <c:v>0.088</c:v>
                </c:pt>
                <c:pt idx="13">
                  <c:v>0.096</c:v>
                </c:pt>
              </c:numCache>
            </c:numRef>
          </c:yVal>
          <c:smooth val="1"/>
        </c:ser>
        <c:ser>
          <c:idx val="1"/>
          <c:order val="1"/>
          <c:spPr>
            <a:solidFill>
              <a:srgbClr val="c0504d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>
                    <a:alpha val="80000"/>
                  </a:srgbClr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Sheet2!$A$12:$A$55</c:f>
              <c:numCache>
                <c:formatCode>General</c:formatCode>
                <c:ptCount val="44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  <c:pt idx="5">
                  <c:v>360</c:v>
                </c:pt>
                <c:pt idx="6">
                  <c:v>420</c:v>
                </c:pt>
                <c:pt idx="7">
                  <c:v>480</c:v>
                </c:pt>
                <c:pt idx="8">
                  <c:v>540</c:v>
                </c:pt>
                <c:pt idx="9">
                  <c:v>600</c:v>
                </c:pt>
                <c:pt idx="10">
                  <c:v>660</c:v>
                </c:pt>
                <c:pt idx="11">
                  <c:v>720</c:v>
                </c:pt>
                <c:pt idx="12">
                  <c:v>780</c:v>
                </c:pt>
                <c:pt idx="13">
                  <c:v>840</c:v>
                </c:pt>
                <c:pt idx="14">
                  <c:v>900</c:v>
                </c:pt>
                <c:pt idx="15">
                  <c:v>960</c:v>
                </c:pt>
                <c:pt idx="16">
                  <c:v>1020</c:v>
                </c:pt>
                <c:pt idx="17">
                  <c:v>1080</c:v>
                </c:pt>
                <c:pt idx="18">
                  <c:v>1140</c:v>
                </c:pt>
                <c:pt idx="19">
                  <c:v>1200</c:v>
                </c:pt>
                <c:pt idx="20">
                  <c:v>1260</c:v>
                </c:pt>
                <c:pt idx="21">
                  <c:v>1320</c:v>
                </c:pt>
                <c:pt idx="22">
                  <c:v>1380</c:v>
                </c:pt>
                <c:pt idx="23">
                  <c:v>1440</c:v>
                </c:pt>
                <c:pt idx="24">
                  <c:v>1500</c:v>
                </c:pt>
                <c:pt idx="25">
                  <c:v>1560</c:v>
                </c:pt>
                <c:pt idx="26">
                  <c:v>1620</c:v>
                </c:pt>
                <c:pt idx="27">
                  <c:v>1680</c:v>
                </c:pt>
                <c:pt idx="28">
                  <c:v>1740</c:v>
                </c:pt>
                <c:pt idx="29">
                  <c:v>1800</c:v>
                </c:pt>
                <c:pt idx="30">
                  <c:v>1860</c:v>
                </c:pt>
                <c:pt idx="31">
                  <c:v>1920</c:v>
                </c:pt>
                <c:pt idx="32">
                  <c:v>1980</c:v>
                </c:pt>
                <c:pt idx="33">
                  <c:v>2040</c:v>
                </c:pt>
                <c:pt idx="34">
                  <c:v>2100</c:v>
                </c:pt>
                <c:pt idx="35">
                  <c:v>2160</c:v>
                </c:pt>
                <c:pt idx="36">
                  <c:v>2220</c:v>
                </c:pt>
                <c:pt idx="37">
                  <c:v>2280</c:v>
                </c:pt>
                <c:pt idx="38">
                  <c:v>2340</c:v>
                </c:pt>
                <c:pt idx="39">
                  <c:v>2400</c:v>
                </c:pt>
                <c:pt idx="40">
                  <c:v>2460</c:v>
                </c:pt>
                <c:pt idx="41">
                  <c:v>2520</c:v>
                </c:pt>
                <c:pt idx="42">
                  <c:v>2580</c:v>
                </c:pt>
                <c:pt idx="43">
                  <c:v>2640</c:v>
                </c:pt>
              </c:numCache>
            </c:numRef>
          </c:xVal>
          <c:yVal>
            <c:numRef>
              <c:f>Sheet2!$D$12:$D$50</c:f>
              <c:numCache>
                <c:formatCode>General</c:formatCode>
                <c:ptCount val="39"/>
                <c:pt idx="0">
                  <c:v>0.014</c:v>
                </c:pt>
                <c:pt idx="1">
                  <c:v>0.02</c:v>
                </c:pt>
                <c:pt idx="2">
                  <c:v>0.026</c:v>
                </c:pt>
                <c:pt idx="3">
                  <c:v>0.032</c:v>
                </c:pt>
                <c:pt idx="4">
                  <c:v>0.038</c:v>
                </c:pt>
                <c:pt idx="5">
                  <c:v>0.045</c:v>
                </c:pt>
                <c:pt idx="6">
                  <c:v>0.051</c:v>
                </c:pt>
                <c:pt idx="7">
                  <c:v>0.057</c:v>
                </c:pt>
                <c:pt idx="8">
                  <c:v>0.061</c:v>
                </c:pt>
                <c:pt idx="9">
                  <c:v>0.067</c:v>
                </c:pt>
                <c:pt idx="10">
                  <c:v>0.073</c:v>
                </c:pt>
                <c:pt idx="11">
                  <c:v>0.079</c:v>
                </c:pt>
                <c:pt idx="12">
                  <c:v>0.085</c:v>
                </c:pt>
                <c:pt idx="13">
                  <c:v>0.091</c:v>
                </c:pt>
                <c:pt idx="14">
                  <c:v>0.097</c:v>
                </c:pt>
                <c:pt idx="15">
                  <c:v>0.104</c:v>
                </c:pt>
                <c:pt idx="16">
                  <c:v>0.11</c:v>
                </c:pt>
                <c:pt idx="17">
                  <c:v>0.116</c:v>
                </c:pt>
                <c:pt idx="18">
                  <c:v>0.123</c:v>
                </c:pt>
                <c:pt idx="19">
                  <c:v>0.129</c:v>
                </c:pt>
                <c:pt idx="20">
                  <c:v>0.136</c:v>
                </c:pt>
                <c:pt idx="21">
                  <c:v>0.143</c:v>
                </c:pt>
                <c:pt idx="22">
                  <c:v>0.151</c:v>
                </c:pt>
                <c:pt idx="23">
                  <c:v>0.158</c:v>
                </c:pt>
                <c:pt idx="24">
                  <c:v>0.161</c:v>
                </c:pt>
                <c:pt idx="25">
                  <c:v>0.167</c:v>
                </c:pt>
                <c:pt idx="26">
                  <c:v>0.175</c:v>
                </c:pt>
                <c:pt idx="27">
                  <c:v>0.181</c:v>
                </c:pt>
                <c:pt idx="28">
                  <c:v>0.188</c:v>
                </c:pt>
                <c:pt idx="29">
                  <c:v>0.195</c:v>
                </c:pt>
                <c:pt idx="30">
                  <c:v>0.201</c:v>
                </c:pt>
                <c:pt idx="31">
                  <c:v>0.209</c:v>
                </c:pt>
                <c:pt idx="32">
                  <c:v>0.216</c:v>
                </c:pt>
                <c:pt idx="33">
                  <c:v>0.222</c:v>
                </c:pt>
                <c:pt idx="34">
                  <c:v>0.229</c:v>
                </c:pt>
                <c:pt idx="35">
                  <c:v>0.236</c:v>
                </c:pt>
                <c:pt idx="36">
                  <c:v>0.244</c:v>
                </c:pt>
                <c:pt idx="37">
                  <c:v>0.251</c:v>
                </c:pt>
                <c:pt idx="38">
                  <c:v>0.258</c:v>
                </c:pt>
              </c:numCache>
            </c:numRef>
          </c:yVal>
          <c:smooth val="1"/>
        </c:ser>
        <c:ser>
          <c:idx val="2"/>
          <c:order val="2"/>
          <c:spPr>
            <a:solidFill>
              <a:srgbClr val="9bbb59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9bbb5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>
                    <a:alpha val="80000"/>
                  </a:srgbClr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Sheet2!$A$12:$A$55</c:f>
              <c:numCache>
                <c:formatCode>General</c:formatCode>
                <c:ptCount val="44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  <c:pt idx="5">
                  <c:v>360</c:v>
                </c:pt>
                <c:pt idx="6">
                  <c:v>420</c:v>
                </c:pt>
                <c:pt idx="7">
                  <c:v>480</c:v>
                </c:pt>
                <c:pt idx="8">
                  <c:v>540</c:v>
                </c:pt>
                <c:pt idx="9">
                  <c:v>600</c:v>
                </c:pt>
                <c:pt idx="10">
                  <c:v>660</c:v>
                </c:pt>
                <c:pt idx="11">
                  <c:v>720</c:v>
                </c:pt>
                <c:pt idx="12">
                  <c:v>780</c:v>
                </c:pt>
                <c:pt idx="13">
                  <c:v>840</c:v>
                </c:pt>
                <c:pt idx="14">
                  <c:v>900</c:v>
                </c:pt>
                <c:pt idx="15">
                  <c:v>960</c:v>
                </c:pt>
                <c:pt idx="16">
                  <c:v>1020</c:v>
                </c:pt>
                <c:pt idx="17">
                  <c:v>1080</c:v>
                </c:pt>
                <c:pt idx="18">
                  <c:v>1140</c:v>
                </c:pt>
                <c:pt idx="19">
                  <c:v>1200</c:v>
                </c:pt>
                <c:pt idx="20">
                  <c:v>1260</c:v>
                </c:pt>
                <c:pt idx="21">
                  <c:v>1320</c:v>
                </c:pt>
                <c:pt idx="22">
                  <c:v>1380</c:v>
                </c:pt>
                <c:pt idx="23">
                  <c:v>1440</c:v>
                </c:pt>
                <c:pt idx="24">
                  <c:v>1500</c:v>
                </c:pt>
                <c:pt idx="25">
                  <c:v>1560</c:v>
                </c:pt>
                <c:pt idx="26">
                  <c:v>1620</c:v>
                </c:pt>
                <c:pt idx="27">
                  <c:v>1680</c:v>
                </c:pt>
                <c:pt idx="28">
                  <c:v>1740</c:v>
                </c:pt>
                <c:pt idx="29">
                  <c:v>1800</c:v>
                </c:pt>
                <c:pt idx="30">
                  <c:v>1860</c:v>
                </c:pt>
                <c:pt idx="31">
                  <c:v>1920</c:v>
                </c:pt>
                <c:pt idx="32">
                  <c:v>1980</c:v>
                </c:pt>
                <c:pt idx="33">
                  <c:v>2040</c:v>
                </c:pt>
                <c:pt idx="34">
                  <c:v>2100</c:v>
                </c:pt>
                <c:pt idx="35">
                  <c:v>2160</c:v>
                </c:pt>
                <c:pt idx="36">
                  <c:v>2220</c:v>
                </c:pt>
                <c:pt idx="37">
                  <c:v>2280</c:v>
                </c:pt>
                <c:pt idx="38">
                  <c:v>2340</c:v>
                </c:pt>
                <c:pt idx="39">
                  <c:v>2400</c:v>
                </c:pt>
                <c:pt idx="40">
                  <c:v>2460</c:v>
                </c:pt>
                <c:pt idx="41">
                  <c:v>2520</c:v>
                </c:pt>
                <c:pt idx="42">
                  <c:v>2580</c:v>
                </c:pt>
                <c:pt idx="43">
                  <c:v>2640</c:v>
                </c:pt>
              </c:numCache>
            </c:numRef>
          </c:xVal>
          <c:yVal>
            <c:numRef>
              <c:f>Sheet2!$F$12:$F$50</c:f>
              <c:numCache>
                <c:formatCode>General</c:formatCode>
                <c:ptCount val="39"/>
                <c:pt idx="0">
                  <c:v>0.023</c:v>
                </c:pt>
                <c:pt idx="1">
                  <c:v>0.03</c:v>
                </c:pt>
                <c:pt idx="2">
                  <c:v>0.037</c:v>
                </c:pt>
                <c:pt idx="3">
                  <c:v>0.044</c:v>
                </c:pt>
                <c:pt idx="4">
                  <c:v>0.052</c:v>
                </c:pt>
                <c:pt idx="5">
                  <c:v>0.059</c:v>
                </c:pt>
                <c:pt idx="6">
                  <c:v>0.067</c:v>
                </c:pt>
                <c:pt idx="7">
                  <c:v>0.074</c:v>
                </c:pt>
                <c:pt idx="8">
                  <c:v>0.082</c:v>
                </c:pt>
                <c:pt idx="9">
                  <c:v>0.089</c:v>
                </c:pt>
                <c:pt idx="10">
                  <c:v>0.097</c:v>
                </c:pt>
                <c:pt idx="11">
                  <c:v>0.105</c:v>
                </c:pt>
                <c:pt idx="12">
                  <c:v>0.112</c:v>
                </c:pt>
                <c:pt idx="13">
                  <c:v>0.12</c:v>
                </c:pt>
                <c:pt idx="14">
                  <c:v>0.128</c:v>
                </c:pt>
                <c:pt idx="15">
                  <c:v>0.135</c:v>
                </c:pt>
                <c:pt idx="16">
                  <c:v>0.143</c:v>
                </c:pt>
                <c:pt idx="17">
                  <c:v>0.151</c:v>
                </c:pt>
                <c:pt idx="18">
                  <c:v>0.159</c:v>
                </c:pt>
                <c:pt idx="19">
                  <c:v>0.167</c:v>
                </c:pt>
                <c:pt idx="20">
                  <c:v>0.174</c:v>
                </c:pt>
                <c:pt idx="21">
                  <c:v>0.182</c:v>
                </c:pt>
                <c:pt idx="22">
                  <c:v>0.191</c:v>
                </c:pt>
                <c:pt idx="23">
                  <c:v>0.198</c:v>
                </c:pt>
                <c:pt idx="24">
                  <c:v>0.207</c:v>
                </c:pt>
                <c:pt idx="25">
                  <c:v>0.215</c:v>
                </c:pt>
                <c:pt idx="26">
                  <c:v>0.223</c:v>
                </c:pt>
                <c:pt idx="27">
                  <c:v>0.231</c:v>
                </c:pt>
                <c:pt idx="28">
                  <c:v>0.24</c:v>
                </c:pt>
                <c:pt idx="29">
                  <c:v>0.248</c:v>
                </c:pt>
                <c:pt idx="30">
                  <c:v>0.256</c:v>
                </c:pt>
                <c:pt idx="31">
                  <c:v>0.264</c:v>
                </c:pt>
                <c:pt idx="32">
                  <c:v>0.273</c:v>
                </c:pt>
                <c:pt idx="33">
                  <c:v>0.281</c:v>
                </c:pt>
                <c:pt idx="34">
                  <c:v>0.289</c:v>
                </c:pt>
                <c:pt idx="35">
                  <c:v>0.297</c:v>
                </c:pt>
                <c:pt idx="36">
                  <c:v>0.305</c:v>
                </c:pt>
                <c:pt idx="37">
                  <c:v>0.314</c:v>
                </c:pt>
                <c:pt idx="38">
                  <c:v>0.322</c:v>
                </c:pt>
              </c:numCache>
            </c:numRef>
          </c:yVal>
          <c:smooth val="1"/>
        </c:ser>
        <c:ser>
          <c:idx val="3"/>
          <c:order val="3"/>
          <c:spPr>
            <a:solidFill>
              <a:srgbClr val="8064a2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8064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>
                    <a:alpha val="80000"/>
                  </a:srgbClr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Sheet2!$A$12:$A$55</c:f>
              <c:numCache>
                <c:formatCode>General</c:formatCode>
                <c:ptCount val="44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  <c:pt idx="5">
                  <c:v>360</c:v>
                </c:pt>
                <c:pt idx="6">
                  <c:v>420</c:v>
                </c:pt>
                <c:pt idx="7">
                  <c:v>480</c:v>
                </c:pt>
                <c:pt idx="8">
                  <c:v>540</c:v>
                </c:pt>
                <c:pt idx="9">
                  <c:v>600</c:v>
                </c:pt>
                <c:pt idx="10">
                  <c:v>660</c:v>
                </c:pt>
                <c:pt idx="11">
                  <c:v>720</c:v>
                </c:pt>
                <c:pt idx="12">
                  <c:v>780</c:v>
                </c:pt>
                <c:pt idx="13">
                  <c:v>840</c:v>
                </c:pt>
                <c:pt idx="14">
                  <c:v>900</c:v>
                </c:pt>
                <c:pt idx="15">
                  <c:v>960</c:v>
                </c:pt>
                <c:pt idx="16">
                  <c:v>1020</c:v>
                </c:pt>
                <c:pt idx="17">
                  <c:v>1080</c:v>
                </c:pt>
                <c:pt idx="18">
                  <c:v>1140</c:v>
                </c:pt>
                <c:pt idx="19">
                  <c:v>1200</c:v>
                </c:pt>
                <c:pt idx="20">
                  <c:v>1260</c:v>
                </c:pt>
                <c:pt idx="21">
                  <c:v>1320</c:v>
                </c:pt>
                <c:pt idx="22">
                  <c:v>1380</c:v>
                </c:pt>
                <c:pt idx="23">
                  <c:v>1440</c:v>
                </c:pt>
                <c:pt idx="24">
                  <c:v>1500</c:v>
                </c:pt>
                <c:pt idx="25">
                  <c:v>1560</c:v>
                </c:pt>
                <c:pt idx="26">
                  <c:v>1620</c:v>
                </c:pt>
                <c:pt idx="27">
                  <c:v>1680</c:v>
                </c:pt>
                <c:pt idx="28">
                  <c:v>1740</c:v>
                </c:pt>
                <c:pt idx="29">
                  <c:v>1800</c:v>
                </c:pt>
                <c:pt idx="30">
                  <c:v>1860</c:v>
                </c:pt>
                <c:pt idx="31">
                  <c:v>1920</c:v>
                </c:pt>
                <c:pt idx="32">
                  <c:v>1980</c:v>
                </c:pt>
                <c:pt idx="33">
                  <c:v>2040</c:v>
                </c:pt>
                <c:pt idx="34">
                  <c:v>2100</c:v>
                </c:pt>
                <c:pt idx="35">
                  <c:v>2160</c:v>
                </c:pt>
                <c:pt idx="36">
                  <c:v>2220</c:v>
                </c:pt>
                <c:pt idx="37">
                  <c:v>2280</c:v>
                </c:pt>
                <c:pt idx="38">
                  <c:v>2340</c:v>
                </c:pt>
                <c:pt idx="39">
                  <c:v>2400</c:v>
                </c:pt>
                <c:pt idx="40">
                  <c:v>2460</c:v>
                </c:pt>
                <c:pt idx="41">
                  <c:v>2520</c:v>
                </c:pt>
                <c:pt idx="42">
                  <c:v>2580</c:v>
                </c:pt>
                <c:pt idx="43">
                  <c:v>2640</c:v>
                </c:pt>
              </c:numCache>
            </c:numRef>
          </c:xVal>
          <c:yVal>
            <c:numRef>
              <c:f>Sheet2!$H$12:$H$50</c:f>
              <c:numCache>
                <c:formatCode>General</c:formatCode>
                <c:ptCount val="39"/>
                <c:pt idx="0">
                  <c:v>0.036</c:v>
                </c:pt>
                <c:pt idx="1">
                  <c:v>0.045</c:v>
                </c:pt>
                <c:pt idx="2">
                  <c:v>0.054</c:v>
                </c:pt>
                <c:pt idx="3">
                  <c:v>0.063</c:v>
                </c:pt>
                <c:pt idx="4">
                  <c:v>0.073</c:v>
                </c:pt>
                <c:pt idx="5">
                  <c:v>0.082</c:v>
                </c:pt>
                <c:pt idx="6">
                  <c:v>0.091</c:v>
                </c:pt>
                <c:pt idx="7">
                  <c:v>0.101</c:v>
                </c:pt>
                <c:pt idx="8">
                  <c:v>0.111</c:v>
                </c:pt>
                <c:pt idx="9">
                  <c:v>0.121</c:v>
                </c:pt>
                <c:pt idx="10">
                  <c:v>0.132</c:v>
                </c:pt>
                <c:pt idx="11">
                  <c:v>0.139</c:v>
                </c:pt>
                <c:pt idx="12">
                  <c:v>0.15</c:v>
                </c:pt>
                <c:pt idx="13">
                  <c:v>0.16</c:v>
                </c:pt>
                <c:pt idx="14">
                  <c:v>0.169</c:v>
                </c:pt>
                <c:pt idx="15">
                  <c:v>0.179</c:v>
                </c:pt>
                <c:pt idx="16">
                  <c:v>0.19</c:v>
                </c:pt>
                <c:pt idx="17">
                  <c:v>0.198</c:v>
                </c:pt>
                <c:pt idx="18">
                  <c:v>0.209</c:v>
                </c:pt>
                <c:pt idx="19">
                  <c:v>0.218</c:v>
                </c:pt>
                <c:pt idx="20">
                  <c:v>0.229</c:v>
                </c:pt>
                <c:pt idx="21">
                  <c:v>0.24</c:v>
                </c:pt>
                <c:pt idx="22">
                  <c:v>0.248</c:v>
                </c:pt>
                <c:pt idx="23">
                  <c:v>0.259</c:v>
                </c:pt>
                <c:pt idx="24">
                  <c:v>0.27</c:v>
                </c:pt>
                <c:pt idx="25">
                  <c:v>0.278</c:v>
                </c:pt>
                <c:pt idx="26">
                  <c:v>0.29</c:v>
                </c:pt>
                <c:pt idx="27">
                  <c:v>0.299</c:v>
                </c:pt>
                <c:pt idx="28">
                  <c:v>0.31</c:v>
                </c:pt>
                <c:pt idx="29">
                  <c:v>0.319</c:v>
                </c:pt>
                <c:pt idx="30">
                  <c:v>0.329</c:v>
                </c:pt>
                <c:pt idx="31">
                  <c:v>0.341</c:v>
                </c:pt>
                <c:pt idx="32">
                  <c:v>0.352</c:v>
                </c:pt>
                <c:pt idx="33">
                  <c:v>0.36</c:v>
                </c:pt>
                <c:pt idx="34">
                  <c:v>0.367934453781512</c:v>
                </c:pt>
                <c:pt idx="35">
                  <c:v>0.37778319327731</c:v>
                </c:pt>
                <c:pt idx="36">
                  <c:v>0.387631932773109</c:v>
                </c:pt>
                <c:pt idx="37">
                  <c:v>0.397480672268907</c:v>
                </c:pt>
                <c:pt idx="38">
                  <c:v>0.407329411764705</c:v>
                </c:pt>
              </c:numCache>
            </c:numRef>
          </c:yVal>
          <c:smooth val="1"/>
        </c:ser>
        <c:axId val="37750874"/>
        <c:axId val="91025901"/>
      </c:scatterChart>
      <c:valAx>
        <c:axId val="37750874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Substrate Conc./ss.sss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1025901"/>
        <c:crosses val="autoZero"/>
        <c:crossBetween val="midCat"/>
      </c:valAx>
      <c:valAx>
        <c:axId val="9102590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775087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1.5286 mmol/L/Value, Substrate Conc./ss.sss, 3.0571 mmol/L/Value, Substrate Conc./ss.sss, 4.5857 mmol/L/Value…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Sheet2!$A$12:$A$132</c:f>
              <c:numCache>
                <c:formatCode>General</c:formatCode>
                <c:ptCount val="121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  <c:pt idx="5">
                  <c:v>360</c:v>
                </c:pt>
                <c:pt idx="6">
                  <c:v>420</c:v>
                </c:pt>
                <c:pt idx="7">
                  <c:v>480</c:v>
                </c:pt>
                <c:pt idx="8">
                  <c:v>540</c:v>
                </c:pt>
                <c:pt idx="9">
                  <c:v>600</c:v>
                </c:pt>
                <c:pt idx="10">
                  <c:v>660</c:v>
                </c:pt>
                <c:pt idx="11">
                  <c:v>720</c:v>
                </c:pt>
                <c:pt idx="12">
                  <c:v>780</c:v>
                </c:pt>
                <c:pt idx="13">
                  <c:v>840</c:v>
                </c:pt>
                <c:pt idx="14">
                  <c:v>900</c:v>
                </c:pt>
                <c:pt idx="15">
                  <c:v>960</c:v>
                </c:pt>
                <c:pt idx="16">
                  <c:v>1020</c:v>
                </c:pt>
                <c:pt idx="17">
                  <c:v>1080</c:v>
                </c:pt>
                <c:pt idx="18">
                  <c:v>1140</c:v>
                </c:pt>
                <c:pt idx="19">
                  <c:v>1200</c:v>
                </c:pt>
                <c:pt idx="20">
                  <c:v>1260</c:v>
                </c:pt>
                <c:pt idx="21">
                  <c:v>1320</c:v>
                </c:pt>
                <c:pt idx="22">
                  <c:v>1380</c:v>
                </c:pt>
                <c:pt idx="23">
                  <c:v>1440</c:v>
                </c:pt>
                <c:pt idx="24">
                  <c:v>1500</c:v>
                </c:pt>
                <c:pt idx="25">
                  <c:v>1560</c:v>
                </c:pt>
                <c:pt idx="26">
                  <c:v>1620</c:v>
                </c:pt>
                <c:pt idx="27">
                  <c:v>1680</c:v>
                </c:pt>
                <c:pt idx="28">
                  <c:v>1740</c:v>
                </c:pt>
                <c:pt idx="29">
                  <c:v>1800</c:v>
                </c:pt>
                <c:pt idx="30">
                  <c:v>1860</c:v>
                </c:pt>
                <c:pt idx="31">
                  <c:v>1920</c:v>
                </c:pt>
                <c:pt idx="32">
                  <c:v>1980</c:v>
                </c:pt>
                <c:pt idx="33">
                  <c:v>2040</c:v>
                </c:pt>
                <c:pt idx="34">
                  <c:v>2100</c:v>
                </c:pt>
                <c:pt idx="35">
                  <c:v>2160</c:v>
                </c:pt>
                <c:pt idx="36">
                  <c:v>2220</c:v>
                </c:pt>
                <c:pt idx="37">
                  <c:v>2280</c:v>
                </c:pt>
                <c:pt idx="38">
                  <c:v>2340</c:v>
                </c:pt>
                <c:pt idx="39">
                  <c:v>2400</c:v>
                </c:pt>
                <c:pt idx="40">
                  <c:v>2460</c:v>
                </c:pt>
                <c:pt idx="41">
                  <c:v>2520</c:v>
                </c:pt>
                <c:pt idx="42">
                  <c:v>2580</c:v>
                </c:pt>
                <c:pt idx="43">
                  <c:v>2640</c:v>
                </c:pt>
                <c:pt idx="44">
                  <c:v>2700</c:v>
                </c:pt>
                <c:pt idx="45">
                  <c:v>2760</c:v>
                </c:pt>
                <c:pt idx="46">
                  <c:v>2820</c:v>
                </c:pt>
                <c:pt idx="47">
                  <c:v>2880</c:v>
                </c:pt>
                <c:pt idx="48">
                  <c:v>2940</c:v>
                </c:pt>
                <c:pt idx="49">
                  <c:v>3000</c:v>
                </c:pt>
                <c:pt idx="50">
                  <c:v>3060</c:v>
                </c:pt>
                <c:pt idx="51">
                  <c:v>3120</c:v>
                </c:pt>
                <c:pt idx="52">
                  <c:v>3180</c:v>
                </c:pt>
                <c:pt idx="53">
                  <c:v>3240</c:v>
                </c:pt>
                <c:pt idx="54">
                  <c:v>3300</c:v>
                </c:pt>
                <c:pt idx="55">
                  <c:v>3360</c:v>
                </c:pt>
                <c:pt idx="56">
                  <c:v>3420</c:v>
                </c:pt>
                <c:pt idx="57">
                  <c:v>3480</c:v>
                </c:pt>
                <c:pt idx="58">
                  <c:v>3540</c:v>
                </c:pt>
                <c:pt idx="59">
                  <c:v>3600</c:v>
                </c:pt>
                <c:pt idx="60">
                  <c:v>3660</c:v>
                </c:pt>
                <c:pt idx="61">
                  <c:v>3720</c:v>
                </c:pt>
                <c:pt idx="62">
                  <c:v>3780</c:v>
                </c:pt>
                <c:pt idx="63">
                  <c:v>3840</c:v>
                </c:pt>
                <c:pt idx="64">
                  <c:v>3900</c:v>
                </c:pt>
                <c:pt idx="65">
                  <c:v>3960</c:v>
                </c:pt>
                <c:pt idx="66">
                  <c:v>4020</c:v>
                </c:pt>
                <c:pt idx="67">
                  <c:v>4080</c:v>
                </c:pt>
                <c:pt idx="68">
                  <c:v>4140</c:v>
                </c:pt>
                <c:pt idx="69">
                  <c:v>4200</c:v>
                </c:pt>
                <c:pt idx="70">
                  <c:v>4260</c:v>
                </c:pt>
                <c:pt idx="71">
                  <c:v>4320</c:v>
                </c:pt>
                <c:pt idx="72">
                  <c:v>4380</c:v>
                </c:pt>
                <c:pt idx="73">
                  <c:v>4440</c:v>
                </c:pt>
                <c:pt idx="74">
                  <c:v>4500</c:v>
                </c:pt>
                <c:pt idx="75">
                  <c:v>4560</c:v>
                </c:pt>
                <c:pt idx="76">
                  <c:v>4620</c:v>
                </c:pt>
                <c:pt idx="77">
                  <c:v>4680</c:v>
                </c:pt>
                <c:pt idx="78">
                  <c:v>4740</c:v>
                </c:pt>
                <c:pt idx="79">
                  <c:v>4800</c:v>
                </c:pt>
                <c:pt idx="80">
                  <c:v>4860</c:v>
                </c:pt>
                <c:pt idx="81">
                  <c:v>4920</c:v>
                </c:pt>
                <c:pt idx="82">
                  <c:v>4980</c:v>
                </c:pt>
                <c:pt idx="83">
                  <c:v>5040</c:v>
                </c:pt>
                <c:pt idx="84">
                  <c:v>5100</c:v>
                </c:pt>
                <c:pt idx="85">
                  <c:v>5160</c:v>
                </c:pt>
                <c:pt idx="86">
                  <c:v>5220</c:v>
                </c:pt>
                <c:pt idx="87">
                  <c:v>5280</c:v>
                </c:pt>
                <c:pt idx="88">
                  <c:v>5340</c:v>
                </c:pt>
                <c:pt idx="89">
                  <c:v>5400</c:v>
                </c:pt>
                <c:pt idx="90">
                  <c:v>5460</c:v>
                </c:pt>
                <c:pt idx="91">
                  <c:v>5520</c:v>
                </c:pt>
                <c:pt idx="92">
                  <c:v>5580</c:v>
                </c:pt>
                <c:pt idx="93">
                  <c:v>5640</c:v>
                </c:pt>
                <c:pt idx="94">
                  <c:v>5700</c:v>
                </c:pt>
                <c:pt idx="95">
                  <c:v>5760</c:v>
                </c:pt>
                <c:pt idx="96">
                  <c:v>5820</c:v>
                </c:pt>
                <c:pt idx="97">
                  <c:v>5880</c:v>
                </c:pt>
                <c:pt idx="98">
                  <c:v>5940</c:v>
                </c:pt>
                <c:pt idx="99">
                  <c:v>6000</c:v>
                </c:pt>
                <c:pt idx="100">
                  <c:v>6060</c:v>
                </c:pt>
                <c:pt idx="101">
                  <c:v>6120</c:v>
                </c:pt>
                <c:pt idx="102">
                  <c:v>6180</c:v>
                </c:pt>
                <c:pt idx="103">
                  <c:v>6240</c:v>
                </c:pt>
                <c:pt idx="104">
                  <c:v>6300</c:v>
                </c:pt>
                <c:pt idx="105">
                  <c:v>6360</c:v>
                </c:pt>
                <c:pt idx="106">
                  <c:v>6420</c:v>
                </c:pt>
                <c:pt idx="107">
                  <c:v>6480</c:v>
                </c:pt>
                <c:pt idx="108">
                  <c:v>6540</c:v>
                </c:pt>
                <c:pt idx="109">
                  <c:v>6600</c:v>
                </c:pt>
                <c:pt idx="110">
                  <c:v>6660</c:v>
                </c:pt>
                <c:pt idx="111">
                  <c:v>6720</c:v>
                </c:pt>
                <c:pt idx="112">
                  <c:v>6780</c:v>
                </c:pt>
                <c:pt idx="113">
                  <c:v>6840</c:v>
                </c:pt>
                <c:pt idx="114">
                  <c:v>6900</c:v>
                </c:pt>
                <c:pt idx="115">
                  <c:v>6960</c:v>
                </c:pt>
                <c:pt idx="116">
                  <c:v>7020</c:v>
                </c:pt>
                <c:pt idx="117">
                  <c:v>7080</c:v>
                </c:pt>
                <c:pt idx="118">
                  <c:v>7140</c:v>
                </c:pt>
                <c:pt idx="119">
                  <c:v>7200</c:v>
                </c:pt>
                <c:pt idx="120">
                  <c:v>7260</c:v>
                </c:pt>
              </c:numCache>
            </c:numRef>
          </c:xVal>
          <c:yVal>
            <c:numRef>
              <c:f>Sheet2!$B$12:$B$132</c:f>
              <c:numCache>
                <c:formatCode>General</c:formatCode>
                <c:ptCount val="121"/>
                <c:pt idx="0">
                  <c:v>0.006</c:v>
                </c:pt>
                <c:pt idx="1">
                  <c:v>0.011</c:v>
                </c:pt>
                <c:pt idx="2">
                  <c:v>0.016</c:v>
                </c:pt>
                <c:pt idx="3">
                  <c:v>0.022</c:v>
                </c:pt>
                <c:pt idx="4">
                  <c:v>0.028</c:v>
                </c:pt>
                <c:pt idx="5">
                  <c:v>0.035</c:v>
                </c:pt>
                <c:pt idx="6">
                  <c:v>0.042</c:v>
                </c:pt>
                <c:pt idx="7">
                  <c:v>0.049</c:v>
                </c:pt>
                <c:pt idx="8">
                  <c:v>0.057</c:v>
                </c:pt>
                <c:pt idx="9">
                  <c:v>0.064</c:v>
                </c:pt>
                <c:pt idx="10">
                  <c:v>0.071</c:v>
                </c:pt>
                <c:pt idx="11">
                  <c:v>0.08</c:v>
                </c:pt>
                <c:pt idx="12">
                  <c:v>0.088</c:v>
                </c:pt>
                <c:pt idx="13">
                  <c:v>0.096</c:v>
                </c:pt>
                <c:pt idx="14">
                  <c:v>0.091</c:v>
                </c:pt>
                <c:pt idx="15">
                  <c:v>0.099</c:v>
                </c:pt>
                <c:pt idx="16">
                  <c:v>0.106</c:v>
                </c:pt>
                <c:pt idx="17">
                  <c:v>0.115</c:v>
                </c:pt>
                <c:pt idx="18">
                  <c:v>0.124</c:v>
                </c:pt>
                <c:pt idx="19">
                  <c:v>0.126</c:v>
                </c:pt>
                <c:pt idx="20">
                  <c:v>0.134</c:v>
                </c:pt>
                <c:pt idx="21">
                  <c:v>0.142</c:v>
                </c:pt>
                <c:pt idx="22">
                  <c:v>0.151</c:v>
                </c:pt>
                <c:pt idx="23">
                  <c:v>0.142</c:v>
                </c:pt>
                <c:pt idx="24">
                  <c:v>0.15</c:v>
                </c:pt>
                <c:pt idx="25">
                  <c:v>0.157</c:v>
                </c:pt>
                <c:pt idx="26">
                  <c:v>0.164</c:v>
                </c:pt>
                <c:pt idx="27">
                  <c:v>0.165</c:v>
                </c:pt>
                <c:pt idx="28">
                  <c:v>0.173</c:v>
                </c:pt>
                <c:pt idx="29">
                  <c:v>0.18</c:v>
                </c:pt>
                <c:pt idx="30">
                  <c:v>0.187</c:v>
                </c:pt>
                <c:pt idx="31">
                  <c:v>0.159</c:v>
                </c:pt>
                <c:pt idx="32">
                  <c:v>0.165</c:v>
                </c:pt>
                <c:pt idx="33">
                  <c:v>0.17</c:v>
                </c:pt>
                <c:pt idx="34">
                  <c:v>0.176</c:v>
                </c:pt>
                <c:pt idx="35">
                  <c:v>0.181</c:v>
                </c:pt>
                <c:pt idx="36">
                  <c:v>0.187</c:v>
                </c:pt>
                <c:pt idx="37">
                  <c:v>0.192</c:v>
                </c:pt>
                <c:pt idx="38">
                  <c:v>0.198</c:v>
                </c:pt>
                <c:pt idx="39">
                  <c:v>0.204</c:v>
                </c:pt>
                <c:pt idx="40">
                  <c:v>0.209</c:v>
                </c:pt>
                <c:pt idx="41">
                  <c:v>0.215</c:v>
                </c:pt>
                <c:pt idx="42">
                  <c:v>0.22</c:v>
                </c:pt>
                <c:pt idx="43">
                  <c:v>0.227</c:v>
                </c:pt>
                <c:pt idx="44">
                  <c:v>0.232</c:v>
                </c:pt>
                <c:pt idx="45">
                  <c:v>0.238</c:v>
                </c:pt>
                <c:pt idx="46">
                  <c:v>0.245</c:v>
                </c:pt>
                <c:pt idx="47">
                  <c:v>0.251</c:v>
                </c:pt>
                <c:pt idx="48">
                  <c:v>0.258</c:v>
                </c:pt>
                <c:pt idx="49">
                  <c:v>0.264</c:v>
                </c:pt>
                <c:pt idx="50">
                  <c:v>0.271</c:v>
                </c:pt>
                <c:pt idx="51">
                  <c:v>0.279</c:v>
                </c:pt>
                <c:pt idx="52">
                  <c:v>0.285</c:v>
                </c:pt>
                <c:pt idx="53">
                  <c:v>0.292</c:v>
                </c:pt>
                <c:pt idx="54">
                  <c:v>0.308</c:v>
                </c:pt>
                <c:pt idx="55">
                  <c:v>0.289</c:v>
                </c:pt>
                <c:pt idx="56">
                  <c:v>0.273</c:v>
                </c:pt>
                <c:pt idx="57">
                  <c:v>0.283</c:v>
                </c:pt>
                <c:pt idx="58">
                  <c:v>0.222</c:v>
                </c:pt>
                <c:pt idx="59">
                  <c:v>0.227</c:v>
                </c:pt>
                <c:pt idx="60">
                  <c:v>0.23</c:v>
                </c:pt>
                <c:pt idx="61">
                  <c:v>0.234</c:v>
                </c:pt>
                <c:pt idx="62">
                  <c:v>0.238</c:v>
                </c:pt>
                <c:pt idx="63">
                  <c:v>0.242</c:v>
                </c:pt>
                <c:pt idx="64">
                  <c:v>0.246</c:v>
                </c:pt>
                <c:pt idx="65">
                  <c:v>0.25</c:v>
                </c:pt>
                <c:pt idx="66">
                  <c:v>0.254</c:v>
                </c:pt>
                <c:pt idx="67">
                  <c:v>0.259</c:v>
                </c:pt>
                <c:pt idx="68">
                  <c:v>0.262</c:v>
                </c:pt>
                <c:pt idx="69">
                  <c:v>0.266</c:v>
                </c:pt>
                <c:pt idx="70">
                  <c:v>0.27</c:v>
                </c:pt>
                <c:pt idx="71">
                  <c:v>0.274</c:v>
                </c:pt>
                <c:pt idx="72">
                  <c:v>0.279</c:v>
                </c:pt>
                <c:pt idx="73">
                  <c:v>0.284</c:v>
                </c:pt>
                <c:pt idx="74">
                  <c:v>0.288</c:v>
                </c:pt>
                <c:pt idx="75">
                  <c:v>0.292</c:v>
                </c:pt>
                <c:pt idx="76">
                  <c:v>0.296</c:v>
                </c:pt>
                <c:pt idx="77">
                  <c:v>0.3</c:v>
                </c:pt>
                <c:pt idx="78">
                  <c:v>0.304</c:v>
                </c:pt>
                <c:pt idx="79">
                  <c:v>0.309</c:v>
                </c:pt>
                <c:pt idx="80">
                  <c:v>0.313</c:v>
                </c:pt>
                <c:pt idx="81">
                  <c:v>0.318</c:v>
                </c:pt>
                <c:pt idx="82">
                  <c:v>0.315</c:v>
                </c:pt>
                <c:pt idx="83">
                  <c:v>0.319</c:v>
                </c:pt>
                <c:pt idx="84">
                  <c:v>0.323</c:v>
                </c:pt>
                <c:pt idx="85">
                  <c:v>0.327</c:v>
                </c:pt>
                <c:pt idx="86">
                  <c:v>0.33</c:v>
                </c:pt>
                <c:pt idx="87">
                  <c:v>0.335</c:v>
                </c:pt>
                <c:pt idx="88">
                  <c:v>0.338</c:v>
                </c:pt>
                <c:pt idx="89">
                  <c:v>0.342</c:v>
                </c:pt>
                <c:pt idx="90">
                  <c:v>0.346</c:v>
                </c:pt>
                <c:pt idx="91">
                  <c:v>0.35</c:v>
                </c:pt>
                <c:pt idx="92">
                  <c:v>0.353</c:v>
                </c:pt>
                <c:pt idx="93">
                  <c:v>0.357</c:v>
                </c:pt>
                <c:pt idx="94">
                  <c:v>0.361</c:v>
                </c:pt>
                <c:pt idx="95">
                  <c:v>0.365</c:v>
                </c:pt>
                <c:pt idx="96">
                  <c:v>0.372</c:v>
                </c:pt>
                <c:pt idx="97">
                  <c:v>0.376</c:v>
                </c:pt>
                <c:pt idx="98">
                  <c:v>0.38</c:v>
                </c:pt>
                <c:pt idx="99">
                  <c:v>0.384</c:v>
                </c:pt>
                <c:pt idx="100">
                  <c:v>0.388</c:v>
                </c:pt>
                <c:pt idx="101">
                  <c:v>0.381</c:v>
                </c:pt>
                <c:pt idx="102">
                  <c:v>0.384</c:v>
                </c:pt>
                <c:pt idx="103">
                  <c:v>0.388</c:v>
                </c:pt>
                <c:pt idx="104">
                  <c:v>0.392</c:v>
                </c:pt>
                <c:pt idx="105">
                  <c:v>0.396</c:v>
                </c:pt>
                <c:pt idx="106">
                  <c:v>0.4</c:v>
                </c:pt>
                <c:pt idx="107">
                  <c:v>0.404</c:v>
                </c:pt>
                <c:pt idx="108">
                  <c:v>0.408</c:v>
                </c:pt>
                <c:pt idx="109">
                  <c:v>0.411</c:v>
                </c:pt>
                <c:pt idx="110">
                  <c:v>0.415</c:v>
                </c:pt>
                <c:pt idx="111">
                  <c:v>0.42</c:v>
                </c:pt>
                <c:pt idx="112">
                  <c:v>0.424</c:v>
                </c:pt>
                <c:pt idx="113">
                  <c:v>0.429</c:v>
                </c:pt>
                <c:pt idx="114">
                  <c:v>0.438</c:v>
                </c:pt>
                <c:pt idx="115">
                  <c:v>0.435</c:v>
                </c:pt>
                <c:pt idx="116">
                  <c:v>0.439</c:v>
                </c:pt>
                <c:pt idx="117">
                  <c:v>0.443</c:v>
                </c:pt>
                <c:pt idx="118">
                  <c:v>0.447</c:v>
                </c:pt>
                <c:pt idx="119">
                  <c:v>0.451</c:v>
                </c:pt>
                <c:pt idx="120">
                  <c:v>0.455</c:v>
                </c:pt>
              </c:numCache>
            </c:numRef>
          </c:yVal>
          <c:smooth val="1"/>
        </c:ser>
        <c:ser>
          <c:idx val="1"/>
          <c:order val="1"/>
          <c:spPr>
            <a:solidFill>
              <a:srgbClr val="c0504d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Sheet2!$A$12:$A$132</c:f>
              <c:numCache>
                <c:formatCode>General</c:formatCode>
                <c:ptCount val="121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  <c:pt idx="5">
                  <c:v>360</c:v>
                </c:pt>
                <c:pt idx="6">
                  <c:v>420</c:v>
                </c:pt>
                <c:pt idx="7">
                  <c:v>480</c:v>
                </c:pt>
                <c:pt idx="8">
                  <c:v>540</c:v>
                </c:pt>
                <c:pt idx="9">
                  <c:v>600</c:v>
                </c:pt>
                <c:pt idx="10">
                  <c:v>660</c:v>
                </c:pt>
                <c:pt idx="11">
                  <c:v>720</c:v>
                </c:pt>
                <c:pt idx="12">
                  <c:v>780</c:v>
                </c:pt>
                <c:pt idx="13">
                  <c:v>840</c:v>
                </c:pt>
                <c:pt idx="14">
                  <c:v>900</c:v>
                </c:pt>
                <c:pt idx="15">
                  <c:v>960</c:v>
                </c:pt>
                <c:pt idx="16">
                  <c:v>1020</c:v>
                </c:pt>
                <c:pt idx="17">
                  <c:v>1080</c:v>
                </c:pt>
                <c:pt idx="18">
                  <c:v>1140</c:v>
                </c:pt>
                <c:pt idx="19">
                  <c:v>1200</c:v>
                </c:pt>
                <c:pt idx="20">
                  <c:v>1260</c:v>
                </c:pt>
                <c:pt idx="21">
                  <c:v>1320</c:v>
                </c:pt>
                <c:pt idx="22">
                  <c:v>1380</c:v>
                </c:pt>
                <c:pt idx="23">
                  <c:v>1440</c:v>
                </c:pt>
                <c:pt idx="24">
                  <c:v>1500</c:v>
                </c:pt>
                <c:pt idx="25">
                  <c:v>1560</c:v>
                </c:pt>
                <c:pt idx="26">
                  <c:v>1620</c:v>
                </c:pt>
                <c:pt idx="27">
                  <c:v>1680</c:v>
                </c:pt>
                <c:pt idx="28">
                  <c:v>1740</c:v>
                </c:pt>
                <c:pt idx="29">
                  <c:v>1800</c:v>
                </c:pt>
                <c:pt idx="30">
                  <c:v>1860</c:v>
                </c:pt>
                <c:pt idx="31">
                  <c:v>1920</c:v>
                </c:pt>
                <c:pt idx="32">
                  <c:v>1980</c:v>
                </c:pt>
                <c:pt idx="33">
                  <c:v>2040</c:v>
                </c:pt>
                <c:pt idx="34">
                  <c:v>2100</c:v>
                </c:pt>
                <c:pt idx="35">
                  <c:v>2160</c:v>
                </c:pt>
                <c:pt idx="36">
                  <c:v>2220</c:v>
                </c:pt>
                <c:pt idx="37">
                  <c:v>2280</c:v>
                </c:pt>
                <c:pt idx="38">
                  <c:v>2340</c:v>
                </c:pt>
                <c:pt idx="39">
                  <c:v>2400</c:v>
                </c:pt>
                <c:pt idx="40">
                  <c:v>2460</c:v>
                </c:pt>
                <c:pt idx="41">
                  <c:v>2520</c:v>
                </c:pt>
                <c:pt idx="42">
                  <c:v>2580</c:v>
                </c:pt>
                <c:pt idx="43">
                  <c:v>2640</c:v>
                </c:pt>
                <c:pt idx="44">
                  <c:v>2700</c:v>
                </c:pt>
                <c:pt idx="45">
                  <c:v>2760</c:v>
                </c:pt>
                <c:pt idx="46">
                  <c:v>2820</c:v>
                </c:pt>
                <c:pt idx="47">
                  <c:v>2880</c:v>
                </c:pt>
                <c:pt idx="48">
                  <c:v>2940</c:v>
                </c:pt>
                <c:pt idx="49">
                  <c:v>3000</c:v>
                </c:pt>
                <c:pt idx="50">
                  <c:v>3060</c:v>
                </c:pt>
                <c:pt idx="51">
                  <c:v>3120</c:v>
                </c:pt>
                <c:pt idx="52">
                  <c:v>3180</c:v>
                </c:pt>
                <c:pt idx="53">
                  <c:v>3240</c:v>
                </c:pt>
                <c:pt idx="54">
                  <c:v>3300</c:v>
                </c:pt>
                <c:pt idx="55">
                  <c:v>3360</c:v>
                </c:pt>
                <c:pt idx="56">
                  <c:v>3420</c:v>
                </c:pt>
                <c:pt idx="57">
                  <c:v>3480</c:v>
                </c:pt>
                <c:pt idx="58">
                  <c:v>3540</c:v>
                </c:pt>
                <c:pt idx="59">
                  <c:v>3600</c:v>
                </c:pt>
                <c:pt idx="60">
                  <c:v>3660</c:v>
                </c:pt>
                <c:pt idx="61">
                  <c:v>3720</c:v>
                </c:pt>
                <c:pt idx="62">
                  <c:v>3780</c:v>
                </c:pt>
                <c:pt idx="63">
                  <c:v>3840</c:v>
                </c:pt>
                <c:pt idx="64">
                  <c:v>3900</c:v>
                </c:pt>
                <c:pt idx="65">
                  <c:v>3960</c:v>
                </c:pt>
                <c:pt idx="66">
                  <c:v>4020</c:v>
                </c:pt>
                <c:pt idx="67">
                  <c:v>4080</c:v>
                </c:pt>
                <c:pt idx="68">
                  <c:v>4140</c:v>
                </c:pt>
                <c:pt idx="69">
                  <c:v>4200</c:v>
                </c:pt>
                <c:pt idx="70">
                  <c:v>4260</c:v>
                </c:pt>
                <c:pt idx="71">
                  <c:v>4320</c:v>
                </c:pt>
                <c:pt idx="72">
                  <c:v>4380</c:v>
                </c:pt>
                <c:pt idx="73">
                  <c:v>4440</c:v>
                </c:pt>
                <c:pt idx="74">
                  <c:v>4500</c:v>
                </c:pt>
                <c:pt idx="75">
                  <c:v>4560</c:v>
                </c:pt>
                <c:pt idx="76">
                  <c:v>4620</c:v>
                </c:pt>
                <c:pt idx="77">
                  <c:v>4680</c:v>
                </c:pt>
                <c:pt idx="78">
                  <c:v>4740</c:v>
                </c:pt>
                <c:pt idx="79">
                  <c:v>4800</c:v>
                </c:pt>
                <c:pt idx="80">
                  <c:v>4860</c:v>
                </c:pt>
                <c:pt idx="81">
                  <c:v>4920</c:v>
                </c:pt>
                <c:pt idx="82">
                  <c:v>4980</c:v>
                </c:pt>
                <c:pt idx="83">
                  <c:v>5040</c:v>
                </c:pt>
                <c:pt idx="84">
                  <c:v>5100</c:v>
                </c:pt>
                <c:pt idx="85">
                  <c:v>5160</c:v>
                </c:pt>
                <c:pt idx="86">
                  <c:v>5220</c:v>
                </c:pt>
                <c:pt idx="87">
                  <c:v>5280</c:v>
                </c:pt>
                <c:pt idx="88">
                  <c:v>5340</c:v>
                </c:pt>
                <c:pt idx="89">
                  <c:v>5400</c:v>
                </c:pt>
                <c:pt idx="90">
                  <c:v>5460</c:v>
                </c:pt>
                <c:pt idx="91">
                  <c:v>5520</c:v>
                </c:pt>
                <c:pt idx="92">
                  <c:v>5580</c:v>
                </c:pt>
                <c:pt idx="93">
                  <c:v>5640</c:v>
                </c:pt>
                <c:pt idx="94">
                  <c:v>5700</c:v>
                </c:pt>
                <c:pt idx="95">
                  <c:v>5760</c:v>
                </c:pt>
                <c:pt idx="96">
                  <c:v>5820</c:v>
                </c:pt>
                <c:pt idx="97">
                  <c:v>5880</c:v>
                </c:pt>
                <c:pt idx="98">
                  <c:v>5940</c:v>
                </c:pt>
                <c:pt idx="99">
                  <c:v>6000</c:v>
                </c:pt>
                <c:pt idx="100">
                  <c:v>6060</c:v>
                </c:pt>
                <c:pt idx="101">
                  <c:v>6120</c:v>
                </c:pt>
                <c:pt idx="102">
                  <c:v>6180</c:v>
                </c:pt>
                <c:pt idx="103">
                  <c:v>6240</c:v>
                </c:pt>
                <c:pt idx="104">
                  <c:v>6300</c:v>
                </c:pt>
                <c:pt idx="105">
                  <c:v>6360</c:v>
                </c:pt>
                <c:pt idx="106">
                  <c:v>6420</c:v>
                </c:pt>
                <c:pt idx="107">
                  <c:v>6480</c:v>
                </c:pt>
                <c:pt idx="108">
                  <c:v>6540</c:v>
                </c:pt>
                <c:pt idx="109">
                  <c:v>6600</c:v>
                </c:pt>
                <c:pt idx="110">
                  <c:v>6660</c:v>
                </c:pt>
                <c:pt idx="111">
                  <c:v>6720</c:v>
                </c:pt>
                <c:pt idx="112">
                  <c:v>6780</c:v>
                </c:pt>
                <c:pt idx="113">
                  <c:v>6840</c:v>
                </c:pt>
                <c:pt idx="114">
                  <c:v>6900</c:v>
                </c:pt>
                <c:pt idx="115">
                  <c:v>6960</c:v>
                </c:pt>
                <c:pt idx="116">
                  <c:v>7020</c:v>
                </c:pt>
                <c:pt idx="117">
                  <c:v>7080</c:v>
                </c:pt>
                <c:pt idx="118">
                  <c:v>7140</c:v>
                </c:pt>
                <c:pt idx="119">
                  <c:v>7200</c:v>
                </c:pt>
                <c:pt idx="120">
                  <c:v>7260</c:v>
                </c:pt>
              </c:numCache>
            </c:numRef>
          </c:xVal>
          <c:yVal>
            <c:numRef>
              <c:f>Sheet2!$D$12:$D$132</c:f>
              <c:numCache>
                <c:formatCode>General</c:formatCode>
                <c:ptCount val="121"/>
                <c:pt idx="0">
                  <c:v>0.014</c:v>
                </c:pt>
                <c:pt idx="1">
                  <c:v>0.02</c:v>
                </c:pt>
                <c:pt idx="2">
                  <c:v>0.026</c:v>
                </c:pt>
                <c:pt idx="3">
                  <c:v>0.032</c:v>
                </c:pt>
                <c:pt idx="4">
                  <c:v>0.038</c:v>
                </c:pt>
                <c:pt idx="5">
                  <c:v>0.045</c:v>
                </c:pt>
                <c:pt idx="6">
                  <c:v>0.051</c:v>
                </c:pt>
                <c:pt idx="7">
                  <c:v>0.057</c:v>
                </c:pt>
                <c:pt idx="8">
                  <c:v>0.061</c:v>
                </c:pt>
                <c:pt idx="9">
                  <c:v>0.067</c:v>
                </c:pt>
                <c:pt idx="10">
                  <c:v>0.073</c:v>
                </c:pt>
                <c:pt idx="11">
                  <c:v>0.079</c:v>
                </c:pt>
                <c:pt idx="12">
                  <c:v>0.085</c:v>
                </c:pt>
                <c:pt idx="13">
                  <c:v>0.091</c:v>
                </c:pt>
                <c:pt idx="14">
                  <c:v>0.097</c:v>
                </c:pt>
                <c:pt idx="15">
                  <c:v>0.104</c:v>
                </c:pt>
                <c:pt idx="16">
                  <c:v>0.11</c:v>
                </c:pt>
                <c:pt idx="17">
                  <c:v>0.116</c:v>
                </c:pt>
                <c:pt idx="18">
                  <c:v>0.123</c:v>
                </c:pt>
                <c:pt idx="19">
                  <c:v>0.129</c:v>
                </c:pt>
                <c:pt idx="20">
                  <c:v>0.136</c:v>
                </c:pt>
                <c:pt idx="21">
                  <c:v>0.143</c:v>
                </c:pt>
                <c:pt idx="22">
                  <c:v>0.151</c:v>
                </c:pt>
                <c:pt idx="23">
                  <c:v>0.158</c:v>
                </c:pt>
                <c:pt idx="24">
                  <c:v>0.161</c:v>
                </c:pt>
                <c:pt idx="25">
                  <c:v>0.167</c:v>
                </c:pt>
                <c:pt idx="26">
                  <c:v>0.175</c:v>
                </c:pt>
                <c:pt idx="27">
                  <c:v>0.181</c:v>
                </c:pt>
                <c:pt idx="28">
                  <c:v>0.188</c:v>
                </c:pt>
                <c:pt idx="29">
                  <c:v>0.195</c:v>
                </c:pt>
                <c:pt idx="30">
                  <c:v>0.201</c:v>
                </c:pt>
                <c:pt idx="31">
                  <c:v>0.209</c:v>
                </c:pt>
                <c:pt idx="32">
                  <c:v>0.216</c:v>
                </c:pt>
                <c:pt idx="33">
                  <c:v>0.222</c:v>
                </c:pt>
                <c:pt idx="34">
                  <c:v>0.229</c:v>
                </c:pt>
                <c:pt idx="35">
                  <c:v>0.236</c:v>
                </c:pt>
                <c:pt idx="36">
                  <c:v>0.244</c:v>
                </c:pt>
                <c:pt idx="37">
                  <c:v>0.251</c:v>
                </c:pt>
                <c:pt idx="38">
                  <c:v>0.258</c:v>
                </c:pt>
                <c:pt idx="39">
                  <c:v>0.268</c:v>
                </c:pt>
                <c:pt idx="40">
                  <c:v>0.276</c:v>
                </c:pt>
                <c:pt idx="41">
                  <c:v>0.276</c:v>
                </c:pt>
                <c:pt idx="42">
                  <c:v>0.284</c:v>
                </c:pt>
                <c:pt idx="43">
                  <c:v>0.291</c:v>
                </c:pt>
                <c:pt idx="44">
                  <c:v>0.299</c:v>
                </c:pt>
                <c:pt idx="45">
                  <c:v>0.307</c:v>
                </c:pt>
                <c:pt idx="46">
                  <c:v>0.314</c:v>
                </c:pt>
                <c:pt idx="47">
                  <c:v>0.323</c:v>
                </c:pt>
                <c:pt idx="48">
                  <c:v>0.331</c:v>
                </c:pt>
                <c:pt idx="49">
                  <c:v>0.34</c:v>
                </c:pt>
                <c:pt idx="50">
                  <c:v>0.349</c:v>
                </c:pt>
                <c:pt idx="51">
                  <c:v>0.358</c:v>
                </c:pt>
                <c:pt idx="52">
                  <c:v>0.367</c:v>
                </c:pt>
                <c:pt idx="53">
                  <c:v>0.377</c:v>
                </c:pt>
                <c:pt idx="54">
                  <c:v>0.349</c:v>
                </c:pt>
                <c:pt idx="55">
                  <c:v>0.356</c:v>
                </c:pt>
                <c:pt idx="56">
                  <c:v>0.362</c:v>
                </c:pt>
                <c:pt idx="57">
                  <c:v>0.369</c:v>
                </c:pt>
                <c:pt idx="58">
                  <c:v>0.375</c:v>
                </c:pt>
                <c:pt idx="59">
                  <c:v>0.382</c:v>
                </c:pt>
                <c:pt idx="60">
                  <c:v>0.389</c:v>
                </c:pt>
                <c:pt idx="61">
                  <c:v>0.396</c:v>
                </c:pt>
                <c:pt idx="62">
                  <c:v>0.402</c:v>
                </c:pt>
                <c:pt idx="63">
                  <c:v>0.409</c:v>
                </c:pt>
                <c:pt idx="64">
                  <c:v>0.416</c:v>
                </c:pt>
                <c:pt idx="65">
                  <c:v>0.423</c:v>
                </c:pt>
                <c:pt idx="66">
                  <c:v>0.429</c:v>
                </c:pt>
                <c:pt idx="67">
                  <c:v>0.437</c:v>
                </c:pt>
                <c:pt idx="68">
                  <c:v>0.443</c:v>
                </c:pt>
                <c:pt idx="69">
                  <c:v>0.451</c:v>
                </c:pt>
                <c:pt idx="70">
                  <c:v>0.458</c:v>
                </c:pt>
                <c:pt idx="71">
                  <c:v>0.465</c:v>
                </c:pt>
                <c:pt idx="72">
                  <c:v>0.472</c:v>
                </c:pt>
                <c:pt idx="73">
                  <c:v>0.479</c:v>
                </c:pt>
                <c:pt idx="74">
                  <c:v>0.487</c:v>
                </c:pt>
                <c:pt idx="75">
                  <c:v>0.493</c:v>
                </c:pt>
                <c:pt idx="76">
                  <c:v>0.501</c:v>
                </c:pt>
                <c:pt idx="77">
                  <c:v>0.508</c:v>
                </c:pt>
                <c:pt idx="78">
                  <c:v>0.517</c:v>
                </c:pt>
                <c:pt idx="79">
                  <c:v>0.525</c:v>
                </c:pt>
                <c:pt idx="80">
                  <c:v>0.501</c:v>
                </c:pt>
                <c:pt idx="81">
                  <c:v>0.507</c:v>
                </c:pt>
                <c:pt idx="82">
                  <c:v>0.513</c:v>
                </c:pt>
                <c:pt idx="83">
                  <c:v>0.519</c:v>
                </c:pt>
                <c:pt idx="84">
                  <c:v>0.524</c:v>
                </c:pt>
                <c:pt idx="85">
                  <c:v>0.53</c:v>
                </c:pt>
                <c:pt idx="86">
                  <c:v>0.536</c:v>
                </c:pt>
                <c:pt idx="87">
                  <c:v>0.542</c:v>
                </c:pt>
                <c:pt idx="88">
                  <c:v>0.547</c:v>
                </c:pt>
                <c:pt idx="89">
                  <c:v>0.553</c:v>
                </c:pt>
                <c:pt idx="90">
                  <c:v>0.559</c:v>
                </c:pt>
                <c:pt idx="91">
                  <c:v>0.565</c:v>
                </c:pt>
                <c:pt idx="92">
                  <c:v>0.571</c:v>
                </c:pt>
                <c:pt idx="93">
                  <c:v>0.576</c:v>
                </c:pt>
                <c:pt idx="94">
                  <c:v>0.581</c:v>
                </c:pt>
                <c:pt idx="95">
                  <c:v>0.586</c:v>
                </c:pt>
                <c:pt idx="96">
                  <c:v>0.591</c:v>
                </c:pt>
                <c:pt idx="97">
                  <c:v>0.597</c:v>
                </c:pt>
                <c:pt idx="98">
                  <c:v>0.602</c:v>
                </c:pt>
                <c:pt idx="99">
                  <c:v>0.608</c:v>
                </c:pt>
                <c:pt idx="100">
                  <c:v>0.614</c:v>
                </c:pt>
                <c:pt idx="101">
                  <c:v>0.619</c:v>
                </c:pt>
                <c:pt idx="102">
                  <c:v>0.624</c:v>
                </c:pt>
                <c:pt idx="103">
                  <c:v>0.63</c:v>
                </c:pt>
                <c:pt idx="104">
                  <c:v>0.635</c:v>
                </c:pt>
                <c:pt idx="105">
                  <c:v>0.641</c:v>
                </c:pt>
                <c:pt idx="106">
                  <c:v>0.646</c:v>
                </c:pt>
                <c:pt idx="107">
                  <c:v>0.651</c:v>
                </c:pt>
                <c:pt idx="108">
                  <c:v>0.657</c:v>
                </c:pt>
                <c:pt idx="109">
                  <c:v>0.662</c:v>
                </c:pt>
                <c:pt idx="110">
                  <c:v>0.668</c:v>
                </c:pt>
                <c:pt idx="111">
                  <c:v>0.673</c:v>
                </c:pt>
                <c:pt idx="112">
                  <c:v>0.678</c:v>
                </c:pt>
                <c:pt idx="113">
                  <c:v>0.684</c:v>
                </c:pt>
                <c:pt idx="114">
                  <c:v>0.689</c:v>
                </c:pt>
                <c:pt idx="115">
                  <c:v>0.694</c:v>
                </c:pt>
                <c:pt idx="116">
                  <c:v>0.699</c:v>
                </c:pt>
                <c:pt idx="117">
                  <c:v>0.705</c:v>
                </c:pt>
                <c:pt idx="118">
                  <c:v>0.711</c:v>
                </c:pt>
                <c:pt idx="119">
                  <c:v>0.716</c:v>
                </c:pt>
                <c:pt idx="120">
                  <c:v>0.721</c:v>
                </c:pt>
              </c:numCache>
            </c:numRef>
          </c:yVal>
          <c:smooth val="1"/>
        </c:ser>
        <c:ser>
          <c:idx val="2"/>
          <c:order val="2"/>
          <c:spPr>
            <a:solidFill>
              <a:srgbClr val="9bbb59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9bbb5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Sheet2!$A$12:$A$132</c:f>
              <c:numCache>
                <c:formatCode>General</c:formatCode>
                <c:ptCount val="121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  <c:pt idx="5">
                  <c:v>360</c:v>
                </c:pt>
                <c:pt idx="6">
                  <c:v>420</c:v>
                </c:pt>
                <c:pt idx="7">
                  <c:v>480</c:v>
                </c:pt>
                <c:pt idx="8">
                  <c:v>540</c:v>
                </c:pt>
                <c:pt idx="9">
                  <c:v>600</c:v>
                </c:pt>
                <c:pt idx="10">
                  <c:v>660</c:v>
                </c:pt>
                <c:pt idx="11">
                  <c:v>720</c:v>
                </c:pt>
                <c:pt idx="12">
                  <c:v>780</c:v>
                </c:pt>
                <c:pt idx="13">
                  <c:v>840</c:v>
                </c:pt>
                <c:pt idx="14">
                  <c:v>900</c:v>
                </c:pt>
                <c:pt idx="15">
                  <c:v>960</c:v>
                </c:pt>
                <c:pt idx="16">
                  <c:v>1020</c:v>
                </c:pt>
                <c:pt idx="17">
                  <c:v>1080</c:v>
                </c:pt>
                <c:pt idx="18">
                  <c:v>1140</c:v>
                </c:pt>
                <c:pt idx="19">
                  <c:v>1200</c:v>
                </c:pt>
                <c:pt idx="20">
                  <c:v>1260</c:v>
                </c:pt>
                <c:pt idx="21">
                  <c:v>1320</c:v>
                </c:pt>
                <c:pt idx="22">
                  <c:v>1380</c:v>
                </c:pt>
                <c:pt idx="23">
                  <c:v>1440</c:v>
                </c:pt>
                <c:pt idx="24">
                  <c:v>1500</c:v>
                </c:pt>
                <c:pt idx="25">
                  <c:v>1560</c:v>
                </c:pt>
                <c:pt idx="26">
                  <c:v>1620</c:v>
                </c:pt>
                <c:pt idx="27">
                  <c:v>1680</c:v>
                </c:pt>
                <c:pt idx="28">
                  <c:v>1740</c:v>
                </c:pt>
                <c:pt idx="29">
                  <c:v>1800</c:v>
                </c:pt>
                <c:pt idx="30">
                  <c:v>1860</c:v>
                </c:pt>
                <c:pt idx="31">
                  <c:v>1920</c:v>
                </c:pt>
                <c:pt idx="32">
                  <c:v>1980</c:v>
                </c:pt>
                <c:pt idx="33">
                  <c:v>2040</c:v>
                </c:pt>
                <c:pt idx="34">
                  <c:v>2100</c:v>
                </c:pt>
                <c:pt idx="35">
                  <c:v>2160</c:v>
                </c:pt>
                <c:pt idx="36">
                  <c:v>2220</c:v>
                </c:pt>
                <c:pt idx="37">
                  <c:v>2280</c:v>
                </c:pt>
                <c:pt idx="38">
                  <c:v>2340</c:v>
                </c:pt>
                <c:pt idx="39">
                  <c:v>2400</c:v>
                </c:pt>
                <c:pt idx="40">
                  <c:v>2460</c:v>
                </c:pt>
                <c:pt idx="41">
                  <c:v>2520</c:v>
                </c:pt>
                <c:pt idx="42">
                  <c:v>2580</c:v>
                </c:pt>
                <c:pt idx="43">
                  <c:v>2640</c:v>
                </c:pt>
                <c:pt idx="44">
                  <c:v>2700</c:v>
                </c:pt>
                <c:pt idx="45">
                  <c:v>2760</c:v>
                </c:pt>
                <c:pt idx="46">
                  <c:v>2820</c:v>
                </c:pt>
                <c:pt idx="47">
                  <c:v>2880</c:v>
                </c:pt>
                <c:pt idx="48">
                  <c:v>2940</c:v>
                </c:pt>
                <c:pt idx="49">
                  <c:v>3000</c:v>
                </c:pt>
                <c:pt idx="50">
                  <c:v>3060</c:v>
                </c:pt>
                <c:pt idx="51">
                  <c:v>3120</c:v>
                </c:pt>
                <c:pt idx="52">
                  <c:v>3180</c:v>
                </c:pt>
                <c:pt idx="53">
                  <c:v>3240</c:v>
                </c:pt>
                <c:pt idx="54">
                  <c:v>3300</c:v>
                </c:pt>
                <c:pt idx="55">
                  <c:v>3360</c:v>
                </c:pt>
                <c:pt idx="56">
                  <c:v>3420</c:v>
                </c:pt>
                <c:pt idx="57">
                  <c:v>3480</c:v>
                </c:pt>
                <c:pt idx="58">
                  <c:v>3540</c:v>
                </c:pt>
                <c:pt idx="59">
                  <c:v>3600</c:v>
                </c:pt>
                <c:pt idx="60">
                  <c:v>3660</c:v>
                </c:pt>
                <c:pt idx="61">
                  <c:v>3720</c:v>
                </c:pt>
                <c:pt idx="62">
                  <c:v>3780</c:v>
                </c:pt>
                <c:pt idx="63">
                  <c:v>3840</c:v>
                </c:pt>
                <c:pt idx="64">
                  <c:v>3900</c:v>
                </c:pt>
                <c:pt idx="65">
                  <c:v>3960</c:v>
                </c:pt>
                <c:pt idx="66">
                  <c:v>4020</c:v>
                </c:pt>
                <c:pt idx="67">
                  <c:v>4080</c:v>
                </c:pt>
                <c:pt idx="68">
                  <c:v>4140</c:v>
                </c:pt>
                <c:pt idx="69">
                  <c:v>4200</c:v>
                </c:pt>
                <c:pt idx="70">
                  <c:v>4260</c:v>
                </c:pt>
                <c:pt idx="71">
                  <c:v>4320</c:v>
                </c:pt>
                <c:pt idx="72">
                  <c:v>4380</c:v>
                </c:pt>
                <c:pt idx="73">
                  <c:v>4440</c:v>
                </c:pt>
                <c:pt idx="74">
                  <c:v>4500</c:v>
                </c:pt>
                <c:pt idx="75">
                  <c:v>4560</c:v>
                </c:pt>
                <c:pt idx="76">
                  <c:v>4620</c:v>
                </c:pt>
                <c:pt idx="77">
                  <c:v>4680</c:v>
                </c:pt>
                <c:pt idx="78">
                  <c:v>4740</c:v>
                </c:pt>
                <c:pt idx="79">
                  <c:v>4800</c:v>
                </c:pt>
                <c:pt idx="80">
                  <c:v>4860</c:v>
                </c:pt>
                <c:pt idx="81">
                  <c:v>4920</c:v>
                </c:pt>
                <c:pt idx="82">
                  <c:v>4980</c:v>
                </c:pt>
                <c:pt idx="83">
                  <c:v>5040</c:v>
                </c:pt>
                <c:pt idx="84">
                  <c:v>5100</c:v>
                </c:pt>
                <c:pt idx="85">
                  <c:v>5160</c:v>
                </c:pt>
                <c:pt idx="86">
                  <c:v>5220</c:v>
                </c:pt>
                <c:pt idx="87">
                  <c:v>5280</c:v>
                </c:pt>
                <c:pt idx="88">
                  <c:v>5340</c:v>
                </c:pt>
                <c:pt idx="89">
                  <c:v>5400</c:v>
                </c:pt>
                <c:pt idx="90">
                  <c:v>5460</c:v>
                </c:pt>
                <c:pt idx="91">
                  <c:v>5520</c:v>
                </c:pt>
                <c:pt idx="92">
                  <c:v>5580</c:v>
                </c:pt>
                <c:pt idx="93">
                  <c:v>5640</c:v>
                </c:pt>
                <c:pt idx="94">
                  <c:v>5700</c:v>
                </c:pt>
                <c:pt idx="95">
                  <c:v>5760</c:v>
                </c:pt>
                <c:pt idx="96">
                  <c:v>5820</c:v>
                </c:pt>
                <c:pt idx="97">
                  <c:v>5880</c:v>
                </c:pt>
                <c:pt idx="98">
                  <c:v>5940</c:v>
                </c:pt>
                <c:pt idx="99">
                  <c:v>6000</c:v>
                </c:pt>
                <c:pt idx="100">
                  <c:v>6060</c:v>
                </c:pt>
                <c:pt idx="101">
                  <c:v>6120</c:v>
                </c:pt>
                <c:pt idx="102">
                  <c:v>6180</c:v>
                </c:pt>
                <c:pt idx="103">
                  <c:v>6240</c:v>
                </c:pt>
                <c:pt idx="104">
                  <c:v>6300</c:v>
                </c:pt>
                <c:pt idx="105">
                  <c:v>6360</c:v>
                </c:pt>
                <c:pt idx="106">
                  <c:v>6420</c:v>
                </c:pt>
                <c:pt idx="107">
                  <c:v>6480</c:v>
                </c:pt>
                <c:pt idx="108">
                  <c:v>6540</c:v>
                </c:pt>
                <c:pt idx="109">
                  <c:v>6600</c:v>
                </c:pt>
                <c:pt idx="110">
                  <c:v>6660</c:v>
                </c:pt>
                <c:pt idx="111">
                  <c:v>6720</c:v>
                </c:pt>
                <c:pt idx="112">
                  <c:v>6780</c:v>
                </c:pt>
                <c:pt idx="113">
                  <c:v>6840</c:v>
                </c:pt>
                <c:pt idx="114">
                  <c:v>6900</c:v>
                </c:pt>
                <c:pt idx="115">
                  <c:v>6960</c:v>
                </c:pt>
                <c:pt idx="116">
                  <c:v>7020</c:v>
                </c:pt>
                <c:pt idx="117">
                  <c:v>7080</c:v>
                </c:pt>
                <c:pt idx="118">
                  <c:v>7140</c:v>
                </c:pt>
                <c:pt idx="119">
                  <c:v>7200</c:v>
                </c:pt>
                <c:pt idx="120">
                  <c:v>7260</c:v>
                </c:pt>
              </c:numCache>
            </c:numRef>
          </c:xVal>
          <c:yVal>
            <c:numRef>
              <c:f>Sheet2!$F$12:$F$132</c:f>
              <c:numCache>
                <c:formatCode>General</c:formatCode>
                <c:ptCount val="121"/>
                <c:pt idx="0">
                  <c:v>0.023</c:v>
                </c:pt>
                <c:pt idx="1">
                  <c:v>0.03</c:v>
                </c:pt>
                <c:pt idx="2">
                  <c:v>0.037</c:v>
                </c:pt>
                <c:pt idx="3">
                  <c:v>0.044</c:v>
                </c:pt>
                <c:pt idx="4">
                  <c:v>0.052</c:v>
                </c:pt>
                <c:pt idx="5">
                  <c:v>0.059</c:v>
                </c:pt>
                <c:pt idx="6">
                  <c:v>0.067</c:v>
                </c:pt>
                <c:pt idx="7">
                  <c:v>0.074</c:v>
                </c:pt>
                <c:pt idx="8">
                  <c:v>0.082</c:v>
                </c:pt>
                <c:pt idx="9">
                  <c:v>0.089</c:v>
                </c:pt>
                <c:pt idx="10">
                  <c:v>0.097</c:v>
                </c:pt>
                <c:pt idx="11">
                  <c:v>0.105</c:v>
                </c:pt>
                <c:pt idx="12">
                  <c:v>0.112</c:v>
                </c:pt>
                <c:pt idx="13">
                  <c:v>0.12</c:v>
                </c:pt>
                <c:pt idx="14">
                  <c:v>0.128</c:v>
                </c:pt>
                <c:pt idx="15">
                  <c:v>0.135</c:v>
                </c:pt>
                <c:pt idx="16">
                  <c:v>0.143</c:v>
                </c:pt>
                <c:pt idx="17">
                  <c:v>0.151</c:v>
                </c:pt>
                <c:pt idx="18">
                  <c:v>0.159</c:v>
                </c:pt>
                <c:pt idx="19">
                  <c:v>0.167</c:v>
                </c:pt>
                <c:pt idx="20">
                  <c:v>0.174</c:v>
                </c:pt>
                <c:pt idx="21">
                  <c:v>0.182</c:v>
                </c:pt>
                <c:pt idx="22">
                  <c:v>0.191</c:v>
                </c:pt>
                <c:pt idx="23">
                  <c:v>0.198</c:v>
                </c:pt>
                <c:pt idx="24">
                  <c:v>0.207</c:v>
                </c:pt>
                <c:pt idx="25">
                  <c:v>0.215</c:v>
                </c:pt>
                <c:pt idx="26">
                  <c:v>0.223</c:v>
                </c:pt>
                <c:pt idx="27">
                  <c:v>0.231</c:v>
                </c:pt>
                <c:pt idx="28">
                  <c:v>0.24</c:v>
                </c:pt>
                <c:pt idx="29">
                  <c:v>0.248</c:v>
                </c:pt>
                <c:pt idx="30">
                  <c:v>0.256</c:v>
                </c:pt>
                <c:pt idx="31">
                  <c:v>0.264</c:v>
                </c:pt>
                <c:pt idx="32">
                  <c:v>0.273</c:v>
                </c:pt>
                <c:pt idx="33">
                  <c:v>0.281</c:v>
                </c:pt>
                <c:pt idx="34">
                  <c:v>0.289</c:v>
                </c:pt>
                <c:pt idx="35">
                  <c:v>0.297</c:v>
                </c:pt>
                <c:pt idx="36">
                  <c:v>0.305</c:v>
                </c:pt>
                <c:pt idx="37">
                  <c:v>0.314</c:v>
                </c:pt>
                <c:pt idx="38">
                  <c:v>0.322</c:v>
                </c:pt>
                <c:pt idx="39">
                  <c:v>0.327</c:v>
                </c:pt>
                <c:pt idx="40">
                  <c:v>0.336</c:v>
                </c:pt>
                <c:pt idx="41">
                  <c:v>0.344</c:v>
                </c:pt>
                <c:pt idx="42">
                  <c:v>0.352</c:v>
                </c:pt>
                <c:pt idx="43">
                  <c:v>0.361</c:v>
                </c:pt>
                <c:pt idx="44">
                  <c:v>0.369</c:v>
                </c:pt>
                <c:pt idx="45">
                  <c:v>0.378</c:v>
                </c:pt>
                <c:pt idx="46">
                  <c:v>0.386</c:v>
                </c:pt>
                <c:pt idx="47">
                  <c:v>0.395</c:v>
                </c:pt>
                <c:pt idx="48">
                  <c:v>0.398</c:v>
                </c:pt>
                <c:pt idx="49">
                  <c:v>0.406</c:v>
                </c:pt>
                <c:pt idx="50">
                  <c:v>0.414</c:v>
                </c:pt>
                <c:pt idx="51">
                  <c:v>0.423</c:v>
                </c:pt>
                <c:pt idx="52">
                  <c:v>0.431</c:v>
                </c:pt>
                <c:pt idx="53">
                  <c:v>0.44</c:v>
                </c:pt>
                <c:pt idx="54">
                  <c:v>0.447</c:v>
                </c:pt>
                <c:pt idx="55">
                  <c:v>0.456</c:v>
                </c:pt>
                <c:pt idx="56">
                  <c:v>0.463</c:v>
                </c:pt>
                <c:pt idx="57">
                  <c:v>0.472</c:v>
                </c:pt>
                <c:pt idx="58">
                  <c:v>0.481</c:v>
                </c:pt>
                <c:pt idx="59">
                  <c:v>0.489</c:v>
                </c:pt>
                <c:pt idx="60">
                  <c:v>0.494</c:v>
                </c:pt>
                <c:pt idx="61">
                  <c:v>0.502</c:v>
                </c:pt>
                <c:pt idx="62">
                  <c:v>0.51</c:v>
                </c:pt>
                <c:pt idx="63">
                  <c:v>0.519</c:v>
                </c:pt>
                <c:pt idx="64">
                  <c:v>0.528</c:v>
                </c:pt>
                <c:pt idx="65">
                  <c:v>0.536</c:v>
                </c:pt>
                <c:pt idx="66">
                  <c:v>0.544</c:v>
                </c:pt>
                <c:pt idx="67">
                  <c:v>0.552</c:v>
                </c:pt>
                <c:pt idx="68">
                  <c:v>0.561</c:v>
                </c:pt>
                <c:pt idx="69">
                  <c:v>0.572</c:v>
                </c:pt>
                <c:pt idx="70">
                  <c:v>0.574</c:v>
                </c:pt>
                <c:pt idx="71">
                  <c:v>0.582</c:v>
                </c:pt>
                <c:pt idx="72">
                  <c:v>0.59</c:v>
                </c:pt>
                <c:pt idx="73">
                  <c:v>0.598</c:v>
                </c:pt>
                <c:pt idx="74">
                  <c:v>0.606</c:v>
                </c:pt>
                <c:pt idx="75">
                  <c:v>0.614</c:v>
                </c:pt>
                <c:pt idx="76">
                  <c:v>0.623</c:v>
                </c:pt>
                <c:pt idx="77">
                  <c:v>0.634</c:v>
                </c:pt>
                <c:pt idx="78">
                  <c:v>0.642</c:v>
                </c:pt>
                <c:pt idx="79">
                  <c:v>0.651</c:v>
                </c:pt>
                <c:pt idx="80">
                  <c:v>0.659</c:v>
                </c:pt>
                <c:pt idx="81">
                  <c:v>0.668</c:v>
                </c:pt>
                <c:pt idx="82">
                  <c:v>0.677</c:v>
                </c:pt>
                <c:pt idx="83">
                  <c:v>0.685</c:v>
                </c:pt>
                <c:pt idx="84">
                  <c:v>0.694</c:v>
                </c:pt>
                <c:pt idx="85">
                  <c:v>0.704</c:v>
                </c:pt>
                <c:pt idx="86">
                  <c:v>0.713</c:v>
                </c:pt>
                <c:pt idx="87">
                  <c:v>0.721</c:v>
                </c:pt>
                <c:pt idx="88">
                  <c:v>0.768</c:v>
                </c:pt>
                <c:pt idx="89">
                  <c:v>0.799</c:v>
                </c:pt>
                <c:pt idx="90">
                  <c:v>0.818</c:v>
                </c:pt>
                <c:pt idx="91">
                  <c:v>0.835</c:v>
                </c:pt>
                <c:pt idx="92">
                  <c:v>0.856</c:v>
                </c:pt>
                <c:pt idx="93">
                  <c:v>0.746</c:v>
                </c:pt>
                <c:pt idx="94">
                  <c:v>0.754</c:v>
                </c:pt>
                <c:pt idx="95">
                  <c:v>0.761</c:v>
                </c:pt>
                <c:pt idx="96">
                  <c:v>0.768</c:v>
                </c:pt>
                <c:pt idx="97">
                  <c:v>0.774</c:v>
                </c:pt>
                <c:pt idx="98">
                  <c:v>0.782</c:v>
                </c:pt>
                <c:pt idx="99">
                  <c:v>0.789</c:v>
                </c:pt>
                <c:pt idx="100">
                  <c:v>0.796</c:v>
                </c:pt>
                <c:pt idx="101">
                  <c:v>0.804</c:v>
                </c:pt>
                <c:pt idx="102">
                  <c:v>0.811</c:v>
                </c:pt>
                <c:pt idx="103">
                  <c:v>0.818</c:v>
                </c:pt>
                <c:pt idx="104">
                  <c:v>0.825</c:v>
                </c:pt>
                <c:pt idx="105">
                  <c:v>0.833</c:v>
                </c:pt>
                <c:pt idx="106">
                  <c:v>0.84</c:v>
                </c:pt>
                <c:pt idx="107">
                  <c:v>0.847</c:v>
                </c:pt>
                <c:pt idx="108">
                  <c:v>0.854</c:v>
                </c:pt>
                <c:pt idx="109">
                  <c:v>0.861</c:v>
                </c:pt>
                <c:pt idx="110">
                  <c:v>0.869</c:v>
                </c:pt>
                <c:pt idx="111">
                  <c:v>0.875</c:v>
                </c:pt>
                <c:pt idx="112">
                  <c:v>0.882</c:v>
                </c:pt>
                <c:pt idx="113">
                  <c:v>0.889</c:v>
                </c:pt>
                <c:pt idx="114">
                  <c:v>0.896</c:v>
                </c:pt>
                <c:pt idx="115">
                  <c:v>0.903</c:v>
                </c:pt>
                <c:pt idx="116">
                  <c:v>0.91</c:v>
                </c:pt>
                <c:pt idx="117">
                  <c:v>0.916</c:v>
                </c:pt>
                <c:pt idx="118">
                  <c:v>0.924</c:v>
                </c:pt>
                <c:pt idx="119">
                  <c:v>0.931</c:v>
                </c:pt>
                <c:pt idx="120">
                  <c:v>0.938</c:v>
                </c:pt>
              </c:numCache>
            </c:numRef>
          </c:yVal>
          <c:smooth val="1"/>
        </c:ser>
        <c:ser>
          <c:idx val="3"/>
          <c:order val="3"/>
          <c:spPr>
            <a:solidFill>
              <a:srgbClr val="8064a2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8064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Sheet2!$A$12:$A$132</c:f>
              <c:numCache>
                <c:formatCode>General</c:formatCode>
                <c:ptCount val="121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  <c:pt idx="5">
                  <c:v>360</c:v>
                </c:pt>
                <c:pt idx="6">
                  <c:v>420</c:v>
                </c:pt>
                <c:pt idx="7">
                  <c:v>480</c:v>
                </c:pt>
                <c:pt idx="8">
                  <c:v>540</c:v>
                </c:pt>
                <c:pt idx="9">
                  <c:v>600</c:v>
                </c:pt>
                <c:pt idx="10">
                  <c:v>660</c:v>
                </c:pt>
                <c:pt idx="11">
                  <c:v>720</c:v>
                </c:pt>
                <c:pt idx="12">
                  <c:v>780</c:v>
                </c:pt>
                <c:pt idx="13">
                  <c:v>840</c:v>
                </c:pt>
                <c:pt idx="14">
                  <c:v>900</c:v>
                </c:pt>
                <c:pt idx="15">
                  <c:v>960</c:v>
                </c:pt>
                <c:pt idx="16">
                  <c:v>1020</c:v>
                </c:pt>
                <c:pt idx="17">
                  <c:v>1080</c:v>
                </c:pt>
                <c:pt idx="18">
                  <c:v>1140</c:v>
                </c:pt>
                <c:pt idx="19">
                  <c:v>1200</c:v>
                </c:pt>
                <c:pt idx="20">
                  <c:v>1260</c:v>
                </c:pt>
                <c:pt idx="21">
                  <c:v>1320</c:v>
                </c:pt>
                <c:pt idx="22">
                  <c:v>1380</c:v>
                </c:pt>
                <c:pt idx="23">
                  <c:v>1440</c:v>
                </c:pt>
                <c:pt idx="24">
                  <c:v>1500</c:v>
                </c:pt>
                <c:pt idx="25">
                  <c:v>1560</c:v>
                </c:pt>
                <c:pt idx="26">
                  <c:v>1620</c:v>
                </c:pt>
                <c:pt idx="27">
                  <c:v>1680</c:v>
                </c:pt>
                <c:pt idx="28">
                  <c:v>1740</c:v>
                </c:pt>
                <c:pt idx="29">
                  <c:v>1800</c:v>
                </c:pt>
                <c:pt idx="30">
                  <c:v>1860</c:v>
                </c:pt>
                <c:pt idx="31">
                  <c:v>1920</c:v>
                </c:pt>
                <c:pt idx="32">
                  <c:v>1980</c:v>
                </c:pt>
                <c:pt idx="33">
                  <c:v>2040</c:v>
                </c:pt>
                <c:pt idx="34">
                  <c:v>2100</c:v>
                </c:pt>
                <c:pt idx="35">
                  <c:v>2160</c:v>
                </c:pt>
                <c:pt idx="36">
                  <c:v>2220</c:v>
                </c:pt>
                <c:pt idx="37">
                  <c:v>2280</c:v>
                </c:pt>
                <c:pt idx="38">
                  <c:v>2340</c:v>
                </c:pt>
                <c:pt idx="39">
                  <c:v>2400</c:v>
                </c:pt>
                <c:pt idx="40">
                  <c:v>2460</c:v>
                </c:pt>
                <c:pt idx="41">
                  <c:v>2520</c:v>
                </c:pt>
                <c:pt idx="42">
                  <c:v>2580</c:v>
                </c:pt>
                <c:pt idx="43">
                  <c:v>2640</c:v>
                </c:pt>
                <c:pt idx="44">
                  <c:v>2700</c:v>
                </c:pt>
                <c:pt idx="45">
                  <c:v>2760</c:v>
                </c:pt>
                <c:pt idx="46">
                  <c:v>2820</c:v>
                </c:pt>
                <c:pt idx="47">
                  <c:v>2880</c:v>
                </c:pt>
                <c:pt idx="48">
                  <c:v>2940</c:v>
                </c:pt>
                <c:pt idx="49">
                  <c:v>3000</c:v>
                </c:pt>
                <c:pt idx="50">
                  <c:v>3060</c:v>
                </c:pt>
                <c:pt idx="51">
                  <c:v>3120</c:v>
                </c:pt>
                <c:pt idx="52">
                  <c:v>3180</c:v>
                </c:pt>
                <c:pt idx="53">
                  <c:v>3240</c:v>
                </c:pt>
                <c:pt idx="54">
                  <c:v>3300</c:v>
                </c:pt>
                <c:pt idx="55">
                  <c:v>3360</c:v>
                </c:pt>
                <c:pt idx="56">
                  <c:v>3420</c:v>
                </c:pt>
                <c:pt idx="57">
                  <c:v>3480</c:v>
                </c:pt>
                <c:pt idx="58">
                  <c:v>3540</c:v>
                </c:pt>
                <c:pt idx="59">
                  <c:v>3600</c:v>
                </c:pt>
                <c:pt idx="60">
                  <c:v>3660</c:v>
                </c:pt>
                <c:pt idx="61">
                  <c:v>3720</c:v>
                </c:pt>
                <c:pt idx="62">
                  <c:v>3780</c:v>
                </c:pt>
                <c:pt idx="63">
                  <c:v>3840</c:v>
                </c:pt>
                <c:pt idx="64">
                  <c:v>3900</c:v>
                </c:pt>
                <c:pt idx="65">
                  <c:v>3960</c:v>
                </c:pt>
                <c:pt idx="66">
                  <c:v>4020</c:v>
                </c:pt>
                <c:pt idx="67">
                  <c:v>4080</c:v>
                </c:pt>
                <c:pt idx="68">
                  <c:v>4140</c:v>
                </c:pt>
                <c:pt idx="69">
                  <c:v>4200</c:v>
                </c:pt>
                <c:pt idx="70">
                  <c:v>4260</c:v>
                </c:pt>
                <c:pt idx="71">
                  <c:v>4320</c:v>
                </c:pt>
                <c:pt idx="72">
                  <c:v>4380</c:v>
                </c:pt>
                <c:pt idx="73">
                  <c:v>4440</c:v>
                </c:pt>
                <c:pt idx="74">
                  <c:v>4500</c:v>
                </c:pt>
                <c:pt idx="75">
                  <c:v>4560</c:v>
                </c:pt>
                <c:pt idx="76">
                  <c:v>4620</c:v>
                </c:pt>
                <c:pt idx="77">
                  <c:v>4680</c:v>
                </c:pt>
                <c:pt idx="78">
                  <c:v>4740</c:v>
                </c:pt>
                <c:pt idx="79">
                  <c:v>4800</c:v>
                </c:pt>
                <c:pt idx="80">
                  <c:v>4860</c:v>
                </c:pt>
                <c:pt idx="81">
                  <c:v>4920</c:v>
                </c:pt>
                <c:pt idx="82">
                  <c:v>4980</c:v>
                </c:pt>
                <c:pt idx="83">
                  <c:v>5040</c:v>
                </c:pt>
                <c:pt idx="84">
                  <c:v>5100</c:v>
                </c:pt>
                <c:pt idx="85">
                  <c:v>5160</c:v>
                </c:pt>
                <c:pt idx="86">
                  <c:v>5220</c:v>
                </c:pt>
                <c:pt idx="87">
                  <c:v>5280</c:v>
                </c:pt>
                <c:pt idx="88">
                  <c:v>5340</c:v>
                </c:pt>
                <c:pt idx="89">
                  <c:v>5400</c:v>
                </c:pt>
                <c:pt idx="90">
                  <c:v>5460</c:v>
                </c:pt>
                <c:pt idx="91">
                  <c:v>5520</c:v>
                </c:pt>
                <c:pt idx="92">
                  <c:v>5580</c:v>
                </c:pt>
                <c:pt idx="93">
                  <c:v>5640</c:v>
                </c:pt>
                <c:pt idx="94">
                  <c:v>5700</c:v>
                </c:pt>
                <c:pt idx="95">
                  <c:v>5760</c:v>
                </c:pt>
                <c:pt idx="96">
                  <c:v>5820</c:v>
                </c:pt>
                <c:pt idx="97">
                  <c:v>5880</c:v>
                </c:pt>
                <c:pt idx="98">
                  <c:v>5940</c:v>
                </c:pt>
                <c:pt idx="99">
                  <c:v>6000</c:v>
                </c:pt>
                <c:pt idx="100">
                  <c:v>6060</c:v>
                </c:pt>
                <c:pt idx="101">
                  <c:v>6120</c:v>
                </c:pt>
                <c:pt idx="102">
                  <c:v>6180</c:v>
                </c:pt>
                <c:pt idx="103">
                  <c:v>6240</c:v>
                </c:pt>
                <c:pt idx="104">
                  <c:v>6300</c:v>
                </c:pt>
                <c:pt idx="105">
                  <c:v>6360</c:v>
                </c:pt>
                <c:pt idx="106">
                  <c:v>6420</c:v>
                </c:pt>
                <c:pt idx="107">
                  <c:v>6480</c:v>
                </c:pt>
                <c:pt idx="108">
                  <c:v>6540</c:v>
                </c:pt>
                <c:pt idx="109">
                  <c:v>6600</c:v>
                </c:pt>
                <c:pt idx="110">
                  <c:v>6660</c:v>
                </c:pt>
                <c:pt idx="111">
                  <c:v>6720</c:v>
                </c:pt>
                <c:pt idx="112">
                  <c:v>6780</c:v>
                </c:pt>
                <c:pt idx="113">
                  <c:v>6840</c:v>
                </c:pt>
                <c:pt idx="114">
                  <c:v>6900</c:v>
                </c:pt>
                <c:pt idx="115">
                  <c:v>6960</c:v>
                </c:pt>
                <c:pt idx="116">
                  <c:v>7020</c:v>
                </c:pt>
                <c:pt idx="117">
                  <c:v>7080</c:v>
                </c:pt>
                <c:pt idx="118">
                  <c:v>7140</c:v>
                </c:pt>
                <c:pt idx="119">
                  <c:v>7200</c:v>
                </c:pt>
                <c:pt idx="120">
                  <c:v>7260</c:v>
                </c:pt>
              </c:numCache>
            </c:numRef>
          </c:xVal>
          <c:yVal>
            <c:numRef>
              <c:f>Sheet2!$H$12:$H$132</c:f>
              <c:numCache>
                <c:formatCode>General</c:formatCode>
                <c:ptCount val="121"/>
                <c:pt idx="0">
                  <c:v>0.036</c:v>
                </c:pt>
                <c:pt idx="1">
                  <c:v>0.045</c:v>
                </c:pt>
                <c:pt idx="2">
                  <c:v>0.054</c:v>
                </c:pt>
                <c:pt idx="3">
                  <c:v>0.063</c:v>
                </c:pt>
                <c:pt idx="4">
                  <c:v>0.073</c:v>
                </c:pt>
                <c:pt idx="5">
                  <c:v>0.082</c:v>
                </c:pt>
                <c:pt idx="6">
                  <c:v>0.091</c:v>
                </c:pt>
                <c:pt idx="7">
                  <c:v>0.101</c:v>
                </c:pt>
                <c:pt idx="8">
                  <c:v>0.111</c:v>
                </c:pt>
                <c:pt idx="9">
                  <c:v>0.121</c:v>
                </c:pt>
                <c:pt idx="10">
                  <c:v>0.132</c:v>
                </c:pt>
                <c:pt idx="11">
                  <c:v>0.139</c:v>
                </c:pt>
                <c:pt idx="12">
                  <c:v>0.15</c:v>
                </c:pt>
                <c:pt idx="13">
                  <c:v>0.16</c:v>
                </c:pt>
                <c:pt idx="14">
                  <c:v>0.169</c:v>
                </c:pt>
                <c:pt idx="15">
                  <c:v>0.179</c:v>
                </c:pt>
                <c:pt idx="16">
                  <c:v>0.19</c:v>
                </c:pt>
                <c:pt idx="17">
                  <c:v>0.198</c:v>
                </c:pt>
                <c:pt idx="18">
                  <c:v>0.209</c:v>
                </c:pt>
                <c:pt idx="19">
                  <c:v>0.218</c:v>
                </c:pt>
                <c:pt idx="20">
                  <c:v>0.229</c:v>
                </c:pt>
                <c:pt idx="21">
                  <c:v>0.24</c:v>
                </c:pt>
                <c:pt idx="22">
                  <c:v>0.248</c:v>
                </c:pt>
                <c:pt idx="23">
                  <c:v>0.259</c:v>
                </c:pt>
                <c:pt idx="24">
                  <c:v>0.27</c:v>
                </c:pt>
                <c:pt idx="25">
                  <c:v>0.278</c:v>
                </c:pt>
                <c:pt idx="26">
                  <c:v>0.29</c:v>
                </c:pt>
                <c:pt idx="27">
                  <c:v>0.299</c:v>
                </c:pt>
                <c:pt idx="28">
                  <c:v>0.31</c:v>
                </c:pt>
                <c:pt idx="29">
                  <c:v>0.319</c:v>
                </c:pt>
                <c:pt idx="30">
                  <c:v>0.329</c:v>
                </c:pt>
                <c:pt idx="31">
                  <c:v>0.341</c:v>
                </c:pt>
                <c:pt idx="32">
                  <c:v>0.352</c:v>
                </c:pt>
                <c:pt idx="33">
                  <c:v>0.36</c:v>
                </c:pt>
                <c:pt idx="34">
                  <c:v>0.367934453781512</c:v>
                </c:pt>
                <c:pt idx="35">
                  <c:v>0.37778319327731</c:v>
                </c:pt>
                <c:pt idx="36">
                  <c:v>0.387631932773109</c:v>
                </c:pt>
                <c:pt idx="37">
                  <c:v>0.397480672268907</c:v>
                </c:pt>
                <c:pt idx="38">
                  <c:v>0.407329411764705</c:v>
                </c:pt>
                <c:pt idx="39">
                  <c:v>0.417178151260505</c:v>
                </c:pt>
                <c:pt idx="40">
                  <c:v>0.427026890756303</c:v>
                </c:pt>
                <c:pt idx="41">
                  <c:v>0.4368756302521</c:v>
                </c:pt>
                <c:pt idx="42">
                  <c:v>0.446724369747899</c:v>
                </c:pt>
                <c:pt idx="43">
                  <c:v>0.456573109243697</c:v>
                </c:pt>
                <c:pt idx="44">
                  <c:v>0.466421848739495</c:v>
                </c:pt>
                <c:pt idx="45">
                  <c:v>0.476270588235295</c:v>
                </c:pt>
                <c:pt idx="46">
                  <c:v>0.486119327731093</c:v>
                </c:pt>
                <c:pt idx="47">
                  <c:v>0.49596806722689</c:v>
                </c:pt>
                <c:pt idx="48">
                  <c:v>0.505816806722689</c:v>
                </c:pt>
                <c:pt idx="49">
                  <c:v>0.515665546218487</c:v>
                </c:pt>
                <c:pt idx="50">
                  <c:v>0.525514285714285</c:v>
                </c:pt>
                <c:pt idx="51">
                  <c:v>0.535363025210084</c:v>
                </c:pt>
                <c:pt idx="52">
                  <c:v>0.545211764705883</c:v>
                </c:pt>
                <c:pt idx="53">
                  <c:v>0.555060504201681</c:v>
                </c:pt>
                <c:pt idx="54">
                  <c:v>0.56490924369748</c:v>
                </c:pt>
                <c:pt idx="55">
                  <c:v>0.574757983193278</c:v>
                </c:pt>
                <c:pt idx="56">
                  <c:v>0.584606722689076</c:v>
                </c:pt>
                <c:pt idx="57">
                  <c:v>0.594455462184874</c:v>
                </c:pt>
                <c:pt idx="58">
                  <c:v>0.604304201680672</c:v>
                </c:pt>
                <c:pt idx="59">
                  <c:v>0.61415294117647</c:v>
                </c:pt>
                <c:pt idx="60">
                  <c:v>0.624001680672269</c:v>
                </c:pt>
                <c:pt idx="61">
                  <c:v>0.633850420168067</c:v>
                </c:pt>
                <c:pt idx="62">
                  <c:v>0.643699159663865</c:v>
                </c:pt>
                <c:pt idx="63">
                  <c:v>0.653547899159663</c:v>
                </c:pt>
                <c:pt idx="64">
                  <c:v>0.663396638655463</c:v>
                </c:pt>
                <c:pt idx="65">
                  <c:v>0.673245378151261</c:v>
                </c:pt>
                <c:pt idx="66">
                  <c:v>0.683094117647059</c:v>
                </c:pt>
                <c:pt idx="67">
                  <c:v>0.692942857142858</c:v>
                </c:pt>
                <c:pt idx="68">
                  <c:v>0.702791596638656</c:v>
                </c:pt>
                <c:pt idx="69">
                  <c:v>0.712640336134453</c:v>
                </c:pt>
                <c:pt idx="70">
                  <c:v>0.722489075630252</c:v>
                </c:pt>
                <c:pt idx="71">
                  <c:v>0.73233781512605</c:v>
                </c:pt>
                <c:pt idx="72">
                  <c:v>0.742186554621848</c:v>
                </c:pt>
                <c:pt idx="73">
                  <c:v>0.752035294117647</c:v>
                </c:pt>
                <c:pt idx="74">
                  <c:v>0.761884033613445</c:v>
                </c:pt>
                <c:pt idx="75">
                  <c:v>0.771732773109243</c:v>
                </c:pt>
                <c:pt idx="76">
                  <c:v>0.781581512605042</c:v>
                </c:pt>
                <c:pt idx="77">
                  <c:v>0.791430252100841</c:v>
                </c:pt>
                <c:pt idx="78">
                  <c:v>0.801278991596639</c:v>
                </c:pt>
                <c:pt idx="79">
                  <c:v>0.811127731092438</c:v>
                </c:pt>
                <c:pt idx="80">
                  <c:v>0.820976470588236</c:v>
                </c:pt>
                <c:pt idx="81">
                  <c:v>0.830825210084034</c:v>
                </c:pt>
                <c:pt idx="82">
                  <c:v>0.840673949579832</c:v>
                </c:pt>
                <c:pt idx="83">
                  <c:v>0.85052268907563</c:v>
                </c:pt>
                <c:pt idx="84">
                  <c:v>0.860371428571428</c:v>
                </c:pt>
                <c:pt idx="85">
                  <c:v>0.870220168067227</c:v>
                </c:pt>
                <c:pt idx="86">
                  <c:v>0.880068907563025</c:v>
                </c:pt>
                <c:pt idx="87">
                  <c:v>0.889917647058823</c:v>
                </c:pt>
                <c:pt idx="88">
                  <c:v>0.899766386554621</c:v>
                </c:pt>
                <c:pt idx="89">
                  <c:v>0.90961512605042</c:v>
                </c:pt>
                <c:pt idx="90">
                  <c:v>0.919463865546219</c:v>
                </c:pt>
                <c:pt idx="91">
                  <c:v>0.929312605042017</c:v>
                </c:pt>
                <c:pt idx="92">
                  <c:v>0.939161344537816</c:v>
                </c:pt>
                <c:pt idx="93">
                  <c:v>0.949010084033614</c:v>
                </c:pt>
                <c:pt idx="94">
                  <c:v>0.958858823529412</c:v>
                </c:pt>
                <c:pt idx="95">
                  <c:v>0.96870756302521</c:v>
                </c:pt>
                <c:pt idx="96">
                  <c:v>0.978556302521008</c:v>
                </c:pt>
                <c:pt idx="97">
                  <c:v>0.988405042016806</c:v>
                </c:pt>
                <c:pt idx="98">
                  <c:v>0.998253781512605</c:v>
                </c:pt>
                <c:pt idx="99">
                  <c:v>1.0081025210084</c:v>
                </c:pt>
                <c:pt idx="100">
                  <c:v>1.0179512605042</c:v>
                </c:pt>
                <c:pt idx="101">
                  <c:v>1.0278</c:v>
                </c:pt>
                <c:pt idx="102">
                  <c:v>1.0376487394958</c:v>
                </c:pt>
                <c:pt idx="103">
                  <c:v>1.0474974789916</c:v>
                </c:pt>
                <c:pt idx="104">
                  <c:v>1.05734621848739</c:v>
                </c:pt>
                <c:pt idx="105">
                  <c:v>1.06719495798319</c:v>
                </c:pt>
                <c:pt idx="106">
                  <c:v>1.07704369747899</c:v>
                </c:pt>
                <c:pt idx="107">
                  <c:v>1.08689243697479</c:v>
                </c:pt>
                <c:pt idx="108">
                  <c:v>1.09674117647059</c:v>
                </c:pt>
                <c:pt idx="109">
                  <c:v>1.10658991596639</c:v>
                </c:pt>
                <c:pt idx="110">
                  <c:v>1.11643865546218</c:v>
                </c:pt>
                <c:pt idx="111">
                  <c:v>1.12628739495798</c:v>
                </c:pt>
                <c:pt idx="112">
                  <c:v>1.13613613445378</c:v>
                </c:pt>
                <c:pt idx="113">
                  <c:v>1.14598487394958</c:v>
                </c:pt>
                <c:pt idx="114">
                  <c:v>1.15583361344538</c:v>
                </c:pt>
                <c:pt idx="115">
                  <c:v>1.16568235294118</c:v>
                </c:pt>
                <c:pt idx="116">
                  <c:v>1.17553109243697</c:v>
                </c:pt>
                <c:pt idx="117">
                  <c:v>1.18537983193277</c:v>
                </c:pt>
                <c:pt idx="118">
                  <c:v>1.19522857142857</c:v>
                </c:pt>
                <c:pt idx="119">
                  <c:v>1.20507731092437</c:v>
                </c:pt>
                <c:pt idx="120">
                  <c:v>1.218</c:v>
                </c:pt>
              </c:numCache>
            </c:numRef>
          </c:yVal>
          <c:smooth val="1"/>
        </c:ser>
        <c:axId val="34770610"/>
        <c:axId val="13507471"/>
      </c:scatterChart>
      <c:valAx>
        <c:axId val="34770610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Substrate Conc./ss.sss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3507471"/>
        <c:crosses val="autoZero"/>
        <c:crossBetween val="midCat"/>
      </c:valAx>
      <c:valAx>
        <c:axId val="1350747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477061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S, V og S/V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Sheet2!$N$49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xVal>
            <c:numRef>
              <c:f>Sheet2!$N$50:$N$53</c:f>
              <c:numCache>
                <c:formatCode>General</c:formatCode>
                <c:ptCount val="4"/>
                <c:pt idx="0">
                  <c:v>1.52855178403416</c:v>
                </c:pt>
                <c:pt idx="1">
                  <c:v>3.05710356806832</c:v>
                </c:pt>
                <c:pt idx="2">
                  <c:v>4.58565535210248</c:v>
                </c:pt>
                <c:pt idx="3">
                  <c:v>6.11420713613664</c:v>
                </c:pt>
              </c:numCache>
            </c:numRef>
          </c:xVal>
          <c:yVal>
            <c:numRef>
              <c:f>Sheet2!$N$50:$N$53</c:f>
              <c:numCache>
                <c:formatCode>General</c:formatCode>
                <c:ptCount val="4"/>
                <c:pt idx="0">
                  <c:v>1.52855178403416</c:v>
                </c:pt>
                <c:pt idx="1">
                  <c:v>3.05710356806832</c:v>
                </c:pt>
                <c:pt idx="2">
                  <c:v>4.58565535210248</c:v>
                </c:pt>
                <c:pt idx="3">
                  <c:v>6.11420713613664</c:v>
                </c:pt>
              </c:numCache>
            </c:numRef>
          </c:yVal>
          <c:smooth val="1"/>
        </c:ser>
        <c:axId val="3244024"/>
        <c:axId val="75585921"/>
      </c:scatterChart>
      <c:valAx>
        <c:axId val="3244024"/>
        <c:scaling>
          <c:orientation val="minMax"/>
          <c:min val="0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5585921"/>
        <c:crosses val="autoZero"/>
        <c:crossBetween val="midCat"/>
      </c:valAx>
      <c:valAx>
        <c:axId val="7558592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24402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0</xdr:row>
      <xdr:rowOff>0</xdr:rowOff>
    </xdr:from>
    <xdr:to>
      <xdr:col>14</xdr:col>
      <xdr:colOff>377640</xdr:colOff>
      <xdr:row>9</xdr:row>
      <xdr:rowOff>171000</xdr:rowOff>
    </xdr:to>
    <xdr:graphicFrame>
      <xdr:nvGraphicFramePr>
        <xdr:cNvPr id="0" name="Chart 1"/>
        <xdr:cNvGraphicFramePr/>
      </xdr:nvGraphicFramePr>
      <xdr:xfrm>
        <a:off x="5080680" y="0"/>
        <a:ext cx="3200040" cy="164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0</xdr:rowOff>
    </xdr:from>
    <xdr:to>
      <xdr:col>15</xdr:col>
      <xdr:colOff>377640</xdr:colOff>
      <xdr:row>11</xdr:row>
      <xdr:rowOff>161640</xdr:rowOff>
    </xdr:to>
    <xdr:graphicFrame>
      <xdr:nvGraphicFramePr>
        <xdr:cNvPr id="1" name="Chart 2"/>
        <xdr:cNvGraphicFramePr/>
      </xdr:nvGraphicFramePr>
      <xdr:xfrm>
        <a:off x="5645160" y="333360"/>
        <a:ext cx="3200040" cy="163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</xdr:row>
      <xdr:rowOff>0</xdr:rowOff>
    </xdr:from>
    <xdr:to>
      <xdr:col>16</xdr:col>
      <xdr:colOff>377280</xdr:colOff>
      <xdr:row>13</xdr:row>
      <xdr:rowOff>171000</xdr:rowOff>
    </xdr:to>
    <xdr:graphicFrame>
      <xdr:nvGraphicFramePr>
        <xdr:cNvPr id="2" name="Chart 3"/>
        <xdr:cNvGraphicFramePr/>
      </xdr:nvGraphicFramePr>
      <xdr:xfrm>
        <a:off x="6209640" y="657360"/>
        <a:ext cx="3200040" cy="164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171360</xdr:colOff>
      <xdr:row>47</xdr:row>
      <xdr:rowOff>95400</xdr:rowOff>
    </xdr:from>
    <xdr:to>
      <xdr:col>12</xdr:col>
      <xdr:colOff>109800</xdr:colOff>
      <xdr:row>71</xdr:row>
      <xdr:rowOff>95040</xdr:rowOff>
    </xdr:to>
    <xdr:graphicFrame>
      <xdr:nvGraphicFramePr>
        <xdr:cNvPr id="3" name="Chart 4"/>
        <xdr:cNvGraphicFramePr/>
      </xdr:nvGraphicFramePr>
      <xdr:xfrm>
        <a:off x="3870720" y="7763040"/>
        <a:ext cx="4152600" cy="388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129600</xdr:colOff>
      <xdr:row>7</xdr:row>
      <xdr:rowOff>133200</xdr:rowOff>
    </xdr:from>
    <xdr:to>
      <xdr:col>16</xdr:col>
      <xdr:colOff>200160</xdr:colOff>
      <xdr:row>45</xdr:row>
      <xdr:rowOff>161280</xdr:rowOff>
    </xdr:to>
    <xdr:graphicFrame>
      <xdr:nvGraphicFramePr>
        <xdr:cNvPr id="4" name="Chart 5"/>
        <xdr:cNvGraphicFramePr/>
      </xdr:nvGraphicFramePr>
      <xdr:xfrm>
        <a:off x="6055920" y="1266840"/>
        <a:ext cx="6562440" cy="618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314280</xdr:colOff>
      <xdr:row>0</xdr:row>
      <xdr:rowOff>0</xdr:rowOff>
    </xdr:from>
    <xdr:to>
      <xdr:col>23</xdr:col>
      <xdr:colOff>383760</xdr:colOff>
      <xdr:row>42</xdr:row>
      <xdr:rowOff>28440</xdr:rowOff>
    </xdr:to>
    <xdr:graphicFrame>
      <xdr:nvGraphicFramePr>
        <xdr:cNvPr id="5" name="Chart 6"/>
        <xdr:cNvGraphicFramePr/>
      </xdr:nvGraphicFramePr>
      <xdr:xfrm>
        <a:off x="11038680" y="0"/>
        <a:ext cx="5714640" cy="6829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85680</xdr:colOff>
      <xdr:row>43</xdr:row>
      <xdr:rowOff>152280</xdr:rowOff>
    </xdr:from>
    <xdr:to>
      <xdr:col>9</xdr:col>
      <xdr:colOff>337320</xdr:colOff>
      <xdr:row>65</xdr:row>
      <xdr:rowOff>123480</xdr:rowOff>
    </xdr:to>
    <xdr:graphicFrame>
      <xdr:nvGraphicFramePr>
        <xdr:cNvPr id="6" name="Chart 7"/>
        <xdr:cNvGraphicFramePr/>
      </xdr:nvGraphicFramePr>
      <xdr:xfrm>
        <a:off x="3089160" y="711504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26" min="1" style="0" width="8"/>
  </cols>
  <sheetData>
    <row r="1" customFormat="false" ht="12.75" hidden="false" customHeight="true" outlineLevel="0" collapsed="false">
      <c r="A1" s="1" t="s">
        <v>0</v>
      </c>
    </row>
    <row r="2" customFormat="false" ht="13.5" hidden="false" customHeight="true" outlineLevel="0" collapsed="false"/>
    <row r="3" customFormat="false" ht="12.75" hidden="false" customHeight="true" outlineLevel="0" collapsed="false">
      <c r="A3" s="2" t="s">
        <v>1</v>
      </c>
      <c r="B3" s="2"/>
    </row>
    <row r="4" customFormat="false" ht="12.75" hidden="false" customHeight="true" outlineLevel="0" collapsed="false">
      <c r="A4" s="3" t="s">
        <v>2</v>
      </c>
      <c r="B4" s="3" t="n">
        <v>0.988370054622216</v>
      </c>
    </row>
    <row r="5" customFormat="false" ht="12.75" hidden="false" customHeight="true" outlineLevel="0" collapsed="false">
      <c r="A5" s="3" t="s">
        <v>3</v>
      </c>
      <c r="B5" s="3" t="n">
        <v>0.976875364873922</v>
      </c>
    </row>
    <row r="6" customFormat="false" ht="12.75" hidden="false" customHeight="true" outlineLevel="0" collapsed="false">
      <c r="A6" s="3" t="s">
        <v>4</v>
      </c>
      <c r="B6" s="3" t="n">
        <v>0.953750729747844</v>
      </c>
    </row>
    <row r="7" customFormat="false" ht="12.75" hidden="false" customHeight="true" outlineLevel="0" collapsed="false">
      <c r="A7" s="3" t="s">
        <v>5</v>
      </c>
      <c r="B7" s="3" t="n">
        <v>13082.1079278751</v>
      </c>
    </row>
    <row r="8" customFormat="false" ht="13.5" hidden="false" customHeight="true" outlineLevel="0" collapsed="false">
      <c r="A8" s="4" t="s">
        <v>6</v>
      </c>
      <c r="B8" s="4" t="n">
        <v>3</v>
      </c>
    </row>
    <row r="9" customFormat="false" ht="12.75" hidden="false" customHeight="true" outlineLevel="0" collapsed="false"/>
    <row r="10" customFormat="false" ht="13.5" hidden="false" customHeight="true" outlineLevel="0" collapsed="false">
      <c r="A10" s="1" t="s">
        <v>7</v>
      </c>
    </row>
    <row r="11" customFormat="false" ht="12.75" hidden="false" customHeight="true" outlineLevel="0" collapsed="false">
      <c r="A11" s="2"/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customFormat="false" ht="12.75" hidden="false" customHeight="true" outlineLevel="0" collapsed="false">
      <c r="A12" s="3" t="s">
        <v>13</v>
      </c>
      <c r="B12" s="3" t="n">
        <v>1</v>
      </c>
      <c r="C12" s="3" t="n">
        <v>7229690807.07369</v>
      </c>
      <c r="D12" s="3" t="n">
        <v>7229690807.07369</v>
      </c>
      <c r="E12" s="3" t="n">
        <v>42.2439255602477</v>
      </c>
      <c r="F12" s="3" t="n">
        <v>0.097186459325012</v>
      </c>
    </row>
    <row r="13" customFormat="false" ht="12.75" hidden="false" customHeight="true" outlineLevel="0" collapsed="false">
      <c r="A13" s="3" t="s">
        <v>14</v>
      </c>
      <c r="B13" s="3" t="n">
        <v>1</v>
      </c>
      <c r="C13" s="3" t="n">
        <v>171141547.836572</v>
      </c>
      <c r="D13" s="3" t="n">
        <v>171141547.836572</v>
      </c>
      <c r="E13" s="3"/>
      <c r="F13" s="3"/>
    </row>
    <row r="14" customFormat="false" ht="13.5" hidden="false" customHeight="true" outlineLevel="0" collapsed="false">
      <c r="A14" s="4" t="s">
        <v>15</v>
      </c>
      <c r="B14" s="4" t="n">
        <v>2</v>
      </c>
      <c r="C14" s="4" t="n">
        <v>7400832354.91027</v>
      </c>
      <c r="D14" s="4"/>
      <c r="E14" s="4"/>
      <c r="F14" s="4"/>
    </row>
    <row r="15" customFormat="false" ht="13.5" hidden="false" customHeight="true" outlineLevel="0" collapsed="false"/>
    <row r="16" customFormat="false" ht="12.75" hidden="false" customHeight="true" outlineLevel="0" collapsed="false">
      <c r="A16" s="2"/>
      <c r="B16" s="2" t="s">
        <v>16</v>
      </c>
      <c r="C16" s="2" t="s">
        <v>5</v>
      </c>
      <c r="D16" s="2" t="s">
        <v>17</v>
      </c>
      <c r="E16" s="2" t="s">
        <v>18</v>
      </c>
      <c r="F16" s="2" t="s">
        <v>19</v>
      </c>
      <c r="G16" s="2" t="s">
        <v>20</v>
      </c>
      <c r="H16" s="2" t="s">
        <v>21</v>
      </c>
      <c r="I16" s="2" t="s">
        <v>22</v>
      </c>
    </row>
    <row r="17" customFormat="false" ht="12.75" hidden="false" customHeight="true" outlineLevel="0" collapsed="false">
      <c r="A17" s="3" t="s">
        <v>23</v>
      </c>
      <c r="B17" s="3" t="n">
        <v>17635.3636364347</v>
      </c>
      <c r="C17" s="3" t="n">
        <v>15949.9090321997</v>
      </c>
      <c r="D17" s="3" t="n">
        <v>1.10567173774047</v>
      </c>
      <c r="E17" s="3" t="n">
        <v>0.468078439180696</v>
      </c>
      <c r="F17" s="3" t="n">
        <v>-185026.577810795</v>
      </c>
      <c r="G17" s="3" t="n">
        <v>220297.305083664</v>
      </c>
      <c r="H17" s="3" t="n">
        <v>-185026.577810795</v>
      </c>
      <c r="I17" s="3" t="n">
        <v>220297.305083664</v>
      </c>
    </row>
    <row r="18" customFormat="false" ht="13.5" hidden="false" customHeight="true" outlineLevel="0" collapsed="false">
      <c r="A18" s="4" t="s">
        <v>24</v>
      </c>
      <c r="B18" s="4" t="n">
        <v>8854.54663231771</v>
      </c>
      <c r="C18" s="4" t="n">
        <v>1362.33588100391</v>
      </c>
      <c r="D18" s="4" t="n">
        <v>6.49953271860737</v>
      </c>
      <c r="E18" s="4" t="n">
        <v>0.097186459325012</v>
      </c>
      <c r="F18" s="4" t="n">
        <v>-8455.49783189185</v>
      </c>
      <c r="G18" s="4" t="n">
        <v>26164.5910965273</v>
      </c>
      <c r="H18" s="4" t="n">
        <v>-8455.49783189185</v>
      </c>
      <c r="I18" s="4" t="n">
        <v>26164.5910965273</v>
      </c>
    </row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>
      <c r="A22" s="1" t="s">
        <v>25</v>
      </c>
      <c r="F22" s="1" t="s">
        <v>26</v>
      </c>
    </row>
    <row r="23" customFormat="false" ht="13.5" hidden="false" customHeight="true" outlineLevel="0" collapsed="false"/>
    <row r="24" customFormat="false" ht="12.75" hidden="false" customHeight="true" outlineLevel="0" collapsed="false">
      <c r="A24" s="2" t="s">
        <v>27</v>
      </c>
      <c r="B24" s="2" t="s">
        <v>28</v>
      </c>
      <c r="C24" s="2" t="s">
        <v>29</v>
      </c>
      <c r="D24" s="2" t="s">
        <v>30</v>
      </c>
      <c r="F24" s="2" t="s">
        <v>31</v>
      </c>
      <c r="G24" s="2" t="s">
        <v>32</v>
      </c>
    </row>
    <row r="25" customFormat="false" ht="12.75" hidden="false" customHeight="true" outlineLevel="0" collapsed="false">
      <c r="A25" s="3" t="n">
        <v>1</v>
      </c>
      <c r="B25" s="3" t="n">
        <v>51875.4321678932</v>
      </c>
      <c r="C25" s="3" t="n">
        <v>-6083.05662562903</v>
      </c>
      <c r="D25" s="3" t="n">
        <v>-0.657595949221422</v>
      </c>
      <c r="F25" s="3" t="n">
        <v>16.6666666666667</v>
      </c>
      <c r="G25" s="3" t="n">
        <v>45792.3755422642</v>
      </c>
    </row>
    <row r="26" customFormat="false" ht="12.75" hidden="false" customHeight="true" outlineLevel="0" collapsed="false">
      <c r="A26" s="3" t="n">
        <v>2</v>
      </c>
      <c r="B26" s="3" t="n">
        <v>103235.534965081</v>
      </c>
      <c r="C26" s="3" t="n">
        <v>10645.349094851</v>
      </c>
      <c r="D26" s="3" t="n">
        <v>1.1507929111375</v>
      </c>
      <c r="F26" s="3" t="n">
        <v>50</v>
      </c>
      <c r="G26" s="3" t="n">
        <v>113880.884059932</v>
      </c>
    </row>
    <row r="27" customFormat="false" ht="13.5" hidden="false" customHeight="true" outlineLevel="0" collapsed="false">
      <c r="A27" s="4" t="n">
        <v>3</v>
      </c>
      <c r="B27" s="4" t="n">
        <v>171715.672027998</v>
      </c>
      <c r="C27" s="4" t="n">
        <v>-4562.29246922184</v>
      </c>
      <c r="D27" s="4" t="n">
        <v>-0.493196961916073</v>
      </c>
      <c r="F27" s="4" t="n">
        <v>83.3333333333333</v>
      </c>
      <c r="G27" s="4" t="n">
        <v>167153.379558776</v>
      </c>
    </row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S27" activeCellId="0" sqref="S27"/>
    </sheetView>
  </sheetViews>
  <sheetFormatPr defaultColWidth="14.445312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2.43"/>
    <col collapsed="false" customWidth="true" hidden="false" outlineLevel="0" max="6" min="4" style="0" width="8"/>
    <col collapsed="false" customWidth="true" hidden="false" outlineLevel="0" max="7" min="7" style="0" width="12.43"/>
    <col collapsed="false" customWidth="true" hidden="false" outlineLevel="0" max="9" min="8" style="0" width="8"/>
    <col collapsed="false" customWidth="true" hidden="false" outlineLevel="0" max="10" min="10" style="0" width="12.43"/>
    <col collapsed="false" customWidth="true" hidden="false" outlineLevel="0" max="11" min="11" style="0" width="8"/>
    <col collapsed="false" customWidth="true" hidden="false" outlineLevel="0" max="12" min="12" style="0" width="10.86"/>
    <col collapsed="false" customWidth="true" hidden="false" outlineLevel="0" max="26" min="13" style="0" width="8"/>
  </cols>
  <sheetData>
    <row r="1" customFormat="false" ht="12.75" hidden="false" customHeight="true" outlineLevel="0" collapsed="false">
      <c r="A1" s="1" t="n">
        <v>43</v>
      </c>
    </row>
    <row r="2" customFormat="false" ht="13.5" hidden="false" customHeight="true" outlineLevel="0" collapsed="false">
      <c r="C2" s="1" t="n">
        <v>300</v>
      </c>
      <c r="D2" s="1" t="s">
        <v>33</v>
      </c>
      <c r="H2" s="1" t="s">
        <v>34</v>
      </c>
      <c r="I2" s="1" t="n">
        <v>7.53</v>
      </c>
    </row>
    <row r="3" customFormat="false" ht="13.5" hidden="false" customHeight="true" outlineLevel="0" collapsed="false">
      <c r="J3" s="5"/>
      <c r="K3" s="6"/>
      <c r="L3" s="7"/>
    </row>
    <row r="4" customFormat="false" ht="12.75" hidden="false" customHeight="true" outlineLevel="0" collapsed="false">
      <c r="B4" s="5"/>
      <c r="C4" s="6" t="s">
        <v>35</v>
      </c>
      <c r="D4" s="7"/>
      <c r="F4" s="5"/>
      <c r="G4" s="6" t="s">
        <v>36</v>
      </c>
      <c r="H4" s="7"/>
      <c r="J4" s="8"/>
      <c r="K4" s="3" t="s">
        <v>37</v>
      </c>
      <c r="L4" s="9" t="s">
        <v>38</v>
      </c>
    </row>
    <row r="5" customFormat="false" ht="12.75" hidden="false" customHeight="true" outlineLevel="0" collapsed="false">
      <c r="B5" s="8"/>
      <c r="C5" s="3"/>
      <c r="D5" s="9"/>
      <c r="F5" s="8"/>
      <c r="G5" s="3" t="s">
        <v>39</v>
      </c>
      <c r="H5" s="9"/>
      <c r="J5" s="8" t="s">
        <v>40</v>
      </c>
      <c r="K5" s="3" t="n">
        <v>1</v>
      </c>
      <c r="L5" s="9" t="n">
        <v>9</v>
      </c>
    </row>
    <row r="6" customFormat="false" ht="12.75" hidden="false" customHeight="true" outlineLevel="0" collapsed="false">
      <c r="B6" s="8"/>
      <c r="C6" s="3"/>
      <c r="D6" s="9"/>
      <c r="F6" s="8"/>
      <c r="G6" s="3"/>
      <c r="H6" s="9"/>
      <c r="J6" s="8"/>
      <c r="K6" s="3"/>
      <c r="L6" s="9"/>
    </row>
    <row r="7" customFormat="false" ht="12.75" hidden="false" customHeight="true" outlineLevel="0" collapsed="false">
      <c r="B7" s="8" t="s">
        <v>41</v>
      </c>
      <c r="C7" s="3" t="n">
        <v>138.17</v>
      </c>
      <c r="D7" s="9"/>
      <c r="F7" s="8" t="s">
        <v>41</v>
      </c>
      <c r="G7" s="3" t="n">
        <v>1054.29</v>
      </c>
      <c r="H7" s="9"/>
      <c r="J7" s="8"/>
      <c r="K7" s="3"/>
      <c r="L7" s="9"/>
    </row>
    <row r="8" customFormat="false" ht="12.75" hidden="false" customHeight="true" outlineLevel="0" collapsed="false">
      <c r="B8" s="8" t="s">
        <v>42</v>
      </c>
      <c r="C8" s="3" t="n">
        <v>0.2112</v>
      </c>
      <c r="D8" s="9"/>
      <c r="F8" s="8" t="s">
        <v>42</v>
      </c>
      <c r="G8" s="3" t="n">
        <v>0.0228</v>
      </c>
      <c r="H8" s="9"/>
      <c r="J8" s="8"/>
      <c r="K8" s="3" t="s">
        <v>43</v>
      </c>
      <c r="L8" s="9"/>
    </row>
    <row r="9" customFormat="false" ht="12.75" hidden="false" customHeight="true" outlineLevel="0" collapsed="false">
      <c r="B9" s="8" t="s">
        <v>44</v>
      </c>
      <c r="C9" s="3" t="n">
        <v>0.05</v>
      </c>
      <c r="D9" s="9"/>
      <c r="F9" s="8" t="s">
        <v>44</v>
      </c>
      <c r="G9" s="3" t="n">
        <v>0.004</v>
      </c>
      <c r="H9" s="9"/>
      <c r="J9" s="8" t="s">
        <v>45</v>
      </c>
      <c r="K9" s="3" t="n">
        <f aca="false">55*(0.3/10)</f>
        <v>1.65</v>
      </c>
      <c r="L9" s="9"/>
    </row>
    <row r="10" customFormat="false" ht="12.75" hidden="false" customHeight="true" outlineLevel="0" collapsed="false">
      <c r="B10" s="8" t="s">
        <v>46</v>
      </c>
      <c r="C10" s="3" t="n">
        <f aca="false">C8/C7</f>
        <v>0.001528551784</v>
      </c>
      <c r="D10" s="9"/>
      <c r="F10" s="8" t="s">
        <v>46</v>
      </c>
      <c r="G10" s="3" t="n">
        <f aca="false">G8/G7</f>
        <v>2.162592835E-005</v>
      </c>
      <c r="H10" s="9"/>
      <c r="J10" s="8"/>
      <c r="K10" s="3"/>
      <c r="L10" s="9"/>
    </row>
    <row r="11" customFormat="false" ht="12.75" hidden="false" customHeight="true" outlineLevel="0" collapsed="false">
      <c r="B11" s="8" t="s">
        <v>45</v>
      </c>
      <c r="C11" s="3" t="n">
        <f aca="false">C10/C9</f>
        <v>0.03057103568</v>
      </c>
      <c r="D11" s="9"/>
      <c r="F11" s="8" t="s">
        <v>45</v>
      </c>
      <c r="G11" s="3" t="n">
        <f aca="false">G10/G9</f>
        <v>0.005406482087</v>
      </c>
      <c r="H11" s="9"/>
      <c r="J11" s="8" t="s">
        <v>47</v>
      </c>
      <c r="K11" s="3" t="s">
        <v>48</v>
      </c>
      <c r="L11" s="9" t="n">
        <v>9.5</v>
      </c>
    </row>
    <row r="12" customFormat="false" ht="13.5" hidden="false" customHeight="true" outlineLevel="0" collapsed="false">
      <c r="B12" s="10" t="s">
        <v>49</v>
      </c>
      <c r="C12" s="4" t="n">
        <f aca="false">C11*1000</f>
        <v>30.57103568</v>
      </c>
      <c r="D12" s="11"/>
      <c r="F12" s="8" t="s">
        <v>49</v>
      </c>
      <c r="G12" s="3" t="n">
        <f aca="false">G11*1000</f>
        <v>5.406482087</v>
      </c>
      <c r="H12" s="9"/>
      <c r="J12" s="8"/>
      <c r="K12" s="3" t="s">
        <v>50</v>
      </c>
      <c r="L12" s="9" t="n">
        <v>25</v>
      </c>
    </row>
    <row r="13" customFormat="false" ht="13.5" hidden="false" customHeight="true" outlineLevel="0" collapsed="false">
      <c r="F13" s="10" t="s">
        <v>51</v>
      </c>
      <c r="G13" s="4" t="n">
        <f aca="false">E20*G12/H20</f>
        <v>0.2703241044</v>
      </c>
      <c r="H13" s="11" t="s">
        <v>49</v>
      </c>
      <c r="J13" s="10"/>
      <c r="K13" s="4"/>
      <c r="L13" s="11"/>
    </row>
    <row r="14" customFormat="false" ht="12.75" hidden="false" customHeight="true" outlineLevel="0" collapsed="false"/>
    <row r="15" customFormat="false" ht="12.75" hidden="false" customHeight="true" outlineLevel="0" collapsed="false">
      <c r="G15" s="1" t="n">
        <v>0.240683303</v>
      </c>
    </row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>
      <c r="I18" s="1" t="s">
        <v>52</v>
      </c>
      <c r="J18" s="1" t="s">
        <v>52</v>
      </c>
      <c r="K18" s="1" t="s">
        <v>43</v>
      </c>
      <c r="L18" s="1" t="s">
        <v>43</v>
      </c>
      <c r="M18" s="1" t="s">
        <v>53</v>
      </c>
    </row>
    <row r="19" customFormat="false" ht="13.5" hidden="false" customHeight="true" outlineLevel="0" collapsed="false">
      <c r="B19" s="12" t="s">
        <v>51</v>
      </c>
      <c r="C19" s="4" t="s">
        <v>54</v>
      </c>
      <c r="D19" s="4" t="s">
        <v>55</v>
      </c>
      <c r="E19" s="4" t="s">
        <v>56</v>
      </c>
      <c r="F19" s="4" t="s">
        <v>57</v>
      </c>
      <c r="G19" s="4" t="s">
        <v>58</v>
      </c>
      <c r="H19" s="4" t="s">
        <v>59</v>
      </c>
      <c r="I19" s="4" t="s">
        <v>45</v>
      </c>
      <c r="J19" s="4" t="s">
        <v>49</v>
      </c>
      <c r="K19" s="4" t="s">
        <v>45</v>
      </c>
      <c r="L19" s="4" t="s">
        <v>49</v>
      </c>
      <c r="M19" s="4" t="s">
        <v>49</v>
      </c>
    </row>
    <row r="20" customFormat="false" ht="12.75" hidden="false" customHeight="true" outlineLevel="0" collapsed="false">
      <c r="B20" s="13" t="n">
        <v>1</v>
      </c>
      <c r="C20" s="1" t="n">
        <v>1.7</v>
      </c>
      <c r="D20" s="1" t="n">
        <v>0</v>
      </c>
      <c r="E20" s="1" t="n">
        <v>0.1</v>
      </c>
      <c r="F20" s="1" t="n">
        <v>0.1</v>
      </c>
      <c r="G20" s="1" t="n">
        <v>0.1</v>
      </c>
      <c r="H20" s="1" t="n">
        <f aca="false">SUM(C20:G20)</f>
        <v>2</v>
      </c>
      <c r="I20" s="1" t="n">
        <f aca="false">F20*$C$11/H20</f>
        <v>0.001528551784</v>
      </c>
      <c r="J20" s="14" t="n">
        <f aca="false">I20*1000</f>
        <v>1.528551784</v>
      </c>
      <c r="K20" s="15" t="n">
        <f aca="false">(G20*$K$9)/H20</f>
        <v>0.0825</v>
      </c>
      <c r="L20" s="15" t="n">
        <f aca="false">K20*1000</f>
        <v>82.5</v>
      </c>
      <c r="M20" s="14" t="n">
        <f aca="false">E20*$G$12/H20</f>
        <v>0.27032410435</v>
      </c>
    </row>
    <row r="21" customFormat="false" ht="12.75" hidden="false" customHeight="true" outlineLevel="0" collapsed="false">
      <c r="B21" s="13" t="n">
        <v>2</v>
      </c>
      <c r="C21" s="1" t="n">
        <v>1.6</v>
      </c>
      <c r="D21" s="1" t="n">
        <v>0</v>
      </c>
      <c r="E21" s="1" t="n">
        <v>0.1</v>
      </c>
      <c r="F21" s="1" t="n">
        <v>0.2</v>
      </c>
      <c r="G21" s="1" t="n">
        <v>0.1</v>
      </c>
      <c r="H21" s="1" t="n">
        <f aca="false">SUM(C21:G21)</f>
        <v>2</v>
      </c>
      <c r="I21" s="1" t="n">
        <f aca="false">F21*$C$11/H21</f>
        <v>0.003057103568</v>
      </c>
      <c r="J21" s="14" t="n">
        <f aca="false">I21*1000</f>
        <v>3.057103568</v>
      </c>
      <c r="K21" s="15" t="n">
        <f aca="false">(G21*$K$9)/H21</f>
        <v>0.0825</v>
      </c>
      <c r="L21" s="15" t="n">
        <f aca="false">K21*1000</f>
        <v>82.5</v>
      </c>
      <c r="M21" s="14" t="n">
        <f aca="false">E21*$G$12/H21</f>
        <v>0.27032410435</v>
      </c>
    </row>
    <row r="22" customFormat="false" ht="12.75" hidden="false" customHeight="true" outlineLevel="0" collapsed="false">
      <c r="B22" s="13" t="n">
        <v>3</v>
      </c>
      <c r="C22" s="1" t="n">
        <v>1.5</v>
      </c>
      <c r="D22" s="1" t="n">
        <v>0</v>
      </c>
      <c r="E22" s="1" t="n">
        <v>0.1</v>
      </c>
      <c r="F22" s="1" t="n">
        <v>0.3</v>
      </c>
      <c r="G22" s="1" t="n">
        <v>0.1</v>
      </c>
      <c r="H22" s="1" t="n">
        <f aca="false">SUM(C22:G22)</f>
        <v>2</v>
      </c>
      <c r="I22" s="1" t="n">
        <f aca="false">F22*$C$11/H22</f>
        <v>0.004585655352</v>
      </c>
      <c r="J22" s="14" t="n">
        <f aca="false">I22*1000</f>
        <v>4.585655352</v>
      </c>
      <c r="K22" s="15" t="n">
        <f aca="false">(G22*$K$9)/H22</f>
        <v>0.0825</v>
      </c>
      <c r="L22" s="15" t="n">
        <f aca="false">K22*1000</f>
        <v>82.5</v>
      </c>
      <c r="M22" s="14" t="n">
        <f aca="false">E22*$G$12/H22</f>
        <v>0.27032410435</v>
      </c>
      <c r="R22" s="1" t="n">
        <f aca="false">1.7/2</f>
        <v>0.85</v>
      </c>
    </row>
    <row r="23" customFormat="false" ht="12.75" hidden="false" customHeight="true" outlineLevel="0" collapsed="false">
      <c r="B23" s="16" t="n">
        <v>4</v>
      </c>
      <c r="C23" s="16" t="n">
        <v>1.4</v>
      </c>
      <c r="D23" s="16" t="n">
        <v>0</v>
      </c>
      <c r="E23" s="16" t="n">
        <v>0.1</v>
      </c>
      <c r="F23" s="16" t="n">
        <v>0.4</v>
      </c>
      <c r="G23" s="16" t="n">
        <v>0.1</v>
      </c>
      <c r="H23" s="16" t="n">
        <f aca="false">SUM(C23:G23)</f>
        <v>2</v>
      </c>
      <c r="I23" s="16" t="n">
        <f aca="false">F23*$C$11/H23</f>
        <v>0.006114207136</v>
      </c>
      <c r="J23" s="17" t="n">
        <f aca="false">I23*1000</f>
        <v>6.114207136</v>
      </c>
      <c r="K23" s="17" t="n">
        <f aca="false">(G23*$K$9)/H23</f>
        <v>0.0825</v>
      </c>
      <c r="L23" s="17" t="n">
        <f aca="false">K23*1000</f>
        <v>82.5</v>
      </c>
      <c r="M23" s="14" t="n">
        <f aca="false">E23*$G$12/H23</f>
        <v>0.27032410435</v>
      </c>
    </row>
    <row r="24" customFormat="false" ht="12.75" hidden="false" customHeight="true" outlineLevel="0" collapsed="false">
      <c r="B24" s="13" t="n">
        <v>5</v>
      </c>
      <c r="C24" s="1" t="n">
        <v>1.7</v>
      </c>
      <c r="D24" s="3" t="n">
        <v>0.1</v>
      </c>
      <c r="E24" s="3" t="n">
        <v>0</v>
      </c>
      <c r="F24" s="1" t="n">
        <v>0.1</v>
      </c>
      <c r="G24" s="3" t="n">
        <v>0.1</v>
      </c>
      <c r="H24" s="1" t="n">
        <f aca="false">SUM(C24:G24)</f>
        <v>2</v>
      </c>
      <c r="I24" s="1" t="n">
        <f aca="false">F24*$C$11/H24</f>
        <v>0.001528551784</v>
      </c>
      <c r="J24" s="1" t="n">
        <f aca="false">I24*1000</f>
        <v>1.528551784</v>
      </c>
      <c r="K24" s="3" t="n">
        <f aca="false">(G24*$K$9)/H24</f>
        <v>0.0825</v>
      </c>
      <c r="L24" s="3" t="n">
        <f aca="false">K24*1000</f>
        <v>82.5</v>
      </c>
      <c r="M24" s="1" t="n">
        <f aca="false">E24*$G$12/H24</f>
        <v>0</v>
      </c>
    </row>
    <row r="25" customFormat="false" ht="12.75" hidden="false" customHeight="true" outlineLevel="0" collapsed="false">
      <c r="B25" s="13" t="n">
        <v>6</v>
      </c>
      <c r="C25" s="1" t="n">
        <v>1.6</v>
      </c>
      <c r="D25" s="3" t="n">
        <v>0.1</v>
      </c>
      <c r="E25" s="3" t="n">
        <v>0</v>
      </c>
      <c r="F25" s="1" t="n">
        <v>0.2</v>
      </c>
      <c r="G25" s="3" t="n">
        <v>0.1</v>
      </c>
      <c r="H25" s="1" t="n">
        <f aca="false">SUM(C25:G25)</f>
        <v>2</v>
      </c>
      <c r="I25" s="1" t="n">
        <f aca="false">F25*$C$11/H25</f>
        <v>0.003057103568</v>
      </c>
      <c r="J25" s="1" t="n">
        <f aca="false">I25*1000</f>
        <v>3.057103568</v>
      </c>
      <c r="K25" s="3" t="n">
        <f aca="false">(G25*$K$9)/H25</f>
        <v>0.0825</v>
      </c>
      <c r="L25" s="3" t="n">
        <f aca="false">K25*1000</f>
        <v>82.5</v>
      </c>
      <c r="M25" s="1" t="n">
        <f aca="false">E25*$G$12/H25</f>
        <v>0</v>
      </c>
    </row>
    <row r="26" customFormat="false" ht="12.75" hidden="false" customHeight="true" outlineLevel="0" collapsed="false">
      <c r="B26" s="13" t="n">
        <v>7</v>
      </c>
      <c r="C26" s="1" t="n">
        <v>1.5</v>
      </c>
      <c r="D26" s="3" t="n">
        <v>0.1</v>
      </c>
      <c r="E26" s="3" t="n">
        <v>0</v>
      </c>
      <c r="F26" s="1" t="n">
        <v>0.3</v>
      </c>
      <c r="G26" s="3" t="n">
        <v>0.1</v>
      </c>
      <c r="H26" s="1" t="n">
        <f aca="false">SUM(C26:G26)</f>
        <v>2</v>
      </c>
      <c r="I26" s="1" t="n">
        <f aca="false">F26*$C$11/H26</f>
        <v>0.004585655352</v>
      </c>
      <c r="J26" s="1" t="n">
        <f aca="false">I26*1000</f>
        <v>4.585655352</v>
      </c>
      <c r="K26" s="3" t="n">
        <f aca="false">(G26*$K$9)/H26</f>
        <v>0.0825</v>
      </c>
      <c r="L26" s="3" t="n">
        <f aca="false">K26*1000</f>
        <v>82.5</v>
      </c>
      <c r="M26" s="1" t="n">
        <f aca="false">E26*$G$12/H26</f>
        <v>0</v>
      </c>
    </row>
    <row r="27" customFormat="false" ht="13.5" hidden="false" customHeight="true" outlineLevel="0" collapsed="false">
      <c r="B27" s="12" t="n">
        <v>8</v>
      </c>
      <c r="C27" s="4" t="n">
        <v>1.4</v>
      </c>
      <c r="D27" s="4" t="n">
        <v>0.1</v>
      </c>
      <c r="E27" s="4" t="n">
        <v>0</v>
      </c>
      <c r="F27" s="4" t="n">
        <v>0.4</v>
      </c>
      <c r="G27" s="4" t="n">
        <v>0.1</v>
      </c>
      <c r="H27" s="4" t="n">
        <f aca="false">SUM(C27:G27)</f>
        <v>2</v>
      </c>
      <c r="I27" s="4" t="n">
        <f aca="false">F27*$C$11/H27</f>
        <v>0.006114207136</v>
      </c>
      <c r="J27" s="4" t="n">
        <f aca="false">I27*1000</f>
        <v>6.114207136</v>
      </c>
      <c r="K27" s="4" t="n">
        <f aca="false">(G27*$K$9)/H27</f>
        <v>0.0825</v>
      </c>
      <c r="L27" s="4" t="n">
        <f aca="false">K27*1000</f>
        <v>82.5</v>
      </c>
      <c r="M27" s="4" t="n">
        <f aca="false">E27*$G$12/H27</f>
        <v>0</v>
      </c>
      <c r="S27" s="0" t="s">
        <v>60</v>
      </c>
    </row>
    <row r="28" customFormat="false" ht="12.75" hidden="false" customHeight="true" outlineLevel="0" collapsed="false">
      <c r="C28" s="1" t="n">
        <f aca="false">SUM(C20:C27)</f>
        <v>12.4</v>
      </c>
      <c r="D28" s="1" t="n">
        <f aca="false">SUM(D20:D27)</f>
        <v>0.4</v>
      </c>
      <c r="E28" s="1" t="n">
        <f aca="false">SUM(E20:E27)</f>
        <v>0.4</v>
      </c>
      <c r="F28" s="1" t="n">
        <f aca="false">SUM(F20:F27)</f>
        <v>2</v>
      </c>
      <c r="G28" s="1" t="n">
        <f aca="false">SUM(G20:G27)</f>
        <v>0.8</v>
      </c>
    </row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>
      <c r="I33" s="1" t="n">
        <v>0.016828844</v>
      </c>
      <c r="J33" s="1" t="n">
        <v>0.016828844</v>
      </c>
    </row>
    <row r="34" customFormat="false" ht="12.75" hidden="false" customHeight="true" outlineLevel="0" collapsed="false">
      <c r="L34" s="18"/>
      <c r="M34" s="18" t="n">
        <v>2.91092E-005</v>
      </c>
    </row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>
      <c r="I38" s="1" t="s">
        <v>61</v>
      </c>
      <c r="J38" s="3" t="n">
        <v>0.0342557932279699</v>
      </c>
      <c r="K38" s="1" t="s">
        <v>62</v>
      </c>
    </row>
    <row r="39" customFormat="false" ht="12.75" hidden="false" customHeight="true" outlineLevel="0" collapsed="false">
      <c r="H39" s="18"/>
      <c r="I39" s="1" t="s">
        <v>61</v>
      </c>
      <c r="J39" s="1" t="n">
        <f aca="false">J38/I2</f>
        <v>0.004549242129</v>
      </c>
      <c r="K39" s="1" t="s">
        <v>63</v>
      </c>
    </row>
    <row r="40" customFormat="false" ht="12.75" hidden="false" customHeight="true" outlineLevel="0" collapsed="false">
      <c r="I40" s="1" t="s">
        <v>64</v>
      </c>
      <c r="J40" s="3" t="n">
        <v>1.35003298051701</v>
      </c>
      <c r="K40" s="1" t="s">
        <v>65</v>
      </c>
    </row>
    <row r="41" customFormat="false" ht="12.75" hidden="false" customHeight="true" outlineLevel="0" collapsed="false">
      <c r="I41" s="1" t="s">
        <v>66</v>
      </c>
      <c r="J41" s="1" t="n">
        <f aca="false">J39/G13</f>
        <v>0.0168288438</v>
      </c>
      <c r="K41" s="1" t="s">
        <v>67</v>
      </c>
      <c r="N41" s="1" t="n">
        <v>0.006554225</v>
      </c>
    </row>
    <row r="42" customFormat="false" ht="12.75" hidden="false" customHeight="true" outlineLevel="0" collapsed="false">
      <c r="J42" s="1" t="n">
        <f aca="false">J41/60</f>
        <v>0.00028048073</v>
      </c>
      <c r="K42" s="1" t="s">
        <v>68</v>
      </c>
    </row>
    <row r="43" customFormat="false" ht="12.75" hidden="false" customHeight="true" outlineLevel="0" collapsed="false">
      <c r="I43" s="1" t="s">
        <v>69</v>
      </c>
      <c r="J43" s="18" t="n">
        <v>1.43E-009</v>
      </c>
      <c r="K43" s="1" t="s">
        <v>70</v>
      </c>
    </row>
    <row r="44" customFormat="false" ht="12.75" hidden="false" customHeight="true" outlineLevel="0" collapsed="false">
      <c r="J44" s="19" t="n">
        <f aca="false">60*J43</f>
        <v>8.58E-008</v>
      </c>
      <c r="K44" s="1" t="s">
        <v>67</v>
      </c>
    </row>
    <row r="45" customFormat="false" ht="12.75" hidden="false" customHeight="true" outlineLevel="0" collapsed="false">
      <c r="I45" s="1" t="s">
        <v>71</v>
      </c>
      <c r="J45" s="18" t="n">
        <f aca="false">J42/J43</f>
        <v>196140.3707</v>
      </c>
    </row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customFormat="false" ht="13.5" hidden="false" customHeight="true" outlineLevel="0" collapsed="false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customFormat="false" ht="12.75" hidden="false" customHeight="true" outlineLevel="0" collapsed="false">
      <c r="B86" s="3"/>
      <c r="C86" s="5" t="s">
        <v>72</v>
      </c>
      <c r="D86" s="6"/>
      <c r="E86" s="6"/>
      <c r="F86" s="6"/>
      <c r="G86" s="6"/>
      <c r="H86" s="6"/>
      <c r="I86" s="6"/>
      <c r="J86" s="6"/>
      <c r="K86" s="6"/>
      <c r="L86" s="7"/>
      <c r="M86" s="3"/>
    </row>
    <row r="87" customFormat="false" ht="12.75" hidden="false" customHeight="true" outlineLevel="0" collapsed="false">
      <c r="B87" s="3"/>
      <c r="C87" s="8" t="s">
        <v>73</v>
      </c>
      <c r="D87" s="3"/>
      <c r="E87" s="3"/>
      <c r="F87" s="3"/>
      <c r="G87" s="3"/>
      <c r="H87" s="3"/>
      <c r="I87" s="3"/>
      <c r="J87" s="3"/>
      <c r="K87" s="3"/>
      <c r="L87" s="9"/>
      <c r="M87" s="3"/>
    </row>
    <row r="88" customFormat="false" ht="12.75" hidden="false" customHeight="true" outlineLevel="0" collapsed="false">
      <c r="B88" s="3"/>
      <c r="C88" s="8" t="s">
        <v>74</v>
      </c>
      <c r="D88" s="3"/>
      <c r="E88" s="3"/>
      <c r="F88" s="3"/>
      <c r="G88" s="3"/>
      <c r="H88" s="3"/>
      <c r="I88" s="3"/>
      <c r="J88" s="3"/>
      <c r="K88" s="3"/>
      <c r="L88" s="9"/>
      <c r="M88" s="3"/>
    </row>
    <row r="89" customFormat="false" ht="13.5" hidden="false" customHeight="true" outlineLevel="0" collapsed="false">
      <c r="B89" s="3"/>
      <c r="C89" s="10" t="s">
        <v>75</v>
      </c>
      <c r="D89" s="4"/>
      <c r="E89" s="4"/>
      <c r="F89" s="4"/>
      <c r="G89" s="4"/>
      <c r="H89" s="4"/>
      <c r="I89" s="4"/>
      <c r="J89" s="4"/>
      <c r="K89" s="4"/>
      <c r="L89" s="11"/>
      <c r="M89" s="3"/>
    </row>
    <row r="90" customFormat="false" ht="12.75" hidden="false" customHeight="true" outlineLevel="0" collapsed="false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customFormat="false" ht="12.75" hidden="false" customHeight="true" outlineLevel="0" collapsed="false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customFormat="false" ht="12.75" hidden="false" customHeight="true" outlineLevel="0" collapsed="false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customFormat="false" ht="12.75" hidden="false" customHeight="true" outlineLevel="0" collapsed="false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customFormat="false" ht="12.75" hidden="false" customHeight="true" outlineLevel="0" collapsed="false">
      <c r="B94" s="3"/>
      <c r="C94" s="3"/>
      <c r="D94" s="3"/>
      <c r="E94" s="3"/>
      <c r="F94" s="3"/>
      <c r="G94" s="3"/>
      <c r="H94" s="3"/>
      <c r="I94" s="3"/>
      <c r="J94" s="3"/>
      <c r="K94" s="20"/>
      <c r="L94" s="3"/>
      <c r="M94" s="3"/>
    </row>
    <row r="95" customFormat="false" ht="12.75" hidden="false" customHeight="true" outlineLevel="0" collapsed="false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customFormat="false" ht="13.5" hidden="false" customHeight="true" outlineLevel="0" collapsed="false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customFormat="false" ht="12.75" hidden="false" customHeight="true" outlineLevel="0" collapsed="false">
      <c r="B97" s="3"/>
      <c r="C97" s="5" t="s">
        <v>76</v>
      </c>
      <c r="D97" s="6"/>
      <c r="E97" s="6"/>
      <c r="F97" s="6"/>
      <c r="G97" s="6"/>
      <c r="H97" s="6" t="s">
        <v>76</v>
      </c>
      <c r="I97" s="6"/>
      <c r="J97" s="6"/>
      <c r="K97" s="7"/>
      <c r="L97" s="3"/>
      <c r="M97" s="3"/>
    </row>
    <row r="98" customFormat="false" ht="12.75" hidden="false" customHeight="true" outlineLevel="0" collapsed="false">
      <c r="B98" s="3"/>
      <c r="C98" s="8" t="s">
        <v>77</v>
      </c>
      <c r="D98" s="3"/>
      <c r="E98" s="3"/>
      <c r="F98" s="3"/>
      <c r="G98" s="3"/>
      <c r="H98" s="3" t="s">
        <v>78</v>
      </c>
      <c r="I98" s="3"/>
      <c r="J98" s="3"/>
      <c r="K98" s="9"/>
      <c r="L98" s="3"/>
      <c r="M98" s="3"/>
    </row>
    <row r="99" customFormat="false" ht="12.75" hidden="false" customHeight="true" outlineLevel="0" collapsed="false">
      <c r="B99" s="3"/>
      <c r="C99" s="8" t="s">
        <v>79</v>
      </c>
      <c r="D99" s="3"/>
      <c r="E99" s="3"/>
      <c r="F99" s="3"/>
      <c r="G99" s="3"/>
      <c r="H99" s="3"/>
      <c r="I99" s="3" t="s">
        <v>80</v>
      </c>
      <c r="J99" s="3" t="s">
        <v>81</v>
      </c>
      <c r="K99" s="9"/>
      <c r="L99" s="3"/>
      <c r="M99" s="3"/>
    </row>
    <row r="100" customFormat="false" ht="12.75" hidden="false" customHeight="true" outlineLevel="0" collapsed="false">
      <c r="B100" s="3"/>
      <c r="C100" s="8" t="s">
        <v>82</v>
      </c>
      <c r="D100" s="3" t="s">
        <v>83</v>
      </c>
      <c r="E100" s="3" t="s">
        <v>84</v>
      </c>
      <c r="F100" s="3" t="s">
        <v>85</v>
      </c>
      <c r="G100" s="3" t="s">
        <v>86</v>
      </c>
      <c r="H100" s="3" t="s">
        <v>87</v>
      </c>
      <c r="I100" s="3"/>
      <c r="J100" s="3"/>
      <c r="K100" s="9"/>
      <c r="L100" s="3"/>
      <c r="M100" s="3"/>
    </row>
    <row r="101" customFormat="false" ht="12.75" hidden="false" customHeight="true" outlineLevel="0" collapsed="false">
      <c r="B101" s="3"/>
      <c r="C101" s="8" t="s">
        <v>88</v>
      </c>
      <c r="D101" s="3" t="n">
        <v>1.52859999979509</v>
      </c>
      <c r="E101" s="3" t="n">
        <v>0</v>
      </c>
      <c r="F101" s="3" t="n">
        <v>0.003134517966559</v>
      </c>
      <c r="G101" s="3" t="s">
        <v>89</v>
      </c>
      <c r="H101" s="3"/>
      <c r="I101" s="3" t="s">
        <v>90</v>
      </c>
      <c r="J101" s="3" t="n">
        <v>0.0342557932279699</v>
      </c>
      <c r="K101" s="9"/>
      <c r="L101" s="3"/>
      <c r="M101" s="3"/>
    </row>
    <row r="102" customFormat="false" ht="12.75" hidden="false" customHeight="true" outlineLevel="0" collapsed="false">
      <c r="B102" s="3"/>
      <c r="C102" s="8" t="s">
        <v>91</v>
      </c>
      <c r="D102" s="3" t="n">
        <v>3.05709999991532</v>
      </c>
      <c r="E102" s="3" t="n">
        <v>0</v>
      </c>
      <c r="F102" s="3" t="n">
        <v>0.005895702463253</v>
      </c>
      <c r="G102" s="3" t="s">
        <v>89</v>
      </c>
      <c r="H102" s="3"/>
      <c r="I102" s="3" t="s">
        <v>64</v>
      </c>
      <c r="J102" s="3" t="n">
        <v>15.0673302757096</v>
      </c>
      <c r="K102" s="9"/>
      <c r="L102" s="3"/>
      <c r="M102" s="3"/>
    </row>
    <row r="103" customFormat="false" ht="12.75" hidden="false" customHeight="true" outlineLevel="0" collapsed="false">
      <c r="B103" s="3"/>
      <c r="C103" s="8" t="s">
        <v>92</v>
      </c>
      <c r="D103" s="3" t="n">
        <v>4.58569999971042</v>
      </c>
      <c r="E103" s="3" t="n">
        <v>0</v>
      </c>
      <c r="F103" s="3" t="n">
        <v>0.007835478187156</v>
      </c>
      <c r="G103" s="3" t="s">
        <v>89</v>
      </c>
      <c r="H103" s="3" t="s">
        <v>93</v>
      </c>
      <c r="I103" s="3"/>
      <c r="J103" s="3"/>
      <c r="K103" s="9"/>
      <c r="L103" s="3"/>
      <c r="M103" s="3"/>
    </row>
    <row r="104" customFormat="false" ht="12.75" hidden="false" customHeight="true" outlineLevel="0" collapsed="false">
      <c r="B104" s="3"/>
      <c r="C104" s="8" t="s">
        <v>94</v>
      </c>
      <c r="D104" s="3" t="n">
        <v>6.11419999983064</v>
      </c>
      <c r="E104" s="3" t="n">
        <v>0</v>
      </c>
      <c r="F104" s="3" t="n">
        <v>0.009955307425981</v>
      </c>
      <c r="G104" s="3" t="s">
        <v>89</v>
      </c>
      <c r="H104" s="3"/>
      <c r="I104" s="3" t="s">
        <v>95</v>
      </c>
      <c r="J104" s="3" t="n">
        <v>272.164486037168</v>
      </c>
      <c r="K104" s="9"/>
      <c r="L104" s="3"/>
      <c r="M104" s="3"/>
    </row>
    <row r="105" customFormat="false" ht="13.5" hidden="false" customHeight="true" outlineLevel="0" collapsed="false">
      <c r="B105" s="3"/>
      <c r="C105" s="10"/>
      <c r="D105" s="4"/>
      <c r="E105" s="4"/>
      <c r="F105" s="4"/>
      <c r="G105" s="4"/>
      <c r="H105" s="4"/>
      <c r="I105" s="4" t="s">
        <v>96</v>
      </c>
      <c r="J105" s="4" t="n">
        <v>0.986604749935401</v>
      </c>
      <c r="K105" s="11"/>
      <c r="L105" s="3"/>
      <c r="M105" s="3"/>
    </row>
    <row r="106" customFormat="false" ht="13.5" hidden="false" customHeight="true" outlineLevel="0" collapsed="false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customFormat="false" ht="12.75" hidden="false" customHeight="true" outlineLevel="0" collapsed="false">
      <c r="B107" s="3"/>
      <c r="C107" s="5"/>
      <c r="D107" s="6"/>
      <c r="E107" s="6"/>
      <c r="F107" s="6"/>
      <c r="G107" s="6"/>
      <c r="H107" s="6"/>
      <c r="I107" s="6"/>
      <c r="J107" s="6"/>
      <c r="K107" s="7"/>
      <c r="L107" s="3"/>
      <c r="M107" s="3"/>
    </row>
    <row r="108" customFormat="false" ht="12.75" hidden="false" customHeight="true" outlineLevel="0" collapsed="false">
      <c r="B108" s="3"/>
      <c r="C108" s="8"/>
      <c r="D108" s="3"/>
      <c r="E108" s="3"/>
      <c r="F108" s="3"/>
      <c r="G108" s="3"/>
      <c r="H108" s="3"/>
      <c r="I108" s="3"/>
      <c r="J108" s="3"/>
      <c r="K108" s="9"/>
      <c r="L108" s="3"/>
      <c r="M108" s="3"/>
    </row>
    <row r="109" customFormat="false" ht="12.75" hidden="false" customHeight="true" outlineLevel="0" collapsed="false">
      <c r="B109" s="3"/>
      <c r="C109" s="8"/>
      <c r="D109" s="3"/>
      <c r="E109" s="3"/>
      <c r="F109" s="3"/>
      <c r="G109" s="3"/>
      <c r="H109" s="3"/>
      <c r="I109" s="3"/>
      <c r="J109" s="3"/>
      <c r="K109" s="9"/>
      <c r="L109" s="3"/>
      <c r="M109" s="3"/>
    </row>
    <row r="110" customFormat="false" ht="12.75" hidden="false" customHeight="true" outlineLevel="0" collapsed="false">
      <c r="B110" s="3"/>
      <c r="C110" s="8"/>
      <c r="D110" s="3"/>
      <c r="E110" s="3"/>
      <c r="F110" s="3"/>
      <c r="G110" s="3"/>
      <c r="H110" s="3"/>
      <c r="I110" s="3"/>
      <c r="J110" s="3"/>
      <c r="K110" s="9"/>
      <c r="L110" s="3"/>
      <c r="M110" s="3"/>
    </row>
    <row r="111" customFormat="false" ht="12.75" hidden="false" customHeight="true" outlineLevel="0" collapsed="false">
      <c r="B111" s="3"/>
      <c r="C111" s="8"/>
      <c r="D111" s="3"/>
      <c r="E111" s="3"/>
      <c r="F111" s="3"/>
      <c r="G111" s="3"/>
      <c r="H111" s="3"/>
      <c r="I111" s="3"/>
      <c r="J111" s="3"/>
      <c r="K111" s="9"/>
    </row>
    <row r="112" customFormat="false" ht="12.75" hidden="false" customHeight="true" outlineLevel="0" collapsed="false">
      <c r="B112" s="3"/>
      <c r="C112" s="8"/>
      <c r="D112" s="3"/>
      <c r="E112" s="3"/>
      <c r="F112" s="3"/>
      <c r="G112" s="3"/>
      <c r="H112" s="3"/>
      <c r="I112" s="3"/>
      <c r="J112" s="3"/>
      <c r="K112" s="9"/>
    </row>
    <row r="113" customFormat="false" ht="12.75" hidden="false" customHeight="true" outlineLevel="0" collapsed="false">
      <c r="B113" s="3"/>
      <c r="C113" s="8"/>
      <c r="D113" s="3"/>
      <c r="E113" s="3"/>
      <c r="F113" s="3"/>
      <c r="G113" s="3"/>
      <c r="H113" s="3"/>
      <c r="I113" s="3"/>
      <c r="J113" s="3"/>
      <c r="K113" s="21"/>
    </row>
    <row r="114" customFormat="false" ht="12.75" hidden="false" customHeight="true" outlineLevel="0" collapsed="false">
      <c r="B114" s="3"/>
      <c r="C114" s="8"/>
      <c r="D114" s="3"/>
      <c r="E114" s="3"/>
      <c r="F114" s="3"/>
      <c r="G114" s="3"/>
      <c r="H114" s="3"/>
      <c r="I114" s="3"/>
      <c r="J114" s="3"/>
      <c r="K114" s="9"/>
    </row>
    <row r="115" customFormat="false" ht="13.5" hidden="false" customHeight="true" outlineLevel="0" collapsed="false">
      <c r="B115" s="3"/>
      <c r="C115" s="10"/>
      <c r="D115" s="4"/>
      <c r="E115" s="4"/>
      <c r="F115" s="4"/>
      <c r="G115" s="4"/>
      <c r="H115" s="4"/>
      <c r="I115" s="4"/>
      <c r="J115" s="4"/>
      <c r="K115" s="11"/>
    </row>
    <row r="116" customFormat="false" ht="12.75" hidden="false" customHeight="true" outlineLevel="0" collapsed="false">
      <c r="B116" s="3"/>
      <c r="F116" s="3"/>
    </row>
    <row r="117" customFormat="false" ht="12.75" hidden="false" customHeight="true" outlineLevel="0" collapsed="false">
      <c r="B117" s="3"/>
      <c r="C117" s="3"/>
      <c r="D117" s="3"/>
      <c r="E117" s="3"/>
      <c r="F117" s="3"/>
      <c r="G117" s="3"/>
      <c r="H117" s="3"/>
    </row>
    <row r="118" customFormat="false" ht="12.75" hidden="false" customHeight="true" outlineLevel="0" collapsed="false">
      <c r="B118" s="3"/>
      <c r="C118" s="3"/>
      <c r="D118" s="3"/>
      <c r="E118" s="3"/>
      <c r="F118" s="3"/>
      <c r="G118" s="3"/>
      <c r="H118" s="3"/>
    </row>
    <row r="119" customFormat="false" ht="12.75" hidden="false" customHeight="true" outlineLevel="0" collapsed="false"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customFormat="false" ht="12.75" hidden="false" customHeight="true" outlineLevel="0" collapsed="false">
      <c r="B120" s="3"/>
      <c r="C120" s="3"/>
      <c r="D120" s="3"/>
      <c r="E120" s="3"/>
      <c r="F120" s="3"/>
      <c r="G120" s="3"/>
      <c r="H120" s="3"/>
    </row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14.57"/>
    <col collapsed="false" customWidth="true" hidden="false" outlineLevel="0" max="2" min="2" style="0" width="13.43"/>
    <col collapsed="false" customWidth="true" hidden="false" outlineLevel="0" max="3" min="3" style="0" width="14.57"/>
    <col collapsed="false" customWidth="true" hidden="false" outlineLevel="0" max="4" min="4" style="0" width="13.43"/>
    <col collapsed="false" customWidth="true" hidden="false" outlineLevel="0" max="5" min="5" style="0" width="14.57"/>
    <col collapsed="false" customWidth="true" hidden="false" outlineLevel="0" max="6" min="6" style="0" width="13.43"/>
    <col collapsed="false" customWidth="true" hidden="false" outlineLevel="0" max="7" min="7" style="0" width="14.57"/>
    <col collapsed="false" customWidth="true" hidden="false" outlineLevel="0" max="8" min="8" style="0" width="13.43"/>
    <col collapsed="false" customWidth="true" hidden="false" outlineLevel="0" max="26" min="9" style="0" width="8"/>
  </cols>
  <sheetData>
    <row r="1" customFormat="false" ht="12.75" hidden="false" customHeight="true" outlineLevel="0" collapsed="false">
      <c r="A1" s="1" t="s">
        <v>97</v>
      </c>
      <c r="B1" s="1" t="s">
        <v>98</v>
      </c>
    </row>
    <row r="2" customFormat="false" ht="12.75" hidden="false" customHeight="true" outlineLevel="0" collapsed="false">
      <c r="A2" s="1" t="s">
        <v>99</v>
      </c>
      <c r="B2" s="1" t="n">
        <v>161008</v>
      </c>
    </row>
    <row r="3" customFormat="false" ht="12.75" hidden="false" customHeight="true" outlineLevel="0" collapsed="false">
      <c r="A3" s="1" t="s">
        <v>82</v>
      </c>
      <c r="B3" s="1" t="s">
        <v>88</v>
      </c>
      <c r="C3" s="1" t="s">
        <v>82</v>
      </c>
      <c r="D3" s="1" t="s">
        <v>91</v>
      </c>
      <c r="E3" s="1" t="s">
        <v>82</v>
      </c>
      <c r="F3" s="1" t="s">
        <v>92</v>
      </c>
      <c r="G3" s="1" t="s">
        <v>82</v>
      </c>
      <c r="H3" s="1" t="s">
        <v>94</v>
      </c>
    </row>
    <row r="4" customFormat="false" ht="12.75" hidden="false" customHeight="true" outlineLevel="0" collapsed="false">
      <c r="A4" s="1" t="s">
        <v>100</v>
      </c>
      <c r="B4" s="1" t="s">
        <v>101</v>
      </c>
      <c r="C4" s="1" t="s">
        <v>100</v>
      </c>
      <c r="D4" s="1" t="s">
        <v>101</v>
      </c>
      <c r="E4" s="1" t="s">
        <v>100</v>
      </c>
      <c r="F4" s="1" t="s">
        <v>101</v>
      </c>
      <c r="G4" s="1" t="s">
        <v>100</v>
      </c>
      <c r="H4" s="1" t="s">
        <v>101</v>
      </c>
    </row>
    <row r="5" customFormat="false" ht="12.75" hidden="false" customHeight="true" outlineLevel="0" collapsed="false">
      <c r="A5" s="1" t="s">
        <v>102</v>
      </c>
      <c r="B5" s="1" t="s">
        <v>103</v>
      </c>
      <c r="C5" s="1" t="s">
        <v>102</v>
      </c>
      <c r="D5" s="1" t="s">
        <v>103</v>
      </c>
      <c r="E5" s="1" t="s">
        <v>102</v>
      </c>
      <c r="F5" s="1" t="s">
        <v>103</v>
      </c>
      <c r="G5" s="1" t="s">
        <v>102</v>
      </c>
      <c r="H5" s="1" t="s">
        <v>103</v>
      </c>
    </row>
    <row r="6" customFormat="false" ht="12.75" hidden="false" customHeight="true" outlineLevel="0" collapsed="false">
      <c r="A6" s="1" t="s">
        <v>104</v>
      </c>
      <c r="B6" s="22" t="n">
        <v>40298</v>
      </c>
      <c r="C6" s="1" t="s">
        <v>104</v>
      </c>
      <c r="D6" s="22" t="n">
        <v>40298</v>
      </c>
      <c r="E6" s="1" t="s">
        <v>104</v>
      </c>
      <c r="F6" s="22" t="n">
        <v>40298</v>
      </c>
      <c r="G6" s="1" t="s">
        <v>104</v>
      </c>
      <c r="H6" s="22" t="n">
        <v>40298</v>
      </c>
    </row>
    <row r="7" customFormat="false" ht="12.75" hidden="false" customHeight="true" outlineLevel="0" collapsed="false">
      <c r="A7" s="1" t="s">
        <v>105</v>
      </c>
      <c r="B7" s="1" t="s">
        <v>106</v>
      </c>
      <c r="C7" s="1" t="s">
        <v>105</v>
      </c>
      <c r="D7" s="1" t="s">
        <v>107</v>
      </c>
      <c r="E7" s="1" t="s">
        <v>105</v>
      </c>
      <c r="F7" s="1" t="s">
        <v>108</v>
      </c>
      <c r="G7" s="1" t="s">
        <v>105</v>
      </c>
      <c r="H7" s="1" t="s">
        <v>109</v>
      </c>
    </row>
    <row r="8" customFormat="false" ht="12.75" hidden="false" customHeight="true" outlineLevel="0" collapsed="false"/>
    <row r="9" customFormat="false" ht="12.75" hidden="false" customHeight="true" outlineLevel="0" collapsed="false">
      <c r="A9" s="1" t="s">
        <v>110</v>
      </c>
      <c r="B9" s="1" t="s">
        <v>111</v>
      </c>
      <c r="C9" s="1" t="s">
        <v>110</v>
      </c>
      <c r="D9" s="1" t="s">
        <v>112</v>
      </c>
      <c r="E9" s="1" t="s">
        <v>110</v>
      </c>
      <c r="F9" s="1" t="s">
        <v>113</v>
      </c>
      <c r="G9" s="1" t="s">
        <v>110</v>
      </c>
      <c r="H9" s="1" t="s">
        <v>114</v>
      </c>
    </row>
    <row r="10" customFormat="false" ht="12.75" hidden="false" customHeight="true" outlineLevel="0" collapsed="false">
      <c r="A10" s="1" t="s">
        <v>115</v>
      </c>
      <c r="B10" s="1" t="s">
        <v>116</v>
      </c>
      <c r="C10" s="1" t="s">
        <v>115</v>
      </c>
      <c r="D10" s="1" t="s">
        <v>116</v>
      </c>
      <c r="E10" s="1" t="s">
        <v>115</v>
      </c>
      <c r="F10" s="1" t="s">
        <v>116</v>
      </c>
      <c r="G10" s="1" t="s">
        <v>115</v>
      </c>
      <c r="H10" s="1" t="s">
        <v>116</v>
      </c>
    </row>
    <row r="11" customFormat="false" ht="12.75" hidden="false" customHeight="true" outlineLevel="0" collapsed="false">
      <c r="A11" s="14" t="n">
        <v>0</v>
      </c>
      <c r="B11" s="14" t="n">
        <v>0.001</v>
      </c>
      <c r="C11" s="14" t="n">
        <v>0</v>
      </c>
      <c r="D11" s="14" t="n">
        <v>0.008</v>
      </c>
      <c r="E11" s="14" t="n">
        <v>0</v>
      </c>
      <c r="F11" s="14" t="n">
        <v>0.016</v>
      </c>
      <c r="G11" s="14" t="n">
        <v>0</v>
      </c>
      <c r="H11" s="14" t="n">
        <v>0.028</v>
      </c>
    </row>
    <row r="12" customFormat="false" ht="12.75" hidden="false" customHeight="true" outlineLevel="0" collapsed="false">
      <c r="A12" s="14" t="n">
        <v>60</v>
      </c>
      <c r="B12" s="14" t="n">
        <v>0.006</v>
      </c>
      <c r="C12" s="14" t="n">
        <v>60</v>
      </c>
      <c r="D12" s="14" t="n">
        <v>0.014</v>
      </c>
      <c r="E12" s="14" t="n">
        <v>60</v>
      </c>
      <c r="F12" s="14" t="n">
        <v>0.023</v>
      </c>
      <c r="G12" s="14" t="n">
        <v>60</v>
      </c>
      <c r="H12" s="14" t="n">
        <v>0.036</v>
      </c>
    </row>
    <row r="13" customFormat="false" ht="12.75" hidden="false" customHeight="true" outlineLevel="0" collapsed="false">
      <c r="A13" s="14" t="n">
        <v>120</v>
      </c>
      <c r="B13" s="14" t="n">
        <v>0.011</v>
      </c>
      <c r="C13" s="14" t="n">
        <v>120</v>
      </c>
      <c r="D13" s="14" t="n">
        <v>0.02</v>
      </c>
      <c r="E13" s="14" t="n">
        <v>120</v>
      </c>
      <c r="F13" s="14" t="n">
        <v>0.03</v>
      </c>
      <c r="G13" s="14" t="n">
        <v>120</v>
      </c>
      <c r="H13" s="14" t="n">
        <v>0.045</v>
      </c>
    </row>
    <row r="14" customFormat="false" ht="12.75" hidden="false" customHeight="true" outlineLevel="0" collapsed="false">
      <c r="A14" s="14" t="n">
        <v>180</v>
      </c>
      <c r="B14" s="14" t="n">
        <v>0.016</v>
      </c>
      <c r="C14" s="14" t="n">
        <v>180</v>
      </c>
      <c r="D14" s="14" t="n">
        <v>0.026</v>
      </c>
      <c r="E14" s="14" t="n">
        <v>180</v>
      </c>
      <c r="F14" s="14" t="n">
        <v>0.037</v>
      </c>
      <c r="G14" s="14" t="n">
        <v>180</v>
      </c>
      <c r="H14" s="14" t="n">
        <v>0.054</v>
      </c>
    </row>
    <row r="15" customFormat="false" ht="12.75" hidden="false" customHeight="true" outlineLevel="0" collapsed="false">
      <c r="A15" s="14" t="n">
        <v>240</v>
      </c>
      <c r="B15" s="14" t="n">
        <v>0.022</v>
      </c>
      <c r="C15" s="14" t="n">
        <v>240</v>
      </c>
      <c r="D15" s="14" t="n">
        <v>0.032</v>
      </c>
      <c r="E15" s="14" t="n">
        <v>240</v>
      </c>
      <c r="F15" s="14" t="n">
        <v>0.044</v>
      </c>
      <c r="G15" s="14" t="n">
        <v>240</v>
      </c>
      <c r="H15" s="14" t="n">
        <v>0.063</v>
      </c>
    </row>
    <row r="16" customFormat="false" ht="12.75" hidden="false" customHeight="true" outlineLevel="0" collapsed="false">
      <c r="A16" s="14" t="n">
        <v>300</v>
      </c>
      <c r="B16" s="14" t="n">
        <v>0.028</v>
      </c>
      <c r="C16" s="14" t="n">
        <v>300</v>
      </c>
      <c r="D16" s="14" t="n">
        <v>0.038</v>
      </c>
      <c r="E16" s="14" t="n">
        <v>300</v>
      </c>
      <c r="F16" s="14" t="n">
        <v>0.052</v>
      </c>
      <c r="G16" s="14" t="n">
        <v>300</v>
      </c>
      <c r="H16" s="14" t="n">
        <v>0.073</v>
      </c>
    </row>
    <row r="17" customFormat="false" ht="12.75" hidden="false" customHeight="true" outlineLevel="0" collapsed="false">
      <c r="A17" s="14" t="n">
        <v>360</v>
      </c>
      <c r="B17" s="14" t="n">
        <v>0.035</v>
      </c>
      <c r="C17" s="14" t="n">
        <v>360</v>
      </c>
      <c r="D17" s="14" t="n">
        <v>0.045</v>
      </c>
      <c r="E17" s="14" t="n">
        <v>360</v>
      </c>
      <c r="F17" s="14" t="n">
        <v>0.059</v>
      </c>
      <c r="G17" s="14" t="n">
        <v>360</v>
      </c>
      <c r="H17" s="14" t="n">
        <v>0.082</v>
      </c>
    </row>
    <row r="18" customFormat="false" ht="12.75" hidden="false" customHeight="true" outlineLevel="0" collapsed="false">
      <c r="A18" s="14" t="n">
        <v>420</v>
      </c>
      <c r="B18" s="14" t="n">
        <v>0.042</v>
      </c>
      <c r="C18" s="14" t="n">
        <v>420</v>
      </c>
      <c r="D18" s="14" t="n">
        <v>0.051</v>
      </c>
      <c r="E18" s="14" t="n">
        <v>420</v>
      </c>
      <c r="F18" s="14" t="n">
        <v>0.067</v>
      </c>
      <c r="G18" s="14" t="n">
        <v>420</v>
      </c>
      <c r="H18" s="14" t="n">
        <v>0.091</v>
      </c>
    </row>
    <row r="19" customFormat="false" ht="12.75" hidden="false" customHeight="true" outlineLevel="0" collapsed="false">
      <c r="A19" s="14" t="n">
        <v>480</v>
      </c>
      <c r="B19" s="14" t="n">
        <v>0.049</v>
      </c>
      <c r="C19" s="14" t="n">
        <v>480</v>
      </c>
      <c r="D19" s="14" t="n">
        <v>0.057</v>
      </c>
      <c r="E19" s="14" t="n">
        <v>480</v>
      </c>
      <c r="F19" s="14" t="n">
        <v>0.074</v>
      </c>
      <c r="G19" s="14" t="n">
        <v>480</v>
      </c>
      <c r="H19" s="14" t="n">
        <v>0.101</v>
      </c>
    </row>
    <row r="20" customFormat="false" ht="12.75" hidden="false" customHeight="true" outlineLevel="0" collapsed="false">
      <c r="A20" s="14" t="n">
        <v>540</v>
      </c>
      <c r="B20" s="14" t="n">
        <v>0.057</v>
      </c>
      <c r="C20" s="14" t="n">
        <v>540</v>
      </c>
      <c r="D20" s="14" t="n">
        <v>0.061</v>
      </c>
      <c r="E20" s="14" t="n">
        <v>540</v>
      </c>
      <c r="F20" s="14" t="n">
        <v>0.082</v>
      </c>
      <c r="G20" s="14" t="n">
        <v>540</v>
      </c>
      <c r="H20" s="14" t="n">
        <v>0.111</v>
      </c>
    </row>
    <row r="21" customFormat="false" ht="12.75" hidden="false" customHeight="true" outlineLevel="0" collapsed="false">
      <c r="A21" s="14" t="n">
        <v>600</v>
      </c>
      <c r="B21" s="14" t="n">
        <v>0.064</v>
      </c>
      <c r="C21" s="14" t="n">
        <v>600</v>
      </c>
      <c r="D21" s="14" t="n">
        <v>0.067</v>
      </c>
      <c r="E21" s="14" t="n">
        <v>600</v>
      </c>
      <c r="F21" s="14" t="n">
        <v>0.089</v>
      </c>
      <c r="G21" s="14" t="n">
        <v>600</v>
      </c>
      <c r="H21" s="14" t="n">
        <v>0.121</v>
      </c>
    </row>
    <row r="22" customFormat="false" ht="12.75" hidden="false" customHeight="true" outlineLevel="0" collapsed="false">
      <c r="A22" s="14" t="n">
        <v>660</v>
      </c>
      <c r="B22" s="14" t="n">
        <v>0.071</v>
      </c>
      <c r="C22" s="14" t="n">
        <v>660</v>
      </c>
      <c r="D22" s="14" t="n">
        <v>0.073</v>
      </c>
      <c r="E22" s="14" t="n">
        <v>660</v>
      </c>
      <c r="F22" s="14" t="n">
        <v>0.097</v>
      </c>
      <c r="G22" s="14" t="n">
        <v>660</v>
      </c>
      <c r="H22" s="14" t="n">
        <v>0.132</v>
      </c>
    </row>
    <row r="23" customFormat="false" ht="12.75" hidden="false" customHeight="true" outlineLevel="0" collapsed="false">
      <c r="A23" s="14" t="n">
        <v>720</v>
      </c>
      <c r="B23" s="14" t="n">
        <v>0.08</v>
      </c>
      <c r="C23" s="14" t="n">
        <v>720</v>
      </c>
      <c r="D23" s="14" t="n">
        <v>0.079</v>
      </c>
      <c r="E23" s="14" t="n">
        <v>720</v>
      </c>
      <c r="F23" s="14" t="n">
        <v>0.105</v>
      </c>
      <c r="G23" s="14" t="n">
        <v>720</v>
      </c>
      <c r="H23" s="14" t="n">
        <v>0.139</v>
      </c>
    </row>
    <row r="24" customFormat="false" ht="12.75" hidden="false" customHeight="true" outlineLevel="0" collapsed="false">
      <c r="A24" s="14" t="n">
        <v>780</v>
      </c>
      <c r="B24" s="14" t="n">
        <v>0.088</v>
      </c>
      <c r="C24" s="14" t="n">
        <v>780</v>
      </c>
      <c r="D24" s="14" t="n">
        <v>0.085</v>
      </c>
      <c r="E24" s="14" t="n">
        <v>780</v>
      </c>
      <c r="F24" s="14" t="n">
        <v>0.112</v>
      </c>
      <c r="G24" s="14" t="n">
        <v>780</v>
      </c>
      <c r="H24" s="14" t="n">
        <v>0.15</v>
      </c>
    </row>
    <row r="25" customFormat="false" ht="12.75" hidden="false" customHeight="true" outlineLevel="0" collapsed="false">
      <c r="A25" s="14" t="n">
        <v>840</v>
      </c>
      <c r="B25" s="14" t="n">
        <v>0.096</v>
      </c>
      <c r="C25" s="14" t="n">
        <v>840</v>
      </c>
      <c r="D25" s="14" t="n">
        <v>0.091</v>
      </c>
      <c r="E25" s="14" t="n">
        <v>840</v>
      </c>
      <c r="F25" s="14" t="n">
        <v>0.12</v>
      </c>
      <c r="G25" s="14" t="n">
        <v>840</v>
      </c>
      <c r="H25" s="14" t="n">
        <v>0.16</v>
      </c>
    </row>
    <row r="26" customFormat="false" ht="12.75" hidden="false" customHeight="true" outlineLevel="0" collapsed="false">
      <c r="A26" s="14" t="n">
        <v>900</v>
      </c>
      <c r="B26" s="14" t="n">
        <v>0.091</v>
      </c>
      <c r="C26" s="14" t="n">
        <v>900</v>
      </c>
      <c r="D26" s="14" t="n">
        <v>0.097</v>
      </c>
      <c r="E26" s="14" t="n">
        <v>900</v>
      </c>
      <c r="F26" s="14" t="n">
        <v>0.128</v>
      </c>
      <c r="G26" s="14" t="n">
        <v>900</v>
      </c>
      <c r="H26" s="14" t="n">
        <v>0.169</v>
      </c>
    </row>
    <row r="27" customFormat="false" ht="12.75" hidden="false" customHeight="true" outlineLevel="0" collapsed="false">
      <c r="A27" s="14" t="n">
        <v>960</v>
      </c>
      <c r="B27" s="14" t="n">
        <v>0.099</v>
      </c>
      <c r="C27" s="14" t="n">
        <v>960</v>
      </c>
      <c r="D27" s="14" t="n">
        <v>0.104</v>
      </c>
      <c r="E27" s="14" t="n">
        <v>960</v>
      </c>
      <c r="F27" s="14" t="n">
        <v>0.135</v>
      </c>
      <c r="G27" s="14" t="n">
        <v>960</v>
      </c>
      <c r="H27" s="14" t="n">
        <v>0.179</v>
      </c>
    </row>
    <row r="28" customFormat="false" ht="12.75" hidden="false" customHeight="true" outlineLevel="0" collapsed="false">
      <c r="A28" s="14" t="n">
        <v>1020</v>
      </c>
      <c r="B28" s="14" t="n">
        <v>0.106</v>
      </c>
      <c r="C28" s="14" t="n">
        <v>1020</v>
      </c>
      <c r="D28" s="14" t="n">
        <v>0.11</v>
      </c>
      <c r="E28" s="14" t="n">
        <v>1020</v>
      </c>
      <c r="F28" s="14" t="n">
        <v>0.143</v>
      </c>
      <c r="G28" s="14" t="n">
        <v>1020</v>
      </c>
      <c r="H28" s="14" t="n">
        <v>0.19</v>
      </c>
    </row>
    <row r="29" customFormat="false" ht="12.75" hidden="false" customHeight="true" outlineLevel="0" collapsed="false">
      <c r="A29" s="14" t="n">
        <v>1080</v>
      </c>
      <c r="B29" s="14" t="n">
        <v>0.115</v>
      </c>
      <c r="C29" s="14" t="n">
        <v>1080</v>
      </c>
      <c r="D29" s="14" t="n">
        <v>0.116</v>
      </c>
      <c r="E29" s="14" t="n">
        <v>1080</v>
      </c>
      <c r="F29" s="14" t="n">
        <v>0.151</v>
      </c>
      <c r="G29" s="14" t="n">
        <v>1080</v>
      </c>
      <c r="H29" s="14" t="n">
        <v>0.198</v>
      </c>
    </row>
    <row r="30" customFormat="false" ht="12.75" hidden="false" customHeight="true" outlineLevel="0" collapsed="false">
      <c r="A30" s="14" t="n">
        <v>1140</v>
      </c>
      <c r="B30" s="14" t="n">
        <v>0.124</v>
      </c>
      <c r="C30" s="14" t="n">
        <v>1140</v>
      </c>
      <c r="D30" s="14" t="n">
        <v>0.123</v>
      </c>
      <c r="E30" s="14" t="n">
        <v>1140</v>
      </c>
      <c r="F30" s="14" t="n">
        <v>0.159</v>
      </c>
      <c r="G30" s="14" t="n">
        <v>1140</v>
      </c>
      <c r="H30" s="14" t="n">
        <v>0.209</v>
      </c>
    </row>
    <row r="31" customFormat="false" ht="12.75" hidden="false" customHeight="true" outlineLevel="0" collapsed="false">
      <c r="A31" s="14" t="n">
        <v>1200</v>
      </c>
      <c r="B31" s="14" t="n">
        <v>0.126</v>
      </c>
      <c r="C31" s="14" t="n">
        <v>1200</v>
      </c>
      <c r="D31" s="14" t="n">
        <v>0.129</v>
      </c>
      <c r="E31" s="14" t="n">
        <v>1200</v>
      </c>
      <c r="F31" s="14" t="n">
        <v>0.167</v>
      </c>
      <c r="G31" s="14" t="n">
        <v>1200</v>
      </c>
      <c r="H31" s="14" t="n">
        <v>0.218</v>
      </c>
    </row>
    <row r="32" customFormat="false" ht="12.75" hidden="false" customHeight="true" outlineLevel="0" collapsed="false">
      <c r="A32" s="14" t="n">
        <v>1260</v>
      </c>
      <c r="B32" s="14" t="n">
        <v>0.134</v>
      </c>
      <c r="C32" s="14" t="n">
        <v>1260</v>
      </c>
      <c r="D32" s="14" t="n">
        <v>0.136</v>
      </c>
      <c r="E32" s="14" t="n">
        <v>1260</v>
      </c>
      <c r="F32" s="14" t="n">
        <v>0.174</v>
      </c>
      <c r="G32" s="14" t="n">
        <v>1260</v>
      </c>
      <c r="H32" s="14" t="n">
        <v>0.229</v>
      </c>
    </row>
    <row r="33" customFormat="false" ht="12.75" hidden="false" customHeight="true" outlineLevel="0" collapsed="false">
      <c r="A33" s="14" t="n">
        <v>1320</v>
      </c>
      <c r="B33" s="14" t="n">
        <v>0.142</v>
      </c>
      <c r="C33" s="14" t="n">
        <v>1320</v>
      </c>
      <c r="D33" s="14" t="n">
        <v>0.143</v>
      </c>
      <c r="E33" s="14" t="n">
        <v>1320</v>
      </c>
      <c r="F33" s="14" t="n">
        <v>0.182</v>
      </c>
      <c r="G33" s="14" t="n">
        <v>1320</v>
      </c>
      <c r="H33" s="14" t="n">
        <v>0.24</v>
      </c>
    </row>
    <row r="34" customFormat="false" ht="12.75" hidden="false" customHeight="true" outlineLevel="0" collapsed="false">
      <c r="A34" s="14" t="n">
        <v>1380</v>
      </c>
      <c r="B34" s="14" t="n">
        <v>0.151</v>
      </c>
      <c r="C34" s="14" t="n">
        <v>1380</v>
      </c>
      <c r="D34" s="14" t="n">
        <v>0.151</v>
      </c>
      <c r="E34" s="14" t="n">
        <v>1380</v>
      </c>
      <c r="F34" s="14" t="n">
        <v>0.191</v>
      </c>
      <c r="G34" s="14" t="n">
        <v>1380</v>
      </c>
      <c r="H34" s="14" t="n">
        <v>0.248</v>
      </c>
    </row>
    <row r="35" customFormat="false" ht="12.75" hidden="false" customHeight="true" outlineLevel="0" collapsed="false">
      <c r="A35" s="14" t="n">
        <v>1440</v>
      </c>
      <c r="B35" s="14" t="n">
        <v>0.142</v>
      </c>
      <c r="C35" s="14" t="n">
        <v>1440</v>
      </c>
      <c r="D35" s="14" t="n">
        <v>0.158</v>
      </c>
      <c r="E35" s="14" t="n">
        <v>1440</v>
      </c>
      <c r="F35" s="14" t="n">
        <v>0.198</v>
      </c>
      <c r="G35" s="14" t="n">
        <v>1440</v>
      </c>
      <c r="H35" s="14" t="n">
        <v>0.259</v>
      </c>
    </row>
    <row r="36" customFormat="false" ht="12.75" hidden="false" customHeight="true" outlineLevel="0" collapsed="false">
      <c r="A36" s="14" t="n">
        <v>1500</v>
      </c>
      <c r="B36" s="14" t="n">
        <v>0.15</v>
      </c>
      <c r="C36" s="14" t="n">
        <v>1500</v>
      </c>
      <c r="D36" s="14" t="n">
        <v>0.161</v>
      </c>
      <c r="E36" s="14" t="n">
        <v>1500</v>
      </c>
      <c r="F36" s="14" t="n">
        <v>0.207</v>
      </c>
      <c r="G36" s="14" t="n">
        <v>1500</v>
      </c>
      <c r="H36" s="14" t="n">
        <v>0.27</v>
      </c>
    </row>
    <row r="37" customFormat="false" ht="12.75" hidden="false" customHeight="true" outlineLevel="0" collapsed="false">
      <c r="A37" s="14" t="n">
        <v>1560</v>
      </c>
      <c r="B37" s="14" t="n">
        <v>0.157</v>
      </c>
      <c r="C37" s="14" t="n">
        <v>1560</v>
      </c>
      <c r="D37" s="14" t="n">
        <v>0.167</v>
      </c>
      <c r="E37" s="14" t="n">
        <v>1560</v>
      </c>
      <c r="F37" s="14" t="n">
        <v>0.215</v>
      </c>
      <c r="G37" s="14" t="n">
        <v>1560</v>
      </c>
      <c r="H37" s="14" t="n">
        <v>0.278</v>
      </c>
    </row>
    <row r="38" customFormat="false" ht="12.75" hidden="false" customHeight="true" outlineLevel="0" collapsed="false">
      <c r="A38" s="14" t="n">
        <v>1620</v>
      </c>
      <c r="B38" s="14" t="n">
        <v>0.164</v>
      </c>
      <c r="C38" s="14" t="n">
        <v>1620</v>
      </c>
      <c r="D38" s="14" t="n">
        <v>0.175</v>
      </c>
      <c r="E38" s="14" t="n">
        <v>1620</v>
      </c>
      <c r="F38" s="14" t="n">
        <v>0.223</v>
      </c>
      <c r="G38" s="14" t="n">
        <v>1620</v>
      </c>
      <c r="H38" s="14" t="n">
        <v>0.29</v>
      </c>
    </row>
    <row r="39" customFormat="false" ht="12.75" hidden="false" customHeight="true" outlineLevel="0" collapsed="false">
      <c r="A39" s="14" t="n">
        <v>1680</v>
      </c>
      <c r="B39" s="14" t="n">
        <v>0.165</v>
      </c>
      <c r="C39" s="14" t="n">
        <v>1680</v>
      </c>
      <c r="D39" s="14" t="n">
        <v>0.181</v>
      </c>
      <c r="E39" s="14" t="n">
        <v>1680</v>
      </c>
      <c r="F39" s="14" t="n">
        <v>0.231</v>
      </c>
      <c r="G39" s="14" t="n">
        <v>1680</v>
      </c>
      <c r="H39" s="14" t="n">
        <v>0.299</v>
      </c>
    </row>
    <row r="40" customFormat="false" ht="12.75" hidden="false" customHeight="true" outlineLevel="0" collapsed="false">
      <c r="A40" s="14" t="n">
        <v>1740</v>
      </c>
      <c r="B40" s="14" t="n">
        <v>0.173</v>
      </c>
      <c r="C40" s="14" t="n">
        <v>1740</v>
      </c>
      <c r="D40" s="14" t="n">
        <v>0.188</v>
      </c>
      <c r="E40" s="14" t="n">
        <v>1740</v>
      </c>
      <c r="F40" s="14" t="n">
        <v>0.24</v>
      </c>
      <c r="G40" s="14" t="n">
        <v>1740</v>
      </c>
      <c r="H40" s="14" t="n">
        <v>0.31</v>
      </c>
    </row>
    <row r="41" customFormat="false" ht="12.75" hidden="false" customHeight="true" outlineLevel="0" collapsed="false">
      <c r="A41" s="14" t="n">
        <v>1800</v>
      </c>
      <c r="B41" s="14" t="n">
        <v>0.18</v>
      </c>
      <c r="C41" s="14" t="n">
        <v>1800</v>
      </c>
      <c r="D41" s="14" t="n">
        <v>0.195</v>
      </c>
      <c r="E41" s="14" t="n">
        <v>1800</v>
      </c>
      <c r="F41" s="14" t="n">
        <v>0.248</v>
      </c>
      <c r="G41" s="14" t="n">
        <v>1800</v>
      </c>
      <c r="H41" s="14" t="n">
        <v>0.319</v>
      </c>
    </row>
    <row r="42" customFormat="false" ht="12.75" hidden="false" customHeight="true" outlineLevel="0" collapsed="false">
      <c r="A42" s="14" t="n">
        <v>1860</v>
      </c>
      <c r="B42" s="14" t="n">
        <v>0.187</v>
      </c>
      <c r="C42" s="14" t="n">
        <v>1860</v>
      </c>
      <c r="D42" s="14" t="n">
        <v>0.201</v>
      </c>
      <c r="E42" s="14" t="n">
        <v>1860</v>
      </c>
      <c r="F42" s="14" t="n">
        <v>0.256</v>
      </c>
      <c r="G42" s="14" t="n">
        <v>1860</v>
      </c>
      <c r="H42" s="14" t="n">
        <v>0.329</v>
      </c>
    </row>
    <row r="43" customFormat="false" ht="12.75" hidden="false" customHeight="true" outlineLevel="0" collapsed="false">
      <c r="A43" s="14" t="n">
        <v>1920</v>
      </c>
      <c r="B43" s="14" t="n">
        <v>0.159</v>
      </c>
      <c r="C43" s="14" t="n">
        <v>1920</v>
      </c>
      <c r="D43" s="14" t="n">
        <v>0.209</v>
      </c>
      <c r="E43" s="14" t="n">
        <v>1920</v>
      </c>
      <c r="F43" s="14" t="n">
        <v>0.264</v>
      </c>
      <c r="G43" s="14" t="n">
        <v>1920</v>
      </c>
      <c r="H43" s="14" t="n">
        <v>0.341</v>
      </c>
      <c r="M43" s="22"/>
    </row>
    <row r="44" customFormat="false" ht="12.75" hidden="false" customHeight="true" outlineLevel="0" collapsed="false">
      <c r="A44" s="14" t="n">
        <v>1980</v>
      </c>
      <c r="B44" s="14" t="n">
        <v>0.165</v>
      </c>
      <c r="C44" s="14" t="n">
        <v>1980</v>
      </c>
      <c r="D44" s="14" t="n">
        <v>0.216</v>
      </c>
      <c r="E44" s="14" t="n">
        <v>1980</v>
      </c>
      <c r="F44" s="14" t="n">
        <v>0.273</v>
      </c>
      <c r="G44" s="14" t="n">
        <v>1980</v>
      </c>
      <c r="H44" s="14" t="n">
        <v>0.352</v>
      </c>
    </row>
    <row r="45" customFormat="false" ht="12.75" hidden="false" customHeight="true" outlineLevel="0" collapsed="false">
      <c r="A45" s="14" t="n">
        <v>2040</v>
      </c>
      <c r="B45" s="14" t="n">
        <v>0.17</v>
      </c>
      <c r="C45" s="14" t="n">
        <v>2040</v>
      </c>
      <c r="D45" s="14" t="n">
        <v>0.222</v>
      </c>
      <c r="E45" s="14" t="n">
        <v>2040</v>
      </c>
      <c r="F45" s="14" t="n">
        <v>0.281</v>
      </c>
      <c r="G45" s="14" t="n">
        <v>2040</v>
      </c>
      <c r="H45" s="14" t="n">
        <v>0.36</v>
      </c>
    </row>
    <row r="46" customFormat="false" ht="12.75" hidden="false" customHeight="true" outlineLevel="0" collapsed="false">
      <c r="A46" s="14" t="n">
        <v>2100</v>
      </c>
      <c r="B46" s="14" t="n">
        <v>0.176</v>
      </c>
      <c r="C46" s="14" t="n">
        <v>2100</v>
      </c>
      <c r="D46" s="14" t="n">
        <v>0.229</v>
      </c>
      <c r="E46" s="14" t="n">
        <v>2100</v>
      </c>
      <c r="F46" s="14" t="n">
        <v>0.289</v>
      </c>
      <c r="G46" s="14" t="n">
        <v>2100</v>
      </c>
      <c r="H46" s="14" t="n">
        <v>0.367934453781512</v>
      </c>
    </row>
    <row r="47" customFormat="false" ht="12.75" hidden="false" customHeight="true" outlineLevel="0" collapsed="false">
      <c r="A47" s="14" t="n">
        <v>2160</v>
      </c>
      <c r="B47" s="14" t="n">
        <v>0.181</v>
      </c>
      <c r="C47" s="14" t="n">
        <v>2160</v>
      </c>
      <c r="D47" s="14" t="n">
        <v>0.236</v>
      </c>
      <c r="E47" s="14" t="n">
        <v>2160</v>
      </c>
      <c r="F47" s="14" t="n">
        <v>0.297</v>
      </c>
      <c r="G47" s="14" t="n">
        <v>2160</v>
      </c>
      <c r="H47" s="14" t="n">
        <v>0.37778319327731</v>
      </c>
    </row>
    <row r="48" customFormat="false" ht="12.75" hidden="false" customHeight="true" outlineLevel="0" collapsed="false">
      <c r="A48" s="14" t="n">
        <v>2220</v>
      </c>
      <c r="B48" s="14" t="n">
        <v>0.187</v>
      </c>
      <c r="C48" s="14" t="n">
        <v>2220</v>
      </c>
      <c r="D48" s="14" t="n">
        <v>0.244</v>
      </c>
      <c r="E48" s="14" t="n">
        <v>2220</v>
      </c>
      <c r="F48" s="14" t="n">
        <v>0.305</v>
      </c>
      <c r="G48" s="14" t="n">
        <v>2220</v>
      </c>
      <c r="H48" s="14" t="n">
        <v>0.387631932773109</v>
      </c>
    </row>
    <row r="49" customFormat="false" ht="12.75" hidden="false" customHeight="true" outlineLevel="0" collapsed="false">
      <c r="A49" s="14" t="n">
        <v>2280</v>
      </c>
      <c r="B49" s="14" t="n">
        <v>0.192</v>
      </c>
      <c r="C49" s="14" t="n">
        <v>2280</v>
      </c>
      <c r="D49" s="14" t="n">
        <v>0.251</v>
      </c>
      <c r="E49" s="14" t="n">
        <v>2280</v>
      </c>
      <c r="F49" s="14" t="n">
        <v>0.314</v>
      </c>
      <c r="G49" s="14" t="n">
        <v>2280</v>
      </c>
      <c r="H49" s="14" t="n">
        <v>0.397480672268907</v>
      </c>
      <c r="N49" s="23" t="s">
        <v>117</v>
      </c>
      <c r="O49" s="23" t="s">
        <v>85</v>
      </c>
      <c r="P49" s="23" t="s">
        <v>118</v>
      </c>
    </row>
    <row r="50" customFormat="false" ht="12.75" hidden="false" customHeight="true" outlineLevel="0" collapsed="false">
      <c r="A50" s="14" t="n">
        <v>2340</v>
      </c>
      <c r="B50" s="14" t="n">
        <v>0.198</v>
      </c>
      <c r="C50" s="14" t="n">
        <v>2340</v>
      </c>
      <c r="D50" s="14" t="n">
        <v>0.258</v>
      </c>
      <c r="E50" s="14" t="n">
        <v>2340</v>
      </c>
      <c r="F50" s="14" t="n">
        <v>0.322</v>
      </c>
      <c r="G50" s="14" t="n">
        <v>2340</v>
      </c>
      <c r="H50" s="14" t="n">
        <v>0.407329411764705</v>
      </c>
      <c r="N50" s="1" t="n">
        <v>1.52855178403416</v>
      </c>
      <c r="O50" s="23" t="n">
        <v>8.37</v>
      </c>
      <c r="P50" s="1" t="n">
        <f aca="false">N50/O50</f>
        <v>0.182622674317104</v>
      </c>
    </row>
    <row r="51" customFormat="false" ht="12.75" hidden="false" customHeight="true" outlineLevel="0" collapsed="false">
      <c r="A51" s="14" t="n">
        <v>2400</v>
      </c>
      <c r="B51" s="14" t="n">
        <v>0.204</v>
      </c>
      <c r="C51" s="14" t="n">
        <v>2400</v>
      </c>
      <c r="D51" s="14" t="n">
        <v>0.268</v>
      </c>
      <c r="E51" s="14" t="n">
        <v>2400</v>
      </c>
      <c r="F51" s="14" t="n">
        <v>0.327</v>
      </c>
      <c r="G51" s="14" t="n">
        <v>2400</v>
      </c>
      <c r="H51" s="14" t="n">
        <v>0.417178151260505</v>
      </c>
      <c r="N51" s="1" t="n">
        <v>3.05710356806832</v>
      </c>
      <c r="O51" s="23" t="n">
        <v>9.38</v>
      </c>
      <c r="P51" s="1" t="n">
        <f aca="false">N51/O51</f>
        <v>0.325917224740759</v>
      </c>
    </row>
    <row r="52" customFormat="false" ht="12.75" hidden="false" customHeight="true" outlineLevel="0" collapsed="false">
      <c r="A52" s="14" t="n">
        <v>2460</v>
      </c>
      <c r="B52" s="14" t="n">
        <v>0.209</v>
      </c>
      <c r="C52" s="14" t="n">
        <v>2460</v>
      </c>
      <c r="D52" s="14" t="n">
        <v>0.276</v>
      </c>
      <c r="E52" s="14" t="n">
        <v>2460</v>
      </c>
      <c r="F52" s="14" t="n">
        <v>0.336</v>
      </c>
      <c r="G52" s="14" t="n">
        <v>2460</v>
      </c>
      <c r="H52" s="14" t="n">
        <v>0.427026890756303</v>
      </c>
      <c r="N52" s="1" t="n">
        <v>4.58565535210248</v>
      </c>
      <c r="O52" s="23" t="n">
        <v>12.1</v>
      </c>
      <c r="P52" s="1" t="n">
        <f aca="false">N52/O52</f>
        <v>0.378979781165494</v>
      </c>
    </row>
    <row r="53" customFormat="false" ht="12.75" hidden="false" customHeight="true" outlineLevel="0" collapsed="false">
      <c r="A53" s="14" t="n">
        <v>2520</v>
      </c>
      <c r="B53" s="14" t="n">
        <v>0.215</v>
      </c>
      <c r="C53" s="14" t="n">
        <v>2520</v>
      </c>
      <c r="D53" s="14" t="n">
        <v>0.276</v>
      </c>
      <c r="E53" s="14" t="n">
        <v>2520</v>
      </c>
      <c r="F53" s="14" t="n">
        <v>0.344</v>
      </c>
      <c r="G53" s="14" t="n">
        <v>2520</v>
      </c>
      <c r="H53" s="14" t="n">
        <v>0.4368756302521</v>
      </c>
      <c r="N53" s="1" t="n">
        <v>6.11420713613664</v>
      </c>
      <c r="O53" s="23" t="n">
        <v>16</v>
      </c>
      <c r="P53" s="1" t="n">
        <f aca="false">N53/O53</f>
        <v>0.38213794600854</v>
      </c>
    </row>
    <row r="54" customFormat="false" ht="12.75" hidden="false" customHeight="true" outlineLevel="0" collapsed="false">
      <c r="A54" s="14" t="n">
        <v>2580</v>
      </c>
      <c r="B54" s="14" t="n">
        <v>0.22</v>
      </c>
      <c r="C54" s="14" t="n">
        <v>2580</v>
      </c>
      <c r="D54" s="14" t="n">
        <v>0.284</v>
      </c>
      <c r="E54" s="14" t="n">
        <v>2580</v>
      </c>
      <c r="F54" s="14" t="n">
        <v>0.352</v>
      </c>
      <c r="G54" s="14" t="n">
        <v>2580</v>
      </c>
      <c r="H54" s="14" t="n">
        <v>0.446724369747899</v>
      </c>
    </row>
    <row r="55" customFormat="false" ht="12.75" hidden="false" customHeight="true" outlineLevel="0" collapsed="false">
      <c r="A55" s="14" t="n">
        <v>2640</v>
      </c>
      <c r="B55" s="14" t="n">
        <v>0.227</v>
      </c>
      <c r="C55" s="14" t="n">
        <v>2640</v>
      </c>
      <c r="D55" s="14" t="n">
        <v>0.291</v>
      </c>
      <c r="E55" s="14" t="n">
        <v>2640</v>
      </c>
      <c r="F55" s="14" t="n">
        <v>0.361</v>
      </c>
      <c r="G55" s="14" t="n">
        <v>2640</v>
      </c>
      <c r="H55" s="14" t="n">
        <v>0.456573109243697</v>
      </c>
    </row>
    <row r="56" customFormat="false" ht="12.75" hidden="false" customHeight="true" outlineLevel="0" collapsed="false">
      <c r="A56" s="14" t="n">
        <v>2700</v>
      </c>
      <c r="B56" s="14" t="n">
        <v>0.232</v>
      </c>
      <c r="C56" s="14" t="n">
        <v>2700</v>
      </c>
      <c r="D56" s="14" t="n">
        <v>0.299</v>
      </c>
      <c r="E56" s="14" t="n">
        <v>2700</v>
      </c>
      <c r="F56" s="14" t="n">
        <v>0.369</v>
      </c>
      <c r="G56" s="14" t="n">
        <v>2700</v>
      </c>
      <c r="H56" s="14" t="n">
        <v>0.466421848739495</v>
      </c>
    </row>
    <row r="57" customFormat="false" ht="12.75" hidden="false" customHeight="true" outlineLevel="0" collapsed="false">
      <c r="A57" s="14" t="n">
        <v>2760</v>
      </c>
      <c r="B57" s="14" t="n">
        <v>0.238</v>
      </c>
      <c r="C57" s="14" t="n">
        <v>2760</v>
      </c>
      <c r="D57" s="14" t="n">
        <v>0.307</v>
      </c>
      <c r="E57" s="14" t="n">
        <v>2760</v>
      </c>
      <c r="F57" s="14" t="n">
        <v>0.378</v>
      </c>
      <c r="G57" s="14" t="n">
        <v>2760</v>
      </c>
      <c r="H57" s="14" t="n">
        <v>0.476270588235295</v>
      </c>
    </row>
    <row r="58" customFormat="false" ht="12.75" hidden="false" customHeight="true" outlineLevel="0" collapsed="false">
      <c r="A58" s="14" t="n">
        <v>2820</v>
      </c>
      <c r="B58" s="14" t="n">
        <v>0.245</v>
      </c>
      <c r="C58" s="14" t="n">
        <v>2820</v>
      </c>
      <c r="D58" s="14" t="n">
        <v>0.314</v>
      </c>
      <c r="E58" s="14" t="n">
        <v>2820</v>
      </c>
      <c r="F58" s="14" t="n">
        <v>0.386</v>
      </c>
      <c r="G58" s="14" t="n">
        <v>2820</v>
      </c>
      <c r="H58" s="14" t="n">
        <v>0.486119327731093</v>
      </c>
    </row>
    <row r="59" customFormat="false" ht="12.75" hidden="false" customHeight="true" outlineLevel="0" collapsed="false">
      <c r="A59" s="14" t="n">
        <v>2880</v>
      </c>
      <c r="B59" s="14" t="n">
        <v>0.251</v>
      </c>
      <c r="C59" s="14" t="n">
        <v>2880</v>
      </c>
      <c r="D59" s="14" t="n">
        <v>0.323</v>
      </c>
      <c r="E59" s="14" t="n">
        <v>2880</v>
      </c>
      <c r="F59" s="14" t="n">
        <v>0.395</v>
      </c>
      <c r="G59" s="14" t="n">
        <v>2880</v>
      </c>
      <c r="H59" s="14" t="n">
        <v>0.49596806722689</v>
      </c>
    </row>
    <row r="60" customFormat="false" ht="12.75" hidden="false" customHeight="true" outlineLevel="0" collapsed="false">
      <c r="A60" s="14" t="n">
        <v>2940</v>
      </c>
      <c r="B60" s="14" t="n">
        <v>0.258</v>
      </c>
      <c r="C60" s="14" t="n">
        <v>2940</v>
      </c>
      <c r="D60" s="14" t="n">
        <v>0.331</v>
      </c>
      <c r="E60" s="14" t="n">
        <v>2940</v>
      </c>
      <c r="F60" s="14" t="n">
        <v>0.398</v>
      </c>
      <c r="G60" s="14" t="n">
        <v>2940</v>
      </c>
      <c r="H60" s="14" t="n">
        <v>0.505816806722689</v>
      </c>
    </row>
    <row r="61" customFormat="false" ht="12.75" hidden="false" customHeight="true" outlineLevel="0" collapsed="false">
      <c r="A61" s="14" t="n">
        <v>3000</v>
      </c>
      <c r="B61" s="14" t="n">
        <v>0.264</v>
      </c>
      <c r="C61" s="14" t="n">
        <v>3000</v>
      </c>
      <c r="D61" s="14" t="n">
        <v>0.34</v>
      </c>
      <c r="E61" s="14" t="n">
        <v>3000</v>
      </c>
      <c r="F61" s="14" t="n">
        <v>0.406</v>
      </c>
      <c r="G61" s="14" t="n">
        <v>3000</v>
      </c>
      <c r="H61" s="14" t="n">
        <v>0.515665546218487</v>
      </c>
    </row>
    <row r="62" customFormat="false" ht="12.75" hidden="false" customHeight="true" outlineLevel="0" collapsed="false">
      <c r="A62" s="14" t="n">
        <v>3060</v>
      </c>
      <c r="B62" s="14" t="n">
        <v>0.271</v>
      </c>
      <c r="C62" s="14" t="n">
        <v>3060</v>
      </c>
      <c r="D62" s="14" t="n">
        <v>0.349</v>
      </c>
      <c r="E62" s="14" t="n">
        <v>3060</v>
      </c>
      <c r="F62" s="14" t="n">
        <v>0.414</v>
      </c>
      <c r="G62" s="14" t="n">
        <v>3060</v>
      </c>
      <c r="H62" s="14" t="n">
        <v>0.525514285714285</v>
      </c>
    </row>
    <row r="63" customFormat="false" ht="12.75" hidden="false" customHeight="true" outlineLevel="0" collapsed="false">
      <c r="A63" s="14" t="n">
        <v>3120</v>
      </c>
      <c r="B63" s="14" t="n">
        <v>0.279</v>
      </c>
      <c r="C63" s="14" t="n">
        <v>3120</v>
      </c>
      <c r="D63" s="14" t="n">
        <v>0.358</v>
      </c>
      <c r="E63" s="14" t="n">
        <v>3120</v>
      </c>
      <c r="F63" s="14" t="n">
        <v>0.423</v>
      </c>
      <c r="G63" s="14" t="n">
        <v>3120</v>
      </c>
      <c r="H63" s="14" t="n">
        <v>0.535363025210084</v>
      </c>
    </row>
    <row r="64" customFormat="false" ht="12.75" hidden="false" customHeight="true" outlineLevel="0" collapsed="false">
      <c r="A64" s="14" t="n">
        <v>3180</v>
      </c>
      <c r="B64" s="14" t="n">
        <v>0.285</v>
      </c>
      <c r="C64" s="14" t="n">
        <v>3180</v>
      </c>
      <c r="D64" s="14" t="n">
        <v>0.367</v>
      </c>
      <c r="E64" s="14" t="n">
        <v>3180</v>
      </c>
      <c r="F64" s="14" t="n">
        <v>0.431</v>
      </c>
      <c r="G64" s="14" t="n">
        <v>3180</v>
      </c>
      <c r="H64" s="14" t="n">
        <v>0.545211764705883</v>
      </c>
    </row>
    <row r="65" customFormat="false" ht="12.75" hidden="false" customHeight="true" outlineLevel="0" collapsed="false">
      <c r="A65" s="14" t="n">
        <v>3240</v>
      </c>
      <c r="B65" s="14" t="n">
        <v>0.292</v>
      </c>
      <c r="C65" s="14" t="n">
        <v>3240</v>
      </c>
      <c r="D65" s="14" t="n">
        <v>0.377</v>
      </c>
      <c r="E65" s="14" t="n">
        <v>3240</v>
      </c>
      <c r="F65" s="14" t="n">
        <v>0.44</v>
      </c>
      <c r="G65" s="14" t="n">
        <v>3240</v>
      </c>
      <c r="H65" s="14" t="n">
        <v>0.555060504201681</v>
      </c>
    </row>
    <row r="66" customFormat="false" ht="12.75" hidden="false" customHeight="true" outlineLevel="0" collapsed="false">
      <c r="A66" s="14" t="n">
        <v>3300</v>
      </c>
      <c r="B66" s="14" t="n">
        <v>0.308</v>
      </c>
      <c r="C66" s="14" t="n">
        <v>3300</v>
      </c>
      <c r="D66" s="14" t="n">
        <v>0.349</v>
      </c>
      <c r="E66" s="14" t="n">
        <v>3300</v>
      </c>
      <c r="F66" s="14" t="n">
        <v>0.447</v>
      </c>
      <c r="G66" s="14" t="n">
        <v>3300</v>
      </c>
      <c r="H66" s="14" t="n">
        <v>0.56490924369748</v>
      </c>
    </row>
    <row r="67" customFormat="false" ht="12.75" hidden="false" customHeight="true" outlineLevel="0" collapsed="false">
      <c r="A67" s="14" t="n">
        <v>3360</v>
      </c>
      <c r="B67" s="14" t="n">
        <v>0.289</v>
      </c>
      <c r="C67" s="14" t="n">
        <v>3360</v>
      </c>
      <c r="D67" s="14" t="n">
        <v>0.356</v>
      </c>
      <c r="E67" s="14" t="n">
        <v>3360</v>
      </c>
      <c r="F67" s="14" t="n">
        <v>0.456</v>
      </c>
      <c r="G67" s="14" t="n">
        <v>3360</v>
      </c>
      <c r="H67" s="14" t="n">
        <v>0.574757983193278</v>
      </c>
    </row>
    <row r="68" customFormat="false" ht="12.75" hidden="false" customHeight="true" outlineLevel="0" collapsed="false">
      <c r="A68" s="14" t="n">
        <v>3420</v>
      </c>
      <c r="B68" s="14" t="n">
        <v>0.273</v>
      </c>
      <c r="C68" s="14" t="n">
        <v>3420</v>
      </c>
      <c r="D68" s="14" t="n">
        <v>0.362</v>
      </c>
      <c r="E68" s="14" t="n">
        <v>3420</v>
      </c>
      <c r="F68" s="14" t="n">
        <v>0.463</v>
      </c>
      <c r="G68" s="14" t="n">
        <v>3420</v>
      </c>
      <c r="H68" s="14" t="n">
        <v>0.584606722689076</v>
      </c>
    </row>
    <row r="69" customFormat="false" ht="12.75" hidden="false" customHeight="true" outlineLevel="0" collapsed="false">
      <c r="A69" s="14" t="n">
        <v>3480</v>
      </c>
      <c r="B69" s="14" t="n">
        <v>0.283</v>
      </c>
      <c r="C69" s="14" t="n">
        <v>3480</v>
      </c>
      <c r="D69" s="14" t="n">
        <v>0.369</v>
      </c>
      <c r="E69" s="14" t="n">
        <v>3480</v>
      </c>
      <c r="F69" s="14" t="n">
        <v>0.472</v>
      </c>
      <c r="G69" s="14" t="n">
        <v>3480</v>
      </c>
      <c r="H69" s="14" t="n">
        <v>0.594455462184874</v>
      </c>
    </row>
    <row r="70" customFormat="false" ht="12.75" hidden="false" customHeight="true" outlineLevel="0" collapsed="false">
      <c r="A70" s="14" t="n">
        <v>3540</v>
      </c>
      <c r="B70" s="14" t="n">
        <v>0.222</v>
      </c>
      <c r="C70" s="14" t="n">
        <v>3540</v>
      </c>
      <c r="D70" s="14" t="n">
        <v>0.375</v>
      </c>
      <c r="E70" s="14" t="n">
        <v>3540</v>
      </c>
      <c r="F70" s="14" t="n">
        <v>0.481</v>
      </c>
      <c r="G70" s="14" t="n">
        <v>3540</v>
      </c>
      <c r="H70" s="14" t="n">
        <v>0.604304201680672</v>
      </c>
    </row>
    <row r="71" customFormat="false" ht="12.75" hidden="false" customHeight="true" outlineLevel="0" collapsed="false">
      <c r="A71" s="14" t="n">
        <v>3600</v>
      </c>
      <c r="B71" s="14" t="n">
        <v>0.227</v>
      </c>
      <c r="C71" s="14" t="n">
        <v>3600</v>
      </c>
      <c r="D71" s="14" t="n">
        <v>0.382</v>
      </c>
      <c r="E71" s="14" t="n">
        <v>3600</v>
      </c>
      <c r="F71" s="14" t="n">
        <v>0.489</v>
      </c>
      <c r="G71" s="14" t="n">
        <v>3600</v>
      </c>
      <c r="H71" s="14" t="n">
        <v>0.61415294117647</v>
      </c>
    </row>
    <row r="72" customFormat="false" ht="12.75" hidden="false" customHeight="true" outlineLevel="0" collapsed="false">
      <c r="A72" s="14" t="n">
        <v>3660</v>
      </c>
      <c r="B72" s="14" t="n">
        <v>0.23</v>
      </c>
      <c r="C72" s="14" t="n">
        <v>3660</v>
      </c>
      <c r="D72" s="14" t="n">
        <v>0.389</v>
      </c>
      <c r="E72" s="14" t="n">
        <v>3660</v>
      </c>
      <c r="F72" s="14" t="n">
        <v>0.494</v>
      </c>
      <c r="G72" s="14" t="n">
        <v>3660</v>
      </c>
      <c r="H72" s="14" t="n">
        <v>0.624001680672269</v>
      </c>
    </row>
    <row r="73" customFormat="false" ht="12.75" hidden="false" customHeight="true" outlineLevel="0" collapsed="false">
      <c r="A73" s="14" t="n">
        <v>3720</v>
      </c>
      <c r="B73" s="14" t="n">
        <v>0.234</v>
      </c>
      <c r="C73" s="14" t="n">
        <v>3720</v>
      </c>
      <c r="D73" s="14" t="n">
        <v>0.396</v>
      </c>
      <c r="E73" s="14" t="n">
        <v>3720</v>
      </c>
      <c r="F73" s="14" t="n">
        <v>0.502</v>
      </c>
      <c r="G73" s="14" t="n">
        <v>3720</v>
      </c>
      <c r="H73" s="14" t="n">
        <v>0.633850420168067</v>
      </c>
    </row>
    <row r="74" customFormat="false" ht="12.75" hidden="false" customHeight="true" outlineLevel="0" collapsed="false">
      <c r="A74" s="14" t="n">
        <v>3780</v>
      </c>
      <c r="B74" s="14" t="n">
        <v>0.238</v>
      </c>
      <c r="C74" s="14" t="n">
        <v>3780</v>
      </c>
      <c r="D74" s="14" t="n">
        <v>0.402</v>
      </c>
      <c r="E74" s="14" t="n">
        <v>3780</v>
      </c>
      <c r="F74" s="14" t="n">
        <v>0.51</v>
      </c>
      <c r="G74" s="14" t="n">
        <v>3780</v>
      </c>
      <c r="H74" s="14" t="n">
        <v>0.643699159663865</v>
      </c>
    </row>
    <row r="75" customFormat="false" ht="12.75" hidden="false" customHeight="true" outlineLevel="0" collapsed="false">
      <c r="A75" s="14" t="n">
        <v>3840</v>
      </c>
      <c r="B75" s="14" t="n">
        <v>0.242</v>
      </c>
      <c r="C75" s="14" t="n">
        <v>3840</v>
      </c>
      <c r="D75" s="14" t="n">
        <v>0.409</v>
      </c>
      <c r="E75" s="14" t="n">
        <v>3840</v>
      </c>
      <c r="F75" s="14" t="n">
        <v>0.519</v>
      </c>
      <c r="G75" s="14" t="n">
        <v>3840</v>
      </c>
      <c r="H75" s="14" t="n">
        <v>0.653547899159663</v>
      </c>
    </row>
    <row r="76" customFormat="false" ht="12.75" hidden="false" customHeight="true" outlineLevel="0" collapsed="false">
      <c r="A76" s="14" t="n">
        <v>3900</v>
      </c>
      <c r="B76" s="14" t="n">
        <v>0.246</v>
      </c>
      <c r="C76" s="14" t="n">
        <v>3900</v>
      </c>
      <c r="D76" s="14" t="n">
        <v>0.416</v>
      </c>
      <c r="E76" s="14" t="n">
        <v>3900</v>
      </c>
      <c r="F76" s="14" t="n">
        <v>0.528</v>
      </c>
      <c r="G76" s="14" t="n">
        <v>3900</v>
      </c>
      <c r="H76" s="14" t="n">
        <v>0.663396638655463</v>
      </c>
    </row>
    <row r="77" customFormat="false" ht="12.75" hidden="false" customHeight="true" outlineLevel="0" collapsed="false">
      <c r="A77" s="14" t="n">
        <v>3960</v>
      </c>
      <c r="B77" s="14" t="n">
        <v>0.25</v>
      </c>
      <c r="C77" s="14" t="n">
        <v>3960</v>
      </c>
      <c r="D77" s="14" t="n">
        <v>0.423</v>
      </c>
      <c r="E77" s="14" t="n">
        <v>3960</v>
      </c>
      <c r="F77" s="14" t="n">
        <v>0.536</v>
      </c>
      <c r="G77" s="14" t="n">
        <v>3960</v>
      </c>
      <c r="H77" s="14" t="n">
        <v>0.673245378151261</v>
      </c>
    </row>
    <row r="78" customFormat="false" ht="12.75" hidden="false" customHeight="true" outlineLevel="0" collapsed="false">
      <c r="A78" s="14" t="n">
        <v>4020</v>
      </c>
      <c r="B78" s="14" t="n">
        <v>0.254</v>
      </c>
      <c r="C78" s="14" t="n">
        <v>4020</v>
      </c>
      <c r="D78" s="14" t="n">
        <v>0.429</v>
      </c>
      <c r="E78" s="14" t="n">
        <v>4020</v>
      </c>
      <c r="F78" s="14" t="n">
        <v>0.544</v>
      </c>
      <c r="G78" s="14" t="n">
        <v>4020</v>
      </c>
      <c r="H78" s="14" t="n">
        <v>0.683094117647059</v>
      </c>
    </row>
    <row r="79" customFormat="false" ht="12.75" hidden="false" customHeight="true" outlineLevel="0" collapsed="false">
      <c r="A79" s="14" t="n">
        <v>4080</v>
      </c>
      <c r="B79" s="14" t="n">
        <v>0.259</v>
      </c>
      <c r="C79" s="14" t="n">
        <v>4080</v>
      </c>
      <c r="D79" s="14" t="n">
        <v>0.437</v>
      </c>
      <c r="E79" s="14" t="n">
        <v>4080</v>
      </c>
      <c r="F79" s="14" t="n">
        <v>0.552</v>
      </c>
      <c r="G79" s="14" t="n">
        <v>4080</v>
      </c>
      <c r="H79" s="14" t="n">
        <v>0.692942857142858</v>
      </c>
    </row>
    <row r="80" customFormat="false" ht="12.75" hidden="false" customHeight="true" outlineLevel="0" collapsed="false">
      <c r="A80" s="14" t="n">
        <v>4140</v>
      </c>
      <c r="B80" s="14" t="n">
        <v>0.262</v>
      </c>
      <c r="C80" s="14" t="n">
        <v>4140</v>
      </c>
      <c r="D80" s="14" t="n">
        <v>0.443</v>
      </c>
      <c r="E80" s="14" t="n">
        <v>4140</v>
      </c>
      <c r="F80" s="14" t="n">
        <v>0.561</v>
      </c>
      <c r="G80" s="14" t="n">
        <v>4140</v>
      </c>
      <c r="H80" s="14" t="n">
        <v>0.702791596638656</v>
      </c>
    </row>
    <row r="81" customFormat="false" ht="12.75" hidden="false" customHeight="true" outlineLevel="0" collapsed="false">
      <c r="A81" s="14" t="n">
        <v>4200</v>
      </c>
      <c r="B81" s="14" t="n">
        <v>0.266</v>
      </c>
      <c r="C81" s="14" t="n">
        <v>4200</v>
      </c>
      <c r="D81" s="14" t="n">
        <v>0.451</v>
      </c>
      <c r="E81" s="14" t="n">
        <v>4200</v>
      </c>
      <c r="F81" s="14" t="n">
        <v>0.572</v>
      </c>
      <c r="G81" s="14" t="n">
        <v>4200</v>
      </c>
      <c r="H81" s="14" t="n">
        <v>0.712640336134453</v>
      </c>
    </row>
    <row r="82" customFormat="false" ht="12.75" hidden="false" customHeight="true" outlineLevel="0" collapsed="false">
      <c r="A82" s="14" t="n">
        <v>4260</v>
      </c>
      <c r="B82" s="14" t="n">
        <v>0.27</v>
      </c>
      <c r="C82" s="14" t="n">
        <v>4260</v>
      </c>
      <c r="D82" s="14" t="n">
        <v>0.458</v>
      </c>
      <c r="E82" s="14" t="n">
        <v>4260</v>
      </c>
      <c r="F82" s="14" t="n">
        <v>0.574</v>
      </c>
      <c r="G82" s="14" t="n">
        <v>4260</v>
      </c>
      <c r="H82" s="14" t="n">
        <v>0.722489075630252</v>
      </c>
    </row>
    <row r="83" customFormat="false" ht="12.75" hidden="false" customHeight="true" outlineLevel="0" collapsed="false">
      <c r="A83" s="14" t="n">
        <v>4320</v>
      </c>
      <c r="B83" s="14" t="n">
        <v>0.274</v>
      </c>
      <c r="C83" s="14" t="n">
        <v>4320</v>
      </c>
      <c r="D83" s="14" t="n">
        <v>0.465</v>
      </c>
      <c r="E83" s="14" t="n">
        <v>4320</v>
      </c>
      <c r="F83" s="14" t="n">
        <v>0.582</v>
      </c>
      <c r="G83" s="14" t="n">
        <v>4320</v>
      </c>
      <c r="H83" s="14" t="n">
        <v>0.73233781512605</v>
      </c>
    </row>
    <row r="84" customFormat="false" ht="12.75" hidden="false" customHeight="true" outlineLevel="0" collapsed="false">
      <c r="A84" s="14" t="n">
        <v>4380</v>
      </c>
      <c r="B84" s="14" t="n">
        <v>0.279</v>
      </c>
      <c r="C84" s="14" t="n">
        <v>4380</v>
      </c>
      <c r="D84" s="14" t="n">
        <v>0.472</v>
      </c>
      <c r="E84" s="14" t="n">
        <v>4380</v>
      </c>
      <c r="F84" s="14" t="n">
        <v>0.59</v>
      </c>
      <c r="G84" s="14" t="n">
        <v>4380</v>
      </c>
      <c r="H84" s="14" t="n">
        <v>0.742186554621848</v>
      </c>
    </row>
    <row r="85" customFormat="false" ht="12.75" hidden="false" customHeight="true" outlineLevel="0" collapsed="false">
      <c r="A85" s="14" t="n">
        <v>4440</v>
      </c>
      <c r="B85" s="14" t="n">
        <v>0.284</v>
      </c>
      <c r="C85" s="14" t="n">
        <v>4440</v>
      </c>
      <c r="D85" s="14" t="n">
        <v>0.479</v>
      </c>
      <c r="E85" s="14" t="n">
        <v>4440</v>
      </c>
      <c r="F85" s="14" t="n">
        <v>0.598</v>
      </c>
      <c r="G85" s="14" t="n">
        <v>4440</v>
      </c>
      <c r="H85" s="14" t="n">
        <v>0.752035294117647</v>
      </c>
    </row>
    <row r="86" customFormat="false" ht="12.75" hidden="false" customHeight="true" outlineLevel="0" collapsed="false">
      <c r="A86" s="14" t="n">
        <v>4500</v>
      </c>
      <c r="B86" s="14" t="n">
        <v>0.288</v>
      </c>
      <c r="C86" s="14" t="n">
        <v>4500</v>
      </c>
      <c r="D86" s="14" t="n">
        <v>0.487</v>
      </c>
      <c r="E86" s="14" t="n">
        <v>4500</v>
      </c>
      <c r="F86" s="14" t="n">
        <v>0.606</v>
      </c>
      <c r="G86" s="14" t="n">
        <v>4500</v>
      </c>
      <c r="H86" s="14" t="n">
        <v>0.761884033613445</v>
      </c>
    </row>
    <row r="87" customFormat="false" ht="12.75" hidden="false" customHeight="true" outlineLevel="0" collapsed="false">
      <c r="A87" s="14" t="n">
        <v>4560</v>
      </c>
      <c r="B87" s="14" t="n">
        <v>0.292</v>
      </c>
      <c r="C87" s="14" t="n">
        <v>4560</v>
      </c>
      <c r="D87" s="14" t="n">
        <v>0.493</v>
      </c>
      <c r="E87" s="14" t="n">
        <v>4560</v>
      </c>
      <c r="F87" s="14" t="n">
        <v>0.614</v>
      </c>
      <c r="G87" s="14" t="n">
        <v>4560</v>
      </c>
      <c r="H87" s="14" t="n">
        <v>0.771732773109243</v>
      </c>
    </row>
    <row r="88" customFormat="false" ht="12.75" hidden="false" customHeight="true" outlineLevel="0" collapsed="false">
      <c r="A88" s="14" t="n">
        <v>4620</v>
      </c>
      <c r="B88" s="14" t="n">
        <v>0.296</v>
      </c>
      <c r="C88" s="14" t="n">
        <v>4620</v>
      </c>
      <c r="D88" s="14" t="n">
        <v>0.501</v>
      </c>
      <c r="E88" s="14" t="n">
        <v>4620</v>
      </c>
      <c r="F88" s="14" t="n">
        <v>0.623</v>
      </c>
      <c r="G88" s="14" t="n">
        <v>4620</v>
      </c>
      <c r="H88" s="14" t="n">
        <v>0.781581512605042</v>
      </c>
    </row>
    <row r="89" customFormat="false" ht="12.75" hidden="false" customHeight="true" outlineLevel="0" collapsed="false">
      <c r="A89" s="14" t="n">
        <v>4680</v>
      </c>
      <c r="B89" s="14" t="n">
        <v>0.3</v>
      </c>
      <c r="C89" s="14" t="n">
        <v>4680</v>
      </c>
      <c r="D89" s="14" t="n">
        <v>0.508</v>
      </c>
      <c r="E89" s="14" t="n">
        <v>4680</v>
      </c>
      <c r="F89" s="14" t="n">
        <v>0.634</v>
      </c>
      <c r="G89" s="14" t="n">
        <v>4680</v>
      </c>
      <c r="H89" s="14" t="n">
        <v>0.791430252100841</v>
      </c>
    </row>
    <row r="90" customFormat="false" ht="12.75" hidden="false" customHeight="true" outlineLevel="0" collapsed="false">
      <c r="A90" s="14" t="n">
        <v>4740</v>
      </c>
      <c r="B90" s="14" t="n">
        <v>0.304</v>
      </c>
      <c r="C90" s="14" t="n">
        <v>4740</v>
      </c>
      <c r="D90" s="14" t="n">
        <v>0.517</v>
      </c>
      <c r="E90" s="14" t="n">
        <v>4740</v>
      </c>
      <c r="F90" s="14" t="n">
        <v>0.642</v>
      </c>
      <c r="G90" s="14" t="n">
        <v>4740</v>
      </c>
      <c r="H90" s="14" t="n">
        <v>0.801278991596639</v>
      </c>
    </row>
    <row r="91" customFormat="false" ht="12.75" hidden="false" customHeight="true" outlineLevel="0" collapsed="false">
      <c r="A91" s="14" t="n">
        <v>4800</v>
      </c>
      <c r="B91" s="14" t="n">
        <v>0.309</v>
      </c>
      <c r="C91" s="14" t="n">
        <v>4800</v>
      </c>
      <c r="D91" s="14" t="n">
        <v>0.525</v>
      </c>
      <c r="E91" s="14" t="n">
        <v>4800</v>
      </c>
      <c r="F91" s="14" t="n">
        <v>0.651</v>
      </c>
      <c r="G91" s="14" t="n">
        <v>4800</v>
      </c>
      <c r="H91" s="14" t="n">
        <v>0.811127731092438</v>
      </c>
    </row>
    <row r="92" customFormat="false" ht="12.75" hidden="false" customHeight="true" outlineLevel="0" collapsed="false">
      <c r="A92" s="14" t="n">
        <v>4860</v>
      </c>
      <c r="B92" s="14" t="n">
        <v>0.313</v>
      </c>
      <c r="C92" s="14" t="n">
        <v>4860</v>
      </c>
      <c r="D92" s="14" t="n">
        <v>0.501</v>
      </c>
      <c r="E92" s="14" t="n">
        <v>4860</v>
      </c>
      <c r="F92" s="14" t="n">
        <v>0.659</v>
      </c>
      <c r="G92" s="14" t="n">
        <v>4860</v>
      </c>
      <c r="H92" s="14" t="n">
        <v>0.820976470588236</v>
      </c>
    </row>
    <row r="93" customFormat="false" ht="12.75" hidden="false" customHeight="true" outlineLevel="0" collapsed="false">
      <c r="A93" s="14" t="n">
        <v>4920</v>
      </c>
      <c r="B93" s="14" t="n">
        <v>0.318</v>
      </c>
      <c r="C93" s="14" t="n">
        <v>4920</v>
      </c>
      <c r="D93" s="14" t="n">
        <v>0.507</v>
      </c>
      <c r="E93" s="14" t="n">
        <v>4920</v>
      </c>
      <c r="F93" s="14" t="n">
        <v>0.668</v>
      </c>
      <c r="G93" s="14" t="n">
        <v>4920</v>
      </c>
      <c r="H93" s="14" t="n">
        <v>0.830825210084034</v>
      </c>
    </row>
    <row r="94" customFormat="false" ht="12.75" hidden="false" customHeight="true" outlineLevel="0" collapsed="false">
      <c r="A94" s="14" t="n">
        <v>4980</v>
      </c>
      <c r="B94" s="14" t="n">
        <v>0.315</v>
      </c>
      <c r="C94" s="14" t="n">
        <v>4980</v>
      </c>
      <c r="D94" s="14" t="n">
        <v>0.513</v>
      </c>
      <c r="E94" s="14" t="n">
        <v>4980</v>
      </c>
      <c r="F94" s="14" t="n">
        <v>0.677</v>
      </c>
      <c r="G94" s="14" t="n">
        <v>4980</v>
      </c>
      <c r="H94" s="14" t="n">
        <v>0.840673949579832</v>
      </c>
    </row>
    <row r="95" customFormat="false" ht="12.75" hidden="false" customHeight="true" outlineLevel="0" collapsed="false">
      <c r="A95" s="14" t="n">
        <v>5040</v>
      </c>
      <c r="B95" s="14" t="n">
        <v>0.319</v>
      </c>
      <c r="C95" s="14" t="n">
        <v>5040</v>
      </c>
      <c r="D95" s="14" t="n">
        <v>0.519</v>
      </c>
      <c r="E95" s="14" t="n">
        <v>5040</v>
      </c>
      <c r="F95" s="14" t="n">
        <v>0.685</v>
      </c>
      <c r="G95" s="14" t="n">
        <v>5040</v>
      </c>
      <c r="H95" s="14" t="n">
        <v>0.85052268907563</v>
      </c>
    </row>
    <row r="96" customFormat="false" ht="12.75" hidden="false" customHeight="true" outlineLevel="0" collapsed="false">
      <c r="A96" s="14" t="n">
        <v>5100</v>
      </c>
      <c r="B96" s="14" t="n">
        <v>0.323</v>
      </c>
      <c r="C96" s="14" t="n">
        <v>5100</v>
      </c>
      <c r="D96" s="14" t="n">
        <v>0.524</v>
      </c>
      <c r="E96" s="14" t="n">
        <v>5100</v>
      </c>
      <c r="F96" s="14" t="n">
        <v>0.694</v>
      </c>
      <c r="G96" s="14" t="n">
        <v>5100</v>
      </c>
      <c r="H96" s="14" t="n">
        <v>0.860371428571428</v>
      </c>
    </row>
    <row r="97" customFormat="false" ht="12.75" hidden="false" customHeight="true" outlineLevel="0" collapsed="false">
      <c r="A97" s="14" t="n">
        <v>5160</v>
      </c>
      <c r="B97" s="14" t="n">
        <v>0.327</v>
      </c>
      <c r="C97" s="14" t="n">
        <v>5160</v>
      </c>
      <c r="D97" s="14" t="n">
        <v>0.53</v>
      </c>
      <c r="E97" s="14" t="n">
        <v>5160</v>
      </c>
      <c r="F97" s="14" t="n">
        <v>0.704</v>
      </c>
      <c r="G97" s="14" t="n">
        <v>5160</v>
      </c>
      <c r="H97" s="14" t="n">
        <v>0.870220168067227</v>
      </c>
    </row>
    <row r="98" customFormat="false" ht="12.75" hidden="false" customHeight="true" outlineLevel="0" collapsed="false">
      <c r="A98" s="14" t="n">
        <v>5220</v>
      </c>
      <c r="B98" s="14" t="n">
        <v>0.33</v>
      </c>
      <c r="C98" s="14" t="n">
        <v>5220</v>
      </c>
      <c r="D98" s="14" t="n">
        <v>0.536</v>
      </c>
      <c r="E98" s="14" t="n">
        <v>5220</v>
      </c>
      <c r="F98" s="14" t="n">
        <v>0.713</v>
      </c>
      <c r="G98" s="14" t="n">
        <v>5220</v>
      </c>
      <c r="H98" s="14" t="n">
        <v>0.880068907563025</v>
      </c>
    </row>
    <row r="99" customFormat="false" ht="12.75" hidden="false" customHeight="true" outlineLevel="0" collapsed="false">
      <c r="A99" s="14" t="n">
        <v>5280</v>
      </c>
      <c r="B99" s="14" t="n">
        <v>0.335</v>
      </c>
      <c r="C99" s="14" t="n">
        <v>5280</v>
      </c>
      <c r="D99" s="14" t="n">
        <v>0.542</v>
      </c>
      <c r="E99" s="14" t="n">
        <v>5280</v>
      </c>
      <c r="F99" s="14" t="n">
        <v>0.721</v>
      </c>
      <c r="G99" s="14" t="n">
        <v>5280</v>
      </c>
      <c r="H99" s="14" t="n">
        <v>0.889917647058823</v>
      </c>
    </row>
    <row r="100" customFormat="false" ht="12.75" hidden="false" customHeight="true" outlineLevel="0" collapsed="false">
      <c r="A100" s="14" t="n">
        <v>5340</v>
      </c>
      <c r="B100" s="14" t="n">
        <v>0.338</v>
      </c>
      <c r="C100" s="14" t="n">
        <v>5340</v>
      </c>
      <c r="D100" s="14" t="n">
        <v>0.547</v>
      </c>
      <c r="E100" s="14" t="n">
        <v>5340</v>
      </c>
      <c r="F100" s="14" t="n">
        <v>0.768</v>
      </c>
      <c r="G100" s="14" t="n">
        <v>5340</v>
      </c>
      <c r="H100" s="14" t="n">
        <v>0.899766386554621</v>
      </c>
    </row>
    <row r="101" customFormat="false" ht="12.75" hidden="false" customHeight="true" outlineLevel="0" collapsed="false">
      <c r="A101" s="14" t="n">
        <v>5400</v>
      </c>
      <c r="B101" s="14" t="n">
        <v>0.342</v>
      </c>
      <c r="C101" s="14" t="n">
        <v>5400</v>
      </c>
      <c r="D101" s="14" t="n">
        <v>0.553</v>
      </c>
      <c r="E101" s="14" t="n">
        <v>5400</v>
      </c>
      <c r="F101" s="14" t="n">
        <v>0.799</v>
      </c>
      <c r="G101" s="14" t="n">
        <v>5400</v>
      </c>
      <c r="H101" s="14" t="n">
        <v>0.90961512605042</v>
      </c>
    </row>
    <row r="102" customFormat="false" ht="12.75" hidden="false" customHeight="true" outlineLevel="0" collapsed="false">
      <c r="A102" s="14" t="n">
        <v>5460</v>
      </c>
      <c r="B102" s="14" t="n">
        <v>0.346</v>
      </c>
      <c r="C102" s="14" t="n">
        <v>5460</v>
      </c>
      <c r="D102" s="14" t="n">
        <v>0.559</v>
      </c>
      <c r="E102" s="14" t="n">
        <v>5460</v>
      </c>
      <c r="F102" s="14" t="n">
        <v>0.818</v>
      </c>
      <c r="G102" s="14" t="n">
        <v>5460</v>
      </c>
      <c r="H102" s="14" t="n">
        <v>0.919463865546219</v>
      </c>
    </row>
    <row r="103" customFormat="false" ht="12.75" hidden="false" customHeight="true" outlineLevel="0" collapsed="false">
      <c r="A103" s="14" t="n">
        <v>5520</v>
      </c>
      <c r="B103" s="14" t="n">
        <v>0.35</v>
      </c>
      <c r="C103" s="14" t="n">
        <v>5520</v>
      </c>
      <c r="D103" s="14" t="n">
        <v>0.565</v>
      </c>
      <c r="E103" s="14" t="n">
        <v>5520</v>
      </c>
      <c r="F103" s="14" t="n">
        <v>0.835</v>
      </c>
      <c r="G103" s="14" t="n">
        <v>5520</v>
      </c>
      <c r="H103" s="14" t="n">
        <v>0.929312605042017</v>
      </c>
    </row>
    <row r="104" customFormat="false" ht="12.75" hidden="false" customHeight="true" outlineLevel="0" collapsed="false">
      <c r="A104" s="14" t="n">
        <v>5580</v>
      </c>
      <c r="B104" s="14" t="n">
        <v>0.353</v>
      </c>
      <c r="C104" s="14" t="n">
        <v>5580</v>
      </c>
      <c r="D104" s="14" t="n">
        <v>0.571</v>
      </c>
      <c r="E104" s="14" t="n">
        <v>5580</v>
      </c>
      <c r="F104" s="14" t="n">
        <v>0.856</v>
      </c>
      <c r="G104" s="14" t="n">
        <v>5580</v>
      </c>
      <c r="H104" s="14" t="n">
        <v>0.939161344537816</v>
      </c>
    </row>
    <row r="105" customFormat="false" ht="12.75" hidden="false" customHeight="true" outlineLevel="0" collapsed="false">
      <c r="A105" s="14" t="n">
        <v>5640</v>
      </c>
      <c r="B105" s="14" t="n">
        <v>0.357</v>
      </c>
      <c r="C105" s="14" t="n">
        <v>5640</v>
      </c>
      <c r="D105" s="14" t="n">
        <v>0.576</v>
      </c>
      <c r="E105" s="14" t="n">
        <v>5640</v>
      </c>
      <c r="F105" s="14" t="n">
        <v>0.746</v>
      </c>
      <c r="G105" s="14" t="n">
        <v>5640</v>
      </c>
      <c r="H105" s="14" t="n">
        <v>0.949010084033614</v>
      </c>
    </row>
    <row r="106" customFormat="false" ht="12.75" hidden="false" customHeight="true" outlineLevel="0" collapsed="false">
      <c r="A106" s="14" t="n">
        <v>5700</v>
      </c>
      <c r="B106" s="14" t="n">
        <v>0.361</v>
      </c>
      <c r="C106" s="14" t="n">
        <v>5700</v>
      </c>
      <c r="D106" s="14" t="n">
        <v>0.581</v>
      </c>
      <c r="E106" s="14" t="n">
        <v>5700</v>
      </c>
      <c r="F106" s="14" t="n">
        <v>0.754</v>
      </c>
      <c r="G106" s="14" t="n">
        <v>5700</v>
      </c>
      <c r="H106" s="14" t="n">
        <v>0.958858823529412</v>
      </c>
    </row>
    <row r="107" customFormat="false" ht="12.75" hidden="false" customHeight="true" outlineLevel="0" collapsed="false">
      <c r="A107" s="14" t="n">
        <v>5760</v>
      </c>
      <c r="B107" s="14" t="n">
        <v>0.365</v>
      </c>
      <c r="C107" s="14" t="n">
        <v>5760</v>
      </c>
      <c r="D107" s="14" t="n">
        <v>0.586</v>
      </c>
      <c r="E107" s="14" t="n">
        <v>5760</v>
      </c>
      <c r="F107" s="14" t="n">
        <v>0.761</v>
      </c>
      <c r="G107" s="14" t="n">
        <v>5760</v>
      </c>
      <c r="H107" s="14" t="n">
        <v>0.96870756302521</v>
      </c>
    </row>
    <row r="108" customFormat="false" ht="12.75" hidden="false" customHeight="true" outlineLevel="0" collapsed="false">
      <c r="A108" s="14" t="n">
        <v>5820</v>
      </c>
      <c r="B108" s="14" t="n">
        <v>0.372</v>
      </c>
      <c r="C108" s="14" t="n">
        <v>5820</v>
      </c>
      <c r="D108" s="14" t="n">
        <v>0.591</v>
      </c>
      <c r="E108" s="14" t="n">
        <v>5820</v>
      </c>
      <c r="F108" s="14" t="n">
        <v>0.768</v>
      </c>
      <c r="G108" s="14" t="n">
        <v>5820</v>
      </c>
      <c r="H108" s="14" t="n">
        <v>0.978556302521008</v>
      </c>
    </row>
    <row r="109" customFormat="false" ht="12.75" hidden="false" customHeight="true" outlineLevel="0" collapsed="false">
      <c r="A109" s="14" t="n">
        <v>5880</v>
      </c>
      <c r="B109" s="14" t="n">
        <v>0.376</v>
      </c>
      <c r="C109" s="14" t="n">
        <v>5880</v>
      </c>
      <c r="D109" s="14" t="n">
        <v>0.597</v>
      </c>
      <c r="E109" s="14" t="n">
        <v>5880</v>
      </c>
      <c r="F109" s="14" t="n">
        <v>0.774</v>
      </c>
      <c r="G109" s="14" t="n">
        <v>5880</v>
      </c>
      <c r="H109" s="14" t="n">
        <v>0.988405042016806</v>
      </c>
    </row>
    <row r="110" customFormat="false" ht="12.75" hidden="false" customHeight="true" outlineLevel="0" collapsed="false">
      <c r="A110" s="14" t="n">
        <v>5940</v>
      </c>
      <c r="B110" s="14" t="n">
        <v>0.38</v>
      </c>
      <c r="C110" s="14" t="n">
        <v>5940</v>
      </c>
      <c r="D110" s="14" t="n">
        <v>0.602</v>
      </c>
      <c r="E110" s="14" t="n">
        <v>5940</v>
      </c>
      <c r="F110" s="14" t="n">
        <v>0.782</v>
      </c>
      <c r="G110" s="14" t="n">
        <v>5940</v>
      </c>
      <c r="H110" s="14" t="n">
        <v>0.998253781512605</v>
      </c>
    </row>
    <row r="111" customFormat="false" ht="12.75" hidden="false" customHeight="true" outlineLevel="0" collapsed="false">
      <c r="A111" s="14" t="n">
        <v>6000</v>
      </c>
      <c r="B111" s="14" t="n">
        <v>0.384</v>
      </c>
      <c r="C111" s="14" t="n">
        <v>6000</v>
      </c>
      <c r="D111" s="14" t="n">
        <v>0.608</v>
      </c>
      <c r="E111" s="14" t="n">
        <v>6000</v>
      </c>
      <c r="F111" s="14" t="n">
        <v>0.789</v>
      </c>
      <c r="G111" s="14" t="n">
        <v>6000</v>
      </c>
      <c r="H111" s="14" t="n">
        <v>1.0081025210084</v>
      </c>
    </row>
    <row r="112" customFormat="false" ht="12.75" hidden="false" customHeight="true" outlineLevel="0" collapsed="false">
      <c r="A112" s="14" t="n">
        <v>6060</v>
      </c>
      <c r="B112" s="14" t="n">
        <v>0.388</v>
      </c>
      <c r="C112" s="14" t="n">
        <v>6060</v>
      </c>
      <c r="D112" s="14" t="n">
        <v>0.614</v>
      </c>
      <c r="E112" s="14" t="n">
        <v>6060</v>
      </c>
      <c r="F112" s="14" t="n">
        <v>0.796</v>
      </c>
      <c r="G112" s="14" t="n">
        <v>6060</v>
      </c>
      <c r="H112" s="14" t="n">
        <v>1.0179512605042</v>
      </c>
    </row>
    <row r="113" customFormat="false" ht="12.75" hidden="false" customHeight="true" outlineLevel="0" collapsed="false">
      <c r="A113" s="14" t="n">
        <v>6120</v>
      </c>
      <c r="B113" s="14" t="n">
        <v>0.381</v>
      </c>
      <c r="C113" s="14" t="n">
        <v>6120</v>
      </c>
      <c r="D113" s="14" t="n">
        <v>0.619</v>
      </c>
      <c r="E113" s="14" t="n">
        <v>6120</v>
      </c>
      <c r="F113" s="14" t="n">
        <v>0.804</v>
      </c>
      <c r="G113" s="14" t="n">
        <v>6120</v>
      </c>
      <c r="H113" s="14" t="n">
        <v>1.0278</v>
      </c>
    </row>
    <row r="114" customFormat="false" ht="12.75" hidden="false" customHeight="true" outlineLevel="0" collapsed="false">
      <c r="A114" s="14" t="n">
        <v>6180</v>
      </c>
      <c r="B114" s="14" t="n">
        <v>0.384</v>
      </c>
      <c r="C114" s="14" t="n">
        <v>6180</v>
      </c>
      <c r="D114" s="14" t="n">
        <v>0.624</v>
      </c>
      <c r="E114" s="14" t="n">
        <v>6180</v>
      </c>
      <c r="F114" s="14" t="n">
        <v>0.811</v>
      </c>
      <c r="G114" s="14" t="n">
        <v>6180</v>
      </c>
      <c r="H114" s="14" t="n">
        <v>1.0376487394958</v>
      </c>
    </row>
    <row r="115" customFormat="false" ht="12.75" hidden="false" customHeight="true" outlineLevel="0" collapsed="false">
      <c r="A115" s="14" t="n">
        <v>6240</v>
      </c>
      <c r="B115" s="14" t="n">
        <v>0.388</v>
      </c>
      <c r="C115" s="14" t="n">
        <v>6240</v>
      </c>
      <c r="D115" s="14" t="n">
        <v>0.63</v>
      </c>
      <c r="E115" s="14" t="n">
        <v>6240</v>
      </c>
      <c r="F115" s="14" t="n">
        <v>0.818</v>
      </c>
      <c r="G115" s="14" t="n">
        <v>6240</v>
      </c>
      <c r="H115" s="14" t="n">
        <v>1.0474974789916</v>
      </c>
    </row>
    <row r="116" customFormat="false" ht="12.75" hidden="false" customHeight="true" outlineLevel="0" collapsed="false">
      <c r="A116" s="14" t="n">
        <v>6300</v>
      </c>
      <c r="B116" s="14" t="n">
        <v>0.392</v>
      </c>
      <c r="C116" s="14" t="n">
        <v>6300</v>
      </c>
      <c r="D116" s="14" t="n">
        <v>0.635</v>
      </c>
      <c r="E116" s="14" t="n">
        <v>6300</v>
      </c>
      <c r="F116" s="14" t="n">
        <v>0.825</v>
      </c>
      <c r="G116" s="14" t="n">
        <v>6300</v>
      </c>
      <c r="H116" s="14" t="n">
        <v>1.05734621848739</v>
      </c>
    </row>
    <row r="117" customFormat="false" ht="12.75" hidden="false" customHeight="true" outlineLevel="0" collapsed="false">
      <c r="A117" s="14" t="n">
        <v>6360</v>
      </c>
      <c r="B117" s="14" t="n">
        <v>0.396</v>
      </c>
      <c r="C117" s="14" t="n">
        <v>6360</v>
      </c>
      <c r="D117" s="14" t="n">
        <v>0.641</v>
      </c>
      <c r="E117" s="14" t="n">
        <v>6360</v>
      </c>
      <c r="F117" s="14" t="n">
        <v>0.833</v>
      </c>
      <c r="G117" s="14" t="n">
        <v>6360</v>
      </c>
      <c r="H117" s="14" t="n">
        <v>1.06719495798319</v>
      </c>
    </row>
    <row r="118" customFormat="false" ht="12.75" hidden="false" customHeight="true" outlineLevel="0" collapsed="false">
      <c r="A118" s="14" t="n">
        <v>6420</v>
      </c>
      <c r="B118" s="14" t="n">
        <v>0.4</v>
      </c>
      <c r="C118" s="14" t="n">
        <v>6420</v>
      </c>
      <c r="D118" s="14" t="n">
        <v>0.646</v>
      </c>
      <c r="E118" s="14" t="n">
        <v>6420</v>
      </c>
      <c r="F118" s="14" t="n">
        <v>0.84</v>
      </c>
      <c r="G118" s="14" t="n">
        <v>6420</v>
      </c>
      <c r="H118" s="14" t="n">
        <v>1.07704369747899</v>
      </c>
    </row>
    <row r="119" customFormat="false" ht="12.75" hidden="false" customHeight="true" outlineLevel="0" collapsed="false">
      <c r="A119" s="14" t="n">
        <v>6480</v>
      </c>
      <c r="B119" s="14" t="n">
        <v>0.404</v>
      </c>
      <c r="C119" s="14" t="n">
        <v>6480</v>
      </c>
      <c r="D119" s="14" t="n">
        <v>0.651</v>
      </c>
      <c r="E119" s="14" t="n">
        <v>6480</v>
      </c>
      <c r="F119" s="14" t="n">
        <v>0.847</v>
      </c>
      <c r="G119" s="14" t="n">
        <v>6480</v>
      </c>
      <c r="H119" s="14" t="n">
        <v>1.08689243697479</v>
      </c>
    </row>
    <row r="120" customFormat="false" ht="12.75" hidden="false" customHeight="true" outlineLevel="0" collapsed="false">
      <c r="A120" s="14" t="n">
        <v>6540</v>
      </c>
      <c r="B120" s="14" t="n">
        <v>0.408</v>
      </c>
      <c r="C120" s="14" t="n">
        <v>6540</v>
      </c>
      <c r="D120" s="14" t="n">
        <v>0.657</v>
      </c>
      <c r="E120" s="14" t="n">
        <v>6540</v>
      </c>
      <c r="F120" s="14" t="n">
        <v>0.854</v>
      </c>
      <c r="G120" s="14" t="n">
        <v>6540</v>
      </c>
      <c r="H120" s="14" t="n">
        <v>1.09674117647059</v>
      </c>
    </row>
    <row r="121" customFormat="false" ht="12.75" hidden="false" customHeight="true" outlineLevel="0" collapsed="false">
      <c r="A121" s="14" t="n">
        <v>6600</v>
      </c>
      <c r="B121" s="14" t="n">
        <v>0.411</v>
      </c>
      <c r="C121" s="14" t="n">
        <v>6600</v>
      </c>
      <c r="D121" s="14" t="n">
        <v>0.662</v>
      </c>
      <c r="E121" s="14" t="n">
        <v>6600</v>
      </c>
      <c r="F121" s="14" t="n">
        <v>0.861</v>
      </c>
      <c r="G121" s="14" t="n">
        <v>6600</v>
      </c>
      <c r="H121" s="14" t="n">
        <v>1.10658991596639</v>
      </c>
    </row>
    <row r="122" customFormat="false" ht="12.75" hidden="false" customHeight="true" outlineLevel="0" collapsed="false">
      <c r="A122" s="14" t="n">
        <v>6660</v>
      </c>
      <c r="B122" s="14" t="n">
        <v>0.415</v>
      </c>
      <c r="C122" s="14" t="n">
        <v>6660</v>
      </c>
      <c r="D122" s="14" t="n">
        <v>0.668</v>
      </c>
      <c r="E122" s="14" t="n">
        <v>6660</v>
      </c>
      <c r="F122" s="14" t="n">
        <v>0.869</v>
      </c>
      <c r="G122" s="14" t="n">
        <v>6660</v>
      </c>
      <c r="H122" s="14" t="n">
        <v>1.11643865546218</v>
      </c>
    </row>
    <row r="123" customFormat="false" ht="12.75" hidden="false" customHeight="true" outlineLevel="0" collapsed="false">
      <c r="A123" s="14" t="n">
        <v>6720</v>
      </c>
      <c r="B123" s="14" t="n">
        <v>0.42</v>
      </c>
      <c r="C123" s="14" t="n">
        <v>6720</v>
      </c>
      <c r="D123" s="14" t="n">
        <v>0.673</v>
      </c>
      <c r="E123" s="14" t="n">
        <v>6720</v>
      </c>
      <c r="F123" s="14" t="n">
        <v>0.875</v>
      </c>
      <c r="G123" s="14" t="n">
        <v>6720</v>
      </c>
      <c r="H123" s="14" t="n">
        <v>1.12628739495798</v>
      </c>
    </row>
    <row r="124" customFormat="false" ht="12.75" hidden="false" customHeight="true" outlineLevel="0" collapsed="false">
      <c r="A124" s="14" t="n">
        <v>6780</v>
      </c>
      <c r="B124" s="14" t="n">
        <v>0.424</v>
      </c>
      <c r="C124" s="14" t="n">
        <v>6780</v>
      </c>
      <c r="D124" s="14" t="n">
        <v>0.678</v>
      </c>
      <c r="E124" s="14" t="n">
        <v>6780</v>
      </c>
      <c r="F124" s="14" t="n">
        <v>0.882</v>
      </c>
      <c r="G124" s="14" t="n">
        <v>6780</v>
      </c>
      <c r="H124" s="14" t="n">
        <v>1.13613613445378</v>
      </c>
    </row>
    <row r="125" customFormat="false" ht="12.75" hidden="false" customHeight="true" outlineLevel="0" collapsed="false">
      <c r="A125" s="14" t="n">
        <v>6840</v>
      </c>
      <c r="B125" s="14" t="n">
        <v>0.429</v>
      </c>
      <c r="C125" s="14" t="n">
        <v>6840</v>
      </c>
      <c r="D125" s="14" t="n">
        <v>0.684</v>
      </c>
      <c r="E125" s="14" t="n">
        <v>6840</v>
      </c>
      <c r="F125" s="14" t="n">
        <v>0.889</v>
      </c>
      <c r="G125" s="14" t="n">
        <v>6840</v>
      </c>
      <c r="H125" s="14" t="n">
        <v>1.14598487394958</v>
      </c>
    </row>
    <row r="126" customFormat="false" ht="12.75" hidden="false" customHeight="true" outlineLevel="0" collapsed="false">
      <c r="A126" s="14" t="n">
        <v>6900</v>
      </c>
      <c r="B126" s="14" t="n">
        <v>0.438</v>
      </c>
      <c r="C126" s="14" t="n">
        <v>6900</v>
      </c>
      <c r="D126" s="14" t="n">
        <v>0.689</v>
      </c>
      <c r="E126" s="14" t="n">
        <v>6900</v>
      </c>
      <c r="F126" s="14" t="n">
        <v>0.896</v>
      </c>
      <c r="G126" s="14" t="n">
        <v>6900</v>
      </c>
      <c r="H126" s="14" t="n">
        <v>1.15583361344538</v>
      </c>
    </row>
    <row r="127" customFormat="false" ht="12.75" hidden="false" customHeight="true" outlineLevel="0" collapsed="false">
      <c r="A127" s="14" t="n">
        <v>6960</v>
      </c>
      <c r="B127" s="14" t="n">
        <v>0.435</v>
      </c>
      <c r="C127" s="14" t="n">
        <v>6960</v>
      </c>
      <c r="D127" s="14" t="n">
        <v>0.694</v>
      </c>
      <c r="E127" s="14" t="n">
        <v>6960</v>
      </c>
      <c r="F127" s="14" t="n">
        <v>0.903</v>
      </c>
      <c r="G127" s="14" t="n">
        <v>6960</v>
      </c>
      <c r="H127" s="14" t="n">
        <v>1.16568235294118</v>
      </c>
    </row>
    <row r="128" customFormat="false" ht="12.75" hidden="false" customHeight="true" outlineLevel="0" collapsed="false">
      <c r="A128" s="14" t="n">
        <v>7020</v>
      </c>
      <c r="B128" s="14" t="n">
        <v>0.439</v>
      </c>
      <c r="C128" s="14" t="n">
        <v>7020</v>
      </c>
      <c r="D128" s="14" t="n">
        <v>0.699</v>
      </c>
      <c r="E128" s="14" t="n">
        <v>7020</v>
      </c>
      <c r="F128" s="14" t="n">
        <v>0.91</v>
      </c>
      <c r="G128" s="14" t="n">
        <v>7020</v>
      </c>
      <c r="H128" s="14" t="n">
        <v>1.17553109243697</v>
      </c>
    </row>
    <row r="129" customFormat="false" ht="12.75" hidden="false" customHeight="true" outlineLevel="0" collapsed="false">
      <c r="A129" s="14" t="n">
        <v>7080</v>
      </c>
      <c r="B129" s="14" t="n">
        <v>0.443</v>
      </c>
      <c r="C129" s="14" t="n">
        <v>7080</v>
      </c>
      <c r="D129" s="14" t="n">
        <v>0.705</v>
      </c>
      <c r="E129" s="14" t="n">
        <v>7080</v>
      </c>
      <c r="F129" s="14" t="n">
        <v>0.916</v>
      </c>
      <c r="G129" s="14" t="n">
        <v>7080</v>
      </c>
      <c r="H129" s="14" t="n">
        <v>1.18537983193277</v>
      </c>
    </row>
    <row r="130" customFormat="false" ht="12.75" hidden="false" customHeight="true" outlineLevel="0" collapsed="false">
      <c r="A130" s="14" t="n">
        <v>7140</v>
      </c>
      <c r="B130" s="14" t="n">
        <v>0.447</v>
      </c>
      <c r="C130" s="14" t="n">
        <v>7140</v>
      </c>
      <c r="D130" s="14" t="n">
        <v>0.711</v>
      </c>
      <c r="E130" s="14" t="n">
        <v>7140</v>
      </c>
      <c r="F130" s="14" t="n">
        <v>0.924</v>
      </c>
      <c r="G130" s="14" t="n">
        <v>7140</v>
      </c>
      <c r="H130" s="14" t="n">
        <v>1.19522857142857</v>
      </c>
    </row>
    <row r="131" customFormat="false" ht="12.75" hidden="false" customHeight="true" outlineLevel="0" collapsed="false">
      <c r="A131" s="14" t="n">
        <v>7200</v>
      </c>
      <c r="B131" s="14" t="n">
        <v>0.451</v>
      </c>
      <c r="C131" s="14" t="n">
        <v>7200</v>
      </c>
      <c r="D131" s="14" t="n">
        <v>0.716</v>
      </c>
      <c r="E131" s="14" t="n">
        <v>7200</v>
      </c>
      <c r="F131" s="14" t="n">
        <v>0.931</v>
      </c>
      <c r="G131" s="14" t="n">
        <v>7200</v>
      </c>
      <c r="H131" s="14" t="n">
        <v>1.20507731092437</v>
      </c>
    </row>
    <row r="132" customFormat="false" ht="12.75" hidden="false" customHeight="true" outlineLevel="0" collapsed="false">
      <c r="A132" s="14" t="n">
        <v>7260</v>
      </c>
      <c r="B132" s="14" t="n">
        <v>0.455</v>
      </c>
      <c r="C132" s="14" t="n">
        <v>7260</v>
      </c>
      <c r="D132" s="14" t="n">
        <v>0.721</v>
      </c>
      <c r="E132" s="14" t="n">
        <v>7260</v>
      </c>
      <c r="F132" s="14" t="n">
        <v>0.938</v>
      </c>
      <c r="G132" s="14" t="n">
        <v>7260</v>
      </c>
      <c r="H132" s="14" t="n">
        <v>1.218</v>
      </c>
    </row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2010-04-07T07:35:01Z</dcterms:created>
  <dc:creator>kemmb6</dc:creator>
  <dc:description/>
  <dc:language>en-BS</dc:language>
  <cp:lastModifiedBy/>
  <dcterms:modified xsi:type="dcterms:W3CDTF">2024-12-12T22:04:58Z</dcterms:modified>
  <cp:revision>1</cp:revision>
  <dc:subject/>
  <dc:title/>
</cp:coreProperties>
</file>