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6">Sheet2!$A$1:$H$48</definedName>
  </definedNames>
  <calcPr/>
  <extLst>
    <ext uri="GoogleSheetsCustomDataVersion1">
      <go:sheetsCustomData xmlns:go="http://customooxmlschemas.google.com/" r:id="rId7" roundtripDataSignature="AMtx7mh0reDeUT9e9Z6NP7Dj4STPmicU+A=="/>
    </ext>
  </extLst>
</workbook>
</file>

<file path=xl/sharedStrings.xml><?xml version="1.0" encoding="utf-8"?>
<sst xmlns="http://schemas.openxmlformats.org/spreadsheetml/2006/main" count="186" uniqueCount="129">
  <si>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</si>
  <si>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</si>
  <si>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</si>
  <si>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</si>
  <si>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</si>
  <si>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</si>
  <si>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</si>
  <si>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</si>
  <si>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</si>
  <si>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</si>
  <si>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</si>
  <si>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</si>
  <si>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</si>
  <si>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</si>
  <si>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</si>
  <si>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</si>
  <si>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</si>
  <si>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</si>
  <si>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</si>
  <si>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</si>
  <si>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</si>
  <si>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</si>
  <si>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</si>
  <si>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</si>
  <si>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</si>
  <si>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</si>
  <si>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</si>
  <si>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</si>
  <si>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</si>
  <si>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</si>
  <si>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</si>
  <si>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</si>
  <si>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</si>
  <si>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</si>
  <si>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</si>
  <si>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</si>
  <si>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</si>
  <si>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</si>
  <si>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</si>
  <si>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</si>
  <si>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hexametaphosphate (pyrophosphate)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</si>
  <si>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</si>
  <si>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</si>
  <si>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</si>
  <si>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</si>
  <si>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</si>
  <si>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</si>
  <si>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</si>
  <si>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</si>
  <si>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</si>
  <si>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</si>
  <si>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</si>
  <si>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</si>
  <si>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</si>
  <si>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</si>
  <si>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</si>
  <si>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</si>
  <si>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</si>
  <si>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</si>
  <si>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</si>
  <si>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</si>
  <si>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</si>
  <si>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</si>
  <si>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</si>
  <si>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</si>
  <si>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</si>
  <si>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</si>
  <si>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</si>
  <si>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</si>
  <si>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</si>
  <si>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</si>
  <si>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</si>
  <si>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</si>
  <si>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</si>
  <si>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</si>
  <si>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</si>
  <si>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</si>
  <si>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</si>
  <si>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</t>
  </si>
  <si>
    <t>mM/s</t>
  </si>
  <si>
    <t>Km</t>
  </si>
  <si>
    <t>mmol/L</t>
  </si>
  <si>
    <t>kcat</t>
  </si>
  <si>
    <t>1/s</t>
  </si>
  <si>
    <t>Kinetics Experiment - 76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</si>
  <si>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</si>
  <si>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</si>
  <si>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</si>
  <si>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</si>
  <si>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</si>
  <si>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</si>
  <si>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</si>
  <si>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</si>
  <si>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</si>
  <si>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</si>
  <si>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</si>
  <si>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</si>
  <si>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</si>
  <si>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</si>
  <si>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</si>
  <si>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</si>
  <si>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</si>
  <si>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</si>
  <si>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</si>
  <si>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</si>
  <si>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</si>
  <si>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</si>
  <si>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</si>
  <si>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</si>
  <si>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</si>
  <si>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rate076.rre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</si>
  <si>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</si>
  <si>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</si>
  <si>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</si>
  <si>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</si>
  <si>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</si>
  <si>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</si>
  <si>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</si>
  <si>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12:25:15AM</t>
  </si>
  <si>
    <t>12:25:22AM</t>
  </si>
  <si>
    <t>12:43:05AM</t>
  </si>
  <si>
    <t>12:25:37AM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</si>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</sst>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373460"/>
        <c:axId val="1561677612"/>
      </c:scatterChart>
      <c:valAx>
        <c:axId val="1859373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677612"/>
      </c:valAx>
      <c:valAx>
        <c:axId val="15616776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373460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22227723"/>
        <c:axId val="771642814"/>
      </c:scatterChart>
      <c:valAx>
        <c:axId val="222227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642814"/>
      </c:valAx>
      <c:valAx>
        <c:axId val="77164281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22227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087144"/>
        <c:axId val="251617726"/>
      </c:scatterChart>
      <c:valAx>
        <c:axId val="244087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617726"/>
      </c:valAx>
      <c:valAx>
        <c:axId val="2516177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087144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6.3251 mmol/L/Value, Substrate Conc./ss.sss, 3.1626 mmol/L/Value, Substrate Conc./ss.sss, 1.2650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Sheet2!$A$9:$A$45</c:f>
            </c:numRef>
          </c:xVal>
          <c:yVal>
            <c:numRef>
              <c:f>Sheet2!$B$9:$B$45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Sheet2!$A$9:$A$45</c:f>
            </c:numRef>
          </c:xVal>
          <c:yVal>
            <c:numRef>
              <c:f>Sheet2!$D$9:$D$45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Sheet2!$A$9:$A$45</c:f>
            </c:numRef>
          </c:xVal>
          <c:yVal>
            <c:numRef>
              <c:f>Sheet2!$F$9:$F$45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Sheet2!$A$9:$A$45</c:f>
            </c:numRef>
          </c:xVal>
          <c:yVal>
            <c:numRef>
              <c:f>Sheet2!$H$9:$H$45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4431"/>
        <c:axId val="1378289777"/>
      </c:scatterChart>
      <c:valAx>
        <c:axId val="719244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289777"/>
      </c:valAx>
      <c:valAx>
        <c:axId val="1378289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24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Sheet2!$J$26:$J$29</c:f>
            </c:numRef>
          </c:xVal>
          <c:yVal>
            <c:numRef>
              <c:f>Sheet2!$K$26:$K$29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656522"/>
        <c:axId val="1145393719"/>
      </c:scatterChart>
      <c:valAx>
        <c:axId val="6626565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393719"/>
      </c:valAx>
      <c:valAx>
        <c:axId val="1145393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656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7505847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27099270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92103557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0</xdr:row>
      <xdr:rowOff>9525</xdr:rowOff>
    </xdr:from>
    <xdr:ext cx="5715000" cy="3533775"/>
    <xdr:graphicFrame>
      <xdr:nvGraphicFramePr>
        <xdr:cNvPr id="1062796355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495300</xdr:colOff>
      <xdr:row>23</xdr:row>
      <xdr:rowOff>76200</xdr:rowOff>
    </xdr:from>
    <xdr:ext cx="3457575" cy="2143125"/>
    <xdr:graphicFrame>
      <xdr:nvGraphicFramePr>
        <xdr:cNvPr id="1504941303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76.0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0.033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9.02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24.75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24.75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24.75</v>
      </c>
    </row>
    <row r="23" ht="12.75" customHeight="1">
      <c r="B23" s="16">
        <v>4.0</v>
      </c>
      <c r="C23" s="16">
        <v>1.5</v>
      </c>
      <c r="D23" s="16">
        <v>0.0</v>
      </c>
      <c r="E23" s="16">
        <v>0.1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24.75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24.75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24.75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24.75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24.75</v>
      </c>
    </row>
    <row r="28" ht="12.75" customHeight="1">
      <c r="C28" s="1">
        <f t="shared" ref="C28:G28" si="8">SUM(C20:C27)</f>
        <v>12</v>
      </c>
      <c r="D28" s="1">
        <f t="shared" si="8"/>
        <v>0.4</v>
      </c>
      <c r="E28" s="1">
        <f t="shared" si="8"/>
        <v>0.4</v>
      </c>
      <c r="F28" s="1">
        <f t="shared" si="8"/>
        <v>2.4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0.003842948951</v>
      </c>
      <c r="M41" s="8" t="s">
        <v>78</v>
      </c>
    </row>
    <row r="42" ht="12.75" customHeight="1">
      <c r="J42" s="17"/>
      <c r="K42" s="10" t="s">
        <v>77</v>
      </c>
      <c r="L42" s="4">
        <f>(L41/I2)/31</f>
        <v>0.0001007854432</v>
      </c>
      <c r="M42" s="11" t="s">
        <v>79</v>
      </c>
    </row>
    <row r="43" ht="12.75" customHeight="1">
      <c r="K43" s="10" t="s">
        <v>80</v>
      </c>
      <c r="L43" s="1">
        <f>I50</f>
        <v>0.5865715758</v>
      </c>
      <c r="M43" s="11" t="s">
        <v>81</v>
      </c>
    </row>
    <row r="44" ht="13.5" customHeight="1">
      <c r="K44" s="12" t="s">
        <v>82</v>
      </c>
      <c r="L44" s="5">
        <f>L42/G13</f>
        <v>0.003601935083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7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6.32510000019758</v>
      </c>
      <c r="D49" s="1">
        <v>0.0</v>
      </c>
      <c r="E49" s="1">
        <v>0.003498560324578</v>
      </c>
      <c r="F49" s="1" t="s">
        <v>97</v>
      </c>
      <c r="H49" s="1" t="s">
        <v>98</v>
      </c>
      <c r="I49" s="1">
        <v>0.00384294895069987</v>
      </c>
    </row>
    <row r="50" ht="12.75" customHeight="1">
      <c r="B50" s="1" t="s">
        <v>99</v>
      </c>
      <c r="C50" s="1">
        <v>3.16259999993623</v>
      </c>
      <c r="D50" s="1">
        <v>0.0</v>
      </c>
      <c r="E50" s="1">
        <v>0.003253642826724</v>
      </c>
      <c r="F50" s="1" t="s">
        <v>97</v>
      </c>
      <c r="H50" s="1" t="s">
        <v>80</v>
      </c>
      <c r="I50" s="1">
        <v>0.586571575780075</v>
      </c>
    </row>
    <row r="51" ht="12.75" customHeight="1">
      <c r="B51" s="1" t="s">
        <v>100</v>
      </c>
      <c r="C51" s="1">
        <v>1.26500000023521</v>
      </c>
      <c r="D51" s="1">
        <v>0.0</v>
      </c>
      <c r="E51" s="1">
        <v>0.002920627685876</v>
      </c>
      <c r="F51" s="18" t="s">
        <v>97</v>
      </c>
      <c r="G51" s="1" t="s">
        <v>101</v>
      </c>
    </row>
    <row r="52" ht="12.75" customHeight="1">
      <c r="B52" s="1" t="s">
        <v>102</v>
      </c>
      <c r="C52" s="1">
        <v>0.316300000059589</v>
      </c>
      <c r="D52" s="1">
        <v>0.0</v>
      </c>
      <c r="E52" s="1">
        <v>0.001138491812991</v>
      </c>
      <c r="F52" s="1" t="s">
        <v>97</v>
      </c>
      <c r="H52" s="1" t="s">
        <v>103</v>
      </c>
      <c r="I52" s="1">
        <v>4309.77789403327</v>
      </c>
    </row>
    <row r="53" ht="12.75" customHeight="1">
      <c r="H53" s="1" t="s">
        <v>104</v>
      </c>
      <c r="I53" s="1">
        <v>0.998493628619184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105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106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107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108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109</v>
      </c>
      <c r="B1" s="1" t="s">
        <v>110</v>
      </c>
    </row>
    <row r="2" ht="12.75" customHeight="1">
      <c r="A2" s="1" t="s">
        <v>111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102</v>
      </c>
    </row>
    <row r="4" ht="12.75" customHeight="1">
      <c r="A4" s="1" t="s">
        <v>112</v>
      </c>
      <c r="B4" s="1" t="s">
        <v>113</v>
      </c>
      <c r="C4" s="1" t="s">
        <v>112</v>
      </c>
      <c r="D4" s="1" t="s">
        <v>113</v>
      </c>
      <c r="E4" s="1" t="s">
        <v>112</v>
      </c>
      <c r="F4" s="1" t="s">
        <v>113</v>
      </c>
      <c r="G4" s="1" t="s">
        <v>112</v>
      </c>
      <c r="H4" s="1" t="s">
        <v>113</v>
      </c>
    </row>
    <row r="5" ht="12.75" customHeight="1">
      <c r="A5" s="1" t="s">
        <v>114</v>
      </c>
      <c r="B5" s="1" t="s">
        <v>115</v>
      </c>
      <c r="C5" s="1" t="s">
        <v>114</v>
      </c>
      <c r="D5" s="1" t="s">
        <v>115</v>
      </c>
      <c r="E5" s="1" t="s">
        <v>114</v>
      </c>
      <c r="F5" s="1" t="s">
        <v>115</v>
      </c>
      <c r="G5" s="1" t="s">
        <v>114</v>
      </c>
      <c r="H5" s="1" t="s">
        <v>115</v>
      </c>
    </row>
    <row r="6" ht="12.75" customHeight="1">
      <c r="A6" s="1" t="s">
        <v>116</v>
      </c>
      <c r="B6" s="19">
        <v>40338.0</v>
      </c>
      <c r="C6" s="1" t="s">
        <v>116</v>
      </c>
      <c r="D6" s="19">
        <v>40338.0</v>
      </c>
      <c r="E6" s="1" t="s">
        <v>116</v>
      </c>
      <c r="F6" s="19">
        <v>40338.0</v>
      </c>
      <c r="G6" s="1" t="s">
        <v>116</v>
      </c>
      <c r="H6" s="19">
        <v>40338.0</v>
      </c>
    </row>
    <row r="7" ht="12.75" customHeight="1">
      <c r="A7" s="1" t="s">
        <v>117</v>
      </c>
      <c r="B7" s="1" t="s">
        <v>118</v>
      </c>
      <c r="C7" s="1" t="s">
        <v>117</v>
      </c>
      <c r="D7" s="1" t="s">
        <v>119</v>
      </c>
      <c r="E7" s="1" t="s">
        <v>117</v>
      </c>
      <c r="F7" s="1" t="s">
        <v>120</v>
      </c>
      <c r="G7" s="1" t="s">
        <v>117</v>
      </c>
      <c r="H7" s="1" t="s">
        <v>121</v>
      </c>
    </row>
    <row r="8" ht="12.75" customHeight="1"/>
    <row r="9" ht="12.75" customHeight="1">
      <c r="A9" s="1" t="s">
        <v>122</v>
      </c>
      <c r="B9" s="1" t="s">
        <v>123</v>
      </c>
      <c r="C9" s="1" t="s">
        <v>122</v>
      </c>
      <c r="D9" s="1" t="s">
        <v>124</v>
      </c>
      <c r="E9" s="1" t="s">
        <v>122</v>
      </c>
      <c r="F9" s="1" t="s">
        <v>125</v>
      </c>
      <c r="G9" s="1" t="s">
        <v>122</v>
      </c>
      <c r="H9" s="1" t="s">
        <v>126</v>
      </c>
    </row>
    <row r="10" ht="12.75" customHeight="1">
      <c r="A10" s="1" t="s">
        <v>127</v>
      </c>
      <c r="B10" s="1" t="s">
        <v>128</v>
      </c>
      <c r="C10" s="1" t="s">
        <v>127</v>
      </c>
      <c r="D10" s="1" t="s">
        <v>128</v>
      </c>
      <c r="E10" s="1" t="s">
        <v>127</v>
      </c>
      <c r="F10" s="1" t="s">
        <v>128</v>
      </c>
      <c r="G10" s="1" t="s">
        <v>127</v>
      </c>
      <c r="H10" s="1" t="s">
        <v>128</v>
      </c>
    </row>
    <row r="11" ht="12.75" customHeight="1">
      <c r="A11" s="1">
        <v>0.0</v>
      </c>
      <c r="B11" s="1">
        <v>0.001</v>
      </c>
      <c r="C11" s="1">
        <v>0.0</v>
      </c>
      <c r="D11" s="1">
        <v>-0.005</v>
      </c>
      <c r="E11" s="1">
        <v>0.0</v>
      </c>
      <c r="F11" s="1">
        <v>-0.008</v>
      </c>
      <c r="G11" s="1">
        <v>0.0</v>
      </c>
      <c r="H11" s="1">
        <v>-0.008</v>
      </c>
    </row>
    <row r="12" ht="12.75" customHeight="1">
      <c r="A12" s="1">
        <v>31.0</v>
      </c>
      <c r="B12" s="1">
        <v>0.004</v>
      </c>
      <c r="C12" s="1">
        <v>31.0</v>
      </c>
      <c r="D12" s="1">
        <v>-0.004</v>
      </c>
      <c r="E12" s="1">
        <v>31.0</v>
      </c>
      <c r="F12" s="1">
        <v>-0.003</v>
      </c>
      <c r="G12" s="1">
        <v>31.0</v>
      </c>
      <c r="H12" s="1">
        <v>-0.005</v>
      </c>
    </row>
    <row r="13" ht="12.75" customHeight="1">
      <c r="A13" s="1">
        <v>62.0</v>
      </c>
      <c r="B13" s="1">
        <v>0.004</v>
      </c>
      <c r="C13" s="1">
        <v>62.0</v>
      </c>
      <c r="D13" s="1">
        <v>-0.002</v>
      </c>
      <c r="E13" s="1">
        <v>62.0</v>
      </c>
      <c r="F13" s="1">
        <v>-0.002</v>
      </c>
      <c r="G13" s="1">
        <v>62.0</v>
      </c>
      <c r="H13" s="1">
        <v>-0.006</v>
      </c>
    </row>
    <row r="14" ht="12.75" customHeight="1">
      <c r="A14" s="1">
        <v>93.0</v>
      </c>
      <c r="B14" s="1">
        <v>0.006</v>
      </c>
      <c r="C14" s="1">
        <v>93.0</v>
      </c>
      <c r="D14" s="1">
        <v>0.001</v>
      </c>
      <c r="E14" s="1">
        <v>93.0</v>
      </c>
      <c r="F14" s="1">
        <v>-0.001</v>
      </c>
      <c r="G14" s="1">
        <v>93.0</v>
      </c>
      <c r="H14" s="1">
        <v>-0.006</v>
      </c>
    </row>
    <row r="15" ht="12.75" customHeight="1">
      <c r="A15" s="1">
        <v>124.0</v>
      </c>
      <c r="B15" s="1">
        <v>0.008</v>
      </c>
      <c r="C15" s="1">
        <v>124.0</v>
      </c>
      <c r="D15" s="1">
        <v>0.003</v>
      </c>
      <c r="E15" s="1">
        <v>124.0</v>
      </c>
      <c r="F15" s="1">
        <v>0.001</v>
      </c>
      <c r="G15" s="1">
        <v>124.0</v>
      </c>
      <c r="H15" s="1">
        <v>-0.005</v>
      </c>
    </row>
    <row r="16" ht="12.75" customHeight="1">
      <c r="A16" s="1">
        <v>155.0</v>
      </c>
      <c r="B16" s="1">
        <v>0.01</v>
      </c>
      <c r="C16" s="1">
        <v>155.0</v>
      </c>
      <c r="D16" s="1">
        <v>0.004</v>
      </c>
      <c r="E16" s="1">
        <v>155.0</v>
      </c>
      <c r="F16" s="1">
        <v>0.002</v>
      </c>
      <c r="G16" s="1">
        <v>155.0</v>
      </c>
      <c r="H16" s="1">
        <v>-0.004</v>
      </c>
    </row>
    <row r="17" ht="12.75" customHeight="1">
      <c r="A17" s="1">
        <v>186.0</v>
      </c>
      <c r="B17" s="1">
        <v>0.012</v>
      </c>
      <c r="C17" s="1">
        <v>186.0</v>
      </c>
      <c r="D17" s="1">
        <v>0.006</v>
      </c>
      <c r="E17" s="1">
        <v>186.0</v>
      </c>
      <c r="F17" s="1">
        <v>0.003</v>
      </c>
      <c r="G17" s="1">
        <v>186.0</v>
      </c>
      <c r="H17" s="1">
        <v>-0.004</v>
      </c>
    </row>
    <row r="18" ht="12.75" customHeight="1">
      <c r="A18" s="1">
        <v>217.0</v>
      </c>
      <c r="B18" s="1">
        <v>0.014</v>
      </c>
      <c r="C18" s="1">
        <v>217.0</v>
      </c>
      <c r="D18" s="1">
        <v>0.008</v>
      </c>
      <c r="E18" s="1">
        <v>217.0</v>
      </c>
      <c r="F18" s="1">
        <v>0.005</v>
      </c>
      <c r="G18" s="1">
        <v>217.0</v>
      </c>
      <c r="H18" s="1">
        <v>-0.003</v>
      </c>
    </row>
    <row r="19" ht="12.75" customHeight="1">
      <c r="A19" s="1">
        <v>248.0</v>
      </c>
      <c r="B19" s="1">
        <v>0.015</v>
      </c>
      <c r="C19" s="1">
        <v>248.0</v>
      </c>
      <c r="D19" s="1">
        <v>0.008</v>
      </c>
      <c r="E19" s="1">
        <v>248.0</v>
      </c>
      <c r="F19" s="1">
        <v>0.007</v>
      </c>
      <c r="G19" s="1">
        <v>248.0</v>
      </c>
      <c r="H19" s="1">
        <v>-0.003</v>
      </c>
    </row>
    <row r="20" ht="12.75" customHeight="1">
      <c r="A20" s="1">
        <v>279.0</v>
      </c>
      <c r="B20" s="1">
        <v>0.017</v>
      </c>
      <c r="C20" s="1">
        <v>279.0</v>
      </c>
      <c r="D20" s="1">
        <v>0.01</v>
      </c>
      <c r="E20" s="1">
        <v>279.0</v>
      </c>
      <c r="F20" s="1">
        <v>0.007</v>
      </c>
      <c r="G20" s="1">
        <v>279.0</v>
      </c>
      <c r="H20" s="1">
        <v>-0.002</v>
      </c>
    </row>
    <row r="21" ht="12.75" customHeight="1">
      <c r="A21" s="1">
        <v>310.0</v>
      </c>
      <c r="B21" s="1">
        <v>0.019</v>
      </c>
      <c r="C21" s="1">
        <v>310.0</v>
      </c>
      <c r="D21" s="1">
        <v>0.012</v>
      </c>
      <c r="E21" s="1">
        <v>310.0</v>
      </c>
      <c r="F21" s="1">
        <v>0.008</v>
      </c>
      <c r="G21" s="1">
        <v>310.0</v>
      </c>
      <c r="H21" s="1">
        <v>-0.001</v>
      </c>
    </row>
    <row r="22" ht="12.75" customHeight="1">
      <c r="A22" s="1">
        <v>341.0</v>
      </c>
      <c r="B22" s="1">
        <v>0.021</v>
      </c>
      <c r="C22" s="1">
        <v>341.0</v>
      </c>
      <c r="D22" s="1">
        <v>0.013</v>
      </c>
      <c r="E22" s="1">
        <v>341.0</v>
      </c>
      <c r="F22" s="1">
        <v>0.01</v>
      </c>
      <c r="G22" s="1">
        <v>341.0</v>
      </c>
      <c r="H22" s="1">
        <v>-0.001</v>
      </c>
    </row>
    <row r="23" ht="12.75" customHeight="1">
      <c r="A23" s="1">
        <v>372.0</v>
      </c>
      <c r="B23" s="1">
        <v>0.022</v>
      </c>
      <c r="C23" s="1">
        <v>372.0</v>
      </c>
      <c r="D23" s="1">
        <v>0.015</v>
      </c>
      <c r="E23" s="1">
        <v>372.0</v>
      </c>
      <c r="F23" s="1">
        <v>0.01</v>
      </c>
      <c r="G23" s="1">
        <v>372.0</v>
      </c>
      <c r="H23" s="1">
        <v>0.0</v>
      </c>
    </row>
    <row r="24" ht="12.75" customHeight="1">
      <c r="A24" s="1">
        <v>403.0</v>
      </c>
      <c r="B24" s="1">
        <v>0.023</v>
      </c>
      <c r="C24" s="1">
        <v>403.0</v>
      </c>
      <c r="D24" s="1">
        <v>0.017</v>
      </c>
      <c r="E24" s="1">
        <v>403.0</v>
      </c>
      <c r="F24" s="1">
        <v>0.011</v>
      </c>
      <c r="G24" s="1">
        <v>403.0</v>
      </c>
      <c r="H24" s="1">
        <v>0.0</v>
      </c>
    </row>
    <row r="25" ht="12.75" customHeight="1">
      <c r="A25" s="1">
        <v>434.0</v>
      </c>
      <c r="B25" s="1">
        <v>0.026</v>
      </c>
      <c r="C25" s="1">
        <v>434.0</v>
      </c>
      <c r="D25" s="1">
        <v>0.018</v>
      </c>
      <c r="E25" s="1">
        <v>434.0</v>
      </c>
      <c r="F25" s="1">
        <v>0.012</v>
      </c>
      <c r="G25" s="1">
        <v>434.0</v>
      </c>
      <c r="H25" s="1">
        <v>0.0</v>
      </c>
    </row>
    <row r="26" ht="12.75" customHeight="1">
      <c r="A26" s="1">
        <v>465.0</v>
      </c>
      <c r="B26" s="1">
        <v>0.026</v>
      </c>
      <c r="C26" s="1">
        <v>465.0</v>
      </c>
      <c r="D26" s="1">
        <v>0.019</v>
      </c>
      <c r="E26" s="1">
        <v>465.0</v>
      </c>
      <c r="F26" s="1">
        <v>0.013</v>
      </c>
      <c r="G26" s="1">
        <v>465.0</v>
      </c>
      <c r="H26" s="1">
        <v>0.001</v>
      </c>
      <c r="J26" s="20">
        <v>0.316</v>
      </c>
      <c r="K26" s="20">
        <v>2.58</v>
      </c>
    </row>
    <row r="27" ht="12.75" customHeight="1">
      <c r="A27" s="1">
        <v>496.0</v>
      </c>
      <c r="B27" s="1">
        <v>0.028</v>
      </c>
      <c r="C27" s="1">
        <v>496.0</v>
      </c>
      <c r="D27" s="1">
        <v>0.02</v>
      </c>
      <c r="E27" s="1">
        <v>496.0</v>
      </c>
      <c r="F27" s="1">
        <v>0.014</v>
      </c>
      <c r="G27" s="1">
        <v>496.0</v>
      </c>
      <c r="H27" s="1">
        <v>0.001</v>
      </c>
      <c r="J27" s="20">
        <v>1.27</v>
      </c>
      <c r="K27" s="20">
        <v>6.01</v>
      </c>
    </row>
    <row r="28" ht="12.75" customHeight="1">
      <c r="A28" s="1">
        <v>527.0</v>
      </c>
      <c r="B28" s="1">
        <v>0.029</v>
      </c>
      <c r="C28" s="1">
        <v>527.0</v>
      </c>
      <c r="D28" s="1">
        <v>0.021</v>
      </c>
      <c r="E28" s="1">
        <v>527.0</v>
      </c>
      <c r="F28" s="1">
        <v>0.015</v>
      </c>
      <c r="G28" s="1">
        <v>527.0</v>
      </c>
      <c r="H28" s="1">
        <v>0.001</v>
      </c>
      <c r="J28" s="20">
        <v>3.16</v>
      </c>
      <c r="K28" s="20">
        <v>6.5</v>
      </c>
    </row>
    <row r="29" ht="12.75" customHeight="1">
      <c r="A29" s="1">
        <v>558.0</v>
      </c>
      <c r="B29" s="1">
        <v>0.03</v>
      </c>
      <c r="C29" s="1">
        <v>558.0</v>
      </c>
      <c r="D29" s="1">
        <v>0.023</v>
      </c>
      <c r="E29" s="1">
        <v>558.0</v>
      </c>
      <c r="F29" s="1">
        <v>0.015</v>
      </c>
      <c r="G29" s="1">
        <v>558.0</v>
      </c>
      <c r="H29" s="1">
        <v>0.001</v>
      </c>
      <c r="J29" s="20">
        <v>6.33</v>
      </c>
      <c r="K29" s="20">
        <v>6.86</v>
      </c>
    </row>
    <row r="30" ht="12.75" customHeight="1">
      <c r="A30" s="1">
        <v>589.0</v>
      </c>
      <c r="B30" s="1">
        <v>0.031</v>
      </c>
      <c r="C30" s="1">
        <v>589.0</v>
      </c>
      <c r="D30" s="1">
        <v>0.024</v>
      </c>
      <c r="E30" s="1">
        <v>589.0</v>
      </c>
      <c r="F30" s="1">
        <v>0.016</v>
      </c>
      <c r="G30" s="1">
        <v>589.0</v>
      </c>
      <c r="H30" s="1">
        <v>0.001</v>
      </c>
    </row>
    <row r="31" ht="12.75" customHeight="1">
      <c r="A31" s="1">
        <v>620.0</v>
      </c>
      <c r="B31" s="1">
        <v>0.032</v>
      </c>
      <c r="C31" s="1">
        <v>620.0</v>
      </c>
      <c r="D31" s="1">
        <v>0.025</v>
      </c>
      <c r="E31" s="1">
        <v>620.0</v>
      </c>
      <c r="F31" s="1">
        <v>0.017</v>
      </c>
      <c r="G31" s="1">
        <v>620.0</v>
      </c>
      <c r="H31" s="1">
        <v>0.001</v>
      </c>
    </row>
    <row r="32" ht="12.75" customHeight="1">
      <c r="A32" s="1">
        <v>651.0</v>
      </c>
      <c r="B32" s="1">
        <v>0.033</v>
      </c>
      <c r="C32" s="1">
        <v>651.0</v>
      </c>
      <c r="D32" s="1">
        <v>0.025</v>
      </c>
      <c r="E32" s="1">
        <v>651.0</v>
      </c>
      <c r="F32" s="1">
        <v>0.018</v>
      </c>
      <c r="G32" s="1">
        <v>651.0</v>
      </c>
      <c r="H32" s="1">
        <v>0.002</v>
      </c>
    </row>
    <row r="33" ht="12.75" customHeight="1">
      <c r="A33" s="1">
        <v>682.0</v>
      </c>
      <c r="B33" s="1">
        <v>0.034</v>
      </c>
      <c r="C33" s="1">
        <v>682.0</v>
      </c>
      <c r="D33" s="1">
        <v>0.026</v>
      </c>
      <c r="E33" s="1">
        <v>682.0</v>
      </c>
      <c r="F33" s="1">
        <v>0.019</v>
      </c>
      <c r="G33" s="1">
        <v>682.0</v>
      </c>
      <c r="H33" s="1">
        <v>0.002</v>
      </c>
    </row>
    <row r="34" ht="12.75" customHeight="1">
      <c r="A34" s="1">
        <v>713.0</v>
      </c>
      <c r="B34" s="1">
        <v>0.035</v>
      </c>
      <c r="C34" s="1">
        <v>713.0</v>
      </c>
      <c r="D34" s="1">
        <v>0.027</v>
      </c>
      <c r="E34" s="1">
        <v>713.0</v>
      </c>
      <c r="F34" s="1">
        <v>0.019</v>
      </c>
      <c r="G34" s="1">
        <v>713.0</v>
      </c>
      <c r="H34" s="1">
        <v>0.002</v>
      </c>
    </row>
    <row r="35" ht="12.75" customHeight="1">
      <c r="A35" s="1">
        <v>744.0</v>
      </c>
      <c r="B35" s="1">
        <v>0.036</v>
      </c>
      <c r="C35" s="1">
        <v>744.0</v>
      </c>
      <c r="D35" s="1">
        <v>0.028</v>
      </c>
      <c r="E35" s="1">
        <v>744.0</v>
      </c>
      <c r="F35" s="1">
        <v>0.02</v>
      </c>
      <c r="G35" s="1">
        <v>744.0</v>
      </c>
      <c r="H35" s="1">
        <v>0.002</v>
      </c>
    </row>
    <row r="36" ht="12.75" customHeight="1">
      <c r="A36" s="1">
        <v>775.0</v>
      </c>
      <c r="B36" s="1">
        <v>0.037</v>
      </c>
      <c r="C36" s="1">
        <v>775.0</v>
      </c>
      <c r="D36" s="1">
        <v>0.029</v>
      </c>
      <c r="E36" s="1">
        <v>775.0</v>
      </c>
      <c r="F36" s="1">
        <v>0.02</v>
      </c>
      <c r="G36" s="1">
        <v>775.0</v>
      </c>
      <c r="H36" s="1">
        <v>0.003</v>
      </c>
    </row>
    <row r="37" ht="12.75" customHeight="1">
      <c r="A37" s="1">
        <v>806.0</v>
      </c>
      <c r="B37" s="1">
        <v>0.038</v>
      </c>
      <c r="C37" s="1">
        <v>806.0</v>
      </c>
      <c r="D37" s="1">
        <v>0.03</v>
      </c>
      <c r="E37" s="1">
        <v>806.0</v>
      </c>
      <c r="F37" s="1">
        <v>0.021</v>
      </c>
      <c r="G37" s="1">
        <v>806.0</v>
      </c>
      <c r="H37" s="1">
        <v>0.003</v>
      </c>
    </row>
    <row r="38" ht="12.75" customHeight="1">
      <c r="A38" s="1">
        <v>837.0</v>
      </c>
      <c r="B38" s="1">
        <v>0.039</v>
      </c>
      <c r="C38" s="1">
        <v>837.0</v>
      </c>
      <c r="D38" s="1">
        <v>0.03</v>
      </c>
      <c r="E38" s="1">
        <v>837.0</v>
      </c>
      <c r="F38" s="1">
        <v>0.021</v>
      </c>
      <c r="G38" s="1">
        <v>837.0</v>
      </c>
      <c r="H38" s="1">
        <v>0.003</v>
      </c>
    </row>
    <row r="39" ht="12.75" customHeight="1">
      <c r="A39" s="1">
        <v>868.0</v>
      </c>
      <c r="B39" s="1">
        <v>0.04</v>
      </c>
      <c r="C39" s="1">
        <v>868.0</v>
      </c>
      <c r="D39" s="1">
        <v>0.031</v>
      </c>
      <c r="E39" s="1">
        <v>868.0</v>
      </c>
      <c r="F39" s="1">
        <v>0.022</v>
      </c>
      <c r="G39" s="1">
        <v>868.0</v>
      </c>
      <c r="H39" s="1">
        <v>0.003</v>
      </c>
    </row>
    <row r="40" ht="12.75" customHeight="1">
      <c r="A40" s="1">
        <v>899.0</v>
      </c>
      <c r="B40" s="1">
        <v>0.041</v>
      </c>
      <c r="C40" s="1">
        <v>899.0</v>
      </c>
      <c r="D40" s="1">
        <v>0.032</v>
      </c>
      <c r="E40" s="1">
        <v>899.0</v>
      </c>
      <c r="F40" s="1">
        <v>0.023</v>
      </c>
      <c r="G40" s="1">
        <v>899.0</v>
      </c>
      <c r="H40" s="1">
        <v>0.003</v>
      </c>
    </row>
    <row r="41" ht="12.75" customHeight="1">
      <c r="A41" s="1">
        <v>930.0</v>
      </c>
      <c r="B41" s="1">
        <v>0.042</v>
      </c>
      <c r="C41" s="1">
        <v>930.0</v>
      </c>
      <c r="D41" s="1">
        <v>0.032</v>
      </c>
      <c r="E41" s="1">
        <v>930.0</v>
      </c>
      <c r="F41" s="1">
        <v>0.023</v>
      </c>
      <c r="G41" s="1">
        <v>930.0</v>
      </c>
      <c r="H41" s="1">
        <v>0.004</v>
      </c>
    </row>
    <row r="42" ht="12.75" customHeight="1">
      <c r="A42" s="1">
        <v>961.0</v>
      </c>
      <c r="B42" s="1">
        <v>0.042</v>
      </c>
      <c r="C42" s="1">
        <v>961.0</v>
      </c>
      <c r="D42" s="1">
        <v>0.033</v>
      </c>
      <c r="E42" s="1">
        <v>961.0</v>
      </c>
      <c r="F42" s="1">
        <v>0.024</v>
      </c>
      <c r="G42" s="1">
        <v>961.0</v>
      </c>
      <c r="H42" s="1">
        <v>0.003</v>
      </c>
    </row>
    <row r="43" ht="12.75" customHeight="1">
      <c r="A43" s="1">
        <v>992.0</v>
      </c>
      <c r="B43" s="1">
        <v>0.043</v>
      </c>
      <c r="C43" s="1">
        <v>992.0</v>
      </c>
      <c r="D43" s="1">
        <v>0.033</v>
      </c>
      <c r="E43" s="1">
        <v>992.0</v>
      </c>
      <c r="F43" s="1">
        <v>0.024</v>
      </c>
      <c r="G43" s="1">
        <v>992.0</v>
      </c>
      <c r="H43" s="1">
        <v>0.004</v>
      </c>
    </row>
    <row r="44" ht="12.75" customHeight="1">
      <c r="A44" s="1">
        <v>1023.0</v>
      </c>
      <c r="B44" s="1">
        <v>0.044</v>
      </c>
      <c r="C44" s="1">
        <v>1023.0</v>
      </c>
      <c r="D44" s="1">
        <v>0.034</v>
      </c>
      <c r="E44" s="1">
        <v>1023.0</v>
      </c>
      <c r="F44" s="1">
        <v>0.025</v>
      </c>
      <c r="G44" s="1">
        <v>1023.0</v>
      </c>
      <c r="H44" s="1">
        <v>0.004</v>
      </c>
    </row>
    <row r="45" ht="12.75" customHeight="1">
      <c r="A45" s="1">
        <v>1054.0</v>
      </c>
      <c r="B45" s="1">
        <v>0.045</v>
      </c>
      <c r="C45" s="1">
        <v>1054.0</v>
      </c>
      <c r="D45" s="1">
        <v>0.034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