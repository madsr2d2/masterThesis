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71">Sheet2!$A$1:$H$55</definedName>
  </definedNames>
  <calcPr/>
  <extLst>
    <ext uri="GoogleSheetsCustomDataVersion1">
      <go:sheetsCustomData xmlns:go="http://customooxmlschemas.google.com/" r:id="rId7" roundtripDataSignature="AMtx7mjolJJJv/Y7r6HWK/MOConLSUdnTQ=="/>
    </ext>
  </extLst>
</workbook>
</file>

<file path=xl/sharedStrings.xml><?xml version="1.0" encoding="utf-8"?>
<sst xmlns="http://schemas.openxmlformats.org/spreadsheetml/2006/main" count="186" uniqueCount="130">
  <si>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</si>
  <si>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</si>
  <si>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</si>
  <si>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</si>
  <si>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</si>
  <si>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</si>
  <si>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</si>
  <si>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</si>
  <si>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</si>
  <si>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</si>
  <si>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</si>
  <si>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</si>
  <si>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</si>
  <si>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</si>
  <si>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</si>
  <si>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</si>
  <si>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</si>
  <si>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</si>
  <si>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</si>
  <si>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</si>
  <si>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</si>
  <si>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</si>
  <si>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</si>
  <si>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</si>
  <si>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</si>
  <si>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</si>
  <si>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</si>
  <si>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</si>
  <si>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</si>
  <si>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</si>
  <si>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</si>
  <si>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</si>
  <si>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</si>
  <si>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</si>
  <si>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</si>
  <si>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</si>
  <si>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</si>
  <si>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</si>
  <si>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</si>
  <si>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</si>
  <si>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phosphate</t>
  </si>
  <si>
    <t>Stamopløsning 2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</si>
  <si>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</si>
  <si>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</si>
  <si>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</si>
  <si>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</si>
  <si>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</si>
  <si>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</si>
  <si>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</si>
  <si>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</si>
  <si>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</si>
  <si>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</si>
  <si>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</si>
  <si>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</si>
  <si>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</si>
  <si>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</si>
  <si>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</si>
  <si>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</si>
  <si>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</si>
  <si>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</si>
  <si>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</si>
  <si>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</si>
  <si>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</si>
  <si>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</si>
  <si>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</si>
  <si>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</si>
  <si>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</si>
  <si>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</si>
  <si>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</si>
  <si>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</si>
  <si>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</si>
  <si>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</si>
  <si>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</si>
  <si>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</si>
  <si>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</si>
  <si>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</si>
  <si>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</si>
  <si>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Vmax</t>
  </si>
  <si>
    <t>U/31s</t>
  </si>
  <si>
    <t>mM/s</t>
  </si>
  <si>
    <t>Km</t>
  </si>
  <si>
    <t>mmol/L</t>
  </si>
  <si>
    <t>kcat</t>
  </si>
  <si>
    <t>1/s</t>
  </si>
  <si>
    <t>Kinetics Experiment - 67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</si>
  <si>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</si>
  <si>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</si>
  <si>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</si>
  <si>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</si>
  <si>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</si>
  <si>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</si>
  <si>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</si>
  <si>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</si>
  <si>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</si>
  <si>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</si>
  <si>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</si>
  <si>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</si>
  <si>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</si>
  <si>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</si>
  <si>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</si>
  <si>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</si>
  <si>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No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</si>
  <si>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</si>
  <si>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</si>
  <si>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</si>
  <si>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</si>
  <si>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</si>
  <si>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</si>
  <si>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</si>
  <si>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</si>
  <si>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</si>
  <si>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rate071.rre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</si>
  <si>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</si>
  <si>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</si>
  <si>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</si>
  <si>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</si>
  <si>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</si>
  <si>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</si>
  <si>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</si>
  <si>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4:51:23PM</t>
  </si>
  <si>
    <t>5:12:44PM</t>
  </si>
  <si>
    <t>4:51:37PM</t>
  </si>
  <si>
    <t>4:51:44PM</t>
  </si>
  <si>
    <t>Substrate Conc.</t>
  </si>
  <si>
    <t>2.1084 mmol/L</t>
  </si>
  <si>
    <t>1.0542 mmol/L</t>
  </si>
  <si>
    <t>0.4217 mmol/L</t>
  </si>
  <si>
    <t>0.2108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</si>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</sst>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405736"/>
        <c:axId val="786690205"/>
      </c:scatterChart>
      <c:valAx>
        <c:axId val="801405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690205"/>
      </c:valAx>
      <c:valAx>
        <c:axId val="78669020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405736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298422665"/>
        <c:axId val="575711787"/>
      </c:scatterChart>
      <c:valAx>
        <c:axId val="1298422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5711787"/>
      </c:valAx>
      <c:valAx>
        <c:axId val="57571178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98422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769753"/>
        <c:axId val="1702877420"/>
      </c:scatterChart>
      <c:valAx>
        <c:axId val="619769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877420"/>
      </c:valAx>
      <c:valAx>
        <c:axId val="17028774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769753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0"/>
            <c:dispEq val="1"/>
          </c:trendline>
          <c:xVal>
            <c:numRef>
              <c:f>Sheet2!$G$15:$G$51</c:f>
            </c:numRef>
          </c:xVal>
          <c:yVal>
            <c:numRef>
              <c:f>Sheet2!$B$15:$B$51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0"/>
            <c:dispEq val="1"/>
          </c:trendline>
          <c:xVal>
            <c:numRef>
              <c:f>Sheet2!$G$15:$G$51</c:f>
            </c:numRef>
          </c:xVal>
          <c:yVal>
            <c:numRef>
              <c:f>Sheet2!$D$15:$D$51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rgbClr val="969696"/>
              </a:solidFill>
              <a:ln cmpd="sng">
                <a:solidFill>
                  <a:srgbClr val="969696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0"/>
            <c:dispEq val="1"/>
          </c:trendline>
          <c:xVal>
            <c:numRef>
              <c:f>Sheet2!$G$15:$G$51</c:f>
            </c:numRef>
          </c:xVal>
          <c:yVal>
            <c:numRef>
              <c:f>Sheet2!$F$15:$F$51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Sheet2!$G$15:$G$51</c:f>
            </c:numRef>
          </c:xVal>
          <c:yVal>
            <c:numRef>
              <c:f>Sheet2!$H$15:$H$51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996100"/>
        <c:axId val="121781945"/>
      </c:scatterChart>
      <c:valAx>
        <c:axId val="1381996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81945"/>
      </c:valAx>
      <c:valAx>
        <c:axId val="121781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996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40746756"/>
        <c:axId val="284827198"/>
      </c:scatterChart>
      <c:valAx>
        <c:axId val="1640746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827198"/>
      </c:valAx>
      <c:valAx>
        <c:axId val="28482719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40746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Sheet2!$K$9:$K$12</c:f>
            </c:numRef>
          </c:xVal>
          <c:yVal>
            <c:numRef>
              <c:f>Sheet2!$L$9:$L$12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959039"/>
        <c:axId val="1401821167"/>
      </c:scatterChart>
      <c:valAx>
        <c:axId val="15989590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821167"/>
      </c:valAx>
      <c:valAx>
        <c:axId val="1401821167"/>
        <c:scaling>
          <c:orientation val="minMax"/>
          <c:max val="0.0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959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55397319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98079149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43610169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11</xdr:row>
      <xdr:rowOff>104775</xdr:rowOff>
    </xdr:from>
    <xdr:ext cx="5886450" cy="3324225"/>
    <xdr:graphicFrame>
      <xdr:nvGraphicFramePr>
        <xdr:cNvPr descr="Chart 0" id="353011659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47625</xdr:colOff>
      <xdr:row>40</xdr:row>
      <xdr:rowOff>85725</xdr:rowOff>
    </xdr:from>
    <xdr:ext cx="4000500" cy="2752725"/>
    <xdr:graphicFrame>
      <xdr:nvGraphicFramePr>
        <xdr:cNvPr descr="Chart 1" id="188204909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104775</xdr:colOff>
      <xdr:row>13</xdr:row>
      <xdr:rowOff>66675</xdr:rowOff>
    </xdr:from>
    <xdr:ext cx="3848100" cy="2381250"/>
    <xdr:graphicFrame>
      <xdr:nvGraphicFramePr>
        <xdr:cNvPr id="102567697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29"/>
    <col customWidth="1" min="4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71.0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8" t="s">
        <v>42</v>
      </c>
      <c r="E4" s="4"/>
      <c r="F4" s="6"/>
      <c r="G4" s="7" t="s">
        <v>43</v>
      </c>
      <c r="H4" s="8"/>
      <c r="J4" s="10" t="s">
        <v>44</v>
      </c>
      <c r="K4" s="4">
        <v>1110.0</v>
      </c>
      <c r="L4" s="11"/>
      <c r="N4" s="10" t="s">
        <v>45</v>
      </c>
      <c r="O4" s="11">
        <v>0.1</v>
      </c>
    </row>
    <row r="5" ht="12.75" customHeight="1">
      <c r="A5" s="10" t="s">
        <v>46</v>
      </c>
      <c r="B5" s="4">
        <v>0.114</v>
      </c>
      <c r="C5" s="11">
        <v>108.14</v>
      </c>
      <c r="E5" s="4"/>
      <c r="F5" s="10"/>
      <c r="G5" s="4" t="s">
        <v>47</v>
      </c>
      <c r="H5" s="11"/>
      <c r="J5" s="10" t="s">
        <v>45</v>
      </c>
      <c r="K5" s="4">
        <f>(K4*0.3)/34</f>
        <v>9.794117647</v>
      </c>
      <c r="L5" s="11"/>
      <c r="N5" s="10" t="s">
        <v>48</v>
      </c>
      <c r="O5" s="11">
        <v>8.01</v>
      </c>
    </row>
    <row r="6" ht="13.5" customHeight="1">
      <c r="A6" s="10" t="s">
        <v>49</v>
      </c>
      <c r="B6" s="4">
        <v>0.025</v>
      </c>
      <c r="C6" s="11"/>
      <c r="E6" s="4"/>
      <c r="F6" s="10"/>
      <c r="G6" s="4"/>
      <c r="H6" s="11"/>
      <c r="J6" s="10" t="s">
        <v>50</v>
      </c>
      <c r="K6" s="4">
        <v>0.001</v>
      </c>
      <c r="L6" s="11">
        <v>0.004</v>
      </c>
      <c r="N6" s="12" t="s">
        <v>51</v>
      </c>
      <c r="O6" s="13">
        <v>25.0</v>
      </c>
    </row>
    <row r="7" ht="13.5" customHeight="1">
      <c r="A7" s="12" t="s">
        <v>52</v>
      </c>
      <c r="B7" s="5">
        <f>(B5/C5)/B6</f>
        <v>0.04216756057</v>
      </c>
      <c r="C7" s="13"/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53</v>
      </c>
      <c r="G8" s="4">
        <v>0.0236</v>
      </c>
      <c r="H8" s="11"/>
      <c r="J8" s="10"/>
      <c r="K8" s="4" t="s">
        <v>54</v>
      </c>
      <c r="L8" s="11"/>
    </row>
    <row r="9" ht="13.5" customHeight="1">
      <c r="A9" s="9" t="s">
        <v>55</v>
      </c>
      <c r="B9" s="7"/>
      <c r="C9" s="7"/>
      <c r="D9" s="8"/>
      <c r="E9" s="4"/>
      <c r="F9" s="10" t="s">
        <v>56</v>
      </c>
      <c r="G9" s="4">
        <v>0.04</v>
      </c>
      <c r="H9" s="11"/>
      <c r="J9" s="12" t="s">
        <v>45</v>
      </c>
      <c r="K9" s="5">
        <f>(K5*K6)/L6</f>
        <v>2.448529412</v>
      </c>
      <c r="L9" s="13"/>
    </row>
    <row r="10" ht="12.75" customHeight="1">
      <c r="A10" s="10" t="s">
        <v>57</v>
      </c>
      <c r="B10" s="4" t="s">
        <v>58</v>
      </c>
      <c r="C10" s="4" t="s">
        <v>59</v>
      </c>
      <c r="D10" s="11" t="s">
        <v>52</v>
      </c>
      <c r="E10" s="4"/>
      <c r="F10" s="10" t="s">
        <v>60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0.001</v>
      </c>
      <c r="C11" s="4">
        <v>0.001</v>
      </c>
      <c r="D11" s="11">
        <f t="shared" ref="D11:D14" si="1">(B11*$B$7)/C11</f>
        <v>0.04216756057</v>
      </c>
      <c r="E11" s="4"/>
      <c r="F11" s="10" t="s">
        <v>45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0.001</v>
      </c>
      <c r="C12" s="4">
        <v>0.002</v>
      </c>
      <c r="D12" s="11">
        <f t="shared" si="1"/>
        <v>0.02108378028</v>
      </c>
      <c r="E12" s="4"/>
      <c r="F12" s="10" t="s">
        <v>61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0.001</v>
      </c>
      <c r="C13" s="4">
        <v>0.005</v>
      </c>
      <c r="D13" s="11">
        <f t="shared" si="1"/>
        <v>0.008433512114</v>
      </c>
      <c r="E13" s="4"/>
      <c r="F13" s="12" t="s">
        <v>62</v>
      </c>
      <c r="G13" s="5">
        <f>E20*G12/H20</f>
        <v>0.02798091607</v>
      </c>
      <c r="H13" s="13" t="s">
        <v>61</v>
      </c>
      <c r="J13" s="4"/>
      <c r="K13" s="4"/>
      <c r="L13" s="4"/>
    </row>
    <row r="14" ht="13.5" customHeight="1">
      <c r="A14" s="12">
        <v>4.0</v>
      </c>
      <c r="B14" s="5">
        <v>0.001</v>
      </c>
      <c r="C14" s="5">
        <v>0.01</v>
      </c>
      <c r="D14" s="13">
        <f t="shared" si="1"/>
        <v>0.004216756057</v>
      </c>
      <c r="E14" s="4"/>
    </row>
    <row r="15" ht="12.75" customHeight="1"/>
    <row r="16" ht="12.75" customHeight="1"/>
    <row r="17" ht="12.75" customHeight="1"/>
    <row r="18" ht="12.75" customHeight="1">
      <c r="I18" s="1" t="s">
        <v>63</v>
      </c>
      <c r="J18" s="1" t="s">
        <v>63</v>
      </c>
      <c r="K18" s="1" t="s">
        <v>54</v>
      </c>
      <c r="L18" s="1" t="s">
        <v>54</v>
      </c>
      <c r="M18" s="1" t="s">
        <v>64</v>
      </c>
      <c r="N18" s="1" t="s">
        <v>65</v>
      </c>
    </row>
    <row r="19" ht="13.5" customHeight="1">
      <c r="B19" s="14" t="s">
        <v>62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70</v>
      </c>
      <c r="H19" s="5" t="s">
        <v>71</v>
      </c>
      <c r="I19" s="5" t="s">
        <v>45</v>
      </c>
      <c r="J19" s="5" t="s">
        <v>61</v>
      </c>
      <c r="K19" s="5" t="s">
        <v>45</v>
      </c>
      <c r="L19" s="5" t="s">
        <v>61</v>
      </c>
      <c r="M19" s="5" t="s">
        <v>61</v>
      </c>
      <c r="N19" s="5" t="s">
        <v>72</v>
      </c>
    </row>
    <row r="20" ht="12.75" customHeight="1">
      <c r="B20" s="15">
        <v>1.0</v>
      </c>
      <c r="C20" s="1">
        <v>1.7</v>
      </c>
      <c r="D20" s="1">
        <v>0.0</v>
      </c>
      <c r="E20" s="1">
        <v>0.1</v>
      </c>
      <c r="F20" s="1">
        <v>0.1</v>
      </c>
      <c r="G20" s="1">
        <v>0.1</v>
      </c>
      <c r="H20" s="1">
        <f t="shared" ref="H20:H27" si="2">SUM(C20:G20)</f>
        <v>2</v>
      </c>
      <c r="I20" s="1">
        <f>F20*$D$11/H20</f>
        <v>0.002108378028</v>
      </c>
      <c r="J20" s="1">
        <f t="shared" ref="J20:J27" si="3">I20*1000</f>
        <v>2.108378028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0.02798091607</v>
      </c>
      <c r="N20" s="1">
        <f t="shared" ref="N20:N27" si="7">(C20*$O$4*1000)/H20</f>
        <v>85</v>
      </c>
    </row>
    <row r="21" ht="12.75" customHeight="1">
      <c r="B21" s="15">
        <v>2.0</v>
      </c>
      <c r="C21" s="1">
        <v>1.7</v>
      </c>
      <c r="D21" s="1">
        <v>0.0</v>
      </c>
      <c r="E21" s="1">
        <v>0.1</v>
      </c>
      <c r="F21" s="1">
        <v>0.1</v>
      </c>
      <c r="G21" s="1">
        <v>0.1</v>
      </c>
      <c r="H21" s="1">
        <f t="shared" si="2"/>
        <v>2</v>
      </c>
      <c r="I21" s="1">
        <f>F21*$D$12/H21</f>
        <v>0.001054189014</v>
      </c>
      <c r="J21" s="1">
        <f t="shared" si="3"/>
        <v>1.054189014</v>
      </c>
      <c r="K21" s="4">
        <f t="shared" si="4"/>
        <v>0.1224264706</v>
      </c>
      <c r="L21" s="4">
        <f t="shared" si="5"/>
        <v>122.4264706</v>
      </c>
      <c r="M21" s="1">
        <f t="shared" si="6"/>
        <v>0.02798091607</v>
      </c>
      <c r="N21" s="1">
        <f t="shared" si="7"/>
        <v>85</v>
      </c>
    </row>
    <row r="22" ht="12.75" customHeight="1">
      <c r="B22" s="15">
        <v>3.0</v>
      </c>
      <c r="C22" s="1">
        <v>1.7</v>
      </c>
      <c r="D22" s="1">
        <v>0.0</v>
      </c>
      <c r="E22" s="1">
        <v>0.1</v>
      </c>
      <c r="F22" s="1">
        <v>0.1</v>
      </c>
      <c r="G22" s="1">
        <v>0.1</v>
      </c>
      <c r="H22" s="1">
        <f t="shared" si="2"/>
        <v>2</v>
      </c>
      <c r="I22" s="1">
        <f>F22*$D$13/H22</f>
        <v>0.0004216756057</v>
      </c>
      <c r="J22" s="1">
        <f t="shared" si="3"/>
        <v>0.4216756057</v>
      </c>
      <c r="K22" s="4">
        <f t="shared" si="4"/>
        <v>0.1224264706</v>
      </c>
      <c r="L22" s="4">
        <f t="shared" si="5"/>
        <v>122.4264706</v>
      </c>
      <c r="M22" s="1">
        <f t="shared" si="6"/>
        <v>0.02798091607</v>
      </c>
      <c r="N22" s="1">
        <f t="shared" si="7"/>
        <v>85</v>
      </c>
    </row>
    <row r="23" ht="12.75" customHeight="1">
      <c r="B23" s="16">
        <v>4.0</v>
      </c>
      <c r="C23" s="16">
        <v>1.7</v>
      </c>
      <c r="D23" s="16">
        <v>0.0</v>
      </c>
      <c r="E23" s="16">
        <v>0.1</v>
      </c>
      <c r="F23" s="16">
        <v>0.1</v>
      </c>
      <c r="G23" s="16">
        <v>0.1</v>
      </c>
      <c r="H23" s="16">
        <f t="shared" si="2"/>
        <v>2</v>
      </c>
      <c r="I23" s="16">
        <f>F23*$D$14/H23</f>
        <v>0.0002108378028</v>
      </c>
      <c r="J23" s="16">
        <f t="shared" si="3"/>
        <v>0.2108378028</v>
      </c>
      <c r="K23" s="4">
        <f t="shared" si="4"/>
        <v>0.1224264706</v>
      </c>
      <c r="L23" s="16">
        <f t="shared" si="5"/>
        <v>122.4264706</v>
      </c>
      <c r="M23" s="1">
        <f t="shared" si="6"/>
        <v>0.02798091607</v>
      </c>
      <c r="N23" s="1">
        <f t="shared" si="7"/>
        <v>85</v>
      </c>
    </row>
    <row r="24" ht="12.75" customHeight="1">
      <c r="B24" s="15" t="s">
        <v>73</v>
      </c>
      <c r="C24" s="1">
        <v>1.7</v>
      </c>
      <c r="D24" s="4">
        <v>0.1</v>
      </c>
      <c r="E24" s="4">
        <v>0.0</v>
      </c>
      <c r="F24" s="1">
        <v>0.1</v>
      </c>
      <c r="G24" s="4">
        <v>0.1</v>
      </c>
      <c r="H24" s="1">
        <f t="shared" si="2"/>
        <v>2</v>
      </c>
      <c r="I24" s="1">
        <f>F24*$D$11/H24</f>
        <v>0.002108378028</v>
      </c>
      <c r="J24" s="1">
        <f t="shared" si="3"/>
        <v>2.108378028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N24" s="1">
        <f t="shared" si="7"/>
        <v>85</v>
      </c>
    </row>
    <row r="25" ht="12.75" customHeight="1">
      <c r="B25" s="15" t="s">
        <v>74</v>
      </c>
      <c r="C25" s="1">
        <v>1.7</v>
      </c>
      <c r="D25" s="4">
        <v>0.1</v>
      </c>
      <c r="E25" s="4">
        <v>0.0</v>
      </c>
      <c r="F25" s="1">
        <v>0.1</v>
      </c>
      <c r="G25" s="4">
        <v>0.1</v>
      </c>
      <c r="H25" s="1">
        <f t="shared" si="2"/>
        <v>2</v>
      </c>
      <c r="I25" s="1">
        <f>F25*$D$12/H25</f>
        <v>0.001054189014</v>
      </c>
      <c r="J25" s="1">
        <f t="shared" si="3"/>
        <v>1.054189014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  <c r="N25" s="1">
        <f t="shared" si="7"/>
        <v>85</v>
      </c>
    </row>
    <row r="26" ht="12.75" customHeight="1">
      <c r="B26" s="15" t="s">
        <v>75</v>
      </c>
      <c r="C26" s="1">
        <v>1.7</v>
      </c>
      <c r="D26" s="4">
        <v>0.1</v>
      </c>
      <c r="E26" s="4">
        <v>0.0</v>
      </c>
      <c r="F26" s="1">
        <v>0.1</v>
      </c>
      <c r="G26" s="4">
        <v>0.1</v>
      </c>
      <c r="H26" s="1">
        <f t="shared" si="2"/>
        <v>2</v>
      </c>
      <c r="I26" s="1">
        <f>F26*$D$13/H26</f>
        <v>0.0004216756057</v>
      </c>
      <c r="J26" s="1">
        <f t="shared" si="3"/>
        <v>0.4216756057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  <c r="N26" s="1">
        <f t="shared" si="7"/>
        <v>85</v>
      </c>
    </row>
    <row r="27" ht="13.5" customHeight="1">
      <c r="B27" s="14" t="s">
        <v>76</v>
      </c>
      <c r="C27" s="5">
        <v>1.7</v>
      </c>
      <c r="D27" s="5">
        <v>0.1</v>
      </c>
      <c r="E27" s="5">
        <v>0.0</v>
      </c>
      <c r="F27" s="5">
        <v>0.1</v>
      </c>
      <c r="G27" s="5">
        <v>0.1</v>
      </c>
      <c r="H27" s="5">
        <f t="shared" si="2"/>
        <v>2</v>
      </c>
      <c r="I27" s="5">
        <f>F27*$D$14/H27</f>
        <v>0.0002108378028</v>
      </c>
      <c r="J27" s="5">
        <f t="shared" si="3"/>
        <v>0.2108378028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  <c r="N27" s="1">
        <f t="shared" si="7"/>
        <v>85</v>
      </c>
    </row>
    <row r="28" ht="12.75" customHeight="1">
      <c r="C28" s="1">
        <f t="shared" ref="C28:G28" si="8">SUM(C20:C27)</f>
        <v>13.6</v>
      </c>
      <c r="D28" s="1">
        <f t="shared" si="8"/>
        <v>0.4</v>
      </c>
      <c r="E28" s="1">
        <f t="shared" si="8"/>
        <v>0.4</v>
      </c>
      <c r="F28" s="1">
        <f t="shared" si="8"/>
        <v>0.8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77</v>
      </c>
      <c r="L41" s="1">
        <f>I49</f>
        <v>0.001976752312</v>
      </c>
      <c r="M41" s="8" t="s">
        <v>78</v>
      </c>
    </row>
    <row r="42" ht="12.75" customHeight="1">
      <c r="J42" s="17"/>
      <c r="K42" s="10" t="s">
        <v>77</v>
      </c>
      <c r="L42" s="4">
        <f>(L41/I2)/28</f>
        <v>0.00005739698932</v>
      </c>
      <c r="M42" s="11" t="s">
        <v>79</v>
      </c>
    </row>
    <row r="43" ht="12.75" customHeight="1">
      <c r="K43" s="10" t="s">
        <v>80</v>
      </c>
      <c r="L43" s="1">
        <f>I50</f>
        <v>0.8749130486</v>
      </c>
      <c r="M43" s="11" t="s">
        <v>81</v>
      </c>
    </row>
    <row r="44" ht="13.5" customHeight="1">
      <c r="K44" s="12" t="s">
        <v>82</v>
      </c>
      <c r="L44" s="5">
        <f>L42/G13</f>
        <v>0.002051290572</v>
      </c>
      <c r="M44" s="13" t="s">
        <v>83</v>
      </c>
    </row>
    <row r="45" ht="12.75" customHeight="1">
      <c r="B45" s="4" t="s">
        <v>84</v>
      </c>
      <c r="C45" s="4"/>
      <c r="D45" s="4"/>
      <c r="E45" s="4"/>
      <c r="F45" s="4"/>
      <c r="G45" s="4" t="s">
        <v>84</v>
      </c>
      <c r="H45" s="4"/>
      <c r="I45" s="4"/>
    </row>
    <row r="46" ht="12.75" customHeight="1">
      <c r="B46" s="4" t="s">
        <v>85</v>
      </c>
      <c r="C46" s="4"/>
      <c r="D46" s="4"/>
      <c r="E46" s="4"/>
      <c r="F46" s="4"/>
      <c r="G46" s="4" t="s">
        <v>86</v>
      </c>
      <c r="L46" s="17"/>
    </row>
    <row r="47" ht="12.75" customHeight="1">
      <c r="B47" s="1" t="s">
        <v>87</v>
      </c>
      <c r="H47" s="1" t="s">
        <v>88</v>
      </c>
      <c r="I47" s="1" t="s">
        <v>89</v>
      </c>
    </row>
    <row r="48" ht="12.75" customHeight="1">
      <c r="B48" s="1" t="s">
        <v>90</v>
      </c>
      <c r="C48" s="1" t="s">
        <v>91</v>
      </c>
      <c r="D48" s="1" t="s">
        <v>92</v>
      </c>
      <c r="E48" s="1" t="s">
        <v>93</v>
      </c>
      <c r="F48" s="1" t="s">
        <v>94</v>
      </c>
      <c r="G48" s="1" t="s">
        <v>95</v>
      </c>
    </row>
    <row r="49" ht="12.75" customHeight="1">
      <c r="B49" s="1" t="s">
        <v>96</v>
      </c>
      <c r="C49" s="1">
        <v>7.31000000028748</v>
      </c>
      <c r="D49" s="1">
        <v>0.0</v>
      </c>
      <c r="E49" s="1">
        <v>0.001788169215134</v>
      </c>
      <c r="F49" s="1" t="s">
        <v>97</v>
      </c>
      <c r="H49" s="1" t="s">
        <v>98</v>
      </c>
      <c r="I49" s="1">
        <v>0.00197675231208433</v>
      </c>
    </row>
    <row r="50" ht="12.75" customHeight="1">
      <c r="B50" s="1" t="s">
        <v>99</v>
      </c>
      <c r="C50" s="1">
        <v>3.65499999981705</v>
      </c>
      <c r="D50" s="1">
        <v>0.0</v>
      </c>
      <c r="E50" s="1">
        <v>0.001521237270628</v>
      </c>
      <c r="F50" s="1" t="s">
        <v>97</v>
      </c>
      <c r="H50" s="1" t="s">
        <v>80</v>
      </c>
      <c r="I50" s="1">
        <v>0.874913048567867</v>
      </c>
    </row>
    <row r="51" ht="12.75" customHeight="1">
      <c r="B51" s="1" t="s">
        <v>100</v>
      </c>
      <c r="C51" s="1">
        <v>1.82750000023521</v>
      </c>
      <c r="D51" s="1">
        <v>0.0</v>
      </c>
      <c r="E51" s="1">
        <v>0.001447764308114</v>
      </c>
      <c r="F51" s="18" t="s">
        <v>101</v>
      </c>
      <c r="G51" s="1" t="s">
        <v>102</v>
      </c>
    </row>
    <row r="52" ht="12.75" customHeight="1">
      <c r="B52" s="1" t="s">
        <v>103</v>
      </c>
      <c r="C52" s="1">
        <v>0.36550000017772</v>
      </c>
      <c r="D52" s="1">
        <v>0.0</v>
      </c>
      <c r="E52" s="1">
        <v>6.42298743488E-4</v>
      </c>
      <c r="F52" s="1" t="s">
        <v>97</v>
      </c>
      <c r="H52" s="1" t="s">
        <v>104</v>
      </c>
      <c r="I52" s="1">
        <v>18517.2251965747</v>
      </c>
    </row>
    <row r="53" ht="12.75" customHeight="1">
      <c r="H53" s="1" t="s">
        <v>105</v>
      </c>
      <c r="I53" s="1">
        <v>0.998504375860285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106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107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108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109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110</v>
      </c>
      <c r="B1" s="1" t="s">
        <v>111</v>
      </c>
    </row>
    <row r="2" ht="12.75" customHeight="1">
      <c r="A2" s="1" t="s">
        <v>112</v>
      </c>
      <c r="B2" s="1">
        <v>161008.0</v>
      </c>
    </row>
    <row r="3" ht="12.75" customHeight="1">
      <c r="A3" s="1" t="s">
        <v>90</v>
      </c>
      <c r="B3" s="1" t="s">
        <v>96</v>
      </c>
      <c r="C3" s="1" t="s">
        <v>90</v>
      </c>
      <c r="D3" s="1" t="s">
        <v>99</v>
      </c>
      <c r="E3" s="1" t="s">
        <v>90</v>
      </c>
      <c r="F3" s="1" t="s">
        <v>100</v>
      </c>
      <c r="G3" s="1" t="s">
        <v>90</v>
      </c>
      <c r="H3" s="1" t="s">
        <v>103</v>
      </c>
    </row>
    <row r="4" ht="12.75" customHeight="1">
      <c r="A4" s="1" t="s">
        <v>113</v>
      </c>
      <c r="B4" s="1" t="s">
        <v>114</v>
      </c>
      <c r="C4" s="1" t="s">
        <v>113</v>
      </c>
      <c r="D4" s="1" t="s">
        <v>114</v>
      </c>
      <c r="E4" s="1" t="s">
        <v>113</v>
      </c>
      <c r="F4" s="1" t="s">
        <v>114</v>
      </c>
      <c r="G4" s="1" t="s">
        <v>113</v>
      </c>
      <c r="H4" s="1" t="s">
        <v>114</v>
      </c>
    </row>
    <row r="5" ht="12.75" customHeight="1">
      <c r="A5" s="1" t="s">
        <v>115</v>
      </c>
      <c r="B5" s="1" t="s">
        <v>116</v>
      </c>
      <c r="C5" s="1" t="s">
        <v>115</v>
      </c>
      <c r="D5" s="1" t="s">
        <v>116</v>
      </c>
      <c r="E5" s="1" t="s">
        <v>115</v>
      </c>
      <c r="F5" s="1" t="s">
        <v>116</v>
      </c>
      <c r="G5" s="1" t="s">
        <v>115</v>
      </c>
      <c r="H5" s="1" t="s">
        <v>116</v>
      </c>
    </row>
    <row r="6" ht="12.75" customHeight="1">
      <c r="A6" s="1" t="s">
        <v>117</v>
      </c>
      <c r="B6" s="19">
        <v>40396.0</v>
      </c>
      <c r="C6" s="1" t="s">
        <v>117</v>
      </c>
      <c r="D6" s="19">
        <v>40396.0</v>
      </c>
      <c r="E6" s="1" t="s">
        <v>117</v>
      </c>
      <c r="F6" s="19">
        <v>40396.0</v>
      </c>
      <c r="G6" s="1" t="s">
        <v>117</v>
      </c>
      <c r="H6" s="19">
        <v>40396.0</v>
      </c>
    </row>
    <row r="7" ht="12.75" customHeight="1">
      <c r="A7" s="1" t="s">
        <v>118</v>
      </c>
      <c r="B7" s="1" t="s">
        <v>119</v>
      </c>
      <c r="C7" s="1" t="s">
        <v>118</v>
      </c>
      <c r="D7" s="1" t="s">
        <v>120</v>
      </c>
      <c r="E7" s="1" t="s">
        <v>118</v>
      </c>
      <c r="F7" s="1" t="s">
        <v>121</v>
      </c>
      <c r="G7" s="1" t="s">
        <v>118</v>
      </c>
      <c r="H7" s="1" t="s">
        <v>122</v>
      </c>
    </row>
    <row r="8" ht="12.75" customHeight="1"/>
    <row r="9" ht="12.75" customHeight="1">
      <c r="A9" s="1" t="s">
        <v>123</v>
      </c>
      <c r="B9" s="1" t="s">
        <v>124</v>
      </c>
      <c r="C9" s="1" t="s">
        <v>123</v>
      </c>
      <c r="D9" s="1" t="s">
        <v>125</v>
      </c>
      <c r="E9" s="1" t="s">
        <v>123</v>
      </c>
      <c r="F9" s="1" t="s">
        <v>126</v>
      </c>
      <c r="G9" s="1" t="s">
        <v>123</v>
      </c>
      <c r="H9" s="1" t="s">
        <v>127</v>
      </c>
      <c r="K9" s="20">
        <v>0.21</v>
      </c>
      <c r="L9" s="21">
        <v>1.19E-6</v>
      </c>
    </row>
    <row r="10" ht="12.75" customHeight="1">
      <c r="A10" s="1" t="s">
        <v>128</v>
      </c>
      <c r="B10" s="1" t="s">
        <v>129</v>
      </c>
      <c r="C10" s="1" t="s">
        <v>128</v>
      </c>
      <c r="D10" s="1" t="s">
        <v>129</v>
      </c>
      <c r="E10" s="1" t="s">
        <v>128</v>
      </c>
      <c r="F10" s="1" t="s">
        <v>129</v>
      </c>
      <c r="G10" s="1" t="s">
        <v>128</v>
      </c>
      <c r="H10" s="1" t="s">
        <v>129</v>
      </c>
      <c r="K10" s="20">
        <v>0.42</v>
      </c>
      <c r="L10" s="22">
        <v>6.16E-4</v>
      </c>
    </row>
    <row r="11" ht="12.75" customHeight="1">
      <c r="A11" s="1">
        <v>0.0</v>
      </c>
      <c r="B11" s="1">
        <v>0.001</v>
      </c>
      <c r="C11" s="1">
        <v>0.0</v>
      </c>
      <c r="D11" s="1">
        <v>0.034</v>
      </c>
      <c r="E11" s="1">
        <v>0.0</v>
      </c>
      <c r="F11" s="1">
        <v>-0.045</v>
      </c>
      <c r="G11" s="1">
        <v>0.0</v>
      </c>
      <c r="H11" s="1">
        <v>0.004</v>
      </c>
      <c r="K11" s="20">
        <v>1.05</v>
      </c>
      <c r="L11" s="21">
        <v>7.71E-4</v>
      </c>
    </row>
    <row r="12" ht="12.75" customHeight="1">
      <c r="A12" s="1">
        <v>31.0</v>
      </c>
      <c r="B12" s="1">
        <v>0.001</v>
      </c>
      <c r="C12" s="1">
        <v>31.0</v>
      </c>
      <c r="D12" s="1">
        <v>0.033</v>
      </c>
      <c r="E12" s="1">
        <v>31.0</v>
      </c>
      <c r="F12" s="1">
        <v>-0.044</v>
      </c>
      <c r="G12" s="1">
        <v>31.0</v>
      </c>
      <c r="H12" s="1">
        <v>0.004</v>
      </c>
      <c r="K12" s="20">
        <v>2.11</v>
      </c>
      <c r="L12" s="21">
        <v>9.9E-4</v>
      </c>
    </row>
    <row r="13" ht="12.75" customHeight="1">
      <c r="A13" s="1">
        <v>62.0</v>
      </c>
      <c r="B13" s="1">
        <v>0.001</v>
      </c>
      <c r="C13" s="1">
        <v>62.0</v>
      </c>
      <c r="D13" s="1">
        <v>0.034</v>
      </c>
      <c r="E13" s="1">
        <v>62.0</v>
      </c>
      <c r="F13" s="1">
        <v>-0.043</v>
      </c>
      <c r="G13" s="1">
        <v>62.0</v>
      </c>
      <c r="H13" s="1">
        <v>0.004</v>
      </c>
    </row>
    <row r="14" ht="12.75" customHeight="1">
      <c r="A14" s="1">
        <v>93.0</v>
      </c>
      <c r="B14" s="1">
        <v>0.001</v>
      </c>
      <c r="C14" s="1">
        <v>93.0</v>
      </c>
      <c r="D14" s="1">
        <v>0.034</v>
      </c>
      <c r="E14" s="1">
        <v>93.0</v>
      </c>
      <c r="F14" s="1">
        <v>-0.043</v>
      </c>
      <c r="G14" s="1">
        <v>93.0</v>
      </c>
      <c r="H14" s="1">
        <v>0.004</v>
      </c>
    </row>
    <row r="15" ht="12.75" customHeight="1">
      <c r="A15" s="1">
        <v>124.0</v>
      </c>
      <c r="B15" s="1">
        <v>0.003</v>
      </c>
      <c r="C15" s="1">
        <v>124.0</v>
      </c>
      <c r="D15" s="1">
        <v>0.035</v>
      </c>
      <c r="E15" s="1">
        <v>124.0</v>
      </c>
      <c r="F15" s="1">
        <v>-0.042</v>
      </c>
      <c r="G15" s="1">
        <v>124.0</v>
      </c>
      <c r="H15" s="1">
        <v>0.004</v>
      </c>
    </row>
    <row r="16" ht="12.75" customHeight="1">
      <c r="A16" s="1">
        <v>155.0</v>
      </c>
      <c r="B16" s="1">
        <v>0.004</v>
      </c>
      <c r="C16" s="1">
        <v>155.0</v>
      </c>
      <c r="D16" s="1">
        <v>0.036</v>
      </c>
      <c r="E16" s="1">
        <v>155.0</v>
      </c>
      <c r="F16" s="1">
        <v>-0.041</v>
      </c>
      <c r="G16" s="1">
        <v>155.0</v>
      </c>
      <c r="H16" s="1">
        <v>0.004</v>
      </c>
    </row>
    <row r="17" ht="12.75" customHeight="1">
      <c r="A17" s="1">
        <v>186.0</v>
      </c>
      <c r="B17" s="1">
        <v>0.005</v>
      </c>
      <c r="C17" s="1">
        <v>186.0</v>
      </c>
      <c r="D17" s="1">
        <v>0.037</v>
      </c>
      <c r="E17" s="1">
        <v>186.0</v>
      </c>
      <c r="F17" s="1">
        <v>-0.041</v>
      </c>
      <c r="G17" s="1">
        <v>186.0</v>
      </c>
      <c r="H17" s="1">
        <v>0.004</v>
      </c>
    </row>
    <row r="18" ht="12.75" customHeight="1">
      <c r="A18" s="1">
        <v>217.0</v>
      </c>
      <c r="B18" s="1">
        <v>0.006</v>
      </c>
      <c r="C18" s="1">
        <v>217.0</v>
      </c>
      <c r="D18" s="1">
        <v>0.038</v>
      </c>
      <c r="E18" s="1">
        <v>217.0</v>
      </c>
      <c r="F18" s="1">
        <v>-0.04</v>
      </c>
      <c r="G18" s="1">
        <v>217.0</v>
      </c>
      <c r="H18" s="1">
        <v>0.004</v>
      </c>
    </row>
    <row r="19" ht="12.75" customHeight="1">
      <c r="A19" s="1">
        <v>248.0</v>
      </c>
      <c r="B19" s="1">
        <v>0.006</v>
      </c>
      <c r="C19" s="1">
        <v>248.0</v>
      </c>
      <c r="D19" s="1">
        <v>0.038</v>
      </c>
      <c r="E19" s="1">
        <v>248.0</v>
      </c>
      <c r="F19" s="1">
        <v>-0.039</v>
      </c>
      <c r="G19" s="1">
        <v>248.0</v>
      </c>
      <c r="H19" s="1">
        <v>0.004</v>
      </c>
    </row>
    <row r="20" ht="12.75" customHeight="1">
      <c r="A20" s="1">
        <v>279.0</v>
      </c>
      <c r="B20" s="1">
        <v>0.008</v>
      </c>
      <c r="C20" s="1">
        <v>279.0</v>
      </c>
      <c r="D20" s="1">
        <v>0.039</v>
      </c>
      <c r="E20" s="1">
        <v>279.0</v>
      </c>
      <c r="F20" s="1">
        <v>-0.039</v>
      </c>
      <c r="G20" s="1">
        <v>279.0</v>
      </c>
      <c r="H20" s="1">
        <v>0.005</v>
      </c>
    </row>
    <row r="21" ht="12.75" customHeight="1">
      <c r="A21" s="1">
        <v>310.0</v>
      </c>
      <c r="B21" s="1">
        <v>0.009</v>
      </c>
      <c r="C21" s="1">
        <v>310.0</v>
      </c>
      <c r="D21" s="1">
        <v>0.039</v>
      </c>
      <c r="E21" s="1">
        <v>310.0</v>
      </c>
      <c r="F21" s="1">
        <v>-0.039</v>
      </c>
      <c r="G21" s="1">
        <v>310.0</v>
      </c>
      <c r="H21" s="1">
        <v>0.004</v>
      </c>
    </row>
    <row r="22" ht="12.75" customHeight="1">
      <c r="A22" s="1">
        <v>341.0</v>
      </c>
      <c r="B22" s="1">
        <v>0.01</v>
      </c>
      <c r="C22" s="1">
        <v>341.0</v>
      </c>
      <c r="D22" s="1">
        <v>0.04</v>
      </c>
      <c r="E22" s="1">
        <v>341.0</v>
      </c>
      <c r="F22" s="1">
        <v>-0.038</v>
      </c>
      <c r="G22" s="1">
        <v>341.0</v>
      </c>
      <c r="H22" s="1">
        <v>0.004</v>
      </c>
    </row>
    <row r="23" ht="12.75" customHeight="1">
      <c r="A23" s="1">
        <v>372.0</v>
      </c>
      <c r="B23" s="1">
        <v>0.011</v>
      </c>
      <c r="C23" s="1">
        <v>372.0</v>
      </c>
      <c r="D23" s="1">
        <v>0.041</v>
      </c>
      <c r="E23" s="1">
        <v>372.0</v>
      </c>
      <c r="F23" s="1">
        <v>-0.037</v>
      </c>
      <c r="G23" s="1">
        <v>372.0</v>
      </c>
      <c r="H23" s="1">
        <v>0.004</v>
      </c>
    </row>
    <row r="24" ht="12.75" customHeight="1">
      <c r="A24" s="1">
        <v>403.0</v>
      </c>
      <c r="B24" s="1">
        <v>0.012</v>
      </c>
      <c r="C24" s="1">
        <v>403.0</v>
      </c>
      <c r="D24" s="1">
        <v>0.041</v>
      </c>
      <c r="E24" s="1">
        <v>403.0</v>
      </c>
      <c r="F24" s="1">
        <v>-0.037</v>
      </c>
      <c r="G24" s="1">
        <v>403.0</v>
      </c>
      <c r="H24" s="1">
        <v>0.005</v>
      </c>
    </row>
    <row r="25" ht="12.75" customHeight="1">
      <c r="A25" s="1">
        <v>434.0</v>
      </c>
      <c r="B25" s="1">
        <v>0.012</v>
      </c>
      <c r="C25" s="1">
        <v>434.0</v>
      </c>
      <c r="D25" s="1">
        <v>0.042</v>
      </c>
      <c r="E25" s="1">
        <v>434.0</v>
      </c>
      <c r="F25" s="1">
        <v>-0.036</v>
      </c>
      <c r="G25" s="1">
        <v>434.0</v>
      </c>
      <c r="H25" s="1">
        <v>0.005</v>
      </c>
    </row>
    <row r="26" ht="12.75" customHeight="1">
      <c r="A26" s="1">
        <v>465.0</v>
      </c>
      <c r="B26" s="1">
        <v>0.013</v>
      </c>
      <c r="C26" s="1">
        <v>465.0</v>
      </c>
      <c r="D26" s="1">
        <v>0.043</v>
      </c>
      <c r="E26" s="1">
        <v>465.0</v>
      </c>
      <c r="F26" s="1">
        <v>-0.036</v>
      </c>
      <c r="G26" s="1">
        <v>465.0</v>
      </c>
      <c r="H26" s="1">
        <v>0.004</v>
      </c>
    </row>
    <row r="27" ht="12.75" customHeight="1">
      <c r="A27" s="1">
        <v>496.0</v>
      </c>
      <c r="B27" s="1">
        <v>0.014</v>
      </c>
      <c r="C27" s="1">
        <v>496.0</v>
      </c>
      <c r="D27" s="1">
        <v>0.044</v>
      </c>
      <c r="E27" s="1">
        <v>496.0</v>
      </c>
      <c r="F27" s="1">
        <v>-0.035</v>
      </c>
      <c r="G27" s="1">
        <v>496.0</v>
      </c>
      <c r="H27" s="1">
        <v>0.004</v>
      </c>
    </row>
    <row r="28" ht="12.75" customHeight="1">
      <c r="A28" s="1">
        <v>527.0</v>
      </c>
      <c r="B28" s="1">
        <v>0.015</v>
      </c>
      <c r="C28" s="1">
        <v>527.0</v>
      </c>
      <c r="D28" s="1">
        <v>0.044</v>
      </c>
      <c r="E28" s="1">
        <v>527.0</v>
      </c>
      <c r="F28" s="1">
        <v>-0.035</v>
      </c>
      <c r="G28" s="1">
        <v>527.0</v>
      </c>
      <c r="H28" s="1">
        <v>0.004</v>
      </c>
    </row>
    <row r="29" ht="12.75" customHeight="1">
      <c r="A29" s="1">
        <v>558.0</v>
      </c>
      <c r="B29" s="1">
        <v>0.016</v>
      </c>
      <c r="C29" s="1">
        <v>558.0</v>
      </c>
      <c r="D29" s="1">
        <v>0.045</v>
      </c>
      <c r="E29" s="1">
        <v>558.0</v>
      </c>
      <c r="F29" s="1">
        <v>-0.034</v>
      </c>
      <c r="G29" s="1">
        <v>558.0</v>
      </c>
      <c r="H29" s="1">
        <v>0.004</v>
      </c>
    </row>
    <row r="30" ht="12.75" customHeight="1">
      <c r="A30" s="1">
        <v>589.0</v>
      </c>
      <c r="B30" s="1">
        <v>0.016</v>
      </c>
      <c r="C30" s="1">
        <v>589.0</v>
      </c>
      <c r="D30" s="1">
        <v>0.045</v>
      </c>
      <c r="E30" s="1">
        <v>589.0</v>
      </c>
      <c r="F30" s="1">
        <v>-0.034</v>
      </c>
      <c r="G30" s="1">
        <v>589.0</v>
      </c>
      <c r="H30" s="1">
        <v>0.004</v>
      </c>
    </row>
    <row r="31" ht="12.75" customHeight="1">
      <c r="A31" s="1">
        <v>620.0</v>
      </c>
      <c r="B31" s="1">
        <v>0.018</v>
      </c>
      <c r="C31" s="1">
        <v>620.0</v>
      </c>
      <c r="D31" s="1">
        <v>0.045</v>
      </c>
      <c r="E31" s="1">
        <v>620.0</v>
      </c>
      <c r="F31" s="1">
        <v>-0.034</v>
      </c>
      <c r="G31" s="1">
        <v>620.0</v>
      </c>
      <c r="H31" s="1">
        <v>0.004</v>
      </c>
    </row>
    <row r="32" ht="12.75" customHeight="1">
      <c r="A32" s="1">
        <v>651.0</v>
      </c>
      <c r="B32" s="1">
        <v>0.018</v>
      </c>
      <c r="C32" s="1">
        <v>651.0</v>
      </c>
      <c r="D32" s="1">
        <v>0.046</v>
      </c>
      <c r="E32" s="1">
        <v>651.0</v>
      </c>
      <c r="F32" s="1">
        <v>-0.033</v>
      </c>
      <c r="G32" s="1">
        <v>651.0</v>
      </c>
      <c r="H32" s="1">
        <v>0.004</v>
      </c>
    </row>
    <row r="33" ht="12.75" customHeight="1">
      <c r="A33" s="1">
        <v>682.0</v>
      </c>
      <c r="B33" s="1">
        <v>0.019</v>
      </c>
      <c r="C33" s="1">
        <v>682.0</v>
      </c>
      <c r="D33" s="1">
        <v>0.046</v>
      </c>
      <c r="E33" s="1">
        <v>682.0</v>
      </c>
      <c r="F33" s="1">
        <v>-0.033</v>
      </c>
      <c r="G33" s="1">
        <v>682.0</v>
      </c>
      <c r="H33" s="1">
        <v>0.004</v>
      </c>
    </row>
    <row r="34" ht="12.75" customHeight="1">
      <c r="A34" s="1">
        <v>713.0</v>
      </c>
      <c r="B34" s="1">
        <v>0.02</v>
      </c>
      <c r="C34" s="1">
        <v>713.0</v>
      </c>
      <c r="D34" s="1">
        <v>0.047</v>
      </c>
      <c r="E34" s="1">
        <v>713.0</v>
      </c>
      <c r="F34" s="1">
        <v>-0.033</v>
      </c>
      <c r="G34" s="1">
        <v>713.0</v>
      </c>
      <c r="H34" s="1">
        <v>0.004</v>
      </c>
    </row>
    <row r="35" ht="12.75" customHeight="1">
      <c r="A35" s="1">
        <v>744.0</v>
      </c>
      <c r="B35" s="1">
        <v>0.021</v>
      </c>
      <c r="C35" s="1">
        <v>744.0</v>
      </c>
      <c r="D35" s="1">
        <v>0.048</v>
      </c>
      <c r="E35" s="1">
        <v>744.0</v>
      </c>
      <c r="F35" s="1">
        <v>-0.032</v>
      </c>
      <c r="G35" s="1">
        <v>744.0</v>
      </c>
      <c r="H35" s="1">
        <v>0.005</v>
      </c>
    </row>
    <row r="36" ht="12.75" customHeight="1">
      <c r="A36" s="1">
        <v>775.0</v>
      </c>
      <c r="B36" s="1">
        <v>0.021</v>
      </c>
      <c r="C36" s="1">
        <v>775.0</v>
      </c>
      <c r="D36" s="1">
        <v>0.048</v>
      </c>
      <c r="E36" s="1">
        <v>775.0</v>
      </c>
      <c r="F36" s="1">
        <v>-0.032</v>
      </c>
      <c r="G36" s="1">
        <v>775.0</v>
      </c>
      <c r="H36" s="1">
        <v>0.004</v>
      </c>
    </row>
    <row r="37" ht="12.75" customHeight="1">
      <c r="A37" s="1">
        <v>806.0</v>
      </c>
      <c r="B37" s="1">
        <v>0.023</v>
      </c>
      <c r="C37" s="1">
        <v>806.0</v>
      </c>
      <c r="D37" s="1">
        <v>0.048</v>
      </c>
      <c r="E37" s="1">
        <v>806.0</v>
      </c>
      <c r="F37" s="1">
        <v>-0.031</v>
      </c>
      <c r="G37" s="1">
        <v>806.0</v>
      </c>
      <c r="H37" s="1">
        <v>0.004</v>
      </c>
    </row>
    <row r="38" ht="12.75" customHeight="1">
      <c r="A38" s="1">
        <v>837.0</v>
      </c>
      <c r="B38" s="1">
        <v>0.023</v>
      </c>
      <c r="C38" s="1">
        <v>837.0</v>
      </c>
      <c r="D38" s="1">
        <v>0.048</v>
      </c>
      <c r="E38" s="1">
        <v>837.0</v>
      </c>
      <c r="F38" s="1">
        <v>-0.031</v>
      </c>
      <c r="G38" s="1">
        <v>837.0</v>
      </c>
      <c r="H38" s="1">
        <v>0.004</v>
      </c>
    </row>
    <row r="39" ht="12.75" customHeight="1">
      <c r="A39" s="1">
        <v>868.0</v>
      </c>
      <c r="B39" s="1">
        <v>0.023</v>
      </c>
      <c r="C39" s="1">
        <v>868.0</v>
      </c>
      <c r="D39" s="1">
        <v>0.049</v>
      </c>
      <c r="E39" s="1">
        <v>868.0</v>
      </c>
      <c r="F39" s="1">
        <v>-0.031</v>
      </c>
      <c r="G39" s="1">
        <v>868.0</v>
      </c>
      <c r="H39" s="1">
        <v>0.004</v>
      </c>
    </row>
    <row r="40" ht="12.75" customHeight="1">
      <c r="A40" s="1">
        <v>899.0</v>
      </c>
      <c r="B40" s="1">
        <v>0.024</v>
      </c>
      <c r="C40" s="1">
        <v>899.0</v>
      </c>
      <c r="D40" s="1">
        <v>0.049</v>
      </c>
      <c r="E40" s="1">
        <v>899.0</v>
      </c>
      <c r="F40" s="1">
        <v>-0.031</v>
      </c>
      <c r="G40" s="1">
        <v>899.0</v>
      </c>
      <c r="H40" s="1">
        <v>0.004</v>
      </c>
    </row>
    <row r="41" ht="12.75" customHeight="1">
      <c r="A41" s="1">
        <v>930.0</v>
      </c>
      <c r="B41" s="1">
        <v>0.025</v>
      </c>
      <c r="C41" s="1">
        <v>930.0</v>
      </c>
      <c r="D41" s="1">
        <v>0.049</v>
      </c>
      <c r="E41" s="1">
        <v>930.0</v>
      </c>
      <c r="F41" s="1">
        <v>-0.03</v>
      </c>
      <c r="G41" s="1">
        <v>930.0</v>
      </c>
      <c r="H41" s="1">
        <v>0.004</v>
      </c>
    </row>
    <row r="42" ht="12.75" customHeight="1">
      <c r="A42" s="1">
        <v>961.0</v>
      </c>
      <c r="B42" s="1">
        <v>0.026</v>
      </c>
      <c r="C42" s="1">
        <v>961.0</v>
      </c>
      <c r="D42" s="1">
        <v>0.05</v>
      </c>
      <c r="E42" s="1">
        <v>961.0</v>
      </c>
      <c r="F42" s="1">
        <v>-0.03</v>
      </c>
      <c r="G42" s="1">
        <v>961.0</v>
      </c>
      <c r="H42" s="1">
        <v>0.004</v>
      </c>
    </row>
    <row r="43" ht="12.75" customHeight="1">
      <c r="A43" s="1">
        <v>992.0</v>
      </c>
      <c r="B43" s="1">
        <v>0.027</v>
      </c>
      <c r="C43" s="1">
        <v>992.0</v>
      </c>
      <c r="D43" s="1">
        <v>0.051</v>
      </c>
      <c r="E43" s="1">
        <v>992.0</v>
      </c>
      <c r="F43" s="1">
        <v>-0.03</v>
      </c>
      <c r="G43" s="1">
        <v>992.0</v>
      </c>
      <c r="H43" s="1">
        <v>0.004</v>
      </c>
    </row>
    <row r="44" ht="12.75" customHeight="1">
      <c r="A44" s="1">
        <v>1023.0</v>
      </c>
      <c r="B44" s="1">
        <v>0.027</v>
      </c>
      <c r="C44" s="1">
        <v>1023.0</v>
      </c>
      <c r="D44" s="1">
        <v>0.051</v>
      </c>
      <c r="E44" s="1">
        <v>1023.0</v>
      </c>
      <c r="F44" s="1">
        <v>-0.029</v>
      </c>
      <c r="G44" s="1">
        <v>1023.0</v>
      </c>
      <c r="H44" s="1">
        <v>0.004</v>
      </c>
    </row>
    <row r="45" ht="12.75" customHeight="1">
      <c r="A45" s="1">
        <v>1054.0</v>
      </c>
      <c r="B45" s="1">
        <v>0.028</v>
      </c>
      <c r="C45" s="1">
        <v>1054.0</v>
      </c>
      <c r="D45" s="1">
        <v>0.051</v>
      </c>
      <c r="E45" s="1">
        <v>1054.0</v>
      </c>
      <c r="F45" s="1">
        <v>-0.029</v>
      </c>
      <c r="G45" s="1">
        <v>1054.0</v>
      </c>
      <c r="H45" s="1">
        <v>0.004</v>
      </c>
    </row>
    <row r="46" ht="12.75" customHeight="1">
      <c r="A46" s="1">
        <v>1085.0</v>
      </c>
      <c r="B46" s="1">
        <v>0.029</v>
      </c>
      <c r="C46" s="1">
        <v>1085.0</v>
      </c>
      <c r="D46" s="1">
        <v>0.051</v>
      </c>
      <c r="E46" s="1">
        <v>1085.0</v>
      </c>
      <c r="F46" s="1">
        <v>-0.029</v>
      </c>
      <c r="G46" s="1">
        <v>1085.0</v>
      </c>
      <c r="H46" s="1">
        <v>0.004</v>
      </c>
    </row>
    <row r="47" ht="12.75" customHeight="1">
      <c r="A47" s="1">
        <v>1116.0</v>
      </c>
      <c r="B47" s="1">
        <v>0.029</v>
      </c>
      <c r="C47" s="1">
        <v>1116.0</v>
      </c>
      <c r="D47" s="1">
        <v>0.052</v>
      </c>
      <c r="E47" s="1">
        <v>1116.0</v>
      </c>
      <c r="F47" s="1">
        <v>-0.029</v>
      </c>
      <c r="G47" s="1">
        <v>1116.0</v>
      </c>
      <c r="H47" s="1">
        <v>0.004</v>
      </c>
    </row>
    <row r="48" ht="12.75" customHeight="1">
      <c r="A48" s="1">
        <v>1147.0</v>
      </c>
      <c r="B48" s="1">
        <v>0.03</v>
      </c>
      <c r="C48" s="1">
        <v>1147.0</v>
      </c>
      <c r="D48" s="1">
        <v>0.052</v>
      </c>
      <c r="E48" s="1">
        <v>1147.0</v>
      </c>
      <c r="F48" s="1">
        <v>-0.028</v>
      </c>
      <c r="G48" s="1">
        <v>1147.0</v>
      </c>
      <c r="H48" s="1">
        <v>0.005</v>
      </c>
    </row>
    <row r="49" ht="12.75" customHeight="1">
      <c r="A49" s="1">
        <v>1178.0</v>
      </c>
      <c r="B49" s="1">
        <v>0.03</v>
      </c>
      <c r="C49" s="1">
        <v>1178.0</v>
      </c>
      <c r="D49" s="1">
        <v>0.052</v>
      </c>
      <c r="E49" s="1">
        <v>1178.0</v>
      </c>
      <c r="F49" s="1">
        <v>-0.029</v>
      </c>
      <c r="G49" s="1">
        <v>1178.0</v>
      </c>
      <c r="H49" s="1">
        <v>0.004</v>
      </c>
    </row>
    <row r="50" ht="12.75" customHeight="1">
      <c r="A50" s="1">
        <v>1209.0</v>
      </c>
      <c r="B50" s="1">
        <v>0.031</v>
      </c>
      <c r="C50" s="1">
        <v>1209.0</v>
      </c>
      <c r="D50" s="1">
        <v>0.052</v>
      </c>
      <c r="E50" s="1">
        <v>1209.0</v>
      </c>
      <c r="F50" s="1">
        <v>-0.028</v>
      </c>
      <c r="G50" s="1">
        <v>1209.0</v>
      </c>
      <c r="H50" s="1">
        <v>0.004</v>
      </c>
    </row>
    <row r="51" ht="12.75" customHeight="1">
      <c r="A51" s="1">
        <v>1240.0</v>
      </c>
      <c r="B51" s="1">
        <v>0.032</v>
      </c>
      <c r="C51" s="1">
        <v>1240.0</v>
      </c>
      <c r="D51" s="1">
        <v>0.052</v>
      </c>
      <c r="E51" s="1">
        <v>1240.0</v>
      </c>
      <c r="F51" s="1">
        <v>-0.028</v>
      </c>
      <c r="G51" s="1">
        <v>1240.0</v>
      </c>
      <c r="H51" s="1">
        <v>0.005</v>
      </c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