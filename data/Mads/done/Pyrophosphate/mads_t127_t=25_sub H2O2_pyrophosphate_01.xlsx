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anes" sheetId="1" r:id="rId4"/>
    <sheet state="visible" name="Sheet1" sheetId="2" r:id="rId5"/>
    <sheet state="visible" name="Sheet2" sheetId="3" r:id="rId6"/>
    <sheet state="visible" name="Sheet3" sheetId="4" r:id="rId7"/>
  </sheets>
  <definedNames>
    <definedName localSheetId="2" name="data127">Sheet2!$A$1:$H$246</definedName>
  </definedNames>
  <calcPr/>
  <extLst>
    <ext uri="GoogleSheetsCustomDataVersion1">
      <go:sheetsCustomData xmlns:go="http://customooxmlschemas.google.com/" r:id="rId8" roundtripDataSignature="AMtx7mhYwwdCYo2XU3w7r67YB2kK9vnq4A=="/>
    </ext>
  </extLst>
</workbook>
</file>

<file path=xl/comments1.xml><?xml version="1.0" encoding="utf-8"?>
<comments xmlns:r="http://schemas.openxmlformats.org/officeDocument/2006/relationships" xmlns="http://schemas.openxmlformats.org/spreadsheetml/2006/main">
  <authors>
    <author/>
  </authors>
  <commentList>
    <comment authorId="0" ref="C48">
      <text>
        <t xml:space="preserve">======
ID#AAAAUkJSE30
procedure    (2022-01-31 11:11:33)
The pH of the buffer was measuerd before and after the experiment with a glas electrode which had bean calibrated the same day.
The four different solutions, sub., buf., H2O2 and enz. were alle added to the cuvetts and they were emidiatly schaken on the "minischaker" and placed in the spectrometer and allowed to equalibriate for 5 minuts before the spectrometer was "zero'ed" and kinetic experiment was initiated.
From a trail experiment it had bean established that the initial stady state period lasted for about 60 min for the samples with low [H2O2], so the 5 min  equalibration period was justified.</t>
      </text>
    </comment>
  </commentList>
  <extLst>
    <ext uri="GoogleSheetsCustomDataVersion1">
      <go:sheetsCustomData xmlns:go="http://customooxmlschemas.google.com/" r:id="rId1" roundtripDataSignature="AMtx7mj8/CHITI01TH3I557s5RRzKxkrhg=="/>
    </ext>
  </extLst>
</comments>
</file>

<file path=xl/sharedStrings.xml><?xml version="1.0" encoding="utf-8"?>
<sst xmlns="http://schemas.openxmlformats.org/spreadsheetml/2006/main" count="229" uniqueCount="150">
  <si>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</si>
  <si>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</si>
  <si>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</si>
  <si>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</si>
  <si>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</si>
  <si>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</si>
  <si>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</si>
  <si>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</si>
  <si>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</si>
  <si>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</si>
  <si>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</si>
  <si>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</si>
  <si>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</si>
  <si>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</si>
  <si>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</si>
  <si>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</si>
  <si>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</si>
  <si>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</si>
  <si>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</si>
  <si>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</si>
  <si>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</si>
  <si>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</si>
  <si>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</si>
  <si>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</si>
  <si>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X Variable 1</t>
  </si>
  <si>
    <t>RESIDUAL OUTPUT</t>
  </si>
  <si>
    <t>PROBABILITY OUTPUT</t>
  </si>
  <si>
    <t>Observation</t>
  </si>
  <si>
    <t>Predicted Y</t>
  </si>
  <si>
    <t>Residuals</t>
  </si>
  <si>
    <t>Standard Residuals</t>
  </si>
  <si>
    <t>Percentile</t>
  </si>
  <si>
    <t>Y</t>
  </si>
  <si>
    <t>method:</t>
  </si>
  <si>
    <t>1h_kcat(4OMeBnOH)_4cuv</t>
  </si>
  <si>
    <t>nm</t>
  </si>
  <si>
    <t>e</t>
  </si>
  <si>
    <t>H202 30%</t>
  </si>
  <si>
    <t>solvent vol. [ml]</t>
  </si>
  <si>
    <t xml:space="preserve">stam </t>
  </si>
  <si>
    <t>g/mol</t>
  </si>
  <si>
    <t>g/cm^3</t>
  </si>
  <si>
    <t xml:space="preserve">Enz </t>
  </si>
  <si>
    <t>Massefylde g/L</t>
  </si>
  <si>
    <t>4-MeO-BnOH [g]</t>
  </si>
  <si>
    <t>a-diesterketon</t>
  </si>
  <si>
    <t>mol/l</t>
  </si>
  <si>
    <t>Solvent Vol. [L]</t>
  </si>
  <si>
    <t>cm^3</t>
  </si>
  <si>
    <t>ml</t>
  </si>
  <si>
    <t>Density g/ml</t>
  </si>
  <si>
    <t>Final vol.</t>
  </si>
  <si>
    <t>g</t>
  </si>
  <si>
    <t>[H2O2]</t>
  </si>
  <si>
    <t>mol/L</t>
  </si>
  <si>
    <t>l</t>
  </si>
  <si>
    <t>mmol/l</t>
  </si>
  <si>
    <t>mol</t>
  </si>
  <si>
    <t>D2O %</t>
  </si>
  <si>
    <t xml:space="preserve">Fortyndingsrække </t>
  </si>
  <si>
    <t>opløsning</t>
  </si>
  <si>
    <t>Vol. Stam. [L]</t>
  </si>
  <si>
    <t>Final Vol. [L]</t>
  </si>
  <si>
    <t>mmol/L</t>
  </si>
  <si>
    <t>kuv</t>
  </si>
  <si>
    <t>E fortynding</t>
  </si>
  <si>
    <t>stam ml</t>
  </si>
  <si>
    <t>final vol. ml</t>
  </si>
  <si>
    <t>Buf. MW. [g/mol]</t>
  </si>
  <si>
    <t>konc.  mmol/l</t>
  </si>
  <si>
    <t>Vol. [l]</t>
  </si>
  <si>
    <t>M [mol/l]</t>
  </si>
  <si>
    <t>[Buf] g</t>
  </si>
  <si>
    <t>Buffer</t>
  </si>
  <si>
    <t>pyrophosphate</t>
  </si>
  <si>
    <t>Fortynding</t>
  </si>
  <si>
    <t>Phosphate</t>
  </si>
  <si>
    <t>buffer pH</t>
  </si>
  <si>
    <t>Calc. fra g [mol/l]</t>
  </si>
  <si>
    <t>pH after run (1,2,5,6)</t>
  </si>
  <si>
    <t>pH after run (3,4,7,8)</t>
  </si>
  <si>
    <t>pH</t>
  </si>
  <si>
    <t>T</t>
  </si>
  <si>
    <t>[sub]</t>
  </si>
  <si>
    <t>[Enz]</t>
  </si>
  <si>
    <t>[buf]</t>
  </si>
  <si>
    <t>D2O</t>
  </si>
  <si>
    <t>Enz [ml]</t>
  </si>
  <si>
    <t>Buf [ml]</t>
  </si>
  <si>
    <t>Sub [ml]</t>
  </si>
  <si>
    <t>H2O2 [ml]</t>
  </si>
  <si>
    <t>Vol [ml]</t>
  </si>
  <si>
    <t>[D2O]%</t>
  </si>
  <si>
    <t>kuv  1</t>
  </si>
  <si>
    <t>kuv  2</t>
  </si>
  <si>
    <t>kuv  3</t>
  </si>
  <si>
    <t>kuv  4</t>
  </si>
  <si>
    <t>ref  5</t>
  </si>
  <si>
    <t>ref  6</t>
  </si>
  <si>
    <t>ref  7</t>
  </si>
  <si>
    <t>ref  8</t>
  </si>
  <si>
    <t>Procedure</t>
  </si>
  <si>
    <t>Vmax</t>
  </si>
  <si>
    <t>U/31s</t>
  </si>
  <si>
    <t>mM/s</t>
  </si>
  <si>
    <t>Km</t>
  </si>
  <si>
    <t>Kinetics Experiment - 127</t>
  </si>
  <si>
    <t>Conc. Units</t>
  </si>
  <si>
    <t>Raw Data</t>
  </si>
  <si>
    <t>Sample</t>
  </si>
  <si>
    <t>[S]</t>
  </si>
  <si>
    <t>[I]</t>
  </si>
  <si>
    <t>V</t>
  </si>
  <si>
    <t>Use</t>
  </si>
  <si>
    <t>Sample001</t>
  </si>
  <si>
    <t>Yes</t>
  </si>
  <si>
    <t>Sample002</t>
  </si>
  <si>
    <t>Sample003</t>
  </si>
  <si>
    <t>Sample004</t>
  </si>
  <si>
    <t>Hanes-Woolf</t>
  </si>
  <si>
    <t>Parameters</t>
  </si>
  <si>
    <t>[I]=0.000</t>
  </si>
  <si>
    <t>Calculated Values</t>
  </si>
  <si>
    <t>VMax</t>
  </si>
  <si>
    <t>Statistics</t>
  </si>
  <si>
    <t>Chi Squared</t>
  </si>
  <si>
    <t>Corr.Coeff.</t>
  </si>
  <si>
    <t>Michaelis-Menten</t>
  </si>
  <si>
    <t>Initial Values</t>
  </si>
  <si>
    <t>VMAX</t>
  </si>
  <si>
    <t>KM</t>
  </si>
  <si>
    <t>Iterations</t>
  </si>
  <si>
    <t>Batch</t>
  </si>
  <si>
    <t>rate127.rre</t>
  </si>
  <si>
    <t>Evolution 600</t>
  </si>
  <si>
    <t>Data Mode</t>
  </si>
  <si>
    <t>A</t>
  </si>
  <si>
    <t>Smoothing</t>
  </si>
  <si>
    <t>None</t>
  </si>
  <si>
    <t>Date Collected</t>
  </si>
  <si>
    <t>Time Collected</t>
  </si>
  <si>
    <t>11:45:55PM</t>
  </si>
  <si>
    <t>11:46:02PM</t>
  </si>
  <si>
    <t>11:46:10PM</t>
  </si>
  <si>
    <t>11:46:17PM</t>
  </si>
  <si>
    <t>Substrate Conc.</t>
  </si>
  <si>
    <t>102.0930 mmol/L</t>
  </si>
  <si>
    <t>1.2760 mmol/L</t>
  </si>
  <si>
    <t>ss.sss</t>
  </si>
  <si>
    <t>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</si>
</sst>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
    <numFmt numFmtId="165" formatCode="0.000000"/>
  </numFmts>
  <fonts count="6">
    <font>
      <sz val="10.0"/>
      <color rgb="FF000000"/>
      <name val="Arial"/>
    </font>
    <font>
      <color theme="1"/>
      <name val="Calibri"/>
    </font>
    <font>
      <i/>
      <sz val="10.0"/>
      <color theme="1"/>
      <name val="Arial"/>
    </font>
    <font/>
    <font>
      <sz val="10.0"/>
      <color theme="1"/>
      <name val="Arial"/>
    </font>
    <font>
      <b/>
      <sz val="10.0"/>
      <color theme="1"/>
      <name val="Arial"/>
    </font>
  </fonts>
  <fills count="2">
    <fill>
      <patternFill patternType="none"/>
    </fill>
    <fill>
      <patternFill patternType="lightGray"/>
    </fill>
  </fills>
  <borders count="17">
    <border/>
    <border>
      <top style="medium">
        <color rgb="FF000000"/>
      </top>
      <bottom style="thin">
        <color rgb="FF000000"/>
      </bottom>
    </border>
    <border>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center" shrinkToFit="0" vertical="bottom" wrapText="0"/>
    </xf>
    <xf borderId="1" fillId="0" fontId="3" numFmtId="0" xfId="0" applyBorder="1" applyFont="1"/>
    <xf borderId="0" fillId="0" fontId="4" numFmtId="0" xfId="0" applyAlignment="1" applyFont="1">
      <alignment shrinkToFit="0" vertical="bottom" wrapText="0"/>
    </xf>
    <xf borderId="2" fillId="0" fontId="4" numFmtId="0" xfId="0" applyAlignment="1" applyBorder="1" applyFont="1">
      <alignment shrinkToFit="0" vertical="bottom" wrapText="0"/>
    </xf>
    <xf borderId="3" fillId="0" fontId="4" numFmtId="0" xfId="0" applyAlignment="1" applyBorder="1" applyFont="1">
      <alignment shrinkToFit="0" vertical="bottom" wrapText="0"/>
    </xf>
    <xf borderId="4" fillId="0" fontId="4" numFmtId="0" xfId="0" applyAlignment="1" applyBorder="1" applyFont="1">
      <alignment shrinkToFit="0" vertical="bottom" wrapText="0"/>
    </xf>
    <xf borderId="5" fillId="0" fontId="4" numFmtId="0" xfId="0" applyAlignment="1" applyBorder="1" applyFont="1">
      <alignment shrinkToFit="0" vertical="bottom" wrapText="0"/>
    </xf>
    <xf borderId="3" fillId="0" fontId="5" numFmtId="0" xfId="0" applyAlignment="1" applyBorder="1" applyFont="1">
      <alignment shrinkToFit="0" vertical="bottom" wrapText="0"/>
    </xf>
    <xf borderId="6" fillId="0" fontId="4" numFmtId="0" xfId="0" applyAlignment="1" applyBorder="1" applyFont="1">
      <alignment shrinkToFit="0" vertical="bottom" wrapText="0"/>
    </xf>
    <xf borderId="7" fillId="0" fontId="4" numFmtId="0" xfId="0" applyAlignment="1" applyBorder="1" applyFont="1">
      <alignment shrinkToFit="0" vertical="bottom" wrapText="0"/>
    </xf>
    <xf borderId="8" fillId="0" fontId="4" numFmtId="0" xfId="0" applyAlignment="1" applyBorder="1" applyFont="1">
      <alignment shrinkToFit="0" vertical="bottom" wrapText="0"/>
    </xf>
    <xf borderId="9" fillId="0" fontId="4" numFmtId="0" xfId="0" applyAlignment="1" applyBorder="1" applyFont="1">
      <alignment shrinkToFit="0" vertical="bottom" wrapText="0"/>
    </xf>
    <xf borderId="3" fillId="0" fontId="4" numFmtId="0" xfId="0" applyAlignment="1" applyBorder="1" applyFont="1">
      <alignment shrinkToFit="0" vertical="bottom" wrapText="1"/>
    </xf>
    <xf borderId="10" fillId="0" fontId="4" numFmtId="164" xfId="0" applyAlignment="1" applyBorder="1" applyFont="1" applyNumberFormat="1">
      <alignment shrinkToFit="0" vertical="bottom" wrapText="0"/>
    </xf>
    <xf borderId="11" fillId="0" fontId="4" numFmtId="164" xfId="0" applyAlignment="1" applyBorder="1" applyFont="1" applyNumberFormat="1">
      <alignment shrinkToFit="0" vertical="bottom" wrapText="0"/>
    </xf>
    <xf borderId="12" fillId="0" fontId="4" numFmtId="164" xfId="0" applyAlignment="1" applyBorder="1" applyFont="1" applyNumberFormat="1">
      <alignment shrinkToFit="0" vertical="bottom" wrapText="0"/>
    </xf>
    <xf borderId="6" fillId="0" fontId="4" numFmtId="0" xfId="0" applyAlignment="1" applyBorder="1" applyFont="1">
      <alignment shrinkToFit="0" vertical="bottom" wrapText="1"/>
    </xf>
    <xf borderId="13" fillId="0" fontId="4" numFmtId="164" xfId="0" applyAlignment="1" applyBorder="1" applyFont="1" applyNumberFormat="1">
      <alignment shrinkToFit="0" vertical="bottom" wrapText="0"/>
    </xf>
    <xf borderId="14" fillId="0" fontId="4" numFmtId="164" xfId="0" applyAlignment="1" applyBorder="1" applyFont="1" applyNumberFormat="1">
      <alignment shrinkToFit="0" vertical="bottom" wrapText="0"/>
    </xf>
    <xf borderId="15" fillId="0" fontId="4" numFmtId="164" xfId="0" applyAlignment="1" applyBorder="1" applyFont="1" applyNumberFormat="1">
      <alignment shrinkToFit="0" vertical="bottom" wrapText="0"/>
    </xf>
    <xf borderId="8" fillId="0" fontId="4" numFmtId="0" xfId="0" applyAlignment="1" applyBorder="1" applyFont="1">
      <alignment shrinkToFit="0" vertical="bottom" wrapText="1"/>
    </xf>
    <xf borderId="0" fillId="0" fontId="4" numFmtId="164" xfId="0" applyAlignment="1" applyFont="1" applyNumberFormat="1">
      <alignment shrinkToFit="0" vertical="bottom" wrapText="0"/>
    </xf>
    <xf borderId="0" fillId="0" fontId="4" numFmtId="165" xfId="0" applyAlignment="1" applyFont="1" applyNumberFormat="1">
      <alignment shrinkToFit="0" vertical="bottom" wrapText="0"/>
    </xf>
    <xf borderId="0" fillId="0" fontId="4" numFmtId="2" xfId="0" applyAlignment="1" applyFont="1" applyNumberFormat="1">
      <alignment shrinkToFit="0" vertical="bottom" wrapText="0"/>
    </xf>
    <xf borderId="16" fillId="0" fontId="4" numFmtId="0" xfId="0" applyAlignment="1" applyBorder="1" applyFont="1">
      <alignment shrinkToFit="0" vertical="bottom" wrapText="0"/>
    </xf>
    <xf borderId="16" fillId="0" fontId="4" numFmtId="164" xfId="0" applyAlignment="1" applyBorder="1" applyFont="1" applyNumberFormat="1">
      <alignment shrinkToFit="0" vertical="bottom" wrapText="0"/>
    </xf>
    <xf borderId="16" fillId="0" fontId="4" numFmtId="165" xfId="0" applyAlignment="1" applyBorder="1" applyFont="1" applyNumberFormat="1">
      <alignment shrinkToFit="0" vertical="bottom" wrapText="0"/>
    </xf>
    <xf borderId="16" fillId="0" fontId="4" numFmtId="2" xfId="0" applyAlignment="1" applyBorder="1" applyFont="1" applyNumberFormat="1">
      <alignment shrinkToFit="0" vertical="bottom" wrapText="0"/>
    </xf>
    <xf borderId="2" fillId="0" fontId="4" numFmtId="164" xfId="0" applyAlignment="1" applyBorder="1" applyFont="1" applyNumberFormat="1">
      <alignment shrinkToFit="0" vertical="bottom" wrapText="0"/>
    </xf>
    <xf borderId="2" fillId="0" fontId="4" numFmtId="165" xfId="0" applyAlignment="1" applyBorder="1" applyFont="1" applyNumberFormat="1">
      <alignment shrinkToFit="0" vertical="bottom" wrapText="0"/>
    </xf>
    <xf borderId="2" fillId="0" fontId="4" numFmtId="2" xfId="0" applyAlignment="1" applyBorder="1" applyFont="1" applyNumberFormat="1">
      <alignment shrinkToFit="0" vertical="bottom" wrapText="0"/>
    </xf>
    <xf borderId="0" fillId="0" fontId="5" numFmtId="0" xfId="0" applyAlignment="1" applyFont="1">
      <alignment shrinkToFit="0" vertical="bottom" wrapText="0"/>
    </xf>
    <xf borderId="0" fillId="0" fontId="4" numFmtId="11" xfId="0" applyAlignment="1" applyFont="1" applyNumberFormat="1">
      <alignment shrinkToFit="0" vertical="bottom" wrapText="0"/>
    </xf>
    <xf borderId="0" fillId="0" fontId="4" numFmtId="14" xfId="0" applyAlignment="1" applyFont="1" applyNumberFormat="1">
      <alignment shrinkToFit="0" vertical="bottom"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rgbClr val="000000"/>
                </a:solidFill>
                <a:latin typeface="+mn-lt"/>
              </a:defRPr>
            </a:pPr>
            <a:r>
              <a:rPr b="1" i="0" sz="1200">
                <a:solidFill>
                  <a:srgbClr val="000000"/>
                </a:solidFill>
                <a:latin typeface="+mn-lt"/>
              </a:rPr>
              <a:t>X Variable 1  Residual Plot</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yVal>
            <c:numRef>
              <c:f>hanes!$C$25:$C$27</c:f>
              <c:numCache/>
            </c:numRef>
          </c:yVal>
        </c:ser>
        <c:dLbls>
          <c:showLegendKey val="0"/>
          <c:showVal val="0"/>
          <c:showCatName val="0"/>
          <c:showSerName val="0"/>
          <c:showPercent val="0"/>
          <c:showBubbleSize val="0"/>
        </c:dLbls>
        <c:axId val="1666336152"/>
        <c:axId val="127656368"/>
      </c:scatterChart>
      <c:valAx>
        <c:axId val="1666336152"/>
        <c:scaling>
          <c:orientation val="minMax"/>
        </c:scaling>
        <c:delete val="0"/>
        <c:axPos val="b"/>
        <c:title>
          <c:tx>
            <c:rich>
              <a:bodyPr/>
              <a:lstStyle/>
              <a:p>
                <a:pPr lvl="0">
                  <a:defRPr b="1" i="0" sz="1000">
                    <a:solidFill>
                      <a:srgbClr val="000000"/>
                    </a:solidFill>
                    <a:latin typeface="+mn-lt"/>
                  </a:defRPr>
                </a:pPr>
                <a:r>
                  <a:rPr b="1" i="0" sz="1000">
                    <a:solidFill>
                      <a:srgbClr val="000000"/>
                    </a:solidFill>
                    <a:latin typeface="+mn-lt"/>
                  </a:rPr>
                  <a:t>X Variable 1</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7656368"/>
      </c:valAx>
      <c:valAx>
        <c:axId val="127656368"/>
        <c:scaling>
          <c:orientation val="minMax"/>
        </c:scaling>
        <c:delete val="0"/>
        <c:axPos val="l"/>
        <c:title>
          <c:tx>
            <c:rich>
              <a:bodyPr/>
              <a:lstStyle/>
              <a:p>
                <a:pPr lvl="0">
                  <a:defRPr b="1" i="0" sz="1000">
                    <a:solidFill>
                      <a:srgbClr val="000000"/>
                    </a:solidFill>
                    <a:latin typeface="+mn-lt"/>
                  </a:defRPr>
                </a:pPr>
                <a:r>
                  <a:rPr b="1" i="0" sz="1000">
                    <a:solidFill>
                      <a:srgbClr val="000000"/>
                    </a:solidFill>
                    <a:latin typeface="+mn-lt"/>
                  </a:rPr>
                  <a:t>Residuals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66336152"/>
      </c:valAx>
    </c:plotArea>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rgbClr val="000000"/>
                </a:solidFill>
                <a:latin typeface="+mn-lt"/>
              </a:defRPr>
            </a:pPr>
            <a:r>
              <a:rPr b="1" i="0" sz="1200">
                <a:solidFill>
                  <a:srgbClr val="000000"/>
                </a:solidFill>
                <a:latin typeface="+mn-lt"/>
              </a:rPr>
              <a:t>X Variable 1 Line Fit  Plot</a:t>
            </a:r>
          </a:p>
        </c:rich>
      </c:tx>
      <c:overlay val="0"/>
    </c:title>
    <c:plotArea>
      <c:layout/>
      <c:scatterChart>
        <c:scatterStyle val="lineMarker"/>
        <c:varyColors val="0"/>
        <c:dLbls>
          <c:showLegendKey val="0"/>
          <c:showVal val="0"/>
          <c:showCatName val="0"/>
          <c:showSerName val="0"/>
          <c:showPercent val="0"/>
          <c:showBubbleSize val="0"/>
        </c:dLbls>
        <c:axId val="1286953852"/>
        <c:axId val="1658353004"/>
      </c:scatterChart>
      <c:valAx>
        <c:axId val="1286953852"/>
        <c:scaling>
          <c:orientation val="minMax"/>
        </c:scaling>
        <c:delete val="0"/>
        <c:axPos val="b"/>
        <c:title>
          <c:tx>
            <c:rich>
              <a:bodyPr/>
              <a:lstStyle/>
              <a:p>
                <a:pPr lvl="0">
                  <a:defRPr b="1" i="0" sz="1000">
                    <a:solidFill>
                      <a:srgbClr val="000000"/>
                    </a:solidFill>
                    <a:latin typeface="+mn-lt"/>
                  </a:defRPr>
                </a:pPr>
                <a:r>
                  <a:rPr b="1" i="0" sz="1000">
                    <a:solidFill>
                      <a:srgbClr val="000000"/>
                    </a:solidFill>
                    <a:latin typeface="+mn-lt"/>
                  </a:rPr>
                  <a:t>X Variable 1</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58353004"/>
      </c:valAx>
      <c:valAx>
        <c:axId val="1658353004"/>
        <c:scaling>
          <c:orientation val="minMax"/>
        </c:scaling>
        <c:delete val="0"/>
        <c:axPos val="l"/>
        <c:tickLblPos val="nextTo"/>
        <c:spPr>
          <a:ln>
            <a:noFill/>
          </a:ln>
        </c:spPr>
        <c:crossAx val="1286953852"/>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rgbClr val="000000"/>
                </a:solidFill>
                <a:latin typeface="+mn-lt"/>
              </a:defRPr>
            </a:pPr>
            <a:r>
              <a:rPr b="1" i="0" sz="1200">
                <a:solidFill>
                  <a:srgbClr val="000000"/>
                </a:solidFill>
                <a:latin typeface="+mn-lt"/>
              </a:rPr>
              <a:t>Normal Probability Plot</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hanes!$F$25:$F$27</c:f>
            </c:numRef>
          </c:xVal>
          <c:yVal>
            <c:numRef>
              <c:f>hanes!$G$25:$G$27</c:f>
              <c:numCache/>
            </c:numRef>
          </c:yVal>
        </c:ser>
        <c:dLbls>
          <c:showLegendKey val="0"/>
          <c:showVal val="0"/>
          <c:showCatName val="0"/>
          <c:showSerName val="0"/>
          <c:showPercent val="0"/>
          <c:showBubbleSize val="0"/>
        </c:dLbls>
        <c:axId val="1840225100"/>
        <c:axId val="2142465593"/>
      </c:scatterChart>
      <c:valAx>
        <c:axId val="1840225100"/>
        <c:scaling>
          <c:orientation val="minMax"/>
        </c:scaling>
        <c:delete val="0"/>
        <c:axPos val="b"/>
        <c:title>
          <c:tx>
            <c:rich>
              <a:bodyPr/>
              <a:lstStyle/>
              <a:p>
                <a:pPr lvl="0">
                  <a:defRPr b="1" i="0" sz="1000">
                    <a:solidFill>
                      <a:srgbClr val="000000"/>
                    </a:solidFill>
                    <a:latin typeface="+mn-lt"/>
                  </a:defRPr>
                </a:pPr>
                <a:r>
                  <a:rPr b="1" i="0" sz="1000">
                    <a:solidFill>
                      <a:srgbClr val="000000"/>
                    </a:solidFill>
                    <a:latin typeface="+mn-lt"/>
                  </a:rPr>
                  <a:t>Sample Percentile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42465593"/>
      </c:valAx>
      <c:valAx>
        <c:axId val="2142465593"/>
        <c:scaling>
          <c:orientation val="minMax"/>
        </c:scaling>
        <c:delete val="0"/>
        <c:axPos val="l"/>
        <c:title>
          <c:tx>
            <c:rich>
              <a:bodyPr/>
              <a:lstStyle/>
              <a:p>
                <a:pPr lvl="0">
                  <a:defRPr b="1" i="0" sz="1000">
                    <a:solidFill>
                      <a:srgbClr val="000000"/>
                    </a:solidFill>
                    <a:latin typeface="+mn-lt"/>
                  </a:defRPr>
                </a:pPr>
                <a:r>
                  <a:rPr b="1" i="0" sz="1000">
                    <a:solidFill>
                      <a:srgbClr val="000000"/>
                    </a:solidFill>
                    <a:latin typeface="+mn-lt"/>
                  </a:rPr>
                  <a:t>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40225100"/>
      </c:valAx>
    </c:plotArea>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2"/>
            <c:spPr>
              <a:solidFill>
                <a:srgbClr val="666699"/>
              </a:solidFill>
              <a:ln cmpd="sng">
                <a:solidFill>
                  <a:srgbClr val="666699"/>
                </a:solidFill>
              </a:ln>
            </c:spPr>
          </c:marker>
          <c:trendline>
            <c:name/>
            <c:spPr>
              <a:ln w="19050">
                <a:solidFill>
                  <a:srgbClr val="000000">
                    <a:alpha val="80000"/>
                  </a:srgbClr>
                </a:solidFill>
              </a:ln>
            </c:spPr>
            <c:trendlineType val="exp"/>
            <c:dispRSqr val="1"/>
            <c:dispEq val="1"/>
          </c:trendline>
          <c:xVal>
            <c:numRef>
              <c:f>Sheet2!$G$11:$G$243</c:f>
            </c:numRef>
          </c:xVal>
          <c:yVal>
            <c:numRef>
              <c:f>Sheet2!$B$11:$B$243</c:f>
              <c:numCache/>
            </c:numRef>
          </c:yVal>
        </c:ser>
        <c:ser>
          <c:idx val="1"/>
          <c:order val="1"/>
          <c:spPr>
            <a:ln>
              <a:noFill/>
            </a:ln>
          </c:spPr>
          <c:marker>
            <c:symbol val="circle"/>
            <c:size val="2"/>
            <c:spPr>
              <a:solidFill>
                <a:srgbClr val="993366"/>
              </a:solidFill>
              <a:ln cmpd="sng">
                <a:solidFill>
                  <a:srgbClr val="993366"/>
                </a:solidFill>
              </a:ln>
            </c:spPr>
          </c:marker>
          <c:trendline>
            <c:name/>
            <c:spPr>
              <a:ln w="19050">
                <a:solidFill>
                  <a:srgbClr val="000000">
                    <a:alpha val="80000"/>
                  </a:srgbClr>
                </a:solidFill>
              </a:ln>
            </c:spPr>
            <c:trendlineType val="exp"/>
            <c:dispRSqr val="1"/>
            <c:dispEq val="1"/>
          </c:trendline>
          <c:xVal>
            <c:numRef>
              <c:f>Sheet2!$G$11:$G$243</c:f>
            </c:numRef>
          </c:xVal>
          <c:yVal>
            <c:numRef>
              <c:f>Sheet2!$D$11:$D$243</c:f>
              <c:numCache/>
            </c:numRef>
          </c:yVal>
        </c:ser>
        <c:ser>
          <c:idx val="2"/>
          <c:order val="2"/>
          <c:spPr>
            <a:ln>
              <a:noFill/>
            </a:ln>
          </c:spPr>
          <c:marker>
            <c:symbol val="circle"/>
            <c:size val="2"/>
            <c:spPr>
              <a:solidFill>
                <a:srgbClr val="969696"/>
              </a:solidFill>
              <a:ln cmpd="sng">
                <a:solidFill>
                  <a:srgbClr val="969696"/>
                </a:solidFill>
              </a:ln>
            </c:spPr>
          </c:marker>
          <c:trendline>
            <c:name/>
            <c:spPr>
              <a:ln w="19050">
                <a:solidFill>
                  <a:srgbClr val="000000">
                    <a:alpha val="80000"/>
                  </a:srgbClr>
                </a:solidFill>
              </a:ln>
            </c:spPr>
            <c:trendlineType val="exp"/>
            <c:dispRSqr val="1"/>
            <c:dispEq val="1"/>
          </c:trendline>
          <c:xVal>
            <c:numRef>
              <c:f>Sheet2!$G$11:$G$243</c:f>
            </c:numRef>
          </c:xVal>
          <c:yVal>
            <c:numRef>
              <c:f>Sheet2!$F$11:$F$300</c:f>
              <c:numCache/>
            </c:numRef>
          </c:yVal>
        </c:ser>
        <c:ser>
          <c:idx val="3"/>
          <c:order val="3"/>
          <c:spPr>
            <a:ln>
              <a:noFill/>
            </a:ln>
          </c:spPr>
          <c:marker>
            <c:symbol val="circle"/>
            <c:size val="2"/>
            <c:spPr>
              <a:solidFill>
                <a:srgbClr val="666699"/>
              </a:solidFill>
              <a:ln cmpd="sng">
                <a:solidFill>
                  <a:srgbClr val="666699"/>
                </a:solidFill>
              </a:ln>
            </c:spPr>
          </c:marker>
          <c:trendline>
            <c:name/>
            <c:spPr>
              <a:ln w="19050">
                <a:solidFill>
                  <a:srgbClr val="000000">
                    <a:alpha val="80000"/>
                  </a:srgbClr>
                </a:solidFill>
              </a:ln>
            </c:spPr>
            <c:trendlineType val="exp"/>
            <c:dispRSqr val="1"/>
            <c:dispEq val="1"/>
          </c:trendline>
          <c:xVal>
            <c:numRef>
              <c:f>Sheet2!$G$11:$G$243</c:f>
            </c:numRef>
          </c:xVal>
          <c:yVal>
            <c:numRef>
              <c:f>Sheet2!$H$11:$H$243</c:f>
              <c:numCache/>
            </c:numRef>
          </c:yVal>
        </c:ser>
        <c:dLbls>
          <c:showLegendKey val="0"/>
          <c:showVal val="0"/>
          <c:showCatName val="0"/>
          <c:showSerName val="0"/>
          <c:showPercent val="0"/>
          <c:showBubbleSize val="0"/>
        </c:dLbls>
        <c:axId val="1845652415"/>
        <c:axId val="1949771986"/>
      </c:scatterChart>
      <c:valAx>
        <c:axId val="18456524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49771986"/>
      </c:valAx>
      <c:valAx>
        <c:axId val="194977198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45652415"/>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2"/>
            <c:spPr>
              <a:solidFill>
                <a:srgbClr val="666699"/>
              </a:solidFill>
              <a:ln cmpd="sng">
                <a:solidFill>
                  <a:srgbClr val="666699"/>
                </a:solidFill>
              </a:ln>
            </c:spPr>
          </c:marker>
          <c:trendline>
            <c:name/>
            <c:spPr>
              <a:ln w="19050">
                <a:solidFill>
                  <a:srgbClr val="000000">
                    <a:alpha val="80000"/>
                  </a:srgbClr>
                </a:solidFill>
              </a:ln>
            </c:spPr>
            <c:trendlineType val="exp"/>
            <c:dispRSqr val="1"/>
            <c:dispEq val="1"/>
          </c:trendline>
          <c:xVal>
            <c:numRef>
              <c:f>Sheet2!$G$11:$G$243</c:f>
            </c:numRef>
          </c:xVal>
          <c:yVal>
            <c:numRef>
              <c:f>Sheet2!$B$11:$B$243</c:f>
              <c:numCache/>
            </c:numRef>
          </c:yVal>
        </c:ser>
        <c:ser>
          <c:idx val="1"/>
          <c:order val="1"/>
          <c:spPr>
            <a:ln>
              <a:noFill/>
            </a:ln>
          </c:spPr>
          <c:marker>
            <c:symbol val="circle"/>
            <c:size val="2"/>
            <c:spPr>
              <a:solidFill>
                <a:srgbClr val="993366"/>
              </a:solidFill>
              <a:ln cmpd="sng">
                <a:solidFill>
                  <a:srgbClr val="993366"/>
                </a:solidFill>
              </a:ln>
            </c:spPr>
          </c:marker>
          <c:trendline>
            <c:name/>
            <c:spPr>
              <a:ln w="19050">
                <a:solidFill>
                  <a:srgbClr val="000000">
                    <a:alpha val="80000"/>
                  </a:srgbClr>
                </a:solidFill>
              </a:ln>
            </c:spPr>
            <c:trendlineType val="exp"/>
            <c:dispRSqr val="1"/>
            <c:dispEq val="1"/>
          </c:trendline>
          <c:xVal>
            <c:numRef>
              <c:f>Sheet2!$G$11:$G$243</c:f>
            </c:numRef>
          </c:xVal>
          <c:yVal>
            <c:numRef>
              <c:f>Sheet2!$D$11:$D$243</c:f>
              <c:numCache/>
            </c:numRef>
          </c:yVal>
        </c:ser>
        <c:ser>
          <c:idx val="2"/>
          <c:order val="2"/>
          <c:spPr>
            <a:ln>
              <a:noFill/>
            </a:ln>
          </c:spPr>
          <c:marker>
            <c:symbol val="circle"/>
            <c:size val="2"/>
            <c:spPr>
              <a:solidFill>
                <a:srgbClr val="969696"/>
              </a:solidFill>
              <a:ln cmpd="sng">
                <a:solidFill>
                  <a:srgbClr val="969696"/>
                </a:solidFill>
              </a:ln>
            </c:spPr>
          </c:marker>
          <c:trendline>
            <c:name/>
            <c:spPr>
              <a:ln w="19050">
                <a:solidFill>
                  <a:srgbClr val="000000">
                    <a:alpha val="80000"/>
                  </a:srgbClr>
                </a:solidFill>
              </a:ln>
            </c:spPr>
            <c:trendlineType val="exp"/>
            <c:dispRSqr val="1"/>
            <c:dispEq val="1"/>
          </c:trendline>
          <c:xVal>
            <c:numRef>
              <c:f>Sheet2!$G$11:$G$243</c:f>
            </c:numRef>
          </c:xVal>
          <c:yVal>
            <c:numRef>
              <c:f>Sheet2!$F$11:$F$300</c:f>
              <c:numCache/>
            </c:numRef>
          </c:yVal>
        </c:ser>
        <c:ser>
          <c:idx val="3"/>
          <c:order val="3"/>
          <c:spPr>
            <a:ln>
              <a:noFill/>
            </a:ln>
          </c:spPr>
          <c:marker>
            <c:symbol val="circle"/>
            <c:size val="2"/>
            <c:spPr>
              <a:solidFill>
                <a:srgbClr val="666699"/>
              </a:solidFill>
              <a:ln cmpd="sng">
                <a:solidFill>
                  <a:srgbClr val="666699"/>
                </a:solidFill>
              </a:ln>
            </c:spPr>
          </c:marker>
          <c:trendline>
            <c:name/>
            <c:spPr>
              <a:ln w="19050">
                <a:solidFill>
                  <a:srgbClr val="000000">
                    <a:alpha val="80000"/>
                  </a:srgbClr>
                </a:solidFill>
              </a:ln>
            </c:spPr>
            <c:trendlineType val="exp"/>
            <c:dispRSqr val="1"/>
            <c:dispEq val="1"/>
          </c:trendline>
          <c:xVal>
            <c:numRef>
              <c:f>Sheet2!$G$11:$G$243</c:f>
            </c:numRef>
          </c:xVal>
          <c:yVal>
            <c:numRef>
              <c:f>Sheet2!$H$11:$H$243</c:f>
              <c:numCache/>
            </c:numRef>
          </c:yVal>
        </c:ser>
        <c:dLbls>
          <c:showLegendKey val="0"/>
          <c:showVal val="0"/>
          <c:showCatName val="0"/>
          <c:showSerName val="0"/>
          <c:showPercent val="0"/>
          <c:showBubbleSize val="0"/>
        </c:dLbls>
        <c:axId val="375940701"/>
        <c:axId val="1282445957"/>
      </c:scatterChart>
      <c:valAx>
        <c:axId val="3759407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82445957"/>
      </c:valAx>
      <c:valAx>
        <c:axId val="128244595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75940701"/>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0</xdr:row>
      <xdr:rowOff>0</xdr:rowOff>
    </xdr:from>
    <xdr:ext cx="3200400" cy="1647825"/>
    <xdr:graphicFrame>
      <xdr:nvGraphicFramePr>
        <xdr:cNvPr descr="Chart 0" id="1869412015"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0</xdr:colOff>
      <xdr:row>2</xdr:row>
      <xdr:rowOff>0</xdr:rowOff>
    </xdr:from>
    <xdr:ext cx="3200400" cy="1638300"/>
    <xdr:graphicFrame>
      <xdr:nvGraphicFramePr>
        <xdr:cNvPr descr="Chart 1" id="627208593"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11</xdr:col>
      <xdr:colOff>0</xdr:colOff>
      <xdr:row>4</xdr:row>
      <xdr:rowOff>0</xdr:rowOff>
    </xdr:from>
    <xdr:ext cx="3200400" cy="1647825"/>
    <xdr:graphicFrame>
      <xdr:nvGraphicFramePr>
        <xdr:cNvPr descr="Chart 2" id="1165187295" name="Chart 3"/>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485775</xdr:colOff>
      <xdr:row>44</xdr:row>
      <xdr:rowOff>28575</xdr:rowOff>
    </xdr:from>
    <xdr:ext cx="6724650" cy="4048125"/>
    <xdr:graphicFrame>
      <xdr:nvGraphicFramePr>
        <xdr:cNvPr descr="Chart 0" id="436401198" name="Chart 4" title="Diagra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171450</xdr:colOff>
      <xdr:row>7</xdr:row>
      <xdr:rowOff>28575</xdr:rowOff>
    </xdr:from>
    <xdr:ext cx="6724650" cy="4048125"/>
    <xdr:graphicFrame>
      <xdr:nvGraphicFramePr>
        <xdr:cNvPr id="1254241320" name="Chart 5" title="Diagra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0"/>
  </cols>
  <sheetData>
    <row r="1" ht="12.75" customHeight="1">
      <c r="A1" s="1" t="s">
        <v>0</v>
      </c>
    </row>
    <row r="2" ht="13.5" customHeight="1"/>
    <row r="3" ht="12.75" customHeight="1">
      <c r="A3" s="2" t="s">
        <v>1</v>
      </c>
      <c r="B3" s="3"/>
    </row>
    <row r="4" ht="12.75" customHeight="1">
      <c r="A4" s="4" t="s">
        <v>2</v>
      </c>
      <c r="B4" s="4">
        <v>0.9883700546222159</v>
      </c>
    </row>
    <row r="5" ht="12.75" customHeight="1">
      <c r="A5" s="4" t="s">
        <v>3</v>
      </c>
      <c r="B5" s="4">
        <v>0.9768753648739221</v>
      </c>
    </row>
    <row r="6" ht="12.75" customHeight="1">
      <c r="A6" s="4" t="s">
        <v>4</v>
      </c>
      <c r="B6" s="4">
        <v>0.9537507297478443</v>
      </c>
    </row>
    <row r="7" ht="12.75" customHeight="1">
      <c r="A7" s="4" t="s">
        <v>5</v>
      </c>
      <c r="B7" s="4">
        <v>13082.107927875064</v>
      </c>
    </row>
    <row r="8" ht="13.5" customHeight="1">
      <c r="A8" s="5" t="s">
        <v>6</v>
      </c>
      <c r="B8" s="5">
        <v>3.0</v>
      </c>
    </row>
    <row r="9" ht="12.75" customHeight="1"/>
    <row r="10" ht="13.5" customHeight="1">
      <c r="A10" s="1" t="s">
        <v>7</v>
      </c>
    </row>
    <row r="11" ht="12.75" customHeight="1">
      <c r="A11" s="2"/>
      <c r="B11" s="2" t="s">
        <v>8</v>
      </c>
      <c r="C11" s="2" t="s">
        <v>9</v>
      </c>
      <c r="D11" s="2" t="s">
        <v>10</v>
      </c>
      <c r="E11" s="2" t="s">
        <v>11</v>
      </c>
      <c r="F11" s="2" t="s">
        <v>12</v>
      </c>
    </row>
    <row r="12" ht="12.75" customHeight="1">
      <c r="A12" s="4" t="s">
        <v>13</v>
      </c>
      <c r="B12" s="4">
        <v>1.0</v>
      </c>
      <c r="C12" s="4">
        <v>7.229690807073693E9</v>
      </c>
      <c r="D12" s="4">
        <v>7.229690807073693E9</v>
      </c>
      <c r="E12" s="4">
        <v>42.243925560247646</v>
      </c>
      <c r="F12" s="4">
        <v>0.09718645932501202</v>
      </c>
    </row>
    <row r="13" ht="12.75" customHeight="1">
      <c r="A13" s="4" t="s">
        <v>14</v>
      </c>
      <c r="B13" s="4">
        <v>1.0</v>
      </c>
      <c r="C13" s="4">
        <v>1.7114154783657163E8</v>
      </c>
      <c r="D13" s="4">
        <v>1.7114154783657163E8</v>
      </c>
      <c r="E13" s="4"/>
      <c r="F13" s="4"/>
    </row>
    <row r="14" ht="13.5" customHeight="1">
      <c r="A14" s="5" t="s">
        <v>15</v>
      </c>
      <c r="B14" s="5">
        <v>2.0</v>
      </c>
      <c r="C14" s="5">
        <v>7.400832354910265E9</v>
      </c>
      <c r="D14" s="5"/>
      <c r="E14" s="5"/>
      <c r="F14" s="5"/>
    </row>
    <row r="15" ht="13.5" customHeight="1"/>
    <row r="16" ht="12.75" customHeight="1">
      <c r="A16" s="2"/>
      <c r="B16" s="2" t="s">
        <v>16</v>
      </c>
      <c r="C16" s="2" t="s">
        <v>5</v>
      </c>
      <c r="D16" s="2" t="s">
        <v>17</v>
      </c>
      <c r="E16" s="2" t="s">
        <v>18</v>
      </c>
      <c r="F16" s="2" t="s">
        <v>19</v>
      </c>
      <c r="G16" s="2" t="s">
        <v>20</v>
      </c>
      <c r="H16" s="2" t="s">
        <v>21</v>
      </c>
      <c r="I16" s="2" t="s">
        <v>22</v>
      </c>
    </row>
    <row r="17" ht="12.75" customHeight="1">
      <c r="A17" s="4" t="s">
        <v>23</v>
      </c>
      <c r="B17" s="4">
        <v>17635.36363643467</v>
      </c>
      <c r="C17" s="4">
        <v>15949.909032199663</v>
      </c>
      <c r="D17" s="4">
        <v>1.1056717377404732</v>
      </c>
      <c r="E17" s="4">
        <v>0.4680784391806955</v>
      </c>
      <c r="F17" s="4">
        <v>-185026.5778107945</v>
      </c>
      <c r="G17" s="4">
        <v>220297.3050836638</v>
      </c>
      <c r="H17" s="4">
        <v>-185026.5778107945</v>
      </c>
      <c r="I17" s="4">
        <v>220297.3050836638</v>
      </c>
    </row>
    <row r="18" ht="13.5" customHeight="1">
      <c r="A18" s="5" t="s">
        <v>24</v>
      </c>
      <c r="B18" s="5">
        <v>8854.546632317708</v>
      </c>
      <c r="C18" s="5">
        <v>1362.3358810039101</v>
      </c>
      <c r="D18" s="5">
        <v>6.499532718607369</v>
      </c>
      <c r="E18" s="5">
        <v>0.09718645932501198</v>
      </c>
      <c r="F18" s="5">
        <v>-8455.49783189185</v>
      </c>
      <c r="G18" s="5">
        <v>26164.591096527263</v>
      </c>
      <c r="H18" s="5">
        <v>-8455.49783189185</v>
      </c>
      <c r="I18" s="5">
        <v>26164.591096527263</v>
      </c>
    </row>
    <row r="19" ht="12.75" customHeight="1"/>
    <row r="20" ht="12.75" customHeight="1"/>
    <row r="21" ht="12.75" customHeight="1"/>
    <row r="22" ht="12.75" customHeight="1">
      <c r="A22" s="1" t="s">
        <v>25</v>
      </c>
      <c r="F22" s="1" t="s">
        <v>26</v>
      </c>
    </row>
    <row r="23" ht="13.5" customHeight="1"/>
    <row r="24" ht="12.75" customHeight="1">
      <c r="A24" s="2" t="s">
        <v>27</v>
      </c>
      <c r="B24" s="2" t="s">
        <v>28</v>
      </c>
      <c r="C24" s="2" t="s">
        <v>29</v>
      </c>
      <c r="D24" s="2" t="s">
        <v>30</v>
      </c>
      <c r="F24" s="2" t="s">
        <v>31</v>
      </c>
      <c r="G24" s="2" t="s">
        <v>32</v>
      </c>
    </row>
    <row r="25" ht="12.75" customHeight="1">
      <c r="A25" s="4">
        <v>1.0</v>
      </c>
      <c r="B25" s="4">
        <v>51875.43216789323</v>
      </c>
      <c r="C25" s="4">
        <v>-6083.056625629033</v>
      </c>
      <c r="D25" s="4">
        <v>-0.657595949221422</v>
      </c>
      <c r="F25" s="4">
        <v>16.666666666666668</v>
      </c>
      <c r="G25" s="4">
        <v>45792.3755422642</v>
      </c>
    </row>
    <row r="26" ht="12.75" customHeight="1">
      <c r="A26" s="4">
        <v>2.0</v>
      </c>
      <c r="B26" s="4">
        <v>103235.53496508107</v>
      </c>
      <c r="C26" s="4">
        <v>10645.349094850957</v>
      </c>
      <c r="D26" s="4">
        <v>1.1507929111375046</v>
      </c>
      <c r="F26" s="4">
        <v>50.0</v>
      </c>
      <c r="G26" s="4">
        <v>113880.88405993202</v>
      </c>
    </row>
    <row r="27" ht="13.5" customHeight="1">
      <c r="A27" s="5">
        <v>3.0</v>
      </c>
      <c r="B27" s="5">
        <v>171715.6720279982</v>
      </c>
      <c r="C27" s="5">
        <v>-4562.292469221837</v>
      </c>
      <c r="D27" s="5">
        <v>-0.49319696191607315</v>
      </c>
      <c r="F27" s="5">
        <v>83.33333333333334</v>
      </c>
      <c r="G27" s="5">
        <v>167153.37955877636</v>
      </c>
    </row>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3:B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57"/>
    <col customWidth="1" min="2" max="2" width="16.0"/>
    <col customWidth="1" min="3" max="3" width="14.29"/>
    <col customWidth="1" min="4" max="5" width="8.0"/>
    <col customWidth="1" min="6" max="6" width="16.71"/>
    <col customWidth="1" min="7" max="7" width="12.43"/>
    <col customWidth="1" min="8" max="8" width="13.43"/>
    <col customWidth="1" min="9" max="10" width="13.71"/>
    <col customWidth="1" min="11" max="11" width="14.43"/>
    <col customWidth="1" min="12" max="12" width="13.57"/>
    <col customWidth="1" min="13" max="26" width="8.0"/>
  </cols>
  <sheetData>
    <row r="1" ht="12.75" customHeight="1">
      <c r="A1" s="1">
        <v>127.0</v>
      </c>
      <c r="B1" s="1" t="s">
        <v>33</v>
      </c>
      <c r="C1" s="1" t="s">
        <v>34</v>
      </c>
    </row>
    <row r="2" ht="13.5" customHeight="1">
      <c r="C2" s="1">
        <v>300.0</v>
      </c>
      <c r="D2" s="1" t="s">
        <v>35</v>
      </c>
      <c r="H2" s="1" t="s">
        <v>36</v>
      </c>
      <c r="I2" s="1">
        <v>7.53</v>
      </c>
    </row>
    <row r="3" ht="13.5" customHeight="1">
      <c r="E3" s="4"/>
      <c r="J3" s="6" t="s">
        <v>37</v>
      </c>
      <c r="K3" s="7"/>
      <c r="L3" s="8" t="s">
        <v>38</v>
      </c>
      <c r="N3" s="4"/>
      <c r="O3" s="4"/>
    </row>
    <row r="4" ht="12.75" customHeight="1">
      <c r="A4" s="9" t="s">
        <v>39</v>
      </c>
      <c r="B4" s="7"/>
      <c r="C4" s="7" t="s">
        <v>40</v>
      </c>
      <c r="D4" s="8" t="s">
        <v>41</v>
      </c>
      <c r="F4" s="6"/>
      <c r="G4" s="7" t="s">
        <v>42</v>
      </c>
      <c r="H4" s="8"/>
      <c r="J4" s="10" t="s">
        <v>43</v>
      </c>
      <c r="K4" s="4">
        <v>1110.0</v>
      </c>
      <c r="L4" s="11"/>
      <c r="N4" s="4"/>
      <c r="O4" s="4"/>
    </row>
    <row r="5" ht="12.75" customHeight="1">
      <c r="A5" s="10" t="s">
        <v>44</v>
      </c>
      <c r="B5" s="4">
        <v>0.1072</v>
      </c>
      <c r="C5" s="4">
        <v>138.17</v>
      </c>
      <c r="D5" s="11">
        <v>1.1125</v>
      </c>
      <c r="F5" s="10"/>
      <c r="G5" s="4" t="s">
        <v>45</v>
      </c>
      <c r="H5" s="11"/>
      <c r="J5" s="10" t="s">
        <v>46</v>
      </c>
      <c r="K5" s="4">
        <f>(K4*0.3)/34</f>
        <v>9.794117647</v>
      </c>
      <c r="L5" s="11"/>
      <c r="N5" s="4"/>
      <c r="O5" s="4"/>
    </row>
    <row r="6" ht="12.75" customHeight="1">
      <c r="A6" s="10" t="s">
        <v>47</v>
      </c>
      <c r="B6" s="4">
        <v>0.004</v>
      </c>
      <c r="C6" s="4"/>
      <c r="D6" s="11" t="s">
        <v>48</v>
      </c>
      <c r="F6" s="10"/>
      <c r="G6" s="4"/>
      <c r="H6" s="11"/>
      <c r="J6" s="10" t="s">
        <v>49</v>
      </c>
      <c r="K6" s="4">
        <v>1.0</v>
      </c>
      <c r="L6" s="11">
        <v>1.0</v>
      </c>
      <c r="N6" s="4"/>
      <c r="O6" s="4"/>
    </row>
    <row r="7" ht="12.75" customHeight="1">
      <c r="A7" s="10" t="s">
        <v>50</v>
      </c>
      <c r="B7" s="4">
        <v>1.1125</v>
      </c>
      <c r="C7" s="4"/>
      <c r="D7" s="11"/>
      <c r="F7" s="10" t="s">
        <v>40</v>
      </c>
      <c r="G7" s="4">
        <v>1054.29</v>
      </c>
      <c r="H7" s="11"/>
      <c r="J7" s="10"/>
      <c r="K7" s="4"/>
      <c r="L7" s="11"/>
    </row>
    <row r="8" ht="12.75" customHeight="1">
      <c r="A8" s="4" t="s">
        <v>51</v>
      </c>
      <c r="B8" s="1">
        <f>B6+(B5/B7)/1000</f>
        <v>0.004096359551</v>
      </c>
      <c r="E8" s="4"/>
      <c r="F8" s="10" t="s">
        <v>52</v>
      </c>
      <c r="G8" s="4">
        <v>0.0027</v>
      </c>
      <c r="H8" s="11"/>
      <c r="J8" s="10"/>
      <c r="K8" s="4" t="s">
        <v>53</v>
      </c>
      <c r="L8" s="11"/>
    </row>
    <row r="9" ht="12.75" customHeight="1">
      <c r="A9" s="10" t="s">
        <v>54</v>
      </c>
      <c r="B9" s="4">
        <f>(B5/C5)/(B8)</f>
        <v>0.1894013014</v>
      </c>
      <c r="C9" s="4"/>
      <c r="D9" s="11">
        <f>B5/D5</f>
        <v>0.09635955056</v>
      </c>
      <c r="E9" s="4"/>
      <c r="F9" s="10" t="s">
        <v>55</v>
      </c>
      <c r="G9" s="4">
        <v>0.004</v>
      </c>
      <c r="H9" s="11"/>
      <c r="J9" s="10" t="s">
        <v>56</v>
      </c>
      <c r="K9" s="4">
        <f>1000*(K5*K6)/(L6+K6)</f>
        <v>4897.058824</v>
      </c>
      <c r="L9" s="11"/>
    </row>
    <row r="10" ht="13.5" customHeight="1">
      <c r="A10" s="12" t="s">
        <v>56</v>
      </c>
      <c r="B10" s="5">
        <f>B9*1000</f>
        <v>189.4013014</v>
      </c>
      <c r="C10" s="5"/>
      <c r="D10" s="13"/>
      <c r="E10" s="4"/>
      <c r="F10" s="10" t="s">
        <v>57</v>
      </c>
      <c r="G10" s="4">
        <f>G8/G7</f>
        <v>0.000002560965199</v>
      </c>
      <c r="H10" s="11"/>
      <c r="J10" s="12" t="s">
        <v>58</v>
      </c>
      <c r="K10" s="5">
        <v>0.0</v>
      </c>
      <c r="L10" s="13"/>
    </row>
    <row r="11" ht="13.5" customHeight="1">
      <c r="E11" s="4"/>
      <c r="F11" s="10" t="s">
        <v>46</v>
      </c>
      <c r="G11" s="4">
        <f>G10/G9</f>
        <v>0.0006402412998</v>
      </c>
      <c r="H11" s="11"/>
      <c r="J11" s="4"/>
      <c r="K11" s="4"/>
      <c r="L11" s="4"/>
    </row>
    <row r="12" ht="12.75" customHeight="1">
      <c r="A12" s="9" t="s">
        <v>59</v>
      </c>
      <c r="B12" s="7"/>
      <c r="C12" s="7"/>
      <c r="D12" s="8"/>
      <c r="E12" s="4"/>
      <c r="F12" s="10" t="s">
        <v>56</v>
      </c>
      <c r="G12" s="4">
        <f>G11*1000</f>
        <v>0.6402412998</v>
      </c>
      <c r="H12" s="11"/>
      <c r="J12" s="6" t="s">
        <v>37</v>
      </c>
      <c r="K12" s="7"/>
      <c r="L12" s="8" t="s">
        <v>38</v>
      </c>
    </row>
    <row r="13" ht="12.75" customHeight="1">
      <c r="A13" s="10" t="s">
        <v>60</v>
      </c>
      <c r="B13" s="4" t="s">
        <v>61</v>
      </c>
      <c r="C13" s="4" t="s">
        <v>62</v>
      </c>
      <c r="D13" s="11" t="s">
        <v>63</v>
      </c>
      <c r="E13" s="4"/>
      <c r="F13" s="10" t="s">
        <v>64</v>
      </c>
      <c r="G13" s="4">
        <f>D33*G12/H33</f>
        <v>0.03201206499</v>
      </c>
      <c r="H13" s="11" t="s">
        <v>56</v>
      </c>
      <c r="J13" s="10" t="s">
        <v>43</v>
      </c>
      <c r="K13" s="4">
        <v>1110.0</v>
      </c>
      <c r="L13" s="11"/>
    </row>
    <row r="14" ht="13.5" customHeight="1">
      <c r="A14" s="10">
        <v>10.1</v>
      </c>
      <c r="B14" s="4">
        <v>0.001</v>
      </c>
      <c r="C14" s="4">
        <v>0.001</v>
      </c>
      <c r="D14" s="11">
        <f t="shared" ref="D14:D15" si="1">(B14*$B$10)/C14</f>
        <v>189.4013014</v>
      </c>
      <c r="E14" s="4"/>
      <c r="F14" s="12" t="s">
        <v>58</v>
      </c>
      <c r="G14" s="5">
        <v>0.0</v>
      </c>
      <c r="H14" s="13"/>
      <c r="J14" s="10" t="s">
        <v>46</v>
      </c>
      <c r="K14" s="4">
        <f>(K13*0.3)/34</f>
        <v>9.794117647</v>
      </c>
      <c r="L14" s="11"/>
    </row>
    <row r="15" ht="13.5" customHeight="1">
      <c r="A15" s="10">
        <v>10.2</v>
      </c>
      <c r="B15" s="4">
        <v>1.0E-4</v>
      </c>
      <c r="C15" s="4">
        <v>0.004</v>
      </c>
      <c r="D15" s="11">
        <f t="shared" si="1"/>
        <v>4.735032534</v>
      </c>
      <c r="E15" s="4"/>
      <c r="J15" s="10" t="s">
        <v>49</v>
      </c>
      <c r="K15" s="4">
        <v>0.1</v>
      </c>
      <c r="L15" s="11">
        <v>10.0</v>
      </c>
    </row>
    <row r="16" ht="13.5" customHeight="1">
      <c r="A16" s="12" t="s">
        <v>58</v>
      </c>
      <c r="B16" s="5">
        <v>0.0</v>
      </c>
      <c r="C16" s="5"/>
      <c r="D16" s="13"/>
      <c r="F16" s="6" t="s">
        <v>65</v>
      </c>
      <c r="G16" s="8"/>
      <c r="J16" s="10"/>
      <c r="K16" s="4"/>
      <c r="L16" s="11"/>
    </row>
    <row r="17" ht="12.75" customHeight="1">
      <c r="A17" s="4"/>
      <c r="B17" s="4"/>
      <c r="C17" s="4"/>
      <c r="D17" s="4"/>
      <c r="F17" s="10" t="s">
        <v>66</v>
      </c>
      <c r="G17" s="11">
        <v>0.1</v>
      </c>
      <c r="J17" s="10"/>
      <c r="K17" s="4" t="s">
        <v>53</v>
      </c>
      <c r="L17" s="11"/>
    </row>
    <row r="18" ht="13.5" customHeight="1">
      <c r="F18" s="10" t="s">
        <v>67</v>
      </c>
      <c r="G18" s="11">
        <v>1.1</v>
      </c>
      <c r="J18" s="10" t="s">
        <v>56</v>
      </c>
      <c r="K18" s="4">
        <f>1000*(K14*K15)/(L15+K15)</f>
        <v>96.97146185</v>
      </c>
      <c r="L18" s="11"/>
    </row>
    <row r="19" ht="13.5" customHeight="1">
      <c r="A19" s="6" t="s">
        <v>68</v>
      </c>
      <c r="B19" s="7">
        <v>446.06</v>
      </c>
      <c r="C19" s="8"/>
      <c r="F19" s="10" t="s">
        <v>69</v>
      </c>
      <c r="G19" s="11">
        <f>(G12*G17)/G18</f>
        <v>0.05820375453</v>
      </c>
      <c r="J19" s="12" t="s">
        <v>58</v>
      </c>
      <c r="K19" s="5">
        <v>0.0</v>
      </c>
      <c r="L19" s="13"/>
    </row>
    <row r="20" ht="13.5" customHeight="1">
      <c r="A20" s="10"/>
      <c r="B20" s="4"/>
      <c r="C20" s="11"/>
      <c r="F20" s="12"/>
      <c r="G20" s="13"/>
    </row>
    <row r="21" ht="13.5" customHeight="1">
      <c r="A21" s="10"/>
      <c r="B21" s="4"/>
      <c r="C21" s="11"/>
    </row>
    <row r="22" ht="12.75" customHeight="1">
      <c r="A22" s="10" t="s">
        <v>70</v>
      </c>
      <c r="B22" s="4" t="s">
        <v>71</v>
      </c>
      <c r="C22" s="11" t="s">
        <v>72</v>
      </c>
      <c r="I22" s="14" t="s">
        <v>73</v>
      </c>
      <c r="J22" s="8" t="s">
        <v>74</v>
      </c>
    </row>
    <row r="23" ht="13.5" customHeight="1">
      <c r="A23" s="15">
        <v>0.1</v>
      </c>
      <c r="B23" s="16">
        <v>0.25</v>
      </c>
      <c r="C23" s="17">
        <f>B19*A23*B23</f>
        <v>11.1515</v>
      </c>
      <c r="I23" s="18" t="s">
        <v>56</v>
      </c>
      <c r="J23" s="11">
        <f>B25*1000</f>
        <v>225.1593956</v>
      </c>
    </row>
    <row r="24" ht="13.5" customHeight="1">
      <c r="A24" s="1" t="s">
        <v>75</v>
      </c>
      <c r="B24" s="10">
        <v>0.9</v>
      </c>
      <c r="C24" s="11"/>
      <c r="F24" s="6" t="s">
        <v>73</v>
      </c>
      <c r="G24" s="8" t="s">
        <v>76</v>
      </c>
      <c r="I24" s="18" t="s">
        <v>77</v>
      </c>
      <c r="J24" s="11">
        <v>6.94</v>
      </c>
      <c r="N24" s="4"/>
    </row>
    <row r="25" ht="26.25" customHeight="1">
      <c r="A25" s="19" t="s">
        <v>78</v>
      </c>
      <c r="B25" s="20">
        <f>B24*(C25/B19)/A23</f>
        <v>0.2251593956</v>
      </c>
      <c r="C25" s="21">
        <v>11.1594</v>
      </c>
      <c r="F25" s="10" t="s">
        <v>46</v>
      </c>
      <c r="G25" s="11">
        <v>0.2</v>
      </c>
      <c r="I25" s="18" t="s">
        <v>79</v>
      </c>
      <c r="J25" s="11">
        <v>6.86</v>
      </c>
      <c r="N25" s="4"/>
    </row>
    <row r="26" ht="25.5" customHeight="1">
      <c r="F26" s="10" t="s">
        <v>56</v>
      </c>
      <c r="G26" s="11">
        <v>200.0</v>
      </c>
      <c r="I26" s="18" t="s">
        <v>80</v>
      </c>
      <c r="J26" s="11">
        <v>6.99</v>
      </c>
      <c r="N26" s="4"/>
    </row>
    <row r="27" ht="13.5" customHeight="1">
      <c r="F27" s="12" t="s">
        <v>81</v>
      </c>
      <c r="G27" s="13">
        <v>7.29</v>
      </c>
      <c r="I27" s="22" t="s">
        <v>82</v>
      </c>
      <c r="J27" s="13">
        <v>25.0</v>
      </c>
      <c r="N27" s="4"/>
    </row>
    <row r="28" ht="13.5" customHeight="1">
      <c r="I28" s="22" t="s">
        <v>58</v>
      </c>
      <c r="J28" s="13">
        <v>0.0</v>
      </c>
      <c r="N28" s="4"/>
    </row>
    <row r="29" ht="12.75" customHeight="1">
      <c r="N29" s="4"/>
      <c r="P29" s="1">
        <f>(J24+J25+J26)/3</f>
        <v>6.93</v>
      </c>
    </row>
    <row r="30" ht="12.75" customHeight="1">
      <c r="N30" s="4"/>
    </row>
    <row r="31" ht="12.75" customHeight="1">
      <c r="I31" s="1" t="s">
        <v>83</v>
      </c>
      <c r="J31" s="1" t="s">
        <v>53</v>
      </c>
      <c r="K31" s="1" t="s">
        <v>84</v>
      </c>
      <c r="L31" s="1" t="s">
        <v>85</v>
      </c>
      <c r="N31" s="4"/>
    </row>
    <row r="32" ht="13.5" customHeight="1">
      <c r="B32" s="5" t="s">
        <v>64</v>
      </c>
      <c r="C32" s="5" t="s">
        <v>86</v>
      </c>
      <c r="D32" s="5" t="s">
        <v>87</v>
      </c>
      <c r="E32" s="5" t="s">
        <v>88</v>
      </c>
      <c r="F32" s="5" t="s">
        <v>89</v>
      </c>
      <c r="G32" s="5" t="s">
        <v>90</v>
      </c>
      <c r="H32" s="5" t="s">
        <v>91</v>
      </c>
      <c r="I32" s="5" t="s">
        <v>56</v>
      </c>
      <c r="J32" s="5" t="s">
        <v>56</v>
      </c>
      <c r="K32" s="5" t="s">
        <v>56</v>
      </c>
      <c r="L32" s="5" t="s">
        <v>56</v>
      </c>
      <c r="M32" s="5" t="s">
        <v>92</v>
      </c>
      <c r="N32" s="4"/>
    </row>
    <row r="33" ht="13.5" customHeight="1">
      <c r="B33" s="4" t="s">
        <v>93</v>
      </c>
      <c r="D33" s="1">
        <v>0.05</v>
      </c>
      <c r="E33" s="1">
        <v>0.86</v>
      </c>
      <c r="F33" s="1">
        <v>0.05</v>
      </c>
      <c r="G33" s="1">
        <v>0.04</v>
      </c>
      <c r="H33" s="1">
        <f t="shared" ref="H33:H40" si="2">SUM(B33:G33)</f>
        <v>1</v>
      </c>
      <c r="I33" s="23">
        <f t="shared" ref="I33:I36" si="3">$D$14*F33</f>
        <v>9.470065069</v>
      </c>
      <c r="J33" s="23">
        <f t="shared" ref="J33:J34" si="4">(G33*$K$9)/H33</f>
        <v>195.8823529</v>
      </c>
      <c r="K33" s="24">
        <f t="shared" ref="K33:K40" si="5">D33*$G$12/H33*1000</f>
        <v>32.01206499</v>
      </c>
      <c r="L33" s="25">
        <f t="shared" ref="L33:L40" si="6">($J$23*E33)/H33</f>
        <v>193.6370802</v>
      </c>
      <c r="M33" s="25">
        <f>100*($B$16*F33+$G$14*D33+G33*$K$10+E33*J28)/H33</f>
        <v>0</v>
      </c>
      <c r="N33" s="4"/>
    </row>
    <row r="34" ht="12.75" customHeight="1">
      <c r="B34" s="4" t="s">
        <v>94</v>
      </c>
      <c r="D34" s="1">
        <v>0.05</v>
      </c>
      <c r="E34" s="1">
        <v>0.86</v>
      </c>
      <c r="F34" s="1">
        <v>0.05</v>
      </c>
      <c r="G34" s="1">
        <v>0.04</v>
      </c>
      <c r="H34" s="1">
        <f t="shared" si="2"/>
        <v>1</v>
      </c>
      <c r="I34" s="23">
        <f t="shared" si="3"/>
        <v>9.470065069</v>
      </c>
      <c r="J34" s="23">
        <f t="shared" si="4"/>
        <v>195.8823529</v>
      </c>
      <c r="K34" s="24">
        <f t="shared" si="5"/>
        <v>32.01206499</v>
      </c>
      <c r="L34" s="25">
        <f t="shared" si="6"/>
        <v>193.6370802</v>
      </c>
      <c r="M34" s="25">
        <f t="shared" ref="M34:M36" si="7">100*($B$16*F34+$G$14*D34+G34*$K$10)/H34</f>
        <v>0</v>
      </c>
      <c r="N34" s="4"/>
    </row>
    <row r="35" ht="12.75" customHeight="1">
      <c r="B35" s="4" t="s">
        <v>95</v>
      </c>
      <c r="D35" s="4">
        <v>0.05</v>
      </c>
      <c r="E35" s="1">
        <v>0.86</v>
      </c>
      <c r="F35" s="4">
        <v>0.05</v>
      </c>
      <c r="G35" s="4">
        <v>0.04</v>
      </c>
      <c r="H35" s="4">
        <f t="shared" si="2"/>
        <v>1</v>
      </c>
      <c r="I35" s="23">
        <f t="shared" si="3"/>
        <v>9.470065069</v>
      </c>
      <c r="J35" s="23">
        <f t="shared" ref="J35:J36" si="8">(G35*$K$18)/H35</f>
        <v>3.878858474</v>
      </c>
      <c r="K35" s="24">
        <f t="shared" si="5"/>
        <v>32.01206499</v>
      </c>
      <c r="L35" s="25">
        <f t="shared" si="6"/>
        <v>193.6370802</v>
      </c>
      <c r="M35" s="25">
        <f t="shared" si="7"/>
        <v>0</v>
      </c>
      <c r="N35" s="4"/>
    </row>
    <row r="36" ht="12.75" customHeight="1">
      <c r="B36" s="26" t="s">
        <v>96</v>
      </c>
      <c r="C36" s="26"/>
      <c r="D36" s="26">
        <v>0.05</v>
      </c>
      <c r="E36" s="26">
        <v>0.86</v>
      </c>
      <c r="F36" s="26">
        <v>0.05</v>
      </c>
      <c r="G36" s="26">
        <v>0.04</v>
      </c>
      <c r="H36" s="26">
        <f t="shared" si="2"/>
        <v>1</v>
      </c>
      <c r="I36" s="27">
        <f t="shared" si="3"/>
        <v>9.470065069</v>
      </c>
      <c r="J36" s="27">
        <f t="shared" si="8"/>
        <v>3.878858474</v>
      </c>
      <c r="K36" s="28">
        <f t="shared" si="5"/>
        <v>32.01206499</v>
      </c>
      <c r="L36" s="29">
        <f t="shared" si="6"/>
        <v>193.6370802</v>
      </c>
      <c r="M36" s="29">
        <f t="shared" si="7"/>
        <v>0</v>
      </c>
      <c r="N36" s="4"/>
    </row>
    <row r="37" ht="12.75" customHeight="1">
      <c r="B37" s="4" t="s">
        <v>97</v>
      </c>
      <c r="C37" s="1">
        <v>0.05</v>
      </c>
      <c r="D37" s="4">
        <v>0.0</v>
      </c>
      <c r="E37" s="4">
        <v>0.86</v>
      </c>
      <c r="F37" s="4">
        <v>0.05</v>
      </c>
      <c r="G37" s="4">
        <v>0.04</v>
      </c>
      <c r="H37" s="4">
        <f t="shared" si="2"/>
        <v>1</v>
      </c>
      <c r="I37" s="23">
        <f t="shared" ref="I37:I38" si="9">$B$10*F37</f>
        <v>9.470065069</v>
      </c>
      <c r="J37" s="23">
        <f t="shared" ref="J37:J38" si="10">(G37*$K$9)/H37</f>
        <v>195.8823529</v>
      </c>
      <c r="K37" s="24">
        <f t="shared" si="5"/>
        <v>0</v>
      </c>
      <c r="L37" s="25">
        <f t="shared" si="6"/>
        <v>193.6370802</v>
      </c>
      <c r="M37" s="25">
        <f t="shared" ref="M37:M40" si="11">100*($B$16*F37+$G$14*C37+G37*$K$10)/H37</f>
        <v>0</v>
      </c>
    </row>
    <row r="38" ht="12.75" customHeight="1">
      <c r="B38" s="4" t="s">
        <v>98</v>
      </c>
      <c r="C38" s="1">
        <v>0.05</v>
      </c>
      <c r="D38" s="4">
        <v>0.0</v>
      </c>
      <c r="E38" s="4">
        <v>0.86</v>
      </c>
      <c r="F38" s="4">
        <v>0.05</v>
      </c>
      <c r="G38" s="4">
        <v>0.04</v>
      </c>
      <c r="H38" s="4">
        <f t="shared" si="2"/>
        <v>1</v>
      </c>
      <c r="I38" s="23">
        <f t="shared" si="9"/>
        <v>9.470065069</v>
      </c>
      <c r="J38" s="23">
        <f t="shared" si="10"/>
        <v>195.8823529</v>
      </c>
      <c r="K38" s="24">
        <f t="shared" si="5"/>
        <v>0</v>
      </c>
      <c r="L38" s="25">
        <f t="shared" si="6"/>
        <v>193.6370802</v>
      </c>
      <c r="M38" s="25">
        <f t="shared" si="11"/>
        <v>0</v>
      </c>
    </row>
    <row r="39" ht="12.75" customHeight="1">
      <c r="B39" s="4" t="s">
        <v>99</v>
      </c>
      <c r="C39" s="1">
        <v>0.05</v>
      </c>
      <c r="D39" s="4">
        <v>0.0</v>
      </c>
      <c r="E39" s="4">
        <v>0.86</v>
      </c>
      <c r="F39" s="4">
        <v>0.05</v>
      </c>
      <c r="G39" s="4">
        <v>0.04</v>
      </c>
      <c r="H39" s="4">
        <f t="shared" si="2"/>
        <v>1</v>
      </c>
      <c r="I39" s="23">
        <f t="shared" ref="I39:I40" si="12">$D$14*F39</f>
        <v>9.470065069</v>
      </c>
      <c r="J39" s="23">
        <f t="shared" ref="J39:J40" si="13">(G39*$K$18)/H39</f>
        <v>3.878858474</v>
      </c>
      <c r="K39" s="24">
        <f t="shared" si="5"/>
        <v>0</v>
      </c>
      <c r="L39" s="25">
        <f t="shared" si="6"/>
        <v>193.6370802</v>
      </c>
      <c r="M39" s="25">
        <f t="shared" si="11"/>
        <v>0</v>
      </c>
    </row>
    <row r="40" ht="13.5" customHeight="1">
      <c r="B40" s="5" t="s">
        <v>100</v>
      </c>
      <c r="C40" s="5">
        <v>0.05</v>
      </c>
      <c r="D40" s="5">
        <v>0.0</v>
      </c>
      <c r="E40" s="5">
        <v>0.86</v>
      </c>
      <c r="F40" s="5">
        <v>0.05</v>
      </c>
      <c r="G40" s="5">
        <v>0.04</v>
      </c>
      <c r="H40" s="5">
        <f t="shared" si="2"/>
        <v>1</v>
      </c>
      <c r="I40" s="30">
        <f t="shared" si="12"/>
        <v>9.470065069</v>
      </c>
      <c r="J40" s="30">
        <f t="shared" si="13"/>
        <v>3.878858474</v>
      </c>
      <c r="K40" s="31">
        <f t="shared" si="5"/>
        <v>0</v>
      </c>
      <c r="L40" s="32">
        <f t="shared" si="6"/>
        <v>193.6370802</v>
      </c>
      <c r="M40" s="32">
        <f t="shared" si="11"/>
        <v>0</v>
      </c>
    </row>
    <row r="41" ht="12.75" customHeight="1">
      <c r="B41" s="4"/>
      <c r="C41" s="4"/>
      <c r="D41" s="4">
        <f t="shared" ref="D41:G41" si="14">SUM(D33:D40)</f>
        <v>0.2</v>
      </c>
      <c r="E41" s="4">
        <f t="shared" si="14"/>
        <v>6.88</v>
      </c>
      <c r="F41" s="1">
        <f t="shared" si="14"/>
        <v>0.4</v>
      </c>
      <c r="G41" s="4">
        <f t="shared" si="14"/>
        <v>0.32</v>
      </c>
      <c r="H41" s="4">
        <f t="shared" ref="H41:I41" si="15">SUM(G33:G40)</f>
        <v>0.32</v>
      </c>
      <c r="I41" s="4">
        <f t="shared" si="15"/>
        <v>8</v>
      </c>
      <c r="J41" s="4"/>
      <c r="K41" s="4"/>
      <c r="L41" s="4"/>
      <c r="M41" s="4"/>
    </row>
    <row r="42" ht="12.75" customHeight="1">
      <c r="B42" s="4"/>
      <c r="C42" s="4"/>
      <c r="D42" s="4"/>
      <c r="E42" s="4"/>
      <c r="F42" s="4"/>
      <c r="G42" s="4"/>
      <c r="H42" s="4"/>
      <c r="I42" s="4"/>
      <c r="J42" s="4"/>
      <c r="K42" s="4"/>
      <c r="L42" s="4"/>
      <c r="M42" s="4"/>
      <c r="N42" s="4"/>
    </row>
    <row r="43" ht="12.75" customHeight="1">
      <c r="B43" s="4"/>
      <c r="C43" s="33"/>
      <c r="D43" s="4"/>
      <c r="E43" s="4"/>
      <c r="F43" s="4"/>
      <c r="G43" s="4"/>
      <c r="H43" s="4"/>
      <c r="I43" s="4"/>
      <c r="J43" s="4"/>
      <c r="K43" s="4"/>
      <c r="L43" s="4"/>
      <c r="M43" s="4"/>
    </row>
    <row r="44" ht="12.75" customHeight="1"/>
    <row r="45" ht="12.75" customHeight="1"/>
    <row r="46" ht="12.75" customHeight="1"/>
    <row r="47" ht="12.75" customHeight="1"/>
    <row r="48" ht="13.5" customHeight="1">
      <c r="B48" s="4"/>
      <c r="C48" s="4" t="s">
        <v>101</v>
      </c>
      <c r="D48" s="4"/>
      <c r="E48" s="4"/>
      <c r="F48" s="4"/>
      <c r="G48" s="4"/>
      <c r="H48" s="4"/>
      <c r="I48" s="4"/>
      <c r="J48" s="4"/>
      <c r="K48" s="4"/>
      <c r="L48" s="4"/>
      <c r="M48" s="4"/>
    </row>
    <row r="49" ht="12.75" customHeight="1">
      <c r="B49" s="4"/>
      <c r="C49" s="4"/>
      <c r="D49" s="4"/>
      <c r="E49" s="4"/>
      <c r="F49" s="4"/>
      <c r="G49" s="4"/>
      <c r="I49" s="6" t="s">
        <v>102</v>
      </c>
      <c r="J49" s="7">
        <f>D82</f>
        <v>0.0001962139103</v>
      </c>
      <c r="K49" s="8" t="s">
        <v>103</v>
      </c>
    </row>
    <row r="50" ht="12.75" customHeight="1">
      <c r="C50" s="4"/>
      <c r="D50" s="4"/>
      <c r="E50" s="4"/>
      <c r="F50" s="4"/>
      <c r="I50" s="10" t="s">
        <v>102</v>
      </c>
      <c r="J50" s="4">
        <f>(J49/I2)/31</f>
        <v>0.0000008405685227</v>
      </c>
      <c r="K50" s="11" t="s">
        <v>104</v>
      </c>
    </row>
    <row r="51" ht="12.75" customHeight="1">
      <c r="C51" s="4"/>
      <c r="D51" s="4"/>
      <c r="E51" s="4"/>
      <c r="F51" s="4"/>
      <c r="I51" s="10" t="s">
        <v>105</v>
      </c>
      <c r="J51" s="4">
        <f>D83</f>
        <v>6.00787401</v>
      </c>
      <c r="K51" s="11" t="s">
        <v>63</v>
      </c>
    </row>
    <row r="52" ht="13.5" customHeight="1">
      <c r="I52" s="12"/>
      <c r="J52" s="5"/>
      <c r="K52" s="13"/>
    </row>
    <row r="53" ht="12.75" customHeight="1"/>
    <row r="54" ht="12.75" customHeight="1"/>
    <row r="55" ht="12.75" customHeight="1">
      <c r="B55" s="4"/>
      <c r="C55" s="4"/>
      <c r="D55" s="4"/>
      <c r="E55" s="4"/>
      <c r="F55" s="4"/>
      <c r="G55" s="4"/>
      <c r="H55" s="4"/>
      <c r="I55" s="4"/>
    </row>
    <row r="56" ht="12.75" customHeight="1">
      <c r="B56" s="4" t="s">
        <v>106</v>
      </c>
      <c r="C56" s="4"/>
      <c r="D56" s="4"/>
      <c r="E56" s="4"/>
      <c r="F56" s="4"/>
      <c r="G56" s="4"/>
      <c r="L56" s="34"/>
    </row>
    <row r="57" ht="12.75" customHeight="1">
      <c r="B57" s="4" t="s">
        <v>107</v>
      </c>
      <c r="C57" s="4"/>
      <c r="D57" s="4"/>
      <c r="E57" s="4"/>
      <c r="F57" s="4"/>
    </row>
    <row r="58" ht="12.75" customHeight="1">
      <c r="B58" s="4" t="s">
        <v>108</v>
      </c>
      <c r="C58" s="4"/>
      <c r="D58" s="4"/>
      <c r="E58" s="4"/>
      <c r="F58" s="4"/>
    </row>
    <row r="59" ht="12.75" customHeight="1">
      <c r="B59" s="1" t="s">
        <v>109</v>
      </c>
      <c r="C59" s="1" t="s">
        <v>110</v>
      </c>
      <c r="D59" s="1" t="s">
        <v>111</v>
      </c>
      <c r="E59" s="1" t="s">
        <v>112</v>
      </c>
      <c r="F59" s="1" t="s">
        <v>113</v>
      </c>
    </row>
    <row r="60" ht="12.75" customHeight="1">
      <c r="B60" s="1" t="s">
        <v>114</v>
      </c>
      <c r="C60" s="1">
        <v>195.882000000109</v>
      </c>
      <c r="D60" s="1">
        <v>0.0</v>
      </c>
      <c r="E60" s="1">
        <v>1.75661471756E-4</v>
      </c>
      <c r="F60" s="1" t="s">
        <v>115</v>
      </c>
    </row>
    <row r="61" ht="12.75" customHeight="1">
      <c r="B61" s="1" t="s">
        <v>116</v>
      </c>
      <c r="C61" s="1">
        <v>195.882000000109</v>
      </c>
      <c r="D61" s="1">
        <v>0.0</v>
      </c>
      <c r="E61" s="1">
        <v>2.0494807557E-4</v>
      </c>
      <c r="F61" s="1" t="s">
        <v>115</v>
      </c>
    </row>
    <row r="62" ht="12.75" customHeight="1">
      <c r="B62" s="1" t="s">
        <v>117</v>
      </c>
      <c r="C62" s="1">
        <v>3.87900000006272</v>
      </c>
      <c r="D62" s="1">
        <v>0.0</v>
      </c>
      <c r="E62" s="1">
        <v>9.3374367274E-5</v>
      </c>
      <c r="F62" s="1" t="s">
        <v>115</v>
      </c>
    </row>
    <row r="63" ht="12.75" customHeight="1">
      <c r="B63" s="1" t="s">
        <v>118</v>
      </c>
      <c r="C63" s="1">
        <v>3.87900000006272</v>
      </c>
      <c r="D63" s="1">
        <v>0.0</v>
      </c>
      <c r="E63" s="1">
        <v>5.9461155657E-5</v>
      </c>
      <c r="F63" s="33" t="s">
        <v>115</v>
      </c>
    </row>
    <row r="64" ht="12.75" customHeight="1"/>
    <row r="65" ht="12.75" customHeight="1">
      <c r="B65" s="1" t="s">
        <v>106</v>
      </c>
    </row>
    <row r="66" ht="12.75" customHeight="1">
      <c r="B66" s="1" t="s">
        <v>119</v>
      </c>
    </row>
    <row r="67" ht="12.75" customHeight="1">
      <c r="C67" s="1" t="s">
        <v>120</v>
      </c>
      <c r="D67" s="1" t="s">
        <v>121</v>
      </c>
    </row>
    <row r="68" ht="12.75" customHeight="1">
      <c r="B68" s="4" t="s">
        <v>122</v>
      </c>
      <c r="C68" s="4"/>
      <c r="D68" s="4"/>
      <c r="E68" s="4"/>
      <c r="F68" s="4"/>
    </row>
    <row r="69" ht="12.75" customHeight="1">
      <c r="B69" s="4"/>
      <c r="C69" s="4" t="s">
        <v>123</v>
      </c>
      <c r="D69" s="4">
        <v>1.9551250698107E-4</v>
      </c>
      <c r="E69" s="4"/>
      <c r="F69" s="4"/>
    </row>
    <row r="70" ht="12.75" customHeight="1">
      <c r="B70" s="4"/>
      <c r="C70" s="4" t="s">
        <v>105</v>
      </c>
      <c r="D70" s="4">
        <v>6.5592276155643</v>
      </c>
      <c r="E70" s="4"/>
      <c r="F70" s="4"/>
    </row>
    <row r="71" ht="12.75" customHeight="1">
      <c r="B71" s="4" t="s">
        <v>124</v>
      </c>
      <c r="C71" s="4"/>
      <c r="D71" s="4"/>
      <c r="E71" s="4"/>
      <c r="F71" s="4"/>
    </row>
    <row r="72" ht="12.75" customHeight="1">
      <c r="B72" s="4"/>
      <c r="C72" s="4" t="s">
        <v>125</v>
      </c>
      <c r="D72" s="4">
        <v>1.29765639451196E10</v>
      </c>
      <c r="E72" s="4"/>
      <c r="F72" s="4"/>
    </row>
    <row r="73" ht="12.75" customHeight="1">
      <c r="B73" s="4"/>
      <c r="C73" s="4" t="s">
        <v>126</v>
      </c>
      <c r="D73" s="4">
        <v>0.993339498834936</v>
      </c>
      <c r="E73" s="4"/>
      <c r="F73" s="4"/>
    </row>
    <row r="74" ht="12.75" customHeight="1">
      <c r="B74" s="4"/>
      <c r="C74" s="4"/>
      <c r="D74" s="4"/>
      <c r="E74" s="4"/>
      <c r="F74" s="4"/>
    </row>
    <row r="75" ht="12.75" customHeight="1">
      <c r="B75" s="4" t="s">
        <v>106</v>
      </c>
      <c r="C75" s="4"/>
      <c r="D75" s="4"/>
    </row>
    <row r="76" ht="12.75" customHeight="1">
      <c r="B76" s="4" t="s">
        <v>127</v>
      </c>
      <c r="C76" s="4"/>
      <c r="D76" s="4"/>
    </row>
    <row r="77" ht="12.75" customHeight="1">
      <c r="B77" s="4"/>
      <c r="C77" s="4" t="s">
        <v>120</v>
      </c>
      <c r="D77" s="4" t="s">
        <v>121</v>
      </c>
    </row>
    <row r="78" ht="12.75" customHeight="1">
      <c r="B78" s="4" t="s">
        <v>128</v>
      </c>
      <c r="C78" s="4"/>
      <c r="D78" s="4"/>
      <c r="E78" s="4"/>
      <c r="F78" s="4"/>
      <c r="G78" s="4"/>
      <c r="H78" s="4"/>
      <c r="I78" s="4"/>
      <c r="J78" s="4"/>
      <c r="K78" s="4"/>
      <c r="L78" s="4"/>
      <c r="M78" s="4"/>
    </row>
    <row r="79" ht="12.75" customHeight="1">
      <c r="B79" s="4"/>
      <c r="C79" s="4" t="s">
        <v>129</v>
      </c>
      <c r="D79" s="4">
        <v>0.002</v>
      </c>
      <c r="E79" s="4"/>
      <c r="F79" s="4"/>
      <c r="G79" s="4"/>
      <c r="H79" s="4"/>
      <c r="I79" s="4"/>
      <c r="J79" s="4"/>
      <c r="K79" s="4"/>
      <c r="L79" s="4"/>
      <c r="M79" s="4"/>
    </row>
    <row r="80" ht="12.75" customHeight="1">
      <c r="B80" s="4"/>
      <c r="C80" s="4" t="s">
        <v>130</v>
      </c>
      <c r="D80" s="4">
        <v>6.0</v>
      </c>
      <c r="E80" s="4"/>
      <c r="F80" s="4"/>
      <c r="G80" s="4"/>
      <c r="H80" s="4"/>
      <c r="I80" s="4"/>
      <c r="J80" s="4"/>
      <c r="K80" s="4"/>
      <c r="L80" s="4"/>
      <c r="M80" s="4"/>
    </row>
    <row r="81" ht="12.75" customHeight="1">
      <c r="B81" s="4" t="s">
        <v>122</v>
      </c>
      <c r="C81" s="4"/>
      <c r="D81" s="4"/>
      <c r="E81" s="4"/>
      <c r="F81" s="4"/>
      <c r="G81" s="4"/>
      <c r="H81" s="4"/>
      <c r="I81" s="4"/>
      <c r="J81" s="4"/>
      <c r="K81" s="4"/>
      <c r="L81" s="4"/>
      <c r="M81" s="4"/>
    </row>
    <row r="82" ht="12.75" customHeight="1">
      <c r="B82" s="4"/>
      <c r="C82" s="4" t="s">
        <v>129</v>
      </c>
      <c r="D82" s="4">
        <v>1.96213910250076E-4</v>
      </c>
      <c r="E82" s="4"/>
      <c r="F82" s="4"/>
      <c r="G82" s="4"/>
      <c r="H82" s="4"/>
      <c r="I82" s="4"/>
      <c r="J82" s="4"/>
      <c r="K82" s="4"/>
      <c r="L82" s="4"/>
      <c r="M82" s="4"/>
    </row>
    <row r="83" ht="12.75" customHeight="1">
      <c r="B83" s="4"/>
      <c r="C83" s="4" t="s">
        <v>130</v>
      </c>
      <c r="D83" s="4">
        <v>6.00787401029105</v>
      </c>
      <c r="E83" s="4"/>
      <c r="F83" s="4"/>
      <c r="G83" s="4"/>
      <c r="H83" s="4"/>
      <c r="I83" s="4"/>
      <c r="J83" s="4"/>
      <c r="K83" s="4"/>
      <c r="L83" s="4"/>
      <c r="M83" s="4"/>
    </row>
    <row r="84" ht="12.75" customHeight="1">
      <c r="B84" s="4" t="s">
        <v>124</v>
      </c>
      <c r="E84" s="4"/>
      <c r="F84" s="4"/>
      <c r="G84" s="4"/>
      <c r="H84" s="4"/>
      <c r="I84" s="4"/>
      <c r="J84" s="4"/>
      <c r="K84" s="4"/>
      <c r="L84" s="4"/>
      <c r="M84" s="4"/>
    </row>
    <row r="85" ht="12.75" customHeight="1">
      <c r="B85" s="4"/>
      <c r="C85" s="1" t="s">
        <v>125</v>
      </c>
      <c r="D85" s="34">
        <v>1.00456318179087E-9</v>
      </c>
      <c r="E85" s="4"/>
      <c r="F85" s="4"/>
      <c r="G85" s="4"/>
      <c r="H85" s="4"/>
      <c r="I85" s="4"/>
      <c r="J85" s="4"/>
      <c r="K85" s="4"/>
      <c r="L85" s="4"/>
      <c r="M85" s="4"/>
    </row>
    <row r="86" ht="12.75" customHeight="1">
      <c r="B86" s="4"/>
      <c r="C86" s="1" t="s">
        <v>131</v>
      </c>
      <c r="D86" s="1">
        <v>2.0</v>
      </c>
      <c r="E86" s="4"/>
      <c r="F86" s="4"/>
      <c r="G86" s="4"/>
      <c r="H86" s="4"/>
      <c r="I86" s="4"/>
      <c r="J86" s="4"/>
      <c r="K86" s="4"/>
      <c r="L86" s="4"/>
      <c r="M86" s="4"/>
    </row>
    <row r="87" ht="12.75" customHeight="1">
      <c r="B87" s="4"/>
      <c r="C87" s="4"/>
      <c r="D87" s="4"/>
      <c r="E87" s="4"/>
      <c r="F87" s="4"/>
      <c r="G87" s="4"/>
      <c r="H87" s="4"/>
      <c r="I87" s="4"/>
      <c r="J87" s="4"/>
      <c r="K87" s="4"/>
      <c r="L87" s="4"/>
      <c r="M87" s="4"/>
    </row>
    <row r="88" ht="12.75" customHeight="1">
      <c r="E88" s="4"/>
      <c r="F88" s="4"/>
      <c r="G88" s="4"/>
      <c r="H88" s="4"/>
      <c r="I88" s="4"/>
      <c r="J88" s="4"/>
      <c r="K88" s="4"/>
      <c r="L88" s="4"/>
      <c r="M88" s="4"/>
    </row>
    <row r="89" ht="12.75" customHeight="1">
      <c r="E89" s="4"/>
      <c r="F89" s="4"/>
      <c r="G89" s="4"/>
      <c r="H89" s="4"/>
      <c r="I89" s="4"/>
      <c r="J89" s="4"/>
      <c r="K89" s="4"/>
      <c r="L89" s="4"/>
      <c r="M89" s="4"/>
    </row>
    <row r="90" ht="12.75" customHeight="1">
      <c r="E90" s="4"/>
      <c r="F90" s="4"/>
      <c r="G90" s="4"/>
      <c r="H90" s="4"/>
      <c r="I90" s="4"/>
      <c r="J90" s="4"/>
      <c r="K90" s="4"/>
      <c r="L90" s="4"/>
      <c r="M90" s="4"/>
    </row>
    <row r="91" ht="12.75" customHeight="1">
      <c r="E91" s="4"/>
      <c r="F91" s="4"/>
      <c r="G91" s="4"/>
      <c r="H91" s="4"/>
      <c r="I91" s="4"/>
      <c r="J91" s="4"/>
      <c r="K91" s="4"/>
      <c r="L91" s="4"/>
      <c r="M91" s="4"/>
    </row>
    <row r="92" ht="12.75" customHeight="1">
      <c r="E92" s="4"/>
      <c r="F92" s="4"/>
      <c r="G92" s="4"/>
      <c r="H92" s="4"/>
      <c r="I92" s="4"/>
      <c r="J92" s="4"/>
      <c r="K92" s="4"/>
      <c r="L92" s="4"/>
      <c r="M92" s="4"/>
    </row>
    <row r="93" ht="12.75" customHeight="1">
      <c r="E93" s="4"/>
      <c r="F93" s="4"/>
      <c r="G93" s="4"/>
      <c r="H93" s="4"/>
      <c r="I93" s="4"/>
      <c r="J93" s="4"/>
      <c r="K93" s="4"/>
      <c r="L93" s="4"/>
      <c r="M93" s="4"/>
    </row>
    <row r="94" ht="12.75" customHeight="1">
      <c r="E94" s="4"/>
      <c r="F94" s="4"/>
      <c r="G94" s="4"/>
      <c r="H94" s="4"/>
      <c r="I94" s="4"/>
      <c r="J94" s="4"/>
      <c r="K94" s="33"/>
      <c r="L94" s="4"/>
      <c r="M94" s="4"/>
    </row>
    <row r="95" ht="12.75" customHeight="1">
      <c r="E95" s="4"/>
      <c r="F95" s="4"/>
      <c r="G95" s="4"/>
      <c r="H95" s="4"/>
      <c r="I95" s="4"/>
      <c r="J95" s="4"/>
      <c r="K95" s="4"/>
      <c r="L95" s="4"/>
      <c r="M95" s="4"/>
    </row>
    <row r="96" ht="12.75" customHeight="1">
      <c r="E96" s="4"/>
      <c r="F96" s="4"/>
      <c r="G96" s="4"/>
      <c r="H96" s="4"/>
      <c r="I96" s="4"/>
      <c r="J96" s="4"/>
      <c r="K96" s="4"/>
      <c r="L96" s="4"/>
      <c r="M96" s="4"/>
    </row>
    <row r="97" ht="12.75" customHeight="1">
      <c r="L97" s="4"/>
      <c r="M97" s="4"/>
    </row>
    <row r="98" ht="12.75" customHeight="1">
      <c r="L98" s="4"/>
      <c r="M98" s="4"/>
    </row>
    <row r="99" ht="12.75" customHeight="1">
      <c r="L99" s="4"/>
      <c r="M99" s="4"/>
    </row>
    <row r="100" ht="12.75" customHeight="1">
      <c r="B100" s="4"/>
      <c r="L100" s="4"/>
      <c r="M100" s="4"/>
    </row>
    <row r="101" ht="12.75" customHeight="1">
      <c r="B101" s="4"/>
      <c r="L101" s="4"/>
      <c r="M101" s="4"/>
    </row>
    <row r="102" ht="12.75" customHeight="1">
      <c r="B102" s="4"/>
      <c r="L102" s="4"/>
      <c r="M102" s="4"/>
    </row>
    <row r="103" ht="12.75" customHeight="1">
      <c r="B103" s="4"/>
      <c r="L103" s="4"/>
      <c r="M103" s="4"/>
    </row>
    <row r="104" ht="12.75" customHeight="1">
      <c r="B104" s="4"/>
      <c r="L104" s="4"/>
      <c r="M104" s="4"/>
    </row>
    <row r="105" ht="12.75" customHeight="1">
      <c r="B105" s="4"/>
      <c r="L105" s="4"/>
      <c r="M105" s="4"/>
    </row>
    <row r="106" ht="12.75" customHeight="1">
      <c r="B106" s="4"/>
      <c r="H106" s="4"/>
      <c r="I106" s="4"/>
      <c r="J106" s="4"/>
      <c r="K106" s="4"/>
      <c r="L106" s="4"/>
      <c r="M106" s="4"/>
    </row>
    <row r="107" ht="12.75" customHeight="1">
      <c r="B107" s="4"/>
      <c r="H107" s="4"/>
      <c r="I107" s="4"/>
      <c r="J107" s="4"/>
      <c r="K107" s="4"/>
      <c r="L107" s="4"/>
      <c r="M107" s="4"/>
    </row>
    <row r="108" ht="12.75" customHeight="1">
      <c r="B108" s="4"/>
      <c r="H108" s="4"/>
      <c r="I108" s="4"/>
      <c r="J108" s="4"/>
      <c r="K108" s="4"/>
      <c r="L108" s="4"/>
      <c r="M108" s="4"/>
    </row>
    <row r="109" ht="12.75" customHeight="1">
      <c r="B109" s="4"/>
      <c r="H109" s="4"/>
      <c r="I109" s="4"/>
      <c r="J109" s="4"/>
      <c r="K109" s="4"/>
      <c r="L109" s="4"/>
      <c r="M109" s="4"/>
    </row>
    <row r="110" ht="12.75" customHeight="1">
      <c r="B110" s="4"/>
      <c r="H110" s="4"/>
      <c r="I110" s="4"/>
      <c r="J110" s="4"/>
      <c r="K110" s="4"/>
      <c r="L110" s="4"/>
      <c r="M110" s="4"/>
    </row>
    <row r="111" ht="12.75" customHeight="1">
      <c r="B111" s="4"/>
      <c r="H111" s="4"/>
      <c r="I111" s="4"/>
      <c r="J111" s="4"/>
      <c r="K111" s="4"/>
      <c r="L111" s="4"/>
    </row>
    <row r="112" ht="12.75" customHeight="1">
      <c r="B112" s="4"/>
      <c r="H112" s="4"/>
      <c r="I112" s="4"/>
      <c r="J112" s="4"/>
      <c r="K112" s="4"/>
      <c r="L112" s="4"/>
    </row>
    <row r="113" ht="12.75" customHeight="1">
      <c r="B113" s="4"/>
      <c r="H113" s="4"/>
      <c r="I113" s="4"/>
      <c r="J113" s="4"/>
      <c r="K113" s="33"/>
      <c r="L113" s="4"/>
    </row>
    <row r="114" ht="12.75" customHeight="1">
      <c r="B114" s="4"/>
      <c r="H114" s="4"/>
      <c r="I114" s="4"/>
      <c r="J114" s="4"/>
      <c r="K114" s="4"/>
      <c r="L114" s="4"/>
    </row>
    <row r="115" ht="12.75" customHeight="1">
      <c r="B115" s="4"/>
      <c r="H115" s="4"/>
      <c r="I115" s="4"/>
      <c r="J115" s="4"/>
      <c r="K115" s="4"/>
      <c r="L115" s="4"/>
    </row>
    <row r="116" ht="12.75" customHeight="1">
      <c r="B116" s="4"/>
      <c r="H116" s="4"/>
      <c r="I116" s="4"/>
      <c r="J116" s="4"/>
      <c r="K116" s="4"/>
    </row>
    <row r="117" ht="12.75" customHeight="1">
      <c r="B117" s="4"/>
      <c r="C117" s="4"/>
      <c r="D117" s="4"/>
      <c r="E117" s="4"/>
      <c r="F117" s="4"/>
      <c r="G117" s="4"/>
      <c r="H117" s="4"/>
      <c r="I117" s="4"/>
      <c r="J117" s="4"/>
      <c r="K117" s="4"/>
    </row>
    <row r="118" ht="12.75" customHeight="1">
      <c r="B118" s="4"/>
      <c r="C118" s="4"/>
      <c r="D118" s="4"/>
      <c r="E118" s="4"/>
      <c r="F118" s="4"/>
      <c r="G118" s="4"/>
      <c r="H118" s="4"/>
      <c r="I118" s="4"/>
      <c r="J118" s="4"/>
      <c r="K118" s="4"/>
    </row>
    <row r="119" ht="12.75" customHeight="1">
      <c r="B119" s="4"/>
      <c r="C119" s="4"/>
      <c r="D119" s="4"/>
      <c r="E119" s="4"/>
      <c r="F119" s="4"/>
      <c r="G119" s="4"/>
      <c r="H119" s="4"/>
      <c r="I119" s="4"/>
      <c r="J119" s="4"/>
      <c r="K119" s="4"/>
    </row>
    <row r="120" ht="12.75" customHeight="1">
      <c r="B120" s="4"/>
      <c r="C120" s="4"/>
      <c r="D120" s="4"/>
      <c r="E120" s="4"/>
      <c r="F120" s="4"/>
      <c r="G120" s="4"/>
      <c r="H120" s="4"/>
      <c r="I120" s="4"/>
      <c r="J120" s="4"/>
      <c r="K120" s="4"/>
    </row>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57"/>
    <col customWidth="1" min="2" max="2" width="15.43"/>
    <col customWidth="1" min="3" max="3" width="14.57"/>
    <col customWidth="1" min="4" max="4" width="15.43"/>
    <col customWidth="1" min="5" max="5" width="14.57"/>
    <col customWidth="1" min="6" max="6" width="13.43"/>
    <col customWidth="1" min="7" max="7" width="14.57"/>
    <col customWidth="1" min="8" max="8" width="13.43"/>
    <col customWidth="1" min="9" max="26" width="8.0"/>
  </cols>
  <sheetData>
    <row r="1" ht="12.75" customHeight="1">
      <c r="A1" s="1" t="s">
        <v>132</v>
      </c>
      <c r="B1" s="1" t="s">
        <v>133</v>
      </c>
    </row>
    <row r="2" ht="12.75" customHeight="1">
      <c r="A2" s="1" t="s">
        <v>134</v>
      </c>
      <c r="B2" s="1">
        <v>161008.0</v>
      </c>
    </row>
    <row r="3" ht="12.75" customHeight="1">
      <c r="A3" s="1" t="s">
        <v>109</v>
      </c>
      <c r="B3" s="1" t="s">
        <v>114</v>
      </c>
      <c r="C3" s="1" t="s">
        <v>109</v>
      </c>
      <c r="D3" s="1" t="s">
        <v>116</v>
      </c>
      <c r="E3" s="1" t="s">
        <v>109</v>
      </c>
      <c r="F3" s="1" t="s">
        <v>117</v>
      </c>
      <c r="G3" s="1" t="s">
        <v>109</v>
      </c>
      <c r="H3" s="1" t="s">
        <v>118</v>
      </c>
    </row>
    <row r="4" ht="12.75" customHeight="1">
      <c r="A4" s="1" t="s">
        <v>135</v>
      </c>
      <c r="B4" s="1" t="s">
        <v>136</v>
      </c>
      <c r="C4" s="1" t="s">
        <v>135</v>
      </c>
      <c r="D4" s="1" t="s">
        <v>136</v>
      </c>
      <c r="E4" s="1" t="s">
        <v>135</v>
      </c>
      <c r="F4" s="1" t="s">
        <v>136</v>
      </c>
      <c r="G4" s="1" t="s">
        <v>135</v>
      </c>
      <c r="H4" s="1" t="s">
        <v>136</v>
      </c>
    </row>
    <row r="5" ht="12.75" customHeight="1">
      <c r="A5" s="1" t="s">
        <v>137</v>
      </c>
      <c r="B5" s="1" t="s">
        <v>138</v>
      </c>
      <c r="C5" s="1" t="s">
        <v>137</v>
      </c>
      <c r="D5" s="1" t="s">
        <v>138</v>
      </c>
      <c r="E5" s="1" t="s">
        <v>137</v>
      </c>
      <c r="F5" s="1" t="s">
        <v>138</v>
      </c>
      <c r="G5" s="1" t="s">
        <v>137</v>
      </c>
      <c r="H5" s="1" t="s">
        <v>138</v>
      </c>
    </row>
    <row r="6" ht="12.75" customHeight="1">
      <c r="A6" s="1" t="s">
        <v>139</v>
      </c>
      <c r="B6" s="35">
        <v>40418.0</v>
      </c>
      <c r="C6" s="1" t="s">
        <v>139</v>
      </c>
      <c r="D6" s="35">
        <v>40418.0</v>
      </c>
      <c r="E6" s="1" t="s">
        <v>139</v>
      </c>
      <c r="F6" s="35">
        <v>40418.0</v>
      </c>
      <c r="G6" s="1" t="s">
        <v>139</v>
      </c>
      <c r="H6" s="35">
        <v>40418.0</v>
      </c>
    </row>
    <row r="7" ht="12.75" customHeight="1">
      <c r="A7" s="1" t="s">
        <v>140</v>
      </c>
      <c r="B7" s="1" t="s">
        <v>141</v>
      </c>
      <c r="C7" s="1" t="s">
        <v>140</v>
      </c>
      <c r="D7" s="1" t="s">
        <v>142</v>
      </c>
      <c r="E7" s="1" t="s">
        <v>140</v>
      </c>
      <c r="F7" s="1" t="s">
        <v>143</v>
      </c>
      <c r="G7" s="1" t="s">
        <v>140</v>
      </c>
      <c r="H7" s="1" t="s">
        <v>144</v>
      </c>
    </row>
    <row r="8" ht="12.75" customHeight="1"/>
    <row r="9" ht="12.75" customHeight="1">
      <c r="A9" s="1" t="s">
        <v>145</v>
      </c>
      <c r="B9" s="1" t="s">
        <v>146</v>
      </c>
      <c r="C9" s="1" t="s">
        <v>145</v>
      </c>
      <c r="D9" s="1" t="s">
        <v>146</v>
      </c>
      <c r="E9" s="1" t="s">
        <v>145</v>
      </c>
      <c r="F9" s="1" t="s">
        <v>147</v>
      </c>
      <c r="G9" s="1" t="s">
        <v>145</v>
      </c>
      <c r="H9" s="1" t="s">
        <v>147</v>
      </c>
    </row>
    <row r="10" ht="12.75" customHeight="1">
      <c r="A10" s="1" t="s">
        <v>148</v>
      </c>
      <c r="B10" s="1" t="s">
        <v>149</v>
      </c>
      <c r="C10" s="1" t="s">
        <v>148</v>
      </c>
      <c r="D10" s="1" t="s">
        <v>149</v>
      </c>
      <c r="E10" s="1" t="s">
        <v>148</v>
      </c>
      <c r="F10" s="1" t="s">
        <v>149</v>
      </c>
      <c r="G10" s="1" t="s">
        <v>148</v>
      </c>
      <c r="H10" s="1" t="s">
        <v>149</v>
      </c>
    </row>
    <row r="11" ht="12.75" customHeight="1">
      <c r="A11" s="1">
        <v>0.0</v>
      </c>
      <c r="B11" s="1">
        <v>-0.001</v>
      </c>
      <c r="C11" s="1">
        <v>0.0</v>
      </c>
      <c r="D11" s="1">
        <v>-0.007</v>
      </c>
      <c r="E11" s="1">
        <v>0.0</v>
      </c>
      <c r="F11" s="1">
        <v>-0.016</v>
      </c>
      <c r="G11" s="1">
        <v>0.0</v>
      </c>
      <c r="H11" s="1">
        <v>-0.017</v>
      </c>
    </row>
    <row r="12" ht="12.75" customHeight="1">
      <c r="A12" s="1">
        <v>31.0</v>
      </c>
      <c r="B12" s="1">
        <v>0.0</v>
      </c>
      <c r="C12" s="1">
        <v>31.0</v>
      </c>
      <c r="D12" s="1">
        <v>-0.007</v>
      </c>
      <c r="E12" s="1">
        <v>31.0</v>
      </c>
      <c r="F12" s="1">
        <v>-0.016</v>
      </c>
      <c r="G12" s="1">
        <v>31.0</v>
      </c>
      <c r="H12" s="1">
        <v>-0.017</v>
      </c>
    </row>
    <row r="13" ht="12.75" customHeight="1">
      <c r="A13" s="1">
        <v>62.0</v>
      </c>
      <c r="B13" s="1">
        <v>0.0</v>
      </c>
      <c r="C13" s="1">
        <v>62.0</v>
      </c>
      <c r="D13" s="1">
        <v>-0.007</v>
      </c>
      <c r="E13" s="1">
        <v>62.0</v>
      </c>
      <c r="F13" s="1">
        <v>-0.016</v>
      </c>
      <c r="G13" s="1">
        <v>62.0</v>
      </c>
      <c r="H13" s="1">
        <v>-0.017</v>
      </c>
    </row>
    <row r="14" ht="12.75" customHeight="1">
      <c r="A14" s="1">
        <v>93.0</v>
      </c>
      <c r="B14" s="1">
        <v>0.0</v>
      </c>
      <c r="C14" s="1">
        <v>93.0</v>
      </c>
      <c r="D14" s="1">
        <v>-0.007</v>
      </c>
      <c r="E14" s="1">
        <v>93.0</v>
      </c>
      <c r="F14" s="1">
        <v>-0.017</v>
      </c>
      <c r="G14" s="1">
        <v>93.0</v>
      </c>
      <c r="H14" s="1">
        <v>-0.017</v>
      </c>
    </row>
    <row r="15" ht="12.75" customHeight="1">
      <c r="A15" s="1">
        <v>124.0</v>
      </c>
      <c r="B15" s="1">
        <v>0.0</v>
      </c>
      <c r="C15" s="1">
        <v>124.0</v>
      </c>
      <c r="D15" s="1">
        <v>-0.007</v>
      </c>
      <c r="E15" s="1">
        <v>124.0</v>
      </c>
      <c r="F15" s="1">
        <v>-0.016</v>
      </c>
      <c r="G15" s="1">
        <v>124.0</v>
      </c>
      <c r="H15" s="1">
        <v>-0.017</v>
      </c>
    </row>
    <row r="16" ht="12.75" customHeight="1">
      <c r="A16" s="1">
        <v>155.0</v>
      </c>
      <c r="B16" s="1">
        <v>0.0</v>
      </c>
      <c r="C16" s="1">
        <v>155.0</v>
      </c>
      <c r="D16" s="1">
        <v>-0.007</v>
      </c>
      <c r="E16" s="1">
        <v>155.0</v>
      </c>
      <c r="F16" s="1">
        <v>-0.017</v>
      </c>
      <c r="G16" s="1">
        <v>155.0</v>
      </c>
      <c r="H16" s="1">
        <v>-0.017</v>
      </c>
    </row>
    <row r="17" ht="12.75" customHeight="1">
      <c r="A17" s="1">
        <v>186.0</v>
      </c>
      <c r="B17" s="1">
        <v>0.0</v>
      </c>
      <c r="C17" s="1">
        <v>186.0</v>
      </c>
      <c r="D17" s="1">
        <v>-0.007</v>
      </c>
      <c r="E17" s="1">
        <v>186.0</v>
      </c>
      <c r="F17" s="1">
        <v>-0.017</v>
      </c>
      <c r="G17" s="1">
        <v>186.0</v>
      </c>
      <c r="H17" s="1">
        <v>-0.017</v>
      </c>
    </row>
    <row r="18" ht="12.75" customHeight="1">
      <c r="A18" s="1">
        <v>217.0</v>
      </c>
      <c r="B18" s="1">
        <v>0.0</v>
      </c>
      <c r="C18" s="1">
        <v>217.0</v>
      </c>
      <c r="D18" s="1">
        <v>-0.007</v>
      </c>
      <c r="E18" s="1">
        <v>217.0</v>
      </c>
      <c r="F18" s="1">
        <v>-0.017</v>
      </c>
      <c r="G18" s="1">
        <v>217.0</v>
      </c>
      <c r="H18" s="1">
        <v>-0.017</v>
      </c>
    </row>
    <row r="19" ht="12.75" customHeight="1">
      <c r="A19" s="1">
        <v>248.0</v>
      </c>
      <c r="B19" s="1">
        <v>0.0</v>
      </c>
      <c r="C19" s="1">
        <v>248.0</v>
      </c>
      <c r="D19" s="1">
        <v>-0.007</v>
      </c>
      <c r="E19" s="1">
        <v>248.0</v>
      </c>
      <c r="F19" s="1">
        <v>-0.017</v>
      </c>
      <c r="G19" s="1">
        <v>248.0</v>
      </c>
      <c r="H19" s="1">
        <v>-0.017</v>
      </c>
    </row>
    <row r="20" ht="12.75" customHeight="1">
      <c r="A20" s="1">
        <v>279.0</v>
      </c>
      <c r="B20" s="1">
        <v>0.0</v>
      </c>
      <c r="C20" s="1">
        <v>279.0</v>
      </c>
      <c r="D20" s="1">
        <v>-0.007</v>
      </c>
      <c r="E20" s="1">
        <v>279.0</v>
      </c>
      <c r="F20" s="1">
        <v>-0.017</v>
      </c>
      <c r="G20" s="1">
        <v>279.0</v>
      </c>
      <c r="H20" s="1">
        <v>-0.017</v>
      </c>
    </row>
    <row r="21" ht="12.75" customHeight="1">
      <c r="A21" s="1">
        <v>310.0</v>
      </c>
      <c r="B21" s="1">
        <v>0.0</v>
      </c>
      <c r="C21" s="1">
        <v>310.0</v>
      </c>
      <c r="D21" s="1">
        <v>-0.007</v>
      </c>
      <c r="E21" s="1">
        <v>310.0</v>
      </c>
      <c r="F21" s="1">
        <v>-0.017</v>
      </c>
      <c r="G21" s="1">
        <v>310.0</v>
      </c>
      <c r="H21" s="1">
        <v>-0.017</v>
      </c>
    </row>
    <row r="22" ht="12.75" customHeight="1">
      <c r="A22" s="1">
        <v>341.0</v>
      </c>
      <c r="B22" s="1">
        <v>0.0</v>
      </c>
      <c r="C22" s="1">
        <v>341.0</v>
      </c>
      <c r="D22" s="1">
        <v>-0.007</v>
      </c>
      <c r="E22" s="1">
        <v>341.0</v>
      </c>
      <c r="F22" s="1">
        <v>-0.017</v>
      </c>
      <c r="G22" s="1">
        <v>341.0</v>
      </c>
      <c r="H22" s="1">
        <v>-0.017</v>
      </c>
    </row>
    <row r="23" ht="12.75" customHeight="1">
      <c r="A23" s="1">
        <v>372.0</v>
      </c>
      <c r="B23" s="1">
        <v>0.0</v>
      </c>
      <c r="C23" s="1">
        <v>372.0</v>
      </c>
      <c r="D23" s="1">
        <v>-0.007</v>
      </c>
      <c r="E23" s="1">
        <v>372.0</v>
      </c>
      <c r="F23" s="1">
        <v>-0.016</v>
      </c>
      <c r="G23" s="1">
        <v>372.0</v>
      </c>
      <c r="H23" s="1">
        <v>-0.017</v>
      </c>
    </row>
    <row r="24" ht="12.75" customHeight="1">
      <c r="A24" s="1">
        <v>403.0</v>
      </c>
      <c r="B24" s="1">
        <v>0.0</v>
      </c>
      <c r="C24" s="1">
        <v>403.0</v>
      </c>
      <c r="D24" s="1">
        <v>-0.007</v>
      </c>
      <c r="E24" s="1">
        <v>403.0</v>
      </c>
      <c r="F24" s="1">
        <v>-0.017</v>
      </c>
      <c r="G24" s="1">
        <v>403.0</v>
      </c>
      <c r="H24" s="1">
        <v>-0.017</v>
      </c>
    </row>
    <row r="25" ht="12.75" customHeight="1">
      <c r="A25" s="1">
        <v>434.0</v>
      </c>
      <c r="B25" s="1">
        <v>0.0</v>
      </c>
      <c r="C25" s="1">
        <v>434.0</v>
      </c>
      <c r="D25" s="1">
        <v>-0.007</v>
      </c>
      <c r="E25" s="1">
        <v>434.0</v>
      </c>
      <c r="F25" s="1">
        <v>-0.017</v>
      </c>
      <c r="G25" s="1">
        <v>434.0</v>
      </c>
      <c r="H25" s="1">
        <v>-0.017</v>
      </c>
    </row>
    <row r="26" ht="12.75" customHeight="1">
      <c r="A26" s="1">
        <v>465.0</v>
      </c>
      <c r="B26" s="1">
        <v>0.001</v>
      </c>
      <c r="C26" s="1">
        <v>465.0</v>
      </c>
      <c r="D26" s="1">
        <v>-0.007</v>
      </c>
      <c r="E26" s="1">
        <v>465.0</v>
      </c>
      <c r="F26" s="1">
        <v>-0.017</v>
      </c>
      <c r="G26" s="1">
        <v>465.0</v>
      </c>
      <c r="H26" s="1">
        <v>-0.017</v>
      </c>
    </row>
    <row r="27" ht="12.75" customHeight="1">
      <c r="A27" s="1">
        <v>496.0</v>
      </c>
      <c r="B27" s="1">
        <v>0.0</v>
      </c>
      <c r="C27" s="1">
        <v>496.0</v>
      </c>
      <c r="D27" s="1">
        <v>-0.007</v>
      </c>
      <c r="E27" s="1">
        <v>496.0</v>
      </c>
      <c r="F27" s="1">
        <v>-0.017</v>
      </c>
      <c r="G27" s="1">
        <v>496.0</v>
      </c>
      <c r="H27" s="1">
        <v>-0.017</v>
      </c>
    </row>
    <row r="28" ht="12.75" customHeight="1">
      <c r="A28" s="1">
        <v>527.0</v>
      </c>
      <c r="B28" s="1">
        <v>0.0</v>
      </c>
      <c r="C28" s="1">
        <v>527.0</v>
      </c>
      <c r="D28" s="1">
        <v>-0.007</v>
      </c>
      <c r="E28" s="1">
        <v>527.0</v>
      </c>
      <c r="F28" s="1">
        <v>-0.017</v>
      </c>
      <c r="G28" s="1">
        <v>527.0</v>
      </c>
      <c r="H28" s="1">
        <v>-0.017</v>
      </c>
    </row>
    <row r="29" ht="12.75" customHeight="1">
      <c r="A29" s="1">
        <v>558.0</v>
      </c>
      <c r="B29" s="1">
        <v>0.001</v>
      </c>
      <c r="C29" s="1">
        <v>558.0</v>
      </c>
      <c r="D29" s="1">
        <v>-0.007</v>
      </c>
      <c r="E29" s="1">
        <v>558.0</v>
      </c>
      <c r="F29" s="1">
        <v>-0.017</v>
      </c>
      <c r="G29" s="1">
        <v>558.0</v>
      </c>
      <c r="H29" s="1">
        <v>-0.017</v>
      </c>
    </row>
    <row r="30" ht="12.75" customHeight="1">
      <c r="A30" s="1">
        <v>589.0</v>
      </c>
      <c r="B30" s="1">
        <v>0.001</v>
      </c>
      <c r="C30" s="1">
        <v>589.0</v>
      </c>
      <c r="D30" s="1">
        <v>-0.007</v>
      </c>
      <c r="E30" s="1">
        <v>589.0</v>
      </c>
      <c r="F30" s="1">
        <v>-0.016</v>
      </c>
      <c r="G30" s="1">
        <v>589.0</v>
      </c>
      <c r="H30" s="1">
        <v>-0.017</v>
      </c>
    </row>
    <row r="31" ht="12.75" customHeight="1">
      <c r="A31" s="1">
        <v>620.0</v>
      </c>
      <c r="B31" s="1">
        <v>0.001</v>
      </c>
      <c r="C31" s="1">
        <v>620.0</v>
      </c>
      <c r="D31" s="1">
        <v>-0.007</v>
      </c>
      <c r="E31" s="1">
        <v>620.0</v>
      </c>
      <c r="F31" s="1">
        <v>-0.017</v>
      </c>
      <c r="G31" s="1">
        <v>620.0</v>
      </c>
      <c r="H31" s="1">
        <v>-0.017</v>
      </c>
    </row>
    <row r="32" ht="12.75" customHeight="1">
      <c r="A32" s="1">
        <v>651.0</v>
      </c>
      <c r="B32" s="1">
        <v>0.0</v>
      </c>
      <c r="C32" s="1">
        <v>651.0</v>
      </c>
      <c r="D32" s="1">
        <v>-0.007</v>
      </c>
      <c r="E32" s="1">
        <v>651.0</v>
      </c>
      <c r="F32" s="1">
        <v>-0.016</v>
      </c>
      <c r="G32" s="1">
        <v>651.0</v>
      </c>
      <c r="H32" s="1">
        <v>-0.017</v>
      </c>
    </row>
    <row r="33" ht="12.75" customHeight="1">
      <c r="A33" s="1">
        <v>682.0</v>
      </c>
      <c r="B33" s="1">
        <v>0.001</v>
      </c>
      <c r="C33" s="1">
        <v>682.0</v>
      </c>
      <c r="D33" s="1">
        <v>-0.007</v>
      </c>
      <c r="E33" s="1">
        <v>682.0</v>
      </c>
      <c r="F33" s="1">
        <v>-0.016</v>
      </c>
      <c r="G33" s="1">
        <v>682.0</v>
      </c>
      <c r="H33" s="1">
        <v>-0.017</v>
      </c>
    </row>
    <row r="34" ht="12.75" customHeight="1">
      <c r="A34" s="1">
        <v>713.0</v>
      </c>
      <c r="B34" s="1">
        <v>0.0</v>
      </c>
      <c r="C34" s="1">
        <v>713.0</v>
      </c>
      <c r="D34" s="1">
        <v>-0.007</v>
      </c>
      <c r="E34" s="1">
        <v>713.0</v>
      </c>
      <c r="F34" s="1">
        <v>-0.017</v>
      </c>
      <c r="G34" s="1">
        <v>713.0</v>
      </c>
      <c r="H34" s="1">
        <v>-0.017</v>
      </c>
    </row>
    <row r="35" ht="12.75" customHeight="1">
      <c r="A35" s="1">
        <v>744.0</v>
      </c>
      <c r="B35" s="1">
        <v>0.001</v>
      </c>
      <c r="C35" s="1">
        <v>744.0</v>
      </c>
      <c r="D35" s="1">
        <v>-0.007</v>
      </c>
      <c r="E35" s="1">
        <v>744.0</v>
      </c>
      <c r="F35" s="1">
        <v>-0.016</v>
      </c>
      <c r="G35" s="1">
        <v>744.0</v>
      </c>
      <c r="H35" s="1">
        <v>-0.017</v>
      </c>
    </row>
    <row r="36" ht="12.75" customHeight="1">
      <c r="A36" s="1">
        <v>775.0</v>
      </c>
      <c r="B36" s="1">
        <v>0.001</v>
      </c>
      <c r="C36" s="1">
        <v>775.0</v>
      </c>
      <c r="D36" s="1">
        <v>-0.006</v>
      </c>
      <c r="E36" s="1">
        <v>775.0</v>
      </c>
      <c r="F36" s="1">
        <v>-0.016</v>
      </c>
      <c r="G36" s="1">
        <v>775.0</v>
      </c>
      <c r="H36" s="1">
        <v>-0.017</v>
      </c>
    </row>
    <row r="37" ht="12.75" customHeight="1">
      <c r="A37" s="1">
        <v>806.0</v>
      </c>
      <c r="B37" s="1">
        <v>0.001</v>
      </c>
      <c r="C37" s="1">
        <v>806.0</v>
      </c>
      <c r="D37" s="1">
        <v>-0.007</v>
      </c>
      <c r="E37" s="1">
        <v>806.0</v>
      </c>
      <c r="F37" s="1">
        <v>-0.016</v>
      </c>
      <c r="G37" s="1">
        <v>806.0</v>
      </c>
      <c r="H37" s="1">
        <v>-0.017</v>
      </c>
    </row>
    <row r="38" ht="12.75" customHeight="1">
      <c r="A38" s="1">
        <v>837.0</v>
      </c>
      <c r="B38" s="1">
        <v>0.001</v>
      </c>
      <c r="C38" s="1">
        <v>837.0</v>
      </c>
      <c r="D38" s="1">
        <v>-0.006</v>
      </c>
      <c r="E38" s="1">
        <v>837.0</v>
      </c>
      <c r="F38" s="1">
        <v>-0.016</v>
      </c>
      <c r="G38" s="1">
        <v>837.0</v>
      </c>
      <c r="H38" s="1">
        <v>-0.017</v>
      </c>
    </row>
    <row r="39" ht="12.75" customHeight="1">
      <c r="A39" s="1">
        <v>868.0</v>
      </c>
      <c r="B39" s="1">
        <v>0.001</v>
      </c>
      <c r="C39" s="1">
        <v>868.0</v>
      </c>
      <c r="D39" s="1">
        <v>-0.006</v>
      </c>
      <c r="E39" s="1">
        <v>868.0</v>
      </c>
      <c r="F39" s="1">
        <v>-0.016</v>
      </c>
      <c r="G39" s="1">
        <v>868.0</v>
      </c>
      <c r="H39" s="1">
        <v>-0.017</v>
      </c>
    </row>
    <row r="40" ht="12.75" customHeight="1">
      <c r="A40" s="1">
        <v>899.0</v>
      </c>
      <c r="B40" s="1">
        <v>0.0</v>
      </c>
      <c r="C40" s="1">
        <v>899.0</v>
      </c>
      <c r="D40" s="1">
        <v>-0.006</v>
      </c>
      <c r="E40" s="1">
        <v>899.0</v>
      </c>
      <c r="F40" s="1">
        <v>-0.016</v>
      </c>
      <c r="G40" s="1">
        <v>899.0</v>
      </c>
      <c r="H40" s="1">
        <v>-0.017</v>
      </c>
    </row>
    <row r="41" ht="12.75" customHeight="1">
      <c r="A41" s="1">
        <v>930.0</v>
      </c>
      <c r="B41" s="1">
        <v>0.001</v>
      </c>
      <c r="C41" s="1">
        <v>930.0</v>
      </c>
      <c r="D41" s="1">
        <v>-0.006</v>
      </c>
      <c r="E41" s="1">
        <v>930.0</v>
      </c>
      <c r="F41" s="1">
        <v>-0.017</v>
      </c>
      <c r="G41" s="1">
        <v>930.0</v>
      </c>
      <c r="H41" s="1">
        <v>-0.017</v>
      </c>
    </row>
    <row r="42" ht="12.75" customHeight="1">
      <c r="A42" s="1">
        <v>961.0</v>
      </c>
      <c r="B42" s="1">
        <v>0.001</v>
      </c>
      <c r="C42" s="1">
        <v>961.0</v>
      </c>
      <c r="D42" s="1">
        <v>-0.007</v>
      </c>
      <c r="E42" s="1">
        <v>961.0</v>
      </c>
      <c r="F42" s="1">
        <v>-0.016</v>
      </c>
      <c r="G42" s="1">
        <v>961.0</v>
      </c>
      <c r="H42" s="1">
        <v>-0.017</v>
      </c>
    </row>
    <row r="43" ht="12.75" customHeight="1">
      <c r="A43" s="1">
        <v>992.0</v>
      </c>
      <c r="B43" s="1">
        <v>0.001</v>
      </c>
      <c r="C43" s="1">
        <v>992.0</v>
      </c>
      <c r="D43" s="1">
        <v>-0.006</v>
      </c>
      <c r="E43" s="1">
        <v>992.0</v>
      </c>
      <c r="F43" s="1">
        <v>-0.016</v>
      </c>
      <c r="G43" s="1">
        <v>992.0</v>
      </c>
      <c r="H43" s="1">
        <v>-0.017</v>
      </c>
    </row>
    <row r="44" ht="12.75" customHeight="1">
      <c r="A44" s="1">
        <v>1023.0</v>
      </c>
      <c r="B44" s="1">
        <v>0.001</v>
      </c>
      <c r="C44" s="1">
        <v>1023.0</v>
      </c>
      <c r="D44" s="1">
        <v>-0.006</v>
      </c>
      <c r="E44" s="1">
        <v>1023.0</v>
      </c>
      <c r="F44" s="1">
        <v>-0.016</v>
      </c>
      <c r="G44" s="1">
        <v>1023.0</v>
      </c>
      <c r="H44" s="1">
        <v>-0.016</v>
      </c>
    </row>
    <row r="45" ht="12.75" customHeight="1">
      <c r="A45" s="1">
        <v>1054.0</v>
      </c>
      <c r="B45" s="1">
        <v>0.001</v>
      </c>
      <c r="C45" s="1">
        <v>1054.0</v>
      </c>
      <c r="D45" s="1">
        <v>-0.006</v>
      </c>
      <c r="E45" s="1">
        <v>1054.0</v>
      </c>
      <c r="F45" s="1">
        <v>-0.016</v>
      </c>
      <c r="G45" s="1">
        <v>1054.0</v>
      </c>
      <c r="H45" s="1">
        <v>-0.017</v>
      </c>
    </row>
    <row r="46" ht="12.75" customHeight="1">
      <c r="A46" s="1">
        <v>1085.0</v>
      </c>
      <c r="B46" s="1">
        <v>0.001</v>
      </c>
      <c r="C46" s="1">
        <v>1085.0</v>
      </c>
      <c r="D46" s="1">
        <v>-0.006</v>
      </c>
      <c r="E46" s="1">
        <v>1085.0</v>
      </c>
      <c r="F46" s="1">
        <v>-0.016</v>
      </c>
      <c r="G46" s="1">
        <v>1085.0</v>
      </c>
      <c r="H46" s="1">
        <v>-0.017</v>
      </c>
    </row>
    <row r="47" ht="12.75" customHeight="1">
      <c r="A47" s="1">
        <v>1116.0</v>
      </c>
      <c r="B47" s="1">
        <v>0.001</v>
      </c>
      <c r="C47" s="1">
        <v>1116.0</v>
      </c>
      <c r="D47" s="1">
        <v>-0.006</v>
      </c>
      <c r="E47" s="1">
        <v>1116.0</v>
      </c>
      <c r="F47" s="1">
        <v>-0.016</v>
      </c>
      <c r="G47" s="1">
        <v>1116.0</v>
      </c>
      <c r="H47" s="1">
        <v>-0.016</v>
      </c>
    </row>
    <row r="48" ht="12.75" customHeight="1">
      <c r="A48" s="1">
        <v>1147.0</v>
      </c>
      <c r="B48" s="1">
        <v>0.002</v>
      </c>
      <c r="C48" s="1">
        <v>1147.0</v>
      </c>
      <c r="D48" s="1">
        <v>-0.006</v>
      </c>
      <c r="E48" s="1">
        <v>1147.0</v>
      </c>
      <c r="F48" s="1">
        <v>-0.016</v>
      </c>
      <c r="G48" s="1">
        <v>1147.0</v>
      </c>
      <c r="H48" s="1">
        <v>-0.017</v>
      </c>
    </row>
    <row r="49" ht="12.75" customHeight="1">
      <c r="A49" s="1">
        <v>1178.0</v>
      </c>
      <c r="B49" s="1">
        <v>0.001</v>
      </c>
      <c r="C49" s="1">
        <v>1178.0</v>
      </c>
      <c r="D49" s="1">
        <v>-0.006</v>
      </c>
      <c r="E49" s="1">
        <v>1178.0</v>
      </c>
      <c r="F49" s="1">
        <v>-0.016</v>
      </c>
      <c r="G49" s="1">
        <v>1178.0</v>
      </c>
      <c r="H49" s="1">
        <v>-0.017</v>
      </c>
    </row>
    <row r="50" ht="12.75" customHeight="1">
      <c r="A50" s="1">
        <v>1209.0</v>
      </c>
      <c r="B50" s="1">
        <v>0.001</v>
      </c>
      <c r="C50" s="1">
        <v>1209.0</v>
      </c>
      <c r="D50" s="1">
        <v>-0.006</v>
      </c>
      <c r="E50" s="1">
        <v>1209.0</v>
      </c>
      <c r="F50" s="1">
        <v>-0.016</v>
      </c>
      <c r="G50" s="1">
        <v>1209.0</v>
      </c>
      <c r="H50" s="1">
        <v>-0.016</v>
      </c>
    </row>
    <row r="51" ht="12.75" customHeight="1">
      <c r="A51" s="1">
        <v>1240.0</v>
      </c>
      <c r="B51" s="1">
        <v>0.001</v>
      </c>
      <c r="C51" s="1">
        <v>1240.0</v>
      </c>
      <c r="D51" s="1">
        <v>-0.006</v>
      </c>
      <c r="E51" s="1">
        <v>1240.0</v>
      </c>
      <c r="F51" s="1">
        <v>-0.016</v>
      </c>
      <c r="G51" s="1">
        <v>1240.0</v>
      </c>
      <c r="H51" s="1">
        <v>-0.017</v>
      </c>
    </row>
    <row r="52" ht="12.75" customHeight="1">
      <c r="A52" s="1">
        <v>1271.0</v>
      </c>
      <c r="B52" s="1">
        <v>0.001</v>
      </c>
      <c r="C52" s="1">
        <v>1271.0</v>
      </c>
      <c r="D52" s="1">
        <v>-0.006</v>
      </c>
      <c r="E52" s="1">
        <v>1271.0</v>
      </c>
      <c r="F52" s="1">
        <v>-0.016</v>
      </c>
      <c r="G52" s="1">
        <v>1271.0</v>
      </c>
      <c r="H52" s="1">
        <v>-0.017</v>
      </c>
    </row>
    <row r="53" ht="12.75" customHeight="1">
      <c r="A53" s="1">
        <v>1302.0</v>
      </c>
      <c r="B53" s="1">
        <v>0.002</v>
      </c>
      <c r="C53" s="1">
        <v>1302.0</v>
      </c>
      <c r="D53" s="1">
        <v>-0.006</v>
      </c>
      <c r="E53" s="1">
        <v>1302.0</v>
      </c>
      <c r="F53" s="1">
        <v>-0.016</v>
      </c>
      <c r="G53" s="1">
        <v>1302.0</v>
      </c>
      <c r="H53" s="1">
        <v>-0.016</v>
      </c>
    </row>
    <row r="54" ht="12.75" customHeight="1">
      <c r="A54" s="1">
        <v>1333.0</v>
      </c>
      <c r="B54" s="1">
        <v>0.003</v>
      </c>
      <c r="C54" s="1">
        <v>1333.0</v>
      </c>
      <c r="D54" s="1">
        <v>-0.005</v>
      </c>
      <c r="E54" s="1">
        <v>1333.0</v>
      </c>
      <c r="F54" s="1">
        <v>-0.016</v>
      </c>
      <c r="G54" s="1">
        <v>1333.0</v>
      </c>
      <c r="H54" s="1">
        <v>-0.017</v>
      </c>
    </row>
    <row r="55" ht="12.75" customHeight="1">
      <c r="A55" s="1">
        <v>1364.0</v>
      </c>
      <c r="B55" s="1">
        <v>0.001</v>
      </c>
      <c r="C55" s="1">
        <v>1364.0</v>
      </c>
      <c r="D55" s="1">
        <v>-0.006</v>
      </c>
      <c r="E55" s="1">
        <v>1364.0</v>
      </c>
      <c r="F55" s="1">
        <v>-0.017</v>
      </c>
      <c r="G55" s="1">
        <v>1364.0</v>
      </c>
      <c r="H55" s="1">
        <v>-0.017</v>
      </c>
    </row>
    <row r="56" ht="12.75" customHeight="1">
      <c r="A56" s="1">
        <v>1395.0</v>
      </c>
      <c r="B56" s="1">
        <v>0.001</v>
      </c>
      <c r="C56" s="1">
        <v>1395.0</v>
      </c>
      <c r="D56" s="1">
        <v>-0.006</v>
      </c>
      <c r="E56" s="1">
        <v>1395.0</v>
      </c>
      <c r="F56" s="1">
        <v>-0.016</v>
      </c>
      <c r="G56" s="1">
        <v>1395.0</v>
      </c>
      <c r="H56" s="1">
        <v>-0.016</v>
      </c>
    </row>
    <row r="57" ht="12.75" customHeight="1">
      <c r="A57" s="1">
        <v>1426.0</v>
      </c>
      <c r="B57" s="1">
        <v>0.002</v>
      </c>
      <c r="C57" s="1">
        <v>1426.0</v>
      </c>
      <c r="D57" s="1">
        <v>-0.006</v>
      </c>
      <c r="E57" s="1">
        <v>1426.0</v>
      </c>
      <c r="F57" s="1">
        <v>-0.016</v>
      </c>
      <c r="G57" s="1">
        <v>1426.0</v>
      </c>
      <c r="H57" s="1">
        <v>-0.017</v>
      </c>
    </row>
    <row r="58" ht="12.75" customHeight="1">
      <c r="A58" s="1">
        <v>1457.0</v>
      </c>
      <c r="B58" s="1">
        <v>0.001</v>
      </c>
      <c r="C58" s="1">
        <v>1457.0</v>
      </c>
      <c r="D58" s="1">
        <v>-0.005</v>
      </c>
      <c r="E58" s="1">
        <v>1457.0</v>
      </c>
      <c r="F58" s="1">
        <v>-0.016</v>
      </c>
      <c r="G58" s="1">
        <v>1457.0</v>
      </c>
      <c r="H58" s="1">
        <v>-0.017</v>
      </c>
    </row>
    <row r="59" ht="12.75" customHeight="1">
      <c r="A59" s="1">
        <v>1488.0</v>
      </c>
      <c r="B59" s="1">
        <v>0.001</v>
      </c>
      <c r="C59" s="1">
        <v>1488.0</v>
      </c>
      <c r="D59" s="1">
        <v>-0.006</v>
      </c>
      <c r="E59" s="1">
        <v>1488.0</v>
      </c>
      <c r="F59" s="1">
        <v>-0.016</v>
      </c>
      <c r="G59" s="1">
        <v>1488.0</v>
      </c>
      <c r="H59" s="1">
        <v>-0.017</v>
      </c>
    </row>
    <row r="60" ht="12.75" customHeight="1">
      <c r="A60" s="1">
        <v>1519.0</v>
      </c>
      <c r="B60" s="1">
        <v>0.001</v>
      </c>
      <c r="C60" s="1">
        <v>1519.0</v>
      </c>
      <c r="D60" s="1">
        <v>-0.005</v>
      </c>
      <c r="E60" s="1">
        <v>1519.0</v>
      </c>
      <c r="F60" s="1">
        <v>-0.016</v>
      </c>
      <c r="G60" s="1">
        <v>1519.0</v>
      </c>
      <c r="H60" s="1">
        <v>-0.016</v>
      </c>
    </row>
    <row r="61" ht="12.75" customHeight="1">
      <c r="A61" s="1">
        <v>1550.0</v>
      </c>
      <c r="B61" s="1">
        <v>0.001</v>
      </c>
      <c r="C61" s="1">
        <v>1550.0</v>
      </c>
      <c r="D61" s="1">
        <v>-0.005</v>
      </c>
      <c r="E61" s="1">
        <v>1550.0</v>
      </c>
      <c r="F61" s="1">
        <v>-0.016</v>
      </c>
      <c r="G61" s="1">
        <v>1550.0</v>
      </c>
      <c r="H61" s="1">
        <v>-0.017</v>
      </c>
    </row>
    <row r="62" ht="12.75" customHeight="1">
      <c r="A62" s="1">
        <v>1581.0</v>
      </c>
      <c r="B62" s="1">
        <v>0.002</v>
      </c>
      <c r="C62" s="1">
        <v>1581.0</v>
      </c>
      <c r="D62" s="1">
        <v>-0.005</v>
      </c>
      <c r="E62" s="1">
        <v>1581.0</v>
      </c>
      <c r="F62" s="1">
        <v>-0.016</v>
      </c>
      <c r="G62" s="1">
        <v>1581.0</v>
      </c>
      <c r="H62" s="1">
        <v>-0.017</v>
      </c>
    </row>
    <row r="63" ht="12.75" customHeight="1">
      <c r="A63" s="1">
        <v>1612.0</v>
      </c>
      <c r="B63" s="1">
        <v>0.002</v>
      </c>
      <c r="C63" s="1">
        <v>1612.0</v>
      </c>
      <c r="D63" s="1">
        <v>-0.005</v>
      </c>
      <c r="E63" s="1">
        <v>1612.0</v>
      </c>
      <c r="F63" s="1">
        <v>-0.016</v>
      </c>
      <c r="G63" s="1">
        <v>1612.0</v>
      </c>
      <c r="H63" s="1">
        <v>-0.017</v>
      </c>
      <c r="O63" s="1">
        <f>2000/60</f>
        <v>33.33333333</v>
      </c>
    </row>
    <row r="64" ht="12.75" customHeight="1">
      <c r="A64" s="1">
        <v>1643.0</v>
      </c>
      <c r="B64" s="1">
        <v>0.002</v>
      </c>
      <c r="C64" s="1">
        <v>1643.0</v>
      </c>
      <c r="D64" s="1">
        <v>-0.005</v>
      </c>
      <c r="E64" s="1">
        <v>1643.0</v>
      </c>
      <c r="F64" s="1">
        <v>-0.016</v>
      </c>
      <c r="G64" s="1">
        <v>1643.0</v>
      </c>
      <c r="H64" s="1">
        <v>-0.017</v>
      </c>
    </row>
    <row r="65" ht="12.75" customHeight="1">
      <c r="A65" s="1">
        <v>1674.0</v>
      </c>
      <c r="B65" s="1">
        <v>0.002</v>
      </c>
      <c r="C65" s="1">
        <v>1674.0</v>
      </c>
      <c r="D65" s="1">
        <v>-0.005</v>
      </c>
      <c r="E65" s="1">
        <v>1674.0</v>
      </c>
      <c r="F65" s="1">
        <v>-0.016</v>
      </c>
      <c r="G65" s="1">
        <v>1674.0</v>
      </c>
      <c r="H65" s="1">
        <v>-0.017</v>
      </c>
    </row>
    <row r="66" ht="12.75" customHeight="1">
      <c r="A66" s="1">
        <v>1705.0</v>
      </c>
      <c r="B66" s="1">
        <v>0.002</v>
      </c>
      <c r="C66" s="1">
        <v>1705.0</v>
      </c>
      <c r="D66" s="1">
        <v>-0.005</v>
      </c>
      <c r="E66" s="1">
        <v>1705.0</v>
      </c>
      <c r="F66" s="1">
        <v>-0.016</v>
      </c>
      <c r="G66" s="1">
        <v>1705.0</v>
      </c>
      <c r="H66" s="1">
        <v>-0.016</v>
      </c>
    </row>
    <row r="67" ht="12.75" customHeight="1">
      <c r="A67" s="1">
        <v>1736.0</v>
      </c>
      <c r="B67" s="1">
        <v>0.002</v>
      </c>
      <c r="C67" s="1">
        <v>1736.0</v>
      </c>
      <c r="D67" s="1">
        <v>-0.005</v>
      </c>
      <c r="E67" s="1">
        <v>1736.0</v>
      </c>
      <c r="F67" s="1">
        <v>-0.016</v>
      </c>
      <c r="G67" s="1">
        <v>1736.0</v>
      </c>
      <c r="H67" s="1">
        <v>-0.017</v>
      </c>
    </row>
    <row r="68" ht="12.75" customHeight="1">
      <c r="A68" s="1">
        <v>1767.0</v>
      </c>
      <c r="B68" s="1">
        <v>0.002</v>
      </c>
      <c r="C68" s="1">
        <v>1767.0</v>
      </c>
      <c r="D68" s="1">
        <v>-0.005</v>
      </c>
      <c r="E68" s="1">
        <v>1767.0</v>
      </c>
      <c r="F68" s="1">
        <v>-0.016</v>
      </c>
      <c r="G68" s="1">
        <v>1767.0</v>
      </c>
      <c r="H68" s="1">
        <v>-0.016</v>
      </c>
    </row>
    <row r="69" ht="12.75" customHeight="1">
      <c r="A69" s="1">
        <v>1798.0</v>
      </c>
      <c r="B69" s="1">
        <v>0.002</v>
      </c>
      <c r="C69" s="1">
        <v>1798.0</v>
      </c>
      <c r="D69" s="1">
        <v>-0.005</v>
      </c>
      <c r="E69" s="1">
        <v>1798.0</v>
      </c>
      <c r="F69" s="1">
        <v>-0.016</v>
      </c>
      <c r="G69" s="1">
        <v>1798.0</v>
      </c>
      <c r="H69" s="1">
        <v>-0.016</v>
      </c>
    </row>
    <row r="70" ht="12.75" customHeight="1">
      <c r="A70" s="1">
        <v>1829.0</v>
      </c>
      <c r="B70" s="1">
        <v>0.002</v>
      </c>
      <c r="C70" s="1">
        <v>1829.0</v>
      </c>
      <c r="D70" s="1">
        <v>-0.005</v>
      </c>
      <c r="E70" s="1">
        <v>1829.0</v>
      </c>
      <c r="F70" s="1">
        <v>-0.016</v>
      </c>
      <c r="G70" s="1">
        <v>1829.0</v>
      </c>
      <c r="H70" s="1">
        <v>-0.017</v>
      </c>
    </row>
    <row r="71" ht="12.75" customHeight="1">
      <c r="A71" s="1">
        <v>1860.0</v>
      </c>
      <c r="B71" s="1">
        <v>0.002</v>
      </c>
      <c r="C71" s="1">
        <v>1860.0</v>
      </c>
      <c r="D71" s="1">
        <v>-0.004</v>
      </c>
      <c r="E71" s="1">
        <v>1860.0</v>
      </c>
      <c r="F71" s="1">
        <v>-0.016</v>
      </c>
      <c r="G71" s="1">
        <v>1860.0</v>
      </c>
      <c r="H71" s="1">
        <v>-0.016</v>
      </c>
    </row>
    <row r="72" ht="12.75" customHeight="1">
      <c r="A72" s="1">
        <v>1891.0</v>
      </c>
      <c r="B72" s="1">
        <v>0.003</v>
      </c>
      <c r="C72" s="1">
        <v>1891.0</v>
      </c>
      <c r="D72" s="1">
        <v>-0.005</v>
      </c>
      <c r="E72" s="1">
        <v>1891.0</v>
      </c>
      <c r="F72" s="1">
        <v>-0.016</v>
      </c>
      <c r="G72" s="1">
        <v>1891.0</v>
      </c>
      <c r="H72" s="1">
        <v>-0.016</v>
      </c>
    </row>
    <row r="73" ht="12.75" customHeight="1">
      <c r="A73" s="1">
        <v>1922.0</v>
      </c>
      <c r="B73" s="1">
        <v>0.003</v>
      </c>
      <c r="C73" s="1">
        <v>1922.0</v>
      </c>
      <c r="D73" s="1">
        <v>-0.005</v>
      </c>
      <c r="E73" s="1">
        <v>1922.0</v>
      </c>
      <c r="F73" s="1">
        <v>-0.016</v>
      </c>
      <c r="G73" s="1">
        <v>1922.0</v>
      </c>
      <c r="H73" s="1">
        <v>-0.016</v>
      </c>
    </row>
    <row r="74" ht="12.75" customHeight="1">
      <c r="A74" s="1">
        <v>1953.0</v>
      </c>
      <c r="B74" s="1">
        <v>0.002</v>
      </c>
      <c r="C74" s="1">
        <v>1953.0</v>
      </c>
      <c r="D74" s="1">
        <v>-0.004</v>
      </c>
      <c r="E74" s="1">
        <v>1953.0</v>
      </c>
      <c r="F74" s="1">
        <v>-0.016</v>
      </c>
      <c r="G74" s="1">
        <v>1953.0</v>
      </c>
      <c r="H74" s="1">
        <v>-0.016</v>
      </c>
    </row>
    <row r="75" ht="12.75" customHeight="1">
      <c r="A75" s="1">
        <v>1984.0</v>
      </c>
      <c r="B75" s="1">
        <v>0.003</v>
      </c>
      <c r="C75" s="1">
        <v>1984.0</v>
      </c>
      <c r="D75" s="1">
        <v>-0.005</v>
      </c>
      <c r="E75" s="1">
        <v>1984.0</v>
      </c>
      <c r="F75" s="1">
        <v>-0.016</v>
      </c>
      <c r="G75" s="1">
        <v>1984.0</v>
      </c>
      <c r="H75" s="1">
        <v>-0.016</v>
      </c>
    </row>
    <row r="76" ht="12.75" customHeight="1">
      <c r="A76" s="1">
        <v>2015.0</v>
      </c>
      <c r="B76" s="1">
        <v>0.003</v>
      </c>
      <c r="C76" s="1">
        <v>2015.0</v>
      </c>
      <c r="D76" s="1">
        <v>-0.004</v>
      </c>
      <c r="E76" s="1">
        <v>2015.0</v>
      </c>
      <c r="F76" s="1">
        <v>-0.016</v>
      </c>
      <c r="G76" s="1">
        <v>2015.0</v>
      </c>
      <c r="H76" s="1">
        <v>-0.016</v>
      </c>
    </row>
    <row r="77" ht="12.75" customHeight="1">
      <c r="A77" s="1">
        <v>2046.0</v>
      </c>
      <c r="B77" s="1">
        <v>0.003</v>
      </c>
      <c r="C77" s="1">
        <v>2046.0</v>
      </c>
      <c r="D77" s="1">
        <v>-0.005</v>
      </c>
      <c r="E77" s="1">
        <v>2046.0</v>
      </c>
      <c r="F77" s="1">
        <v>-0.016</v>
      </c>
      <c r="G77" s="1">
        <v>2046.0</v>
      </c>
      <c r="H77" s="1">
        <v>-0.016</v>
      </c>
    </row>
    <row r="78" ht="12.75" customHeight="1">
      <c r="A78" s="1">
        <v>2077.0</v>
      </c>
      <c r="B78" s="1">
        <v>0.003</v>
      </c>
      <c r="C78" s="1">
        <v>2077.0</v>
      </c>
      <c r="D78" s="1">
        <v>-0.004</v>
      </c>
      <c r="E78" s="1">
        <v>2077.0</v>
      </c>
      <c r="F78" s="1">
        <v>-0.016</v>
      </c>
      <c r="G78" s="1">
        <v>2077.0</v>
      </c>
      <c r="H78" s="1">
        <v>-0.016</v>
      </c>
    </row>
    <row r="79" ht="12.75" customHeight="1">
      <c r="A79" s="1">
        <v>2108.0</v>
      </c>
      <c r="B79" s="1">
        <v>0.003</v>
      </c>
      <c r="C79" s="1">
        <v>2108.0</v>
      </c>
      <c r="D79" s="1">
        <v>-0.004</v>
      </c>
      <c r="E79" s="1">
        <v>2108.0</v>
      </c>
      <c r="F79" s="1">
        <v>-0.016</v>
      </c>
      <c r="G79" s="1">
        <v>2108.0</v>
      </c>
      <c r="H79" s="1">
        <v>-0.016</v>
      </c>
    </row>
    <row r="80" ht="12.75" customHeight="1">
      <c r="A80" s="1">
        <v>2139.0</v>
      </c>
      <c r="B80" s="1">
        <v>0.003</v>
      </c>
      <c r="C80" s="1">
        <v>2139.0</v>
      </c>
      <c r="D80" s="1">
        <v>-0.004</v>
      </c>
      <c r="E80" s="1">
        <v>2139.0</v>
      </c>
      <c r="F80" s="1">
        <v>-0.016</v>
      </c>
      <c r="G80" s="1">
        <v>2139.0</v>
      </c>
      <c r="H80" s="1">
        <v>-0.016</v>
      </c>
    </row>
    <row r="81" ht="12.75" customHeight="1">
      <c r="A81" s="1">
        <v>2170.0</v>
      </c>
      <c r="B81" s="1">
        <v>0.003</v>
      </c>
      <c r="C81" s="1">
        <v>2170.0</v>
      </c>
      <c r="D81" s="1">
        <v>-0.004</v>
      </c>
      <c r="E81" s="1">
        <v>2170.0</v>
      </c>
      <c r="F81" s="1">
        <v>-0.016</v>
      </c>
      <c r="G81" s="1">
        <v>2170.0</v>
      </c>
      <c r="H81" s="1">
        <v>-0.016</v>
      </c>
    </row>
    <row r="82" ht="12.75" customHeight="1">
      <c r="A82" s="1">
        <v>2201.0</v>
      </c>
      <c r="B82" s="1">
        <v>0.003</v>
      </c>
      <c r="C82" s="1">
        <v>2201.0</v>
      </c>
      <c r="D82" s="1">
        <v>-0.004</v>
      </c>
      <c r="E82" s="1">
        <v>2201.0</v>
      </c>
      <c r="F82" s="1">
        <v>-0.016</v>
      </c>
      <c r="G82" s="1">
        <v>2201.0</v>
      </c>
      <c r="H82" s="1">
        <v>-0.016</v>
      </c>
    </row>
    <row r="83" ht="12.75" customHeight="1">
      <c r="A83" s="1">
        <v>2232.0</v>
      </c>
      <c r="B83" s="1">
        <v>0.003</v>
      </c>
      <c r="C83" s="1">
        <v>2232.0</v>
      </c>
      <c r="D83" s="1">
        <v>-0.004</v>
      </c>
      <c r="E83" s="1">
        <v>2232.0</v>
      </c>
      <c r="F83" s="1">
        <v>-0.016</v>
      </c>
      <c r="G83" s="1">
        <v>2232.0</v>
      </c>
      <c r="H83" s="1">
        <v>-0.016</v>
      </c>
    </row>
    <row r="84" ht="12.75" customHeight="1">
      <c r="A84" s="1">
        <v>2263.0</v>
      </c>
      <c r="B84" s="1">
        <v>0.004</v>
      </c>
      <c r="C84" s="1">
        <v>2263.0</v>
      </c>
      <c r="D84" s="1">
        <v>-0.004</v>
      </c>
      <c r="E84" s="1">
        <v>2263.0</v>
      </c>
      <c r="F84" s="1">
        <v>-0.016</v>
      </c>
      <c r="G84" s="1">
        <v>2263.0</v>
      </c>
      <c r="H84" s="1">
        <v>-0.016</v>
      </c>
    </row>
    <row r="85" ht="12.75" customHeight="1">
      <c r="A85" s="1">
        <v>2294.0</v>
      </c>
      <c r="B85" s="1">
        <v>0.004</v>
      </c>
      <c r="C85" s="1">
        <v>2294.0</v>
      </c>
      <c r="D85" s="1">
        <v>-0.004</v>
      </c>
      <c r="E85" s="1">
        <v>2294.0</v>
      </c>
      <c r="F85" s="1">
        <v>-0.016</v>
      </c>
      <c r="G85" s="1">
        <v>2294.0</v>
      </c>
      <c r="H85" s="1">
        <v>-0.016</v>
      </c>
    </row>
    <row r="86" ht="12.75" customHeight="1">
      <c r="A86" s="1">
        <v>2325.0</v>
      </c>
      <c r="B86" s="1">
        <v>0.004</v>
      </c>
      <c r="C86" s="1">
        <v>2325.0</v>
      </c>
      <c r="D86" s="1">
        <v>-0.004</v>
      </c>
      <c r="E86" s="1">
        <v>2325.0</v>
      </c>
      <c r="F86" s="1">
        <v>-0.016</v>
      </c>
      <c r="G86" s="1">
        <v>2325.0</v>
      </c>
      <c r="H86" s="1">
        <v>-0.016</v>
      </c>
    </row>
    <row r="87" ht="12.75" customHeight="1">
      <c r="A87" s="1">
        <v>2356.0</v>
      </c>
      <c r="B87" s="1">
        <v>0.004</v>
      </c>
      <c r="C87" s="1">
        <v>2356.0</v>
      </c>
      <c r="D87" s="1">
        <v>-0.004</v>
      </c>
      <c r="E87" s="1">
        <v>2356.0</v>
      </c>
      <c r="F87" s="1">
        <v>-0.016</v>
      </c>
      <c r="G87" s="1">
        <v>2356.0</v>
      </c>
      <c r="H87" s="1">
        <v>-0.016</v>
      </c>
    </row>
    <row r="88" ht="12.75" customHeight="1">
      <c r="A88" s="1">
        <v>2387.0</v>
      </c>
      <c r="B88" s="1">
        <v>0.003</v>
      </c>
      <c r="C88" s="1">
        <v>2387.0</v>
      </c>
      <c r="D88" s="1">
        <v>-0.003</v>
      </c>
      <c r="E88" s="1">
        <v>2387.0</v>
      </c>
      <c r="F88" s="1">
        <v>-0.016</v>
      </c>
      <c r="G88" s="1">
        <v>2387.0</v>
      </c>
      <c r="H88" s="1">
        <v>-0.016</v>
      </c>
    </row>
    <row r="89" ht="12.75" customHeight="1">
      <c r="A89" s="1">
        <v>2418.0</v>
      </c>
      <c r="B89" s="1">
        <v>0.003</v>
      </c>
      <c r="C89" s="1">
        <v>2418.0</v>
      </c>
      <c r="D89" s="1">
        <v>-0.003</v>
      </c>
      <c r="E89" s="1">
        <v>2418.0</v>
      </c>
      <c r="F89" s="1">
        <v>-0.016</v>
      </c>
      <c r="G89" s="1">
        <v>2418.0</v>
      </c>
      <c r="H89" s="1">
        <v>-0.016</v>
      </c>
    </row>
    <row r="90" ht="12.75" customHeight="1">
      <c r="A90" s="1">
        <v>2449.0</v>
      </c>
      <c r="B90" s="1">
        <v>0.003</v>
      </c>
      <c r="C90" s="1">
        <v>2449.0</v>
      </c>
      <c r="D90" s="1">
        <v>-0.003</v>
      </c>
      <c r="E90" s="1">
        <v>2449.0</v>
      </c>
      <c r="F90" s="1">
        <v>-0.016</v>
      </c>
      <c r="G90" s="1">
        <v>2449.0</v>
      </c>
      <c r="H90" s="1">
        <v>-0.016</v>
      </c>
    </row>
    <row r="91" ht="12.75" customHeight="1">
      <c r="A91" s="1">
        <v>2480.0</v>
      </c>
      <c r="B91" s="1">
        <v>0.004</v>
      </c>
      <c r="C91" s="1">
        <v>2480.0</v>
      </c>
      <c r="D91" s="1">
        <v>-0.003</v>
      </c>
      <c r="E91" s="1">
        <v>2480.0</v>
      </c>
      <c r="F91" s="1">
        <v>-0.016</v>
      </c>
      <c r="G91" s="1">
        <v>2480.0</v>
      </c>
      <c r="H91" s="1">
        <v>-0.016</v>
      </c>
    </row>
    <row r="92" ht="12.75" customHeight="1">
      <c r="A92" s="1">
        <v>2511.0</v>
      </c>
      <c r="B92" s="1">
        <v>0.004</v>
      </c>
      <c r="C92" s="1">
        <v>2511.0</v>
      </c>
      <c r="D92" s="1">
        <v>-0.003</v>
      </c>
      <c r="E92" s="1">
        <v>2511.0</v>
      </c>
      <c r="F92" s="1">
        <v>-0.016</v>
      </c>
      <c r="G92" s="1">
        <v>2511.0</v>
      </c>
      <c r="H92" s="1">
        <v>-0.016</v>
      </c>
    </row>
    <row r="93" ht="12.75" customHeight="1">
      <c r="A93" s="1">
        <v>2542.0</v>
      </c>
      <c r="B93" s="1">
        <v>0.004</v>
      </c>
      <c r="C93" s="1">
        <v>2542.0</v>
      </c>
      <c r="D93" s="1">
        <v>-0.003</v>
      </c>
      <c r="E93" s="1">
        <v>2542.0</v>
      </c>
      <c r="F93" s="1">
        <v>-0.016</v>
      </c>
      <c r="G93" s="1">
        <v>2542.0</v>
      </c>
      <c r="H93" s="1">
        <v>-0.016</v>
      </c>
    </row>
    <row r="94" ht="12.75" customHeight="1">
      <c r="A94" s="1">
        <v>2573.0</v>
      </c>
      <c r="B94" s="1">
        <v>0.003</v>
      </c>
      <c r="C94" s="1">
        <v>2573.0</v>
      </c>
      <c r="D94" s="1">
        <v>-0.003</v>
      </c>
      <c r="E94" s="1">
        <v>2573.0</v>
      </c>
      <c r="F94" s="1">
        <v>-0.016</v>
      </c>
      <c r="G94" s="1">
        <v>2573.0</v>
      </c>
      <c r="H94" s="1">
        <v>-0.016</v>
      </c>
    </row>
    <row r="95" ht="12.75" customHeight="1">
      <c r="A95" s="1">
        <v>2604.0</v>
      </c>
      <c r="B95" s="1">
        <v>0.004</v>
      </c>
      <c r="C95" s="1">
        <v>2604.0</v>
      </c>
      <c r="D95" s="1">
        <v>-0.003</v>
      </c>
      <c r="E95" s="1">
        <v>2604.0</v>
      </c>
      <c r="F95" s="1">
        <v>-0.016</v>
      </c>
      <c r="G95" s="1">
        <v>2604.0</v>
      </c>
      <c r="H95" s="1">
        <v>-0.016</v>
      </c>
    </row>
    <row r="96" ht="12.75" customHeight="1">
      <c r="A96" s="1">
        <v>2635.0</v>
      </c>
      <c r="B96" s="1">
        <v>0.004</v>
      </c>
      <c r="C96" s="1">
        <v>2635.0</v>
      </c>
      <c r="D96" s="1">
        <v>-0.003</v>
      </c>
      <c r="E96" s="1">
        <v>2635.0</v>
      </c>
      <c r="F96" s="1">
        <v>-0.016</v>
      </c>
      <c r="G96" s="1">
        <v>2635.0</v>
      </c>
      <c r="H96" s="1">
        <v>-0.016</v>
      </c>
    </row>
    <row r="97" ht="12.75" customHeight="1">
      <c r="A97" s="1">
        <v>2666.0</v>
      </c>
      <c r="B97" s="1">
        <v>0.004</v>
      </c>
      <c r="C97" s="1">
        <v>2666.0</v>
      </c>
      <c r="D97" s="1">
        <v>-0.003</v>
      </c>
      <c r="E97" s="1">
        <v>2666.0</v>
      </c>
      <c r="F97" s="1">
        <v>-0.016</v>
      </c>
      <c r="G97" s="1">
        <v>2666.0</v>
      </c>
      <c r="H97" s="1">
        <v>-0.016</v>
      </c>
    </row>
    <row r="98" ht="12.75" customHeight="1">
      <c r="A98" s="1">
        <v>2697.0</v>
      </c>
      <c r="B98" s="1">
        <v>0.004</v>
      </c>
      <c r="C98" s="1">
        <v>2697.0</v>
      </c>
      <c r="D98" s="1">
        <v>-0.003</v>
      </c>
      <c r="E98" s="1">
        <v>2697.0</v>
      </c>
      <c r="F98" s="1">
        <v>-0.015</v>
      </c>
      <c r="G98" s="1">
        <v>2697.0</v>
      </c>
      <c r="H98" s="1">
        <v>-0.016</v>
      </c>
    </row>
    <row r="99" ht="12.75" customHeight="1">
      <c r="A99" s="1">
        <v>2728.0</v>
      </c>
      <c r="B99" s="1">
        <v>0.004</v>
      </c>
      <c r="C99" s="1">
        <v>2728.0</v>
      </c>
      <c r="D99" s="1">
        <v>-0.003</v>
      </c>
      <c r="E99" s="1">
        <v>2728.0</v>
      </c>
      <c r="F99" s="1">
        <v>-0.016</v>
      </c>
      <c r="G99" s="1">
        <v>2728.0</v>
      </c>
      <c r="H99" s="1">
        <v>-0.016</v>
      </c>
    </row>
    <row r="100" ht="12.75" customHeight="1">
      <c r="A100" s="1">
        <v>2759.0</v>
      </c>
      <c r="B100" s="1">
        <v>0.004</v>
      </c>
      <c r="C100" s="1">
        <v>2759.0</v>
      </c>
      <c r="D100" s="1">
        <v>-0.003</v>
      </c>
      <c r="E100" s="1">
        <v>2759.0</v>
      </c>
      <c r="F100" s="1">
        <v>-0.015</v>
      </c>
      <c r="G100" s="1">
        <v>2759.0</v>
      </c>
      <c r="H100" s="1">
        <v>-0.016</v>
      </c>
    </row>
    <row r="101" ht="12.75" customHeight="1">
      <c r="A101" s="1">
        <v>2790.0</v>
      </c>
      <c r="B101" s="1">
        <v>0.004</v>
      </c>
      <c r="C101" s="1">
        <v>2790.0</v>
      </c>
      <c r="D101" s="1">
        <v>-0.003</v>
      </c>
      <c r="E101" s="1">
        <v>2790.0</v>
      </c>
      <c r="F101" s="1">
        <v>-0.015</v>
      </c>
      <c r="G101" s="1">
        <v>2790.0</v>
      </c>
      <c r="H101" s="1">
        <v>-0.016</v>
      </c>
    </row>
    <row r="102" ht="12.75" customHeight="1">
      <c r="A102" s="1">
        <v>2821.0</v>
      </c>
      <c r="B102" s="1">
        <v>0.004</v>
      </c>
      <c r="C102" s="1">
        <v>2821.0</v>
      </c>
      <c r="D102" s="1">
        <v>-0.003</v>
      </c>
      <c r="E102" s="1">
        <v>2821.0</v>
      </c>
      <c r="F102" s="1">
        <v>-0.015</v>
      </c>
      <c r="G102" s="1">
        <v>2821.0</v>
      </c>
      <c r="H102" s="1">
        <v>-0.016</v>
      </c>
    </row>
    <row r="103" ht="12.75" customHeight="1">
      <c r="A103" s="1">
        <v>2852.0</v>
      </c>
      <c r="B103" s="1">
        <v>0.005</v>
      </c>
      <c r="C103" s="1">
        <v>2852.0</v>
      </c>
      <c r="D103" s="1">
        <v>-0.003</v>
      </c>
      <c r="E103" s="1">
        <v>2852.0</v>
      </c>
      <c r="F103" s="1">
        <v>-0.015</v>
      </c>
      <c r="G103" s="1">
        <v>2852.0</v>
      </c>
      <c r="H103" s="1">
        <v>-0.016</v>
      </c>
    </row>
    <row r="104" ht="12.75" customHeight="1">
      <c r="A104" s="1">
        <v>2883.0</v>
      </c>
      <c r="B104" s="1">
        <v>0.005</v>
      </c>
      <c r="C104" s="1">
        <v>2883.0</v>
      </c>
      <c r="D104" s="1">
        <v>-0.002</v>
      </c>
      <c r="E104" s="1">
        <v>2883.0</v>
      </c>
      <c r="F104" s="1">
        <v>-0.015</v>
      </c>
      <c r="G104" s="1">
        <v>2883.0</v>
      </c>
      <c r="H104" s="1">
        <v>-0.016</v>
      </c>
    </row>
    <row r="105" ht="12.75" customHeight="1">
      <c r="A105" s="1">
        <v>2914.0</v>
      </c>
      <c r="B105" s="1">
        <v>0.005</v>
      </c>
      <c r="C105" s="1">
        <v>2914.0</v>
      </c>
      <c r="D105" s="1">
        <v>-0.002</v>
      </c>
      <c r="E105" s="1">
        <v>2914.0</v>
      </c>
      <c r="F105" s="1">
        <v>-0.015</v>
      </c>
      <c r="G105" s="1">
        <v>2914.0</v>
      </c>
      <c r="H105" s="1">
        <v>-0.016</v>
      </c>
    </row>
    <row r="106" ht="12.75" customHeight="1">
      <c r="A106" s="1">
        <v>2945.0</v>
      </c>
      <c r="B106" s="1">
        <v>0.005</v>
      </c>
      <c r="C106" s="1">
        <v>2945.0</v>
      </c>
      <c r="D106" s="1">
        <v>-0.002</v>
      </c>
      <c r="E106" s="1">
        <v>2945.0</v>
      </c>
      <c r="F106" s="1">
        <v>-0.015</v>
      </c>
      <c r="G106" s="1">
        <v>2945.0</v>
      </c>
      <c r="H106" s="1">
        <v>-0.016</v>
      </c>
    </row>
    <row r="107" ht="12.75" customHeight="1">
      <c r="A107" s="1">
        <v>2976.0</v>
      </c>
      <c r="B107" s="1">
        <v>0.005</v>
      </c>
      <c r="C107" s="1">
        <v>2976.0</v>
      </c>
      <c r="D107" s="1">
        <v>-0.002</v>
      </c>
      <c r="E107" s="1">
        <v>2976.0</v>
      </c>
      <c r="F107" s="1">
        <v>-0.015</v>
      </c>
      <c r="G107" s="1">
        <v>2976.0</v>
      </c>
      <c r="H107" s="1">
        <v>-0.016</v>
      </c>
    </row>
    <row r="108" ht="12.75" customHeight="1">
      <c r="A108" s="1">
        <v>3007.0</v>
      </c>
      <c r="B108" s="1">
        <v>0.005</v>
      </c>
      <c r="C108" s="1">
        <v>3007.0</v>
      </c>
      <c r="D108" s="1">
        <v>-0.002</v>
      </c>
      <c r="E108" s="1">
        <v>3007.0</v>
      </c>
      <c r="F108" s="1">
        <v>-0.016</v>
      </c>
      <c r="G108" s="1">
        <v>3007.0</v>
      </c>
      <c r="H108" s="1">
        <v>-0.016</v>
      </c>
    </row>
    <row r="109" ht="12.75" customHeight="1">
      <c r="A109" s="1">
        <v>3038.0</v>
      </c>
      <c r="B109" s="1">
        <v>0.005</v>
      </c>
      <c r="C109" s="1">
        <v>3038.0</v>
      </c>
      <c r="D109" s="1">
        <v>-0.002</v>
      </c>
      <c r="E109" s="1">
        <v>3038.0</v>
      </c>
      <c r="F109" s="1">
        <v>-0.015</v>
      </c>
      <c r="G109" s="1">
        <v>3038.0</v>
      </c>
      <c r="H109" s="1">
        <v>-0.016</v>
      </c>
    </row>
    <row r="110" ht="12.75" customHeight="1">
      <c r="A110" s="1">
        <v>3069.0</v>
      </c>
      <c r="B110" s="1">
        <v>0.005</v>
      </c>
      <c r="C110" s="1">
        <v>3069.0</v>
      </c>
      <c r="D110" s="1">
        <v>-0.002</v>
      </c>
      <c r="E110" s="1">
        <v>3069.0</v>
      </c>
      <c r="F110" s="1">
        <v>-0.016</v>
      </c>
      <c r="G110" s="1">
        <v>3069.0</v>
      </c>
      <c r="H110" s="1">
        <v>-0.016</v>
      </c>
    </row>
    <row r="111" ht="12.75" customHeight="1">
      <c r="A111" s="1">
        <v>3100.0</v>
      </c>
      <c r="B111" s="1">
        <v>0.005</v>
      </c>
      <c r="C111" s="1">
        <v>3100.0</v>
      </c>
      <c r="D111" s="1">
        <v>-0.002</v>
      </c>
      <c r="E111" s="1">
        <v>3100.0</v>
      </c>
      <c r="F111" s="1">
        <v>-0.015</v>
      </c>
      <c r="G111" s="1">
        <v>3100.0</v>
      </c>
      <c r="H111" s="1">
        <v>-0.016</v>
      </c>
    </row>
    <row r="112" ht="12.75" customHeight="1">
      <c r="A112" s="1">
        <v>3131.0</v>
      </c>
      <c r="B112" s="1">
        <v>0.005</v>
      </c>
      <c r="C112" s="1">
        <v>3131.0</v>
      </c>
      <c r="D112" s="1">
        <v>-0.002</v>
      </c>
      <c r="E112" s="1">
        <v>3131.0</v>
      </c>
      <c r="F112" s="1">
        <v>-0.015</v>
      </c>
      <c r="G112" s="1">
        <v>3131.0</v>
      </c>
      <c r="H112" s="1">
        <v>-0.016</v>
      </c>
    </row>
    <row r="113" ht="12.75" customHeight="1">
      <c r="A113" s="1">
        <v>3162.0</v>
      </c>
      <c r="B113" s="1">
        <v>0.005</v>
      </c>
      <c r="C113" s="1">
        <v>3162.0</v>
      </c>
      <c r="D113" s="1">
        <v>-0.001</v>
      </c>
      <c r="E113" s="1">
        <v>3162.0</v>
      </c>
      <c r="F113" s="1">
        <v>-0.015</v>
      </c>
      <c r="G113" s="1">
        <v>3162.0</v>
      </c>
      <c r="H113" s="1">
        <v>-0.016</v>
      </c>
    </row>
    <row r="114" ht="12.75" customHeight="1">
      <c r="A114" s="1">
        <v>3193.0</v>
      </c>
      <c r="B114" s="1">
        <v>0.005</v>
      </c>
      <c r="C114" s="1">
        <v>3193.0</v>
      </c>
      <c r="D114" s="1">
        <v>-0.002</v>
      </c>
      <c r="E114" s="1">
        <v>3193.0</v>
      </c>
      <c r="F114" s="1">
        <v>-0.015</v>
      </c>
      <c r="G114" s="1">
        <v>3193.0</v>
      </c>
      <c r="H114" s="1">
        <v>-0.016</v>
      </c>
    </row>
    <row r="115" ht="12.75" customHeight="1">
      <c r="A115" s="1">
        <v>3224.0</v>
      </c>
      <c r="B115" s="1">
        <v>0.005</v>
      </c>
      <c r="C115" s="1">
        <v>3224.0</v>
      </c>
      <c r="D115" s="1">
        <v>-0.001</v>
      </c>
      <c r="E115" s="1">
        <v>3224.0</v>
      </c>
      <c r="F115" s="1">
        <v>-0.015</v>
      </c>
      <c r="G115" s="1">
        <v>3224.0</v>
      </c>
      <c r="H115" s="1">
        <v>-0.016</v>
      </c>
    </row>
    <row r="116" ht="12.75" customHeight="1">
      <c r="A116" s="1">
        <v>3255.0</v>
      </c>
      <c r="B116" s="1">
        <v>0.006</v>
      </c>
      <c r="C116" s="1">
        <v>3255.0</v>
      </c>
      <c r="D116" s="1">
        <v>-0.001</v>
      </c>
      <c r="E116" s="1">
        <v>3255.0</v>
      </c>
      <c r="F116" s="1">
        <v>-0.015</v>
      </c>
      <c r="G116" s="1">
        <v>3255.0</v>
      </c>
      <c r="H116" s="1">
        <v>-0.016</v>
      </c>
    </row>
    <row r="117" ht="12.75" customHeight="1">
      <c r="A117" s="1">
        <v>3286.0</v>
      </c>
      <c r="B117" s="1">
        <v>0.006</v>
      </c>
      <c r="C117" s="1">
        <v>3286.0</v>
      </c>
      <c r="D117" s="1">
        <v>-0.001</v>
      </c>
      <c r="E117" s="1">
        <v>3286.0</v>
      </c>
      <c r="F117" s="1">
        <v>-0.015</v>
      </c>
      <c r="G117" s="1">
        <v>3286.0</v>
      </c>
      <c r="H117" s="1">
        <v>-0.016</v>
      </c>
    </row>
    <row r="118" ht="12.75" customHeight="1">
      <c r="A118" s="1">
        <v>3317.0</v>
      </c>
      <c r="B118" s="1">
        <v>0.006</v>
      </c>
      <c r="C118" s="1">
        <v>3317.0</v>
      </c>
      <c r="D118" s="1">
        <v>-0.001</v>
      </c>
      <c r="E118" s="1">
        <v>3317.0</v>
      </c>
      <c r="F118" s="1">
        <v>-0.015</v>
      </c>
      <c r="G118" s="1">
        <v>3317.0</v>
      </c>
      <c r="H118" s="1">
        <v>-0.016</v>
      </c>
    </row>
    <row r="119" ht="12.75" customHeight="1">
      <c r="A119" s="1">
        <v>3348.0</v>
      </c>
      <c r="B119" s="1">
        <v>0.005</v>
      </c>
      <c r="C119" s="1">
        <v>3348.0</v>
      </c>
      <c r="D119" s="1">
        <v>-0.001</v>
      </c>
      <c r="E119" s="1">
        <v>3348.0</v>
      </c>
      <c r="F119" s="1">
        <v>-0.015</v>
      </c>
      <c r="G119" s="1">
        <v>3348.0</v>
      </c>
      <c r="H119" s="1">
        <v>-0.015</v>
      </c>
    </row>
    <row r="120" ht="12.75" customHeight="1">
      <c r="A120" s="1">
        <v>3379.0</v>
      </c>
      <c r="B120" s="1">
        <v>0.006</v>
      </c>
      <c r="C120" s="1">
        <v>3379.0</v>
      </c>
      <c r="D120" s="1">
        <v>-0.001</v>
      </c>
      <c r="E120" s="1">
        <v>3379.0</v>
      </c>
      <c r="F120" s="1">
        <v>-0.015</v>
      </c>
      <c r="G120" s="1">
        <v>3379.0</v>
      </c>
      <c r="H120" s="1">
        <v>-0.016</v>
      </c>
    </row>
    <row r="121" ht="12.75" customHeight="1">
      <c r="A121" s="1">
        <v>3410.0</v>
      </c>
      <c r="B121" s="1">
        <v>0.006</v>
      </c>
      <c r="C121" s="1">
        <v>3410.0</v>
      </c>
      <c r="D121" s="1">
        <v>-0.001</v>
      </c>
      <c r="E121" s="1">
        <v>3410.0</v>
      </c>
      <c r="F121" s="1">
        <v>-0.015</v>
      </c>
      <c r="G121" s="1">
        <v>3410.0</v>
      </c>
      <c r="H121" s="1">
        <v>-0.016</v>
      </c>
    </row>
    <row r="122" ht="12.75" customHeight="1">
      <c r="A122" s="1">
        <v>3441.0</v>
      </c>
      <c r="B122" s="1">
        <v>0.006</v>
      </c>
      <c r="C122" s="1">
        <v>3441.0</v>
      </c>
      <c r="D122" s="1">
        <v>-0.001</v>
      </c>
      <c r="E122" s="1">
        <v>3441.0</v>
      </c>
      <c r="F122" s="1">
        <v>-0.015</v>
      </c>
      <c r="G122" s="1">
        <v>3441.0</v>
      </c>
      <c r="H122" s="1">
        <v>-0.016</v>
      </c>
    </row>
    <row r="123" ht="12.75" customHeight="1">
      <c r="A123" s="1">
        <v>3472.0</v>
      </c>
      <c r="B123" s="1">
        <v>0.006</v>
      </c>
      <c r="C123" s="1">
        <v>3472.0</v>
      </c>
      <c r="D123" s="1">
        <v>-0.001</v>
      </c>
      <c r="E123" s="1">
        <v>3472.0</v>
      </c>
      <c r="F123" s="1">
        <v>-0.015</v>
      </c>
      <c r="G123" s="1">
        <v>3472.0</v>
      </c>
      <c r="H123" s="1">
        <v>-0.016</v>
      </c>
    </row>
    <row r="124" ht="12.75" customHeight="1">
      <c r="A124" s="1">
        <v>3503.0</v>
      </c>
      <c r="B124" s="1">
        <v>0.006</v>
      </c>
      <c r="C124" s="1">
        <v>3503.0</v>
      </c>
      <c r="D124" s="1">
        <v>-0.001</v>
      </c>
      <c r="E124" s="1">
        <v>3503.0</v>
      </c>
      <c r="F124" s="1">
        <v>-0.014</v>
      </c>
      <c r="G124" s="1">
        <v>3503.0</v>
      </c>
      <c r="H124" s="1">
        <v>-0.015</v>
      </c>
    </row>
    <row r="125" ht="12.75" customHeight="1">
      <c r="A125" s="1">
        <v>3534.0</v>
      </c>
      <c r="B125" s="1">
        <v>0.006</v>
      </c>
      <c r="C125" s="1">
        <v>3534.0</v>
      </c>
      <c r="D125" s="1">
        <v>0.0</v>
      </c>
      <c r="E125" s="1">
        <v>3534.0</v>
      </c>
      <c r="F125" s="1">
        <v>-0.015</v>
      </c>
      <c r="G125" s="1">
        <v>3534.0</v>
      </c>
      <c r="H125" s="1">
        <v>-0.015</v>
      </c>
    </row>
    <row r="126" ht="12.75" customHeight="1">
      <c r="A126" s="1">
        <v>3565.0</v>
      </c>
      <c r="B126" s="1">
        <v>0.007</v>
      </c>
      <c r="C126" s="1">
        <v>3565.0</v>
      </c>
      <c r="D126" s="1">
        <v>-0.001</v>
      </c>
      <c r="E126" s="1">
        <v>3565.0</v>
      </c>
      <c r="F126" s="1">
        <v>-0.015</v>
      </c>
      <c r="G126" s="1">
        <v>3565.0</v>
      </c>
      <c r="H126" s="1">
        <v>-0.015</v>
      </c>
    </row>
    <row r="127" ht="12.75" customHeight="1">
      <c r="A127" s="1">
        <v>3596.0</v>
      </c>
      <c r="B127" s="1">
        <v>0.007</v>
      </c>
      <c r="C127" s="1">
        <v>3596.0</v>
      </c>
      <c r="D127" s="1">
        <v>0.0</v>
      </c>
      <c r="E127" s="1">
        <v>3596.0</v>
      </c>
      <c r="F127" s="1">
        <v>-0.014</v>
      </c>
      <c r="G127" s="1">
        <v>3596.0</v>
      </c>
      <c r="H127" s="1">
        <v>-0.016</v>
      </c>
    </row>
    <row r="128" ht="12.75" customHeight="1">
      <c r="A128" s="1">
        <v>3627.0</v>
      </c>
      <c r="B128" s="1">
        <v>0.006</v>
      </c>
      <c r="C128" s="1">
        <v>3627.0</v>
      </c>
      <c r="D128" s="1">
        <v>0.0</v>
      </c>
      <c r="E128" s="1">
        <v>3627.0</v>
      </c>
      <c r="F128" s="1">
        <v>-0.014</v>
      </c>
      <c r="G128" s="1">
        <v>3627.0</v>
      </c>
      <c r="H128" s="1">
        <v>-0.015</v>
      </c>
    </row>
    <row r="129" ht="12.75" customHeight="1">
      <c r="A129" s="1">
        <v>3658.0</v>
      </c>
      <c r="B129" s="1">
        <v>0.007</v>
      </c>
      <c r="C129" s="1">
        <v>3658.0</v>
      </c>
      <c r="D129" s="1">
        <v>0.0</v>
      </c>
      <c r="E129" s="1">
        <v>3658.0</v>
      </c>
      <c r="F129" s="1">
        <v>-0.014</v>
      </c>
      <c r="G129" s="1">
        <v>3658.0</v>
      </c>
      <c r="H129" s="1">
        <v>-0.015</v>
      </c>
    </row>
    <row r="130" ht="12.75" customHeight="1">
      <c r="A130" s="1">
        <v>3689.0</v>
      </c>
      <c r="B130" s="1">
        <v>0.006</v>
      </c>
      <c r="C130" s="1">
        <v>3689.0</v>
      </c>
      <c r="D130" s="1">
        <v>0.0</v>
      </c>
      <c r="E130" s="1">
        <v>3689.0</v>
      </c>
      <c r="F130" s="1">
        <v>-0.014</v>
      </c>
      <c r="G130" s="1">
        <v>3689.0</v>
      </c>
      <c r="H130" s="1">
        <v>-0.016</v>
      </c>
    </row>
    <row r="131" ht="12.75" customHeight="1">
      <c r="A131" s="1">
        <v>3720.0</v>
      </c>
      <c r="B131" s="1">
        <v>0.007</v>
      </c>
      <c r="C131" s="1">
        <v>3720.0</v>
      </c>
      <c r="D131" s="1">
        <v>0.0</v>
      </c>
      <c r="E131" s="1">
        <v>3720.0</v>
      </c>
      <c r="F131" s="1">
        <v>-0.014</v>
      </c>
      <c r="G131" s="1">
        <v>3720.0</v>
      </c>
      <c r="H131" s="1">
        <v>-0.016</v>
      </c>
    </row>
    <row r="132" ht="12.75" customHeight="1">
      <c r="A132" s="1">
        <v>3751.0</v>
      </c>
      <c r="B132" s="1">
        <v>0.007</v>
      </c>
      <c r="C132" s="1">
        <v>3751.0</v>
      </c>
      <c r="D132" s="1">
        <v>0.001</v>
      </c>
      <c r="E132" s="1">
        <v>3751.0</v>
      </c>
      <c r="F132" s="1">
        <v>-0.015</v>
      </c>
      <c r="G132" s="1">
        <v>3751.0</v>
      </c>
      <c r="H132" s="1">
        <v>-0.016</v>
      </c>
    </row>
    <row r="133" ht="12.75" customHeight="1">
      <c r="A133" s="1">
        <v>3782.0</v>
      </c>
      <c r="B133" s="1">
        <v>0.007</v>
      </c>
      <c r="C133" s="1">
        <v>3782.0</v>
      </c>
      <c r="D133" s="1">
        <v>0.0</v>
      </c>
      <c r="E133" s="1">
        <v>3782.0</v>
      </c>
      <c r="F133" s="1">
        <v>-0.014</v>
      </c>
      <c r="G133" s="1">
        <v>3782.0</v>
      </c>
      <c r="H133" s="1">
        <v>-0.015</v>
      </c>
    </row>
    <row r="134" ht="12.75" customHeight="1">
      <c r="A134" s="1">
        <v>3813.0</v>
      </c>
      <c r="B134" s="1">
        <v>0.007</v>
      </c>
      <c r="C134" s="1">
        <v>3813.0</v>
      </c>
      <c r="D134" s="1">
        <v>0.0</v>
      </c>
      <c r="E134" s="1">
        <v>3813.0</v>
      </c>
      <c r="F134" s="1">
        <v>-0.014</v>
      </c>
      <c r="G134" s="1">
        <v>3813.0</v>
      </c>
      <c r="H134" s="1">
        <v>-0.015</v>
      </c>
    </row>
    <row r="135" ht="12.75" customHeight="1">
      <c r="A135" s="1">
        <v>3844.0</v>
      </c>
      <c r="B135" s="1">
        <v>0.007</v>
      </c>
      <c r="C135" s="1">
        <v>3844.0</v>
      </c>
      <c r="D135" s="1">
        <v>0.001</v>
      </c>
      <c r="E135" s="1">
        <v>3844.0</v>
      </c>
      <c r="F135" s="1">
        <v>-0.014</v>
      </c>
      <c r="G135" s="1">
        <v>3844.0</v>
      </c>
      <c r="H135" s="1">
        <v>-0.015</v>
      </c>
    </row>
    <row r="136" ht="12.75" customHeight="1">
      <c r="A136" s="1">
        <v>3875.0</v>
      </c>
      <c r="B136" s="1">
        <v>0.007</v>
      </c>
      <c r="C136" s="1">
        <v>3875.0</v>
      </c>
      <c r="D136" s="1">
        <v>0.001</v>
      </c>
      <c r="E136" s="1">
        <v>3875.0</v>
      </c>
      <c r="F136" s="1">
        <v>-0.014</v>
      </c>
      <c r="G136" s="1">
        <v>3875.0</v>
      </c>
      <c r="H136" s="1">
        <v>-0.015</v>
      </c>
    </row>
    <row r="137" ht="12.75" customHeight="1">
      <c r="A137" s="1">
        <v>3906.0</v>
      </c>
      <c r="B137" s="1">
        <v>0.007</v>
      </c>
      <c r="C137" s="1">
        <v>3906.0</v>
      </c>
      <c r="D137" s="1">
        <v>0.0</v>
      </c>
      <c r="E137" s="1">
        <v>3906.0</v>
      </c>
      <c r="F137" s="1">
        <v>-0.014</v>
      </c>
      <c r="G137" s="1">
        <v>3906.0</v>
      </c>
      <c r="H137" s="1">
        <v>-0.015</v>
      </c>
    </row>
    <row r="138" ht="12.75" customHeight="1">
      <c r="A138" s="1">
        <v>3937.0</v>
      </c>
      <c r="B138" s="1">
        <v>0.007</v>
      </c>
      <c r="C138" s="1">
        <v>3937.0</v>
      </c>
      <c r="D138" s="1">
        <v>0.001</v>
      </c>
      <c r="E138" s="1">
        <v>3937.0</v>
      </c>
      <c r="F138" s="1">
        <v>-0.014</v>
      </c>
      <c r="G138" s="1">
        <v>3937.0</v>
      </c>
      <c r="H138" s="1">
        <v>-0.015</v>
      </c>
    </row>
    <row r="139" ht="12.75" customHeight="1">
      <c r="A139" s="1">
        <v>3968.0</v>
      </c>
      <c r="B139" s="1">
        <v>0.008</v>
      </c>
      <c r="C139" s="1">
        <v>3968.0</v>
      </c>
      <c r="D139" s="1">
        <v>0.001</v>
      </c>
      <c r="E139" s="1">
        <v>3968.0</v>
      </c>
      <c r="F139" s="1">
        <v>-0.014</v>
      </c>
      <c r="G139" s="1">
        <v>3968.0</v>
      </c>
      <c r="H139" s="1">
        <v>-0.015</v>
      </c>
    </row>
    <row r="140" ht="12.75" customHeight="1">
      <c r="A140" s="1">
        <v>3999.0</v>
      </c>
      <c r="B140" s="1">
        <v>0.007</v>
      </c>
      <c r="C140" s="1">
        <v>3999.0</v>
      </c>
      <c r="D140" s="1">
        <v>0.001</v>
      </c>
      <c r="E140" s="1">
        <v>3999.0</v>
      </c>
      <c r="F140" s="1">
        <v>-0.014</v>
      </c>
      <c r="G140" s="1">
        <v>3999.0</v>
      </c>
      <c r="H140" s="1">
        <v>-0.015</v>
      </c>
    </row>
    <row r="141" ht="12.75" customHeight="1">
      <c r="A141" s="1">
        <v>4030.0</v>
      </c>
      <c r="B141" s="1">
        <v>0.008</v>
      </c>
      <c r="C141" s="1">
        <v>4030.0</v>
      </c>
      <c r="D141" s="1">
        <v>0.001</v>
      </c>
      <c r="E141" s="1">
        <v>4030.0</v>
      </c>
      <c r="F141" s="1">
        <v>-0.014</v>
      </c>
      <c r="G141" s="1">
        <v>4030.0</v>
      </c>
      <c r="H141" s="1">
        <v>-0.015</v>
      </c>
    </row>
    <row r="142" ht="12.75" customHeight="1">
      <c r="A142" s="1">
        <v>4061.0</v>
      </c>
      <c r="B142" s="1">
        <v>0.008</v>
      </c>
      <c r="C142" s="1">
        <v>4061.0</v>
      </c>
      <c r="D142" s="1">
        <v>0.001</v>
      </c>
      <c r="E142" s="1">
        <v>4061.0</v>
      </c>
      <c r="F142" s="1">
        <v>-0.014</v>
      </c>
      <c r="G142" s="1">
        <v>4061.0</v>
      </c>
      <c r="H142" s="1">
        <v>-0.015</v>
      </c>
    </row>
    <row r="143" ht="12.75" customHeight="1">
      <c r="A143" s="1">
        <v>4092.0</v>
      </c>
      <c r="B143" s="1">
        <v>0.008</v>
      </c>
      <c r="C143" s="1">
        <v>4092.0</v>
      </c>
      <c r="D143" s="1">
        <v>0.001</v>
      </c>
      <c r="E143" s="1">
        <v>4092.0</v>
      </c>
      <c r="F143" s="1">
        <v>-0.014</v>
      </c>
      <c r="G143" s="1">
        <v>4092.0</v>
      </c>
      <c r="H143" s="1">
        <v>-0.015</v>
      </c>
    </row>
    <row r="144" ht="12.75" customHeight="1">
      <c r="A144" s="1">
        <v>4123.0</v>
      </c>
      <c r="B144" s="1">
        <v>0.008</v>
      </c>
      <c r="C144" s="1">
        <v>4123.0</v>
      </c>
      <c r="D144" s="1">
        <v>0.002</v>
      </c>
      <c r="E144" s="1">
        <v>4123.0</v>
      </c>
      <c r="F144" s="1">
        <v>-0.014</v>
      </c>
      <c r="G144" s="1">
        <v>4123.0</v>
      </c>
      <c r="H144" s="1">
        <v>-0.015</v>
      </c>
    </row>
    <row r="145" ht="12.75" customHeight="1">
      <c r="A145" s="1">
        <v>4154.0</v>
      </c>
      <c r="B145" s="1">
        <v>0.009</v>
      </c>
      <c r="C145" s="1">
        <v>4154.0</v>
      </c>
      <c r="D145" s="1">
        <v>0.002</v>
      </c>
      <c r="E145" s="1">
        <v>4154.0</v>
      </c>
      <c r="F145" s="1">
        <v>-0.014</v>
      </c>
      <c r="G145" s="1">
        <v>4154.0</v>
      </c>
      <c r="H145" s="1">
        <v>-0.015</v>
      </c>
    </row>
    <row r="146" ht="12.75" customHeight="1">
      <c r="A146" s="1">
        <v>4185.0</v>
      </c>
      <c r="B146" s="1">
        <v>0.008</v>
      </c>
      <c r="C146" s="1">
        <v>4185.0</v>
      </c>
      <c r="D146" s="1">
        <v>0.002</v>
      </c>
      <c r="E146" s="1">
        <v>4185.0</v>
      </c>
      <c r="F146" s="1">
        <v>-0.014</v>
      </c>
      <c r="G146" s="1">
        <v>4185.0</v>
      </c>
      <c r="H146" s="1">
        <v>-0.015</v>
      </c>
    </row>
    <row r="147" ht="12.75" customHeight="1">
      <c r="A147" s="1">
        <v>4216.0</v>
      </c>
      <c r="B147" s="1">
        <v>0.009</v>
      </c>
      <c r="C147" s="1">
        <v>4216.0</v>
      </c>
      <c r="D147" s="1">
        <v>0.002</v>
      </c>
      <c r="E147" s="1">
        <v>4216.0</v>
      </c>
      <c r="F147" s="1">
        <v>-0.014</v>
      </c>
      <c r="G147" s="1">
        <v>4216.0</v>
      </c>
      <c r="H147" s="1">
        <v>-0.015</v>
      </c>
    </row>
    <row r="148" ht="12.75" customHeight="1">
      <c r="A148" s="1">
        <v>4247.0</v>
      </c>
      <c r="B148" s="1">
        <v>0.008</v>
      </c>
      <c r="C148" s="1">
        <v>4247.0</v>
      </c>
      <c r="D148" s="1">
        <v>0.002</v>
      </c>
      <c r="E148" s="1">
        <v>4247.0</v>
      </c>
      <c r="F148" s="1">
        <v>-0.014</v>
      </c>
      <c r="G148" s="1">
        <v>4247.0</v>
      </c>
      <c r="H148" s="1">
        <v>-0.015</v>
      </c>
    </row>
    <row r="149" ht="12.75" customHeight="1">
      <c r="A149" s="1">
        <v>4278.0</v>
      </c>
      <c r="B149" s="1">
        <v>0.009</v>
      </c>
      <c r="C149" s="1">
        <v>4278.0</v>
      </c>
      <c r="D149" s="1">
        <v>0.002</v>
      </c>
      <c r="E149" s="1">
        <v>4278.0</v>
      </c>
      <c r="F149" s="1">
        <v>-0.014</v>
      </c>
      <c r="G149" s="1">
        <v>4278.0</v>
      </c>
      <c r="H149" s="1">
        <v>-0.015</v>
      </c>
    </row>
    <row r="150" ht="12.75" customHeight="1">
      <c r="A150" s="1">
        <v>4309.0</v>
      </c>
      <c r="B150" s="1">
        <v>0.008</v>
      </c>
      <c r="C150" s="1">
        <v>4309.0</v>
      </c>
      <c r="D150" s="1">
        <v>0.002</v>
      </c>
      <c r="E150" s="1">
        <v>4309.0</v>
      </c>
      <c r="F150" s="1">
        <v>-0.013</v>
      </c>
      <c r="G150" s="1">
        <v>4309.0</v>
      </c>
      <c r="H150" s="1">
        <v>-0.015</v>
      </c>
    </row>
    <row r="151" ht="12.75" customHeight="1">
      <c r="A151" s="1">
        <v>4340.0</v>
      </c>
      <c r="B151" s="1">
        <v>0.009</v>
      </c>
      <c r="C151" s="1">
        <v>4340.0</v>
      </c>
      <c r="D151" s="1">
        <v>0.002</v>
      </c>
      <c r="E151" s="1">
        <v>4340.0</v>
      </c>
      <c r="F151" s="1">
        <v>-0.014</v>
      </c>
      <c r="G151" s="1">
        <v>4340.0</v>
      </c>
      <c r="H151" s="1">
        <v>-0.015</v>
      </c>
    </row>
    <row r="152" ht="12.75" customHeight="1">
      <c r="A152" s="1">
        <v>4371.0</v>
      </c>
      <c r="B152" s="1">
        <v>0.009</v>
      </c>
      <c r="C152" s="1">
        <v>4371.0</v>
      </c>
      <c r="D152" s="1">
        <v>0.002</v>
      </c>
      <c r="E152" s="1">
        <v>4371.0</v>
      </c>
      <c r="F152" s="1">
        <v>-0.014</v>
      </c>
      <c r="G152" s="1">
        <v>4371.0</v>
      </c>
      <c r="H152" s="1">
        <v>-0.015</v>
      </c>
    </row>
    <row r="153" ht="12.75" customHeight="1">
      <c r="A153" s="1">
        <v>4402.0</v>
      </c>
      <c r="B153" s="1">
        <v>0.009</v>
      </c>
      <c r="C153" s="1">
        <v>4402.0</v>
      </c>
      <c r="D153" s="1">
        <v>0.002</v>
      </c>
      <c r="E153" s="1">
        <v>4402.0</v>
      </c>
      <c r="F153" s="1">
        <v>-0.014</v>
      </c>
      <c r="G153" s="1">
        <v>4402.0</v>
      </c>
      <c r="H153" s="1">
        <v>-0.015</v>
      </c>
    </row>
    <row r="154" ht="12.75" customHeight="1">
      <c r="A154" s="1">
        <v>4433.0</v>
      </c>
      <c r="B154" s="1">
        <v>0.01</v>
      </c>
      <c r="C154" s="1">
        <v>4433.0</v>
      </c>
      <c r="D154" s="1">
        <v>0.003</v>
      </c>
      <c r="E154" s="1">
        <v>4433.0</v>
      </c>
      <c r="F154" s="1">
        <v>-0.014</v>
      </c>
      <c r="G154" s="1">
        <v>4433.0</v>
      </c>
      <c r="H154" s="1">
        <v>-0.015</v>
      </c>
    </row>
    <row r="155" ht="12.75" customHeight="1">
      <c r="A155" s="1">
        <v>4464.0</v>
      </c>
      <c r="B155" s="1">
        <v>0.009</v>
      </c>
      <c r="C155" s="1">
        <v>4464.0</v>
      </c>
      <c r="D155" s="1">
        <v>0.003</v>
      </c>
      <c r="E155" s="1">
        <v>4464.0</v>
      </c>
      <c r="F155" s="1">
        <v>-0.014</v>
      </c>
      <c r="G155" s="1">
        <v>4464.0</v>
      </c>
      <c r="H155" s="1">
        <v>-0.015</v>
      </c>
    </row>
    <row r="156" ht="12.75" customHeight="1">
      <c r="A156" s="1">
        <v>4495.0</v>
      </c>
      <c r="B156" s="1">
        <v>0.009</v>
      </c>
      <c r="C156" s="1">
        <v>4495.0</v>
      </c>
      <c r="D156" s="1">
        <v>0.002</v>
      </c>
      <c r="E156" s="1">
        <v>4495.0</v>
      </c>
      <c r="F156" s="1">
        <v>-0.013</v>
      </c>
      <c r="G156" s="1">
        <v>4495.0</v>
      </c>
      <c r="H156" s="1">
        <v>-0.015</v>
      </c>
    </row>
    <row r="157" ht="12.75" customHeight="1">
      <c r="A157" s="1">
        <v>4526.0</v>
      </c>
      <c r="B157" s="1">
        <v>0.01</v>
      </c>
      <c r="C157" s="1">
        <v>4526.0</v>
      </c>
      <c r="D157" s="1">
        <v>0.003</v>
      </c>
      <c r="E157" s="1">
        <v>4526.0</v>
      </c>
      <c r="F157" s="1">
        <v>-0.013</v>
      </c>
      <c r="G157" s="1">
        <v>4526.0</v>
      </c>
      <c r="H157" s="1">
        <v>-0.015</v>
      </c>
    </row>
    <row r="158" ht="12.75" customHeight="1">
      <c r="A158" s="1">
        <v>4557.0</v>
      </c>
      <c r="B158" s="1">
        <v>0.009</v>
      </c>
      <c r="C158" s="1">
        <v>4557.0</v>
      </c>
      <c r="D158" s="1">
        <v>0.003</v>
      </c>
      <c r="E158" s="1">
        <v>4557.0</v>
      </c>
      <c r="F158" s="1">
        <v>-0.013</v>
      </c>
      <c r="G158" s="1">
        <v>4557.0</v>
      </c>
      <c r="H158" s="1">
        <v>-0.015</v>
      </c>
    </row>
    <row r="159" ht="12.75" customHeight="1">
      <c r="A159" s="1">
        <v>4588.0</v>
      </c>
      <c r="B159" s="1">
        <v>0.01</v>
      </c>
      <c r="C159" s="1">
        <v>4588.0</v>
      </c>
      <c r="D159" s="1">
        <v>0.003</v>
      </c>
      <c r="E159" s="1">
        <v>4588.0</v>
      </c>
      <c r="F159" s="1">
        <v>-0.013</v>
      </c>
      <c r="G159" s="1">
        <v>4588.0</v>
      </c>
      <c r="H159" s="1">
        <v>-0.015</v>
      </c>
    </row>
    <row r="160" ht="12.75" customHeight="1">
      <c r="A160" s="1">
        <v>4619.0</v>
      </c>
      <c r="B160" s="1">
        <v>0.01</v>
      </c>
      <c r="C160" s="1">
        <v>4619.0</v>
      </c>
      <c r="D160" s="1">
        <v>0.003</v>
      </c>
      <c r="E160" s="1">
        <v>4619.0</v>
      </c>
      <c r="F160" s="1">
        <v>-0.013</v>
      </c>
      <c r="G160" s="1">
        <v>4619.0</v>
      </c>
      <c r="H160" s="1">
        <v>-0.015</v>
      </c>
    </row>
    <row r="161" ht="12.75" customHeight="1">
      <c r="A161" s="1">
        <v>4650.0</v>
      </c>
      <c r="B161" s="1">
        <v>0.01</v>
      </c>
      <c r="C161" s="1">
        <v>4650.0</v>
      </c>
      <c r="D161" s="1">
        <v>0.004</v>
      </c>
      <c r="E161" s="1">
        <v>4650.0</v>
      </c>
      <c r="F161" s="1">
        <v>-0.013</v>
      </c>
      <c r="G161" s="1">
        <v>4650.0</v>
      </c>
      <c r="H161" s="1">
        <v>-0.015</v>
      </c>
    </row>
    <row r="162" ht="12.75" customHeight="1">
      <c r="A162" s="1">
        <v>4681.0</v>
      </c>
      <c r="B162" s="1">
        <v>0.01</v>
      </c>
      <c r="C162" s="1">
        <v>4681.0</v>
      </c>
      <c r="D162" s="1">
        <v>0.003</v>
      </c>
      <c r="E162" s="1">
        <v>4681.0</v>
      </c>
      <c r="F162" s="1">
        <v>-0.013</v>
      </c>
      <c r="G162" s="1">
        <v>4681.0</v>
      </c>
      <c r="H162" s="1">
        <v>-0.015</v>
      </c>
    </row>
    <row r="163" ht="12.75" customHeight="1">
      <c r="A163" s="1">
        <v>4712.0</v>
      </c>
      <c r="B163" s="1">
        <v>0.01</v>
      </c>
      <c r="C163" s="1">
        <v>4712.0</v>
      </c>
      <c r="D163" s="1">
        <v>0.004</v>
      </c>
      <c r="E163" s="1">
        <v>4712.0</v>
      </c>
      <c r="F163" s="1">
        <v>-0.013</v>
      </c>
      <c r="G163" s="1">
        <v>4712.0</v>
      </c>
      <c r="H163" s="1">
        <v>-0.014</v>
      </c>
    </row>
    <row r="164" ht="12.75" customHeight="1">
      <c r="A164" s="1">
        <v>4743.0</v>
      </c>
      <c r="B164" s="1">
        <v>0.01</v>
      </c>
      <c r="C164" s="1">
        <v>4743.0</v>
      </c>
      <c r="D164" s="1">
        <v>0.004</v>
      </c>
      <c r="E164" s="1">
        <v>4743.0</v>
      </c>
      <c r="F164" s="1">
        <v>-0.013</v>
      </c>
      <c r="G164" s="1">
        <v>4743.0</v>
      </c>
      <c r="H164" s="1">
        <v>-0.015</v>
      </c>
    </row>
    <row r="165" ht="12.75" customHeight="1">
      <c r="A165" s="1">
        <v>4774.0</v>
      </c>
      <c r="B165" s="1">
        <v>0.01</v>
      </c>
      <c r="C165" s="1">
        <v>4774.0</v>
      </c>
      <c r="D165" s="1">
        <v>0.004</v>
      </c>
      <c r="E165" s="1">
        <v>4774.0</v>
      </c>
      <c r="F165" s="1">
        <v>-0.013</v>
      </c>
      <c r="G165" s="1">
        <v>4774.0</v>
      </c>
      <c r="H165" s="1">
        <v>-0.014</v>
      </c>
    </row>
    <row r="166" ht="12.75" customHeight="1">
      <c r="A166" s="1">
        <v>4805.0</v>
      </c>
      <c r="B166" s="1">
        <v>0.01</v>
      </c>
      <c r="C166" s="1">
        <v>4805.0</v>
      </c>
      <c r="D166" s="1">
        <v>0.004</v>
      </c>
      <c r="E166" s="1">
        <v>4805.0</v>
      </c>
      <c r="F166" s="1">
        <v>-0.013</v>
      </c>
      <c r="G166" s="1">
        <v>4805.0</v>
      </c>
      <c r="H166" s="1">
        <v>-0.014</v>
      </c>
    </row>
    <row r="167" ht="12.75" customHeight="1">
      <c r="A167" s="1">
        <v>4836.0</v>
      </c>
      <c r="B167" s="1">
        <v>0.01</v>
      </c>
      <c r="C167" s="1">
        <v>4836.0</v>
      </c>
      <c r="D167" s="1">
        <v>0.004</v>
      </c>
      <c r="E167" s="1">
        <v>4836.0</v>
      </c>
      <c r="F167" s="1">
        <v>-0.013</v>
      </c>
      <c r="G167" s="1">
        <v>4836.0</v>
      </c>
      <c r="H167" s="1">
        <v>-0.014</v>
      </c>
    </row>
    <row r="168" ht="12.75" customHeight="1">
      <c r="A168" s="1">
        <v>4867.0</v>
      </c>
      <c r="B168" s="1">
        <v>0.01</v>
      </c>
      <c r="C168" s="1">
        <v>4867.0</v>
      </c>
      <c r="D168" s="1">
        <v>0.004</v>
      </c>
      <c r="E168" s="1">
        <v>4867.0</v>
      </c>
      <c r="F168" s="1">
        <v>-0.013</v>
      </c>
      <c r="G168" s="1">
        <v>4867.0</v>
      </c>
      <c r="H168" s="1">
        <v>-0.014</v>
      </c>
    </row>
    <row r="169" ht="12.75" customHeight="1">
      <c r="A169" s="1">
        <v>4898.0</v>
      </c>
      <c r="B169" s="1">
        <v>0.01</v>
      </c>
      <c r="C169" s="1">
        <v>4898.0</v>
      </c>
      <c r="D169" s="1">
        <v>0.004</v>
      </c>
      <c r="E169" s="1">
        <v>4898.0</v>
      </c>
      <c r="F169" s="1">
        <v>-0.013</v>
      </c>
      <c r="G169" s="1">
        <v>4898.0</v>
      </c>
      <c r="H169" s="1">
        <v>-0.014</v>
      </c>
    </row>
    <row r="170" ht="12.75" customHeight="1">
      <c r="A170" s="1">
        <v>4929.0</v>
      </c>
      <c r="B170" s="1">
        <v>0.011</v>
      </c>
      <c r="C170" s="1">
        <v>4929.0</v>
      </c>
      <c r="D170" s="1">
        <v>0.004</v>
      </c>
      <c r="E170" s="1">
        <v>4929.0</v>
      </c>
      <c r="F170" s="1">
        <v>-0.013</v>
      </c>
      <c r="G170" s="1">
        <v>4929.0</v>
      </c>
      <c r="H170" s="1">
        <v>-0.014</v>
      </c>
    </row>
    <row r="171" ht="12.75" customHeight="1">
      <c r="A171" s="1">
        <v>4960.0</v>
      </c>
      <c r="B171" s="1">
        <v>0.011</v>
      </c>
      <c r="C171" s="1">
        <v>4960.0</v>
      </c>
      <c r="D171" s="1">
        <v>0.004</v>
      </c>
      <c r="E171" s="1">
        <v>4960.0</v>
      </c>
      <c r="F171" s="1">
        <v>-0.012</v>
      </c>
      <c r="G171" s="1">
        <v>4960.0</v>
      </c>
      <c r="H171" s="1">
        <v>-0.014</v>
      </c>
    </row>
    <row r="172" ht="12.75" customHeight="1">
      <c r="A172" s="1">
        <v>4991.0</v>
      </c>
      <c r="B172" s="1">
        <v>0.011</v>
      </c>
      <c r="C172" s="1">
        <v>4991.0</v>
      </c>
      <c r="D172" s="1">
        <v>0.004</v>
      </c>
      <c r="E172" s="1">
        <v>4991.0</v>
      </c>
      <c r="F172" s="1">
        <v>-0.013</v>
      </c>
      <c r="G172" s="1">
        <v>4991.0</v>
      </c>
      <c r="H172" s="1">
        <v>-0.014</v>
      </c>
    </row>
    <row r="173" ht="12.75" customHeight="1">
      <c r="A173" s="1">
        <v>5022.0</v>
      </c>
      <c r="B173" s="1">
        <v>0.011</v>
      </c>
      <c r="C173" s="1">
        <v>5022.0</v>
      </c>
      <c r="D173" s="1">
        <v>0.005</v>
      </c>
      <c r="E173" s="1">
        <v>5022.0</v>
      </c>
      <c r="F173" s="1">
        <v>-0.012</v>
      </c>
      <c r="G173" s="1">
        <v>5022.0</v>
      </c>
      <c r="H173" s="1">
        <v>-0.014</v>
      </c>
    </row>
    <row r="174" ht="12.75" customHeight="1">
      <c r="A174" s="1">
        <v>5053.0</v>
      </c>
      <c r="B174" s="1">
        <v>0.011</v>
      </c>
      <c r="C174" s="1">
        <v>5053.0</v>
      </c>
      <c r="D174" s="1">
        <v>0.004</v>
      </c>
      <c r="E174" s="1">
        <v>5053.0</v>
      </c>
      <c r="F174" s="1">
        <v>-0.012</v>
      </c>
      <c r="G174" s="1">
        <v>5053.0</v>
      </c>
      <c r="H174" s="1">
        <v>-0.014</v>
      </c>
    </row>
    <row r="175" ht="12.75" customHeight="1">
      <c r="A175" s="1">
        <v>5084.0</v>
      </c>
      <c r="B175" s="1">
        <v>0.011</v>
      </c>
      <c r="C175" s="1">
        <v>5084.0</v>
      </c>
      <c r="D175" s="1">
        <v>0.004</v>
      </c>
      <c r="E175" s="1">
        <v>5084.0</v>
      </c>
      <c r="F175" s="1">
        <v>-0.012</v>
      </c>
      <c r="G175" s="1">
        <v>5084.0</v>
      </c>
      <c r="H175" s="1">
        <v>-0.014</v>
      </c>
    </row>
    <row r="176" ht="12.75" customHeight="1">
      <c r="A176" s="1">
        <v>5115.0</v>
      </c>
      <c r="B176" s="1">
        <v>0.011</v>
      </c>
      <c r="C176" s="1">
        <v>5115.0</v>
      </c>
      <c r="D176" s="1">
        <v>0.005</v>
      </c>
      <c r="E176" s="1">
        <v>5115.0</v>
      </c>
      <c r="F176" s="1">
        <v>-0.012</v>
      </c>
      <c r="G176" s="1">
        <v>5115.0</v>
      </c>
      <c r="H176" s="1">
        <v>-0.014</v>
      </c>
    </row>
    <row r="177" ht="12.75" customHeight="1">
      <c r="A177" s="1">
        <v>5146.0</v>
      </c>
      <c r="B177" s="1">
        <v>0.012</v>
      </c>
      <c r="C177" s="1">
        <v>5146.0</v>
      </c>
      <c r="D177" s="1">
        <v>0.005</v>
      </c>
      <c r="E177" s="1">
        <v>5146.0</v>
      </c>
      <c r="F177" s="1">
        <v>-0.012</v>
      </c>
      <c r="G177" s="1">
        <v>5146.0</v>
      </c>
      <c r="H177" s="1">
        <v>-0.014</v>
      </c>
    </row>
    <row r="178" ht="12.75" customHeight="1">
      <c r="A178" s="1">
        <v>5177.0</v>
      </c>
      <c r="B178" s="1">
        <v>0.011</v>
      </c>
      <c r="C178" s="1">
        <v>5177.0</v>
      </c>
      <c r="D178" s="1">
        <v>0.006</v>
      </c>
      <c r="E178" s="1">
        <v>5177.0</v>
      </c>
      <c r="F178" s="1">
        <v>-0.012</v>
      </c>
      <c r="G178" s="1">
        <v>5177.0</v>
      </c>
      <c r="H178" s="1">
        <v>-0.014</v>
      </c>
    </row>
    <row r="179" ht="12.75" customHeight="1">
      <c r="A179" s="1">
        <v>5208.0</v>
      </c>
      <c r="B179" s="1">
        <v>0.011</v>
      </c>
      <c r="C179" s="1">
        <v>5208.0</v>
      </c>
      <c r="D179" s="1">
        <v>0.005</v>
      </c>
      <c r="E179" s="1">
        <v>5208.0</v>
      </c>
      <c r="F179" s="1">
        <v>-0.012</v>
      </c>
      <c r="G179" s="1">
        <v>5208.0</v>
      </c>
      <c r="H179" s="1">
        <v>-0.014</v>
      </c>
    </row>
    <row r="180" ht="12.75" customHeight="1">
      <c r="A180" s="1">
        <v>5239.0</v>
      </c>
      <c r="B180" s="1">
        <v>0.012</v>
      </c>
      <c r="C180" s="1">
        <v>5239.0</v>
      </c>
      <c r="D180" s="1">
        <v>0.005</v>
      </c>
      <c r="E180" s="1">
        <v>5239.0</v>
      </c>
      <c r="F180" s="1">
        <v>-0.012</v>
      </c>
      <c r="G180" s="1">
        <v>5239.0</v>
      </c>
      <c r="H180" s="1">
        <v>-0.014</v>
      </c>
    </row>
    <row r="181" ht="12.75" customHeight="1">
      <c r="A181" s="1">
        <v>5270.0</v>
      </c>
      <c r="B181" s="1">
        <v>0.011</v>
      </c>
      <c r="C181" s="1">
        <v>5270.0</v>
      </c>
      <c r="D181" s="1">
        <v>0.006</v>
      </c>
      <c r="E181" s="1">
        <v>5270.0</v>
      </c>
      <c r="F181" s="1">
        <v>-0.012</v>
      </c>
      <c r="G181" s="1">
        <v>5270.0</v>
      </c>
      <c r="H181" s="1">
        <v>-0.014</v>
      </c>
    </row>
    <row r="182" ht="12.75" customHeight="1">
      <c r="A182" s="1">
        <v>5301.0</v>
      </c>
      <c r="B182" s="1">
        <v>0.012</v>
      </c>
      <c r="C182" s="1">
        <v>5301.0</v>
      </c>
      <c r="D182" s="1">
        <v>0.006</v>
      </c>
      <c r="E182" s="1">
        <v>5301.0</v>
      </c>
      <c r="F182" s="1">
        <v>-0.012</v>
      </c>
      <c r="G182" s="1">
        <v>5301.0</v>
      </c>
      <c r="H182" s="1">
        <v>-0.014</v>
      </c>
    </row>
    <row r="183" ht="12.75" customHeight="1">
      <c r="A183" s="1">
        <v>5332.0</v>
      </c>
      <c r="B183" s="1">
        <v>0.012</v>
      </c>
      <c r="C183" s="1">
        <v>5332.0</v>
      </c>
      <c r="D183" s="1">
        <v>0.005</v>
      </c>
      <c r="E183" s="1">
        <v>5332.0</v>
      </c>
      <c r="F183" s="1">
        <v>-0.012</v>
      </c>
      <c r="G183" s="1">
        <v>5332.0</v>
      </c>
      <c r="H183" s="1">
        <v>-0.014</v>
      </c>
    </row>
    <row r="184" ht="12.75" customHeight="1">
      <c r="A184" s="1">
        <v>5363.0</v>
      </c>
      <c r="B184" s="1">
        <v>0.012</v>
      </c>
      <c r="C184" s="1">
        <v>5363.0</v>
      </c>
      <c r="D184" s="1">
        <v>0.006</v>
      </c>
      <c r="E184" s="1">
        <v>5363.0</v>
      </c>
      <c r="F184" s="1">
        <v>-0.012</v>
      </c>
      <c r="G184" s="1">
        <v>5363.0</v>
      </c>
      <c r="H184" s="1">
        <v>-0.014</v>
      </c>
    </row>
    <row r="185" ht="12.75" customHeight="1">
      <c r="A185" s="1">
        <v>5394.0</v>
      </c>
      <c r="B185" s="1">
        <v>0.012</v>
      </c>
      <c r="C185" s="1">
        <v>5394.0</v>
      </c>
      <c r="D185" s="1">
        <v>0.006</v>
      </c>
      <c r="E185" s="1">
        <v>5394.0</v>
      </c>
      <c r="F185" s="1">
        <v>-0.012</v>
      </c>
      <c r="G185" s="1">
        <v>5394.0</v>
      </c>
      <c r="H185" s="1">
        <v>-0.014</v>
      </c>
    </row>
    <row r="186" ht="12.75" customHeight="1">
      <c r="A186" s="1">
        <v>5425.0</v>
      </c>
      <c r="B186" s="1">
        <v>0.012</v>
      </c>
      <c r="C186" s="1">
        <v>5425.0</v>
      </c>
      <c r="D186" s="1">
        <v>0.006</v>
      </c>
      <c r="E186" s="1">
        <v>5425.0</v>
      </c>
      <c r="F186" s="1">
        <v>-0.012</v>
      </c>
      <c r="G186" s="1">
        <v>5425.0</v>
      </c>
      <c r="H186" s="1">
        <v>-0.014</v>
      </c>
    </row>
    <row r="187" ht="12.75" customHeight="1">
      <c r="A187" s="1">
        <v>5456.0</v>
      </c>
      <c r="B187" s="1">
        <v>0.012</v>
      </c>
      <c r="C187" s="1">
        <v>5456.0</v>
      </c>
      <c r="D187" s="1">
        <v>0.006</v>
      </c>
      <c r="E187" s="1">
        <v>5456.0</v>
      </c>
      <c r="F187" s="1">
        <v>-0.012</v>
      </c>
      <c r="G187" s="1">
        <v>5456.0</v>
      </c>
      <c r="H187" s="1">
        <v>-0.014</v>
      </c>
    </row>
    <row r="188" ht="12.75" customHeight="1">
      <c r="A188" s="1">
        <v>5487.0</v>
      </c>
      <c r="B188" s="1">
        <v>0.012</v>
      </c>
      <c r="C188" s="1">
        <v>5487.0</v>
      </c>
      <c r="D188" s="1">
        <v>0.006</v>
      </c>
      <c r="E188" s="1">
        <v>5487.0</v>
      </c>
      <c r="F188" s="1">
        <v>-0.012</v>
      </c>
      <c r="G188" s="1">
        <v>5487.0</v>
      </c>
      <c r="H188" s="1">
        <v>-0.014</v>
      </c>
    </row>
    <row r="189" ht="12.75" customHeight="1">
      <c r="A189" s="1">
        <v>5518.0</v>
      </c>
      <c r="B189" s="1">
        <v>0.013</v>
      </c>
      <c r="C189" s="1">
        <v>5518.0</v>
      </c>
      <c r="D189" s="1">
        <v>0.006</v>
      </c>
      <c r="E189" s="1">
        <v>5518.0</v>
      </c>
      <c r="F189" s="1">
        <v>-0.011</v>
      </c>
      <c r="G189" s="1">
        <v>5518.0</v>
      </c>
      <c r="H189" s="1">
        <v>-0.014</v>
      </c>
    </row>
    <row r="190" ht="12.75" customHeight="1">
      <c r="A190" s="1">
        <v>5549.0</v>
      </c>
      <c r="B190" s="1">
        <v>0.012</v>
      </c>
      <c r="C190" s="1">
        <v>5549.0</v>
      </c>
      <c r="D190" s="1">
        <v>0.007</v>
      </c>
      <c r="E190" s="1">
        <v>5549.0</v>
      </c>
      <c r="F190" s="1">
        <v>-0.012</v>
      </c>
      <c r="G190" s="1">
        <v>5549.0</v>
      </c>
      <c r="H190" s="1">
        <v>-0.014</v>
      </c>
    </row>
    <row r="191" ht="12.75" customHeight="1">
      <c r="A191" s="1">
        <v>5580.0</v>
      </c>
      <c r="B191" s="1">
        <v>0.013</v>
      </c>
      <c r="C191" s="1">
        <v>5580.0</v>
      </c>
      <c r="D191" s="1">
        <v>0.006</v>
      </c>
      <c r="E191" s="1">
        <v>5580.0</v>
      </c>
      <c r="F191" s="1">
        <v>-0.011</v>
      </c>
      <c r="G191" s="1">
        <v>5580.0</v>
      </c>
      <c r="H191" s="1">
        <v>-0.014</v>
      </c>
    </row>
    <row r="192" ht="12.75" customHeight="1">
      <c r="A192" s="1">
        <v>5611.0</v>
      </c>
      <c r="B192" s="1">
        <v>0.013</v>
      </c>
      <c r="C192" s="1">
        <v>5611.0</v>
      </c>
      <c r="D192" s="1">
        <v>0.007</v>
      </c>
      <c r="E192" s="1">
        <v>5611.0</v>
      </c>
      <c r="F192" s="1">
        <v>-0.012</v>
      </c>
      <c r="G192" s="1">
        <v>5611.0</v>
      </c>
      <c r="H192" s="1">
        <v>-0.014</v>
      </c>
    </row>
    <row r="193" ht="12.75" customHeight="1">
      <c r="A193" s="1">
        <v>5642.0</v>
      </c>
      <c r="B193" s="1">
        <v>0.012</v>
      </c>
      <c r="C193" s="1">
        <v>5642.0</v>
      </c>
      <c r="D193" s="1">
        <v>0.007</v>
      </c>
      <c r="E193" s="1">
        <v>5642.0</v>
      </c>
      <c r="F193" s="1">
        <v>-0.011</v>
      </c>
      <c r="G193" s="1">
        <v>5642.0</v>
      </c>
      <c r="H193" s="1">
        <v>-0.014</v>
      </c>
    </row>
    <row r="194" ht="12.75" customHeight="1">
      <c r="A194" s="1">
        <v>5673.0</v>
      </c>
      <c r="B194" s="1">
        <v>0.013</v>
      </c>
      <c r="C194" s="1">
        <v>5673.0</v>
      </c>
      <c r="D194" s="1">
        <v>0.007</v>
      </c>
      <c r="E194" s="1">
        <v>5673.0</v>
      </c>
      <c r="F194" s="1">
        <v>-0.011</v>
      </c>
      <c r="G194" s="1">
        <v>5673.0</v>
      </c>
      <c r="H194" s="1">
        <v>-0.014</v>
      </c>
    </row>
    <row r="195" ht="12.75" customHeight="1">
      <c r="A195" s="1">
        <v>5704.0</v>
      </c>
      <c r="B195" s="1">
        <v>0.013</v>
      </c>
      <c r="C195" s="1">
        <v>5704.0</v>
      </c>
      <c r="D195" s="1">
        <v>0.007</v>
      </c>
      <c r="E195" s="1">
        <v>5704.0</v>
      </c>
      <c r="F195" s="1">
        <v>-0.011</v>
      </c>
      <c r="G195" s="1">
        <v>5704.0</v>
      </c>
      <c r="H195" s="1">
        <v>-0.014</v>
      </c>
    </row>
    <row r="196" ht="12.75" customHeight="1">
      <c r="A196" s="1">
        <v>5735.0</v>
      </c>
      <c r="B196" s="1">
        <v>0.013</v>
      </c>
      <c r="C196" s="1">
        <v>5735.0</v>
      </c>
      <c r="D196" s="1">
        <v>0.007</v>
      </c>
      <c r="E196" s="1">
        <v>5735.0</v>
      </c>
      <c r="F196" s="1">
        <v>-0.011</v>
      </c>
      <c r="G196" s="1">
        <v>5735.0</v>
      </c>
      <c r="H196" s="1">
        <v>-0.013</v>
      </c>
    </row>
    <row r="197" ht="12.75" customHeight="1">
      <c r="A197" s="1">
        <v>5766.0</v>
      </c>
      <c r="B197" s="1">
        <v>0.013</v>
      </c>
      <c r="C197" s="1">
        <v>5766.0</v>
      </c>
      <c r="D197" s="1">
        <v>0.008</v>
      </c>
      <c r="E197" s="1">
        <v>5766.0</v>
      </c>
      <c r="F197" s="1">
        <v>-0.011</v>
      </c>
      <c r="G197" s="1">
        <v>5766.0</v>
      </c>
      <c r="H197" s="1">
        <v>-0.014</v>
      </c>
    </row>
    <row r="198" ht="12.75" customHeight="1">
      <c r="A198" s="1">
        <v>5797.0</v>
      </c>
      <c r="B198" s="1">
        <v>0.013</v>
      </c>
      <c r="C198" s="1">
        <v>5797.0</v>
      </c>
      <c r="D198" s="1">
        <v>0.007</v>
      </c>
      <c r="E198" s="1">
        <v>5797.0</v>
      </c>
      <c r="F198" s="1">
        <v>-0.011</v>
      </c>
      <c r="G198" s="1">
        <v>5797.0</v>
      </c>
      <c r="H198" s="1">
        <v>-0.013</v>
      </c>
    </row>
    <row r="199" ht="12.75" customHeight="1">
      <c r="A199" s="1">
        <v>5828.0</v>
      </c>
      <c r="B199" s="1">
        <v>0.014</v>
      </c>
      <c r="C199" s="1">
        <v>5828.0</v>
      </c>
      <c r="D199" s="1">
        <v>0.008</v>
      </c>
      <c r="E199" s="1">
        <v>5828.0</v>
      </c>
      <c r="F199" s="1">
        <v>-0.011</v>
      </c>
      <c r="G199" s="1">
        <v>5828.0</v>
      </c>
      <c r="H199" s="1">
        <v>-0.013</v>
      </c>
    </row>
    <row r="200" ht="12.75" customHeight="1">
      <c r="A200" s="1">
        <v>5859.0</v>
      </c>
      <c r="B200" s="1">
        <v>0.014</v>
      </c>
      <c r="C200" s="1">
        <v>5859.0</v>
      </c>
      <c r="D200" s="1">
        <v>0.008</v>
      </c>
      <c r="E200" s="1">
        <v>5859.0</v>
      </c>
      <c r="F200" s="1">
        <v>-0.011</v>
      </c>
      <c r="G200" s="1">
        <v>5859.0</v>
      </c>
      <c r="H200" s="1">
        <v>-0.014</v>
      </c>
    </row>
    <row r="201" ht="12.75" customHeight="1">
      <c r="A201" s="1">
        <v>5890.0</v>
      </c>
      <c r="B201" s="1">
        <v>0.014</v>
      </c>
      <c r="C201" s="1">
        <v>5890.0</v>
      </c>
      <c r="D201" s="1">
        <v>0.008</v>
      </c>
      <c r="E201" s="1">
        <v>5890.0</v>
      </c>
      <c r="F201" s="1">
        <v>-0.011</v>
      </c>
      <c r="G201" s="1">
        <v>5890.0</v>
      </c>
      <c r="H201" s="1">
        <v>-0.014</v>
      </c>
    </row>
    <row r="202" ht="12.75" customHeight="1">
      <c r="A202" s="1">
        <v>5921.0</v>
      </c>
      <c r="B202" s="1">
        <v>0.014</v>
      </c>
      <c r="C202" s="1">
        <v>5921.0</v>
      </c>
      <c r="D202" s="1">
        <v>0.008</v>
      </c>
      <c r="E202" s="1">
        <v>5921.0</v>
      </c>
      <c r="F202" s="1">
        <v>-0.011</v>
      </c>
      <c r="G202" s="1">
        <v>5921.0</v>
      </c>
      <c r="H202" s="1">
        <v>-0.013</v>
      </c>
    </row>
    <row r="203" ht="12.75" customHeight="1">
      <c r="A203" s="1">
        <v>5952.0</v>
      </c>
      <c r="B203" s="1">
        <v>0.014</v>
      </c>
      <c r="C203" s="1">
        <v>5952.0</v>
      </c>
      <c r="D203" s="1">
        <v>0.008</v>
      </c>
      <c r="E203" s="1">
        <v>5952.0</v>
      </c>
      <c r="F203" s="1">
        <v>-0.011</v>
      </c>
      <c r="G203" s="1">
        <v>5952.0</v>
      </c>
      <c r="H203" s="1">
        <v>-0.013</v>
      </c>
    </row>
    <row r="204" ht="12.75" customHeight="1">
      <c r="A204" s="1">
        <v>5983.0</v>
      </c>
      <c r="B204" s="1">
        <v>0.015</v>
      </c>
      <c r="C204" s="1">
        <v>5983.0</v>
      </c>
      <c r="D204" s="1">
        <v>0.008</v>
      </c>
      <c r="E204" s="1">
        <v>5983.0</v>
      </c>
      <c r="F204" s="1">
        <v>-0.011</v>
      </c>
      <c r="G204" s="1">
        <v>5983.0</v>
      </c>
      <c r="H204" s="1">
        <v>-0.013</v>
      </c>
    </row>
    <row r="205" ht="12.75" customHeight="1">
      <c r="A205" s="1">
        <v>6014.0</v>
      </c>
      <c r="B205" s="1">
        <v>0.014</v>
      </c>
      <c r="C205" s="1">
        <v>6014.0</v>
      </c>
      <c r="D205" s="1">
        <v>0.009</v>
      </c>
      <c r="E205" s="1">
        <v>6014.0</v>
      </c>
      <c r="F205" s="1">
        <v>-0.011</v>
      </c>
      <c r="G205" s="1">
        <v>6014.0</v>
      </c>
      <c r="H205" s="1">
        <v>-0.013</v>
      </c>
    </row>
    <row r="206" ht="12.75" customHeight="1">
      <c r="A206" s="1">
        <v>6045.0</v>
      </c>
      <c r="B206" s="1">
        <v>0.014</v>
      </c>
      <c r="C206" s="1">
        <v>6045.0</v>
      </c>
      <c r="D206" s="1">
        <v>0.008</v>
      </c>
      <c r="E206" s="1">
        <v>6045.0</v>
      </c>
      <c r="F206" s="1">
        <v>-0.011</v>
      </c>
      <c r="G206" s="1">
        <v>6045.0</v>
      </c>
      <c r="H206" s="1">
        <v>-0.013</v>
      </c>
    </row>
    <row r="207" ht="12.75" customHeight="1">
      <c r="A207" s="1">
        <v>6076.0</v>
      </c>
      <c r="B207" s="1">
        <v>0.015</v>
      </c>
      <c r="C207" s="1">
        <v>6076.0</v>
      </c>
      <c r="D207" s="1">
        <v>0.008</v>
      </c>
      <c r="E207" s="1">
        <v>6076.0</v>
      </c>
      <c r="F207" s="1">
        <v>-0.011</v>
      </c>
      <c r="G207" s="1">
        <v>6076.0</v>
      </c>
      <c r="H207" s="1">
        <v>-0.013</v>
      </c>
    </row>
    <row r="208" ht="12.75" customHeight="1">
      <c r="A208" s="1">
        <v>6107.0</v>
      </c>
      <c r="B208" s="1">
        <v>0.015</v>
      </c>
      <c r="C208" s="1">
        <v>6107.0</v>
      </c>
      <c r="D208" s="1">
        <v>0.008</v>
      </c>
      <c r="E208" s="1">
        <v>6107.0</v>
      </c>
      <c r="F208" s="1">
        <v>-0.01</v>
      </c>
      <c r="G208" s="1">
        <v>6107.0</v>
      </c>
      <c r="H208" s="1">
        <v>-0.013</v>
      </c>
    </row>
    <row r="209" ht="12.75" customHeight="1">
      <c r="A209" s="1">
        <v>6138.0</v>
      </c>
      <c r="B209" s="1">
        <v>0.015</v>
      </c>
      <c r="C209" s="1">
        <v>6138.0</v>
      </c>
      <c r="D209" s="1">
        <v>0.008</v>
      </c>
      <c r="E209" s="1">
        <v>6138.0</v>
      </c>
      <c r="F209" s="1">
        <v>-0.011</v>
      </c>
      <c r="G209" s="1">
        <v>6138.0</v>
      </c>
      <c r="H209" s="1">
        <v>-0.013</v>
      </c>
    </row>
    <row r="210" ht="12.75" customHeight="1">
      <c r="A210" s="1">
        <v>6169.0</v>
      </c>
      <c r="B210" s="1">
        <v>0.015</v>
      </c>
      <c r="C210" s="1">
        <v>6169.0</v>
      </c>
      <c r="D210" s="1">
        <v>0.008</v>
      </c>
      <c r="E210" s="1">
        <v>6169.0</v>
      </c>
      <c r="F210" s="1">
        <v>-0.01</v>
      </c>
      <c r="G210" s="1">
        <v>6169.0</v>
      </c>
      <c r="H210" s="1">
        <v>-0.013</v>
      </c>
    </row>
    <row r="211" ht="12.75" customHeight="1">
      <c r="A211" s="1">
        <v>6200.0</v>
      </c>
      <c r="B211" s="1">
        <v>0.015</v>
      </c>
      <c r="C211" s="1">
        <v>6200.0</v>
      </c>
      <c r="D211" s="1">
        <v>0.008</v>
      </c>
      <c r="E211" s="1">
        <v>6200.0</v>
      </c>
      <c r="F211" s="1">
        <v>-0.011</v>
      </c>
      <c r="G211" s="1">
        <v>6200.0</v>
      </c>
      <c r="H211" s="1">
        <v>-0.013</v>
      </c>
    </row>
    <row r="212" ht="12.75" customHeight="1">
      <c r="A212" s="1">
        <v>6231.0</v>
      </c>
      <c r="B212" s="1">
        <v>0.015</v>
      </c>
      <c r="C212" s="1">
        <v>6231.0</v>
      </c>
      <c r="D212" s="1">
        <v>0.008</v>
      </c>
      <c r="E212" s="1">
        <v>6231.0</v>
      </c>
      <c r="F212" s="1">
        <v>-0.01</v>
      </c>
      <c r="G212" s="1">
        <v>6231.0</v>
      </c>
      <c r="H212" s="1">
        <v>-0.013</v>
      </c>
    </row>
    <row r="213" ht="12.75" customHeight="1">
      <c r="A213" s="1">
        <v>6262.0</v>
      </c>
      <c r="B213" s="1">
        <v>0.015</v>
      </c>
      <c r="C213" s="1">
        <v>6262.0</v>
      </c>
      <c r="D213" s="1">
        <v>0.008</v>
      </c>
      <c r="E213" s="1">
        <v>6262.0</v>
      </c>
      <c r="F213" s="1">
        <v>-0.011</v>
      </c>
      <c r="G213" s="1">
        <v>6262.0</v>
      </c>
      <c r="H213" s="1">
        <v>-0.013</v>
      </c>
    </row>
    <row r="214" ht="12.75" customHeight="1">
      <c r="A214" s="1">
        <v>6293.0</v>
      </c>
      <c r="B214" s="1">
        <v>0.016</v>
      </c>
      <c r="C214" s="1">
        <v>6293.0</v>
      </c>
      <c r="D214" s="1">
        <v>0.009</v>
      </c>
      <c r="E214" s="1">
        <v>6293.0</v>
      </c>
      <c r="F214" s="1">
        <v>-0.01</v>
      </c>
      <c r="G214" s="1">
        <v>6293.0</v>
      </c>
      <c r="H214" s="1">
        <v>-0.013</v>
      </c>
    </row>
    <row r="215" ht="12.75" customHeight="1">
      <c r="A215" s="1">
        <v>6324.0</v>
      </c>
      <c r="B215" s="1">
        <v>0.016</v>
      </c>
      <c r="C215" s="1">
        <v>6324.0</v>
      </c>
      <c r="D215" s="1">
        <v>0.008</v>
      </c>
      <c r="E215" s="1">
        <v>6324.0</v>
      </c>
      <c r="F215" s="1">
        <v>-0.01</v>
      </c>
      <c r="G215" s="1">
        <v>6324.0</v>
      </c>
      <c r="H215" s="1">
        <v>-0.013</v>
      </c>
    </row>
    <row r="216" ht="12.75" customHeight="1">
      <c r="A216" s="1">
        <v>6355.0</v>
      </c>
      <c r="B216" s="1">
        <v>0.015</v>
      </c>
      <c r="C216" s="1">
        <v>6355.0</v>
      </c>
      <c r="D216" s="1">
        <v>0.009</v>
      </c>
      <c r="E216" s="1">
        <v>6355.0</v>
      </c>
      <c r="F216" s="1">
        <v>-0.01</v>
      </c>
      <c r="G216" s="1">
        <v>6355.0</v>
      </c>
      <c r="H216" s="1">
        <v>-0.013</v>
      </c>
    </row>
    <row r="217" ht="12.75" customHeight="1">
      <c r="A217" s="1">
        <v>6386.0</v>
      </c>
      <c r="B217" s="1">
        <v>0.015</v>
      </c>
      <c r="C217" s="1">
        <v>6386.0</v>
      </c>
      <c r="D217" s="1">
        <v>0.009</v>
      </c>
      <c r="E217" s="1">
        <v>6386.0</v>
      </c>
      <c r="F217" s="1">
        <v>-0.01</v>
      </c>
      <c r="G217" s="1">
        <v>6386.0</v>
      </c>
      <c r="H217" s="1">
        <v>-0.013</v>
      </c>
    </row>
    <row r="218" ht="12.75" customHeight="1">
      <c r="A218" s="1">
        <v>6417.0</v>
      </c>
      <c r="B218" s="1">
        <v>0.015</v>
      </c>
      <c r="C218" s="1">
        <v>6417.0</v>
      </c>
      <c r="D218" s="1">
        <v>0.009</v>
      </c>
      <c r="E218" s="1">
        <v>6417.0</v>
      </c>
      <c r="F218" s="1">
        <v>-0.01</v>
      </c>
      <c r="G218" s="1">
        <v>6417.0</v>
      </c>
      <c r="H218" s="1">
        <v>-0.013</v>
      </c>
    </row>
    <row r="219" ht="12.75" customHeight="1">
      <c r="A219" s="1">
        <v>6448.0</v>
      </c>
      <c r="B219" s="1">
        <v>0.016</v>
      </c>
      <c r="C219" s="1">
        <v>6448.0</v>
      </c>
      <c r="D219" s="1">
        <v>0.009</v>
      </c>
      <c r="E219" s="1">
        <v>6448.0</v>
      </c>
      <c r="F219" s="1">
        <v>-0.01</v>
      </c>
      <c r="G219" s="1">
        <v>6448.0</v>
      </c>
      <c r="H219" s="1">
        <v>-0.013</v>
      </c>
    </row>
    <row r="220" ht="12.75" customHeight="1">
      <c r="A220" s="1">
        <v>6479.0</v>
      </c>
      <c r="B220" s="1">
        <v>0.015</v>
      </c>
      <c r="C220" s="1">
        <v>6479.0</v>
      </c>
      <c r="D220" s="1">
        <v>0.009</v>
      </c>
      <c r="E220" s="1">
        <v>6479.0</v>
      </c>
      <c r="F220" s="1">
        <v>-0.01</v>
      </c>
      <c r="G220" s="1">
        <v>6479.0</v>
      </c>
      <c r="H220" s="1">
        <v>-0.012</v>
      </c>
    </row>
    <row r="221" ht="12.75" customHeight="1">
      <c r="A221" s="1">
        <v>6510.0</v>
      </c>
      <c r="B221" s="1">
        <v>0.014</v>
      </c>
      <c r="C221" s="1">
        <v>6510.0</v>
      </c>
      <c r="D221" s="1">
        <v>0.009</v>
      </c>
      <c r="E221" s="1">
        <v>6510.0</v>
      </c>
      <c r="F221" s="1">
        <v>-0.01</v>
      </c>
      <c r="G221" s="1">
        <v>6510.0</v>
      </c>
      <c r="H221" s="1">
        <v>-0.013</v>
      </c>
    </row>
    <row r="222" ht="12.75" customHeight="1">
      <c r="A222" s="1">
        <v>6541.0</v>
      </c>
      <c r="B222" s="1">
        <v>0.015</v>
      </c>
      <c r="C222" s="1">
        <v>6541.0</v>
      </c>
      <c r="D222" s="1">
        <v>0.01</v>
      </c>
      <c r="E222" s="1">
        <v>6541.0</v>
      </c>
      <c r="F222" s="1">
        <v>-0.01</v>
      </c>
      <c r="G222" s="1">
        <v>6541.0</v>
      </c>
      <c r="H222" s="1">
        <v>-0.013</v>
      </c>
    </row>
    <row r="223" ht="12.75" customHeight="1">
      <c r="A223" s="1">
        <v>6572.0</v>
      </c>
      <c r="B223" s="1">
        <v>0.015</v>
      </c>
      <c r="C223" s="1">
        <v>6572.0</v>
      </c>
      <c r="D223" s="1">
        <v>0.01</v>
      </c>
      <c r="E223" s="1">
        <v>6572.0</v>
      </c>
      <c r="F223" s="1">
        <v>-0.01</v>
      </c>
      <c r="G223" s="1">
        <v>6572.0</v>
      </c>
      <c r="H223" s="1">
        <v>-0.013</v>
      </c>
    </row>
    <row r="224" ht="12.75" customHeight="1">
      <c r="A224" s="1">
        <v>6603.0</v>
      </c>
      <c r="B224" s="1">
        <v>0.015</v>
      </c>
      <c r="C224" s="1">
        <v>6603.0</v>
      </c>
      <c r="D224" s="1">
        <v>0.01</v>
      </c>
      <c r="E224" s="1">
        <v>6603.0</v>
      </c>
      <c r="F224" s="1">
        <v>-0.01</v>
      </c>
      <c r="G224" s="1">
        <v>6603.0</v>
      </c>
      <c r="H224" s="1">
        <v>-0.013</v>
      </c>
    </row>
    <row r="225" ht="12.75" customHeight="1">
      <c r="A225" s="1">
        <v>6634.0</v>
      </c>
      <c r="B225" s="1">
        <v>0.015</v>
      </c>
      <c r="C225" s="1">
        <v>6634.0</v>
      </c>
      <c r="D225" s="1">
        <v>0.01</v>
      </c>
      <c r="E225" s="1">
        <v>6634.0</v>
      </c>
      <c r="F225" s="1">
        <v>-0.01</v>
      </c>
      <c r="G225" s="1">
        <v>6634.0</v>
      </c>
      <c r="H225" s="1">
        <v>-0.012</v>
      </c>
    </row>
    <row r="226" ht="12.75" customHeight="1">
      <c r="A226" s="1">
        <v>6665.0</v>
      </c>
      <c r="B226" s="1">
        <v>0.015</v>
      </c>
      <c r="C226" s="1">
        <v>6665.0</v>
      </c>
      <c r="D226" s="1">
        <v>0.01</v>
      </c>
      <c r="E226" s="1">
        <v>6665.0</v>
      </c>
      <c r="F226" s="1">
        <v>-0.01</v>
      </c>
      <c r="G226" s="1">
        <v>6665.0</v>
      </c>
      <c r="H226" s="1">
        <v>-0.013</v>
      </c>
    </row>
    <row r="227" ht="12.75" customHeight="1">
      <c r="A227" s="1">
        <v>6696.0</v>
      </c>
      <c r="B227" s="1">
        <v>0.014</v>
      </c>
      <c r="C227" s="1">
        <v>6696.0</v>
      </c>
      <c r="D227" s="1">
        <v>0.01</v>
      </c>
      <c r="E227" s="1">
        <v>6696.0</v>
      </c>
      <c r="F227" s="1">
        <v>-0.01</v>
      </c>
      <c r="G227" s="1">
        <v>6696.0</v>
      </c>
      <c r="H227" s="1">
        <v>-0.013</v>
      </c>
    </row>
    <row r="228" ht="12.75" customHeight="1">
      <c r="A228" s="1">
        <v>6727.0</v>
      </c>
      <c r="B228" s="1">
        <v>0.015</v>
      </c>
      <c r="C228" s="1">
        <v>6727.0</v>
      </c>
      <c r="D228" s="1">
        <v>0.011</v>
      </c>
      <c r="E228" s="1">
        <v>6727.0</v>
      </c>
      <c r="F228" s="1">
        <v>-0.01</v>
      </c>
      <c r="G228" s="1">
        <v>6727.0</v>
      </c>
      <c r="H228" s="1">
        <v>-0.013</v>
      </c>
    </row>
    <row r="229" ht="12.75" customHeight="1">
      <c r="A229" s="1">
        <v>6758.0</v>
      </c>
      <c r="B229" s="1">
        <v>0.015</v>
      </c>
      <c r="C229" s="1">
        <v>6758.0</v>
      </c>
      <c r="D229" s="1">
        <v>0.01</v>
      </c>
      <c r="E229" s="1">
        <v>6758.0</v>
      </c>
      <c r="F229" s="1">
        <v>-0.009</v>
      </c>
      <c r="G229" s="1">
        <v>6758.0</v>
      </c>
      <c r="H229" s="1">
        <v>-0.012</v>
      </c>
    </row>
    <row r="230" ht="12.75" customHeight="1">
      <c r="A230" s="1">
        <v>6789.0</v>
      </c>
      <c r="B230" s="1">
        <v>0.015</v>
      </c>
      <c r="C230" s="1">
        <v>6789.0</v>
      </c>
      <c r="D230" s="1">
        <v>0.01</v>
      </c>
      <c r="E230" s="1">
        <v>6789.0</v>
      </c>
      <c r="F230" s="1">
        <v>-0.01</v>
      </c>
      <c r="G230" s="1">
        <v>6789.0</v>
      </c>
      <c r="H230" s="1">
        <v>-0.012</v>
      </c>
    </row>
    <row r="231" ht="12.75" customHeight="1">
      <c r="A231" s="1">
        <v>6820.0</v>
      </c>
      <c r="B231" s="1">
        <v>0.015</v>
      </c>
      <c r="C231" s="1">
        <v>6820.0</v>
      </c>
      <c r="D231" s="1">
        <v>0.011</v>
      </c>
      <c r="E231" s="1">
        <v>6820.0</v>
      </c>
      <c r="F231" s="1">
        <v>-0.01</v>
      </c>
      <c r="G231" s="1">
        <v>6820.0</v>
      </c>
      <c r="H231" s="1">
        <v>-0.012</v>
      </c>
    </row>
    <row r="232" ht="12.75" customHeight="1">
      <c r="A232" s="1">
        <v>6851.0</v>
      </c>
      <c r="B232" s="1">
        <v>0.016</v>
      </c>
      <c r="C232" s="1">
        <v>6851.0</v>
      </c>
      <c r="D232" s="1">
        <v>0.011</v>
      </c>
      <c r="E232" s="1">
        <v>6851.0</v>
      </c>
      <c r="F232" s="1">
        <v>-0.01</v>
      </c>
      <c r="G232" s="1">
        <v>6851.0</v>
      </c>
      <c r="H232" s="1">
        <v>-0.012</v>
      </c>
    </row>
    <row r="233" ht="12.75" customHeight="1">
      <c r="A233" s="1">
        <v>6882.0</v>
      </c>
      <c r="B233" s="1">
        <v>0.016</v>
      </c>
      <c r="C233" s="1">
        <v>6882.0</v>
      </c>
      <c r="D233" s="1">
        <v>0.011</v>
      </c>
      <c r="E233" s="1">
        <v>6882.0</v>
      </c>
      <c r="F233" s="1">
        <v>-0.01</v>
      </c>
      <c r="G233" s="1">
        <v>6882.0</v>
      </c>
      <c r="H233" s="1">
        <v>-0.012</v>
      </c>
    </row>
    <row r="234" ht="12.75" customHeight="1">
      <c r="A234" s="1">
        <v>6913.0</v>
      </c>
      <c r="B234" s="1">
        <v>0.016</v>
      </c>
      <c r="C234" s="1">
        <v>6913.0</v>
      </c>
      <c r="D234" s="1">
        <v>0.011</v>
      </c>
      <c r="E234" s="1">
        <v>6913.0</v>
      </c>
      <c r="F234" s="1">
        <v>-0.009</v>
      </c>
      <c r="G234" s="1">
        <v>6913.0</v>
      </c>
      <c r="H234" s="1">
        <v>-0.012</v>
      </c>
    </row>
    <row r="235" ht="12.75" customHeight="1">
      <c r="A235" s="1">
        <v>6944.0</v>
      </c>
      <c r="B235" s="1">
        <v>0.016</v>
      </c>
      <c r="C235" s="1">
        <v>6944.0</v>
      </c>
      <c r="D235" s="1">
        <v>0.011</v>
      </c>
      <c r="E235" s="1">
        <v>6944.0</v>
      </c>
      <c r="F235" s="1">
        <v>-0.009</v>
      </c>
      <c r="G235" s="1">
        <v>6944.0</v>
      </c>
      <c r="H235" s="1">
        <v>-0.012</v>
      </c>
    </row>
    <row r="236" ht="12.75" customHeight="1">
      <c r="A236" s="1">
        <v>6975.0</v>
      </c>
      <c r="B236" s="1">
        <v>0.016</v>
      </c>
      <c r="C236" s="1">
        <v>6975.0</v>
      </c>
      <c r="D236" s="1">
        <v>0.011</v>
      </c>
      <c r="E236" s="1">
        <v>6975.0</v>
      </c>
      <c r="F236" s="1">
        <v>-0.009</v>
      </c>
      <c r="G236" s="1">
        <v>6975.0</v>
      </c>
      <c r="H236" s="1">
        <v>-0.012</v>
      </c>
    </row>
    <row r="237" ht="12.75" customHeight="1">
      <c r="A237" s="1">
        <v>7006.0</v>
      </c>
      <c r="B237" s="1">
        <v>0.016</v>
      </c>
      <c r="C237" s="1">
        <v>7006.0</v>
      </c>
      <c r="D237" s="1">
        <v>0.011</v>
      </c>
      <c r="E237" s="1">
        <v>7006.0</v>
      </c>
      <c r="F237" s="1">
        <v>-0.01</v>
      </c>
      <c r="G237" s="1">
        <v>7006.0</v>
      </c>
      <c r="H237" s="1">
        <v>-0.012</v>
      </c>
    </row>
    <row r="238" ht="12.75" customHeight="1">
      <c r="A238" s="1">
        <v>7037.0</v>
      </c>
      <c r="B238" s="1">
        <v>0.016</v>
      </c>
      <c r="C238" s="1">
        <v>7037.0</v>
      </c>
      <c r="D238" s="1">
        <v>0.011</v>
      </c>
      <c r="E238" s="1">
        <v>7037.0</v>
      </c>
      <c r="F238" s="1">
        <v>-0.009</v>
      </c>
      <c r="G238" s="1">
        <v>7037.0</v>
      </c>
      <c r="H238" s="1">
        <v>-0.012</v>
      </c>
    </row>
    <row r="239" ht="12.75" customHeight="1">
      <c r="A239" s="1">
        <v>7068.0</v>
      </c>
      <c r="B239" s="1">
        <v>0.016</v>
      </c>
      <c r="C239" s="1">
        <v>7068.0</v>
      </c>
      <c r="D239" s="1">
        <v>0.012</v>
      </c>
      <c r="E239" s="1">
        <v>7068.0</v>
      </c>
      <c r="F239" s="1">
        <v>-0.009</v>
      </c>
      <c r="G239" s="1">
        <v>7068.0</v>
      </c>
      <c r="H239" s="1">
        <v>-0.012</v>
      </c>
    </row>
    <row r="240" ht="12.75" customHeight="1">
      <c r="A240" s="1">
        <v>7099.0</v>
      </c>
      <c r="B240" s="1">
        <v>0.016</v>
      </c>
      <c r="C240" s="1">
        <v>7099.0</v>
      </c>
      <c r="D240" s="1">
        <v>0.012</v>
      </c>
      <c r="E240" s="1">
        <v>7099.0</v>
      </c>
      <c r="F240" s="1">
        <v>-0.009</v>
      </c>
      <c r="G240" s="1">
        <v>7099.0</v>
      </c>
      <c r="H240" s="1">
        <v>-0.012</v>
      </c>
    </row>
    <row r="241" ht="12.75" customHeight="1">
      <c r="A241" s="1">
        <v>7130.0</v>
      </c>
      <c r="B241" s="1">
        <v>0.016</v>
      </c>
      <c r="C241" s="1">
        <v>7130.0</v>
      </c>
      <c r="D241" s="1">
        <v>0.012</v>
      </c>
      <c r="E241" s="1">
        <v>7130.0</v>
      </c>
      <c r="F241" s="1">
        <v>-0.009</v>
      </c>
      <c r="G241" s="1">
        <v>7130.0</v>
      </c>
      <c r="H241" s="1">
        <v>-0.012</v>
      </c>
    </row>
    <row r="242" ht="12.75" customHeight="1">
      <c r="A242" s="1">
        <v>7161.0</v>
      </c>
      <c r="B242" s="1">
        <v>0.016</v>
      </c>
      <c r="C242" s="1">
        <v>7161.0</v>
      </c>
      <c r="D242" s="1">
        <v>0.012</v>
      </c>
      <c r="E242" s="1">
        <v>7161.0</v>
      </c>
      <c r="F242" s="1">
        <v>-0.009</v>
      </c>
      <c r="G242" s="1">
        <v>7161.0</v>
      </c>
      <c r="H242" s="1">
        <v>-0.012</v>
      </c>
    </row>
    <row r="243" ht="12.75" customHeight="1">
      <c r="A243" s="1">
        <v>7192.0</v>
      </c>
      <c r="B243" s="1">
        <v>0.016</v>
      </c>
      <c r="C243" s="1">
        <v>7192.0</v>
      </c>
      <c r="D243" s="1">
        <v>0.012</v>
      </c>
      <c r="E243" s="1">
        <v>7192.0</v>
      </c>
      <c r="F243" s="1">
        <v>-0.009</v>
      </c>
      <c r="G243" s="1">
        <v>7192.0</v>
      </c>
      <c r="H243" s="1">
        <v>-0.012</v>
      </c>
    </row>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0"/>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2010-04-07T07:35:01Z</dcterms:created>
  <dc:creator>kemmb6</dc:creator>
</cp:coreProperties>
</file>