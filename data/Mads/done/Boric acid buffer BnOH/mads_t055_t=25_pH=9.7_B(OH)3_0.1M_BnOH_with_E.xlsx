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  <sheet state="visible" name="Sheet3" sheetId="4" r:id="rId7"/>
  </sheets>
  <definedNames>
    <definedName localSheetId="2" name="data55">Sheet2!$E$6:$L$319</definedName>
  </definedNames>
  <calcPr/>
  <extLst>
    <ext uri="GoogleSheetsCustomDataVersion1">
      <go:sheetsCustomData xmlns:go="http://customooxmlschemas.google.com/" r:id="rId8" roundtripDataSignature="AMtx7mgHbr57nvVoN87BDB+ejm9O112LOQ=="/>
    </ext>
  </extLst>
</workbook>
</file>

<file path=xl/sharedStrings.xml><?xml version="1.0" encoding="utf-8"?>
<sst xmlns="http://schemas.openxmlformats.org/spreadsheetml/2006/main" count="172" uniqueCount="113">
  <si>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</si>
  <si>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</si>
  <si>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</si>
  <si>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</si>
  <si>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</si>
  <si>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</si>
  <si>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</si>
  <si>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</si>
  <si>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</si>
  <si>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</si>
  <si>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</si>
  <si>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</si>
  <si>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</si>
  <si>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</si>
  <si>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</si>
  <si>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</si>
  <si>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</si>
  <si>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</si>
  <si>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</si>
  <si>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</si>
  <si>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</si>
  <si>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</si>
  <si>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</si>
  <si>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</si>
  <si>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</si>
  <si>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</si>
  <si>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</si>
  <si>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</si>
  <si>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</si>
  <si>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</si>
  <si>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</si>
  <si>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</si>
  <si>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</si>
  <si>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nm</t>
  </si>
  <si>
    <t>e</t>
  </si>
  <si>
    <t>benzylalkohol</t>
  </si>
  <si>
    <t>Enz</t>
  </si>
  <si>
    <t>H202 30%</t>
  </si>
  <si>
    <t>H2O</t>
  </si>
  <si>
    <t>a-diesterketon</t>
  </si>
  <si>
    <t>ml</t>
  </si>
  <si>
    <t>g/mol</t>
  </si>
  <si>
    <t>g</t>
  </si>
  <si>
    <t>[H2O2]</t>
  </si>
  <si>
    <t>l</t>
  </si>
  <si>
    <t>mol/l</t>
  </si>
  <si>
    <t>mol</t>
  </si>
  <si>
    <t>Boric acid buf.</t>
  </si>
  <si>
    <t>pH</t>
  </si>
  <si>
    <t>mmol/l</t>
  </si>
  <si>
    <t>T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</si>
  <si>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</si>
  <si>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</si>
  <si>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</si>
  <si>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</si>
  <si>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</si>
  <si>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</si>
  <si>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</si>
  <si>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</si>
  <si>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</si>
  <si>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</si>
  <si>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U/min</t>
  </si>
  <si>
    <t>mM/min</t>
  </si>
  <si>
    <t>Km</t>
  </si>
  <si>
    <t>mmol/L</t>
  </si>
  <si>
    <t>kcat</t>
  </si>
  <si>
    <t>min^-1</t>
  </si>
  <si>
    <t>s-1</t>
  </si>
  <si>
    <t>kuncat</t>
  </si>
  <si>
    <t>s^-1</t>
  </si>
  <si>
    <t>kcat/uncat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</si>
  <si>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</si>
  <si>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</si>
  <si>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</si>
  <si>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</si>
  <si>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Kinetics Experiment - 55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</si>
  <si>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</si>
  <si>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</si>
  <si>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</si>
  <si>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</si>
  <si>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</si>
  <si>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</si>
  <si>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</si>
  <si>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</si>
  <si>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</si>
  <si>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</si>
  <si>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</si>
  <si>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</si>
  <si>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No</t>
  </si>
  <si>
    <t>VMax</t>
  </si>
  <si>
    <t>Sample002</t>
  </si>
  <si>
    <t>Yes</t>
  </si>
  <si>
    <t>Sample003</t>
  </si>
  <si>
    <t>Statistics</t>
  </si>
  <si>
    <t>Sample004</t>
  </si>
  <si>
    <t>Chi Squared</t>
  </si>
  <si>
    <t>Corr.Coeff.</t>
  </si>
  <si>
    <t>Batch</t>
  </si>
  <si>
    <t>rate055.rre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</si>
  <si>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</si>
  <si>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</si>
  <si>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</si>
  <si>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</si>
  <si>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</si>
  <si>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</si>
  <si>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</si>
  <si>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9:08:26PM</t>
  </si>
  <si>
    <t>9:08:33PM</t>
  </si>
  <si>
    <t>9:08:41PM</t>
  </si>
  <si>
    <t>9:08:48PM</t>
  </si>
  <si>
    <t>Substrate Conc.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</si>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</sst>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0" fillId="0" fontId="4" numFmtId="2" xfId="0" applyAlignment="1" applyFont="1" applyNumberForma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12" fillId="0" fontId="4" numFmtId="2" xfId="0" applyAlignment="1" applyBorder="1" applyFont="1" applyNumberForma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1" numFmtId="11" xfId="0" applyFont="1" applyNumberFormat="1"/>
    <xf borderId="0" fillId="0" fontId="5" numFmtId="0" xfId="0" applyAlignment="1" applyFont="1">
      <alignment shrinkToFit="0" vertical="bottom" wrapText="0"/>
    </xf>
    <xf borderId="7" fillId="0" fontId="5" numFmtId="0" xfId="0" applyAlignment="1" applyBorder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4" numFmtId="11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272399"/>
        <c:axId val="1233897866"/>
      </c:scatterChart>
      <c:valAx>
        <c:axId val="1811272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897866"/>
      </c:valAx>
      <c:valAx>
        <c:axId val="123389786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272399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102742406"/>
        <c:axId val="1693546217"/>
      </c:scatterChart>
      <c:valAx>
        <c:axId val="11027424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546217"/>
      </c:valAx>
      <c:valAx>
        <c:axId val="169354621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027424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438314"/>
        <c:axId val="1038180435"/>
      </c:scatterChart>
      <c:valAx>
        <c:axId val="567438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8180435"/>
      </c:valAx>
      <c:valAx>
        <c:axId val="10381804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438314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hanes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74235717"/>
        <c:axId val="1220067197"/>
      </c:scatterChart>
      <c:valAx>
        <c:axId val="274235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0067197"/>
      </c:valAx>
      <c:valAx>
        <c:axId val="122006719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74235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70196"/>
                  </a:srgbClr>
                </a:solidFill>
              </a:ln>
            </c:spPr>
            <c:trendlineType val="exp"/>
            <c:dispRSqr val="0"/>
            <c:dispEq val="1"/>
          </c:trendline>
          <c:xVal>
            <c:numRef>
              <c:f>Sheet2!$K$16:$K$316</c:f>
            </c:numRef>
          </c:xVal>
          <c:yVal>
            <c:numRef>
              <c:f>Sheet2!$F$16:$F$300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rgbClr val="993366"/>
              </a:solidFill>
              <a:ln cmpd="sng">
                <a:solidFill>
                  <a:srgbClr val="993366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70196"/>
                  </a:srgbClr>
                </a:solidFill>
              </a:ln>
            </c:spPr>
            <c:trendlineType val="exp"/>
            <c:dispRSqr val="0"/>
            <c:dispEq val="1"/>
          </c:trendline>
          <c:xVal>
            <c:numRef>
              <c:f>Sheet2!$K$16:$K$316</c:f>
            </c:numRef>
          </c:xVal>
          <c:yVal>
            <c:numRef>
              <c:f>Sheet2!$H$16:$H$150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rgbClr val="969696"/>
              </a:solidFill>
              <a:ln cmpd="sng">
                <a:solidFill>
                  <a:srgbClr val="969696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70196"/>
                  </a:srgbClr>
                </a:solidFill>
              </a:ln>
            </c:spPr>
            <c:trendlineType val="exp"/>
            <c:dispRSqr val="0"/>
            <c:dispEq val="1"/>
          </c:trendline>
          <c:xVal>
            <c:numRef>
              <c:f>Sheet2!$K$16:$K$316</c:f>
            </c:numRef>
          </c:xVal>
          <c:yVal>
            <c:numRef>
              <c:f>Sheet2!$J$16:$J$150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70196"/>
                  </a:srgbClr>
                </a:solidFill>
              </a:ln>
            </c:spPr>
            <c:trendlineType val="exp"/>
            <c:dispRSqr val="0"/>
            <c:dispEq val="1"/>
          </c:trendline>
          <c:xVal>
            <c:numRef>
              <c:f>Sheet2!$K$16:$K$316</c:f>
            </c:numRef>
          </c:xVal>
          <c:yVal>
            <c:numRef>
              <c:f>Sheet2!$L$16:$L$150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281910"/>
        <c:axId val="2101098069"/>
      </c:scatterChart>
      <c:valAx>
        <c:axId val="1327281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1098069"/>
      </c:valAx>
      <c:valAx>
        <c:axId val="2101098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72819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Sheet2!$S$37:$S$40</c:f>
            </c:numRef>
          </c:xVal>
          <c:yVal>
            <c:numRef>
              <c:f>Sheet2!$T$37:$T$40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710212"/>
        <c:axId val="1963158974"/>
      </c:scatterChart>
      <c:valAx>
        <c:axId val="1959710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3158974"/>
      </c:valAx>
      <c:valAx>
        <c:axId val="196315897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7102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63839678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173606246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67832449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47</xdr:row>
      <xdr:rowOff>95250</xdr:rowOff>
    </xdr:from>
    <xdr:ext cx="4152900" cy="3886200"/>
    <xdr:graphicFrame>
      <xdr:nvGraphicFramePr>
        <xdr:cNvPr descr="Chart 0" id="120722600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2</xdr:row>
      <xdr:rowOff>0</xdr:rowOff>
    </xdr:from>
    <xdr:ext cx="5648325" cy="4714875"/>
    <xdr:graphicFrame>
      <xdr:nvGraphicFramePr>
        <xdr:cNvPr descr="Chart 0" id="694474776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26</xdr:col>
      <xdr:colOff>381000</xdr:colOff>
      <xdr:row>15</xdr:row>
      <xdr:rowOff>47625</xdr:rowOff>
    </xdr:from>
    <xdr:ext cx="3962400" cy="2752725"/>
    <xdr:graphicFrame>
      <xdr:nvGraphicFramePr>
        <xdr:cNvPr descr="Chart 1" id="958579407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9" width="8.0"/>
    <col customWidth="1" min="10" max="10" width="12.43"/>
    <col customWidth="1" min="11" max="11" width="8.0"/>
    <col customWidth="1" min="12" max="12" width="10.86"/>
    <col customWidth="1" min="13" max="26" width="8.0"/>
  </cols>
  <sheetData>
    <row r="1" ht="12.75" customHeight="1">
      <c r="A1" s="1">
        <v>55.0</v>
      </c>
    </row>
    <row r="2" ht="13.5" customHeight="1">
      <c r="C2" s="1">
        <v>285.0</v>
      </c>
      <c r="D2" s="1" t="s">
        <v>33</v>
      </c>
      <c r="H2" s="1" t="s">
        <v>34</v>
      </c>
      <c r="I2" s="1">
        <v>1.23</v>
      </c>
    </row>
    <row r="3" ht="13.5" customHeight="1">
      <c r="J3" s="6"/>
      <c r="K3" s="7"/>
      <c r="L3" s="8"/>
    </row>
    <row r="4" ht="12.75" customHeight="1">
      <c r="B4" s="6"/>
      <c r="C4" s="7" t="s">
        <v>35</v>
      </c>
      <c r="D4" s="8"/>
      <c r="F4" s="6"/>
      <c r="G4" s="7" t="s">
        <v>36</v>
      </c>
      <c r="H4" s="8"/>
      <c r="J4" s="9"/>
      <c r="K4" s="4" t="s">
        <v>37</v>
      </c>
      <c r="L4" s="10" t="s">
        <v>38</v>
      </c>
    </row>
    <row r="5" ht="12.75" customHeight="1">
      <c r="B5" s="9"/>
      <c r="C5" s="4"/>
      <c r="D5" s="10"/>
      <c r="F5" s="9"/>
      <c r="G5" s="4" t="s">
        <v>39</v>
      </c>
      <c r="H5" s="10"/>
      <c r="J5" s="9" t="s">
        <v>40</v>
      </c>
      <c r="K5" s="4">
        <v>1.0</v>
      </c>
      <c r="L5" s="10">
        <v>9.0</v>
      </c>
    </row>
    <row r="6" ht="12.75" customHeight="1">
      <c r="B6" s="9"/>
      <c r="C6" s="4"/>
      <c r="D6" s="10"/>
      <c r="F6" s="9"/>
      <c r="G6" s="4"/>
      <c r="H6" s="10"/>
      <c r="J6" s="9"/>
      <c r="K6" s="4"/>
      <c r="L6" s="10"/>
    </row>
    <row r="7" ht="12.75" customHeight="1">
      <c r="B7" s="9" t="s">
        <v>41</v>
      </c>
      <c r="C7" s="4">
        <v>108.14</v>
      </c>
      <c r="D7" s="10"/>
      <c r="F7" s="9" t="s">
        <v>41</v>
      </c>
      <c r="G7" s="4">
        <v>1054.29</v>
      </c>
      <c r="H7" s="10"/>
      <c r="J7" s="9"/>
      <c r="K7" s="4"/>
      <c r="L7" s="10"/>
    </row>
    <row r="8" ht="12.75" customHeight="1">
      <c r="B8" s="9" t="s">
        <v>42</v>
      </c>
      <c r="C8" s="4">
        <v>0.1115</v>
      </c>
      <c r="D8" s="10"/>
      <c r="F8" s="9" t="s">
        <v>42</v>
      </c>
      <c r="G8" s="4">
        <v>0.0236</v>
      </c>
      <c r="H8" s="10"/>
      <c r="J8" s="9"/>
      <c r="K8" s="4" t="s">
        <v>43</v>
      </c>
      <c r="L8" s="10"/>
    </row>
    <row r="9" ht="12.75" customHeight="1">
      <c r="B9" s="9" t="s">
        <v>44</v>
      </c>
      <c r="C9" s="4">
        <v>0.025</v>
      </c>
      <c r="D9" s="10"/>
      <c r="F9" s="9" t="s">
        <v>44</v>
      </c>
      <c r="G9" s="4">
        <v>0.004</v>
      </c>
      <c r="H9" s="10"/>
      <c r="J9" s="9" t="s">
        <v>45</v>
      </c>
      <c r="K9" s="4">
        <f>55*(0.3/10)</f>
        <v>1.65</v>
      </c>
      <c r="L9" s="10"/>
    </row>
    <row r="10" ht="12.75" customHeight="1">
      <c r="B10" s="9" t="s">
        <v>46</v>
      </c>
      <c r="C10" s="4">
        <f>C8/C7</f>
        <v>0.001031070834</v>
      </c>
      <c r="D10" s="10"/>
      <c r="F10" s="9" t="s">
        <v>46</v>
      </c>
      <c r="G10" s="4">
        <f>G8/G7</f>
        <v>0.00002238473285</v>
      </c>
      <c r="H10" s="10"/>
      <c r="J10" s="9"/>
      <c r="K10" s="4"/>
      <c r="L10" s="10"/>
    </row>
    <row r="11" ht="12.75" customHeight="1">
      <c r="B11" s="9" t="s">
        <v>45</v>
      </c>
      <c r="C11" s="4">
        <f>C10/C9</f>
        <v>0.04124283336</v>
      </c>
      <c r="D11" s="10"/>
      <c r="F11" s="9" t="s">
        <v>45</v>
      </c>
      <c r="G11" s="4">
        <f>G10/G9</f>
        <v>0.005596183213</v>
      </c>
      <c r="H11" s="10"/>
      <c r="J11" s="9" t="s">
        <v>47</v>
      </c>
      <c r="K11" s="4" t="s">
        <v>48</v>
      </c>
      <c r="L11" s="10">
        <v>9.7</v>
      </c>
    </row>
    <row r="12" ht="13.5" customHeight="1">
      <c r="B12" s="11" t="s">
        <v>49</v>
      </c>
      <c r="C12" s="5">
        <f>C11*1000</f>
        <v>41.24283336</v>
      </c>
      <c r="D12" s="12"/>
      <c r="F12" s="9" t="s">
        <v>49</v>
      </c>
      <c r="G12" s="4">
        <f>G11*1000</f>
        <v>5.596183213</v>
      </c>
      <c r="H12" s="10"/>
      <c r="J12" s="9"/>
      <c r="K12" s="4" t="s">
        <v>50</v>
      </c>
      <c r="L12" s="10">
        <v>25.0</v>
      </c>
    </row>
    <row r="13" ht="13.5" customHeight="1">
      <c r="F13" s="11" t="s">
        <v>51</v>
      </c>
      <c r="G13" s="5">
        <f>E20*G12/H20</f>
        <v>0.2798091607</v>
      </c>
      <c r="H13" s="12" t="s">
        <v>49</v>
      </c>
      <c r="J13" s="11"/>
      <c r="K13" s="5"/>
      <c r="L13" s="12"/>
    </row>
    <row r="14" ht="12.75" customHeight="1"/>
    <row r="15" ht="12.75" customHeight="1"/>
    <row r="16" ht="12.75" customHeight="1"/>
    <row r="17" ht="12.75" customHeight="1"/>
    <row r="18" ht="12.75" customHeight="1">
      <c r="I18" s="1" t="s">
        <v>52</v>
      </c>
      <c r="J18" s="1" t="s">
        <v>52</v>
      </c>
      <c r="K18" s="1" t="s">
        <v>43</v>
      </c>
      <c r="L18" s="1" t="s">
        <v>43</v>
      </c>
      <c r="M18" s="1" t="s">
        <v>53</v>
      </c>
    </row>
    <row r="19" ht="13.5" customHeight="1">
      <c r="B19" s="13" t="s">
        <v>51</v>
      </c>
      <c r="C19" s="5" t="s">
        <v>54</v>
      </c>
      <c r="D19" s="5" t="s">
        <v>55</v>
      </c>
      <c r="E19" s="5" t="s">
        <v>56</v>
      </c>
      <c r="F19" s="5" t="s">
        <v>57</v>
      </c>
      <c r="G19" s="5" t="s">
        <v>58</v>
      </c>
      <c r="H19" s="5" t="s">
        <v>59</v>
      </c>
      <c r="I19" s="5" t="s">
        <v>45</v>
      </c>
      <c r="J19" s="5" t="s">
        <v>49</v>
      </c>
      <c r="K19" s="5" t="s">
        <v>45</v>
      </c>
      <c r="L19" s="5" t="s">
        <v>49</v>
      </c>
      <c r="M19" s="5" t="s">
        <v>49</v>
      </c>
    </row>
    <row r="20" ht="12.75" customHeight="1">
      <c r="B20" s="14">
        <v>1.0</v>
      </c>
      <c r="C20" s="1">
        <v>1.7</v>
      </c>
      <c r="D20" s="1">
        <v>0.0</v>
      </c>
      <c r="E20" s="1">
        <v>0.1</v>
      </c>
      <c r="F20" s="1">
        <v>0.1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0.002062141668</v>
      </c>
      <c r="J20" s="15">
        <f t="shared" ref="J20:J27" si="3">I20*1000</f>
        <v>2.062141668</v>
      </c>
      <c r="K20" s="4">
        <f t="shared" ref="K20:K27" si="4">(G20*$K$9)/H20</f>
        <v>0.0825</v>
      </c>
      <c r="L20" s="4">
        <f t="shared" ref="L20:L27" si="5">K20*1000</f>
        <v>82.5</v>
      </c>
      <c r="M20" s="1">
        <f t="shared" ref="M20:M27" si="6">E20*$G$12/H20</f>
        <v>0.2798091607</v>
      </c>
    </row>
    <row r="21" ht="12.75" customHeight="1">
      <c r="B21" s="14">
        <v>2.0</v>
      </c>
      <c r="C21" s="1">
        <v>1.6</v>
      </c>
      <c r="D21" s="1">
        <v>0.0</v>
      </c>
      <c r="E21" s="1">
        <v>0.1</v>
      </c>
      <c r="F21" s="1">
        <v>0.2</v>
      </c>
      <c r="G21" s="1">
        <v>0.1</v>
      </c>
      <c r="H21" s="1">
        <f t="shared" si="1"/>
        <v>2</v>
      </c>
      <c r="I21" s="1">
        <f t="shared" si="2"/>
        <v>0.004124283336</v>
      </c>
      <c r="J21" s="15">
        <f t="shared" si="3"/>
        <v>4.124283336</v>
      </c>
      <c r="K21" s="4">
        <f t="shared" si="4"/>
        <v>0.0825</v>
      </c>
      <c r="L21" s="4">
        <f t="shared" si="5"/>
        <v>82.5</v>
      </c>
      <c r="M21" s="1">
        <f t="shared" si="6"/>
        <v>0.2798091607</v>
      </c>
      <c r="Q21" s="1">
        <f t="shared" ref="Q21:Q24" si="7">0.1*(C20/2)</f>
        <v>0.085</v>
      </c>
    </row>
    <row r="22" ht="12.75" customHeight="1">
      <c r="B22" s="14">
        <v>3.0</v>
      </c>
      <c r="C22" s="1">
        <v>1.5</v>
      </c>
      <c r="D22" s="1">
        <v>0.0</v>
      </c>
      <c r="E22" s="1">
        <v>0.1</v>
      </c>
      <c r="F22" s="1">
        <v>0.3</v>
      </c>
      <c r="G22" s="1">
        <v>0.1</v>
      </c>
      <c r="H22" s="1">
        <f t="shared" si="1"/>
        <v>2</v>
      </c>
      <c r="I22" s="1">
        <f t="shared" si="2"/>
        <v>0.006186425005</v>
      </c>
      <c r="J22" s="15">
        <f t="shared" si="3"/>
        <v>6.186425005</v>
      </c>
      <c r="K22" s="4">
        <f t="shared" si="4"/>
        <v>0.0825</v>
      </c>
      <c r="L22" s="4">
        <f t="shared" si="5"/>
        <v>82.5</v>
      </c>
      <c r="M22" s="1">
        <f t="shared" si="6"/>
        <v>0.2798091607</v>
      </c>
      <c r="Q22" s="1">
        <f t="shared" si="7"/>
        <v>0.08</v>
      </c>
    </row>
    <row r="23" ht="12.75" customHeight="1">
      <c r="B23" s="16">
        <v>4.0</v>
      </c>
      <c r="C23" s="16">
        <v>1.4</v>
      </c>
      <c r="D23" s="16">
        <v>0.0</v>
      </c>
      <c r="E23" s="16">
        <v>0.1</v>
      </c>
      <c r="F23" s="16">
        <v>0.4</v>
      </c>
      <c r="G23" s="16">
        <v>0.1</v>
      </c>
      <c r="H23" s="16">
        <f t="shared" si="1"/>
        <v>2</v>
      </c>
      <c r="I23" s="16">
        <f t="shared" si="2"/>
        <v>0.008248566673</v>
      </c>
      <c r="J23" s="17">
        <f t="shared" si="3"/>
        <v>8.248566673</v>
      </c>
      <c r="K23" s="16">
        <f t="shared" si="4"/>
        <v>0.0825</v>
      </c>
      <c r="L23" s="16">
        <f t="shared" si="5"/>
        <v>82.5</v>
      </c>
      <c r="M23" s="1">
        <f t="shared" si="6"/>
        <v>0.2798091607</v>
      </c>
      <c r="Q23" s="1">
        <f t="shared" si="7"/>
        <v>0.075</v>
      </c>
    </row>
    <row r="24" ht="12.75" customHeight="1">
      <c r="B24" s="14">
        <v>5.0</v>
      </c>
      <c r="C24" s="1">
        <v>1.7</v>
      </c>
      <c r="D24" s="4">
        <v>0.1</v>
      </c>
      <c r="E24" s="4">
        <v>0.0</v>
      </c>
      <c r="F24" s="1">
        <v>0.1</v>
      </c>
      <c r="G24" s="4">
        <v>0.1</v>
      </c>
      <c r="H24" s="1">
        <f t="shared" si="1"/>
        <v>2</v>
      </c>
      <c r="I24" s="1">
        <f t="shared" si="2"/>
        <v>0.002062141668</v>
      </c>
      <c r="J24" s="1">
        <f t="shared" si="3"/>
        <v>2.062141668</v>
      </c>
      <c r="K24" s="4">
        <f t="shared" si="4"/>
        <v>0.0825</v>
      </c>
      <c r="L24" s="4">
        <f t="shared" si="5"/>
        <v>82.5</v>
      </c>
      <c r="M24" s="1">
        <f t="shared" si="6"/>
        <v>0</v>
      </c>
      <c r="Q24" s="1">
        <f t="shared" si="7"/>
        <v>0.07</v>
      </c>
    </row>
    <row r="25" ht="12.75" customHeight="1">
      <c r="B25" s="14">
        <v>6.0</v>
      </c>
      <c r="C25" s="1">
        <v>1.6</v>
      </c>
      <c r="D25" s="4">
        <v>0.1</v>
      </c>
      <c r="E25" s="4">
        <v>0.0</v>
      </c>
      <c r="F25" s="1">
        <v>0.2</v>
      </c>
      <c r="G25" s="4">
        <v>0.1</v>
      </c>
      <c r="H25" s="1">
        <f t="shared" si="1"/>
        <v>2</v>
      </c>
      <c r="I25" s="1">
        <f t="shared" si="2"/>
        <v>0.004124283336</v>
      </c>
      <c r="J25" s="1">
        <f t="shared" si="3"/>
        <v>4.124283336</v>
      </c>
      <c r="K25" s="4">
        <f t="shared" si="4"/>
        <v>0.0825</v>
      </c>
      <c r="L25" s="4">
        <f t="shared" si="5"/>
        <v>82.5</v>
      </c>
      <c r="M25" s="1">
        <f t="shared" si="6"/>
        <v>0</v>
      </c>
    </row>
    <row r="26" ht="12.75" customHeight="1">
      <c r="B26" s="14">
        <v>7.0</v>
      </c>
      <c r="C26" s="1">
        <v>1.5</v>
      </c>
      <c r="D26" s="4">
        <v>0.1</v>
      </c>
      <c r="E26" s="4">
        <v>0.0</v>
      </c>
      <c r="F26" s="1">
        <v>0.3</v>
      </c>
      <c r="G26" s="4">
        <v>0.1</v>
      </c>
      <c r="H26" s="1">
        <f t="shared" si="1"/>
        <v>2</v>
      </c>
      <c r="I26" s="1">
        <f t="shared" si="2"/>
        <v>0.006186425005</v>
      </c>
      <c r="J26" s="1">
        <f t="shared" si="3"/>
        <v>6.186425005</v>
      </c>
      <c r="K26" s="4">
        <f t="shared" si="4"/>
        <v>0.0825</v>
      </c>
      <c r="L26" s="4">
        <f t="shared" si="5"/>
        <v>82.5</v>
      </c>
      <c r="M26" s="1">
        <f t="shared" si="6"/>
        <v>0</v>
      </c>
    </row>
    <row r="27" ht="13.5" customHeight="1">
      <c r="B27" s="13">
        <v>8.0</v>
      </c>
      <c r="C27" s="5">
        <v>1.4</v>
      </c>
      <c r="D27" s="5">
        <v>0.1</v>
      </c>
      <c r="E27" s="5">
        <v>0.0</v>
      </c>
      <c r="F27" s="5">
        <v>0.4</v>
      </c>
      <c r="G27" s="5">
        <v>0.1</v>
      </c>
      <c r="H27" s="5">
        <f t="shared" si="1"/>
        <v>2</v>
      </c>
      <c r="I27" s="5">
        <f t="shared" si="2"/>
        <v>0.008248566673</v>
      </c>
      <c r="J27" s="5">
        <f t="shared" si="3"/>
        <v>8.248566673</v>
      </c>
      <c r="K27" s="5">
        <f t="shared" si="4"/>
        <v>0.0825</v>
      </c>
      <c r="L27" s="5">
        <f t="shared" si="5"/>
        <v>82.5</v>
      </c>
      <c r="M27" s="5">
        <f t="shared" si="6"/>
        <v>0</v>
      </c>
    </row>
    <row r="28" ht="12.75" customHeight="1">
      <c r="C28" s="1">
        <f t="shared" ref="C28:G28" si="8">SUM(C20:C27)</f>
        <v>12.4</v>
      </c>
      <c r="D28" s="1">
        <f t="shared" si="8"/>
        <v>0.4</v>
      </c>
      <c r="E28" s="1">
        <f t="shared" si="8"/>
        <v>0.4</v>
      </c>
      <c r="F28" s="1">
        <f t="shared" si="8"/>
        <v>2</v>
      </c>
      <c r="G28" s="1">
        <f t="shared" si="8"/>
        <v>0.8</v>
      </c>
    </row>
    <row r="29" ht="12.75" customHeight="1"/>
    <row r="30" ht="12.75" customHeight="1"/>
    <row r="31" ht="12.75" customHeight="1"/>
    <row r="32" ht="12.75" customHeight="1"/>
    <row r="33" ht="12.75" customHeight="1">
      <c r="G33" s="1">
        <v>0.021612598</v>
      </c>
    </row>
    <row r="34" ht="12.75" customHeight="1">
      <c r="L34" s="18"/>
      <c r="M34" s="18"/>
    </row>
    <row r="35" ht="12.75" customHeight="1"/>
    <row r="36" ht="12.75" customHeight="1"/>
    <row r="37" ht="12.75" customHeight="1"/>
    <row r="38" ht="12.75" customHeight="1">
      <c r="I38" s="1" t="s">
        <v>60</v>
      </c>
      <c r="J38" s="4">
        <v>0.00743830545682095</v>
      </c>
      <c r="K38" s="1" t="s">
        <v>61</v>
      </c>
    </row>
    <row r="39" ht="12.75" customHeight="1">
      <c r="H39" s="18"/>
      <c r="I39" s="1" t="s">
        <v>60</v>
      </c>
      <c r="J39" s="1">
        <f>J38/I2</f>
        <v>0.00604740281</v>
      </c>
      <c r="K39" s="1" t="s">
        <v>62</v>
      </c>
    </row>
    <row r="40" ht="12.75" customHeight="1">
      <c r="I40" s="1" t="s">
        <v>63</v>
      </c>
      <c r="J40" s="10">
        <v>22.6077065628739</v>
      </c>
      <c r="K40" s="1" t="s">
        <v>64</v>
      </c>
    </row>
    <row r="41" ht="12.75" customHeight="1">
      <c r="I41" s="1" t="s">
        <v>65</v>
      </c>
      <c r="J41" s="1">
        <f>J39/G13</f>
        <v>0.02161259766</v>
      </c>
      <c r="K41" s="1" t="s">
        <v>66</v>
      </c>
    </row>
    <row r="42" ht="12.75" customHeight="1">
      <c r="J42" s="1">
        <f>J41/60</f>
        <v>0.000360209961</v>
      </c>
      <c r="K42" s="1" t="s">
        <v>67</v>
      </c>
    </row>
    <row r="43" ht="12.75" customHeight="1">
      <c r="I43" s="1" t="s">
        <v>68</v>
      </c>
      <c r="J43" s="18">
        <v>1.43E-9</v>
      </c>
      <c r="K43" s="1" t="s">
        <v>69</v>
      </c>
    </row>
    <row r="44" ht="12.75" customHeight="1">
      <c r="J44" s="19">
        <f>60*J43</f>
        <v>0.0000000858</v>
      </c>
      <c r="K44" s="1" t="s">
        <v>66</v>
      </c>
    </row>
    <row r="45" ht="12.75" customHeight="1">
      <c r="I45" s="1" t="s">
        <v>70</v>
      </c>
      <c r="J45" s="18">
        <f>J42/J43</f>
        <v>251895.0776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71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9" t="s">
        <v>72</v>
      </c>
      <c r="D87" s="4"/>
      <c r="E87" s="4"/>
      <c r="F87" s="4"/>
      <c r="G87" s="4"/>
      <c r="H87" s="4"/>
      <c r="I87" s="4"/>
      <c r="J87" s="4"/>
      <c r="K87" s="4"/>
      <c r="L87" s="10"/>
      <c r="M87" s="4"/>
    </row>
    <row r="88" ht="12.75" customHeight="1">
      <c r="B88" s="4"/>
      <c r="C88" s="9" t="s">
        <v>73</v>
      </c>
      <c r="D88" s="4"/>
      <c r="E88" s="4"/>
      <c r="F88" s="4"/>
      <c r="G88" s="4"/>
      <c r="H88" s="4"/>
      <c r="I88" s="4"/>
      <c r="J88" s="4"/>
      <c r="K88" s="4"/>
      <c r="L88" s="10"/>
      <c r="M88" s="4"/>
    </row>
    <row r="89" ht="13.5" customHeight="1">
      <c r="B89" s="4"/>
      <c r="C89" s="11" t="s">
        <v>74</v>
      </c>
      <c r="D89" s="5"/>
      <c r="E89" s="5"/>
      <c r="F89" s="5"/>
      <c r="G89" s="5"/>
      <c r="H89" s="5"/>
      <c r="I89" s="5"/>
      <c r="J89" s="5"/>
      <c r="K89" s="5"/>
      <c r="L89" s="12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20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3.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C97" s="6" t="s">
        <v>75</v>
      </c>
      <c r="D97" s="7"/>
      <c r="E97" s="7"/>
      <c r="F97" s="7"/>
      <c r="G97" s="7"/>
      <c r="H97" s="7" t="s">
        <v>75</v>
      </c>
      <c r="I97" s="7"/>
      <c r="J97" s="8"/>
      <c r="K97" s="4"/>
      <c r="L97" s="4"/>
      <c r="M97" s="4"/>
    </row>
    <row r="98" ht="12.75" customHeight="1">
      <c r="B98" s="4"/>
      <c r="C98" s="9" t="s">
        <v>76</v>
      </c>
      <c r="D98" s="4"/>
      <c r="E98" s="4"/>
      <c r="F98" s="4"/>
      <c r="G98" s="4"/>
      <c r="H98" s="4" t="s">
        <v>77</v>
      </c>
      <c r="I98" s="4"/>
      <c r="J98" s="10"/>
      <c r="K98" s="4"/>
      <c r="L98" s="4"/>
      <c r="M98" s="4"/>
    </row>
    <row r="99" ht="12.75" customHeight="1">
      <c r="B99" s="4"/>
      <c r="C99" s="9" t="s">
        <v>78</v>
      </c>
      <c r="D99" s="4"/>
      <c r="E99" s="4"/>
      <c r="F99" s="4"/>
      <c r="G99" s="4"/>
      <c r="H99" s="4"/>
      <c r="I99" s="4" t="s">
        <v>79</v>
      </c>
      <c r="J99" s="10" t="s">
        <v>80</v>
      </c>
      <c r="K99" s="4"/>
      <c r="L99" s="4"/>
      <c r="M99" s="4"/>
    </row>
    <row r="100" ht="12.75" customHeight="1">
      <c r="B100" s="4"/>
      <c r="C100" s="9" t="s">
        <v>81</v>
      </c>
      <c r="D100" s="4" t="s">
        <v>82</v>
      </c>
      <c r="E100" s="4" t="s">
        <v>83</v>
      </c>
      <c r="F100" s="4" t="s">
        <v>84</v>
      </c>
      <c r="G100" s="4" t="s">
        <v>85</v>
      </c>
      <c r="H100" s="4" t="s">
        <v>86</v>
      </c>
      <c r="I100" s="4"/>
      <c r="J100" s="10"/>
      <c r="K100" s="4"/>
      <c r="L100" s="4"/>
      <c r="M100" s="4"/>
    </row>
    <row r="101" ht="12.75" customHeight="1">
      <c r="B101" s="4"/>
      <c r="C101" s="9" t="s">
        <v>87</v>
      </c>
      <c r="D101" s="4">
        <v>2.06209999999372</v>
      </c>
      <c r="E101" s="4">
        <v>0.0</v>
      </c>
      <c r="F101" s="4">
        <v>4.49174293794E-4</v>
      </c>
      <c r="G101" s="20" t="s">
        <v>88</v>
      </c>
      <c r="H101" s="4"/>
      <c r="I101" s="4" t="s">
        <v>89</v>
      </c>
      <c r="J101" s="10">
        <v>0.00743830545682095</v>
      </c>
      <c r="K101" s="4"/>
      <c r="L101" s="4"/>
      <c r="M101" s="4"/>
    </row>
    <row r="102" ht="12.75" customHeight="1">
      <c r="B102" s="4"/>
      <c r="C102" s="9" t="s">
        <v>90</v>
      </c>
      <c r="D102" s="4">
        <v>4.12430000031571</v>
      </c>
      <c r="E102" s="4">
        <v>0.0</v>
      </c>
      <c r="F102" s="4">
        <v>0.001131746936228</v>
      </c>
      <c r="G102" s="4" t="s">
        <v>91</v>
      </c>
      <c r="H102" s="4"/>
      <c r="I102" s="4" t="s">
        <v>63</v>
      </c>
      <c r="J102" s="10">
        <v>22.6077065628739</v>
      </c>
      <c r="K102" s="4"/>
      <c r="L102" s="4"/>
      <c r="M102" s="4"/>
    </row>
    <row r="103" ht="12.75" customHeight="1">
      <c r="B103" s="4"/>
      <c r="C103" s="9" t="s">
        <v>92</v>
      </c>
      <c r="D103" s="4">
        <v>6.18640000030944</v>
      </c>
      <c r="E103" s="4">
        <v>0.0</v>
      </c>
      <c r="F103" s="4">
        <v>0.001640805778117</v>
      </c>
      <c r="G103" s="4" t="s">
        <v>91</v>
      </c>
      <c r="H103" s="4" t="s">
        <v>93</v>
      </c>
      <c r="I103" s="4"/>
      <c r="J103" s="10"/>
      <c r="K103" s="4"/>
      <c r="L103" s="4"/>
      <c r="M103" s="4"/>
    </row>
    <row r="104" ht="12.75" customHeight="1">
      <c r="B104" s="4"/>
      <c r="C104" s="9" t="s">
        <v>94</v>
      </c>
      <c r="D104" s="4">
        <v>8.24859999997804</v>
      </c>
      <c r="E104" s="4">
        <v>0.0</v>
      </c>
      <c r="F104" s="4">
        <v>0.001964582077792</v>
      </c>
      <c r="G104" s="4" t="s">
        <v>91</v>
      </c>
      <c r="H104" s="4"/>
      <c r="I104" s="4" t="s">
        <v>95</v>
      </c>
      <c r="J104" s="10">
        <v>15215.2690967158</v>
      </c>
      <c r="K104" s="4"/>
      <c r="L104" s="4"/>
      <c r="M104" s="4"/>
    </row>
    <row r="105" ht="13.5" customHeight="1">
      <c r="B105" s="4"/>
      <c r="C105" s="11"/>
      <c r="D105" s="5"/>
      <c r="E105" s="5"/>
      <c r="F105" s="5"/>
      <c r="G105" s="5"/>
      <c r="H105" s="5"/>
      <c r="I105" s="5" t="s">
        <v>96</v>
      </c>
      <c r="J105" s="12">
        <v>0.953903996880183</v>
      </c>
      <c r="K105" s="4"/>
      <c r="L105" s="4"/>
      <c r="M105" s="4"/>
    </row>
    <row r="106" ht="13.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6"/>
      <c r="D107" s="7"/>
      <c r="E107" s="7"/>
      <c r="F107" s="7"/>
      <c r="G107" s="7"/>
      <c r="H107" s="7"/>
      <c r="I107" s="7"/>
      <c r="J107" s="7"/>
      <c r="K107" s="8"/>
      <c r="L107" s="4"/>
      <c r="M107" s="4"/>
    </row>
    <row r="108" ht="12.75" customHeight="1">
      <c r="B108" s="4"/>
      <c r="C108" s="9"/>
      <c r="D108" s="4"/>
      <c r="E108" s="4"/>
      <c r="F108" s="4"/>
      <c r="G108" s="4"/>
      <c r="H108" s="4"/>
      <c r="I108" s="4"/>
      <c r="J108" s="4"/>
      <c r="K108" s="10"/>
      <c r="L108" s="4"/>
      <c r="M108" s="4"/>
    </row>
    <row r="109" ht="12.75" customHeight="1">
      <c r="B109" s="4"/>
      <c r="C109" s="9"/>
      <c r="D109" s="4"/>
      <c r="E109" s="4"/>
      <c r="F109" s="4"/>
      <c r="G109" s="4"/>
      <c r="H109" s="4"/>
      <c r="I109" s="4"/>
      <c r="J109" s="4"/>
      <c r="K109" s="10"/>
      <c r="L109" s="4"/>
      <c r="M109" s="4"/>
    </row>
    <row r="110" ht="12.75" customHeight="1">
      <c r="B110" s="4"/>
      <c r="C110" s="9"/>
      <c r="D110" s="4"/>
      <c r="E110" s="4"/>
      <c r="F110" s="4"/>
      <c r="G110" s="4"/>
      <c r="H110" s="4"/>
      <c r="I110" s="4"/>
      <c r="J110" s="4"/>
      <c r="K110" s="10"/>
      <c r="L110" s="4"/>
      <c r="M110" s="4"/>
    </row>
    <row r="111" ht="12.75" customHeight="1">
      <c r="B111" s="4"/>
      <c r="C111" s="9"/>
      <c r="D111" s="4"/>
      <c r="E111" s="4"/>
      <c r="F111" s="4"/>
      <c r="G111" s="4"/>
      <c r="H111" s="4"/>
      <c r="I111" s="4"/>
      <c r="J111" s="4"/>
      <c r="K111" s="10"/>
    </row>
    <row r="112" ht="12.75" customHeight="1">
      <c r="B112" s="4"/>
      <c r="C112" s="9"/>
      <c r="D112" s="4"/>
      <c r="E112" s="4"/>
      <c r="F112" s="4"/>
      <c r="G112" s="4"/>
      <c r="H112" s="4"/>
      <c r="I112" s="4"/>
      <c r="J112" s="4"/>
      <c r="K112" s="10"/>
    </row>
    <row r="113" ht="12.75" customHeight="1">
      <c r="B113" s="4"/>
      <c r="C113" s="9"/>
      <c r="D113" s="4"/>
      <c r="E113" s="4"/>
      <c r="F113" s="4"/>
      <c r="G113" s="4"/>
      <c r="H113" s="4"/>
      <c r="I113" s="4"/>
      <c r="J113" s="4"/>
      <c r="K113" s="21"/>
    </row>
    <row r="114" ht="12.75" customHeight="1">
      <c r="B114" s="4"/>
      <c r="C114" s="9"/>
      <c r="D114" s="4"/>
      <c r="E114" s="4"/>
      <c r="F114" s="4"/>
      <c r="G114" s="4"/>
      <c r="H114" s="4"/>
      <c r="I114" s="4"/>
      <c r="J114" s="4"/>
      <c r="K114" s="10"/>
    </row>
    <row r="115" ht="13.5" customHeight="1">
      <c r="B115" s="4"/>
      <c r="C115" s="11"/>
      <c r="D115" s="5"/>
      <c r="E115" s="5"/>
      <c r="F115" s="5"/>
      <c r="G115" s="5"/>
      <c r="H115" s="5"/>
      <c r="I115" s="5"/>
      <c r="J115" s="5"/>
      <c r="K115" s="12"/>
    </row>
    <row r="116" ht="12.75" customHeight="1">
      <c r="B116" s="4"/>
      <c r="F116" s="4"/>
    </row>
    <row r="117" ht="12.75" customHeight="1">
      <c r="B117" s="4"/>
      <c r="C117" s="4"/>
      <c r="D117" s="4"/>
      <c r="E117" s="4"/>
      <c r="F117" s="4"/>
      <c r="G117" s="4"/>
      <c r="H117" s="4"/>
    </row>
    <row r="118" ht="12.75" customHeight="1">
      <c r="B118" s="4"/>
      <c r="C118" s="4"/>
      <c r="D118" s="4"/>
      <c r="E118" s="4"/>
      <c r="F118" s="4"/>
      <c r="G118" s="4"/>
      <c r="H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0"/>
    <col customWidth="1" min="5" max="5" width="14.57"/>
    <col customWidth="1" min="6" max="6" width="10.29"/>
    <col customWidth="1" min="7" max="7" width="14.57"/>
    <col customWidth="1" min="8" max="8" width="10.29"/>
    <col customWidth="1" min="9" max="9" width="14.57"/>
    <col customWidth="1" min="10" max="10" width="10.29"/>
    <col customWidth="1" min="11" max="11" width="14.57"/>
    <col customWidth="1" min="12" max="12" width="10.29"/>
    <col customWidth="1" min="13" max="35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>
      <c r="B6" s="22"/>
      <c r="D6" s="22"/>
      <c r="E6" s="1" t="s">
        <v>97</v>
      </c>
      <c r="F6" s="22" t="s">
        <v>98</v>
      </c>
      <c r="H6" s="22"/>
    </row>
    <row r="7" ht="12.75" customHeight="1">
      <c r="E7" s="1" t="s">
        <v>99</v>
      </c>
      <c r="F7" s="1">
        <v>161008.0</v>
      </c>
    </row>
    <row r="8" ht="12.75" customHeight="1">
      <c r="E8" s="1" t="s">
        <v>81</v>
      </c>
      <c r="F8" s="1" t="s">
        <v>87</v>
      </c>
      <c r="G8" s="1" t="s">
        <v>81</v>
      </c>
      <c r="H8" s="1" t="s">
        <v>90</v>
      </c>
      <c r="I8" s="1" t="s">
        <v>81</v>
      </c>
      <c r="J8" s="1" t="s">
        <v>92</v>
      </c>
      <c r="K8" s="1" t="s">
        <v>81</v>
      </c>
      <c r="L8" s="1" t="s">
        <v>94</v>
      </c>
    </row>
    <row r="9" ht="12.75" customHeight="1">
      <c r="E9" s="1" t="s">
        <v>100</v>
      </c>
      <c r="F9" s="1" t="s">
        <v>101</v>
      </c>
      <c r="G9" s="1" t="s">
        <v>100</v>
      </c>
      <c r="H9" s="1" t="s">
        <v>101</v>
      </c>
      <c r="I9" s="1" t="s">
        <v>100</v>
      </c>
      <c r="J9" s="1" t="s">
        <v>101</v>
      </c>
      <c r="K9" s="1" t="s">
        <v>100</v>
      </c>
      <c r="L9" s="1" t="s">
        <v>101</v>
      </c>
    </row>
    <row r="10" ht="12.75" customHeight="1">
      <c r="E10" s="1" t="s">
        <v>102</v>
      </c>
      <c r="F10" s="1" t="s">
        <v>103</v>
      </c>
      <c r="G10" s="1" t="s">
        <v>102</v>
      </c>
      <c r="H10" s="1" t="s">
        <v>103</v>
      </c>
      <c r="I10" s="1" t="s">
        <v>102</v>
      </c>
      <c r="J10" s="1" t="s">
        <v>103</v>
      </c>
      <c r="K10" s="1" t="s">
        <v>102</v>
      </c>
      <c r="L10" s="1" t="s">
        <v>103</v>
      </c>
    </row>
    <row r="11" ht="12.75" customHeight="1">
      <c r="E11" s="1" t="s">
        <v>104</v>
      </c>
      <c r="F11" s="22">
        <v>40327.0</v>
      </c>
      <c r="G11" s="1" t="s">
        <v>104</v>
      </c>
      <c r="H11" s="22">
        <v>40327.0</v>
      </c>
      <c r="I11" s="1" t="s">
        <v>104</v>
      </c>
      <c r="J11" s="22">
        <v>40327.0</v>
      </c>
      <c r="K11" s="1" t="s">
        <v>104</v>
      </c>
      <c r="L11" s="22">
        <v>40327.0</v>
      </c>
    </row>
    <row r="12" ht="12.75" customHeight="1">
      <c r="E12" s="1" t="s">
        <v>105</v>
      </c>
      <c r="F12" s="1" t="s">
        <v>106</v>
      </c>
      <c r="G12" s="1" t="s">
        <v>105</v>
      </c>
      <c r="H12" s="1" t="s">
        <v>107</v>
      </c>
      <c r="I12" s="1" t="s">
        <v>105</v>
      </c>
      <c r="J12" s="1" t="s">
        <v>108</v>
      </c>
      <c r="K12" s="1" t="s">
        <v>105</v>
      </c>
      <c r="L12" s="1" t="s">
        <v>109</v>
      </c>
    </row>
    <row r="13" ht="12.75" customHeight="1"/>
    <row r="14" ht="12.75" customHeight="1">
      <c r="E14" s="1" t="s">
        <v>110</v>
      </c>
      <c r="F14" s="1">
        <v>2.0621</v>
      </c>
      <c r="G14" s="1" t="s">
        <v>110</v>
      </c>
      <c r="H14" s="1">
        <v>4.1243</v>
      </c>
      <c r="I14" s="1" t="s">
        <v>110</v>
      </c>
      <c r="J14" s="1">
        <v>6.1864</v>
      </c>
      <c r="K14" s="1" t="s">
        <v>110</v>
      </c>
      <c r="L14" s="1">
        <v>8.2486</v>
      </c>
    </row>
    <row r="15" ht="12.75" customHeight="1">
      <c r="E15" s="1" t="s">
        <v>111</v>
      </c>
      <c r="F15" s="1" t="s">
        <v>112</v>
      </c>
      <c r="G15" s="1" t="s">
        <v>111</v>
      </c>
      <c r="H15" s="1" t="s">
        <v>112</v>
      </c>
      <c r="I15" s="1" t="s">
        <v>111</v>
      </c>
      <c r="J15" s="1" t="s">
        <v>112</v>
      </c>
      <c r="K15" s="1" t="s">
        <v>111</v>
      </c>
      <c r="L15" s="1" t="s">
        <v>112</v>
      </c>
    </row>
    <row r="16" ht="12.75" customHeight="1">
      <c r="E16" s="1">
        <v>0.0</v>
      </c>
      <c r="F16" s="1">
        <v>-0.001</v>
      </c>
      <c r="G16" s="1">
        <v>0.0</v>
      </c>
      <c r="H16" s="1">
        <v>0.001</v>
      </c>
      <c r="I16" s="1">
        <v>0.0</v>
      </c>
      <c r="J16" s="1">
        <v>-0.043</v>
      </c>
      <c r="K16" s="1">
        <v>0.0</v>
      </c>
      <c r="L16" s="1">
        <v>0.041</v>
      </c>
    </row>
    <row r="17" ht="12.75" customHeight="1">
      <c r="E17" s="1">
        <v>60.0</v>
      </c>
      <c r="F17" s="1">
        <v>-0.001</v>
      </c>
      <c r="G17" s="1">
        <v>60.0</v>
      </c>
      <c r="H17" s="1">
        <v>0.002</v>
      </c>
      <c r="I17" s="1">
        <v>60.0</v>
      </c>
      <c r="J17" s="1">
        <v>-0.043</v>
      </c>
      <c r="K17" s="1">
        <v>60.0</v>
      </c>
      <c r="L17" s="1">
        <v>0.043</v>
      </c>
    </row>
    <row r="18" ht="12.75" customHeight="1">
      <c r="E18" s="1">
        <v>120.0</v>
      </c>
      <c r="F18" s="1">
        <v>-0.001</v>
      </c>
      <c r="G18" s="1">
        <v>120.0</v>
      </c>
      <c r="H18" s="1">
        <v>0.003</v>
      </c>
      <c r="I18" s="1">
        <v>120.0</v>
      </c>
      <c r="J18" s="1">
        <v>-0.041</v>
      </c>
      <c r="K18" s="1">
        <v>120.0</v>
      </c>
      <c r="L18" s="1">
        <v>0.045</v>
      </c>
    </row>
    <row r="19" ht="12.75" customHeight="1">
      <c r="E19" s="1">
        <v>180.0</v>
      </c>
      <c r="F19" s="1">
        <v>0.0</v>
      </c>
      <c r="G19" s="1">
        <v>180.0</v>
      </c>
      <c r="H19" s="1">
        <v>0.004</v>
      </c>
      <c r="I19" s="1">
        <v>180.0</v>
      </c>
      <c r="J19" s="1">
        <v>-0.041</v>
      </c>
      <c r="K19" s="1">
        <v>180.0</v>
      </c>
      <c r="L19" s="1">
        <v>0.048</v>
      </c>
    </row>
    <row r="20" ht="12.75" customHeight="1">
      <c r="E20" s="1">
        <v>240.0</v>
      </c>
      <c r="F20" s="1">
        <v>0.0</v>
      </c>
      <c r="G20" s="1">
        <v>240.0</v>
      </c>
      <c r="H20" s="1">
        <v>0.004</v>
      </c>
      <c r="I20" s="1">
        <v>240.0</v>
      </c>
      <c r="J20" s="1">
        <v>-0.039</v>
      </c>
      <c r="K20" s="1">
        <v>240.0</v>
      </c>
      <c r="L20" s="1">
        <v>0.05</v>
      </c>
    </row>
    <row r="21" ht="12.75" customHeight="1">
      <c r="E21" s="1">
        <v>300.0</v>
      </c>
      <c r="F21" s="1">
        <v>0.001</v>
      </c>
      <c r="G21" s="1">
        <v>300.0</v>
      </c>
      <c r="H21" s="1">
        <v>0.005</v>
      </c>
      <c r="I21" s="1">
        <v>300.0</v>
      </c>
      <c r="J21" s="1">
        <v>-0.038</v>
      </c>
      <c r="K21" s="1">
        <v>300.0</v>
      </c>
      <c r="L21" s="1">
        <v>0.05</v>
      </c>
    </row>
    <row r="22" ht="12.75" customHeight="1">
      <c r="E22" s="1">
        <v>360.0</v>
      </c>
      <c r="F22" s="1">
        <v>0.003</v>
      </c>
      <c r="G22" s="1">
        <v>360.0</v>
      </c>
      <c r="H22" s="1">
        <v>0.006</v>
      </c>
      <c r="I22" s="1">
        <v>360.0</v>
      </c>
      <c r="J22" s="1">
        <v>-0.037</v>
      </c>
      <c r="K22" s="1">
        <v>360.0</v>
      </c>
      <c r="L22" s="1">
        <v>0.051</v>
      </c>
    </row>
    <row r="23" ht="12.75" customHeight="1">
      <c r="E23" s="1">
        <v>420.0</v>
      </c>
      <c r="F23" s="1">
        <v>0.005</v>
      </c>
      <c r="G23" s="1">
        <v>420.0</v>
      </c>
      <c r="H23" s="1">
        <v>0.007</v>
      </c>
      <c r="I23" s="1">
        <v>420.0</v>
      </c>
      <c r="J23" s="1">
        <v>-0.035</v>
      </c>
      <c r="K23" s="1">
        <v>420.0</v>
      </c>
      <c r="L23" s="1">
        <v>0.052</v>
      </c>
    </row>
    <row r="24" ht="12.75" customHeight="1">
      <c r="E24" s="1">
        <v>480.0</v>
      </c>
      <c r="F24" s="1">
        <v>0.007</v>
      </c>
      <c r="G24" s="1">
        <v>480.0</v>
      </c>
      <c r="H24" s="1">
        <v>0.008</v>
      </c>
      <c r="I24" s="1">
        <v>480.0</v>
      </c>
      <c r="J24" s="1">
        <v>-0.034</v>
      </c>
      <c r="K24" s="1">
        <v>480.0</v>
      </c>
      <c r="L24" s="1">
        <v>0.054</v>
      </c>
    </row>
    <row r="25" ht="12.75" customHeight="1">
      <c r="E25" s="1">
        <v>540.0</v>
      </c>
      <c r="F25" s="1">
        <v>0.01</v>
      </c>
      <c r="G25" s="1">
        <v>540.0</v>
      </c>
      <c r="H25" s="1">
        <v>0.01</v>
      </c>
      <c r="I25" s="1">
        <v>540.0</v>
      </c>
      <c r="J25" s="1">
        <v>-0.033</v>
      </c>
      <c r="K25" s="1">
        <v>540.0</v>
      </c>
      <c r="L25" s="1">
        <v>0.056</v>
      </c>
    </row>
    <row r="26" ht="12.75" customHeight="1">
      <c r="E26" s="1">
        <v>600.0</v>
      </c>
      <c r="F26" s="1">
        <v>0.013</v>
      </c>
      <c r="G26" s="1">
        <v>600.0</v>
      </c>
      <c r="H26" s="1">
        <v>0.011</v>
      </c>
      <c r="I26" s="1">
        <v>600.0</v>
      </c>
      <c r="J26" s="1">
        <v>-0.031</v>
      </c>
      <c r="K26" s="1">
        <v>600.0</v>
      </c>
      <c r="L26" s="1">
        <v>0.057</v>
      </c>
    </row>
    <row r="27" ht="12.75" customHeight="1">
      <c r="E27" s="1">
        <v>660.0</v>
      </c>
      <c r="F27" s="1">
        <v>0.016</v>
      </c>
      <c r="G27" s="1">
        <v>660.0</v>
      </c>
      <c r="H27" s="1">
        <v>0.011</v>
      </c>
      <c r="I27" s="1">
        <v>660.0</v>
      </c>
      <c r="J27" s="1">
        <v>-0.03</v>
      </c>
      <c r="K27" s="1">
        <v>660.0</v>
      </c>
      <c r="L27" s="1">
        <v>0.059</v>
      </c>
    </row>
    <row r="28" ht="12.75" customHeight="1">
      <c r="E28" s="1">
        <v>720.0</v>
      </c>
      <c r="F28" s="1">
        <v>0.012</v>
      </c>
      <c r="G28" s="1">
        <v>720.0</v>
      </c>
      <c r="H28" s="1">
        <v>0.012</v>
      </c>
      <c r="I28" s="1">
        <v>720.0</v>
      </c>
      <c r="J28" s="1">
        <v>-0.03</v>
      </c>
      <c r="K28" s="1">
        <v>720.0</v>
      </c>
      <c r="L28" s="1">
        <v>0.06</v>
      </c>
    </row>
    <row r="29" ht="12.75" customHeight="1">
      <c r="E29" s="1">
        <v>780.0</v>
      </c>
      <c r="F29" s="1">
        <v>0.015</v>
      </c>
      <c r="G29" s="1">
        <v>780.0</v>
      </c>
      <c r="H29" s="1">
        <v>0.013</v>
      </c>
      <c r="I29" s="1">
        <v>780.0</v>
      </c>
      <c r="J29" s="1">
        <v>-0.028</v>
      </c>
      <c r="K29" s="1">
        <v>780.0</v>
      </c>
      <c r="L29" s="1">
        <v>0.063</v>
      </c>
    </row>
    <row r="30" ht="12.75" customHeight="1">
      <c r="E30" s="1">
        <v>840.0</v>
      </c>
      <c r="F30" s="1">
        <v>0.019</v>
      </c>
      <c r="G30" s="1">
        <v>840.0</v>
      </c>
      <c r="H30" s="1">
        <v>0.013</v>
      </c>
      <c r="I30" s="1">
        <v>840.0</v>
      </c>
      <c r="J30" s="1">
        <v>-0.027</v>
      </c>
      <c r="K30" s="1">
        <v>840.0</v>
      </c>
      <c r="L30" s="1">
        <v>0.063</v>
      </c>
    </row>
    <row r="31" ht="12.75" customHeight="1">
      <c r="E31" s="1">
        <v>900.0</v>
      </c>
      <c r="F31" s="1">
        <v>0.023</v>
      </c>
      <c r="G31" s="1">
        <v>900.0</v>
      </c>
      <c r="H31" s="1">
        <v>0.015</v>
      </c>
      <c r="I31" s="1">
        <v>900.0</v>
      </c>
      <c r="J31" s="1">
        <v>-0.026</v>
      </c>
      <c r="K31" s="1">
        <v>900.0</v>
      </c>
      <c r="L31" s="1">
        <v>0.066</v>
      </c>
    </row>
    <row r="32" ht="12.75" customHeight="1">
      <c r="E32" s="1">
        <v>960.0</v>
      </c>
      <c r="F32" s="1">
        <v>0.02</v>
      </c>
      <c r="G32" s="1">
        <v>960.0</v>
      </c>
      <c r="H32" s="1">
        <v>0.014</v>
      </c>
      <c r="I32" s="1">
        <v>960.0</v>
      </c>
      <c r="J32" s="1">
        <v>-0.024</v>
      </c>
      <c r="K32" s="1">
        <v>960.0</v>
      </c>
      <c r="L32" s="1">
        <v>0.066</v>
      </c>
    </row>
    <row r="33" ht="12.75" customHeight="1">
      <c r="E33" s="1">
        <v>1020.0</v>
      </c>
      <c r="F33" s="1">
        <v>0.025</v>
      </c>
      <c r="G33" s="1">
        <v>1020.0</v>
      </c>
      <c r="H33" s="1">
        <v>0.016</v>
      </c>
      <c r="I33" s="1">
        <v>1020.0</v>
      </c>
      <c r="J33" s="1">
        <v>-0.024</v>
      </c>
      <c r="K33" s="1">
        <v>1020.0</v>
      </c>
      <c r="L33" s="1">
        <v>0.068</v>
      </c>
    </row>
    <row r="34" ht="12.75" customHeight="1">
      <c r="E34" s="1">
        <v>1080.0</v>
      </c>
      <c r="F34" s="1">
        <v>0.03</v>
      </c>
      <c r="G34" s="1">
        <v>1080.0</v>
      </c>
      <c r="H34" s="1">
        <v>0.016</v>
      </c>
      <c r="I34" s="1">
        <v>1080.0</v>
      </c>
      <c r="J34" s="1">
        <v>-0.023</v>
      </c>
      <c r="K34" s="1">
        <v>1080.0</v>
      </c>
      <c r="L34" s="1">
        <v>0.07</v>
      </c>
    </row>
    <row r="35" ht="12.75" customHeight="1">
      <c r="E35" s="1">
        <v>1140.0</v>
      </c>
      <c r="F35" s="1">
        <v>0.037</v>
      </c>
      <c r="G35" s="1">
        <v>1140.0</v>
      </c>
      <c r="H35" s="1">
        <v>0.018</v>
      </c>
      <c r="I35" s="1">
        <v>1140.0</v>
      </c>
      <c r="J35" s="1">
        <v>-0.021</v>
      </c>
      <c r="K35" s="1">
        <v>1140.0</v>
      </c>
      <c r="L35" s="1">
        <v>0.071</v>
      </c>
    </row>
    <row r="36" ht="12.75" customHeight="1">
      <c r="E36" s="1">
        <v>1200.0</v>
      </c>
      <c r="F36" s="1">
        <v>0.037</v>
      </c>
      <c r="G36" s="1">
        <v>1200.0</v>
      </c>
      <c r="H36" s="1">
        <v>0.017</v>
      </c>
      <c r="I36" s="1">
        <v>1200.0</v>
      </c>
      <c r="J36" s="1">
        <v>-0.02</v>
      </c>
      <c r="K36" s="1">
        <v>1200.0</v>
      </c>
      <c r="L36" s="1">
        <v>0.073</v>
      </c>
    </row>
    <row r="37" ht="12.75" customHeight="1">
      <c r="E37" s="1">
        <v>1260.0</v>
      </c>
      <c r="F37" s="1">
        <v>0.032</v>
      </c>
      <c r="G37" s="1">
        <v>1260.0</v>
      </c>
      <c r="H37" s="1">
        <v>0.02</v>
      </c>
      <c r="I37" s="1">
        <v>1260.0</v>
      </c>
      <c r="J37" s="1">
        <v>-0.019</v>
      </c>
      <c r="K37" s="1">
        <v>1260.0</v>
      </c>
      <c r="L37" s="1">
        <v>0.075</v>
      </c>
      <c r="S37" s="1">
        <v>2.062</v>
      </c>
      <c r="T37" s="23">
        <v>5.19</v>
      </c>
    </row>
    <row r="38" ht="12.75" customHeight="1">
      <c r="E38" s="1">
        <v>1320.0</v>
      </c>
      <c r="F38" s="1">
        <v>0.038</v>
      </c>
      <c r="G38" s="1">
        <v>1320.0</v>
      </c>
      <c r="H38" s="1">
        <v>0.021</v>
      </c>
      <c r="I38" s="1">
        <v>1320.0</v>
      </c>
      <c r="J38" s="1">
        <v>-0.017</v>
      </c>
      <c r="K38" s="1">
        <v>1320.0</v>
      </c>
      <c r="L38" s="1">
        <v>0.075</v>
      </c>
      <c r="S38" s="1">
        <v>4.124</v>
      </c>
      <c r="T38" s="23">
        <v>8.17</v>
      </c>
    </row>
    <row r="39" ht="12.75" customHeight="1">
      <c r="E39" s="1">
        <v>1380.0</v>
      </c>
      <c r="F39" s="1">
        <v>0.037</v>
      </c>
      <c r="G39" s="1">
        <v>1380.0</v>
      </c>
      <c r="H39" s="1">
        <v>0.023</v>
      </c>
      <c r="I39" s="1">
        <v>1380.0</v>
      </c>
      <c r="J39" s="1">
        <v>-0.016</v>
      </c>
      <c r="K39" s="1">
        <v>1380.0</v>
      </c>
      <c r="L39" s="1">
        <v>0.078</v>
      </c>
      <c r="S39" s="1">
        <v>6.186</v>
      </c>
      <c r="T39" s="23">
        <v>13.0</v>
      </c>
    </row>
    <row r="40" ht="12.75" customHeight="1">
      <c r="E40" s="1">
        <v>1440.0</v>
      </c>
      <c r="F40" s="1">
        <v>0.044</v>
      </c>
      <c r="G40" s="1">
        <v>1440.0</v>
      </c>
      <c r="H40" s="1">
        <v>0.021</v>
      </c>
      <c r="I40" s="1">
        <v>1440.0</v>
      </c>
      <c r="J40" s="1">
        <v>-0.015</v>
      </c>
      <c r="K40" s="1">
        <v>1440.0</v>
      </c>
      <c r="L40" s="1">
        <v>0.08</v>
      </c>
      <c r="S40" s="1">
        <v>8.248</v>
      </c>
      <c r="T40" s="23">
        <v>17.2</v>
      </c>
    </row>
    <row r="41" ht="12.75" customHeight="1">
      <c r="E41" s="1">
        <v>1500.0</v>
      </c>
      <c r="F41" s="1">
        <v>0.046</v>
      </c>
      <c r="G41" s="1">
        <v>1500.0</v>
      </c>
      <c r="H41" s="1">
        <v>0.022</v>
      </c>
      <c r="I41" s="1">
        <v>1500.0</v>
      </c>
      <c r="J41" s="1">
        <v>-0.014</v>
      </c>
      <c r="K41" s="1">
        <v>1500.0</v>
      </c>
      <c r="L41" s="1">
        <v>0.082</v>
      </c>
    </row>
    <row r="42" ht="12.75" customHeight="1">
      <c r="E42" s="1">
        <v>1560.0</v>
      </c>
      <c r="F42" s="1">
        <v>0.056</v>
      </c>
      <c r="G42" s="1">
        <v>1560.0</v>
      </c>
      <c r="H42" s="1">
        <v>0.023</v>
      </c>
      <c r="I42" s="1">
        <v>1560.0</v>
      </c>
      <c r="J42" s="1">
        <v>-0.012</v>
      </c>
      <c r="K42" s="1">
        <v>1560.0</v>
      </c>
      <c r="L42" s="1">
        <v>0.083</v>
      </c>
    </row>
    <row r="43" ht="12.75" customHeight="1">
      <c r="E43" s="1">
        <v>1620.0</v>
      </c>
      <c r="F43" s="1">
        <v>0.017</v>
      </c>
      <c r="G43" s="1">
        <v>1620.0</v>
      </c>
      <c r="H43" s="1">
        <v>0.024</v>
      </c>
      <c r="I43" s="1">
        <v>1620.0</v>
      </c>
      <c r="J43" s="1">
        <v>-0.011</v>
      </c>
      <c r="K43" s="1">
        <v>1620.0</v>
      </c>
      <c r="L43" s="1">
        <v>0.085</v>
      </c>
    </row>
    <row r="44" ht="12.75" customHeight="1">
      <c r="E44" s="1">
        <v>1680.0</v>
      </c>
      <c r="F44" s="1">
        <v>0.023</v>
      </c>
      <c r="G44" s="1">
        <v>1680.0</v>
      </c>
      <c r="H44" s="1">
        <v>0.026</v>
      </c>
      <c r="I44" s="1">
        <v>1680.0</v>
      </c>
      <c r="J44" s="1">
        <v>-0.01</v>
      </c>
      <c r="K44" s="1">
        <v>1680.0</v>
      </c>
      <c r="L44" s="1">
        <v>0.086</v>
      </c>
    </row>
    <row r="45" ht="12.75" customHeight="1">
      <c r="E45" s="1">
        <v>1740.0</v>
      </c>
      <c r="F45" s="1">
        <v>0.026</v>
      </c>
      <c r="G45" s="1">
        <v>1740.0</v>
      </c>
      <c r="H45" s="1">
        <v>0.026</v>
      </c>
      <c r="I45" s="1">
        <v>1740.0</v>
      </c>
      <c r="J45" s="1">
        <v>-0.008</v>
      </c>
      <c r="K45" s="1">
        <v>1740.0</v>
      </c>
      <c r="L45" s="1">
        <v>0.088</v>
      </c>
    </row>
    <row r="46" ht="12.75" customHeight="1">
      <c r="E46" s="1">
        <v>1800.0</v>
      </c>
      <c r="F46" s="1">
        <v>0.029</v>
      </c>
      <c r="G46" s="1">
        <v>1800.0</v>
      </c>
      <c r="H46" s="1">
        <v>0.027</v>
      </c>
      <c r="I46" s="1">
        <v>1800.0</v>
      </c>
      <c r="J46" s="1">
        <v>-0.007</v>
      </c>
      <c r="K46" s="1">
        <v>1800.0</v>
      </c>
      <c r="L46" s="1">
        <v>0.091</v>
      </c>
    </row>
    <row r="47" ht="12.75" customHeight="1">
      <c r="E47" s="1">
        <v>1860.0</v>
      </c>
      <c r="F47" s="1">
        <v>0.037</v>
      </c>
      <c r="G47" s="1">
        <v>1860.0</v>
      </c>
      <c r="H47" s="1">
        <v>0.028</v>
      </c>
      <c r="I47" s="1">
        <v>1860.0</v>
      </c>
      <c r="J47" s="1">
        <v>-0.006</v>
      </c>
      <c r="K47" s="1">
        <v>1860.0</v>
      </c>
      <c r="L47" s="1">
        <v>0.09</v>
      </c>
    </row>
    <row r="48" ht="12.75" customHeight="1">
      <c r="E48" s="1">
        <v>1920.0</v>
      </c>
      <c r="F48" s="1">
        <v>0.045</v>
      </c>
      <c r="G48" s="1">
        <v>1920.0</v>
      </c>
      <c r="H48" s="1">
        <v>0.029</v>
      </c>
      <c r="I48" s="1">
        <v>1920.0</v>
      </c>
      <c r="J48" s="1">
        <v>-0.004</v>
      </c>
      <c r="K48" s="1">
        <v>1920.0</v>
      </c>
      <c r="L48" s="1">
        <v>0.094</v>
      </c>
    </row>
    <row r="49" ht="12.75" customHeight="1">
      <c r="E49" s="1">
        <v>1980.0</v>
      </c>
      <c r="F49" s="1">
        <v>0.033</v>
      </c>
      <c r="G49" s="1">
        <v>1980.0</v>
      </c>
      <c r="H49" s="1">
        <v>0.031</v>
      </c>
      <c r="I49" s="1">
        <v>1980.0</v>
      </c>
      <c r="J49" s="1">
        <v>-0.003</v>
      </c>
      <c r="K49" s="1">
        <v>1980.0</v>
      </c>
      <c r="L49" s="1">
        <v>0.096</v>
      </c>
    </row>
    <row r="50" ht="12.75" customHeight="1">
      <c r="E50" s="1">
        <v>2040.0</v>
      </c>
      <c r="F50" s="1">
        <v>0.035</v>
      </c>
      <c r="G50" s="1">
        <v>2040.0</v>
      </c>
      <c r="H50" s="1">
        <v>0.031</v>
      </c>
      <c r="I50" s="1">
        <v>2040.0</v>
      </c>
      <c r="J50" s="1">
        <v>-0.001</v>
      </c>
      <c r="K50" s="1">
        <v>2040.0</v>
      </c>
      <c r="L50" s="1">
        <v>0.098</v>
      </c>
    </row>
    <row r="51" ht="12.75" customHeight="1">
      <c r="E51" s="1">
        <v>2100.0</v>
      </c>
      <c r="F51" s="1">
        <v>0.027</v>
      </c>
      <c r="G51" s="1">
        <v>2100.0</v>
      </c>
      <c r="H51" s="1">
        <v>0.031</v>
      </c>
      <c r="I51" s="1">
        <v>2100.0</v>
      </c>
      <c r="J51" s="1">
        <v>0.0</v>
      </c>
      <c r="K51" s="1">
        <v>2100.0</v>
      </c>
      <c r="L51" s="1">
        <v>0.099</v>
      </c>
    </row>
    <row r="52" ht="12.75" customHeight="1">
      <c r="E52" s="1">
        <v>2160.0</v>
      </c>
      <c r="F52" s="1">
        <v>0.028</v>
      </c>
      <c r="G52" s="1">
        <v>2160.0</v>
      </c>
      <c r="H52" s="1">
        <v>0.032</v>
      </c>
      <c r="I52" s="1">
        <v>2160.0</v>
      </c>
      <c r="J52" s="1">
        <v>0.002</v>
      </c>
      <c r="K52" s="1">
        <v>2160.0</v>
      </c>
      <c r="L52" s="1">
        <v>0.103</v>
      </c>
    </row>
    <row r="53" ht="12.75" customHeight="1">
      <c r="E53" s="1">
        <v>2220.0</v>
      </c>
      <c r="F53" s="1">
        <v>0.028</v>
      </c>
      <c r="G53" s="1">
        <v>2220.0</v>
      </c>
      <c r="H53" s="1">
        <v>0.034</v>
      </c>
      <c r="I53" s="1">
        <v>2220.0</v>
      </c>
      <c r="J53" s="1">
        <v>0.003</v>
      </c>
      <c r="K53" s="1">
        <v>2220.0</v>
      </c>
      <c r="L53" s="1">
        <v>0.102</v>
      </c>
    </row>
    <row r="54" ht="12.75" customHeight="1">
      <c r="E54" s="1">
        <v>2280.0</v>
      </c>
      <c r="F54" s="1">
        <v>0.033</v>
      </c>
      <c r="G54" s="1">
        <v>2280.0</v>
      </c>
      <c r="H54" s="1">
        <v>0.033</v>
      </c>
      <c r="I54" s="1">
        <v>2280.0</v>
      </c>
      <c r="J54" s="1">
        <v>0.004</v>
      </c>
      <c r="K54" s="1">
        <v>2280.0</v>
      </c>
      <c r="L54" s="1">
        <v>0.105</v>
      </c>
    </row>
    <row r="55" ht="12.75" customHeight="1">
      <c r="E55" s="1">
        <v>2340.0</v>
      </c>
      <c r="F55" s="1">
        <v>0.039</v>
      </c>
      <c r="G55" s="1">
        <v>2340.0</v>
      </c>
      <c r="H55" s="1">
        <v>0.035</v>
      </c>
      <c r="I55" s="1">
        <v>2340.0</v>
      </c>
      <c r="J55" s="1">
        <v>0.006</v>
      </c>
      <c r="K55" s="1">
        <v>2340.0</v>
      </c>
      <c r="L55" s="1">
        <v>0.106</v>
      </c>
    </row>
    <row r="56" ht="12.75" customHeight="1">
      <c r="E56" s="1">
        <v>2400.0</v>
      </c>
      <c r="F56" s="1">
        <v>0.046</v>
      </c>
      <c r="G56" s="1">
        <v>2400.0</v>
      </c>
      <c r="H56" s="1">
        <v>0.036</v>
      </c>
      <c r="I56" s="1">
        <v>2400.0</v>
      </c>
      <c r="J56" s="1">
        <v>0.007</v>
      </c>
      <c r="K56" s="1">
        <v>2400.0</v>
      </c>
      <c r="L56" s="1">
        <v>0.11</v>
      </c>
    </row>
    <row r="57" ht="12.75" customHeight="1">
      <c r="E57" s="1">
        <v>2460.0</v>
      </c>
      <c r="F57" s="1">
        <v>0.054</v>
      </c>
      <c r="G57" s="1">
        <v>2460.0</v>
      </c>
      <c r="H57" s="1">
        <v>0.037</v>
      </c>
      <c r="I57" s="1">
        <v>2460.0</v>
      </c>
      <c r="J57" s="1">
        <v>0.008</v>
      </c>
      <c r="K57" s="1">
        <v>2460.0</v>
      </c>
      <c r="L57" s="1">
        <v>0.11</v>
      </c>
    </row>
    <row r="58" ht="12.75" customHeight="1">
      <c r="E58" s="1">
        <v>2520.0</v>
      </c>
      <c r="F58" s="1">
        <v>0.048</v>
      </c>
      <c r="G58" s="1">
        <v>2520.0</v>
      </c>
      <c r="H58" s="1">
        <v>0.037</v>
      </c>
      <c r="I58" s="1">
        <v>2520.0</v>
      </c>
      <c r="J58" s="1">
        <v>0.01</v>
      </c>
      <c r="K58" s="1">
        <v>2520.0</v>
      </c>
      <c r="L58" s="1">
        <v>0.113</v>
      </c>
    </row>
    <row r="59" ht="12.75" customHeight="1">
      <c r="E59" s="1">
        <v>2580.0</v>
      </c>
      <c r="F59" s="1">
        <v>0.044</v>
      </c>
      <c r="G59" s="1">
        <v>2580.0</v>
      </c>
      <c r="H59" s="1">
        <v>0.039</v>
      </c>
      <c r="I59" s="1">
        <v>2580.0</v>
      </c>
      <c r="J59" s="1">
        <v>0.011</v>
      </c>
      <c r="K59" s="1">
        <v>2580.0</v>
      </c>
      <c r="L59" s="1">
        <v>0.113</v>
      </c>
    </row>
    <row r="60" ht="12.75" customHeight="1">
      <c r="E60" s="1">
        <v>2640.0</v>
      </c>
      <c r="F60" s="1">
        <v>0.024</v>
      </c>
      <c r="G60" s="1">
        <v>2640.0</v>
      </c>
      <c r="H60" s="1">
        <v>0.039</v>
      </c>
      <c r="I60" s="1">
        <v>2640.0</v>
      </c>
      <c r="J60" s="1">
        <v>0.013</v>
      </c>
      <c r="K60" s="1">
        <v>2640.0</v>
      </c>
      <c r="L60" s="1">
        <v>0.117</v>
      </c>
    </row>
    <row r="61" ht="12.75" customHeight="1">
      <c r="E61" s="1">
        <v>2700.0</v>
      </c>
      <c r="F61" s="1">
        <v>0.031</v>
      </c>
      <c r="G61" s="1">
        <v>2700.0</v>
      </c>
      <c r="H61" s="1">
        <v>0.04</v>
      </c>
      <c r="I61" s="1">
        <v>2700.0</v>
      </c>
      <c r="J61" s="1">
        <v>0.015</v>
      </c>
      <c r="K61" s="1">
        <v>2700.0</v>
      </c>
      <c r="L61" s="1">
        <v>0.117</v>
      </c>
    </row>
    <row r="62" ht="12.75" customHeight="1">
      <c r="E62" s="1">
        <v>2760.0</v>
      </c>
      <c r="F62" s="1">
        <v>0.039</v>
      </c>
      <c r="G62" s="1">
        <v>2760.0</v>
      </c>
      <c r="H62" s="1">
        <v>0.043</v>
      </c>
      <c r="I62" s="1">
        <v>2760.0</v>
      </c>
      <c r="J62" s="1">
        <v>0.016</v>
      </c>
      <c r="K62" s="1">
        <v>2760.0</v>
      </c>
      <c r="L62" s="1">
        <v>0.12</v>
      </c>
    </row>
    <row r="63" ht="12.75" customHeight="1">
      <c r="E63" s="1">
        <v>2820.0</v>
      </c>
      <c r="F63" s="1">
        <v>0.049</v>
      </c>
      <c r="G63" s="1">
        <v>2820.0</v>
      </c>
      <c r="H63" s="1">
        <v>0.042</v>
      </c>
      <c r="I63" s="1">
        <v>2820.0</v>
      </c>
      <c r="J63" s="1">
        <v>0.018</v>
      </c>
      <c r="K63" s="1">
        <v>2820.0</v>
      </c>
      <c r="L63" s="1">
        <v>0.121</v>
      </c>
    </row>
    <row r="64" ht="12.75" customHeight="1">
      <c r="E64" s="1">
        <v>2880.0</v>
      </c>
      <c r="F64" s="1">
        <v>0.049</v>
      </c>
      <c r="G64" s="1">
        <v>2880.0</v>
      </c>
      <c r="H64" s="1">
        <v>0.043</v>
      </c>
      <c r="I64" s="1">
        <v>2880.0</v>
      </c>
      <c r="J64" s="1">
        <v>0.019</v>
      </c>
      <c r="K64" s="1">
        <v>2880.0</v>
      </c>
      <c r="L64" s="1">
        <v>0.122</v>
      </c>
    </row>
    <row r="65" ht="12.75" customHeight="1">
      <c r="E65" s="1">
        <v>2940.0</v>
      </c>
      <c r="F65" s="1">
        <v>0.047</v>
      </c>
      <c r="G65" s="1">
        <v>2940.0</v>
      </c>
      <c r="H65" s="1">
        <v>0.044</v>
      </c>
      <c r="I65" s="1">
        <v>2940.0</v>
      </c>
      <c r="J65" s="1">
        <v>0.02</v>
      </c>
      <c r="K65" s="1">
        <v>2940.0</v>
      </c>
      <c r="L65" s="1">
        <v>0.125</v>
      </c>
    </row>
    <row r="66" ht="12.75" customHeight="1">
      <c r="E66" s="1">
        <v>3000.0</v>
      </c>
      <c r="F66" s="1">
        <v>0.055</v>
      </c>
      <c r="G66" s="1">
        <v>3000.0</v>
      </c>
      <c r="H66" s="1">
        <v>0.046</v>
      </c>
      <c r="I66" s="1">
        <v>3000.0</v>
      </c>
      <c r="J66" s="1">
        <v>0.022</v>
      </c>
      <c r="K66" s="1">
        <v>3000.0</v>
      </c>
      <c r="L66" s="1">
        <v>0.127</v>
      </c>
    </row>
    <row r="67" ht="12.75" customHeight="1">
      <c r="E67" s="1">
        <v>3060.0</v>
      </c>
      <c r="F67" s="1">
        <v>0.034</v>
      </c>
      <c r="G67" s="1">
        <v>3060.0</v>
      </c>
      <c r="H67" s="1">
        <v>0.047</v>
      </c>
      <c r="I67" s="1">
        <v>3060.0</v>
      </c>
      <c r="J67" s="1">
        <v>0.023</v>
      </c>
      <c r="K67" s="1">
        <v>3060.0</v>
      </c>
      <c r="L67" s="1">
        <v>0.129</v>
      </c>
    </row>
    <row r="68" ht="12.75" customHeight="1">
      <c r="E68" s="1">
        <v>3120.0</v>
      </c>
      <c r="F68" s="1">
        <v>0.039</v>
      </c>
      <c r="G68" s="1">
        <v>3120.0</v>
      </c>
      <c r="H68" s="1">
        <v>0.05</v>
      </c>
      <c r="I68" s="1">
        <v>3120.0</v>
      </c>
      <c r="J68" s="1">
        <v>0.025</v>
      </c>
      <c r="K68" s="1">
        <v>3120.0</v>
      </c>
      <c r="L68" s="1">
        <v>0.13</v>
      </c>
    </row>
    <row r="69" ht="12.75" customHeight="1">
      <c r="E69" s="1">
        <v>3180.0</v>
      </c>
      <c r="F69" s="1">
        <v>0.039</v>
      </c>
      <c r="G69" s="1">
        <v>3180.0</v>
      </c>
      <c r="H69" s="1">
        <v>0.049</v>
      </c>
      <c r="I69" s="1">
        <v>3180.0</v>
      </c>
      <c r="J69" s="1">
        <v>0.027</v>
      </c>
      <c r="K69" s="1">
        <v>3180.0</v>
      </c>
      <c r="L69" s="1">
        <v>0.132</v>
      </c>
    </row>
    <row r="70" ht="12.75" customHeight="1">
      <c r="E70" s="1">
        <v>3240.0</v>
      </c>
      <c r="F70" s="1">
        <v>0.044</v>
      </c>
      <c r="G70" s="1">
        <v>3240.0</v>
      </c>
      <c r="H70" s="1">
        <v>0.051</v>
      </c>
      <c r="I70" s="1">
        <v>3240.0</v>
      </c>
      <c r="J70" s="1">
        <v>0.028</v>
      </c>
      <c r="K70" s="1">
        <v>3240.0</v>
      </c>
      <c r="L70" s="1">
        <v>0.134</v>
      </c>
    </row>
    <row r="71" ht="12.75" customHeight="1">
      <c r="E71" s="1">
        <v>3300.0</v>
      </c>
      <c r="F71" s="1">
        <v>0.043</v>
      </c>
      <c r="G71" s="1">
        <v>3300.0</v>
      </c>
      <c r="H71" s="1">
        <v>0.05</v>
      </c>
      <c r="I71" s="1">
        <v>3300.0</v>
      </c>
      <c r="J71" s="1">
        <v>0.03</v>
      </c>
      <c r="K71" s="1">
        <v>3300.0</v>
      </c>
      <c r="L71" s="1">
        <v>0.136</v>
      </c>
    </row>
    <row r="72" ht="12.75" customHeight="1">
      <c r="E72" s="1">
        <v>3360.0</v>
      </c>
      <c r="F72" s="1">
        <v>0.049</v>
      </c>
      <c r="G72" s="1">
        <v>3360.0</v>
      </c>
      <c r="H72" s="1">
        <v>0.054</v>
      </c>
      <c r="I72" s="1">
        <v>3360.0</v>
      </c>
      <c r="J72" s="1">
        <v>0.032</v>
      </c>
      <c r="K72" s="1">
        <v>3360.0</v>
      </c>
      <c r="L72" s="1">
        <v>0.138</v>
      </c>
    </row>
    <row r="73" ht="12.75" customHeight="1">
      <c r="E73" s="1">
        <v>3420.0</v>
      </c>
      <c r="F73" s="1">
        <v>0.04</v>
      </c>
      <c r="G73" s="1">
        <v>3420.0</v>
      </c>
      <c r="H73" s="1">
        <v>0.053</v>
      </c>
      <c r="I73" s="1">
        <v>3420.0</v>
      </c>
      <c r="J73" s="1">
        <v>0.033</v>
      </c>
      <c r="K73" s="1">
        <v>3420.0</v>
      </c>
      <c r="L73" s="1">
        <v>0.139</v>
      </c>
    </row>
    <row r="74" ht="12.75" customHeight="1">
      <c r="E74" s="1">
        <v>3480.0</v>
      </c>
      <c r="F74" s="1">
        <v>0.045</v>
      </c>
      <c r="G74" s="1">
        <v>3480.0</v>
      </c>
      <c r="H74" s="1">
        <v>0.056</v>
      </c>
      <c r="I74" s="1">
        <v>3480.0</v>
      </c>
      <c r="J74" s="1">
        <v>0.034</v>
      </c>
      <c r="K74" s="1">
        <v>3480.0</v>
      </c>
      <c r="L74" s="1">
        <v>0.142</v>
      </c>
    </row>
    <row r="75" ht="12.75" customHeight="1">
      <c r="E75" s="1">
        <v>3540.0</v>
      </c>
      <c r="F75" s="1">
        <v>0.049</v>
      </c>
      <c r="G75" s="1">
        <v>3540.0</v>
      </c>
      <c r="H75" s="1">
        <v>0.055</v>
      </c>
      <c r="I75" s="1">
        <v>3540.0</v>
      </c>
      <c r="J75" s="1">
        <v>0.036</v>
      </c>
      <c r="K75" s="1">
        <v>3540.0</v>
      </c>
      <c r="L75" s="1">
        <v>0.145</v>
      </c>
    </row>
    <row r="76" ht="12.75" customHeight="1">
      <c r="E76" s="1">
        <v>3600.0</v>
      </c>
      <c r="F76" s="1">
        <v>0.052</v>
      </c>
      <c r="G76" s="1">
        <v>3600.0</v>
      </c>
      <c r="H76" s="1">
        <v>0.058</v>
      </c>
      <c r="I76" s="1">
        <v>3600.0</v>
      </c>
      <c r="J76" s="1">
        <v>0.038</v>
      </c>
      <c r="K76" s="1">
        <v>3600.0</v>
      </c>
      <c r="L76" s="1">
        <v>0.148</v>
      </c>
    </row>
    <row r="77" ht="12.75" customHeight="1">
      <c r="E77" s="1">
        <v>3660.0</v>
      </c>
      <c r="F77" s="1">
        <v>0.052</v>
      </c>
      <c r="G77" s="1">
        <v>3660.0</v>
      </c>
      <c r="H77" s="1">
        <v>0.056</v>
      </c>
      <c r="I77" s="1">
        <v>3660.0</v>
      </c>
      <c r="J77" s="1">
        <v>0.039</v>
      </c>
      <c r="K77" s="1">
        <v>3660.0</v>
      </c>
      <c r="L77" s="1">
        <v>0.149</v>
      </c>
    </row>
    <row r="78" ht="12.75" customHeight="1">
      <c r="E78" s="1">
        <v>3720.0</v>
      </c>
      <c r="F78" s="1">
        <v>0.022</v>
      </c>
      <c r="G78" s="1">
        <v>3720.0</v>
      </c>
      <c r="H78" s="1">
        <v>0.06</v>
      </c>
      <c r="I78" s="1">
        <v>3720.0</v>
      </c>
      <c r="J78" s="1">
        <v>0.041</v>
      </c>
      <c r="K78" s="1">
        <v>3720.0</v>
      </c>
      <c r="L78" s="1">
        <v>0.151</v>
      </c>
    </row>
    <row r="79" ht="12.75" customHeight="1">
      <c r="E79" s="1">
        <v>3780.0</v>
      </c>
      <c r="F79" s="1">
        <v>0.025</v>
      </c>
      <c r="G79" s="1">
        <v>3780.0</v>
      </c>
      <c r="H79" s="1">
        <v>0.059</v>
      </c>
      <c r="I79" s="1">
        <v>3780.0</v>
      </c>
      <c r="J79" s="1">
        <v>0.043</v>
      </c>
      <c r="K79" s="1">
        <v>3780.0</v>
      </c>
      <c r="L79" s="1">
        <v>0.152</v>
      </c>
    </row>
    <row r="80" ht="12.75" customHeight="1">
      <c r="E80" s="1">
        <v>3840.0</v>
      </c>
      <c r="F80" s="1">
        <v>0.03</v>
      </c>
      <c r="G80" s="1">
        <v>3840.0</v>
      </c>
      <c r="H80" s="1">
        <v>0.061</v>
      </c>
      <c r="I80" s="1">
        <v>3840.0</v>
      </c>
      <c r="J80" s="1">
        <v>0.045</v>
      </c>
      <c r="K80" s="1">
        <v>3840.0</v>
      </c>
      <c r="L80" s="1">
        <v>0.156</v>
      </c>
    </row>
    <row r="81" ht="12.75" customHeight="1">
      <c r="E81" s="1">
        <v>3900.0</v>
      </c>
      <c r="F81" s="1">
        <v>0.03</v>
      </c>
      <c r="G81" s="1">
        <v>3900.0</v>
      </c>
      <c r="H81" s="1">
        <v>0.06</v>
      </c>
      <c r="I81" s="1">
        <v>3900.0</v>
      </c>
      <c r="J81" s="1">
        <v>0.046</v>
      </c>
      <c r="K81" s="1">
        <v>3900.0</v>
      </c>
      <c r="L81" s="1">
        <v>0.159</v>
      </c>
    </row>
    <row r="82" ht="12.75" customHeight="1">
      <c r="E82" s="1">
        <v>3960.0</v>
      </c>
      <c r="F82" s="1">
        <v>0.034</v>
      </c>
      <c r="G82" s="1">
        <v>3960.0</v>
      </c>
      <c r="H82" s="1">
        <v>0.062</v>
      </c>
      <c r="I82" s="1">
        <v>3960.0</v>
      </c>
      <c r="J82" s="1">
        <v>0.048</v>
      </c>
      <c r="K82" s="1">
        <v>3960.0</v>
      </c>
      <c r="L82" s="1">
        <v>0.159</v>
      </c>
    </row>
    <row r="83" ht="12.75" customHeight="1">
      <c r="E83" s="1">
        <v>4020.0</v>
      </c>
      <c r="F83" s="1">
        <v>0.037</v>
      </c>
      <c r="G83" s="1">
        <v>4020.0</v>
      </c>
      <c r="H83" s="1">
        <v>0.063</v>
      </c>
      <c r="I83" s="1">
        <v>4020.0</v>
      </c>
      <c r="J83" s="1">
        <v>0.049</v>
      </c>
      <c r="K83" s="1">
        <v>4020.0</v>
      </c>
      <c r="L83" s="1">
        <v>0.16</v>
      </c>
    </row>
    <row r="84" ht="12.75" customHeight="1">
      <c r="E84" s="1">
        <v>4080.0</v>
      </c>
      <c r="F84" s="1">
        <v>0.04</v>
      </c>
      <c r="G84" s="1">
        <v>4080.0</v>
      </c>
      <c r="H84" s="1">
        <v>0.064</v>
      </c>
      <c r="I84" s="1">
        <v>4080.0</v>
      </c>
      <c r="J84" s="1">
        <v>0.051</v>
      </c>
      <c r="K84" s="1">
        <v>4080.0</v>
      </c>
      <c r="L84" s="1">
        <v>0.162</v>
      </c>
    </row>
    <row r="85" ht="12.75" customHeight="1">
      <c r="E85" s="1">
        <v>4140.0</v>
      </c>
      <c r="F85" s="1">
        <v>0.043</v>
      </c>
      <c r="G85" s="1">
        <v>4140.0</v>
      </c>
      <c r="H85" s="1">
        <v>0.066</v>
      </c>
      <c r="I85" s="1">
        <v>4140.0</v>
      </c>
      <c r="J85" s="1">
        <v>0.053</v>
      </c>
      <c r="K85" s="1">
        <v>4140.0</v>
      </c>
      <c r="L85" s="1">
        <v>0.165</v>
      </c>
    </row>
    <row r="86" ht="12.75" customHeight="1">
      <c r="E86" s="1">
        <v>4200.0</v>
      </c>
      <c r="F86" s="1">
        <v>0.038</v>
      </c>
      <c r="G86" s="1">
        <v>4200.0</v>
      </c>
      <c r="H86" s="1">
        <v>0.068</v>
      </c>
      <c r="I86" s="1">
        <v>4200.0</v>
      </c>
      <c r="J86" s="1">
        <v>0.054</v>
      </c>
      <c r="K86" s="1">
        <v>4200.0</v>
      </c>
      <c r="L86" s="1">
        <v>0.167</v>
      </c>
    </row>
    <row r="87" ht="12.75" customHeight="1">
      <c r="E87" s="1">
        <v>4260.0</v>
      </c>
      <c r="F87" s="1">
        <v>0.042</v>
      </c>
      <c r="G87" s="1">
        <v>4260.0</v>
      </c>
      <c r="H87" s="1">
        <v>0.07</v>
      </c>
      <c r="I87" s="1">
        <v>4260.0</v>
      </c>
      <c r="J87" s="1">
        <v>0.057</v>
      </c>
      <c r="K87" s="1">
        <v>4260.0</v>
      </c>
      <c r="L87" s="1">
        <v>0.168</v>
      </c>
    </row>
    <row r="88" ht="12.75" customHeight="1">
      <c r="E88" s="1">
        <v>4320.0</v>
      </c>
      <c r="F88" s="1">
        <v>0.044</v>
      </c>
      <c r="G88" s="1">
        <v>4320.0</v>
      </c>
      <c r="H88" s="1">
        <v>0.068</v>
      </c>
      <c r="I88" s="1">
        <v>4320.0</v>
      </c>
      <c r="J88" s="1">
        <v>0.058</v>
      </c>
      <c r="K88" s="1">
        <v>4320.0</v>
      </c>
      <c r="L88" s="1">
        <v>0.171</v>
      </c>
    </row>
    <row r="89" ht="12.75" customHeight="1">
      <c r="E89" s="1">
        <v>4380.0</v>
      </c>
      <c r="F89" s="1">
        <v>0.048</v>
      </c>
      <c r="G89" s="1">
        <v>4380.0</v>
      </c>
      <c r="H89" s="1">
        <v>0.07</v>
      </c>
      <c r="I89" s="1">
        <v>4380.0</v>
      </c>
      <c r="J89" s="1">
        <v>0.06</v>
      </c>
      <c r="K89" s="1">
        <v>4380.0</v>
      </c>
      <c r="L89" s="1">
        <v>0.173</v>
      </c>
    </row>
    <row r="90" ht="12.75" customHeight="1">
      <c r="E90" s="1">
        <v>4440.0</v>
      </c>
      <c r="F90" s="1">
        <v>0.03</v>
      </c>
      <c r="G90" s="1">
        <v>4440.0</v>
      </c>
      <c r="H90" s="1">
        <v>0.07</v>
      </c>
      <c r="I90" s="1">
        <v>4440.0</v>
      </c>
      <c r="J90" s="1">
        <v>0.062</v>
      </c>
      <c r="K90" s="1">
        <v>4440.0</v>
      </c>
      <c r="L90" s="1">
        <v>0.174</v>
      </c>
    </row>
    <row r="91" ht="12.75" customHeight="1">
      <c r="E91" s="1">
        <v>4500.0</v>
      </c>
      <c r="F91" s="1">
        <v>0.033</v>
      </c>
      <c r="G91" s="1">
        <v>4500.0</v>
      </c>
      <c r="H91" s="1">
        <v>0.073</v>
      </c>
      <c r="I91" s="1">
        <v>4500.0</v>
      </c>
      <c r="J91" s="1">
        <v>0.064</v>
      </c>
      <c r="K91" s="1">
        <v>4500.0</v>
      </c>
      <c r="L91" s="1">
        <v>0.177</v>
      </c>
    </row>
    <row r="92" ht="12.75" customHeight="1">
      <c r="E92" s="1">
        <v>4560.0</v>
      </c>
      <c r="F92" s="1">
        <v>0.036</v>
      </c>
      <c r="G92" s="1">
        <v>4560.0</v>
      </c>
      <c r="H92" s="1">
        <v>0.073</v>
      </c>
      <c r="I92" s="1">
        <v>4560.0</v>
      </c>
      <c r="J92" s="1">
        <v>0.066</v>
      </c>
      <c r="K92" s="1">
        <v>4560.0</v>
      </c>
      <c r="L92" s="1">
        <v>0.178</v>
      </c>
    </row>
    <row r="93" ht="12.75" customHeight="1">
      <c r="E93" s="1">
        <v>4620.0</v>
      </c>
      <c r="F93" s="1">
        <v>0.04</v>
      </c>
      <c r="G93" s="1">
        <v>4620.0</v>
      </c>
      <c r="H93" s="1">
        <v>0.074</v>
      </c>
      <c r="I93" s="1">
        <v>4620.0</v>
      </c>
      <c r="J93" s="1">
        <v>0.068</v>
      </c>
      <c r="K93" s="1">
        <v>4620.0</v>
      </c>
      <c r="L93" s="1">
        <v>0.18</v>
      </c>
    </row>
    <row r="94" ht="12.75" customHeight="1">
      <c r="E94" s="1">
        <v>4680.0</v>
      </c>
      <c r="F94" s="1">
        <v>0.044</v>
      </c>
      <c r="G94" s="1">
        <v>4680.0</v>
      </c>
      <c r="H94" s="1">
        <v>0.075</v>
      </c>
      <c r="I94" s="1">
        <v>4680.0</v>
      </c>
      <c r="J94" s="1">
        <v>0.071</v>
      </c>
      <c r="K94" s="1">
        <v>4680.0</v>
      </c>
      <c r="L94" s="1">
        <v>0.182</v>
      </c>
    </row>
    <row r="95" ht="12.75" customHeight="1">
      <c r="E95" s="1">
        <v>4740.0</v>
      </c>
      <c r="F95" s="1">
        <v>0.047</v>
      </c>
      <c r="G95" s="1">
        <v>4740.0</v>
      </c>
      <c r="H95" s="1">
        <v>0.077</v>
      </c>
      <c r="I95" s="1">
        <v>4740.0</v>
      </c>
      <c r="J95" s="1">
        <v>0.074</v>
      </c>
      <c r="K95" s="1">
        <v>4740.0</v>
      </c>
      <c r="L95" s="1">
        <v>0.185</v>
      </c>
    </row>
    <row r="96" ht="12.75" customHeight="1">
      <c r="E96" s="1">
        <v>4800.0</v>
      </c>
      <c r="F96" s="1">
        <v>0.043</v>
      </c>
      <c r="G96" s="1">
        <v>4800.0</v>
      </c>
      <c r="H96" s="1">
        <v>0.077</v>
      </c>
      <c r="I96" s="1">
        <v>4800.0</v>
      </c>
      <c r="J96" s="1">
        <v>0.071</v>
      </c>
      <c r="K96" s="1">
        <v>4800.0</v>
      </c>
      <c r="L96" s="1">
        <v>0.186</v>
      </c>
    </row>
    <row r="97" ht="12.75" customHeight="1">
      <c r="E97" s="1">
        <v>4860.0</v>
      </c>
      <c r="F97" s="1">
        <v>0.046</v>
      </c>
      <c r="G97" s="1">
        <v>4860.0</v>
      </c>
      <c r="H97" s="1">
        <v>0.079</v>
      </c>
      <c r="I97" s="1">
        <v>4860.0</v>
      </c>
      <c r="J97" s="1">
        <v>0.073</v>
      </c>
      <c r="K97" s="1">
        <v>4860.0</v>
      </c>
      <c r="L97" s="1">
        <v>0.188</v>
      </c>
    </row>
    <row r="98" ht="12.75" customHeight="1">
      <c r="E98" s="1">
        <v>4920.0</v>
      </c>
      <c r="F98" s="1">
        <v>0.05</v>
      </c>
      <c r="G98" s="1">
        <v>4920.0</v>
      </c>
      <c r="H98" s="1">
        <v>0.08</v>
      </c>
      <c r="I98" s="1">
        <v>4920.0</v>
      </c>
      <c r="J98" s="1">
        <v>0.074</v>
      </c>
      <c r="K98" s="1">
        <v>4920.0</v>
      </c>
      <c r="L98" s="1">
        <v>0.19</v>
      </c>
    </row>
    <row r="99" ht="12.75" customHeight="1">
      <c r="E99" s="1">
        <v>4980.0</v>
      </c>
      <c r="F99" s="1">
        <v>0.054</v>
      </c>
      <c r="G99" s="1">
        <v>4980.0</v>
      </c>
      <c r="H99" s="1">
        <v>0.082</v>
      </c>
      <c r="I99" s="1">
        <v>4980.0</v>
      </c>
      <c r="J99" s="1">
        <v>0.076</v>
      </c>
      <c r="K99" s="1">
        <v>4980.0</v>
      </c>
      <c r="L99" s="1">
        <v>0.194</v>
      </c>
    </row>
    <row r="100" ht="12.75" customHeight="1">
      <c r="E100" s="1">
        <v>5040.0</v>
      </c>
      <c r="F100" s="1">
        <v>0.053</v>
      </c>
      <c r="G100" s="1">
        <v>5040.0</v>
      </c>
      <c r="H100" s="1">
        <v>0.082</v>
      </c>
      <c r="I100" s="1">
        <v>5040.0</v>
      </c>
      <c r="J100" s="1">
        <v>0.077</v>
      </c>
      <c r="K100" s="1">
        <v>5040.0</v>
      </c>
      <c r="L100" s="1">
        <v>0.195</v>
      </c>
    </row>
    <row r="101" ht="12.75" customHeight="1">
      <c r="E101" s="1">
        <v>5100.0</v>
      </c>
      <c r="F101" s="1">
        <v>0.058</v>
      </c>
      <c r="G101" s="1">
        <v>5100.0</v>
      </c>
      <c r="H101" s="1">
        <v>0.084</v>
      </c>
      <c r="I101" s="1">
        <v>5100.0</v>
      </c>
      <c r="J101" s="1">
        <v>0.079</v>
      </c>
      <c r="K101" s="1">
        <v>5100.0</v>
      </c>
      <c r="L101" s="1">
        <v>0.197</v>
      </c>
    </row>
    <row r="102" ht="12.75" customHeight="1">
      <c r="E102" s="1">
        <v>5160.0</v>
      </c>
      <c r="F102" s="1">
        <v>0.062</v>
      </c>
      <c r="G102" s="1">
        <v>5160.0</v>
      </c>
      <c r="H102" s="1">
        <v>0.085</v>
      </c>
      <c r="I102" s="1">
        <v>5160.0</v>
      </c>
      <c r="J102" s="1">
        <v>0.081</v>
      </c>
      <c r="K102" s="1">
        <v>5160.0</v>
      </c>
      <c r="L102" s="1">
        <v>0.199</v>
      </c>
    </row>
    <row r="103" ht="12.75" customHeight="1">
      <c r="E103" s="1">
        <v>5220.0</v>
      </c>
      <c r="F103" s="1">
        <v>0.064</v>
      </c>
      <c r="G103" s="1">
        <v>5220.0</v>
      </c>
      <c r="H103" s="1">
        <v>0.086</v>
      </c>
      <c r="I103" s="1">
        <v>5220.0</v>
      </c>
      <c r="J103" s="1">
        <v>0.083</v>
      </c>
      <c r="K103" s="1">
        <v>5220.0</v>
      </c>
      <c r="L103" s="1">
        <v>0.202</v>
      </c>
    </row>
    <row r="104" ht="12.75" customHeight="1">
      <c r="E104" s="1">
        <v>5280.0</v>
      </c>
      <c r="F104" s="1">
        <v>0.069</v>
      </c>
      <c r="G104" s="1">
        <v>5280.0</v>
      </c>
      <c r="H104" s="1">
        <v>0.087</v>
      </c>
      <c r="I104" s="1">
        <v>5280.0</v>
      </c>
      <c r="J104" s="1">
        <v>0.084</v>
      </c>
      <c r="K104" s="1">
        <v>5280.0</v>
      </c>
      <c r="L104" s="1">
        <v>0.203</v>
      </c>
    </row>
    <row r="105" ht="12.75" customHeight="1">
      <c r="E105" s="1">
        <v>5340.0</v>
      </c>
      <c r="F105" s="1">
        <v>0.073</v>
      </c>
      <c r="G105" s="1">
        <v>5340.0</v>
      </c>
      <c r="H105" s="1">
        <v>0.088</v>
      </c>
      <c r="I105" s="1">
        <v>5340.0</v>
      </c>
      <c r="J105" s="1">
        <v>0.086</v>
      </c>
      <c r="K105" s="1">
        <v>5340.0</v>
      </c>
      <c r="L105" s="1">
        <v>0.205</v>
      </c>
    </row>
    <row r="106" ht="12.75" customHeight="1">
      <c r="E106" s="1">
        <v>5400.0</v>
      </c>
      <c r="F106" s="1">
        <v>0.078</v>
      </c>
      <c r="G106" s="1">
        <v>5400.0</v>
      </c>
      <c r="H106" s="1">
        <v>0.089</v>
      </c>
      <c r="I106" s="1">
        <v>5400.0</v>
      </c>
      <c r="J106" s="1">
        <v>0.088</v>
      </c>
      <c r="K106" s="1">
        <v>5400.0</v>
      </c>
      <c r="L106" s="1">
        <v>0.207</v>
      </c>
    </row>
    <row r="107" ht="12.75" customHeight="1">
      <c r="E107" s="1">
        <v>5460.0</v>
      </c>
      <c r="F107" s="1">
        <v>0.07</v>
      </c>
      <c r="G107" s="1">
        <v>5460.0</v>
      </c>
      <c r="H107" s="1">
        <v>0.091</v>
      </c>
      <c r="I107" s="1">
        <v>5460.0</v>
      </c>
      <c r="J107" s="1">
        <v>0.09</v>
      </c>
      <c r="K107" s="1">
        <v>5460.0</v>
      </c>
      <c r="L107" s="1">
        <v>0.208</v>
      </c>
    </row>
    <row r="108" ht="12.75" customHeight="1">
      <c r="E108" s="1">
        <v>5520.0</v>
      </c>
      <c r="F108" s="1">
        <v>0.062</v>
      </c>
      <c r="G108" s="1">
        <v>5520.0</v>
      </c>
      <c r="H108" s="1">
        <v>0.091</v>
      </c>
      <c r="I108" s="1">
        <v>5520.0</v>
      </c>
      <c r="J108" s="1">
        <v>0.091</v>
      </c>
      <c r="K108" s="1">
        <v>5520.0</v>
      </c>
      <c r="L108" s="1">
        <v>0.211</v>
      </c>
    </row>
    <row r="109" ht="12.75" customHeight="1">
      <c r="E109" s="1">
        <v>5580.0</v>
      </c>
      <c r="F109" s="1">
        <v>0.066</v>
      </c>
      <c r="G109" s="1">
        <v>5580.0</v>
      </c>
      <c r="H109" s="1">
        <v>0.094</v>
      </c>
      <c r="I109" s="1">
        <v>5580.0</v>
      </c>
      <c r="J109" s="1">
        <v>0.093</v>
      </c>
      <c r="K109" s="1">
        <v>5580.0</v>
      </c>
      <c r="L109" s="1">
        <v>0.214</v>
      </c>
    </row>
    <row r="110" ht="12.75" customHeight="1">
      <c r="E110" s="1">
        <v>5640.0</v>
      </c>
      <c r="F110" s="1">
        <v>0.07</v>
      </c>
      <c r="G110" s="1">
        <v>5640.0</v>
      </c>
      <c r="H110" s="1">
        <v>0.094</v>
      </c>
      <c r="I110" s="1">
        <v>5640.0</v>
      </c>
      <c r="J110" s="1">
        <v>0.094</v>
      </c>
      <c r="K110" s="1">
        <v>5640.0</v>
      </c>
      <c r="L110" s="1">
        <v>0.215</v>
      </c>
    </row>
    <row r="111" ht="12.75" customHeight="1">
      <c r="E111" s="1">
        <v>5700.0</v>
      </c>
      <c r="F111" s="1">
        <v>0.046</v>
      </c>
      <c r="G111" s="1">
        <v>5700.0</v>
      </c>
      <c r="H111" s="1">
        <v>0.095</v>
      </c>
      <c r="I111" s="1">
        <v>5700.0</v>
      </c>
      <c r="J111" s="1">
        <v>0.096</v>
      </c>
      <c r="K111" s="1">
        <v>5700.0</v>
      </c>
      <c r="L111" s="1">
        <v>0.217</v>
      </c>
    </row>
    <row r="112" ht="12.75" customHeight="1">
      <c r="E112" s="1">
        <v>5760.0</v>
      </c>
      <c r="F112" s="1">
        <v>0.049</v>
      </c>
      <c r="G112" s="1">
        <v>5760.0</v>
      </c>
      <c r="H112" s="1">
        <v>0.096</v>
      </c>
      <c r="I112" s="1">
        <v>5760.0</v>
      </c>
      <c r="J112" s="1">
        <v>0.098</v>
      </c>
      <c r="K112" s="1">
        <v>5760.0</v>
      </c>
      <c r="L112" s="1">
        <v>0.219</v>
      </c>
    </row>
    <row r="113" ht="12.75" customHeight="1">
      <c r="E113" s="1">
        <v>5820.0</v>
      </c>
      <c r="F113" s="1">
        <v>0.051</v>
      </c>
      <c r="G113" s="1">
        <v>5820.0</v>
      </c>
      <c r="H113" s="1">
        <v>0.098</v>
      </c>
      <c r="I113" s="1">
        <v>5820.0</v>
      </c>
      <c r="J113" s="1">
        <v>0.1</v>
      </c>
      <c r="K113" s="1">
        <v>5820.0</v>
      </c>
      <c r="L113" s="1">
        <v>0.222</v>
      </c>
    </row>
    <row r="114" ht="12.75" customHeight="1">
      <c r="E114" s="1">
        <v>5880.0</v>
      </c>
      <c r="F114" s="1">
        <v>0.048</v>
      </c>
      <c r="G114" s="1">
        <v>5880.0</v>
      </c>
      <c r="H114" s="1">
        <v>0.098</v>
      </c>
      <c r="I114" s="1">
        <v>5880.0</v>
      </c>
      <c r="J114" s="1">
        <v>0.101</v>
      </c>
      <c r="K114" s="1">
        <v>5880.0</v>
      </c>
      <c r="L114" s="1">
        <v>0.223</v>
      </c>
    </row>
    <row r="115" ht="12.75" customHeight="1">
      <c r="E115" s="1">
        <v>5940.0</v>
      </c>
      <c r="F115" s="1">
        <v>0.051</v>
      </c>
      <c r="G115" s="1">
        <v>5940.0</v>
      </c>
      <c r="H115" s="1">
        <v>0.1</v>
      </c>
      <c r="I115" s="1">
        <v>5940.0</v>
      </c>
      <c r="J115" s="1">
        <v>0.102</v>
      </c>
      <c r="K115" s="1">
        <v>5940.0</v>
      </c>
      <c r="L115" s="1">
        <v>0.226</v>
      </c>
    </row>
    <row r="116" ht="12.75" customHeight="1">
      <c r="E116" s="1">
        <v>6000.0</v>
      </c>
      <c r="F116" s="1">
        <v>0.053</v>
      </c>
      <c r="G116" s="1">
        <v>6000.0</v>
      </c>
      <c r="H116" s="1">
        <v>0.1</v>
      </c>
      <c r="I116" s="1">
        <v>6000.0</v>
      </c>
      <c r="J116" s="1">
        <v>0.104</v>
      </c>
      <c r="K116" s="1">
        <v>6000.0</v>
      </c>
      <c r="L116" s="1">
        <v>0.227</v>
      </c>
    </row>
    <row r="117" ht="12.75" customHeight="1">
      <c r="E117" s="1">
        <v>6060.0</v>
      </c>
      <c r="F117" s="1">
        <v>0.056</v>
      </c>
      <c r="G117" s="1">
        <v>6060.0</v>
      </c>
      <c r="H117" s="1">
        <v>0.102</v>
      </c>
      <c r="I117" s="1">
        <v>6060.0</v>
      </c>
      <c r="J117" s="1">
        <v>0.106</v>
      </c>
      <c r="K117" s="1">
        <v>6060.0</v>
      </c>
      <c r="L117" s="1">
        <v>0.23</v>
      </c>
    </row>
    <row r="118" ht="12.75" customHeight="1">
      <c r="E118" s="1">
        <v>6120.0</v>
      </c>
      <c r="F118" s="1">
        <v>0.059</v>
      </c>
      <c r="G118" s="1">
        <v>6120.0</v>
      </c>
      <c r="H118" s="1">
        <v>0.103</v>
      </c>
      <c r="I118" s="1">
        <v>6120.0</v>
      </c>
      <c r="J118" s="1">
        <v>0.108</v>
      </c>
      <c r="K118" s="1">
        <v>6120.0</v>
      </c>
      <c r="L118" s="1">
        <v>0.231</v>
      </c>
    </row>
    <row r="119" ht="12.75" customHeight="1">
      <c r="E119" s="1">
        <v>6180.0</v>
      </c>
      <c r="F119" s="1">
        <v>0.054</v>
      </c>
      <c r="G119" s="1">
        <v>6180.0</v>
      </c>
      <c r="H119" s="1">
        <v>0.105</v>
      </c>
      <c r="I119" s="1">
        <v>6180.0</v>
      </c>
      <c r="J119" s="1">
        <v>0.11</v>
      </c>
      <c r="K119" s="1">
        <v>6180.0</v>
      </c>
      <c r="L119" s="1">
        <v>0.234</v>
      </c>
    </row>
    <row r="120" ht="12.75" customHeight="1">
      <c r="E120" s="1">
        <v>6240.0</v>
      </c>
      <c r="F120" s="1">
        <v>0.056</v>
      </c>
      <c r="G120" s="1">
        <v>6240.0</v>
      </c>
      <c r="H120" s="1">
        <v>0.105</v>
      </c>
      <c r="I120" s="1">
        <v>6240.0</v>
      </c>
      <c r="J120" s="1">
        <v>0.112</v>
      </c>
      <c r="K120" s="1">
        <v>6240.0</v>
      </c>
      <c r="L120" s="1">
        <v>0.234</v>
      </c>
    </row>
    <row r="121" ht="12.75" customHeight="1">
      <c r="E121" s="1">
        <v>6300.0</v>
      </c>
      <c r="F121" s="1">
        <v>0.058</v>
      </c>
      <c r="G121" s="1">
        <v>6300.0</v>
      </c>
      <c r="H121" s="1">
        <v>0.107</v>
      </c>
      <c r="I121" s="1">
        <v>6300.0</v>
      </c>
      <c r="J121" s="1">
        <v>0.113</v>
      </c>
      <c r="K121" s="1">
        <v>6300.0</v>
      </c>
      <c r="L121" s="1">
        <v>0.238</v>
      </c>
    </row>
    <row r="122" ht="12.75" customHeight="1">
      <c r="E122" s="1">
        <v>6360.0</v>
      </c>
      <c r="F122" s="1">
        <v>0.06</v>
      </c>
      <c r="G122" s="1">
        <v>6360.0</v>
      </c>
      <c r="H122" s="1">
        <v>0.108</v>
      </c>
      <c r="I122" s="1">
        <v>6360.0</v>
      </c>
      <c r="J122" s="1">
        <v>0.115</v>
      </c>
      <c r="K122" s="1">
        <v>6360.0</v>
      </c>
      <c r="L122" s="1">
        <v>0.239</v>
      </c>
    </row>
    <row r="123" ht="12.75" customHeight="1">
      <c r="E123" s="1">
        <v>6420.0</v>
      </c>
      <c r="F123" s="1">
        <v>0.062</v>
      </c>
      <c r="G123" s="1">
        <v>6420.0</v>
      </c>
      <c r="H123" s="1">
        <v>0.109</v>
      </c>
      <c r="I123" s="1">
        <v>6420.0</v>
      </c>
      <c r="J123" s="1">
        <v>0.117</v>
      </c>
      <c r="K123" s="1">
        <v>6420.0</v>
      </c>
      <c r="L123" s="1">
        <v>0.241</v>
      </c>
    </row>
    <row r="124" ht="12.75" customHeight="1">
      <c r="E124" s="1">
        <v>6480.0</v>
      </c>
      <c r="F124" s="1">
        <v>0.064</v>
      </c>
      <c r="G124" s="1">
        <v>6480.0</v>
      </c>
      <c r="H124" s="1">
        <v>0.11</v>
      </c>
      <c r="I124" s="1">
        <v>6480.0</v>
      </c>
      <c r="J124" s="1">
        <v>0.118</v>
      </c>
      <c r="K124" s="1">
        <v>6480.0</v>
      </c>
      <c r="L124" s="1">
        <v>0.242</v>
      </c>
    </row>
    <row r="125" ht="12.75" customHeight="1">
      <c r="E125" s="1">
        <v>6540.0</v>
      </c>
      <c r="F125" s="1">
        <v>0.067</v>
      </c>
      <c r="G125" s="1">
        <v>6540.0</v>
      </c>
      <c r="H125" s="1">
        <v>0.111</v>
      </c>
      <c r="I125" s="1">
        <v>6540.0</v>
      </c>
      <c r="J125" s="1">
        <v>0.12</v>
      </c>
      <c r="K125" s="1">
        <v>6540.0</v>
      </c>
      <c r="L125" s="1">
        <v>0.245</v>
      </c>
    </row>
    <row r="126" ht="12.75" customHeight="1">
      <c r="E126" s="1">
        <v>6600.0</v>
      </c>
      <c r="F126" s="1">
        <v>0.069</v>
      </c>
      <c r="G126" s="1">
        <v>6600.0</v>
      </c>
      <c r="H126" s="1">
        <v>0.113</v>
      </c>
      <c r="I126" s="1">
        <v>6600.0</v>
      </c>
      <c r="J126" s="1">
        <v>0.121</v>
      </c>
      <c r="K126" s="1">
        <v>6600.0</v>
      </c>
      <c r="L126" s="1">
        <v>0.247</v>
      </c>
    </row>
    <row r="127" ht="12.75" customHeight="1">
      <c r="E127" s="1">
        <v>6660.0</v>
      </c>
      <c r="F127" s="1">
        <v>0.071</v>
      </c>
      <c r="G127" s="1">
        <v>6660.0</v>
      </c>
      <c r="H127" s="1">
        <v>0.114</v>
      </c>
      <c r="I127" s="1">
        <v>6660.0</v>
      </c>
      <c r="J127" s="1">
        <v>0.124</v>
      </c>
      <c r="K127" s="1">
        <v>6660.0</v>
      </c>
      <c r="L127" s="1">
        <v>0.248</v>
      </c>
    </row>
    <row r="128" ht="12.75" customHeight="1">
      <c r="E128" s="1">
        <v>6720.0</v>
      </c>
      <c r="F128" s="1">
        <v>0.074</v>
      </c>
      <c r="G128" s="1">
        <v>6720.0</v>
      </c>
      <c r="H128" s="1">
        <v>0.115</v>
      </c>
      <c r="I128" s="1">
        <v>6720.0</v>
      </c>
      <c r="J128" s="1">
        <v>0.125</v>
      </c>
      <c r="K128" s="1">
        <v>6720.0</v>
      </c>
      <c r="L128" s="1">
        <v>0.251</v>
      </c>
    </row>
    <row r="129" ht="12.75" customHeight="1">
      <c r="E129" s="1">
        <v>6780.0</v>
      </c>
      <c r="F129" s="1">
        <v>0.076</v>
      </c>
      <c r="G129" s="1">
        <v>6780.0</v>
      </c>
      <c r="H129" s="1">
        <v>0.117</v>
      </c>
      <c r="I129" s="1">
        <v>6780.0</v>
      </c>
      <c r="J129" s="1">
        <v>0.127</v>
      </c>
      <c r="K129" s="1">
        <v>6780.0</v>
      </c>
      <c r="L129" s="1">
        <v>0.252</v>
      </c>
    </row>
    <row r="130" ht="12.75" customHeight="1">
      <c r="E130" s="1">
        <v>6840.0</v>
      </c>
      <c r="F130" s="1">
        <v>0.065</v>
      </c>
      <c r="G130" s="1">
        <v>6840.0</v>
      </c>
      <c r="H130" s="1">
        <v>0.117</v>
      </c>
      <c r="I130" s="1">
        <v>6840.0</v>
      </c>
      <c r="J130" s="1">
        <v>0.128</v>
      </c>
      <c r="K130" s="1">
        <v>6840.0</v>
      </c>
      <c r="L130" s="1">
        <v>0.255</v>
      </c>
    </row>
    <row r="131" ht="12.75" customHeight="1">
      <c r="E131" s="1">
        <v>6900.0</v>
      </c>
      <c r="F131" s="1">
        <v>0.061</v>
      </c>
      <c r="G131" s="1">
        <v>6900.0</v>
      </c>
      <c r="H131" s="1">
        <v>0.118</v>
      </c>
      <c r="I131" s="1">
        <v>6900.0</v>
      </c>
      <c r="J131" s="1">
        <v>0.129</v>
      </c>
      <c r="K131" s="1">
        <v>6900.0</v>
      </c>
      <c r="L131" s="1">
        <v>0.256</v>
      </c>
    </row>
    <row r="132" ht="12.75" customHeight="1">
      <c r="E132" s="1">
        <v>6960.0</v>
      </c>
      <c r="F132" s="1">
        <v>0.063</v>
      </c>
      <c r="G132" s="1">
        <v>6960.0</v>
      </c>
      <c r="H132" s="1">
        <v>0.12</v>
      </c>
      <c r="I132" s="1">
        <v>6960.0</v>
      </c>
      <c r="J132" s="1">
        <v>0.132</v>
      </c>
      <c r="K132" s="1">
        <v>6960.0</v>
      </c>
      <c r="L132" s="1">
        <v>0.259</v>
      </c>
    </row>
    <row r="133" ht="12.75" customHeight="1">
      <c r="E133" s="1">
        <v>7020.0</v>
      </c>
      <c r="F133" s="1">
        <v>0.065</v>
      </c>
      <c r="G133" s="1">
        <v>7020.0</v>
      </c>
      <c r="H133" s="1">
        <v>0.12</v>
      </c>
      <c r="I133" s="1">
        <v>7020.0</v>
      </c>
      <c r="J133" s="1">
        <v>0.133</v>
      </c>
      <c r="K133" s="1">
        <v>7020.0</v>
      </c>
      <c r="L133" s="1">
        <v>0.26</v>
      </c>
    </row>
    <row r="134" ht="12.75" customHeight="1">
      <c r="E134" s="1">
        <v>7080.0</v>
      </c>
      <c r="F134" s="1">
        <v>0.067</v>
      </c>
      <c r="G134" s="1">
        <v>7080.0</v>
      </c>
      <c r="H134" s="1">
        <v>0.122</v>
      </c>
      <c r="I134" s="1">
        <v>7080.0</v>
      </c>
      <c r="J134" s="1">
        <v>0.134</v>
      </c>
      <c r="K134" s="1">
        <v>7080.0</v>
      </c>
      <c r="L134" s="1">
        <v>0.262</v>
      </c>
    </row>
    <row r="135" ht="12.75" customHeight="1">
      <c r="E135" s="1">
        <v>7140.0</v>
      </c>
      <c r="F135" s="1">
        <v>0.07</v>
      </c>
      <c r="G135" s="1">
        <v>7140.0</v>
      </c>
      <c r="H135" s="1">
        <v>0.124</v>
      </c>
      <c r="I135" s="1">
        <v>7140.0</v>
      </c>
      <c r="J135" s="1">
        <v>0.136</v>
      </c>
      <c r="K135" s="1">
        <v>7140.0</v>
      </c>
      <c r="L135" s="1">
        <v>0.264</v>
      </c>
    </row>
    <row r="136" ht="12.75" customHeight="1">
      <c r="E136" s="1">
        <v>7200.0</v>
      </c>
      <c r="F136" s="1">
        <v>0.074</v>
      </c>
      <c r="G136" s="1">
        <v>7200.0</v>
      </c>
      <c r="H136" s="1">
        <v>0.124</v>
      </c>
      <c r="I136" s="1">
        <v>7200.0</v>
      </c>
      <c r="J136" s="1">
        <v>0.137</v>
      </c>
      <c r="K136" s="1">
        <v>7200.0</v>
      </c>
      <c r="L136" s="1">
        <v>0.266</v>
      </c>
    </row>
    <row r="137" ht="12.75" customHeight="1">
      <c r="E137" s="1">
        <v>7260.0</v>
      </c>
      <c r="F137" s="1">
        <v>0.076</v>
      </c>
      <c r="G137" s="1">
        <v>7260.0</v>
      </c>
      <c r="H137" s="1">
        <v>0.126</v>
      </c>
      <c r="I137" s="1">
        <v>7260.0</v>
      </c>
      <c r="J137" s="1">
        <v>0.139</v>
      </c>
      <c r="K137" s="1">
        <v>7260.0</v>
      </c>
      <c r="L137" s="1">
        <v>0.267</v>
      </c>
    </row>
    <row r="138" ht="12.75" customHeight="1">
      <c r="E138" s="1">
        <v>7320.0</v>
      </c>
      <c r="F138" s="1">
        <v>0.079</v>
      </c>
      <c r="G138" s="1">
        <v>7320.0</v>
      </c>
      <c r="H138" s="1">
        <v>0.128</v>
      </c>
      <c r="I138" s="1">
        <v>7320.0</v>
      </c>
      <c r="J138" s="1">
        <v>0.14</v>
      </c>
      <c r="K138" s="1">
        <v>7320.0</v>
      </c>
      <c r="L138" s="1">
        <v>0.27</v>
      </c>
    </row>
    <row r="139" ht="12.75" customHeight="1">
      <c r="E139" s="1">
        <v>7380.0</v>
      </c>
      <c r="F139" s="1">
        <v>0.063</v>
      </c>
      <c r="G139" s="1">
        <v>7380.0</v>
      </c>
      <c r="H139" s="1">
        <v>0.128</v>
      </c>
      <c r="I139" s="1">
        <v>7380.0</v>
      </c>
      <c r="J139" s="1">
        <v>0.142</v>
      </c>
      <c r="K139" s="1">
        <v>7380.0</v>
      </c>
      <c r="L139" s="1">
        <v>0.271</v>
      </c>
    </row>
    <row r="140" ht="12.75" customHeight="1">
      <c r="E140" s="1">
        <v>7440.0</v>
      </c>
      <c r="F140" s="1">
        <v>0.065</v>
      </c>
      <c r="G140" s="1">
        <v>7440.0</v>
      </c>
      <c r="H140" s="1">
        <v>0.129</v>
      </c>
      <c r="I140" s="1">
        <v>7440.0</v>
      </c>
      <c r="J140" s="1">
        <v>0.144</v>
      </c>
      <c r="K140" s="1">
        <v>7440.0</v>
      </c>
      <c r="L140" s="1">
        <v>0.273</v>
      </c>
    </row>
    <row r="141" ht="12.75" customHeight="1">
      <c r="E141" s="1">
        <v>7500.0</v>
      </c>
      <c r="F141" s="1">
        <v>0.067</v>
      </c>
      <c r="G141" s="1">
        <v>7500.0</v>
      </c>
      <c r="H141" s="1">
        <v>0.131</v>
      </c>
      <c r="I141" s="1">
        <v>7500.0</v>
      </c>
      <c r="J141" s="1">
        <v>0.145</v>
      </c>
      <c r="K141" s="1">
        <v>7500.0</v>
      </c>
      <c r="L141" s="1">
        <v>0.275</v>
      </c>
    </row>
    <row r="142" ht="12.75" customHeight="1">
      <c r="E142" s="1">
        <v>7560.0</v>
      </c>
      <c r="F142" s="1">
        <v>0.068</v>
      </c>
      <c r="G142" s="1">
        <v>7560.0</v>
      </c>
      <c r="H142" s="1">
        <v>0.132</v>
      </c>
      <c r="I142" s="1">
        <v>7560.0</v>
      </c>
      <c r="J142" s="1">
        <v>0.147</v>
      </c>
      <c r="K142" s="1">
        <v>7560.0</v>
      </c>
      <c r="L142" s="1">
        <v>0.277</v>
      </c>
    </row>
    <row r="143" ht="12.75" customHeight="1">
      <c r="E143" s="1">
        <v>7620.0</v>
      </c>
      <c r="F143" s="1">
        <v>0.07</v>
      </c>
      <c r="G143" s="1">
        <v>7620.0</v>
      </c>
      <c r="H143" s="1">
        <v>0.133</v>
      </c>
      <c r="I143" s="1">
        <v>7620.0</v>
      </c>
      <c r="J143" s="1">
        <v>0.148</v>
      </c>
      <c r="K143" s="1">
        <v>7620.0</v>
      </c>
      <c r="L143" s="1">
        <v>0.279</v>
      </c>
    </row>
    <row r="144" ht="12.75" customHeight="1">
      <c r="E144" s="1">
        <v>7680.0</v>
      </c>
      <c r="F144" s="1">
        <v>0.072</v>
      </c>
      <c r="G144" s="1">
        <v>7680.0</v>
      </c>
      <c r="H144" s="1">
        <v>0.134</v>
      </c>
      <c r="I144" s="1">
        <v>7680.0</v>
      </c>
      <c r="J144" s="1">
        <v>0.15</v>
      </c>
      <c r="K144" s="1">
        <v>7680.0</v>
      </c>
      <c r="L144" s="1">
        <v>0.281</v>
      </c>
    </row>
    <row r="145" ht="12.75" customHeight="1">
      <c r="E145" s="1">
        <v>7740.0</v>
      </c>
      <c r="F145" s="1">
        <v>0.073</v>
      </c>
      <c r="G145" s="1">
        <v>7740.0</v>
      </c>
      <c r="H145" s="1">
        <v>0.136</v>
      </c>
      <c r="I145" s="1">
        <v>7740.0</v>
      </c>
      <c r="J145" s="1">
        <v>0.152</v>
      </c>
      <c r="K145" s="1">
        <v>7740.0</v>
      </c>
      <c r="L145" s="1">
        <v>0.283</v>
      </c>
    </row>
    <row r="146" ht="12.75" customHeight="1">
      <c r="E146" s="1">
        <v>7800.0</v>
      </c>
      <c r="F146" s="1">
        <v>0.075</v>
      </c>
      <c r="G146" s="1">
        <v>7800.0</v>
      </c>
      <c r="H146" s="1">
        <v>0.135</v>
      </c>
      <c r="I146" s="1">
        <v>7800.0</v>
      </c>
      <c r="J146" s="1">
        <v>0.154</v>
      </c>
      <c r="K146" s="1">
        <v>7800.0</v>
      </c>
      <c r="L146" s="1">
        <v>0.284</v>
      </c>
    </row>
    <row r="147" ht="12.75" customHeight="1">
      <c r="E147" s="1">
        <v>7860.0</v>
      </c>
      <c r="F147" s="1">
        <v>0.077</v>
      </c>
      <c r="G147" s="1">
        <v>7860.0</v>
      </c>
      <c r="H147" s="1">
        <v>0.137</v>
      </c>
      <c r="I147" s="1">
        <v>7860.0</v>
      </c>
      <c r="J147" s="1">
        <v>0.154</v>
      </c>
      <c r="K147" s="1">
        <v>7860.0</v>
      </c>
      <c r="L147" s="1">
        <v>0.286</v>
      </c>
    </row>
    <row r="148" ht="12.75" customHeight="1">
      <c r="E148" s="1">
        <v>7920.0</v>
      </c>
      <c r="F148" s="1">
        <v>0.078</v>
      </c>
      <c r="G148" s="1">
        <v>7920.0</v>
      </c>
      <c r="H148" s="1">
        <v>0.138</v>
      </c>
      <c r="I148" s="1">
        <v>7920.0</v>
      </c>
      <c r="J148" s="1">
        <v>0.157</v>
      </c>
      <c r="K148" s="1">
        <v>7920.0</v>
      </c>
      <c r="L148" s="1">
        <v>0.288</v>
      </c>
    </row>
    <row r="149" ht="12.75" customHeight="1">
      <c r="E149" s="1">
        <v>7980.0</v>
      </c>
      <c r="F149" s="1">
        <v>0.074</v>
      </c>
      <c r="G149" s="1">
        <v>7980.0</v>
      </c>
      <c r="H149" s="1">
        <v>0.14</v>
      </c>
      <c r="I149" s="1">
        <v>7980.0</v>
      </c>
      <c r="J149" s="1">
        <v>0.158</v>
      </c>
      <c r="K149" s="1">
        <v>7980.0</v>
      </c>
      <c r="L149" s="1">
        <v>0.29</v>
      </c>
    </row>
    <row r="150" ht="12.75" customHeight="1">
      <c r="E150" s="1">
        <v>8040.0</v>
      </c>
      <c r="F150" s="1">
        <v>0.076</v>
      </c>
      <c r="G150" s="1">
        <v>8040.0</v>
      </c>
      <c r="H150" s="1">
        <v>0.141</v>
      </c>
      <c r="I150" s="1">
        <v>8040.0</v>
      </c>
      <c r="J150" s="1">
        <v>0.159</v>
      </c>
      <c r="K150" s="1">
        <v>8040.0</v>
      </c>
      <c r="L150" s="1">
        <v>0.292</v>
      </c>
    </row>
    <row r="151" ht="12.75" customHeight="1">
      <c r="E151" s="1">
        <v>8100.0</v>
      </c>
      <c r="F151" s="1">
        <v>0.077</v>
      </c>
      <c r="G151" s="1">
        <v>8100.0</v>
      </c>
      <c r="H151" s="1">
        <v>0.141</v>
      </c>
      <c r="I151" s="1">
        <v>8100.0</v>
      </c>
      <c r="J151" s="1">
        <v>0.162</v>
      </c>
      <c r="K151" s="1">
        <v>8100.0</v>
      </c>
      <c r="L151" s="1">
        <v>0.294</v>
      </c>
    </row>
    <row r="152" ht="12.75" customHeight="1">
      <c r="E152" s="1">
        <v>8160.0</v>
      </c>
      <c r="F152" s="1">
        <v>0.079</v>
      </c>
      <c r="G152" s="1">
        <v>8160.0</v>
      </c>
      <c r="H152" s="1">
        <v>0.142</v>
      </c>
      <c r="I152" s="1">
        <v>8160.0</v>
      </c>
      <c r="J152" s="1">
        <v>0.163</v>
      </c>
      <c r="K152" s="1">
        <v>8160.0</v>
      </c>
      <c r="L152" s="1">
        <v>0.296</v>
      </c>
    </row>
    <row r="153" ht="12.75" customHeight="1">
      <c r="E153" s="1">
        <v>8220.0</v>
      </c>
      <c r="F153" s="1">
        <v>0.081</v>
      </c>
      <c r="G153" s="1">
        <v>8220.0</v>
      </c>
      <c r="H153" s="1">
        <v>0.143</v>
      </c>
      <c r="I153" s="1">
        <v>8220.0</v>
      </c>
      <c r="J153" s="1">
        <v>0.164</v>
      </c>
      <c r="K153" s="1">
        <v>8220.0</v>
      </c>
      <c r="L153" s="1">
        <v>0.298</v>
      </c>
    </row>
    <row r="154" ht="12.75" customHeight="1">
      <c r="E154" s="1">
        <v>8280.0</v>
      </c>
      <c r="F154" s="1">
        <v>0.083</v>
      </c>
      <c r="G154" s="1">
        <v>8280.0</v>
      </c>
      <c r="H154" s="1">
        <v>0.144</v>
      </c>
      <c r="I154" s="1">
        <v>8280.0</v>
      </c>
      <c r="J154" s="1">
        <v>0.166</v>
      </c>
      <c r="K154" s="1">
        <v>8280.0</v>
      </c>
      <c r="L154" s="1">
        <v>0.299</v>
      </c>
    </row>
    <row r="155" ht="12.75" customHeight="1">
      <c r="E155" s="1">
        <v>8340.0</v>
      </c>
      <c r="F155" s="1">
        <v>0.084</v>
      </c>
      <c r="G155" s="1">
        <v>8340.0</v>
      </c>
      <c r="H155" s="1">
        <v>0.146</v>
      </c>
      <c r="I155" s="1">
        <v>8340.0</v>
      </c>
      <c r="J155" s="1">
        <v>0.168</v>
      </c>
      <c r="K155" s="1">
        <v>8340.0</v>
      </c>
      <c r="L155" s="1">
        <v>0.301</v>
      </c>
    </row>
    <row r="156" ht="12.75" customHeight="1">
      <c r="E156" s="1">
        <v>8400.0</v>
      </c>
      <c r="F156" s="1">
        <v>0.072</v>
      </c>
      <c r="G156" s="1">
        <v>8400.0</v>
      </c>
      <c r="H156" s="1">
        <v>0.146</v>
      </c>
      <c r="I156" s="1">
        <v>8400.0</v>
      </c>
      <c r="J156" s="1">
        <v>0.169</v>
      </c>
      <c r="K156" s="1">
        <v>8400.0</v>
      </c>
      <c r="L156" s="1">
        <v>0.303</v>
      </c>
    </row>
    <row r="157" ht="12.75" customHeight="1">
      <c r="E157" s="1">
        <v>8460.0</v>
      </c>
      <c r="F157" s="1">
        <v>0.074</v>
      </c>
      <c r="G157" s="1">
        <v>8460.0</v>
      </c>
      <c r="H157" s="1">
        <v>0.148</v>
      </c>
      <c r="I157" s="1">
        <v>8460.0</v>
      </c>
      <c r="J157" s="1">
        <v>0.17</v>
      </c>
      <c r="K157" s="1">
        <v>8460.0</v>
      </c>
      <c r="L157" s="1">
        <v>0.305</v>
      </c>
    </row>
    <row r="158" ht="12.75" customHeight="1">
      <c r="E158" s="1">
        <v>8520.0</v>
      </c>
      <c r="F158" s="1">
        <v>0.075</v>
      </c>
      <c r="G158" s="1">
        <v>8520.0</v>
      </c>
      <c r="H158" s="1">
        <v>0.149</v>
      </c>
      <c r="I158" s="1">
        <v>8520.0</v>
      </c>
      <c r="J158" s="1">
        <v>0.172</v>
      </c>
      <c r="K158" s="1">
        <v>8520.0</v>
      </c>
      <c r="L158" s="1">
        <v>0.306</v>
      </c>
    </row>
    <row r="159" ht="12.75" customHeight="1">
      <c r="E159" s="1">
        <v>8580.0</v>
      </c>
      <c r="F159" s="1">
        <v>0.076</v>
      </c>
      <c r="G159" s="1">
        <v>8580.0</v>
      </c>
      <c r="H159" s="1">
        <v>0.15</v>
      </c>
      <c r="I159" s="1">
        <v>8580.0</v>
      </c>
      <c r="J159" s="1">
        <v>0.173</v>
      </c>
      <c r="K159" s="1">
        <v>8580.0</v>
      </c>
      <c r="L159" s="1">
        <v>0.308</v>
      </c>
    </row>
    <row r="160" ht="12.75" customHeight="1">
      <c r="E160" s="1">
        <v>8640.0</v>
      </c>
      <c r="F160" s="1">
        <v>0.078</v>
      </c>
      <c r="G160" s="1">
        <v>8640.0</v>
      </c>
      <c r="H160" s="1">
        <v>0.151</v>
      </c>
      <c r="I160" s="1">
        <v>8640.0</v>
      </c>
      <c r="J160" s="1">
        <v>0.175</v>
      </c>
      <c r="K160" s="1">
        <v>8640.0</v>
      </c>
      <c r="L160" s="1">
        <v>0.31</v>
      </c>
    </row>
    <row r="161" ht="12.75" customHeight="1">
      <c r="E161" s="1">
        <v>8700.0</v>
      </c>
      <c r="F161" s="1">
        <v>0.08</v>
      </c>
      <c r="G161" s="1">
        <v>8700.0</v>
      </c>
      <c r="H161" s="1">
        <v>0.152</v>
      </c>
      <c r="I161" s="1">
        <v>8700.0</v>
      </c>
      <c r="J161" s="1">
        <v>0.177</v>
      </c>
      <c r="K161" s="1">
        <v>8700.0</v>
      </c>
      <c r="L161" s="1">
        <v>0.312</v>
      </c>
    </row>
    <row r="162" ht="12.75" customHeight="1">
      <c r="E162" s="1">
        <v>8760.0</v>
      </c>
      <c r="F162" s="1">
        <v>0.081</v>
      </c>
      <c r="G162" s="1">
        <v>8760.0</v>
      </c>
      <c r="H162" s="1">
        <v>0.153</v>
      </c>
      <c r="I162" s="1">
        <v>8760.0</v>
      </c>
      <c r="J162" s="1">
        <v>0.178</v>
      </c>
      <c r="K162" s="1">
        <v>8760.0</v>
      </c>
      <c r="L162" s="1">
        <v>0.314</v>
      </c>
    </row>
    <row r="163" ht="12.75" customHeight="1">
      <c r="E163" s="1">
        <v>8820.0</v>
      </c>
      <c r="F163" s="1">
        <v>0.083</v>
      </c>
      <c r="G163" s="1">
        <v>8820.0</v>
      </c>
      <c r="H163" s="1">
        <v>0.154</v>
      </c>
      <c r="I163" s="1">
        <v>8820.0</v>
      </c>
      <c r="J163" s="1">
        <v>0.18</v>
      </c>
      <c r="K163" s="1">
        <v>8820.0</v>
      </c>
      <c r="L163" s="1">
        <v>0.315</v>
      </c>
    </row>
    <row r="164" ht="12.75" customHeight="1">
      <c r="E164" s="1">
        <v>8880.0</v>
      </c>
      <c r="F164" s="1">
        <v>0.085</v>
      </c>
      <c r="G164" s="1">
        <v>8880.0</v>
      </c>
      <c r="H164" s="1">
        <v>0.155</v>
      </c>
      <c r="I164" s="1">
        <v>8880.0</v>
      </c>
      <c r="J164" s="1">
        <v>0.181</v>
      </c>
      <c r="K164" s="1">
        <v>8880.0</v>
      </c>
      <c r="L164" s="1">
        <v>0.317</v>
      </c>
    </row>
    <row r="165" ht="12.75" customHeight="1">
      <c r="E165" s="1">
        <v>8940.0</v>
      </c>
      <c r="F165" s="1">
        <v>0.087</v>
      </c>
      <c r="G165" s="1">
        <v>8940.0</v>
      </c>
      <c r="H165" s="1">
        <v>0.156</v>
      </c>
      <c r="I165" s="1">
        <v>8940.0</v>
      </c>
      <c r="J165" s="1">
        <v>0.183</v>
      </c>
      <c r="K165" s="1">
        <v>8940.0</v>
      </c>
      <c r="L165" s="1">
        <v>0.319</v>
      </c>
    </row>
    <row r="166" ht="12.75" customHeight="1">
      <c r="E166" s="1">
        <v>9000.0</v>
      </c>
      <c r="F166" s="1">
        <v>0.089</v>
      </c>
      <c r="G166" s="1">
        <v>9000.0</v>
      </c>
      <c r="H166" s="1">
        <v>0.157</v>
      </c>
      <c r="I166" s="1">
        <v>9000.0</v>
      </c>
      <c r="J166" s="1">
        <v>0.184</v>
      </c>
      <c r="K166" s="1">
        <v>9000.0</v>
      </c>
      <c r="L166" s="1">
        <v>0.32</v>
      </c>
    </row>
    <row r="167" ht="12.75" customHeight="1">
      <c r="E167" s="1">
        <v>9060.0</v>
      </c>
      <c r="F167" s="1">
        <v>0.09</v>
      </c>
      <c r="G167" s="1">
        <v>9060.0</v>
      </c>
      <c r="H167" s="1">
        <v>0.159</v>
      </c>
      <c r="I167" s="1">
        <v>9060.0</v>
      </c>
      <c r="J167" s="1">
        <v>0.185</v>
      </c>
      <c r="K167" s="1">
        <v>9060.0</v>
      </c>
      <c r="L167" s="1">
        <v>0.322</v>
      </c>
    </row>
    <row r="168" ht="12.75" customHeight="1">
      <c r="E168" s="1">
        <v>9120.0</v>
      </c>
      <c r="F168" s="1">
        <v>0.093</v>
      </c>
      <c r="G168" s="1">
        <v>9120.0</v>
      </c>
      <c r="H168" s="1">
        <v>0.16</v>
      </c>
      <c r="I168" s="1">
        <v>9120.0</v>
      </c>
      <c r="J168" s="1">
        <v>0.187</v>
      </c>
      <c r="K168" s="1">
        <v>9120.0</v>
      </c>
      <c r="L168" s="1">
        <v>0.324</v>
      </c>
    </row>
    <row r="169" ht="12.75" customHeight="1">
      <c r="E169" s="1">
        <v>9180.0</v>
      </c>
      <c r="F169" s="1">
        <v>0.094</v>
      </c>
      <c r="G169" s="1">
        <v>9180.0</v>
      </c>
      <c r="H169" s="1">
        <v>0.161</v>
      </c>
      <c r="I169" s="1">
        <v>9180.0</v>
      </c>
      <c r="J169" s="1">
        <v>0.188</v>
      </c>
      <c r="K169" s="1">
        <v>9180.0</v>
      </c>
      <c r="L169" s="1">
        <v>0.326</v>
      </c>
    </row>
    <row r="170" ht="12.75" customHeight="1">
      <c r="E170" s="1">
        <v>9240.0</v>
      </c>
      <c r="F170" s="1">
        <v>0.097</v>
      </c>
      <c r="G170" s="1">
        <v>9240.0</v>
      </c>
      <c r="H170" s="1">
        <v>0.162</v>
      </c>
      <c r="I170" s="1">
        <v>9240.0</v>
      </c>
      <c r="J170" s="1">
        <v>0.19</v>
      </c>
      <c r="K170" s="1">
        <v>9240.0</v>
      </c>
      <c r="L170" s="1">
        <v>0.328</v>
      </c>
    </row>
    <row r="171" ht="12.75" customHeight="1">
      <c r="E171" s="1">
        <v>9300.0</v>
      </c>
      <c r="F171" s="1">
        <v>0.1</v>
      </c>
      <c r="G171" s="1">
        <v>9300.0</v>
      </c>
      <c r="H171" s="1">
        <v>0.163</v>
      </c>
      <c r="I171" s="1">
        <v>9300.0</v>
      </c>
      <c r="J171" s="1">
        <v>0.191</v>
      </c>
      <c r="K171" s="1">
        <v>9300.0</v>
      </c>
      <c r="L171" s="1">
        <v>0.329</v>
      </c>
    </row>
    <row r="172" ht="12.75" customHeight="1">
      <c r="E172" s="1">
        <v>9360.0</v>
      </c>
      <c r="F172" s="1">
        <v>0.103</v>
      </c>
      <c r="G172" s="1">
        <v>9360.0</v>
      </c>
      <c r="H172" s="1">
        <v>0.164</v>
      </c>
      <c r="I172" s="1">
        <v>9360.0</v>
      </c>
      <c r="J172" s="1">
        <v>0.193</v>
      </c>
      <c r="K172" s="1">
        <v>9360.0</v>
      </c>
      <c r="L172" s="1">
        <v>0.331</v>
      </c>
    </row>
    <row r="173" ht="12.75" customHeight="1">
      <c r="E173" s="1">
        <v>9420.0</v>
      </c>
      <c r="F173" s="1">
        <v>0.105</v>
      </c>
      <c r="G173" s="1">
        <v>9420.0</v>
      </c>
      <c r="H173" s="1">
        <v>0.165</v>
      </c>
      <c r="I173" s="1">
        <v>9420.0</v>
      </c>
      <c r="J173" s="1">
        <v>0.194</v>
      </c>
      <c r="K173" s="1">
        <v>9420.0</v>
      </c>
      <c r="L173" s="1">
        <v>0.333</v>
      </c>
    </row>
    <row r="174" ht="12.75" customHeight="1">
      <c r="E174" s="1">
        <v>9480.0</v>
      </c>
      <c r="F174" s="1">
        <v>0.107</v>
      </c>
      <c r="G174" s="1">
        <v>9480.0</v>
      </c>
      <c r="H174" s="1">
        <v>0.166</v>
      </c>
      <c r="I174" s="1">
        <v>9480.0</v>
      </c>
      <c r="J174" s="1">
        <v>0.196</v>
      </c>
      <c r="K174" s="1">
        <v>9480.0</v>
      </c>
      <c r="L174" s="1">
        <v>0.335</v>
      </c>
    </row>
    <row r="175" ht="12.75" customHeight="1">
      <c r="E175" s="1">
        <v>9540.0</v>
      </c>
      <c r="F175" s="1">
        <v>0.11</v>
      </c>
      <c r="G175" s="1">
        <v>9540.0</v>
      </c>
      <c r="H175" s="1">
        <v>0.167</v>
      </c>
      <c r="I175" s="1">
        <v>9540.0</v>
      </c>
      <c r="J175" s="1">
        <v>0.197</v>
      </c>
      <c r="K175" s="1">
        <v>9540.0</v>
      </c>
      <c r="L175" s="1">
        <v>0.337</v>
      </c>
    </row>
    <row r="176" ht="12.75" customHeight="1">
      <c r="E176" s="1">
        <v>9600.0</v>
      </c>
      <c r="F176" s="1">
        <v>0.093</v>
      </c>
      <c r="G176" s="1">
        <v>9600.0</v>
      </c>
      <c r="H176" s="1">
        <v>0.168</v>
      </c>
      <c r="I176" s="1">
        <v>9600.0</v>
      </c>
      <c r="J176" s="1">
        <v>0.199</v>
      </c>
      <c r="K176" s="1">
        <v>9600.0</v>
      </c>
      <c r="L176" s="1">
        <v>0.338</v>
      </c>
    </row>
    <row r="177" ht="12.75" customHeight="1">
      <c r="E177" s="1">
        <v>9660.0</v>
      </c>
      <c r="F177" s="1">
        <v>0.095</v>
      </c>
      <c r="G177" s="1">
        <v>9660.0</v>
      </c>
      <c r="H177" s="1">
        <v>0.169</v>
      </c>
      <c r="I177" s="1">
        <v>9660.0</v>
      </c>
      <c r="J177" s="1">
        <v>0.2</v>
      </c>
      <c r="K177" s="1">
        <v>9660.0</v>
      </c>
      <c r="L177" s="1">
        <v>0.34</v>
      </c>
    </row>
    <row r="178" ht="12.75" customHeight="1">
      <c r="E178" s="1">
        <v>9720.0</v>
      </c>
      <c r="F178" s="1">
        <v>0.096</v>
      </c>
      <c r="G178" s="1">
        <v>9720.0</v>
      </c>
      <c r="H178" s="1">
        <v>0.17</v>
      </c>
      <c r="I178" s="1">
        <v>9720.0</v>
      </c>
      <c r="J178" s="1">
        <v>0.201</v>
      </c>
      <c r="K178" s="1">
        <v>9720.0</v>
      </c>
      <c r="L178" s="1">
        <v>0.341</v>
      </c>
    </row>
    <row r="179" ht="12.75" customHeight="1">
      <c r="E179" s="1">
        <v>9780.0</v>
      </c>
      <c r="F179" s="1">
        <v>0.098</v>
      </c>
      <c r="G179" s="1">
        <v>9780.0</v>
      </c>
      <c r="H179" s="1">
        <v>0.171</v>
      </c>
      <c r="I179" s="1">
        <v>9780.0</v>
      </c>
      <c r="J179" s="1">
        <v>0.204</v>
      </c>
      <c r="K179" s="1">
        <v>9780.0</v>
      </c>
      <c r="L179" s="1">
        <v>0.343</v>
      </c>
    </row>
    <row r="180" ht="12.75" customHeight="1">
      <c r="E180" s="1">
        <v>9840.0</v>
      </c>
      <c r="F180" s="1">
        <v>0.099</v>
      </c>
      <c r="G180" s="1">
        <v>9840.0</v>
      </c>
      <c r="H180" s="1">
        <v>0.172</v>
      </c>
      <c r="I180" s="1">
        <v>9840.0</v>
      </c>
      <c r="J180" s="1">
        <v>0.204</v>
      </c>
      <c r="K180" s="1">
        <v>9840.0</v>
      </c>
      <c r="L180" s="1">
        <v>0.345</v>
      </c>
    </row>
    <row r="181" ht="12.75" customHeight="1">
      <c r="E181" s="1">
        <v>9900.0</v>
      </c>
      <c r="F181" s="1">
        <v>0.1</v>
      </c>
      <c r="G181" s="1">
        <v>9900.0</v>
      </c>
      <c r="H181" s="1">
        <v>0.173</v>
      </c>
      <c r="I181" s="1">
        <v>9900.0</v>
      </c>
      <c r="J181" s="1">
        <v>0.206</v>
      </c>
      <c r="K181" s="1">
        <v>9900.0</v>
      </c>
      <c r="L181" s="1">
        <v>0.347</v>
      </c>
    </row>
    <row r="182" ht="12.75" customHeight="1">
      <c r="E182" s="1">
        <v>9960.0</v>
      </c>
      <c r="F182" s="1">
        <v>0.102</v>
      </c>
      <c r="G182" s="1">
        <v>9960.0</v>
      </c>
      <c r="H182" s="1">
        <v>0.175</v>
      </c>
      <c r="I182" s="1">
        <v>9960.0</v>
      </c>
      <c r="J182" s="1">
        <v>0.206</v>
      </c>
      <c r="K182" s="1">
        <v>9960.0</v>
      </c>
      <c r="L182" s="1">
        <v>0.348</v>
      </c>
    </row>
    <row r="183" ht="12.75" customHeight="1">
      <c r="E183" s="1">
        <v>10020.0</v>
      </c>
      <c r="F183" s="1">
        <v>0.103</v>
      </c>
      <c r="G183" s="1">
        <v>10020.0</v>
      </c>
      <c r="H183" s="1">
        <v>0.175</v>
      </c>
      <c r="I183" s="1">
        <v>10020.0</v>
      </c>
      <c r="J183" s="1">
        <v>0.209</v>
      </c>
      <c r="K183" s="1">
        <v>10020.0</v>
      </c>
      <c r="L183" s="1">
        <v>0.35</v>
      </c>
    </row>
    <row r="184" ht="12.75" customHeight="1">
      <c r="E184" s="1">
        <v>10080.0</v>
      </c>
      <c r="F184" s="1">
        <v>0.105</v>
      </c>
      <c r="G184" s="1">
        <v>10080.0</v>
      </c>
      <c r="H184" s="1">
        <v>0.177</v>
      </c>
      <c r="I184" s="1">
        <v>10080.0</v>
      </c>
      <c r="J184" s="1">
        <v>0.209</v>
      </c>
      <c r="K184" s="1">
        <v>10080.0</v>
      </c>
      <c r="L184" s="1">
        <v>0.351</v>
      </c>
    </row>
    <row r="185" ht="12.75" customHeight="1">
      <c r="E185" s="1">
        <v>10140.0</v>
      </c>
      <c r="F185" s="1">
        <v>0.1</v>
      </c>
      <c r="G185" s="1">
        <v>10140.0</v>
      </c>
      <c r="H185" s="1">
        <v>0.178</v>
      </c>
      <c r="I185" s="1">
        <v>10140.0</v>
      </c>
      <c r="J185" s="1">
        <v>0.211</v>
      </c>
      <c r="K185" s="1">
        <v>10140.0</v>
      </c>
      <c r="L185" s="1">
        <v>0.353</v>
      </c>
    </row>
    <row r="186" ht="12.75" customHeight="1">
      <c r="E186" s="1">
        <v>10200.0</v>
      </c>
      <c r="F186" s="1">
        <v>0.101</v>
      </c>
      <c r="G186" s="1">
        <v>10200.0</v>
      </c>
      <c r="H186" s="1">
        <v>0.179</v>
      </c>
      <c r="I186" s="1">
        <v>10200.0</v>
      </c>
      <c r="J186" s="1">
        <v>0.213</v>
      </c>
      <c r="K186" s="1">
        <v>10200.0</v>
      </c>
      <c r="L186" s="1">
        <v>0.354</v>
      </c>
    </row>
    <row r="187" ht="12.75" customHeight="1">
      <c r="E187" s="1">
        <v>10260.0</v>
      </c>
      <c r="F187" s="1">
        <v>0.088</v>
      </c>
      <c r="G187" s="1">
        <v>10260.0</v>
      </c>
      <c r="H187" s="1">
        <v>0.18</v>
      </c>
      <c r="I187" s="1">
        <v>10260.0</v>
      </c>
      <c r="J187" s="1">
        <v>0.214</v>
      </c>
      <c r="K187" s="1">
        <v>10260.0</v>
      </c>
      <c r="L187" s="1">
        <v>0.357</v>
      </c>
    </row>
    <row r="188" ht="12.75" customHeight="1">
      <c r="E188" s="1">
        <v>10320.0</v>
      </c>
      <c r="F188" s="1">
        <v>0.089</v>
      </c>
      <c r="G188" s="1">
        <v>10320.0</v>
      </c>
      <c r="H188" s="1">
        <v>0.181</v>
      </c>
      <c r="I188" s="1">
        <v>10320.0</v>
      </c>
      <c r="J188" s="1">
        <v>0.216</v>
      </c>
      <c r="K188" s="1">
        <v>10320.0</v>
      </c>
      <c r="L188" s="1">
        <v>0.358</v>
      </c>
    </row>
    <row r="189" ht="12.75" customHeight="1">
      <c r="E189" s="1">
        <v>10380.0</v>
      </c>
      <c r="F189" s="1">
        <v>0.089</v>
      </c>
      <c r="G189" s="1">
        <v>10380.0</v>
      </c>
      <c r="H189" s="1">
        <v>0.182</v>
      </c>
      <c r="I189" s="1">
        <v>10380.0</v>
      </c>
      <c r="J189" s="1">
        <v>0.217</v>
      </c>
      <c r="K189" s="1">
        <v>10380.0</v>
      </c>
      <c r="L189" s="1">
        <v>0.36</v>
      </c>
    </row>
    <row r="190" ht="12.75" customHeight="1">
      <c r="E190" s="1">
        <v>10440.0</v>
      </c>
      <c r="F190" s="1">
        <v>0.09</v>
      </c>
      <c r="G190" s="1">
        <v>10440.0</v>
      </c>
      <c r="H190" s="1">
        <v>0.183</v>
      </c>
      <c r="I190" s="1">
        <v>10440.0</v>
      </c>
      <c r="J190" s="1">
        <v>0.218</v>
      </c>
      <c r="K190" s="1">
        <v>10440.0</v>
      </c>
      <c r="L190" s="1">
        <v>0.361</v>
      </c>
    </row>
    <row r="191" ht="12.75" customHeight="1">
      <c r="E191" s="1">
        <v>10500.0</v>
      </c>
      <c r="F191" s="1">
        <v>0.09</v>
      </c>
      <c r="G191" s="1">
        <v>10500.0</v>
      </c>
      <c r="H191" s="1">
        <v>0.184</v>
      </c>
      <c r="I191" s="1">
        <v>10500.0</v>
      </c>
      <c r="J191" s="1">
        <v>0.219</v>
      </c>
      <c r="K191" s="1">
        <v>10500.0</v>
      </c>
      <c r="L191" s="1">
        <v>0.363</v>
      </c>
    </row>
    <row r="192" ht="12.75" customHeight="1">
      <c r="E192" s="1">
        <v>10560.0</v>
      </c>
      <c r="F192" s="1">
        <v>0.091</v>
      </c>
      <c r="G192" s="1">
        <v>10560.0</v>
      </c>
      <c r="H192" s="1">
        <v>0.185</v>
      </c>
      <c r="I192" s="1">
        <v>10560.0</v>
      </c>
      <c r="J192" s="1">
        <v>0.222</v>
      </c>
      <c r="K192" s="1">
        <v>10560.0</v>
      </c>
      <c r="L192" s="1">
        <v>0.364</v>
      </c>
    </row>
    <row r="193" ht="12.75" customHeight="1">
      <c r="E193" s="1">
        <v>10620.0</v>
      </c>
      <c r="F193" s="1">
        <v>0.091</v>
      </c>
      <c r="G193" s="1">
        <v>10620.0</v>
      </c>
      <c r="H193" s="1">
        <v>0.186</v>
      </c>
      <c r="I193" s="1">
        <v>10620.0</v>
      </c>
      <c r="J193" s="1">
        <v>0.222</v>
      </c>
      <c r="K193" s="1">
        <v>10620.0</v>
      </c>
      <c r="L193" s="1">
        <v>0.366</v>
      </c>
    </row>
    <row r="194" ht="12.75" customHeight="1">
      <c r="E194" s="1">
        <v>10680.0</v>
      </c>
      <c r="F194" s="1">
        <v>0.092</v>
      </c>
      <c r="G194" s="1">
        <v>10680.0</v>
      </c>
      <c r="H194" s="1">
        <v>0.187</v>
      </c>
      <c r="I194" s="1">
        <v>10680.0</v>
      </c>
      <c r="J194" s="1">
        <v>0.224</v>
      </c>
      <c r="K194" s="1">
        <v>10680.0</v>
      </c>
      <c r="L194" s="1">
        <v>0.367</v>
      </c>
    </row>
    <row r="195" ht="12.75" customHeight="1">
      <c r="E195" s="1">
        <v>10740.0</v>
      </c>
      <c r="F195" s="1">
        <v>0.092</v>
      </c>
      <c r="G195" s="1">
        <v>10740.0</v>
      </c>
      <c r="H195" s="1">
        <v>0.188</v>
      </c>
      <c r="I195" s="1">
        <v>10740.0</v>
      </c>
      <c r="J195" s="1">
        <v>0.225</v>
      </c>
      <c r="K195" s="1">
        <v>10740.0</v>
      </c>
      <c r="L195" s="1">
        <v>0.369</v>
      </c>
    </row>
    <row r="196" ht="12.75" customHeight="1">
      <c r="E196" s="1">
        <v>10800.0</v>
      </c>
      <c r="F196" s="1">
        <v>0.093</v>
      </c>
      <c r="G196" s="1">
        <v>10800.0</v>
      </c>
      <c r="H196" s="1">
        <v>0.189</v>
      </c>
      <c r="I196" s="1">
        <v>10800.0</v>
      </c>
      <c r="J196" s="1">
        <v>0.227</v>
      </c>
      <c r="K196" s="1">
        <v>10800.0</v>
      </c>
      <c r="L196" s="1">
        <v>0.37</v>
      </c>
    </row>
    <row r="197" ht="12.75" customHeight="1">
      <c r="E197" s="1">
        <v>10860.0</v>
      </c>
      <c r="F197" s="1">
        <v>0.094</v>
      </c>
      <c r="G197" s="1">
        <v>10860.0</v>
      </c>
      <c r="H197" s="1">
        <v>0.19</v>
      </c>
      <c r="I197" s="1">
        <v>10860.0</v>
      </c>
      <c r="J197" s="1">
        <v>0.228</v>
      </c>
      <c r="K197" s="1">
        <v>10860.0</v>
      </c>
      <c r="L197" s="1">
        <v>0.372</v>
      </c>
    </row>
    <row r="198" ht="12.75" customHeight="1">
      <c r="E198" s="1">
        <v>10920.0</v>
      </c>
      <c r="F198" s="1">
        <v>0.094</v>
      </c>
      <c r="G198" s="1">
        <v>10920.0</v>
      </c>
      <c r="H198" s="1">
        <v>0.191</v>
      </c>
      <c r="I198" s="1">
        <v>10920.0</v>
      </c>
      <c r="J198" s="1">
        <v>0.229</v>
      </c>
      <c r="K198" s="1">
        <v>10920.0</v>
      </c>
      <c r="L198" s="1">
        <v>0.374</v>
      </c>
    </row>
    <row r="199" ht="12.75" customHeight="1">
      <c r="E199" s="1">
        <v>10980.0</v>
      </c>
      <c r="F199" s="1">
        <v>0.095</v>
      </c>
      <c r="G199" s="1">
        <v>10980.0</v>
      </c>
      <c r="H199" s="1">
        <v>0.192</v>
      </c>
      <c r="I199" s="1">
        <v>10980.0</v>
      </c>
      <c r="J199" s="1">
        <v>0.23</v>
      </c>
      <c r="K199" s="1">
        <v>10980.0</v>
      </c>
      <c r="L199" s="1">
        <v>0.375</v>
      </c>
    </row>
    <row r="200" ht="12.75" customHeight="1">
      <c r="E200" s="1">
        <v>11040.0</v>
      </c>
      <c r="F200" s="1">
        <v>0.095</v>
      </c>
      <c r="G200" s="1">
        <v>11040.0</v>
      </c>
      <c r="H200" s="1">
        <v>0.193</v>
      </c>
      <c r="I200" s="1">
        <v>11040.0</v>
      </c>
      <c r="J200" s="1">
        <v>0.232</v>
      </c>
      <c r="K200" s="1">
        <v>11040.0</v>
      </c>
      <c r="L200" s="1">
        <v>0.377</v>
      </c>
    </row>
    <row r="201" ht="12.75" customHeight="1">
      <c r="E201" s="1">
        <v>11100.0</v>
      </c>
      <c r="F201" s="1">
        <v>0.096</v>
      </c>
      <c r="G201" s="1">
        <v>11100.0</v>
      </c>
      <c r="H201" s="1">
        <v>0.194</v>
      </c>
      <c r="I201" s="1">
        <v>11100.0</v>
      </c>
      <c r="J201" s="1">
        <v>0.232</v>
      </c>
      <c r="K201" s="1">
        <v>11100.0</v>
      </c>
      <c r="L201" s="1">
        <v>0.378</v>
      </c>
    </row>
    <row r="202" ht="12.75" customHeight="1">
      <c r="E202" s="1">
        <v>11160.0</v>
      </c>
      <c r="F202" s="1">
        <v>0.096</v>
      </c>
      <c r="G202" s="1">
        <v>11160.0</v>
      </c>
      <c r="H202" s="1">
        <v>0.195</v>
      </c>
      <c r="I202" s="1">
        <v>11160.0</v>
      </c>
      <c r="J202" s="1">
        <v>0.235</v>
      </c>
      <c r="K202" s="1">
        <v>11160.0</v>
      </c>
      <c r="L202" s="1">
        <v>0.38</v>
      </c>
    </row>
    <row r="203" ht="12.75" customHeight="1">
      <c r="E203" s="1">
        <v>11220.0</v>
      </c>
      <c r="F203" s="1">
        <v>0.097</v>
      </c>
      <c r="G203" s="1">
        <v>11220.0</v>
      </c>
      <c r="H203" s="1">
        <v>0.196</v>
      </c>
      <c r="I203" s="1">
        <v>11220.0</v>
      </c>
      <c r="J203" s="1">
        <v>0.235</v>
      </c>
      <c r="K203" s="1">
        <v>11220.0</v>
      </c>
      <c r="L203" s="1">
        <v>0.382</v>
      </c>
    </row>
    <row r="204" ht="12.75" customHeight="1">
      <c r="E204" s="1">
        <v>11280.0</v>
      </c>
      <c r="F204" s="1">
        <v>0.097</v>
      </c>
      <c r="G204" s="1">
        <v>11280.0</v>
      </c>
      <c r="H204" s="1">
        <v>0.196</v>
      </c>
      <c r="I204" s="1">
        <v>11280.0</v>
      </c>
      <c r="J204" s="1">
        <v>0.237</v>
      </c>
      <c r="K204" s="1">
        <v>11280.0</v>
      </c>
      <c r="L204" s="1">
        <v>0.383</v>
      </c>
    </row>
    <row r="205" ht="12.75" customHeight="1">
      <c r="E205" s="1">
        <v>11340.0</v>
      </c>
      <c r="F205" s="1">
        <v>0.098</v>
      </c>
      <c r="G205" s="1">
        <v>11340.0</v>
      </c>
      <c r="H205" s="1">
        <v>0.197</v>
      </c>
      <c r="I205" s="1">
        <v>11340.0</v>
      </c>
      <c r="J205" s="1">
        <v>0.238</v>
      </c>
      <c r="K205" s="1">
        <v>11340.0</v>
      </c>
      <c r="L205" s="1">
        <v>0.385</v>
      </c>
    </row>
    <row r="206" ht="12.75" customHeight="1">
      <c r="E206" s="1">
        <v>11400.0</v>
      </c>
      <c r="F206" s="1">
        <v>0.099</v>
      </c>
      <c r="G206" s="1">
        <v>11400.0</v>
      </c>
      <c r="H206" s="1">
        <v>0.198</v>
      </c>
      <c r="I206" s="1">
        <v>11400.0</v>
      </c>
      <c r="J206" s="1">
        <v>0.24</v>
      </c>
      <c r="K206" s="1">
        <v>11400.0</v>
      </c>
      <c r="L206" s="1">
        <v>0.387</v>
      </c>
    </row>
    <row r="207" ht="12.75" customHeight="1">
      <c r="E207" s="1">
        <v>11460.0</v>
      </c>
      <c r="F207" s="1">
        <v>0.099</v>
      </c>
      <c r="G207" s="1">
        <v>11460.0</v>
      </c>
      <c r="H207" s="1">
        <v>0.199</v>
      </c>
      <c r="I207" s="1">
        <v>11460.0</v>
      </c>
      <c r="J207" s="1">
        <v>0.241</v>
      </c>
      <c r="K207" s="1">
        <v>11460.0</v>
      </c>
      <c r="L207" s="1">
        <v>0.388</v>
      </c>
    </row>
    <row r="208" ht="12.75" customHeight="1">
      <c r="E208" s="1">
        <v>11520.0</v>
      </c>
      <c r="F208" s="1">
        <v>0.1</v>
      </c>
      <c r="G208" s="1">
        <v>11520.0</v>
      </c>
      <c r="H208" s="1">
        <v>0.201</v>
      </c>
      <c r="I208" s="1">
        <v>11520.0</v>
      </c>
      <c r="J208" s="1">
        <v>0.242</v>
      </c>
      <c r="K208" s="1">
        <v>11520.0</v>
      </c>
      <c r="L208" s="1">
        <v>0.389</v>
      </c>
    </row>
    <row r="209" ht="12.75" customHeight="1">
      <c r="E209" s="1">
        <v>11580.0</v>
      </c>
      <c r="F209" s="1">
        <v>0.1</v>
      </c>
      <c r="G209" s="1">
        <v>11580.0</v>
      </c>
      <c r="H209" s="1">
        <v>0.201</v>
      </c>
      <c r="I209" s="1">
        <v>11580.0</v>
      </c>
      <c r="J209" s="1">
        <v>0.243</v>
      </c>
      <c r="K209" s="1">
        <v>11580.0</v>
      </c>
      <c r="L209" s="1">
        <v>0.391</v>
      </c>
    </row>
    <row r="210" ht="12.75" customHeight="1">
      <c r="E210" s="1">
        <v>11640.0</v>
      </c>
      <c r="F210" s="1">
        <v>0.101</v>
      </c>
      <c r="G210" s="1">
        <v>11640.0</v>
      </c>
      <c r="H210" s="1">
        <v>0.202</v>
      </c>
      <c r="I210" s="1">
        <v>11640.0</v>
      </c>
      <c r="J210" s="1">
        <v>0.245</v>
      </c>
      <c r="K210" s="1">
        <v>11640.0</v>
      </c>
      <c r="L210" s="1">
        <v>0.392</v>
      </c>
    </row>
    <row r="211" ht="12.75" customHeight="1">
      <c r="E211" s="1">
        <v>11700.0</v>
      </c>
      <c r="F211" s="1">
        <v>0.101</v>
      </c>
      <c r="G211" s="1">
        <v>11700.0</v>
      </c>
      <c r="H211" s="1">
        <v>0.203</v>
      </c>
      <c r="I211" s="1">
        <v>11700.0</v>
      </c>
      <c r="J211" s="1">
        <v>0.246</v>
      </c>
      <c r="K211" s="1">
        <v>11700.0</v>
      </c>
      <c r="L211" s="1">
        <v>0.394</v>
      </c>
    </row>
    <row r="212" ht="12.75" customHeight="1">
      <c r="E212" s="1">
        <v>11760.0</v>
      </c>
      <c r="F212" s="1">
        <v>0.102</v>
      </c>
      <c r="G212" s="1">
        <v>11760.0</v>
      </c>
      <c r="H212" s="1">
        <v>0.204</v>
      </c>
      <c r="I212" s="1">
        <v>11760.0</v>
      </c>
      <c r="J212" s="1">
        <v>0.247</v>
      </c>
      <c r="K212" s="1">
        <v>11760.0</v>
      </c>
      <c r="L212" s="1">
        <v>0.395</v>
      </c>
    </row>
    <row r="213" ht="12.75" customHeight="1">
      <c r="E213" s="1">
        <v>11820.0</v>
      </c>
      <c r="F213" s="1">
        <v>0.103</v>
      </c>
      <c r="G213" s="1">
        <v>11820.0</v>
      </c>
      <c r="H213" s="1">
        <v>0.205</v>
      </c>
      <c r="I213" s="1">
        <v>11820.0</v>
      </c>
      <c r="J213" s="1">
        <v>0.248</v>
      </c>
      <c r="K213" s="1">
        <v>11820.0</v>
      </c>
      <c r="L213" s="1">
        <v>0.397</v>
      </c>
    </row>
    <row r="214" ht="12.75" customHeight="1">
      <c r="E214" s="1">
        <v>11880.0</v>
      </c>
      <c r="F214" s="1">
        <v>0.103</v>
      </c>
      <c r="G214" s="1">
        <v>11880.0</v>
      </c>
      <c r="H214" s="1">
        <v>0.206</v>
      </c>
      <c r="I214" s="1">
        <v>11880.0</v>
      </c>
      <c r="J214" s="1">
        <v>0.25</v>
      </c>
      <c r="K214" s="1">
        <v>11880.0</v>
      </c>
      <c r="L214" s="1">
        <v>0.398</v>
      </c>
    </row>
    <row r="215" ht="12.75" customHeight="1">
      <c r="E215" s="1">
        <v>11940.0</v>
      </c>
      <c r="F215" s="1">
        <v>0.103</v>
      </c>
      <c r="G215" s="1">
        <v>11940.0</v>
      </c>
      <c r="H215" s="1">
        <v>0.207</v>
      </c>
      <c r="I215" s="1">
        <v>11940.0</v>
      </c>
      <c r="J215" s="1">
        <v>0.251</v>
      </c>
      <c r="K215" s="1">
        <v>11940.0</v>
      </c>
      <c r="L215" s="1">
        <v>0.4</v>
      </c>
    </row>
    <row r="216" ht="12.75" customHeight="1">
      <c r="E216" s="1">
        <v>12000.0</v>
      </c>
      <c r="F216" s="1">
        <v>0.104</v>
      </c>
      <c r="G216" s="1">
        <v>12000.0</v>
      </c>
      <c r="H216" s="1">
        <v>0.208</v>
      </c>
      <c r="I216" s="1">
        <v>12000.0</v>
      </c>
      <c r="J216" s="1">
        <v>0.252</v>
      </c>
      <c r="K216" s="1">
        <v>12000.0</v>
      </c>
      <c r="L216" s="1">
        <v>0.401</v>
      </c>
    </row>
    <row r="217" ht="12.75" customHeight="1">
      <c r="E217" s="1">
        <v>12060.0</v>
      </c>
      <c r="F217" s="1">
        <v>0.104</v>
      </c>
      <c r="G217" s="1">
        <v>12060.0</v>
      </c>
      <c r="H217" s="1">
        <v>0.209</v>
      </c>
      <c r="I217" s="1">
        <v>12060.0</v>
      </c>
      <c r="J217" s="1">
        <v>0.253</v>
      </c>
      <c r="K217" s="1">
        <v>12060.0</v>
      </c>
      <c r="L217" s="1">
        <v>0.403</v>
      </c>
    </row>
    <row r="218" ht="12.75" customHeight="1">
      <c r="E218" s="1">
        <v>12120.0</v>
      </c>
      <c r="F218" s="1">
        <v>0.105</v>
      </c>
      <c r="G218" s="1">
        <v>12120.0</v>
      </c>
      <c r="H218" s="1">
        <v>0.21</v>
      </c>
      <c r="I218" s="1">
        <v>12120.0</v>
      </c>
      <c r="J218" s="1">
        <v>0.255</v>
      </c>
      <c r="K218" s="1">
        <v>12120.0</v>
      </c>
      <c r="L218" s="1">
        <v>0.404</v>
      </c>
    </row>
    <row r="219" ht="12.75" customHeight="1">
      <c r="E219" s="1">
        <v>12180.0</v>
      </c>
      <c r="F219" s="1">
        <v>0.105</v>
      </c>
      <c r="G219" s="1">
        <v>12180.0</v>
      </c>
      <c r="H219" s="1">
        <v>0.211</v>
      </c>
      <c r="I219" s="1">
        <v>12180.0</v>
      </c>
      <c r="J219" s="1">
        <v>0.256</v>
      </c>
      <c r="K219" s="1">
        <v>12180.0</v>
      </c>
      <c r="L219" s="1">
        <v>0.407</v>
      </c>
    </row>
    <row r="220" ht="12.75" customHeight="1">
      <c r="E220" s="1">
        <v>12240.0</v>
      </c>
      <c r="F220" s="1">
        <v>0.106</v>
      </c>
      <c r="G220" s="1">
        <v>12240.0</v>
      </c>
      <c r="H220" s="1">
        <v>0.211</v>
      </c>
      <c r="I220" s="1">
        <v>12240.0</v>
      </c>
      <c r="J220" s="1">
        <v>0.257</v>
      </c>
      <c r="K220" s="1">
        <v>12240.0</v>
      </c>
      <c r="L220" s="1">
        <v>0.408</v>
      </c>
    </row>
    <row r="221" ht="12.75" customHeight="1">
      <c r="E221" s="1">
        <v>12300.0</v>
      </c>
      <c r="F221" s="1">
        <v>0.106</v>
      </c>
      <c r="G221" s="1">
        <v>12300.0</v>
      </c>
      <c r="H221" s="1">
        <v>0.212</v>
      </c>
      <c r="I221" s="1">
        <v>12300.0</v>
      </c>
      <c r="J221" s="1">
        <v>0.259</v>
      </c>
      <c r="K221" s="1">
        <v>12300.0</v>
      </c>
      <c r="L221" s="1">
        <v>0.409</v>
      </c>
    </row>
    <row r="222" ht="12.75" customHeight="1">
      <c r="E222" s="1">
        <v>12360.0</v>
      </c>
      <c r="F222" s="1">
        <v>0.107</v>
      </c>
      <c r="G222" s="1">
        <v>12360.0</v>
      </c>
      <c r="H222" s="1">
        <v>0.213</v>
      </c>
      <c r="I222" s="1">
        <v>12360.0</v>
      </c>
      <c r="J222" s="1">
        <v>0.26</v>
      </c>
      <c r="K222" s="1">
        <v>12360.0</v>
      </c>
      <c r="L222" s="1">
        <v>0.411</v>
      </c>
    </row>
    <row r="223" ht="12.75" customHeight="1">
      <c r="E223" s="1">
        <v>12420.0</v>
      </c>
      <c r="F223" s="1">
        <v>0.107</v>
      </c>
      <c r="G223" s="1">
        <v>12420.0</v>
      </c>
      <c r="H223" s="1">
        <v>0.214</v>
      </c>
      <c r="I223" s="1">
        <v>12420.0</v>
      </c>
      <c r="J223" s="1">
        <v>0.261</v>
      </c>
      <c r="K223" s="1">
        <v>12420.0</v>
      </c>
      <c r="L223" s="1">
        <v>0.412</v>
      </c>
    </row>
    <row r="224" ht="12.75" customHeight="1">
      <c r="E224" s="1">
        <v>12480.0</v>
      </c>
      <c r="F224" s="1">
        <v>0.108</v>
      </c>
      <c r="G224" s="1">
        <v>12480.0</v>
      </c>
      <c r="H224" s="1">
        <v>0.215</v>
      </c>
      <c r="I224" s="1">
        <v>12480.0</v>
      </c>
      <c r="J224" s="1">
        <v>0.262</v>
      </c>
      <c r="K224" s="1">
        <v>12480.0</v>
      </c>
      <c r="L224" s="1">
        <v>0.414</v>
      </c>
    </row>
    <row r="225" ht="12.75" customHeight="1">
      <c r="E225" s="1">
        <v>12540.0</v>
      </c>
      <c r="F225" s="1">
        <v>0.109</v>
      </c>
      <c r="G225" s="1">
        <v>12540.0</v>
      </c>
      <c r="H225" s="1">
        <v>0.216</v>
      </c>
      <c r="I225" s="1">
        <v>12540.0</v>
      </c>
      <c r="J225" s="1">
        <v>0.263</v>
      </c>
      <c r="K225" s="1">
        <v>12540.0</v>
      </c>
      <c r="L225" s="1">
        <v>0.415</v>
      </c>
    </row>
    <row r="226" ht="12.75" customHeight="1">
      <c r="E226" s="1">
        <v>12600.0</v>
      </c>
      <c r="F226" s="1">
        <v>0.109</v>
      </c>
      <c r="G226" s="1">
        <v>12600.0</v>
      </c>
      <c r="H226" s="1">
        <v>0.217</v>
      </c>
      <c r="I226" s="1">
        <v>12600.0</v>
      </c>
      <c r="J226" s="1">
        <v>0.263</v>
      </c>
      <c r="K226" s="1">
        <v>12600.0</v>
      </c>
      <c r="L226" s="1">
        <v>0.417</v>
      </c>
    </row>
    <row r="227" ht="12.75" customHeight="1">
      <c r="E227" s="1">
        <v>12660.0</v>
      </c>
      <c r="F227" s="1">
        <v>0.109</v>
      </c>
      <c r="G227" s="1">
        <v>12660.0</v>
      </c>
      <c r="H227" s="1">
        <v>0.218</v>
      </c>
      <c r="I227" s="1">
        <v>12660.0</v>
      </c>
      <c r="J227" s="1">
        <v>0.265</v>
      </c>
      <c r="K227" s="1">
        <v>12660.0</v>
      </c>
      <c r="L227" s="1">
        <v>0.418</v>
      </c>
    </row>
    <row r="228" ht="12.75" customHeight="1">
      <c r="E228" s="1">
        <v>12720.0</v>
      </c>
      <c r="F228" s="1">
        <v>0.11</v>
      </c>
      <c r="G228" s="1">
        <v>12720.0</v>
      </c>
      <c r="H228" s="1">
        <v>0.219</v>
      </c>
      <c r="I228" s="1">
        <v>12720.0</v>
      </c>
      <c r="J228" s="1">
        <v>0.266</v>
      </c>
      <c r="K228" s="1">
        <v>12720.0</v>
      </c>
      <c r="L228" s="1">
        <v>0.419</v>
      </c>
    </row>
    <row r="229" ht="12.75" customHeight="1">
      <c r="E229" s="1">
        <v>12780.0</v>
      </c>
      <c r="F229" s="1">
        <v>0.111</v>
      </c>
      <c r="G229" s="1">
        <v>12780.0</v>
      </c>
      <c r="H229" s="1">
        <v>0.219</v>
      </c>
      <c r="I229" s="1">
        <v>12780.0</v>
      </c>
      <c r="J229" s="1">
        <v>0.267</v>
      </c>
      <c r="K229" s="1">
        <v>12780.0</v>
      </c>
      <c r="L229" s="1">
        <v>0.42</v>
      </c>
    </row>
    <row r="230" ht="12.75" customHeight="1">
      <c r="E230" s="1">
        <v>12840.0</v>
      </c>
      <c r="F230" s="1">
        <v>0.111</v>
      </c>
      <c r="G230" s="1">
        <v>12840.0</v>
      </c>
      <c r="H230" s="1">
        <v>0.221</v>
      </c>
      <c r="I230" s="1">
        <v>12840.0</v>
      </c>
      <c r="J230" s="1">
        <v>0.268</v>
      </c>
      <c r="K230" s="1">
        <v>12840.0</v>
      </c>
      <c r="L230" s="1">
        <v>0.422</v>
      </c>
    </row>
    <row r="231" ht="12.75" customHeight="1">
      <c r="E231" s="1">
        <v>12900.0</v>
      </c>
      <c r="F231" s="1">
        <v>0.112</v>
      </c>
      <c r="G231" s="1">
        <v>12900.0</v>
      </c>
      <c r="H231" s="1">
        <v>0.221</v>
      </c>
      <c r="I231" s="1">
        <v>12900.0</v>
      </c>
      <c r="J231" s="1">
        <v>0.269</v>
      </c>
      <c r="K231" s="1">
        <v>12900.0</v>
      </c>
      <c r="L231" s="1">
        <v>0.424</v>
      </c>
    </row>
    <row r="232" ht="12.75" customHeight="1">
      <c r="E232" s="1">
        <v>12960.0</v>
      </c>
      <c r="F232" s="1">
        <v>0.112</v>
      </c>
      <c r="G232" s="1">
        <v>12960.0</v>
      </c>
      <c r="H232" s="1">
        <v>0.222</v>
      </c>
      <c r="I232" s="1">
        <v>12960.0</v>
      </c>
      <c r="J232" s="1">
        <v>0.271</v>
      </c>
      <c r="K232" s="1">
        <v>12960.0</v>
      </c>
      <c r="L232" s="1">
        <v>0.425</v>
      </c>
    </row>
    <row r="233" ht="12.75" customHeight="1">
      <c r="E233" s="1">
        <v>13020.0</v>
      </c>
      <c r="F233" s="1">
        <v>0.113</v>
      </c>
      <c r="G233" s="1">
        <v>13020.0</v>
      </c>
      <c r="H233" s="1">
        <v>0.223</v>
      </c>
      <c r="I233" s="1">
        <v>13020.0</v>
      </c>
      <c r="J233" s="1">
        <v>0.271</v>
      </c>
      <c r="K233" s="1">
        <v>13020.0</v>
      </c>
      <c r="L233" s="1">
        <v>0.427</v>
      </c>
    </row>
    <row r="234" ht="12.75" customHeight="1">
      <c r="E234" s="1">
        <v>13080.0</v>
      </c>
      <c r="F234" s="1">
        <v>0.113</v>
      </c>
      <c r="G234" s="1">
        <v>13080.0</v>
      </c>
      <c r="H234" s="1">
        <v>0.224</v>
      </c>
      <c r="I234" s="1">
        <v>13080.0</v>
      </c>
      <c r="J234" s="1">
        <v>0.273</v>
      </c>
      <c r="K234" s="1">
        <v>13080.0</v>
      </c>
      <c r="L234" s="1">
        <v>0.428</v>
      </c>
    </row>
    <row r="235" ht="12.75" customHeight="1">
      <c r="E235" s="1">
        <v>13140.0</v>
      </c>
      <c r="F235" s="1">
        <v>0.113</v>
      </c>
      <c r="G235" s="1">
        <v>13140.0</v>
      </c>
      <c r="H235" s="1">
        <v>0.225</v>
      </c>
      <c r="I235" s="1">
        <v>13140.0</v>
      </c>
      <c r="J235" s="1">
        <v>0.274</v>
      </c>
      <c r="K235" s="1">
        <v>13140.0</v>
      </c>
      <c r="L235" s="1">
        <v>0.429</v>
      </c>
    </row>
    <row r="236" ht="12.75" customHeight="1">
      <c r="E236" s="1">
        <v>13200.0</v>
      </c>
      <c r="F236" s="1">
        <v>0.114</v>
      </c>
      <c r="G236" s="1">
        <v>13200.0</v>
      </c>
      <c r="H236" s="1">
        <v>0.226</v>
      </c>
      <c r="I236" s="1">
        <v>13200.0</v>
      </c>
      <c r="J236" s="1">
        <v>0.275</v>
      </c>
      <c r="K236" s="1">
        <v>13200.0</v>
      </c>
      <c r="L236" s="1">
        <v>0.43</v>
      </c>
    </row>
    <row r="237" ht="12.75" customHeight="1">
      <c r="E237" s="1">
        <v>13260.0</v>
      </c>
      <c r="F237" s="1">
        <v>0.114</v>
      </c>
      <c r="G237" s="1">
        <v>13260.0</v>
      </c>
      <c r="H237" s="1">
        <v>0.227</v>
      </c>
      <c r="I237" s="1">
        <v>13260.0</v>
      </c>
      <c r="J237" s="1">
        <v>0.277</v>
      </c>
      <c r="K237" s="1">
        <v>13260.0</v>
      </c>
      <c r="L237" s="1">
        <v>0.431</v>
      </c>
    </row>
    <row r="238" ht="12.75" customHeight="1">
      <c r="E238" s="1">
        <v>13320.0</v>
      </c>
      <c r="F238" s="1">
        <v>0.115</v>
      </c>
      <c r="G238" s="1">
        <v>13320.0</v>
      </c>
      <c r="H238" s="1">
        <v>0.227</v>
      </c>
      <c r="I238" s="1">
        <v>13320.0</v>
      </c>
      <c r="J238" s="1">
        <v>0.277</v>
      </c>
      <c r="K238" s="1">
        <v>13320.0</v>
      </c>
      <c r="L238" s="1">
        <v>0.432</v>
      </c>
    </row>
    <row r="239" ht="12.75" customHeight="1">
      <c r="E239" s="1">
        <v>13380.0</v>
      </c>
      <c r="F239" s="1">
        <v>0.116</v>
      </c>
      <c r="G239" s="1">
        <v>13380.0</v>
      </c>
      <c r="H239" s="1">
        <v>0.229</v>
      </c>
      <c r="I239" s="1">
        <v>13380.0</v>
      </c>
      <c r="J239" s="1">
        <v>0.279</v>
      </c>
      <c r="K239" s="1">
        <v>13380.0</v>
      </c>
      <c r="L239" s="1">
        <v>0.434</v>
      </c>
    </row>
    <row r="240" ht="12.75" customHeight="1">
      <c r="E240" s="1">
        <v>13440.0</v>
      </c>
      <c r="F240" s="1">
        <v>0.116</v>
      </c>
      <c r="G240" s="1">
        <v>13440.0</v>
      </c>
      <c r="H240" s="1">
        <v>0.229</v>
      </c>
      <c r="I240" s="1">
        <v>13440.0</v>
      </c>
      <c r="J240" s="1">
        <v>0.28</v>
      </c>
      <c r="K240" s="1">
        <v>13440.0</v>
      </c>
      <c r="L240" s="1">
        <v>0.435</v>
      </c>
    </row>
    <row r="241" ht="12.75" customHeight="1">
      <c r="E241" s="1">
        <v>13500.0</v>
      </c>
      <c r="F241" s="1">
        <v>0.116</v>
      </c>
      <c r="G241" s="1">
        <v>13500.0</v>
      </c>
      <c r="H241" s="1">
        <v>0.23</v>
      </c>
      <c r="I241" s="1">
        <v>13500.0</v>
      </c>
      <c r="J241" s="1">
        <v>0.281</v>
      </c>
      <c r="K241" s="1">
        <v>13500.0</v>
      </c>
      <c r="L241" s="1">
        <v>0.437</v>
      </c>
    </row>
    <row r="242" ht="12.75" customHeight="1">
      <c r="E242" s="1">
        <v>13560.0</v>
      </c>
      <c r="F242" s="1">
        <v>0.117</v>
      </c>
      <c r="G242" s="1">
        <v>13560.0</v>
      </c>
      <c r="H242" s="1">
        <v>0.231</v>
      </c>
      <c r="I242" s="1">
        <v>13560.0</v>
      </c>
      <c r="J242" s="1">
        <v>0.282</v>
      </c>
      <c r="K242" s="1">
        <v>13560.0</v>
      </c>
      <c r="L242" s="1">
        <v>0.438</v>
      </c>
    </row>
    <row r="243" ht="12.75" customHeight="1">
      <c r="E243" s="1">
        <v>13620.0</v>
      </c>
      <c r="F243" s="1">
        <v>0.117</v>
      </c>
      <c r="G243" s="1">
        <v>13620.0</v>
      </c>
      <c r="H243" s="1">
        <v>0.231</v>
      </c>
      <c r="I243" s="1">
        <v>13620.0</v>
      </c>
      <c r="J243" s="1">
        <v>0.282</v>
      </c>
      <c r="K243" s="1">
        <v>13620.0</v>
      </c>
      <c r="L243" s="1">
        <v>0.439</v>
      </c>
    </row>
    <row r="244" ht="12.75" customHeight="1">
      <c r="E244" s="1">
        <v>13680.0</v>
      </c>
      <c r="F244" s="1">
        <v>0.118</v>
      </c>
      <c r="G244" s="1">
        <v>13680.0</v>
      </c>
      <c r="H244" s="1">
        <v>0.233</v>
      </c>
      <c r="I244" s="1">
        <v>13680.0</v>
      </c>
      <c r="J244" s="1">
        <v>0.284</v>
      </c>
      <c r="K244" s="1">
        <v>13680.0</v>
      </c>
      <c r="L244" s="1">
        <v>0.44</v>
      </c>
    </row>
    <row r="245" ht="12.75" customHeight="1">
      <c r="E245" s="1">
        <v>13740.0</v>
      </c>
      <c r="F245" s="1">
        <v>0.118</v>
      </c>
      <c r="G245" s="1">
        <v>13740.0</v>
      </c>
      <c r="H245" s="1">
        <v>0.233</v>
      </c>
      <c r="I245" s="1">
        <v>13740.0</v>
      </c>
      <c r="J245" s="1">
        <v>0.285</v>
      </c>
      <c r="K245" s="1">
        <v>13740.0</v>
      </c>
      <c r="L245" s="1">
        <v>0.442</v>
      </c>
    </row>
    <row r="246" ht="12.75" customHeight="1">
      <c r="E246" s="1">
        <v>13800.0</v>
      </c>
      <c r="F246" s="1">
        <v>0.119</v>
      </c>
      <c r="G246" s="1">
        <v>13800.0</v>
      </c>
      <c r="H246" s="1">
        <v>0.234</v>
      </c>
      <c r="I246" s="1">
        <v>13800.0</v>
      </c>
      <c r="J246" s="1">
        <v>0.286</v>
      </c>
      <c r="K246" s="1">
        <v>13800.0</v>
      </c>
      <c r="L246" s="1">
        <v>0.443</v>
      </c>
    </row>
    <row r="247" ht="12.75" customHeight="1">
      <c r="E247" s="1">
        <v>13860.0</v>
      </c>
      <c r="F247" s="1">
        <v>0.119</v>
      </c>
      <c r="G247" s="1">
        <v>13860.0</v>
      </c>
      <c r="H247" s="1">
        <v>0.235</v>
      </c>
      <c r="I247" s="1">
        <v>13860.0</v>
      </c>
      <c r="J247" s="1">
        <v>0.287</v>
      </c>
      <c r="K247" s="1">
        <v>13860.0</v>
      </c>
      <c r="L247" s="1">
        <v>0.444</v>
      </c>
    </row>
    <row r="248" ht="12.75" customHeight="1">
      <c r="E248" s="1">
        <v>13920.0</v>
      </c>
      <c r="F248" s="1">
        <v>0.119</v>
      </c>
      <c r="G248" s="1">
        <v>13920.0</v>
      </c>
      <c r="H248" s="1">
        <v>0.236</v>
      </c>
      <c r="I248" s="1">
        <v>13920.0</v>
      </c>
      <c r="J248" s="1">
        <v>0.288</v>
      </c>
      <c r="K248" s="1">
        <v>13920.0</v>
      </c>
      <c r="L248" s="1">
        <v>0.446</v>
      </c>
    </row>
    <row r="249" ht="12.75" customHeight="1">
      <c r="E249" s="1">
        <v>13980.0</v>
      </c>
      <c r="F249" s="1">
        <v>0.12</v>
      </c>
      <c r="G249" s="1">
        <v>13980.0</v>
      </c>
      <c r="H249" s="1">
        <v>0.236</v>
      </c>
      <c r="I249" s="1">
        <v>13980.0</v>
      </c>
      <c r="J249" s="1">
        <v>0.289</v>
      </c>
      <c r="K249" s="1">
        <v>13980.0</v>
      </c>
      <c r="L249" s="1">
        <v>0.447</v>
      </c>
    </row>
    <row r="250" ht="12.75" customHeight="1">
      <c r="E250" s="1">
        <v>14040.0</v>
      </c>
      <c r="F250" s="1">
        <v>0.121</v>
      </c>
      <c r="G250" s="1">
        <v>14040.0</v>
      </c>
      <c r="H250" s="1">
        <v>0.237</v>
      </c>
      <c r="I250" s="1">
        <v>14040.0</v>
      </c>
      <c r="J250" s="1">
        <v>0.29</v>
      </c>
      <c r="K250" s="1">
        <v>14040.0</v>
      </c>
      <c r="L250" s="1">
        <v>0.448</v>
      </c>
    </row>
    <row r="251" ht="12.75" customHeight="1">
      <c r="E251" s="1">
        <v>14100.0</v>
      </c>
      <c r="F251" s="1">
        <v>0.121</v>
      </c>
      <c r="G251" s="1">
        <v>14100.0</v>
      </c>
      <c r="H251" s="1">
        <v>0.238</v>
      </c>
      <c r="I251" s="1">
        <v>14100.0</v>
      </c>
      <c r="J251" s="1">
        <v>0.291</v>
      </c>
      <c r="K251" s="1">
        <v>14100.0</v>
      </c>
      <c r="L251" s="1">
        <v>0.449</v>
      </c>
    </row>
    <row r="252" ht="12.75" customHeight="1">
      <c r="E252" s="1">
        <v>14160.0</v>
      </c>
      <c r="F252" s="1">
        <v>0.121</v>
      </c>
      <c r="G252" s="1">
        <v>14160.0</v>
      </c>
      <c r="H252" s="1">
        <v>0.239</v>
      </c>
      <c r="I252" s="1">
        <v>14160.0</v>
      </c>
      <c r="J252" s="1">
        <v>0.292</v>
      </c>
      <c r="K252" s="1">
        <v>14160.0</v>
      </c>
      <c r="L252" s="1">
        <v>0.45</v>
      </c>
    </row>
    <row r="253" ht="12.75" customHeight="1">
      <c r="E253" s="1">
        <v>14220.0</v>
      </c>
      <c r="F253" s="1">
        <v>0.121</v>
      </c>
      <c r="G253" s="1">
        <v>14220.0</v>
      </c>
      <c r="H253" s="1">
        <v>0.239</v>
      </c>
      <c r="I253" s="1">
        <v>14220.0</v>
      </c>
      <c r="J253" s="1">
        <v>0.293</v>
      </c>
      <c r="K253" s="1">
        <v>14220.0</v>
      </c>
      <c r="L253" s="1">
        <v>0.452</v>
      </c>
    </row>
    <row r="254" ht="12.75" customHeight="1">
      <c r="E254" s="1">
        <v>14280.0</v>
      </c>
      <c r="F254" s="1">
        <v>0.122</v>
      </c>
      <c r="G254" s="1">
        <v>14280.0</v>
      </c>
      <c r="H254" s="1">
        <v>0.24</v>
      </c>
      <c r="I254" s="1">
        <v>14280.0</v>
      </c>
      <c r="J254" s="1">
        <v>0.295</v>
      </c>
      <c r="K254" s="1">
        <v>14280.0</v>
      </c>
      <c r="L254" s="1">
        <v>0.453</v>
      </c>
    </row>
    <row r="255" ht="12.75" customHeight="1">
      <c r="E255" s="1">
        <v>14340.0</v>
      </c>
      <c r="F255" s="1">
        <v>0.122</v>
      </c>
      <c r="G255" s="1">
        <v>14340.0</v>
      </c>
      <c r="H255" s="1">
        <v>0.241</v>
      </c>
      <c r="I255" s="1">
        <v>14340.0</v>
      </c>
      <c r="J255" s="1">
        <v>0.295</v>
      </c>
      <c r="K255" s="1">
        <v>14340.0</v>
      </c>
      <c r="L255" s="1">
        <v>0.454</v>
      </c>
    </row>
    <row r="256" ht="12.75" customHeight="1">
      <c r="E256" s="1">
        <v>14400.0</v>
      </c>
      <c r="F256" s="1">
        <v>0.123</v>
      </c>
      <c r="G256" s="1">
        <v>14400.0</v>
      </c>
      <c r="H256" s="1">
        <v>0.242</v>
      </c>
      <c r="I256" s="1">
        <v>14400.0</v>
      </c>
      <c r="J256" s="1">
        <v>0.296</v>
      </c>
      <c r="K256" s="1">
        <v>14400.0</v>
      </c>
      <c r="L256" s="1">
        <v>0.455</v>
      </c>
    </row>
    <row r="257" ht="12.75" customHeight="1">
      <c r="E257" s="1">
        <v>14460.0</v>
      </c>
      <c r="F257" s="1">
        <v>0.123</v>
      </c>
      <c r="G257" s="1">
        <v>14460.0</v>
      </c>
      <c r="H257" s="1">
        <v>0.243</v>
      </c>
      <c r="I257" s="1">
        <v>14460.0</v>
      </c>
      <c r="J257" s="1">
        <v>0.298</v>
      </c>
      <c r="K257" s="1">
        <v>14460.0</v>
      </c>
      <c r="L257" s="1">
        <v>0.457</v>
      </c>
    </row>
    <row r="258" ht="12.75" customHeight="1">
      <c r="E258" s="1">
        <v>14520.0</v>
      </c>
      <c r="F258" s="1">
        <v>0.124</v>
      </c>
      <c r="G258" s="1">
        <v>14520.0</v>
      </c>
      <c r="H258" s="1">
        <v>0.243</v>
      </c>
      <c r="I258" s="1">
        <v>14520.0</v>
      </c>
      <c r="J258" s="1">
        <v>0.299</v>
      </c>
      <c r="K258" s="1">
        <v>14520.0</v>
      </c>
      <c r="L258" s="1">
        <v>0.458</v>
      </c>
    </row>
    <row r="259" ht="12.75" customHeight="1">
      <c r="E259" s="1">
        <v>14580.0</v>
      </c>
      <c r="F259" s="1">
        <v>0.124</v>
      </c>
      <c r="G259" s="1">
        <v>14580.0</v>
      </c>
      <c r="H259" s="1">
        <v>0.244</v>
      </c>
      <c r="I259" s="1">
        <v>14580.0</v>
      </c>
      <c r="J259" s="1">
        <v>0.3</v>
      </c>
      <c r="K259" s="1">
        <v>14580.0</v>
      </c>
      <c r="L259" s="1">
        <v>0.459</v>
      </c>
    </row>
    <row r="260" ht="12.75" customHeight="1">
      <c r="E260" s="1">
        <v>14640.0</v>
      </c>
      <c r="F260" s="1">
        <v>0.125</v>
      </c>
      <c r="G260" s="1">
        <v>14640.0</v>
      </c>
      <c r="H260" s="1">
        <v>0.245</v>
      </c>
      <c r="I260" s="1">
        <v>14640.0</v>
      </c>
      <c r="J260" s="1">
        <v>0.301</v>
      </c>
      <c r="K260" s="1">
        <v>14640.0</v>
      </c>
      <c r="L260" s="1">
        <v>0.46</v>
      </c>
    </row>
    <row r="261" ht="12.75" customHeight="1">
      <c r="E261" s="1">
        <v>14700.0</v>
      </c>
      <c r="F261" s="1">
        <v>0.125</v>
      </c>
      <c r="G261" s="1">
        <v>14700.0</v>
      </c>
      <c r="H261" s="1">
        <v>0.246</v>
      </c>
      <c r="I261" s="1">
        <v>14700.0</v>
      </c>
      <c r="J261" s="1">
        <v>0.301</v>
      </c>
      <c r="K261" s="1">
        <v>14700.0</v>
      </c>
      <c r="L261" s="1">
        <v>0.461</v>
      </c>
    </row>
    <row r="262" ht="12.75" customHeight="1">
      <c r="E262" s="1">
        <v>14760.0</v>
      </c>
      <c r="F262" s="1">
        <v>0.125</v>
      </c>
      <c r="G262" s="1">
        <v>14760.0</v>
      </c>
      <c r="H262" s="1">
        <v>0.246</v>
      </c>
      <c r="I262" s="1">
        <v>14760.0</v>
      </c>
      <c r="J262" s="1">
        <v>0.303</v>
      </c>
      <c r="K262" s="1">
        <v>14760.0</v>
      </c>
      <c r="L262" s="1">
        <v>0.462</v>
      </c>
    </row>
    <row r="263" ht="12.75" customHeight="1">
      <c r="E263" s="1">
        <v>14820.0</v>
      </c>
      <c r="F263" s="1">
        <v>0.126</v>
      </c>
      <c r="G263" s="1">
        <v>14820.0</v>
      </c>
      <c r="H263" s="1">
        <v>0.247</v>
      </c>
      <c r="I263" s="1">
        <v>14820.0</v>
      </c>
      <c r="J263" s="1">
        <v>0.304</v>
      </c>
      <c r="K263" s="1">
        <v>14820.0</v>
      </c>
      <c r="L263" s="1">
        <v>0.463</v>
      </c>
    </row>
    <row r="264" ht="12.75" customHeight="1">
      <c r="E264" s="1">
        <v>14880.0</v>
      </c>
      <c r="F264" s="1">
        <v>0.127</v>
      </c>
      <c r="G264" s="1">
        <v>14880.0</v>
      </c>
      <c r="H264" s="1">
        <v>0.248</v>
      </c>
      <c r="I264" s="1">
        <v>14880.0</v>
      </c>
      <c r="J264" s="1">
        <v>0.304</v>
      </c>
      <c r="K264" s="1">
        <v>14880.0</v>
      </c>
      <c r="L264" s="1">
        <v>0.465</v>
      </c>
    </row>
    <row r="265" ht="12.75" customHeight="1">
      <c r="E265" s="1">
        <v>14940.0</v>
      </c>
      <c r="F265" s="1">
        <v>0.127</v>
      </c>
      <c r="G265" s="1">
        <v>14940.0</v>
      </c>
      <c r="H265" s="1">
        <v>0.249</v>
      </c>
      <c r="I265" s="1">
        <v>14940.0</v>
      </c>
      <c r="J265" s="1">
        <v>0.305</v>
      </c>
      <c r="K265" s="1">
        <v>14940.0</v>
      </c>
      <c r="L265" s="1">
        <v>0.465</v>
      </c>
    </row>
    <row r="266" ht="12.75" customHeight="1">
      <c r="E266" s="1">
        <v>15000.0</v>
      </c>
      <c r="F266" s="1">
        <v>0.127</v>
      </c>
      <c r="G266" s="1">
        <v>15000.0</v>
      </c>
      <c r="H266" s="1">
        <v>0.25</v>
      </c>
      <c r="I266" s="1">
        <v>15000.0</v>
      </c>
      <c r="J266" s="1">
        <v>0.307</v>
      </c>
      <c r="K266" s="1">
        <v>15000.0</v>
      </c>
      <c r="L266" s="1">
        <v>0.467</v>
      </c>
    </row>
    <row r="267" ht="12.75" customHeight="1">
      <c r="E267" s="1">
        <v>15060.0</v>
      </c>
      <c r="F267" s="1">
        <v>0.127</v>
      </c>
      <c r="G267" s="1">
        <v>15060.0</v>
      </c>
      <c r="H267" s="1">
        <v>0.25</v>
      </c>
      <c r="I267" s="1">
        <v>15060.0</v>
      </c>
      <c r="J267" s="1">
        <v>0.307</v>
      </c>
      <c r="K267" s="1">
        <v>15060.0</v>
      </c>
      <c r="L267" s="1">
        <v>0.468</v>
      </c>
    </row>
    <row r="268" ht="12.75" customHeight="1">
      <c r="E268" s="1">
        <v>15120.0</v>
      </c>
      <c r="F268" s="1">
        <v>0.128</v>
      </c>
      <c r="G268" s="1">
        <v>15120.0</v>
      </c>
      <c r="H268" s="1">
        <v>0.251</v>
      </c>
      <c r="I268" s="1">
        <v>15120.0</v>
      </c>
      <c r="J268" s="1">
        <v>0.308</v>
      </c>
      <c r="K268" s="1">
        <v>15120.0</v>
      </c>
      <c r="L268" s="1">
        <v>0.469</v>
      </c>
    </row>
    <row r="269" ht="12.75" customHeight="1">
      <c r="E269" s="1">
        <v>15180.0</v>
      </c>
      <c r="F269" s="1">
        <v>0.128</v>
      </c>
      <c r="G269" s="1">
        <v>15180.0</v>
      </c>
      <c r="H269" s="1">
        <v>0.252</v>
      </c>
      <c r="I269" s="1">
        <v>15180.0</v>
      </c>
      <c r="J269" s="1">
        <v>0.309</v>
      </c>
      <c r="K269" s="1">
        <v>15180.0</v>
      </c>
      <c r="L269" s="1">
        <v>0.47</v>
      </c>
    </row>
    <row r="270" ht="12.75" customHeight="1">
      <c r="E270" s="1">
        <v>15240.0</v>
      </c>
      <c r="F270" s="1">
        <v>0.129</v>
      </c>
      <c r="G270" s="1">
        <v>15240.0</v>
      </c>
      <c r="H270" s="1">
        <v>0.252</v>
      </c>
      <c r="I270" s="1">
        <v>15240.0</v>
      </c>
      <c r="J270" s="1">
        <v>0.31</v>
      </c>
      <c r="K270" s="1">
        <v>15240.0</v>
      </c>
      <c r="L270" s="1">
        <v>0.471</v>
      </c>
    </row>
    <row r="271" ht="12.75" customHeight="1">
      <c r="E271" s="1">
        <v>15300.0</v>
      </c>
      <c r="F271" s="1">
        <v>0.129</v>
      </c>
      <c r="G271" s="1">
        <v>15300.0</v>
      </c>
      <c r="H271" s="1">
        <v>0.253</v>
      </c>
      <c r="I271" s="1">
        <v>15300.0</v>
      </c>
      <c r="J271" s="1">
        <v>0.312</v>
      </c>
      <c r="K271" s="1">
        <v>15300.0</v>
      </c>
      <c r="L271" s="1">
        <v>0.473</v>
      </c>
    </row>
    <row r="272" ht="12.75" customHeight="1">
      <c r="E272" s="1">
        <v>15360.0</v>
      </c>
      <c r="F272" s="1">
        <v>0.129</v>
      </c>
      <c r="G272" s="1">
        <v>15360.0</v>
      </c>
      <c r="H272" s="1">
        <v>0.254</v>
      </c>
      <c r="I272" s="1">
        <v>15360.0</v>
      </c>
      <c r="J272" s="1">
        <v>0.312</v>
      </c>
      <c r="K272" s="1">
        <v>15360.0</v>
      </c>
      <c r="L272" s="1">
        <v>0.474</v>
      </c>
    </row>
    <row r="273" ht="12.75" customHeight="1">
      <c r="E273" s="1">
        <v>15420.0</v>
      </c>
      <c r="F273" s="1">
        <v>0.13</v>
      </c>
      <c r="G273" s="1">
        <v>15420.0</v>
      </c>
      <c r="H273" s="1">
        <v>0.255</v>
      </c>
      <c r="I273" s="1">
        <v>15420.0</v>
      </c>
      <c r="J273" s="1">
        <v>0.313</v>
      </c>
      <c r="K273" s="1">
        <v>15420.0</v>
      </c>
      <c r="L273" s="1">
        <v>0.474</v>
      </c>
    </row>
    <row r="274" ht="12.75" customHeight="1">
      <c r="E274" s="1">
        <v>15480.0</v>
      </c>
      <c r="F274" s="1">
        <v>0.13</v>
      </c>
      <c r="G274" s="1">
        <v>15480.0</v>
      </c>
      <c r="H274" s="1">
        <v>0.256</v>
      </c>
      <c r="I274" s="1">
        <v>15480.0</v>
      </c>
      <c r="J274" s="1">
        <v>0.314</v>
      </c>
      <c r="K274" s="1">
        <v>15480.0</v>
      </c>
      <c r="L274" s="1">
        <v>0.476</v>
      </c>
    </row>
    <row r="275" ht="12.75" customHeight="1">
      <c r="E275" s="1">
        <v>15540.0</v>
      </c>
      <c r="F275" s="1">
        <v>0.131</v>
      </c>
      <c r="G275" s="1">
        <v>15540.0</v>
      </c>
      <c r="H275" s="1">
        <v>0.256</v>
      </c>
      <c r="I275" s="1">
        <v>15540.0</v>
      </c>
      <c r="J275" s="1">
        <v>0.315</v>
      </c>
      <c r="K275" s="1">
        <v>15540.0</v>
      </c>
      <c r="L275" s="1">
        <v>0.477</v>
      </c>
    </row>
    <row r="276" ht="12.75" customHeight="1">
      <c r="E276" s="1">
        <v>15600.0</v>
      </c>
      <c r="F276" s="1">
        <v>0.131</v>
      </c>
      <c r="G276" s="1">
        <v>15600.0</v>
      </c>
      <c r="H276" s="1">
        <v>0.257</v>
      </c>
      <c r="I276" s="1">
        <v>15600.0</v>
      </c>
      <c r="J276" s="1">
        <v>0.316</v>
      </c>
      <c r="K276" s="1">
        <v>15600.0</v>
      </c>
      <c r="L276" s="1">
        <v>0.478</v>
      </c>
    </row>
    <row r="277" ht="12.75" customHeight="1">
      <c r="E277" s="1">
        <v>15660.0</v>
      </c>
      <c r="F277" s="1">
        <v>0.131</v>
      </c>
      <c r="G277" s="1">
        <v>15660.0</v>
      </c>
      <c r="H277" s="1">
        <v>0.258</v>
      </c>
      <c r="I277" s="1">
        <v>15660.0</v>
      </c>
      <c r="J277" s="1">
        <v>0.316</v>
      </c>
      <c r="K277" s="1">
        <v>15660.0</v>
      </c>
      <c r="L277" s="1">
        <v>0.479</v>
      </c>
    </row>
    <row r="278" ht="12.75" customHeight="1">
      <c r="E278" s="1">
        <v>15720.0</v>
      </c>
      <c r="F278" s="1">
        <v>0.132</v>
      </c>
      <c r="G278" s="1">
        <v>15720.0</v>
      </c>
      <c r="H278" s="1">
        <v>0.258</v>
      </c>
      <c r="I278" s="1">
        <v>15720.0</v>
      </c>
      <c r="J278" s="1">
        <v>0.318</v>
      </c>
      <c r="K278" s="1">
        <v>15720.0</v>
      </c>
      <c r="L278" s="1">
        <v>0.48</v>
      </c>
    </row>
    <row r="279" ht="12.75" customHeight="1">
      <c r="E279" s="1">
        <v>15780.0</v>
      </c>
      <c r="F279" s="1">
        <v>0.132</v>
      </c>
      <c r="G279" s="1">
        <v>15780.0</v>
      </c>
      <c r="H279" s="1">
        <v>0.259</v>
      </c>
      <c r="I279" s="1">
        <v>15780.0</v>
      </c>
      <c r="J279" s="1">
        <v>0.318</v>
      </c>
      <c r="K279" s="1">
        <v>15780.0</v>
      </c>
      <c r="L279" s="1">
        <v>0.481</v>
      </c>
    </row>
    <row r="280" ht="12.75" customHeight="1">
      <c r="E280" s="1">
        <v>15840.0</v>
      </c>
      <c r="F280" s="1">
        <v>0.133</v>
      </c>
      <c r="G280" s="1">
        <v>15840.0</v>
      </c>
      <c r="H280" s="1">
        <v>0.259</v>
      </c>
      <c r="I280" s="1">
        <v>15840.0</v>
      </c>
      <c r="J280" s="1">
        <v>0.32</v>
      </c>
      <c r="K280" s="1">
        <v>15840.0</v>
      </c>
      <c r="L280" s="1">
        <v>0.483</v>
      </c>
    </row>
    <row r="281" ht="12.75" customHeight="1">
      <c r="E281" s="1">
        <v>15900.0</v>
      </c>
      <c r="F281" s="1">
        <v>0.133</v>
      </c>
      <c r="G281" s="1">
        <v>15900.0</v>
      </c>
      <c r="H281" s="1">
        <v>0.26</v>
      </c>
      <c r="I281" s="1">
        <v>15900.0</v>
      </c>
      <c r="J281" s="1">
        <v>0.32</v>
      </c>
      <c r="K281" s="1">
        <v>15900.0</v>
      </c>
      <c r="L281" s="1">
        <v>0.483</v>
      </c>
    </row>
    <row r="282" ht="12.75" customHeight="1">
      <c r="E282" s="1">
        <v>15960.0</v>
      </c>
      <c r="F282" s="1">
        <v>0.134</v>
      </c>
      <c r="G282" s="1">
        <v>15960.0</v>
      </c>
      <c r="H282" s="1">
        <v>0.261</v>
      </c>
      <c r="I282" s="1">
        <v>15960.0</v>
      </c>
      <c r="J282" s="1">
        <v>0.322</v>
      </c>
      <c r="K282" s="1">
        <v>15960.0</v>
      </c>
      <c r="L282" s="1">
        <v>0.485</v>
      </c>
    </row>
    <row r="283" ht="12.75" customHeight="1">
      <c r="E283" s="1">
        <v>16020.0</v>
      </c>
      <c r="F283" s="1">
        <v>0.133</v>
      </c>
      <c r="G283" s="1">
        <v>16020.0</v>
      </c>
      <c r="H283" s="1">
        <v>0.262</v>
      </c>
      <c r="I283" s="1">
        <v>16020.0</v>
      </c>
      <c r="J283" s="1">
        <v>0.322</v>
      </c>
      <c r="K283" s="1">
        <v>16020.0</v>
      </c>
      <c r="L283" s="1">
        <v>0.486</v>
      </c>
    </row>
    <row r="284" ht="12.75" customHeight="1">
      <c r="E284" s="1">
        <v>16080.0</v>
      </c>
      <c r="F284" s="1">
        <v>0.134</v>
      </c>
      <c r="G284" s="1">
        <v>16080.0</v>
      </c>
      <c r="H284" s="1">
        <v>0.262</v>
      </c>
      <c r="I284" s="1">
        <v>16080.0</v>
      </c>
      <c r="J284" s="1">
        <v>0.323</v>
      </c>
      <c r="K284" s="1">
        <v>16080.0</v>
      </c>
      <c r="L284" s="1">
        <v>0.486</v>
      </c>
    </row>
    <row r="285" ht="12.75" customHeight="1">
      <c r="E285" s="1">
        <v>16140.0</v>
      </c>
      <c r="F285" s="1">
        <v>0.134</v>
      </c>
      <c r="G285" s="1">
        <v>16140.0</v>
      </c>
      <c r="H285" s="1">
        <v>0.263</v>
      </c>
      <c r="I285" s="1">
        <v>16140.0</v>
      </c>
      <c r="J285" s="1">
        <v>0.324</v>
      </c>
      <c r="K285" s="1">
        <v>16140.0</v>
      </c>
      <c r="L285" s="1">
        <v>0.488</v>
      </c>
    </row>
    <row r="286" ht="12.75" customHeight="1">
      <c r="E286" s="1">
        <v>16200.0</v>
      </c>
      <c r="F286" s="1">
        <v>0.135</v>
      </c>
      <c r="G286" s="1">
        <v>16200.0</v>
      </c>
      <c r="H286" s="1">
        <v>0.264</v>
      </c>
      <c r="I286" s="1">
        <v>16200.0</v>
      </c>
      <c r="J286" s="1">
        <v>0.325</v>
      </c>
      <c r="K286" s="1">
        <v>16200.0</v>
      </c>
      <c r="L286" s="1">
        <v>0.489</v>
      </c>
    </row>
    <row r="287" ht="12.75" customHeight="1">
      <c r="E287" s="1">
        <v>16260.0</v>
      </c>
      <c r="F287" s="1">
        <v>0.135</v>
      </c>
      <c r="G287" s="1">
        <v>16260.0</v>
      </c>
      <c r="H287" s="1">
        <v>0.264</v>
      </c>
      <c r="I287" s="1">
        <v>16260.0</v>
      </c>
      <c r="J287" s="1">
        <v>0.326</v>
      </c>
      <c r="K287" s="1">
        <v>16260.0</v>
      </c>
      <c r="L287" s="1">
        <v>0.489</v>
      </c>
    </row>
    <row r="288" ht="12.75" customHeight="1">
      <c r="E288" s="1">
        <v>16320.0</v>
      </c>
      <c r="F288" s="1">
        <v>0.135</v>
      </c>
      <c r="G288" s="1">
        <v>16320.0</v>
      </c>
      <c r="H288" s="1">
        <v>0.265</v>
      </c>
      <c r="I288" s="1">
        <v>16320.0</v>
      </c>
      <c r="J288" s="1">
        <v>0.327</v>
      </c>
      <c r="K288" s="1">
        <v>16320.0</v>
      </c>
      <c r="L288" s="1">
        <v>0.491</v>
      </c>
    </row>
    <row r="289" ht="12.75" customHeight="1">
      <c r="E289" s="1">
        <v>16380.0</v>
      </c>
      <c r="F289" s="1">
        <v>0.136</v>
      </c>
      <c r="G289" s="1">
        <v>16380.0</v>
      </c>
      <c r="H289" s="1">
        <v>0.266</v>
      </c>
      <c r="I289" s="1">
        <v>16380.0</v>
      </c>
      <c r="J289" s="1">
        <v>0.327</v>
      </c>
      <c r="K289" s="1">
        <v>16380.0</v>
      </c>
      <c r="L289" s="1">
        <v>0.492</v>
      </c>
    </row>
    <row r="290" ht="12.75" customHeight="1">
      <c r="E290" s="1">
        <v>16440.0</v>
      </c>
      <c r="F290" s="1">
        <v>0.136</v>
      </c>
      <c r="G290" s="1">
        <v>16440.0</v>
      </c>
      <c r="H290" s="1">
        <v>0.266</v>
      </c>
      <c r="I290" s="1">
        <v>16440.0</v>
      </c>
      <c r="J290" s="1">
        <v>0.328</v>
      </c>
      <c r="K290" s="1">
        <v>16440.0</v>
      </c>
      <c r="L290" s="1">
        <v>0.493</v>
      </c>
    </row>
    <row r="291" ht="12.75" customHeight="1">
      <c r="E291" s="1">
        <v>16500.0</v>
      </c>
      <c r="F291" s="1">
        <v>0.137</v>
      </c>
      <c r="G291" s="1">
        <v>16500.0</v>
      </c>
      <c r="H291" s="1">
        <v>0.267</v>
      </c>
      <c r="I291" s="1">
        <v>16500.0</v>
      </c>
      <c r="J291" s="1">
        <v>0.329</v>
      </c>
      <c r="K291" s="1">
        <v>16500.0</v>
      </c>
      <c r="L291" s="1">
        <v>0.494</v>
      </c>
    </row>
    <row r="292" ht="12.75" customHeight="1">
      <c r="E292" s="1">
        <v>16560.0</v>
      </c>
      <c r="F292" s="1">
        <v>0.137</v>
      </c>
      <c r="G292" s="1">
        <v>16560.0</v>
      </c>
      <c r="H292" s="1">
        <v>0.267</v>
      </c>
      <c r="I292" s="1">
        <v>16560.0</v>
      </c>
      <c r="J292" s="1">
        <v>0.33</v>
      </c>
      <c r="K292" s="1">
        <v>16560.0</v>
      </c>
      <c r="L292" s="1">
        <v>0.495</v>
      </c>
    </row>
    <row r="293" ht="12.75" customHeight="1">
      <c r="E293" s="1">
        <v>16620.0</v>
      </c>
      <c r="F293" s="1">
        <v>0.137</v>
      </c>
      <c r="G293" s="1">
        <v>16620.0</v>
      </c>
      <c r="H293" s="1">
        <v>0.268</v>
      </c>
      <c r="I293" s="1">
        <v>16620.0</v>
      </c>
      <c r="J293" s="1">
        <v>0.331</v>
      </c>
      <c r="K293" s="1">
        <v>16620.0</v>
      </c>
      <c r="L293" s="1">
        <v>0.495</v>
      </c>
    </row>
    <row r="294" ht="12.75" customHeight="1">
      <c r="E294" s="1">
        <v>16680.0</v>
      </c>
      <c r="F294" s="1">
        <v>0.137</v>
      </c>
      <c r="G294" s="1">
        <v>16680.0</v>
      </c>
      <c r="H294" s="1">
        <v>0.269</v>
      </c>
      <c r="I294" s="1">
        <v>16680.0</v>
      </c>
      <c r="J294" s="1">
        <v>0.332</v>
      </c>
      <c r="K294" s="1">
        <v>16680.0</v>
      </c>
      <c r="L294" s="1">
        <v>0.497</v>
      </c>
    </row>
    <row r="295" ht="12.75" customHeight="1">
      <c r="E295" s="1">
        <v>16740.0</v>
      </c>
      <c r="F295" s="1">
        <v>0.138</v>
      </c>
      <c r="G295" s="1">
        <v>16740.0</v>
      </c>
      <c r="H295" s="1">
        <v>0.269</v>
      </c>
      <c r="I295" s="1">
        <v>16740.0</v>
      </c>
      <c r="J295" s="1">
        <v>0.333</v>
      </c>
      <c r="K295" s="1">
        <v>16740.0</v>
      </c>
      <c r="L295" s="1">
        <v>0.498</v>
      </c>
    </row>
    <row r="296" ht="12.75" customHeight="1">
      <c r="E296" s="1">
        <v>16800.0</v>
      </c>
      <c r="F296" s="1">
        <v>0.138</v>
      </c>
      <c r="G296" s="1">
        <v>16800.0</v>
      </c>
      <c r="H296" s="1">
        <v>0.27</v>
      </c>
      <c r="I296" s="1">
        <v>16800.0</v>
      </c>
      <c r="J296" s="1">
        <v>0.334</v>
      </c>
      <c r="K296" s="1">
        <v>16800.0</v>
      </c>
      <c r="L296" s="1">
        <v>0.498</v>
      </c>
    </row>
    <row r="297" ht="12.75" customHeight="1">
      <c r="E297" s="1">
        <v>16860.0</v>
      </c>
      <c r="F297" s="1">
        <v>0.138</v>
      </c>
      <c r="G297" s="1">
        <v>16860.0</v>
      </c>
      <c r="H297" s="1">
        <v>0.27</v>
      </c>
      <c r="I297" s="1">
        <v>16860.0</v>
      </c>
      <c r="J297" s="1">
        <v>0.335</v>
      </c>
      <c r="K297" s="1">
        <v>16860.0</v>
      </c>
      <c r="L297" s="1">
        <v>0.499</v>
      </c>
    </row>
    <row r="298" ht="12.75" customHeight="1">
      <c r="E298" s="1">
        <v>16920.0</v>
      </c>
      <c r="F298" s="1">
        <v>0.139</v>
      </c>
      <c r="G298" s="1">
        <v>16920.0</v>
      </c>
      <c r="H298" s="1">
        <v>0.272</v>
      </c>
      <c r="I298" s="1">
        <v>16920.0</v>
      </c>
      <c r="J298" s="1">
        <v>0.335</v>
      </c>
      <c r="K298" s="1">
        <v>16920.0</v>
      </c>
      <c r="L298" s="1">
        <v>0.5</v>
      </c>
    </row>
    <row r="299" ht="12.75" customHeight="1">
      <c r="E299" s="1">
        <v>16980.0</v>
      </c>
      <c r="F299" s="1">
        <v>0.139</v>
      </c>
      <c r="G299" s="1">
        <v>16980.0</v>
      </c>
      <c r="H299" s="1">
        <v>0.271</v>
      </c>
      <c r="I299" s="1">
        <v>16980.0</v>
      </c>
      <c r="J299" s="1">
        <v>0.336</v>
      </c>
      <c r="K299" s="1">
        <v>16980.0</v>
      </c>
      <c r="L299" s="1">
        <v>0.502</v>
      </c>
    </row>
    <row r="300" ht="12.75" customHeight="1">
      <c r="E300" s="1">
        <v>17040.0</v>
      </c>
      <c r="F300" s="1">
        <v>0.139</v>
      </c>
      <c r="G300" s="1">
        <v>17040.0</v>
      </c>
      <c r="H300" s="1">
        <v>0.272</v>
      </c>
      <c r="I300" s="1">
        <v>17040.0</v>
      </c>
      <c r="J300" s="1">
        <v>0.337</v>
      </c>
      <c r="K300" s="1">
        <v>17040.0</v>
      </c>
      <c r="L300" s="1">
        <v>0.502</v>
      </c>
    </row>
    <row r="301" ht="12.75" customHeight="1">
      <c r="E301" s="1">
        <v>17100.0</v>
      </c>
      <c r="F301" s="1">
        <v>0.14</v>
      </c>
      <c r="G301" s="1">
        <v>17100.0</v>
      </c>
      <c r="H301" s="1">
        <v>0.273</v>
      </c>
      <c r="I301" s="1">
        <v>17100.0</v>
      </c>
      <c r="J301" s="1">
        <v>0.338</v>
      </c>
      <c r="K301" s="1">
        <v>17100.0</v>
      </c>
      <c r="L301" s="1">
        <v>0.503</v>
      </c>
    </row>
    <row r="302" ht="12.75" customHeight="1">
      <c r="E302" s="1">
        <v>17160.0</v>
      </c>
      <c r="F302" s="1">
        <v>0.14</v>
      </c>
      <c r="G302" s="1">
        <v>17160.0</v>
      </c>
      <c r="H302" s="1">
        <v>0.273</v>
      </c>
      <c r="I302" s="1">
        <v>17160.0</v>
      </c>
      <c r="J302" s="1">
        <v>0.338</v>
      </c>
      <c r="K302" s="1">
        <v>17160.0</v>
      </c>
      <c r="L302" s="1">
        <v>0.504</v>
      </c>
    </row>
    <row r="303" ht="12.75" customHeight="1">
      <c r="E303" s="1">
        <v>17220.0</v>
      </c>
      <c r="F303" s="1">
        <v>0.14</v>
      </c>
      <c r="G303" s="1">
        <v>17220.0</v>
      </c>
      <c r="H303" s="1">
        <v>0.275</v>
      </c>
      <c r="I303" s="1">
        <v>17220.0</v>
      </c>
      <c r="J303" s="1">
        <v>0.339</v>
      </c>
      <c r="K303" s="1">
        <v>17220.0</v>
      </c>
      <c r="L303" s="1">
        <v>0.505</v>
      </c>
    </row>
    <row r="304" ht="12.75" customHeight="1">
      <c r="E304" s="1">
        <v>17280.0</v>
      </c>
      <c r="F304" s="1">
        <v>0.141</v>
      </c>
      <c r="G304" s="1">
        <v>17280.0</v>
      </c>
      <c r="H304" s="1">
        <v>0.275</v>
      </c>
      <c r="I304" s="1">
        <v>17280.0</v>
      </c>
      <c r="J304" s="1">
        <v>0.34</v>
      </c>
      <c r="K304" s="1">
        <v>17280.0</v>
      </c>
      <c r="L304" s="1">
        <v>0.506</v>
      </c>
    </row>
    <row r="305" ht="12.75" customHeight="1">
      <c r="E305" s="1">
        <v>17340.0</v>
      </c>
      <c r="F305" s="1">
        <v>0.141</v>
      </c>
      <c r="G305" s="1">
        <v>17340.0</v>
      </c>
      <c r="H305" s="1">
        <v>0.275</v>
      </c>
      <c r="I305" s="1">
        <v>17340.0</v>
      </c>
      <c r="J305" s="1">
        <v>0.34</v>
      </c>
      <c r="K305" s="1">
        <v>17340.0</v>
      </c>
      <c r="L305" s="1">
        <v>0.507</v>
      </c>
    </row>
    <row r="306" ht="12.75" customHeight="1">
      <c r="E306" s="1">
        <v>17400.0</v>
      </c>
      <c r="F306" s="1">
        <v>0.141</v>
      </c>
      <c r="G306" s="1">
        <v>17400.0</v>
      </c>
      <c r="H306" s="1">
        <v>0.276</v>
      </c>
      <c r="I306" s="1">
        <v>17400.0</v>
      </c>
      <c r="J306" s="1">
        <v>0.342</v>
      </c>
      <c r="K306" s="1">
        <v>17400.0</v>
      </c>
      <c r="L306" s="1">
        <v>0.508</v>
      </c>
    </row>
    <row r="307" ht="12.75" customHeight="1">
      <c r="E307" s="1">
        <v>17460.0</v>
      </c>
      <c r="F307" s="1">
        <v>0.142</v>
      </c>
      <c r="G307" s="1">
        <v>17460.0</v>
      </c>
      <c r="H307" s="1">
        <v>0.277</v>
      </c>
      <c r="I307" s="1">
        <v>17460.0</v>
      </c>
      <c r="J307" s="1">
        <v>0.342</v>
      </c>
      <c r="K307" s="1">
        <v>17460.0</v>
      </c>
      <c r="L307" s="1">
        <v>0.508</v>
      </c>
    </row>
    <row r="308" ht="12.75" customHeight="1">
      <c r="E308" s="1">
        <v>17520.0</v>
      </c>
      <c r="F308" s="1">
        <v>0.142</v>
      </c>
      <c r="G308" s="1">
        <v>17520.0</v>
      </c>
      <c r="H308" s="1">
        <v>0.278</v>
      </c>
      <c r="I308" s="1">
        <v>17520.0</v>
      </c>
      <c r="J308" s="1">
        <v>0.343</v>
      </c>
      <c r="K308" s="1">
        <v>17520.0</v>
      </c>
      <c r="L308" s="1">
        <v>0.51</v>
      </c>
    </row>
    <row r="309" ht="12.75" customHeight="1">
      <c r="E309" s="1">
        <v>17580.0</v>
      </c>
      <c r="F309" s="1">
        <v>0.142</v>
      </c>
      <c r="G309" s="1">
        <v>17580.0</v>
      </c>
      <c r="H309" s="1">
        <v>0.278</v>
      </c>
      <c r="I309" s="1">
        <v>17580.0</v>
      </c>
      <c r="J309" s="1">
        <v>0.344</v>
      </c>
      <c r="K309" s="1">
        <v>17580.0</v>
      </c>
      <c r="L309" s="1">
        <v>0.511</v>
      </c>
    </row>
    <row r="310" ht="12.75" customHeight="1">
      <c r="E310" s="1">
        <v>17640.0</v>
      </c>
      <c r="F310" s="1">
        <v>0.143</v>
      </c>
      <c r="G310" s="1">
        <v>17640.0</v>
      </c>
      <c r="H310" s="1">
        <v>0.278</v>
      </c>
      <c r="I310" s="1">
        <v>17640.0</v>
      </c>
      <c r="J310" s="1">
        <v>0.344</v>
      </c>
      <c r="K310" s="1">
        <v>17640.0</v>
      </c>
      <c r="L310" s="1">
        <v>0.512</v>
      </c>
    </row>
    <row r="311" ht="12.75" customHeight="1">
      <c r="E311" s="1">
        <v>17700.0</v>
      </c>
      <c r="F311" s="1">
        <v>0.143</v>
      </c>
      <c r="G311" s="1">
        <v>17700.0</v>
      </c>
      <c r="H311" s="1">
        <v>0.279</v>
      </c>
      <c r="I311" s="1">
        <v>17700.0</v>
      </c>
      <c r="J311" s="1">
        <v>0.345</v>
      </c>
      <c r="K311" s="1">
        <v>17700.0</v>
      </c>
      <c r="L311" s="1">
        <v>0.513</v>
      </c>
    </row>
    <row r="312" ht="12.75" customHeight="1">
      <c r="E312" s="1">
        <v>17760.0</v>
      </c>
      <c r="F312" s="1">
        <v>0.143</v>
      </c>
      <c r="G312" s="1">
        <v>17760.0</v>
      </c>
      <c r="H312" s="1">
        <v>0.279</v>
      </c>
      <c r="I312" s="1">
        <v>17760.0</v>
      </c>
      <c r="J312" s="1">
        <v>0.346</v>
      </c>
      <c r="K312" s="1">
        <v>17760.0</v>
      </c>
      <c r="L312" s="1">
        <v>0.514</v>
      </c>
    </row>
    <row r="313" ht="12.75" customHeight="1">
      <c r="E313" s="1">
        <v>17820.0</v>
      </c>
      <c r="F313" s="1">
        <v>0.144</v>
      </c>
      <c r="G313" s="1">
        <v>17820.0</v>
      </c>
      <c r="H313" s="1">
        <v>0.28</v>
      </c>
      <c r="I313" s="1">
        <v>17820.0</v>
      </c>
      <c r="J313" s="1">
        <v>0.347</v>
      </c>
      <c r="K313" s="1">
        <v>17820.0</v>
      </c>
      <c r="L313" s="1">
        <v>0.514</v>
      </c>
    </row>
    <row r="314" ht="12.75" customHeight="1">
      <c r="E314" s="1">
        <v>17880.0</v>
      </c>
      <c r="F314" s="1">
        <v>0.144</v>
      </c>
      <c r="G314" s="1">
        <v>17880.0</v>
      </c>
      <c r="H314" s="1">
        <v>0.28</v>
      </c>
      <c r="I314" s="1">
        <v>17880.0</v>
      </c>
      <c r="J314" s="1">
        <v>0.348</v>
      </c>
      <c r="K314" s="1">
        <v>17880.0</v>
      </c>
      <c r="L314" s="1">
        <v>0.515</v>
      </c>
    </row>
    <row r="315" ht="12.75" customHeight="1">
      <c r="E315" s="1">
        <v>17940.0</v>
      </c>
      <c r="F315" s="1">
        <v>0.144</v>
      </c>
      <c r="G315" s="1">
        <v>17940.0</v>
      </c>
      <c r="H315" s="1">
        <v>0.281</v>
      </c>
      <c r="I315" s="1">
        <v>17940.0</v>
      </c>
      <c r="J315" s="1">
        <v>0.348</v>
      </c>
      <c r="K315" s="1">
        <v>17940.0</v>
      </c>
      <c r="L315" s="1">
        <v>0.517</v>
      </c>
    </row>
    <row r="316" ht="12.75" customHeight="1">
      <c r="E316" s="1">
        <v>18000.0</v>
      </c>
      <c r="F316" s="1">
        <v>0.144</v>
      </c>
      <c r="G316" s="1">
        <v>18000.0</v>
      </c>
      <c r="H316" s="1">
        <v>0.282</v>
      </c>
      <c r="I316" s="1">
        <v>18000.0</v>
      </c>
      <c r="J316" s="1">
        <v>0.349</v>
      </c>
      <c r="K316" s="1">
        <v>18000.0</v>
      </c>
      <c r="L316" s="1">
        <v>0.517</v>
      </c>
    </row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