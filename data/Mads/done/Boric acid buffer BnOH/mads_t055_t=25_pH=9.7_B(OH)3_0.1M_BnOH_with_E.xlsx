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anes" sheetId="1" state="visible" r:id="rId2"/>
    <sheet name="Sheet1" sheetId="2" state="visible" r:id="rId3"/>
    <sheet name="Sheet2" sheetId="3" state="visible" r:id="rId4"/>
    <sheet name="Sheet3" sheetId="4" state="visible" r:id="rId5"/>
  </sheets>
  <definedNames>
    <definedName function="false" hidden="false" localSheetId="2" name="data55" vbProcedure="false">Sheet2!$E$6:$L$319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<sst xmlns="http://schemas.openxmlformats.org/spreadsheetml/2006/main" count="172" uniqueCount="113">
  <si>
    <t xml:space="preserve">SUMMARY OUTPUT</t>
  </si>
  <si>
    <t xml:space="preserve">Regression Statistics</t>
  </si>
  <si>
    <t xml:space="preserve">Multiple R</t>
  </si>
  <si>
    <t xml:space="preserve">R Square</t>
  </si>
  <si>
    <t xml:space="preserve">Adjusted R Square</t>
  </si>
  <si>
    <t xml:space="preserve">Standard Error</t>
  </si>
  <si>
    <t xml:space="preserve">Observations</t>
  </si>
  <si>
    <t xml:space="preserve">ANOVA</t>
  </si>
  <si>
    <t xml:space="preserve">df</t>
  </si>
  <si>
    <t xml:space="preserve">SS</t>
  </si>
  <si>
    <t xml:space="preserve">MS</t>
  </si>
  <si>
    <t xml:space="preserve">F</t>
  </si>
  <si>
    <t xml:space="preserve">Significance F</t>
  </si>
  <si>
    <t xml:space="preserve">Regression</t>
  </si>
  <si>
    <t xml:space="preserve">Residual</t>
  </si>
  <si>
    <t xml:space="preserve">Total</t>
  </si>
  <si>
    <t xml:space="preserve">Coefficients</t>
  </si>
  <si>
    <t xml:space="preserve">t Stat</t>
  </si>
  <si>
    <t xml:space="preserve">P-value</t>
  </si>
  <si>
    <t xml:space="preserve">Lower 95%</t>
  </si>
  <si>
    <t xml:space="preserve">Upper 95%</t>
  </si>
  <si>
    <t xml:space="preserve">Lower 95.0%</t>
  </si>
  <si>
    <t xml:space="preserve">Upper 95.0%</t>
  </si>
  <si>
    <t xml:space="preserve">Intercept</t>
  </si>
  <si>
    <t xml:space="preserve">X Variable 1</t>
  </si>
  <si>
    <t xml:space="preserve">RESIDUAL OUTPUT</t>
  </si>
  <si>
    <t xml:space="preserve">PROBABILITY OUTPUT</t>
  </si>
  <si>
    <t xml:space="preserve">Observation</t>
  </si>
  <si>
    <t xml:space="preserve">Predicted Y</t>
  </si>
  <si>
    <t xml:space="preserve">Residuals</t>
  </si>
  <si>
    <t xml:space="preserve">Standard Residuals</t>
  </si>
  <si>
    <t xml:space="preserve">Percentile</t>
  </si>
  <si>
    <t xml:space="preserve">Y</t>
  </si>
  <si>
    <t xml:space="preserve">nm</t>
  </si>
  <si>
    <t xml:space="preserve">e</t>
  </si>
  <si>
    <t xml:space="preserve">benzylalkohol</t>
  </si>
  <si>
    <t xml:space="preserve">Enz</t>
  </si>
  <si>
    <t xml:space="preserve">H202 30%</t>
  </si>
  <si>
    <t xml:space="preserve">H2O</t>
  </si>
  <si>
    <t xml:space="preserve">a-diesterketon</t>
  </si>
  <si>
    <t xml:space="preserve">ml</t>
  </si>
  <si>
    <t xml:space="preserve">g/mol</t>
  </si>
  <si>
    <t xml:space="preserve">g</t>
  </si>
  <si>
    <t xml:space="preserve">[H2O2]</t>
  </si>
  <si>
    <t xml:space="preserve">l</t>
  </si>
  <si>
    <t xml:space="preserve">mol/l</t>
  </si>
  <si>
    <t xml:space="preserve">mol</t>
  </si>
  <si>
    <t xml:space="preserve">Boric acid buf.</t>
  </si>
  <si>
    <t xml:space="preserve">pH</t>
  </si>
  <si>
    <t xml:space="preserve">mmol/l</t>
  </si>
  <si>
    <t xml:space="preserve">T</t>
  </si>
  <si>
    <t xml:space="preserve">kuv</t>
  </si>
  <si>
    <t xml:space="preserve">[sub]</t>
  </si>
  <si>
    <t xml:space="preserve">[Enz]</t>
  </si>
  <si>
    <t xml:space="preserve">Buf [ml]</t>
  </si>
  <si>
    <t xml:space="preserve">H2O [ml]</t>
  </si>
  <si>
    <t xml:space="preserve">Enz [ml]</t>
  </si>
  <si>
    <t xml:space="preserve">Sub [ml]</t>
  </si>
  <si>
    <t xml:space="preserve">H2O2 [ml]</t>
  </si>
  <si>
    <t xml:space="preserve">Vol [ml]</t>
  </si>
  <si>
    <t xml:space="preserve">Vmax</t>
  </si>
  <si>
    <t xml:space="preserve">U/min</t>
  </si>
  <si>
    <t xml:space="preserve">mM/min</t>
  </si>
  <si>
    <t xml:space="preserve">Km</t>
  </si>
  <si>
    <t xml:space="preserve">mmol/L</t>
  </si>
  <si>
    <t xml:space="preserve">kcat</t>
  </si>
  <si>
    <t xml:space="preserve">min^-1</t>
  </si>
  <si>
    <t xml:space="preserve">s-1</t>
  </si>
  <si>
    <t xml:space="preserve">kuncat</t>
  </si>
  <si>
    <t xml:space="preserve">s^-1</t>
  </si>
  <si>
    <t xml:space="preserve">kcat/uncat</t>
  </si>
  <si>
    <t xml:space="preserve">The cuvetts were washed three times in water and three times in iso-propyl aclohole and dried in the owen for 20 min. </t>
  </si>
  <si>
    <t xml:space="preserve">The buffer was added as 1*1ml plus x*0,2 ml, with x=3,2,1 respectivly.</t>
  </si>
  <si>
    <t xml:space="preserve">The substrate was added as x*0.2 ml, with x=1,2,3,4 respectivly.</t>
  </si>
  <si>
    <t xml:space="preserve">The cuvetts were stired for 10 sec each on the "automatic stirrer" at full speed before they were placed in the spectrometer. </t>
  </si>
  <si>
    <t xml:space="preserve">Kinetics Experiment - 55 best fit 2</t>
  </si>
  <si>
    <t xml:space="preserve">Conc. Units</t>
  </si>
  <si>
    <t xml:space="preserve">Hanes-Woolf</t>
  </si>
  <si>
    <t xml:space="preserve">Raw Data</t>
  </si>
  <si>
    <t xml:space="preserve">Parameters</t>
  </si>
  <si>
    <t xml:space="preserve">[I]=0.000</t>
  </si>
  <si>
    <t xml:space="preserve">Sample</t>
  </si>
  <si>
    <t xml:space="preserve">[S]</t>
  </si>
  <si>
    <t xml:space="preserve">[I]</t>
  </si>
  <si>
    <t xml:space="preserve">V</t>
  </si>
  <si>
    <t xml:space="preserve">Use</t>
  </si>
  <si>
    <t xml:space="preserve">Calculated Values</t>
  </si>
  <si>
    <t xml:space="preserve">Sample001</t>
  </si>
  <si>
    <t xml:space="preserve">No</t>
  </si>
  <si>
    <t xml:space="preserve">VMax</t>
  </si>
  <si>
    <t xml:space="preserve">Sample002</t>
  </si>
  <si>
    <t xml:space="preserve">Yes</t>
  </si>
  <si>
    <t xml:space="preserve">Sample003</t>
  </si>
  <si>
    <t xml:space="preserve">Statistics</t>
  </si>
  <si>
    <t xml:space="preserve">Sample004</t>
  </si>
  <si>
    <t xml:space="preserve">Chi Squared</t>
  </si>
  <si>
    <t xml:space="preserve">Corr.Coeff.</t>
  </si>
  <si>
    <t xml:space="preserve">Batch</t>
  </si>
  <si>
    <t xml:space="preserve">rate055.rre</t>
  </si>
  <si>
    <t xml:space="preserve">Evolution 600</t>
  </si>
  <si>
    <t xml:space="preserve">Data Mode</t>
  </si>
  <si>
    <t xml:space="preserve">A</t>
  </si>
  <si>
    <t xml:space="preserve">Smoothing</t>
  </si>
  <si>
    <t xml:space="preserve">None</t>
  </si>
  <si>
    <t xml:space="preserve">Date Collected</t>
  </si>
  <si>
    <t xml:space="preserve">Time Collected</t>
  </si>
  <si>
    <t xml:space="preserve">9:08:26PM</t>
  </si>
  <si>
    <t xml:space="preserve">9:08:33PM</t>
  </si>
  <si>
    <t xml:space="preserve">9:08:41PM</t>
  </si>
  <si>
    <t xml:space="preserve">9:08:48PM</t>
  </si>
  <si>
    <t xml:space="preserve">Substrate Conc.</t>
  </si>
  <si>
    <t xml:space="preserve">ss.sss</t>
  </si>
  <si>
    <t xml:space="preserve">Value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</si>
</sst>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0.00E+00"/>
    <numFmt numFmtId="167" formatCode="mm/dd/yyyy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2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000000"/>
      <name val="Arial"/>
      <family val="0"/>
      <charset val="1"/>
    </font>
    <font>
      <sz val="10"/>
      <color rgb="FF1A1A1A"/>
      <name val="Calibri"/>
      <family val="2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X Variable 1  Residual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0080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hanes!$C$25:$C$27</c:f>
              <c:numCache>
                <c:formatCode>General</c:formatCode>
                <c:ptCount val="3"/>
                <c:pt idx="0">
                  <c:v>-6083.05662562903</c:v>
                </c:pt>
                <c:pt idx="1">
                  <c:v>10645.349094851</c:v>
                </c:pt>
                <c:pt idx="2">
                  <c:v>-4562.29246922184</c:v>
                </c:pt>
              </c:numCache>
            </c:numRef>
          </c:yVal>
          <c:smooth val="1"/>
        </c:ser>
        <c:axId val="97855605"/>
        <c:axId val="34882402"/>
      </c:scatterChart>
      <c:valAx>
        <c:axId val="978556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X Variable 1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4882402"/>
        <c:crosses val="autoZero"/>
        <c:crossBetween val="midCat"/>
      </c:valAx>
      <c:valAx>
        <c:axId val="3488240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Residuals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7855605"/>
        <c:crosses val="autoZero"/>
        <c:crossBetween val="midCat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X Variable 1 Line Fit 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99838966"/>
        <c:axId val="8899141"/>
      </c:barChart>
      <c:catAx>
        <c:axId val="99838966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8899141"/>
        <c:auto val="1"/>
        <c:lblAlgn val="ctr"/>
        <c:lblOffset val="100"/>
        <c:noMultiLvlLbl val="0"/>
      </c:catAx>
      <c:valAx>
        <c:axId val="8899141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99838966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Normal Probability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0080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hanes!$F$25:$F$27</c:f>
              <c:numCache>
                <c:formatCode>General</c:formatCode>
                <c:ptCount val="3"/>
                <c:pt idx="0">
                  <c:v>16.6666666666667</c:v>
                </c:pt>
                <c:pt idx="1">
                  <c:v>50</c:v>
                </c:pt>
                <c:pt idx="2">
                  <c:v>83.3333333333333</c:v>
                </c:pt>
              </c:numCache>
            </c:numRef>
          </c:xVal>
          <c:yVal>
            <c:numRef>
              <c:f>hanes!$G$25:$G$27</c:f>
              <c:numCache>
                <c:formatCode>General</c:formatCode>
                <c:ptCount val="3"/>
                <c:pt idx="0">
                  <c:v>45792.3755422642</c:v>
                </c:pt>
                <c:pt idx="1">
                  <c:v>113880.884059932</c:v>
                </c:pt>
                <c:pt idx="2">
                  <c:v>167153.379558776</c:v>
                </c:pt>
              </c:numCache>
            </c:numRef>
          </c:yVal>
          <c:smooth val="1"/>
        </c:ser>
        <c:axId val="84542259"/>
        <c:axId val="5888660"/>
      </c:scatterChart>
      <c:valAx>
        <c:axId val="845422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Sample Percentile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888660"/>
        <c:crosses val="autoZero"/>
        <c:crossBetween val="midCat"/>
      </c:valAx>
      <c:valAx>
        <c:axId val="588866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4542259"/>
        <c:crosses val="autoZero"/>
        <c:crossBetween val="midCat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hanes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88896701"/>
        <c:axId val="65524926"/>
      </c:barChart>
      <c:catAx>
        <c:axId val="88896701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65524926"/>
        <c:auto val="1"/>
        <c:lblAlgn val="ctr"/>
        <c:lblOffset val="100"/>
        <c:noMultiLvlLbl val="0"/>
      </c:catAx>
      <c:valAx>
        <c:axId val="65524926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88896701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bbb59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9bbb59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>
                    <a:alpha val="70000"/>
                  </a:srgbClr>
                </a:solidFill>
                <a:round/>
              </a:ln>
            </c:spPr>
            <c:trendlineType val="exp"/>
            <c:forward val="0"/>
            <c:backward val="0"/>
            <c:dispRSqr val="0"/>
            <c:dispEq val="1"/>
          </c:trendline>
          <c:xVal>
            <c:numRef>
              <c:f>Sheet2!$K$16:$K$316</c:f>
              <c:numCache>
                <c:formatCode>General</c:formatCode>
                <c:ptCount val="30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  <c:pt idx="21">
                  <c:v>1260</c:v>
                </c:pt>
                <c:pt idx="22">
                  <c:v>1320</c:v>
                </c:pt>
                <c:pt idx="23">
                  <c:v>1380</c:v>
                </c:pt>
                <c:pt idx="24">
                  <c:v>1440</c:v>
                </c:pt>
                <c:pt idx="25">
                  <c:v>1500</c:v>
                </c:pt>
                <c:pt idx="26">
                  <c:v>1560</c:v>
                </c:pt>
                <c:pt idx="27">
                  <c:v>1620</c:v>
                </c:pt>
                <c:pt idx="28">
                  <c:v>1680</c:v>
                </c:pt>
                <c:pt idx="29">
                  <c:v>1740</c:v>
                </c:pt>
                <c:pt idx="30">
                  <c:v>1800</c:v>
                </c:pt>
                <c:pt idx="31">
                  <c:v>1860</c:v>
                </c:pt>
                <c:pt idx="32">
                  <c:v>1920</c:v>
                </c:pt>
                <c:pt idx="33">
                  <c:v>1980</c:v>
                </c:pt>
                <c:pt idx="34">
                  <c:v>2040</c:v>
                </c:pt>
                <c:pt idx="35">
                  <c:v>2100</c:v>
                </c:pt>
                <c:pt idx="36">
                  <c:v>2160</c:v>
                </c:pt>
                <c:pt idx="37">
                  <c:v>2220</c:v>
                </c:pt>
                <c:pt idx="38">
                  <c:v>2280</c:v>
                </c:pt>
                <c:pt idx="39">
                  <c:v>2340</c:v>
                </c:pt>
                <c:pt idx="40">
                  <c:v>2400</c:v>
                </c:pt>
                <c:pt idx="41">
                  <c:v>2460</c:v>
                </c:pt>
                <c:pt idx="42">
                  <c:v>2520</c:v>
                </c:pt>
                <c:pt idx="43">
                  <c:v>2580</c:v>
                </c:pt>
                <c:pt idx="44">
                  <c:v>2640</c:v>
                </c:pt>
                <c:pt idx="45">
                  <c:v>2700</c:v>
                </c:pt>
                <c:pt idx="46">
                  <c:v>2760</c:v>
                </c:pt>
                <c:pt idx="47">
                  <c:v>2820</c:v>
                </c:pt>
                <c:pt idx="48">
                  <c:v>2880</c:v>
                </c:pt>
                <c:pt idx="49">
                  <c:v>2940</c:v>
                </c:pt>
                <c:pt idx="50">
                  <c:v>3000</c:v>
                </c:pt>
                <c:pt idx="51">
                  <c:v>3060</c:v>
                </c:pt>
                <c:pt idx="52">
                  <c:v>3120</c:v>
                </c:pt>
                <c:pt idx="53">
                  <c:v>3180</c:v>
                </c:pt>
                <c:pt idx="54">
                  <c:v>3240</c:v>
                </c:pt>
                <c:pt idx="55">
                  <c:v>3300</c:v>
                </c:pt>
                <c:pt idx="56">
                  <c:v>3360</c:v>
                </c:pt>
                <c:pt idx="57">
                  <c:v>3420</c:v>
                </c:pt>
                <c:pt idx="58">
                  <c:v>3480</c:v>
                </c:pt>
                <c:pt idx="59">
                  <c:v>3540</c:v>
                </c:pt>
                <c:pt idx="60">
                  <c:v>3600</c:v>
                </c:pt>
                <c:pt idx="61">
                  <c:v>3660</c:v>
                </c:pt>
                <c:pt idx="62">
                  <c:v>3720</c:v>
                </c:pt>
                <c:pt idx="63">
                  <c:v>3780</c:v>
                </c:pt>
                <c:pt idx="64">
                  <c:v>3840</c:v>
                </c:pt>
                <c:pt idx="65">
                  <c:v>3900</c:v>
                </c:pt>
                <c:pt idx="66">
                  <c:v>3960</c:v>
                </c:pt>
                <c:pt idx="67">
                  <c:v>4020</c:v>
                </c:pt>
                <c:pt idx="68">
                  <c:v>4080</c:v>
                </c:pt>
                <c:pt idx="69">
                  <c:v>4140</c:v>
                </c:pt>
                <c:pt idx="70">
                  <c:v>4200</c:v>
                </c:pt>
                <c:pt idx="71">
                  <c:v>4260</c:v>
                </c:pt>
                <c:pt idx="72">
                  <c:v>4320</c:v>
                </c:pt>
                <c:pt idx="73">
                  <c:v>4380</c:v>
                </c:pt>
                <c:pt idx="74">
                  <c:v>4440</c:v>
                </c:pt>
                <c:pt idx="75">
                  <c:v>4500</c:v>
                </c:pt>
                <c:pt idx="76">
                  <c:v>4560</c:v>
                </c:pt>
                <c:pt idx="77">
                  <c:v>4620</c:v>
                </c:pt>
                <c:pt idx="78">
                  <c:v>4680</c:v>
                </c:pt>
                <c:pt idx="79">
                  <c:v>4740</c:v>
                </c:pt>
                <c:pt idx="80">
                  <c:v>4800</c:v>
                </c:pt>
                <c:pt idx="81">
                  <c:v>4860</c:v>
                </c:pt>
                <c:pt idx="82">
                  <c:v>4920</c:v>
                </c:pt>
                <c:pt idx="83">
                  <c:v>4980</c:v>
                </c:pt>
                <c:pt idx="84">
                  <c:v>5040</c:v>
                </c:pt>
                <c:pt idx="85">
                  <c:v>5100</c:v>
                </c:pt>
                <c:pt idx="86">
                  <c:v>5160</c:v>
                </c:pt>
                <c:pt idx="87">
                  <c:v>5220</c:v>
                </c:pt>
                <c:pt idx="88">
                  <c:v>5280</c:v>
                </c:pt>
                <c:pt idx="89">
                  <c:v>5340</c:v>
                </c:pt>
                <c:pt idx="90">
                  <c:v>5400</c:v>
                </c:pt>
                <c:pt idx="91">
                  <c:v>5460</c:v>
                </c:pt>
                <c:pt idx="92">
                  <c:v>5520</c:v>
                </c:pt>
                <c:pt idx="93">
                  <c:v>5580</c:v>
                </c:pt>
                <c:pt idx="94">
                  <c:v>5640</c:v>
                </c:pt>
                <c:pt idx="95">
                  <c:v>5700</c:v>
                </c:pt>
                <c:pt idx="96">
                  <c:v>5760</c:v>
                </c:pt>
                <c:pt idx="97">
                  <c:v>5820</c:v>
                </c:pt>
                <c:pt idx="98">
                  <c:v>5880</c:v>
                </c:pt>
                <c:pt idx="99">
                  <c:v>5940</c:v>
                </c:pt>
                <c:pt idx="100">
                  <c:v>6000</c:v>
                </c:pt>
                <c:pt idx="101">
                  <c:v>6060</c:v>
                </c:pt>
                <c:pt idx="102">
                  <c:v>6120</c:v>
                </c:pt>
                <c:pt idx="103">
                  <c:v>6180</c:v>
                </c:pt>
                <c:pt idx="104">
                  <c:v>6240</c:v>
                </c:pt>
                <c:pt idx="105">
                  <c:v>6300</c:v>
                </c:pt>
                <c:pt idx="106">
                  <c:v>6360</c:v>
                </c:pt>
                <c:pt idx="107">
                  <c:v>6420</c:v>
                </c:pt>
                <c:pt idx="108">
                  <c:v>6480</c:v>
                </c:pt>
                <c:pt idx="109">
                  <c:v>6540</c:v>
                </c:pt>
                <c:pt idx="110">
                  <c:v>6600</c:v>
                </c:pt>
                <c:pt idx="111">
                  <c:v>6660</c:v>
                </c:pt>
                <c:pt idx="112">
                  <c:v>6720</c:v>
                </c:pt>
                <c:pt idx="113">
                  <c:v>6780</c:v>
                </c:pt>
                <c:pt idx="114">
                  <c:v>6840</c:v>
                </c:pt>
                <c:pt idx="115">
                  <c:v>6900</c:v>
                </c:pt>
                <c:pt idx="116">
                  <c:v>6960</c:v>
                </c:pt>
                <c:pt idx="117">
                  <c:v>7020</c:v>
                </c:pt>
                <c:pt idx="118">
                  <c:v>7080</c:v>
                </c:pt>
                <c:pt idx="119">
                  <c:v>7140</c:v>
                </c:pt>
                <c:pt idx="120">
                  <c:v>7200</c:v>
                </c:pt>
                <c:pt idx="121">
                  <c:v>7260</c:v>
                </c:pt>
                <c:pt idx="122">
                  <c:v>7320</c:v>
                </c:pt>
                <c:pt idx="123">
                  <c:v>7380</c:v>
                </c:pt>
                <c:pt idx="124">
                  <c:v>7440</c:v>
                </c:pt>
                <c:pt idx="125">
                  <c:v>7500</c:v>
                </c:pt>
                <c:pt idx="126">
                  <c:v>7560</c:v>
                </c:pt>
                <c:pt idx="127">
                  <c:v>7620</c:v>
                </c:pt>
                <c:pt idx="128">
                  <c:v>7680</c:v>
                </c:pt>
                <c:pt idx="129">
                  <c:v>7740</c:v>
                </c:pt>
                <c:pt idx="130">
                  <c:v>7800</c:v>
                </c:pt>
                <c:pt idx="131">
                  <c:v>7860</c:v>
                </c:pt>
                <c:pt idx="132">
                  <c:v>7920</c:v>
                </c:pt>
                <c:pt idx="133">
                  <c:v>7980</c:v>
                </c:pt>
                <c:pt idx="134">
                  <c:v>8040</c:v>
                </c:pt>
                <c:pt idx="135">
                  <c:v>8100</c:v>
                </c:pt>
                <c:pt idx="136">
                  <c:v>8160</c:v>
                </c:pt>
                <c:pt idx="137">
                  <c:v>8220</c:v>
                </c:pt>
                <c:pt idx="138">
                  <c:v>8280</c:v>
                </c:pt>
                <c:pt idx="139">
                  <c:v>8340</c:v>
                </c:pt>
                <c:pt idx="140">
                  <c:v>8400</c:v>
                </c:pt>
                <c:pt idx="141">
                  <c:v>8460</c:v>
                </c:pt>
                <c:pt idx="142">
                  <c:v>8520</c:v>
                </c:pt>
                <c:pt idx="143">
                  <c:v>8580</c:v>
                </c:pt>
                <c:pt idx="144">
                  <c:v>8640</c:v>
                </c:pt>
                <c:pt idx="145">
                  <c:v>8700</c:v>
                </c:pt>
                <c:pt idx="146">
                  <c:v>8760</c:v>
                </c:pt>
                <c:pt idx="147">
                  <c:v>8820</c:v>
                </c:pt>
                <c:pt idx="148">
                  <c:v>8880</c:v>
                </c:pt>
                <c:pt idx="149">
                  <c:v>8940</c:v>
                </c:pt>
                <c:pt idx="150">
                  <c:v>9000</c:v>
                </c:pt>
                <c:pt idx="151">
                  <c:v>9060</c:v>
                </c:pt>
                <c:pt idx="152">
                  <c:v>9120</c:v>
                </c:pt>
                <c:pt idx="153">
                  <c:v>9180</c:v>
                </c:pt>
                <c:pt idx="154">
                  <c:v>9240</c:v>
                </c:pt>
                <c:pt idx="155">
                  <c:v>9300</c:v>
                </c:pt>
                <c:pt idx="156">
                  <c:v>9360</c:v>
                </c:pt>
                <c:pt idx="157">
                  <c:v>9420</c:v>
                </c:pt>
                <c:pt idx="158">
                  <c:v>9480</c:v>
                </c:pt>
                <c:pt idx="159">
                  <c:v>9540</c:v>
                </c:pt>
                <c:pt idx="160">
                  <c:v>9600</c:v>
                </c:pt>
                <c:pt idx="161">
                  <c:v>9660</c:v>
                </c:pt>
                <c:pt idx="162">
                  <c:v>9720</c:v>
                </c:pt>
                <c:pt idx="163">
                  <c:v>9780</c:v>
                </c:pt>
                <c:pt idx="164">
                  <c:v>9840</c:v>
                </c:pt>
                <c:pt idx="165">
                  <c:v>9900</c:v>
                </c:pt>
                <c:pt idx="166">
                  <c:v>9960</c:v>
                </c:pt>
                <c:pt idx="167">
                  <c:v>10020</c:v>
                </c:pt>
                <c:pt idx="168">
                  <c:v>10080</c:v>
                </c:pt>
                <c:pt idx="169">
                  <c:v>10140</c:v>
                </c:pt>
                <c:pt idx="170">
                  <c:v>10200</c:v>
                </c:pt>
                <c:pt idx="171">
                  <c:v>10260</c:v>
                </c:pt>
                <c:pt idx="172">
                  <c:v>10320</c:v>
                </c:pt>
                <c:pt idx="173">
                  <c:v>10380</c:v>
                </c:pt>
                <c:pt idx="174">
                  <c:v>10440</c:v>
                </c:pt>
                <c:pt idx="175">
                  <c:v>10500</c:v>
                </c:pt>
                <c:pt idx="176">
                  <c:v>10560</c:v>
                </c:pt>
                <c:pt idx="177">
                  <c:v>10620</c:v>
                </c:pt>
                <c:pt idx="178">
                  <c:v>10680</c:v>
                </c:pt>
                <c:pt idx="179">
                  <c:v>10740</c:v>
                </c:pt>
                <c:pt idx="180">
                  <c:v>10800</c:v>
                </c:pt>
                <c:pt idx="181">
                  <c:v>10860</c:v>
                </c:pt>
                <c:pt idx="182">
                  <c:v>10920</c:v>
                </c:pt>
                <c:pt idx="183">
                  <c:v>10980</c:v>
                </c:pt>
                <c:pt idx="184">
                  <c:v>11040</c:v>
                </c:pt>
                <c:pt idx="185">
                  <c:v>11100</c:v>
                </c:pt>
                <c:pt idx="186">
                  <c:v>11160</c:v>
                </c:pt>
                <c:pt idx="187">
                  <c:v>11220</c:v>
                </c:pt>
                <c:pt idx="188">
                  <c:v>11280</c:v>
                </c:pt>
                <c:pt idx="189">
                  <c:v>11340</c:v>
                </c:pt>
                <c:pt idx="190">
                  <c:v>11400</c:v>
                </c:pt>
                <c:pt idx="191">
                  <c:v>11460</c:v>
                </c:pt>
                <c:pt idx="192">
                  <c:v>11520</c:v>
                </c:pt>
                <c:pt idx="193">
                  <c:v>11580</c:v>
                </c:pt>
                <c:pt idx="194">
                  <c:v>11640</c:v>
                </c:pt>
                <c:pt idx="195">
                  <c:v>11700</c:v>
                </c:pt>
                <c:pt idx="196">
                  <c:v>11760</c:v>
                </c:pt>
                <c:pt idx="197">
                  <c:v>11820</c:v>
                </c:pt>
                <c:pt idx="198">
                  <c:v>11880</c:v>
                </c:pt>
                <c:pt idx="199">
                  <c:v>11940</c:v>
                </c:pt>
                <c:pt idx="200">
                  <c:v>12000</c:v>
                </c:pt>
                <c:pt idx="201">
                  <c:v>12060</c:v>
                </c:pt>
                <c:pt idx="202">
                  <c:v>12120</c:v>
                </c:pt>
                <c:pt idx="203">
                  <c:v>12180</c:v>
                </c:pt>
                <c:pt idx="204">
                  <c:v>12240</c:v>
                </c:pt>
                <c:pt idx="205">
                  <c:v>12300</c:v>
                </c:pt>
                <c:pt idx="206">
                  <c:v>12360</c:v>
                </c:pt>
                <c:pt idx="207">
                  <c:v>12420</c:v>
                </c:pt>
                <c:pt idx="208">
                  <c:v>12480</c:v>
                </c:pt>
                <c:pt idx="209">
                  <c:v>12540</c:v>
                </c:pt>
                <c:pt idx="210">
                  <c:v>12600</c:v>
                </c:pt>
                <c:pt idx="211">
                  <c:v>12660</c:v>
                </c:pt>
                <c:pt idx="212">
                  <c:v>12720</c:v>
                </c:pt>
                <c:pt idx="213">
                  <c:v>12780</c:v>
                </c:pt>
                <c:pt idx="214">
                  <c:v>12840</c:v>
                </c:pt>
                <c:pt idx="215">
                  <c:v>12900</c:v>
                </c:pt>
                <c:pt idx="216">
                  <c:v>12960</c:v>
                </c:pt>
                <c:pt idx="217">
                  <c:v>13020</c:v>
                </c:pt>
                <c:pt idx="218">
                  <c:v>13080</c:v>
                </c:pt>
                <c:pt idx="219">
                  <c:v>13140</c:v>
                </c:pt>
                <c:pt idx="220">
                  <c:v>13200</c:v>
                </c:pt>
                <c:pt idx="221">
                  <c:v>13260</c:v>
                </c:pt>
                <c:pt idx="222">
                  <c:v>13320</c:v>
                </c:pt>
                <c:pt idx="223">
                  <c:v>13380</c:v>
                </c:pt>
                <c:pt idx="224">
                  <c:v>13440</c:v>
                </c:pt>
                <c:pt idx="225">
                  <c:v>13500</c:v>
                </c:pt>
                <c:pt idx="226">
                  <c:v>13560</c:v>
                </c:pt>
                <c:pt idx="227">
                  <c:v>13620</c:v>
                </c:pt>
                <c:pt idx="228">
                  <c:v>13680</c:v>
                </c:pt>
                <c:pt idx="229">
                  <c:v>13740</c:v>
                </c:pt>
                <c:pt idx="230">
                  <c:v>13800</c:v>
                </c:pt>
                <c:pt idx="231">
                  <c:v>13860</c:v>
                </c:pt>
                <c:pt idx="232">
                  <c:v>13920</c:v>
                </c:pt>
                <c:pt idx="233">
                  <c:v>13980</c:v>
                </c:pt>
                <c:pt idx="234">
                  <c:v>14040</c:v>
                </c:pt>
                <c:pt idx="235">
                  <c:v>14100</c:v>
                </c:pt>
                <c:pt idx="236">
                  <c:v>14160</c:v>
                </c:pt>
                <c:pt idx="237">
                  <c:v>14220</c:v>
                </c:pt>
                <c:pt idx="238">
                  <c:v>14280</c:v>
                </c:pt>
                <c:pt idx="239">
                  <c:v>14340</c:v>
                </c:pt>
                <c:pt idx="240">
                  <c:v>14400</c:v>
                </c:pt>
                <c:pt idx="241">
                  <c:v>14460</c:v>
                </c:pt>
                <c:pt idx="242">
                  <c:v>14520</c:v>
                </c:pt>
                <c:pt idx="243">
                  <c:v>14580</c:v>
                </c:pt>
                <c:pt idx="244">
                  <c:v>14640</c:v>
                </c:pt>
                <c:pt idx="245">
                  <c:v>14700</c:v>
                </c:pt>
                <c:pt idx="246">
                  <c:v>14760</c:v>
                </c:pt>
                <c:pt idx="247">
                  <c:v>14820</c:v>
                </c:pt>
                <c:pt idx="248">
                  <c:v>14880</c:v>
                </c:pt>
                <c:pt idx="249">
                  <c:v>14940</c:v>
                </c:pt>
                <c:pt idx="250">
                  <c:v>15000</c:v>
                </c:pt>
                <c:pt idx="251">
                  <c:v>15060</c:v>
                </c:pt>
                <c:pt idx="252">
                  <c:v>15120</c:v>
                </c:pt>
                <c:pt idx="253">
                  <c:v>15180</c:v>
                </c:pt>
                <c:pt idx="254">
                  <c:v>15240</c:v>
                </c:pt>
                <c:pt idx="255">
                  <c:v>15300</c:v>
                </c:pt>
                <c:pt idx="256">
                  <c:v>15360</c:v>
                </c:pt>
                <c:pt idx="257">
                  <c:v>15420</c:v>
                </c:pt>
                <c:pt idx="258">
                  <c:v>15480</c:v>
                </c:pt>
                <c:pt idx="259">
                  <c:v>15540</c:v>
                </c:pt>
                <c:pt idx="260">
                  <c:v>15600</c:v>
                </c:pt>
                <c:pt idx="261">
                  <c:v>15660</c:v>
                </c:pt>
                <c:pt idx="262">
                  <c:v>15720</c:v>
                </c:pt>
                <c:pt idx="263">
                  <c:v>15780</c:v>
                </c:pt>
                <c:pt idx="264">
                  <c:v>15840</c:v>
                </c:pt>
                <c:pt idx="265">
                  <c:v>15900</c:v>
                </c:pt>
                <c:pt idx="266">
                  <c:v>15960</c:v>
                </c:pt>
                <c:pt idx="267">
                  <c:v>16020</c:v>
                </c:pt>
                <c:pt idx="268">
                  <c:v>16080</c:v>
                </c:pt>
                <c:pt idx="269">
                  <c:v>16140</c:v>
                </c:pt>
                <c:pt idx="270">
                  <c:v>16200</c:v>
                </c:pt>
                <c:pt idx="271">
                  <c:v>16260</c:v>
                </c:pt>
                <c:pt idx="272">
                  <c:v>16320</c:v>
                </c:pt>
                <c:pt idx="273">
                  <c:v>16380</c:v>
                </c:pt>
                <c:pt idx="274">
                  <c:v>16440</c:v>
                </c:pt>
                <c:pt idx="275">
                  <c:v>16500</c:v>
                </c:pt>
                <c:pt idx="276">
                  <c:v>16560</c:v>
                </c:pt>
                <c:pt idx="277">
                  <c:v>16620</c:v>
                </c:pt>
                <c:pt idx="278">
                  <c:v>16680</c:v>
                </c:pt>
                <c:pt idx="279">
                  <c:v>16740</c:v>
                </c:pt>
                <c:pt idx="280">
                  <c:v>16800</c:v>
                </c:pt>
                <c:pt idx="281">
                  <c:v>16860</c:v>
                </c:pt>
                <c:pt idx="282">
                  <c:v>16920</c:v>
                </c:pt>
                <c:pt idx="283">
                  <c:v>16980</c:v>
                </c:pt>
                <c:pt idx="284">
                  <c:v>17040</c:v>
                </c:pt>
                <c:pt idx="285">
                  <c:v>17100</c:v>
                </c:pt>
                <c:pt idx="286">
                  <c:v>17160</c:v>
                </c:pt>
                <c:pt idx="287">
                  <c:v>17220</c:v>
                </c:pt>
                <c:pt idx="288">
                  <c:v>17280</c:v>
                </c:pt>
                <c:pt idx="289">
                  <c:v>17340</c:v>
                </c:pt>
                <c:pt idx="290">
                  <c:v>17400</c:v>
                </c:pt>
                <c:pt idx="291">
                  <c:v>17460</c:v>
                </c:pt>
                <c:pt idx="292">
                  <c:v>17520</c:v>
                </c:pt>
                <c:pt idx="293">
                  <c:v>17580</c:v>
                </c:pt>
                <c:pt idx="294">
                  <c:v>17640</c:v>
                </c:pt>
                <c:pt idx="295">
                  <c:v>17700</c:v>
                </c:pt>
                <c:pt idx="296">
                  <c:v>17760</c:v>
                </c:pt>
                <c:pt idx="297">
                  <c:v>17820</c:v>
                </c:pt>
                <c:pt idx="298">
                  <c:v>17880</c:v>
                </c:pt>
                <c:pt idx="299">
                  <c:v>17940</c:v>
                </c:pt>
                <c:pt idx="300">
                  <c:v>18000</c:v>
                </c:pt>
              </c:numCache>
            </c:numRef>
          </c:xVal>
          <c:yVal>
            <c:numRef>
              <c:f>Sheet2!$F$16:$F$300</c:f>
              <c:numCache>
                <c:formatCode>General</c:formatCode>
                <c:ptCount val="285"/>
                <c:pt idx="0">
                  <c:v>-0.001</c:v>
                </c:pt>
                <c:pt idx="1">
                  <c:v>-0.001</c:v>
                </c:pt>
                <c:pt idx="2">
                  <c:v>-0.001</c:v>
                </c:pt>
                <c:pt idx="3">
                  <c:v>0</c:v>
                </c:pt>
                <c:pt idx="4">
                  <c:v>0</c:v>
                </c:pt>
                <c:pt idx="5">
                  <c:v>0.001</c:v>
                </c:pt>
                <c:pt idx="6">
                  <c:v>0.003</c:v>
                </c:pt>
                <c:pt idx="7">
                  <c:v>0.005</c:v>
                </c:pt>
                <c:pt idx="8">
                  <c:v>0.007</c:v>
                </c:pt>
                <c:pt idx="9">
                  <c:v>0.01</c:v>
                </c:pt>
                <c:pt idx="10">
                  <c:v>0.013</c:v>
                </c:pt>
                <c:pt idx="11">
                  <c:v>0.016</c:v>
                </c:pt>
                <c:pt idx="12">
                  <c:v>0.012</c:v>
                </c:pt>
                <c:pt idx="13">
                  <c:v>0.015</c:v>
                </c:pt>
                <c:pt idx="14">
                  <c:v>0.019</c:v>
                </c:pt>
                <c:pt idx="15">
                  <c:v>0.023</c:v>
                </c:pt>
                <c:pt idx="16">
                  <c:v>0.02</c:v>
                </c:pt>
                <c:pt idx="17">
                  <c:v>0.025</c:v>
                </c:pt>
                <c:pt idx="18">
                  <c:v>0.03</c:v>
                </c:pt>
                <c:pt idx="19">
                  <c:v>0.037</c:v>
                </c:pt>
                <c:pt idx="20">
                  <c:v>0.037</c:v>
                </c:pt>
                <c:pt idx="21">
                  <c:v>0.032</c:v>
                </c:pt>
                <c:pt idx="22">
                  <c:v>0.038</c:v>
                </c:pt>
                <c:pt idx="23">
                  <c:v>0.037</c:v>
                </c:pt>
                <c:pt idx="24">
                  <c:v>0.044</c:v>
                </c:pt>
                <c:pt idx="25">
                  <c:v>0.046</c:v>
                </c:pt>
                <c:pt idx="26">
                  <c:v>0.056</c:v>
                </c:pt>
                <c:pt idx="27">
                  <c:v>0.017</c:v>
                </c:pt>
                <c:pt idx="28">
                  <c:v>0.023</c:v>
                </c:pt>
                <c:pt idx="29">
                  <c:v>0.026</c:v>
                </c:pt>
                <c:pt idx="30">
                  <c:v>0.029</c:v>
                </c:pt>
                <c:pt idx="31">
                  <c:v>0.037</c:v>
                </c:pt>
                <c:pt idx="32">
                  <c:v>0.045</c:v>
                </c:pt>
                <c:pt idx="33">
                  <c:v>0.033</c:v>
                </c:pt>
                <c:pt idx="34">
                  <c:v>0.035</c:v>
                </c:pt>
                <c:pt idx="35">
                  <c:v>0.027</c:v>
                </c:pt>
                <c:pt idx="36">
                  <c:v>0.028</c:v>
                </c:pt>
                <c:pt idx="37">
                  <c:v>0.028</c:v>
                </c:pt>
                <c:pt idx="38">
                  <c:v>0.033</c:v>
                </c:pt>
                <c:pt idx="39">
                  <c:v>0.039</c:v>
                </c:pt>
                <c:pt idx="40">
                  <c:v>0.046</c:v>
                </c:pt>
                <c:pt idx="41">
                  <c:v>0.054</c:v>
                </c:pt>
                <c:pt idx="42">
                  <c:v>0.048</c:v>
                </c:pt>
                <c:pt idx="43">
                  <c:v>0.044</c:v>
                </c:pt>
                <c:pt idx="44">
                  <c:v>0.024</c:v>
                </c:pt>
                <c:pt idx="45">
                  <c:v>0.031</c:v>
                </c:pt>
                <c:pt idx="46">
                  <c:v>0.039</c:v>
                </c:pt>
                <c:pt idx="47">
                  <c:v>0.049</c:v>
                </c:pt>
                <c:pt idx="48">
                  <c:v>0.049</c:v>
                </c:pt>
                <c:pt idx="49">
                  <c:v>0.047</c:v>
                </c:pt>
                <c:pt idx="50">
                  <c:v>0.055</c:v>
                </c:pt>
                <c:pt idx="51">
                  <c:v>0.034</c:v>
                </c:pt>
                <c:pt idx="52">
                  <c:v>0.039</c:v>
                </c:pt>
                <c:pt idx="53">
                  <c:v>0.039</c:v>
                </c:pt>
                <c:pt idx="54">
                  <c:v>0.044</c:v>
                </c:pt>
                <c:pt idx="55">
                  <c:v>0.043</c:v>
                </c:pt>
                <c:pt idx="56">
                  <c:v>0.049</c:v>
                </c:pt>
                <c:pt idx="57">
                  <c:v>0.04</c:v>
                </c:pt>
                <c:pt idx="58">
                  <c:v>0.045</c:v>
                </c:pt>
                <c:pt idx="59">
                  <c:v>0.049</c:v>
                </c:pt>
                <c:pt idx="60">
                  <c:v>0.052</c:v>
                </c:pt>
                <c:pt idx="61">
                  <c:v>0.052</c:v>
                </c:pt>
                <c:pt idx="62">
                  <c:v>0.022</c:v>
                </c:pt>
                <c:pt idx="63">
                  <c:v>0.025</c:v>
                </c:pt>
                <c:pt idx="64">
                  <c:v>0.03</c:v>
                </c:pt>
                <c:pt idx="65">
                  <c:v>0.03</c:v>
                </c:pt>
                <c:pt idx="66">
                  <c:v>0.034</c:v>
                </c:pt>
                <c:pt idx="67">
                  <c:v>0.037</c:v>
                </c:pt>
                <c:pt idx="68">
                  <c:v>0.04</c:v>
                </c:pt>
                <c:pt idx="69">
                  <c:v>0.043</c:v>
                </c:pt>
                <c:pt idx="70">
                  <c:v>0.038</c:v>
                </c:pt>
                <c:pt idx="71">
                  <c:v>0.042</c:v>
                </c:pt>
                <c:pt idx="72">
                  <c:v>0.044</c:v>
                </c:pt>
                <c:pt idx="73">
                  <c:v>0.048</c:v>
                </c:pt>
                <c:pt idx="74">
                  <c:v>0.03</c:v>
                </c:pt>
                <c:pt idx="75">
                  <c:v>0.033</c:v>
                </c:pt>
                <c:pt idx="76">
                  <c:v>0.036</c:v>
                </c:pt>
                <c:pt idx="77">
                  <c:v>0.04</c:v>
                </c:pt>
                <c:pt idx="78">
                  <c:v>0.044</c:v>
                </c:pt>
                <c:pt idx="79">
                  <c:v>0.047</c:v>
                </c:pt>
                <c:pt idx="80">
                  <c:v>0.043</c:v>
                </c:pt>
                <c:pt idx="81">
                  <c:v>0.046</c:v>
                </c:pt>
                <c:pt idx="82">
                  <c:v>0.05</c:v>
                </c:pt>
                <c:pt idx="83">
                  <c:v>0.054</c:v>
                </c:pt>
                <c:pt idx="84">
                  <c:v>0.053</c:v>
                </c:pt>
                <c:pt idx="85">
                  <c:v>0.058</c:v>
                </c:pt>
                <c:pt idx="86">
                  <c:v>0.062</c:v>
                </c:pt>
                <c:pt idx="87">
                  <c:v>0.064</c:v>
                </c:pt>
                <c:pt idx="88">
                  <c:v>0.069</c:v>
                </c:pt>
                <c:pt idx="89">
                  <c:v>0.073</c:v>
                </c:pt>
                <c:pt idx="90">
                  <c:v>0.078</c:v>
                </c:pt>
                <c:pt idx="91">
                  <c:v>0.07</c:v>
                </c:pt>
                <c:pt idx="92">
                  <c:v>0.062</c:v>
                </c:pt>
                <c:pt idx="93">
                  <c:v>0.066</c:v>
                </c:pt>
                <c:pt idx="94">
                  <c:v>0.07</c:v>
                </c:pt>
                <c:pt idx="95">
                  <c:v>0.046</c:v>
                </c:pt>
                <c:pt idx="96">
                  <c:v>0.049</c:v>
                </c:pt>
                <c:pt idx="97">
                  <c:v>0.051</c:v>
                </c:pt>
                <c:pt idx="98">
                  <c:v>0.048</c:v>
                </c:pt>
                <c:pt idx="99">
                  <c:v>0.051</c:v>
                </c:pt>
                <c:pt idx="100">
                  <c:v>0.053</c:v>
                </c:pt>
                <c:pt idx="101">
                  <c:v>0.056</c:v>
                </c:pt>
                <c:pt idx="102">
                  <c:v>0.059</c:v>
                </c:pt>
                <c:pt idx="103">
                  <c:v>0.054</c:v>
                </c:pt>
                <c:pt idx="104">
                  <c:v>0.056</c:v>
                </c:pt>
                <c:pt idx="105">
                  <c:v>0.058</c:v>
                </c:pt>
                <c:pt idx="106">
                  <c:v>0.06</c:v>
                </c:pt>
                <c:pt idx="107">
                  <c:v>0.062</c:v>
                </c:pt>
                <c:pt idx="108">
                  <c:v>0.064</c:v>
                </c:pt>
                <c:pt idx="109">
                  <c:v>0.067</c:v>
                </c:pt>
                <c:pt idx="110">
                  <c:v>0.069</c:v>
                </c:pt>
                <c:pt idx="111">
                  <c:v>0.071</c:v>
                </c:pt>
                <c:pt idx="112">
                  <c:v>0.074</c:v>
                </c:pt>
                <c:pt idx="113">
                  <c:v>0.076</c:v>
                </c:pt>
                <c:pt idx="114">
                  <c:v>0.065</c:v>
                </c:pt>
                <c:pt idx="115">
                  <c:v>0.061</c:v>
                </c:pt>
                <c:pt idx="116">
                  <c:v>0.063</c:v>
                </c:pt>
                <c:pt idx="117">
                  <c:v>0.065</c:v>
                </c:pt>
                <c:pt idx="118">
                  <c:v>0.067</c:v>
                </c:pt>
                <c:pt idx="119">
                  <c:v>0.07</c:v>
                </c:pt>
                <c:pt idx="120">
                  <c:v>0.074</c:v>
                </c:pt>
                <c:pt idx="121">
                  <c:v>0.076</c:v>
                </c:pt>
                <c:pt idx="122">
                  <c:v>0.079</c:v>
                </c:pt>
                <c:pt idx="123">
                  <c:v>0.063</c:v>
                </c:pt>
                <c:pt idx="124">
                  <c:v>0.065</c:v>
                </c:pt>
                <c:pt idx="125">
                  <c:v>0.067</c:v>
                </c:pt>
                <c:pt idx="126">
                  <c:v>0.068</c:v>
                </c:pt>
                <c:pt idx="127">
                  <c:v>0.07</c:v>
                </c:pt>
                <c:pt idx="128">
                  <c:v>0.072</c:v>
                </c:pt>
                <c:pt idx="129">
                  <c:v>0.073</c:v>
                </c:pt>
                <c:pt idx="130">
                  <c:v>0.075</c:v>
                </c:pt>
                <c:pt idx="131">
                  <c:v>0.077</c:v>
                </c:pt>
                <c:pt idx="132">
                  <c:v>0.078</c:v>
                </c:pt>
                <c:pt idx="133">
                  <c:v>0.074</c:v>
                </c:pt>
                <c:pt idx="134">
                  <c:v>0.076</c:v>
                </c:pt>
                <c:pt idx="135">
                  <c:v>0.077</c:v>
                </c:pt>
                <c:pt idx="136">
                  <c:v>0.079</c:v>
                </c:pt>
                <c:pt idx="137">
                  <c:v>0.081</c:v>
                </c:pt>
                <c:pt idx="138">
                  <c:v>0.083</c:v>
                </c:pt>
                <c:pt idx="139">
                  <c:v>0.084</c:v>
                </c:pt>
                <c:pt idx="140">
                  <c:v>0.072</c:v>
                </c:pt>
                <c:pt idx="141">
                  <c:v>0.074</c:v>
                </c:pt>
                <c:pt idx="142">
                  <c:v>0.075</c:v>
                </c:pt>
                <c:pt idx="143">
                  <c:v>0.076</c:v>
                </c:pt>
                <c:pt idx="144">
                  <c:v>0.078</c:v>
                </c:pt>
                <c:pt idx="145">
                  <c:v>0.08</c:v>
                </c:pt>
                <c:pt idx="146">
                  <c:v>0.081</c:v>
                </c:pt>
                <c:pt idx="147">
                  <c:v>0.083</c:v>
                </c:pt>
                <c:pt idx="148">
                  <c:v>0.085</c:v>
                </c:pt>
                <c:pt idx="149">
                  <c:v>0.087</c:v>
                </c:pt>
                <c:pt idx="150">
                  <c:v>0.089</c:v>
                </c:pt>
                <c:pt idx="151">
                  <c:v>0.09</c:v>
                </c:pt>
                <c:pt idx="152">
                  <c:v>0.093</c:v>
                </c:pt>
                <c:pt idx="153">
                  <c:v>0.094</c:v>
                </c:pt>
                <c:pt idx="154">
                  <c:v>0.097</c:v>
                </c:pt>
                <c:pt idx="155">
                  <c:v>0.1</c:v>
                </c:pt>
                <c:pt idx="156">
                  <c:v>0.103</c:v>
                </c:pt>
                <c:pt idx="157">
                  <c:v>0.105</c:v>
                </c:pt>
                <c:pt idx="158">
                  <c:v>0.107</c:v>
                </c:pt>
                <c:pt idx="159">
                  <c:v>0.11</c:v>
                </c:pt>
                <c:pt idx="160">
                  <c:v>0.093</c:v>
                </c:pt>
                <c:pt idx="161">
                  <c:v>0.095</c:v>
                </c:pt>
                <c:pt idx="162">
                  <c:v>0.096</c:v>
                </c:pt>
                <c:pt idx="163">
                  <c:v>0.098</c:v>
                </c:pt>
                <c:pt idx="164">
                  <c:v>0.099</c:v>
                </c:pt>
                <c:pt idx="165">
                  <c:v>0.1</c:v>
                </c:pt>
                <c:pt idx="166">
                  <c:v>0.102</c:v>
                </c:pt>
                <c:pt idx="167">
                  <c:v>0.103</c:v>
                </c:pt>
                <c:pt idx="168">
                  <c:v>0.105</c:v>
                </c:pt>
                <c:pt idx="169">
                  <c:v>0.1</c:v>
                </c:pt>
                <c:pt idx="170">
                  <c:v>0.101</c:v>
                </c:pt>
                <c:pt idx="171">
                  <c:v>0.088</c:v>
                </c:pt>
                <c:pt idx="172">
                  <c:v>0.089</c:v>
                </c:pt>
                <c:pt idx="173">
                  <c:v>0.089</c:v>
                </c:pt>
                <c:pt idx="174">
                  <c:v>0.09</c:v>
                </c:pt>
                <c:pt idx="175">
                  <c:v>0.09</c:v>
                </c:pt>
                <c:pt idx="176">
                  <c:v>0.091</c:v>
                </c:pt>
                <c:pt idx="177">
                  <c:v>0.091</c:v>
                </c:pt>
                <c:pt idx="178">
                  <c:v>0.092</c:v>
                </c:pt>
                <c:pt idx="179">
                  <c:v>0.092</c:v>
                </c:pt>
                <c:pt idx="180">
                  <c:v>0.093</c:v>
                </c:pt>
                <c:pt idx="181">
                  <c:v>0.094</c:v>
                </c:pt>
                <c:pt idx="182">
                  <c:v>0.094</c:v>
                </c:pt>
                <c:pt idx="183">
                  <c:v>0.095</c:v>
                </c:pt>
                <c:pt idx="184">
                  <c:v>0.095</c:v>
                </c:pt>
                <c:pt idx="185">
                  <c:v>0.096</c:v>
                </c:pt>
                <c:pt idx="186">
                  <c:v>0.096</c:v>
                </c:pt>
                <c:pt idx="187">
                  <c:v>0.097</c:v>
                </c:pt>
                <c:pt idx="188">
                  <c:v>0.097</c:v>
                </c:pt>
                <c:pt idx="189">
                  <c:v>0.098</c:v>
                </c:pt>
                <c:pt idx="190">
                  <c:v>0.099</c:v>
                </c:pt>
                <c:pt idx="191">
                  <c:v>0.099</c:v>
                </c:pt>
                <c:pt idx="192">
                  <c:v>0.1</c:v>
                </c:pt>
                <c:pt idx="193">
                  <c:v>0.1</c:v>
                </c:pt>
                <c:pt idx="194">
                  <c:v>0.101</c:v>
                </c:pt>
                <c:pt idx="195">
                  <c:v>0.101</c:v>
                </c:pt>
                <c:pt idx="196">
                  <c:v>0.102</c:v>
                </c:pt>
                <c:pt idx="197">
                  <c:v>0.103</c:v>
                </c:pt>
                <c:pt idx="198">
                  <c:v>0.103</c:v>
                </c:pt>
                <c:pt idx="199">
                  <c:v>0.103</c:v>
                </c:pt>
                <c:pt idx="200">
                  <c:v>0.104</c:v>
                </c:pt>
                <c:pt idx="201">
                  <c:v>0.104</c:v>
                </c:pt>
                <c:pt idx="202">
                  <c:v>0.105</c:v>
                </c:pt>
                <c:pt idx="203">
                  <c:v>0.105</c:v>
                </c:pt>
                <c:pt idx="204">
                  <c:v>0.106</c:v>
                </c:pt>
                <c:pt idx="205">
                  <c:v>0.106</c:v>
                </c:pt>
                <c:pt idx="206">
                  <c:v>0.107</c:v>
                </c:pt>
                <c:pt idx="207">
                  <c:v>0.107</c:v>
                </c:pt>
                <c:pt idx="208">
                  <c:v>0.108</c:v>
                </c:pt>
                <c:pt idx="209">
                  <c:v>0.109</c:v>
                </c:pt>
                <c:pt idx="210">
                  <c:v>0.109</c:v>
                </c:pt>
                <c:pt idx="211">
                  <c:v>0.109</c:v>
                </c:pt>
                <c:pt idx="212">
                  <c:v>0.11</c:v>
                </c:pt>
                <c:pt idx="213">
                  <c:v>0.111</c:v>
                </c:pt>
                <c:pt idx="214">
                  <c:v>0.111</c:v>
                </c:pt>
                <c:pt idx="215">
                  <c:v>0.112</c:v>
                </c:pt>
                <c:pt idx="216">
                  <c:v>0.112</c:v>
                </c:pt>
                <c:pt idx="217">
                  <c:v>0.113</c:v>
                </c:pt>
                <c:pt idx="218">
                  <c:v>0.113</c:v>
                </c:pt>
                <c:pt idx="219">
                  <c:v>0.113</c:v>
                </c:pt>
                <c:pt idx="220">
                  <c:v>0.114</c:v>
                </c:pt>
                <c:pt idx="221">
                  <c:v>0.114</c:v>
                </c:pt>
                <c:pt idx="222">
                  <c:v>0.115</c:v>
                </c:pt>
                <c:pt idx="223">
                  <c:v>0.116</c:v>
                </c:pt>
                <c:pt idx="224">
                  <c:v>0.116</c:v>
                </c:pt>
                <c:pt idx="225">
                  <c:v>0.116</c:v>
                </c:pt>
                <c:pt idx="226">
                  <c:v>0.117</c:v>
                </c:pt>
                <c:pt idx="227">
                  <c:v>0.117</c:v>
                </c:pt>
                <c:pt idx="228">
                  <c:v>0.118</c:v>
                </c:pt>
                <c:pt idx="229">
                  <c:v>0.118</c:v>
                </c:pt>
                <c:pt idx="230">
                  <c:v>0.119</c:v>
                </c:pt>
                <c:pt idx="231">
                  <c:v>0.119</c:v>
                </c:pt>
                <c:pt idx="232">
                  <c:v>0.119</c:v>
                </c:pt>
                <c:pt idx="233">
                  <c:v>0.12</c:v>
                </c:pt>
                <c:pt idx="234">
                  <c:v>0.121</c:v>
                </c:pt>
                <c:pt idx="235">
                  <c:v>0.121</c:v>
                </c:pt>
                <c:pt idx="236">
                  <c:v>0.121</c:v>
                </c:pt>
                <c:pt idx="237">
                  <c:v>0.121</c:v>
                </c:pt>
                <c:pt idx="238">
                  <c:v>0.122</c:v>
                </c:pt>
                <c:pt idx="239">
                  <c:v>0.122</c:v>
                </c:pt>
                <c:pt idx="240">
                  <c:v>0.123</c:v>
                </c:pt>
                <c:pt idx="241">
                  <c:v>0.123</c:v>
                </c:pt>
                <c:pt idx="242">
                  <c:v>0.124</c:v>
                </c:pt>
                <c:pt idx="243">
                  <c:v>0.124</c:v>
                </c:pt>
                <c:pt idx="244">
                  <c:v>0.125</c:v>
                </c:pt>
                <c:pt idx="245">
                  <c:v>0.125</c:v>
                </c:pt>
                <c:pt idx="246">
                  <c:v>0.125</c:v>
                </c:pt>
                <c:pt idx="247">
                  <c:v>0.126</c:v>
                </c:pt>
                <c:pt idx="248">
                  <c:v>0.127</c:v>
                </c:pt>
                <c:pt idx="249">
                  <c:v>0.127</c:v>
                </c:pt>
                <c:pt idx="250">
                  <c:v>0.127</c:v>
                </c:pt>
                <c:pt idx="251">
                  <c:v>0.127</c:v>
                </c:pt>
                <c:pt idx="252">
                  <c:v>0.128</c:v>
                </c:pt>
                <c:pt idx="253">
                  <c:v>0.128</c:v>
                </c:pt>
                <c:pt idx="254">
                  <c:v>0.129</c:v>
                </c:pt>
                <c:pt idx="255">
                  <c:v>0.129</c:v>
                </c:pt>
                <c:pt idx="256">
                  <c:v>0.129</c:v>
                </c:pt>
                <c:pt idx="257">
                  <c:v>0.13</c:v>
                </c:pt>
                <c:pt idx="258">
                  <c:v>0.13</c:v>
                </c:pt>
                <c:pt idx="259">
                  <c:v>0.131</c:v>
                </c:pt>
                <c:pt idx="260">
                  <c:v>0.131</c:v>
                </c:pt>
                <c:pt idx="261">
                  <c:v>0.131</c:v>
                </c:pt>
                <c:pt idx="262">
                  <c:v>0.132</c:v>
                </c:pt>
                <c:pt idx="263">
                  <c:v>0.132</c:v>
                </c:pt>
                <c:pt idx="264">
                  <c:v>0.133</c:v>
                </c:pt>
                <c:pt idx="265">
                  <c:v>0.133</c:v>
                </c:pt>
                <c:pt idx="266">
                  <c:v>0.134</c:v>
                </c:pt>
                <c:pt idx="267">
                  <c:v>0.133</c:v>
                </c:pt>
                <c:pt idx="268">
                  <c:v>0.134</c:v>
                </c:pt>
                <c:pt idx="269">
                  <c:v>0.134</c:v>
                </c:pt>
                <c:pt idx="270">
                  <c:v>0.135</c:v>
                </c:pt>
                <c:pt idx="271">
                  <c:v>0.135</c:v>
                </c:pt>
                <c:pt idx="272">
                  <c:v>0.135</c:v>
                </c:pt>
                <c:pt idx="273">
                  <c:v>0.136</c:v>
                </c:pt>
                <c:pt idx="274">
                  <c:v>0.136</c:v>
                </c:pt>
                <c:pt idx="275">
                  <c:v>0.137</c:v>
                </c:pt>
                <c:pt idx="276">
                  <c:v>0.137</c:v>
                </c:pt>
                <c:pt idx="277">
                  <c:v>0.137</c:v>
                </c:pt>
                <c:pt idx="278">
                  <c:v>0.137</c:v>
                </c:pt>
                <c:pt idx="279">
                  <c:v>0.138</c:v>
                </c:pt>
                <c:pt idx="280">
                  <c:v>0.138</c:v>
                </c:pt>
                <c:pt idx="281">
                  <c:v>0.138</c:v>
                </c:pt>
                <c:pt idx="282">
                  <c:v>0.139</c:v>
                </c:pt>
                <c:pt idx="283">
                  <c:v>0.139</c:v>
                </c:pt>
                <c:pt idx="284">
                  <c:v>0.139</c:v>
                </c:pt>
              </c:numCache>
            </c:numRef>
          </c:yVal>
          <c:smooth val="1"/>
        </c:ser>
        <c:ser>
          <c:idx val="1"/>
          <c:order val="1"/>
          <c:spPr>
            <a:solidFill>
              <a:srgbClr val="993366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993366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>
                    <a:alpha val="70000"/>
                  </a:srgbClr>
                </a:solidFill>
                <a:round/>
              </a:ln>
            </c:spPr>
            <c:trendlineType val="exp"/>
            <c:forward val="0"/>
            <c:backward val="0"/>
            <c:dispRSqr val="0"/>
            <c:dispEq val="1"/>
          </c:trendline>
          <c:xVal>
            <c:numRef>
              <c:f>Sheet2!$K$16:$K$316</c:f>
              <c:numCache>
                <c:formatCode>General</c:formatCode>
                <c:ptCount val="30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  <c:pt idx="21">
                  <c:v>1260</c:v>
                </c:pt>
                <c:pt idx="22">
                  <c:v>1320</c:v>
                </c:pt>
                <c:pt idx="23">
                  <c:v>1380</c:v>
                </c:pt>
                <c:pt idx="24">
                  <c:v>1440</c:v>
                </c:pt>
                <c:pt idx="25">
                  <c:v>1500</c:v>
                </c:pt>
                <c:pt idx="26">
                  <c:v>1560</c:v>
                </c:pt>
                <c:pt idx="27">
                  <c:v>1620</c:v>
                </c:pt>
                <c:pt idx="28">
                  <c:v>1680</c:v>
                </c:pt>
                <c:pt idx="29">
                  <c:v>1740</c:v>
                </c:pt>
                <c:pt idx="30">
                  <c:v>1800</c:v>
                </c:pt>
                <c:pt idx="31">
                  <c:v>1860</c:v>
                </c:pt>
                <c:pt idx="32">
                  <c:v>1920</c:v>
                </c:pt>
                <c:pt idx="33">
                  <c:v>1980</c:v>
                </c:pt>
                <c:pt idx="34">
                  <c:v>2040</c:v>
                </c:pt>
                <c:pt idx="35">
                  <c:v>2100</c:v>
                </c:pt>
                <c:pt idx="36">
                  <c:v>2160</c:v>
                </c:pt>
                <c:pt idx="37">
                  <c:v>2220</c:v>
                </c:pt>
                <c:pt idx="38">
                  <c:v>2280</c:v>
                </c:pt>
                <c:pt idx="39">
                  <c:v>2340</c:v>
                </c:pt>
                <c:pt idx="40">
                  <c:v>2400</c:v>
                </c:pt>
                <c:pt idx="41">
                  <c:v>2460</c:v>
                </c:pt>
                <c:pt idx="42">
                  <c:v>2520</c:v>
                </c:pt>
                <c:pt idx="43">
                  <c:v>2580</c:v>
                </c:pt>
                <c:pt idx="44">
                  <c:v>2640</c:v>
                </c:pt>
                <c:pt idx="45">
                  <c:v>2700</c:v>
                </c:pt>
                <c:pt idx="46">
                  <c:v>2760</c:v>
                </c:pt>
                <c:pt idx="47">
                  <c:v>2820</c:v>
                </c:pt>
                <c:pt idx="48">
                  <c:v>2880</c:v>
                </c:pt>
                <c:pt idx="49">
                  <c:v>2940</c:v>
                </c:pt>
                <c:pt idx="50">
                  <c:v>3000</c:v>
                </c:pt>
                <c:pt idx="51">
                  <c:v>3060</c:v>
                </c:pt>
                <c:pt idx="52">
                  <c:v>3120</c:v>
                </c:pt>
                <c:pt idx="53">
                  <c:v>3180</c:v>
                </c:pt>
                <c:pt idx="54">
                  <c:v>3240</c:v>
                </c:pt>
                <c:pt idx="55">
                  <c:v>3300</c:v>
                </c:pt>
                <c:pt idx="56">
                  <c:v>3360</c:v>
                </c:pt>
                <c:pt idx="57">
                  <c:v>3420</c:v>
                </c:pt>
                <c:pt idx="58">
                  <c:v>3480</c:v>
                </c:pt>
                <c:pt idx="59">
                  <c:v>3540</c:v>
                </c:pt>
                <c:pt idx="60">
                  <c:v>3600</c:v>
                </c:pt>
                <c:pt idx="61">
                  <c:v>3660</c:v>
                </c:pt>
                <c:pt idx="62">
                  <c:v>3720</c:v>
                </c:pt>
                <c:pt idx="63">
                  <c:v>3780</c:v>
                </c:pt>
                <c:pt idx="64">
                  <c:v>3840</c:v>
                </c:pt>
                <c:pt idx="65">
                  <c:v>3900</c:v>
                </c:pt>
                <c:pt idx="66">
                  <c:v>3960</c:v>
                </c:pt>
                <c:pt idx="67">
                  <c:v>4020</c:v>
                </c:pt>
                <c:pt idx="68">
                  <c:v>4080</c:v>
                </c:pt>
                <c:pt idx="69">
                  <c:v>4140</c:v>
                </c:pt>
                <c:pt idx="70">
                  <c:v>4200</c:v>
                </c:pt>
                <c:pt idx="71">
                  <c:v>4260</c:v>
                </c:pt>
                <c:pt idx="72">
                  <c:v>4320</c:v>
                </c:pt>
                <c:pt idx="73">
                  <c:v>4380</c:v>
                </c:pt>
                <c:pt idx="74">
                  <c:v>4440</c:v>
                </c:pt>
                <c:pt idx="75">
                  <c:v>4500</c:v>
                </c:pt>
                <c:pt idx="76">
                  <c:v>4560</c:v>
                </c:pt>
                <c:pt idx="77">
                  <c:v>4620</c:v>
                </c:pt>
                <c:pt idx="78">
                  <c:v>4680</c:v>
                </c:pt>
                <c:pt idx="79">
                  <c:v>4740</c:v>
                </c:pt>
                <c:pt idx="80">
                  <c:v>4800</c:v>
                </c:pt>
                <c:pt idx="81">
                  <c:v>4860</c:v>
                </c:pt>
                <c:pt idx="82">
                  <c:v>4920</c:v>
                </c:pt>
                <c:pt idx="83">
                  <c:v>4980</c:v>
                </c:pt>
                <c:pt idx="84">
                  <c:v>5040</c:v>
                </c:pt>
                <c:pt idx="85">
                  <c:v>5100</c:v>
                </c:pt>
                <c:pt idx="86">
                  <c:v>5160</c:v>
                </c:pt>
                <c:pt idx="87">
                  <c:v>5220</c:v>
                </c:pt>
                <c:pt idx="88">
                  <c:v>5280</c:v>
                </c:pt>
                <c:pt idx="89">
                  <c:v>5340</c:v>
                </c:pt>
                <c:pt idx="90">
                  <c:v>5400</c:v>
                </c:pt>
                <c:pt idx="91">
                  <c:v>5460</c:v>
                </c:pt>
                <c:pt idx="92">
                  <c:v>5520</c:v>
                </c:pt>
                <c:pt idx="93">
                  <c:v>5580</c:v>
                </c:pt>
                <c:pt idx="94">
                  <c:v>5640</c:v>
                </c:pt>
                <c:pt idx="95">
                  <c:v>5700</c:v>
                </c:pt>
                <c:pt idx="96">
                  <c:v>5760</c:v>
                </c:pt>
                <c:pt idx="97">
                  <c:v>5820</c:v>
                </c:pt>
                <c:pt idx="98">
                  <c:v>5880</c:v>
                </c:pt>
                <c:pt idx="99">
                  <c:v>5940</c:v>
                </c:pt>
                <c:pt idx="100">
                  <c:v>6000</c:v>
                </c:pt>
                <c:pt idx="101">
                  <c:v>6060</c:v>
                </c:pt>
                <c:pt idx="102">
                  <c:v>6120</c:v>
                </c:pt>
                <c:pt idx="103">
                  <c:v>6180</c:v>
                </c:pt>
                <c:pt idx="104">
                  <c:v>6240</c:v>
                </c:pt>
                <c:pt idx="105">
                  <c:v>6300</c:v>
                </c:pt>
                <c:pt idx="106">
                  <c:v>6360</c:v>
                </c:pt>
                <c:pt idx="107">
                  <c:v>6420</c:v>
                </c:pt>
                <c:pt idx="108">
                  <c:v>6480</c:v>
                </c:pt>
                <c:pt idx="109">
                  <c:v>6540</c:v>
                </c:pt>
                <c:pt idx="110">
                  <c:v>6600</c:v>
                </c:pt>
                <c:pt idx="111">
                  <c:v>6660</c:v>
                </c:pt>
                <c:pt idx="112">
                  <c:v>6720</c:v>
                </c:pt>
                <c:pt idx="113">
                  <c:v>6780</c:v>
                </c:pt>
                <c:pt idx="114">
                  <c:v>6840</c:v>
                </c:pt>
                <c:pt idx="115">
                  <c:v>6900</c:v>
                </c:pt>
                <c:pt idx="116">
                  <c:v>6960</c:v>
                </c:pt>
                <c:pt idx="117">
                  <c:v>7020</c:v>
                </c:pt>
                <c:pt idx="118">
                  <c:v>7080</c:v>
                </c:pt>
                <c:pt idx="119">
                  <c:v>7140</c:v>
                </c:pt>
                <c:pt idx="120">
                  <c:v>7200</c:v>
                </c:pt>
                <c:pt idx="121">
                  <c:v>7260</c:v>
                </c:pt>
                <c:pt idx="122">
                  <c:v>7320</c:v>
                </c:pt>
                <c:pt idx="123">
                  <c:v>7380</c:v>
                </c:pt>
                <c:pt idx="124">
                  <c:v>7440</c:v>
                </c:pt>
                <c:pt idx="125">
                  <c:v>7500</c:v>
                </c:pt>
                <c:pt idx="126">
                  <c:v>7560</c:v>
                </c:pt>
                <c:pt idx="127">
                  <c:v>7620</c:v>
                </c:pt>
                <c:pt idx="128">
                  <c:v>7680</c:v>
                </c:pt>
                <c:pt idx="129">
                  <c:v>7740</c:v>
                </c:pt>
                <c:pt idx="130">
                  <c:v>7800</c:v>
                </c:pt>
                <c:pt idx="131">
                  <c:v>7860</c:v>
                </c:pt>
                <c:pt idx="132">
                  <c:v>7920</c:v>
                </c:pt>
                <c:pt idx="133">
                  <c:v>7980</c:v>
                </c:pt>
                <c:pt idx="134">
                  <c:v>8040</c:v>
                </c:pt>
                <c:pt idx="135">
                  <c:v>8100</c:v>
                </c:pt>
                <c:pt idx="136">
                  <c:v>8160</c:v>
                </c:pt>
                <c:pt idx="137">
                  <c:v>8220</c:v>
                </c:pt>
                <c:pt idx="138">
                  <c:v>8280</c:v>
                </c:pt>
                <c:pt idx="139">
                  <c:v>8340</c:v>
                </c:pt>
                <c:pt idx="140">
                  <c:v>8400</c:v>
                </c:pt>
                <c:pt idx="141">
                  <c:v>8460</c:v>
                </c:pt>
                <c:pt idx="142">
                  <c:v>8520</c:v>
                </c:pt>
                <c:pt idx="143">
                  <c:v>8580</c:v>
                </c:pt>
                <c:pt idx="144">
                  <c:v>8640</c:v>
                </c:pt>
                <c:pt idx="145">
                  <c:v>8700</c:v>
                </c:pt>
                <c:pt idx="146">
                  <c:v>8760</c:v>
                </c:pt>
                <c:pt idx="147">
                  <c:v>8820</c:v>
                </c:pt>
                <c:pt idx="148">
                  <c:v>8880</c:v>
                </c:pt>
                <c:pt idx="149">
                  <c:v>8940</c:v>
                </c:pt>
                <c:pt idx="150">
                  <c:v>9000</c:v>
                </c:pt>
                <c:pt idx="151">
                  <c:v>9060</c:v>
                </c:pt>
                <c:pt idx="152">
                  <c:v>9120</c:v>
                </c:pt>
                <c:pt idx="153">
                  <c:v>9180</c:v>
                </c:pt>
                <c:pt idx="154">
                  <c:v>9240</c:v>
                </c:pt>
                <c:pt idx="155">
                  <c:v>9300</c:v>
                </c:pt>
                <c:pt idx="156">
                  <c:v>9360</c:v>
                </c:pt>
                <c:pt idx="157">
                  <c:v>9420</c:v>
                </c:pt>
                <c:pt idx="158">
                  <c:v>9480</c:v>
                </c:pt>
                <c:pt idx="159">
                  <c:v>9540</c:v>
                </c:pt>
                <c:pt idx="160">
                  <c:v>9600</c:v>
                </c:pt>
                <c:pt idx="161">
                  <c:v>9660</c:v>
                </c:pt>
                <c:pt idx="162">
                  <c:v>9720</c:v>
                </c:pt>
                <c:pt idx="163">
                  <c:v>9780</c:v>
                </c:pt>
                <c:pt idx="164">
                  <c:v>9840</c:v>
                </c:pt>
                <c:pt idx="165">
                  <c:v>9900</c:v>
                </c:pt>
                <c:pt idx="166">
                  <c:v>9960</c:v>
                </c:pt>
                <c:pt idx="167">
                  <c:v>10020</c:v>
                </c:pt>
                <c:pt idx="168">
                  <c:v>10080</c:v>
                </c:pt>
                <c:pt idx="169">
                  <c:v>10140</c:v>
                </c:pt>
                <c:pt idx="170">
                  <c:v>10200</c:v>
                </c:pt>
                <c:pt idx="171">
                  <c:v>10260</c:v>
                </c:pt>
                <c:pt idx="172">
                  <c:v>10320</c:v>
                </c:pt>
                <c:pt idx="173">
                  <c:v>10380</c:v>
                </c:pt>
                <c:pt idx="174">
                  <c:v>10440</c:v>
                </c:pt>
                <c:pt idx="175">
                  <c:v>10500</c:v>
                </c:pt>
                <c:pt idx="176">
                  <c:v>10560</c:v>
                </c:pt>
                <c:pt idx="177">
                  <c:v>10620</c:v>
                </c:pt>
                <c:pt idx="178">
                  <c:v>10680</c:v>
                </c:pt>
                <c:pt idx="179">
                  <c:v>10740</c:v>
                </c:pt>
                <c:pt idx="180">
                  <c:v>10800</c:v>
                </c:pt>
                <c:pt idx="181">
                  <c:v>10860</c:v>
                </c:pt>
                <c:pt idx="182">
                  <c:v>10920</c:v>
                </c:pt>
                <c:pt idx="183">
                  <c:v>10980</c:v>
                </c:pt>
                <c:pt idx="184">
                  <c:v>11040</c:v>
                </c:pt>
                <c:pt idx="185">
                  <c:v>11100</c:v>
                </c:pt>
                <c:pt idx="186">
                  <c:v>11160</c:v>
                </c:pt>
                <c:pt idx="187">
                  <c:v>11220</c:v>
                </c:pt>
                <c:pt idx="188">
                  <c:v>11280</c:v>
                </c:pt>
                <c:pt idx="189">
                  <c:v>11340</c:v>
                </c:pt>
                <c:pt idx="190">
                  <c:v>11400</c:v>
                </c:pt>
                <c:pt idx="191">
                  <c:v>11460</c:v>
                </c:pt>
                <c:pt idx="192">
                  <c:v>11520</c:v>
                </c:pt>
                <c:pt idx="193">
                  <c:v>11580</c:v>
                </c:pt>
                <c:pt idx="194">
                  <c:v>11640</c:v>
                </c:pt>
                <c:pt idx="195">
                  <c:v>11700</c:v>
                </c:pt>
                <c:pt idx="196">
                  <c:v>11760</c:v>
                </c:pt>
                <c:pt idx="197">
                  <c:v>11820</c:v>
                </c:pt>
                <c:pt idx="198">
                  <c:v>11880</c:v>
                </c:pt>
                <c:pt idx="199">
                  <c:v>11940</c:v>
                </c:pt>
                <c:pt idx="200">
                  <c:v>12000</c:v>
                </c:pt>
                <c:pt idx="201">
                  <c:v>12060</c:v>
                </c:pt>
                <c:pt idx="202">
                  <c:v>12120</c:v>
                </c:pt>
                <c:pt idx="203">
                  <c:v>12180</c:v>
                </c:pt>
                <c:pt idx="204">
                  <c:v>12240</c:v>
                </c:pt>
                <c:pt idx="205">
                  <c:v>12300</c:v>
                </c:pt>
                <c:pt idx="206">
                  <c:v>12360</c:v>
                </c:pt>
                <c:pt idx="207">
                  <c:v>12420</c:v>
                </c:pt>
                <c:pt idx="208">
                  <c:v>12480</c:v>
                </c:pt>
                <c:pt idx="209">
                  <c:v>12540</c:v>
                </c:pt>
                <c:pt idx="210">
                  <c:v>12600</c:v>
                </c:pt>
                <c:pt idx="211">
                  <c:v>12660</c:v>
                </c:pt>
                <c:pt idx="212">
                  <c:v>12720</c:v>
                </c:pt>
                <c:pt idx="213">
                  <c:v>12780</c:v>
                </c:pt>
                <c:pt idx="214">
                  <c:v>12840</c:v>
                </c:pt>
                <c:pt idx="215">
                  <c:v>12900</c:v>
                </c:pt>
                <c:pt idx="216">
                  <c:v>12960</c:v>
                </c:pt>
                <c:pt idx="217">
                  <c:v>13020</c:v>
                </c:pt>
                <c:pt idx="218">
                  <c:v>13080</c:v>
                </c:pt>
                <c:pt idx="219">
                  <c:v>13140</c:v>
                </c:pt>
                <c:pt idx="220">
                  <c:v>13200</c:v>
                </c:pt>
                <c:pt idx="221">
                  <c:v>13260</c:v>
                </c:pt>
                <c:pt idx="222">
                  <c:v>13320</c:v>
                </c:pt>
                <c:pt idx="223">
                  <c:v>13380</c:v>
                </c:pt>
                <c:pt idx="224">
                  <c:v>13440</c:v>
                </c:pt>
                <c:pt idx="225">
                  <c:v>13500</c:v>
                </c:pt>
                <c:pt idx="226">
                  <c:v>13560</c:v>
                </c:pt>
                <c:pt idx="227">
                  <c:v>13620</c:v>
                </c:pt>
                <c:pt idx="228">
                  <c:v>13680</c:v>
                </c:pt>
                <c:pt idx="229">
                  <c:v>13740</c:v>
                </c:pt>
                <c:pt idx="230">
                  <c:v>13800</c:v>
                </c:pt>
                <c:pt idx="231">
                  <c:v>13860</c:v>
                </c:pt>
                <c:pt idx="232">
                  <c:v>13920</c:v>
                </c:pt>
                <c:pt idx="233">
                  <c:v>13980</c:v>
                </c:pt>
                <c:pt idx="234">
                  <c:v>14040</c:v>
                </c:pt>
                <c:pt idx="235">
                  <c:v>14100</c:v>
                </c:pt>
                <c:pt idx="236">
                  <c:v>14160</c:v>
                </c:pt>
                <c:pt idx="237">
                  <c:v>14220</c:v>
                </c:pt>
                <c:pt idx="238">
                  <c:v>14280</c:v>
                </c:pt>
                <c:pt idx="239">
                  <c:v>14340</c:v>
                </c:pt>
                <c:pt idx="240">
                  <c:v>14400</c:v>
                </c:pt>
                <c:pt idx="241">
                  <c:v>14460</c:v>
                </c:pt>
                <c:pt idx="242">
                  <c:v>14520</c:v>
                </c:pt>
                <c:pt idx="243">
                  <c:v>14580</c:v>
                </c:pt>
                <c:pt idx="244">
                  <c:v>14640</c:v>
                </c:pt>
                <c:pt idx="245">
                  <c:v>14700</c:v>
                </c:pt>
                <c:pt idx="246">
                  <c:v>14760</c:v>
                </c:pt>
                <c:pt idx="247">
                  <c:v>14820</c:v>
                </c:pt>
                <c:pt idx="248">
                  <c:v>14880</c:v>
                </c:pt>
                <c:pt idx="249">
                  <c:v>14940</c:v>
                </c:pt>
                <c:pt idx="250">
                  <c:v>15000</c:v>
                </c:pt>
                <c:pt idx="251">
                  <c:v>15060</c:v>
                </c:pt>
                <c:pt idx="252">
                  <c:v>15120</c:v>
                </c:pt>
                <c:pt idx="253">
                  <c:v>15180</c:v>
                </c:pt>
                <c:pt idx="254">
                  <c:v>15240</c:v>
                </c:pt>
                <c:pt idx="255">
                  <c:v>15300</c:v>
                </c:pt>
                <c:pt idx="256">
                  <c:v>15360</c:v>
                </c:pt>
                <c:pt idx="257">
                  <c:v>15420</c:v>
                </c:pt>
                <c:pt idx="258">
                  <c:v>15480</c:v>
                </c:pt>
                <c:pt idx="259">
                  <c:v>15540</c:v>
                </c:pt>
                <c:pt idx="260">
                  <c:v>15600</c:v>
                </c:pt>
                <c:pt idx="261">
                  <c:v>15660</c:v>
                </c:pt>
                <c:pt idx="262">
                  <c:v>15720</c:v>
                </c:pt>
                <c:pt idx="263">
                  <c:v>15780</c:v>
                </c:pt>
                <c:pt idx="264">
                  <c:v>15840</c:v>
                </c:pt>
                <c:pt idx="265">
                  <c:v>15900</c:v>
                </c:pt>
                <c:pt idx="266">
                  <c:v>15960</c:v>
                </c:pt>
                <c:pt idx="267">
                  <c:v>16020</c:v>
                </c:pt>
                <c:pt idx="268">
                  <c:v>16080</c:v>
                </c:pt>
                <c:pt idx="269">
                  <c:v>16140</c:v>
                </c:pt>
                <c:pt idx="270">
                  <c:v>16200</c:v>
                </c:pt>
                <c:pt idx="271">
                  <c:v>16260</c:v>
                </c:pt>
                <c:pt idx="272">
                  <c:v>16320</c:v>
                </c:pt>
                <c:pt idx="273">
                  <c:v>16380</c:v>
                </c:pt>
                <c:pt idx="274">
                  <c:v>16440</c:v>
                </c:pt>
                <c:pt idx="275">
                  <c:v>16500</c:v>
                </c:pt>
                <c:pt idx="276">
                  <c:v>16560</c:v>
                </c:pt>
                <c:pt idx="277">
                  <c:v>16620</c:v>
                </c:pt>
                <c:pt idx="278">
                  <c:v>16680</c:v>
                </c:pt>
                <c:pt idx="279">
                  <c:v>16740</c:v>
                </c:pt>
                <c:pt idx="280">
                  <c:v>16800</c:v>
                </c:pt>
                <c:pt idx="281">
                  <c:v>16860</c:v>
                </c:pt>
                <c:pt idx="282">
                  <c:v>16920</c:v>
                </c:pt>
                <c:pt idx="283">
                  <c:v>16980</c:v>
                </c:pt>
                <c:pt idx="284">
                  <c:v>17040</c:v>
                </c:pt>
                <c:pt idx="285">
                  <c:v>17100</c:v>
                </c:pt>
                <c:pt idx="286">
                  <c:v>17160</c:v>
                </c:pt>
                <c:pt idx="287">
                  <c:v>17220</c:v>
                </c:pt>
                <c:pt idx="288">
                  <c:v>17280</c:v>
                </c:pt>
                <c:pt idx="289">
                  <c:v>17340</c:v>
                </c:pt>
                <c:pt idx="290">
                  <c:v>17400</c:v>
                </c:pt>
                <c:pt idx="291">
                  <c:v>17460</c:v>
                </c:pt>
                <c:pt idx="292">
                  <c:v>17520</c:v>
                </c:pt>
                <c:pt idx="293">
                  <c:v>17580</c:v>
                </c:pt>
                <c:pt idx="294">
                  <c:v>17640</c:v>
                </c:pt>
                <c:pt idx="295">
                  <c:v>17700</c:v>
                </c:pt>
                <c:pt idx="296">
                  <c:v>17760</c:v>
                </c:pt>
                <c:pt idx="297">
                  <c:v>17820</c:v>
                </c:pt>
                <c:pt idx="298">
                  <c:v>17880</c:v>
                </c:pt>
                <c:pt idx="299">
                  <c:v>17940</c:v>
                </c:pt>
                <c:pt idx="300">
                  <c:v>18000</c:v>
                </c:pt>
              </c:numCache>
            </c:numRef>
          </c:xVal>
          <c:yVal>
            <c:numRef>
              <c:f>Sheet2!$H$16:$H$150</c:f>
              <c:numCache>
                <c:formatCode>General</c:formatCode>
                <c:ptCount val="135"/>
                <c:pt idx="0">
                  <c:v>0.001</c:v>
                </c:pt>
                <c:pt idx="1">
                  <c:v>0.002</c:v>
                </c:pt>
                <c:pt idx="2">
                  <c:v>0.003</c:v>
                </c:pt>
                <c:pt idx="3">
                  <c:v>0.004</c:v>
                </c:pt>
                <c:pt idx="4">
                  <c:v>0.004</c:v>
                </c:pt>
                <c:pt idx="5">
                  <c:v>0.005</c:v>
                </c:pt>
                <c:pt idx="6">
                  <c:v>0.006</c:v>
                </c:pt>
                <c:pt idx="7">
                  <c:v>0.007</c:v>
                </c:pt>
                <c:pt idx="8">
                  <c:v>0.008</c:v>
                </c:pt>
                <c:pt idx="9">
                  <c:v>0.01</c:v>
                </c:pt>
                <c:pt idx="10">
                  <c:v>0.011</c:v>
                </c:pt>
                <c:pt idx="11">
                  <c:v>0.011</c:v>
                </c:pt>
                <c:pt idx="12">
                  <c:v>0.012</c:v>
                </c:pt>
                <c:pt idx="13">
                  <c:v>0.013</c:v>
                </c:pt>
                <c:pt idx="14">
                  <c:v>0.013</c:v>
                </c:pt>
                <c:pt idx="15">
                  <c:v>0.015</c:v>
                </c:pt>
                <c:pt idx="16">
                  <c:v>0.014</c:v>
                </c:pt>
                <c:pt idx="17">
                  <c:v>0.016</c:v>
                </c:pt>
                <c:pt idx="18">
                  <c:v>0.016</c:v>
                </c:pt>
                <c:pt idx="19">
                  <c:v>0.018</c:v>
                </c:pt>
                <c:pt idx="20">
                  <c:v>0.017</c:v>
                </c:pt>
                <c:pt idx="21">
                  <c:v>0.02</c:v>
                </c:pt>
                <c:pt idx="22">
                  <c:v>0.021</c:v>
                </c:pt>
                <c:pt idx="23">
                  <c:v>0.023</c:v>
                </c:pt>
                <c:pt idx="24">
                  <c:v>0.021</c:v>
                </c:pt>
                <c:pt idx="25">
                  <c:v>0.022</c:v>
                </c:pt>
                <c:pt idx="26">
                  <c:v>0.023</c:v>
                </c:pt>
                <c:pt idx="27">
                  <c:v>0.024</c:v>
                </c:pt>
                <c:pt idx="28">
                  <c:v>0.026</c:v>
                </c:pt>
                <c:pt idx="29">
                  <c:v>0.026</c:v>
                </c:pt>
                <c:pt idx="30">
                  <c:v>0.027</c:v>
                </c:pt>
                <c:pt idx="31">
                  <c:v>0.028</c:v>
                </c:pt>
                <c:pt idx="32">
                  <c:v>0.029</c:v>
                </c:pt>
                <c:pt idx="33">
                  <c:v>0.031</c:v>
                </c:pt>
                <c:pt idx="34">
                  <c:v>0.031</c:v>
                </c:pt>
                <c:pt idx="35">
                  <c:v>0.031</c:v>
                </c:pt>
                <c:pt idx="36">
                  <c:v>0.032</c:v>
                </c:pt>
                <c:pt idx="37">
                  <c:v>0.034</c:v>
                </c:pt>
                <c:pt idx="38">
                  <c:v>0.033</c:v>
                </c:pt>
                <c:pt idx="39">
                  <c:v>0.035</c:v>
                </c:pt>
                <c:pt idx="40">
                  <c:v>0.036</c:v>
                </c:pt>
                <c:pt idx="41">
                  <c:v>0.037</c:v>
                </c:pt>
                <c:pt idx="42">
                  <c:v>0.037</c:v>
                </c:pt>
                <c:pt idx="43">
                  <c:v>0.039</c:v>
                </c:pt>
                <c:pt idx="44">
                  <c:v>0.039</c:v>
                </c:pt>
                <c:pt idx="45">
                  <c:v>0.04</c:v>
                </c:pt>
                <c:pt idx="46">
                  <c:v>0.043</c:v>
                </c:pt>
                <c:pt idx="47">
                  <c:v>0.042</c:v>
                </c:pt>
                <c:pt idx="48">
                  <c:v>0.043</c:v>
                </c:pt>
                <c:pt idx="49">
                  <c:v>0.044</c:v>
                </c:pt>
                <c:pt idx="50">
                  <c:v>0.046</c:v>
                </c:pt>
                <c:pt idx="51">
                  <c:v>0.047</c:v>
                </c:pt>
                <c:pt idx="52">
                  <c:v>0.05</c:v>
                </c:pt>
                <c:pt idx="53">
                  <c:v>0.049</c:v>
                </c:pt>
                <c:pt idx="54">
                  <c:v>0.051</c:v>
                </c:pt>
                <c:pt idx="55">
                  <c:v>0.05</c:v>
                </c:pt>
                <c:pt idx="56">
                  <c:v>0.054</c:v>
                </c:pt>
                <c:pt idx="57">
                  <c:v>0.053</c:v>
                </c:pt>
                <c:pt idx="58">
                  <c:v>0.056</c:v>
                </c:pt>
                <c:pt idx="59">
                  <c:v>0.055</c:v>
                </c:pt>
                <c:pt idx="60">
                  <c:v>0.058</c:v>
                </c:pt>
                <c:pt idx="61">
                  <c:v>0.056</c:v>
                </c:pt>
                <c:pt idx="62">
                  <c:v>0.06</c:v>
                </c:pt>
                <c:pt idx="63">
                  <c:v>0.059</c:v>
                </c:pt>
                <c:pt idx="64">
                  <c:v>0.061</c:v>
                </c:pt>
                <c:pt idx="65">
                  <c:v>0.06</c:v>
                </c:pt>
                <c:pt idx="66">
                  <c:v>0.062</c:v>
                </c:pt>
                <c:pt idx="67">
                  <c:v>0.063</c:v>
                </c:pt>
                <c:pt idx="68">
                  <c:v>0.064</c:v>
                </c:pt>
                <c:pt idx="69">
                  <c:v>0.066</c:v>
                </c:pt>
                <c:pt idx="70">
                  <c:v>0.068</c:v>
                </c:pt>
                <c:pt idx="71">
                  <c:v>0.07</c:v>
                </c:pt>
                <c:pt idx="72">
                  <c:v>0.068</c:v>
                </c:pt>
                <c:pt idx="73">
                  <c:v>0.07</c:v>
                </c:pt>
                <c:pt idx="74">
                  <c:v>0.07</c:v>
                </c:pt>
                <c:pt idx="75">
                  <c:v>0.073</c:v>
                </c:pt>
                <c:pt idx="76">
                  <c:v>0.073</c:v>
                </c:pt>
                <c:pt idx="77">
                  <c:v>0.074</c:v>
                </c:pt>
                <c:pt idx="78">
                  <c:v>0.075</c:v>
                </c:pt>
                <c:pt idx="79">
                  <c:v>0.077</c:v>
                </c:pt>
                <c:pt idx="80">
                  <c:v>0.077</c:v>
                </c:pt>
                <c:pt idx="81">
                  <c:v>0.079</c:v>
                </c:pt>
                <c:pt idx="82">
                  <c:v>0.08</c:v>
                </c:pt>
                <c:pt idx="83">
                  <c:v>0.082</c:v>
                </c:pt>
                <c:pt idx="84">
                  <c:v>0.082</c:v>
                </c:pt>
                <c:pt idx="85">
                  <c:v>0.084</c:v>
                </c:pt>
                <c:pt idx="86">
                  <c:v>0.085</c:v>
                </c:pt>
                <c:pt idx="87">
                  <c:v>0.086</c:v>
                </c:pt>
                <c:pt idx="88">
                  <c:v>0.087</c:v>
                </c:pt>
                <c:pt idx="89">
                  <c:v>0.088</c:v>
                </c:pt>
                <c:pt idx="90">
                  <c:v>0.089</c:v>
                </c:pt>
                <c:pt idx="91">
                  <c:v>0.091</c:v>
                </c:pt>
                <c:pt idx="92">
                  <c:v>0.091</c:v>
                </c:pt>
                <c:pt idx="93">
                  <c:v>0.094</c:v>
                </c:pt>
                <c:pt idx="94">
                  <c:v>0.094</c:v>
                </c:pt>
                <c:pt idx="95">
                  <c:v>0.095</c:v>
                </c:pt>
                <c:pt idx="96">
                  <c:v>0.096</c:v>
                </c:pt>
                <c:pt idx="97">
                  <c:v>0.098</c:v>
                </c:pt>
                <c:pt idx="98">
                  <c:v>0.098</c:v>
                </c:pt>
                <c:pt idx="99">
                  <c:v>0.1</c:v>
                </c:pt>
                <c:pt idx="100">
                  <c:v>0.1</c:v>
                </c:pt>
                <c:pt idx="101">
                  <c:v>0.102</c:v>
                </c:pt>
                <c:pt idx="102">
                  <c:v>0.103</c:v>
                </c:pt>
                <c:pt idx="103">
                  <c:v>0.105</c:v>
                </c:pt>
                <c:pt idx="104">
                  <c:v>0.105</c:v>
                </c:pt>
                <c:pt idx="105">
                  <c:v>0.107</c:v>
                </c:pt>
                <c:pt idx="106">
                  <c:v>0.108</c:v>
                </c:pt>
                <c:pt idx="107">
                  <c:v>0.109</c:v>
                </c:pt>
                <c:pt idx="108">
                  <c:v>0.11</c:v>
                </c:pt>
                <c:pt idx="109">
                  <c:v>0.111</c:v>
                </c:pt>
                <c:pt idx="110">
                  <c:v>0.113</c:v>
                </c:pt>
                <c:pt idx="111">
                  <c:v>0.114</c:v>
                </c:pt>
                <c:pt idx="112">
                  <c:v>0.115</c:v>
                </c:pt>
                <c:pt idx="113">
                  <c:v>0.117</c:v>
                </c:pt>
                <c:pt idx="114">
                  <c:v>0.117</c:v>
                </c:pt>
                <c:pt idx="115">
                  <c:v>0.118</c:v>
                </c:pt>
                <c:pt idx="116">
                  <c:v>0.12</c:v>
                </c:pt>
                <c:pt idx="117">
                  <c:v>0.12</c:v>
                </c:pt>
                <c:pt idx="118">
                  <c:v>0.122</c:v>
                </c:pt>
                <c:pt idx="119">
                  <c:v>0.124</c:v>
                </c:pt>
                <c:pt idx="120">
                  <c:v>0.124</c:v>
                </c:pt>
                <c:pt idx="121">
                  <c:v>0.126</c:v>
                </c:pt>
                <c:pt idx="122">
                  <c:v>0.128</c:v>
                </c:pt>
                <c:pt idx="123">
                  <c:v>0.128</c:v>
                </c:pt>
                <c:pt idx="124">
                  <c:v>0.129</c:v>
                </c:pt>
                <c:pt idx="125">
                  <c:v>0.131</c:v>
                </c:pt>
                <c:pt idx="126">
                  <c:v>0.132</c:v>
                </c:pt>
                <c:pt idx="127">
                  <c:v>0.133</c:v>
                </c:pt>
                <c:pt idx="128">
                  <c:v>0.134</c:v>
                </c:pt>
                <c:pt idx="129">
                  <c:v>0.136</c:v>
                </c:pt>
                <c:pt idx="130">
                  <c:v>0.135</c:v>
                </c:pt>
                <c:pt idx="131">
                  <c:v>0.137</c:v>
                </c:pt>
                <c:pt idx="132">
                  <c:v>0.138</c:v>
                </c:pt>
                <c:pt idx="133">
                  <c:v>0.14</c:v>
                </c:pt>
                <c:pt idx="134">
                  <c:v>0.141</c:v>
                </c:pt>
              </c:numCache>
            </c:numRef>
          </c:yVal>
          <c:smooth val="1"/>
        </c:ser>
        <c:ser>
          <c:idx val="2"/>
          <c:order val="2"/>
          <c:spPr>
            <a:solidFill>
              <a:srgbClr val="969696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969696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>
                    <a:alpha val="70000"/>
                  </a:srgbClr>
                </a:solidFill>
                <a:round/>
              </a:ln>
            </c:spPr>
            <c:trendlineType val="exp"/>
            <c:forward val="0"/>
            <c:backward val="0"/>
            <c:dispRSqr val="0"/>
            <c:dispEq val="1"/>
          </c:trendline>
          <c:xVal>
            <c:numRef>
              <c:f>Sheet2!$K$16:$K$316</c:f>
              <c:numCache>
                <c:formatCode>General</c:formatCode>
                <c:ptCount val="30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  <c:pt idx="21">
                  <c:v>1260</c:v>
                </c:pt>
                <c:pt idx="22">
                  <c:v>1320</c:v>
                </c:pt>
                <c:pt idx="23">
                  <c:v>1380</c:v>
                </c:pt>
                <c:pt idx="24">
                  <c:v>1440</c:v>
                </c:pt>
                <c:pt idx="25">
                  <c:v>1500</c:v>
                </c:pt>
                <c:pt idx="26">
                  <c:v>1560</c:v>
                </c:pt>
                <c:pt idx="27">
                  <c:v>1620</c:v>
                </c:pt>
                <c:pt idx="28">
                  <c:v>1680</c:v>
                </c:pt>
                <c:pt idx="29">
                  <c:v>1740</c:v>
                </c:pt>
                <c:pt idx="30">
                  <c:v>1800</c:v>
                </c:pt>
                <c:pt idx="31">
                  <c:v>1860</c:v>
                </c:pt>
                <c:pt idx="32">
                  <c:v>1920</c:v>
                </c:pt>
                <c:pt idx="33">
                  <c:v>1980</c:v>
                </c:pt>
                <c:pt idx="34">
                  <c:v>2040</c:v>
                </c:pt>
                <c:pt idx="35">
                  <c:v>2100</c:v>
                </c:pt>
                <c:pt idx="36">
                  <c:v>2160</c:v>
                </c:pt>
                <c:pt idx="37">
                  <c:v>2220</c:v>
                </c:pt>
                <c:pt idx="38">
                  <c:v>2280</c:v>
                </c:pt>
                <c:pt idx="39">
                  <c:v>2340</c:v>
                </c:pt>
                <c:pt idx="40">
                  <c:v>2400</c:v>
                </c:pt>
                <c:pt idx="41">
                  <c:v>2460</c:v>
                </c:pt>
                <c:pt idx="42">
                  <c:v>2520</c:v>
                </c:pt>
                <c:pt idx="43">
                  <c:v>2580</c:v>
                </c:pt>
                <c:pt idx="44">
                  <c:v>2640</c:v>
                </c:pt>
                <c:pt idx="45">
                  <c:v>2700</c:v>
                </c:pt>
                <c:pt idx="46">
                  <c:v>2760</c:v>
                </c:pt>
                <c:pt idx="47">
                  <c:v>2820</c:v>
                </c:pt>
                <c:pt idx="48">
                  <c:v>2880</c:v>
                </c:pt>
                <c:pt idx="49">
                  <c:v>2940</c:v>
                </c:pt>
                <c:pt idx="50">
                  <c:v>3000</c:v>
                </c:pt>
                <c:pt idx="51">
                  <c:v>3060</c:v>
                </c:pt>
                <c:pt idx="52">
                  <c:v>3120</c:v>
                </c:pt>
                <c:pt idx="53">
                  <c:v>3180</c:v>
                </c:pt>
                <c:pt idx="54">
                  <c:v>3240</c:v>
                </c:pt>
                <c:pt idx="55">
                  <c:v>3300</c:v>
                </c:pt>
                <c:pt idx="56">
                  <c:v>3360</c:v>
                </c:pt>
                <c:pt idx="57">
                  <c:v>3420</c:v>
                </c:pt>
                <c:pt idx="58">
                  <c:v>3480</c:v>
                </c:pt>
                <c:pt idx="59">
                  <c:v>3540</c:v>
                </c:pt>
                <c:pt idx="60">
                  <c:v>3600</c:v>
                </c:pt>
                <c:pt idx="61">
                  <c:v>3660</c:v>
                </c:pt>
                <c:pt idx="62">
                  <c:v>3720</c:v>
                </c:pt>
                <c:pt idx="63">
                  <c:v>3780</c:v>
                </c:pt>
                <c:pt idx="64">
                  <c:v>3840</c:v>
                </c:pt>
                <c:pt idx="65">
                  <c:v>3900</c:v>
                </c:pt>
                <c:pt idx="66">
                  <c:v>3960</c:v>
                </c:pt>
                <c:pt idx="67">
                  <c:v>4020</c:v>
                </c:pt>
                <c:pt idx="68">
                  <c:v>4080</c:v>
                </c:pt>
                <c:pt idx="69">
                  <c:v>4140</c:v>
                </c:pt>
                <c:pt idx="70">
                  <c:v>4200</c:v>
                </c:pt>
                <c:pt idx="71">
                  <c:v>4260</c:v>
                </c:pt>
                <c:pt idx="72">
                  <c:v>4320</c:v>
                </c:pt>
                <c:pt idx="73">
                  <c:v>4380</c:v>
                </c:pt>
                <c:pt idx="74">
                  <c:v>4440</c:v>
                </c:pt>
                <c:pt idx="75">
                  <c:v>4500</c:v>
                </c:pt>
                <c:pt idx="76">
                  <c:v>4560</c:v>
                </c:pt>
                <c:pt idx="77">
                  <c:v>4620</c:v>
                </c:pt>
                <c:pt idx="78">
                  <c:v>4680</c:v>
                </c:pt>
                <c:pt idx="79">
                  <c:v>4740</c:v>
                </c:pt>
                <c:pt idx="80">
                  <c:v>4800</c:v>
                </c:pt>
                <c:pt idx="81">
                  <c:v>4860</c:v>
                </c:pt>
                <c:pt idx="82">
                  <c:v>4920</c:v>
                </c:pt>
                <c:pt idx="83">
                  <c:v>4980</c:v>
                </c:pt>
                <c:pt idx="84">
                  <c:v>5040</c:v>
                </c:pt>
                <c:pt idx="85">
                  <c:v>5100</c:v>
                </c:pt>
                <c:pt idx="86">
                  <c:v>5160</c:v>
                </c:pt>
                <c:pt idx="87">
                  <c:v>5220</c:v>
                </c:pt>
                <c:pt idx="88">
                  <c:v>5280</c:v>
                </c:pt>
                <c:pt idx="89">
                  <c:v>5340</c:v>
                </c:pt>
                <c:pt idx="90">
                  <c:v>5400</c:v>
                </c:pt>
                <c:pt idx="91">
                  <c:v>5460</c:v>
                </c:pt>
                <c:pt idx="92">
                  <c:v>5520</c:v>
                </c:pt>
                <c:pt idx="93">
                  <c:v>5580</c:v>
                </c:pt>
                <c:pt idx="94">
                  <c:v>5640</c:v>
                </c:pt>
                <c:pt idx="95">
                  <c:v>5700</c:v>
                </c:pt>
                <c:pt idx="96">
                  <c:v>5760</c:v>
                </c:pt>
                <c:pt idx="97">
                  <c:v>5820</c:v>
                </c:pt>
                <c:pt idx="98">
                  <c:v>5880</c:v>
                </c:pt>
                <c:pt idx="99">
                  <c:v>5940</c:v>
                </c:pt>
                <c:pt idx="100">
                  <c:v>6000</c:v>
                </c:pt>
                <c:pt idx="101">
                  <c:v>6060</c:v>
                </c:pt>
                <c:pt idx="102">
                  <c:v>6120</c:v>
                </c:pt>
                <c:pt idx="103">
                  <c:v>6180</c:v>
                </c:pt>
                <c:pt idx="104">
                  <c:v>6240</c:v>
                </c:pt>
                <c:pt idx="105">
                  <c:v>6300</c:v>
                </c:pt>
                <c:pt idx="106">
                  <c:v>6360</c:v>
                </c:pt>
                <c:pt idx="107">
                  <c:v>6420</c:v>
                </c:pt>
                <c:pt idx="108">
                  <c:v>6480</c:v>
                </c:pt>
                <c:pt idx="109">
                  <c:v>6540</c:v>
                </c:pt>
                <c:pt idx="110">
                  <c:v>6600</c:v>
                </c:pt>
                <c:pt idx="111">
                  <c:v>6660</c:v>
                </c:pt>
                <c:pt idx="112">
                  <c:v>6720</c:v>
                </c:pt>
                <c:pt idx="113">
                  <c:v>6780</c:v>
                </c:pt>
                <c:pt idx="114">
                  <c:v>6840</c:v>
                </c:pt>
                <c:pt idx="115">
                  <c:v>6900</c:v>
                </c:pt>
                <c:pt idx="116">
                  <c:v>6960</c:v>
                </c:pt>
                <c:pt idx="117">
                  <c:v>7020</c:v>
                </c:pt>
                <c:pt idx="118">
                  <c:v>7080</c:v>
                </c:pt>
                <c:pt idx="119">
                  <c:v>7140</c:v>
                </c:pt>
                <c:pt idx="120">
                  <c:v>7200</c:v>
                </c:pt>
                <c:pt idx="121">
                  <c:v>7260</c:v>
                </c:pt>
                <c:pt idx="122">
                  <c:v>7320</c:v>
                </c:pt>
                <c:pt idx="123">
                  <c:v>7380</c:v>
                </c:pt>
                <c:pt idx="124">
                  <c:v>7440</c:v>
                </c:pt>
                <c:pt idx="125">
                  <c:v>7500</c:v>
                </c:pt>
                <c:pt idx="126">
                  <c:v>7560</c:v>
                </c:pt>
                <c:pt idx="127">
                  <c:v>7620</c:v>
                </c:pt>
                <c:pt idx="128">
                  <c:v>7680</c:v>
                </c:pt>
                <c:pt idx="129">
                  <c:v>7740</c:v>
                </c:pt>
                <c:pt idx="130">
                  <c:v>7800</c:v>
                </c:pt>
                <c:pt idx="131">
                  <c:v>7860</c:v>
                </c:pt>
                <c:pt idx="132">
                  <c:v>7920</c:v>
                </c:pt>
                <c:pt idx="133">
                  <c:v>7980</c:v>
                </c:pt>
                <c:pt idx="134">
                  <c:v>8040</c:v>
                </c:pt>
                <c:pt idx="135">
                  <c:v>8100</c:v>
                </c:pt>
                <c:pt idx="136">
                  <c:v>8160</c:v>
                </c:pt>
                <c:pt idx="137">
                  <c:v>8220</c:v>
                </c:pt>
                <c:pt idx="138">
                  <c:v>8280</c:v>
                </c:pt>
                <c:pt idx="139">
                  <c:v>8340</c:v>
                </c:pt>
                <c:pt idx="140">
                  <c:v>8400</c:v>
                </c:pt>
                <c:pt idx="141">
                  <c:v>8460</c:v>
                </c:pt>
                <c:pt idx="142">
                  <c:v>8520</c:v>
                </c:pt>
                <c:pt idx="143">
                  <c:v>8580</c:v>
                </c:pt>
                <c:pt idx="144">
                  <c:v>8640</c:v>
                </c:pt>
                <c:pt idx="145">
                  <c:v>8700</c:v>
                </c:pt>
                <c:pt idx="146">
                  <c:v>8760</c:v>
                </c:pt>
                <c:pt idx="147">
                  <c:v>8820</c:v>
                </c:pt>
                <c:pt idx="148">
                  <c:v>8880</c:v>
                </c:pt>
                <c:pt idx="149">
                  <c:v>8940</c:v>
                </c:pt>
                <c:pt idx="150">
                  <c:v>9000</c:v>
                </c:pt>
                <c:pt idx="151">
                  <c:v>9060</c:v>
                </c:pt>
                <c:pt idx="152">
                  <c:v>9120</c:v>
                </c:pt>
                <c:pt idx="153">
                  <c:v>9180</c:v>
                </c:pt>
                <c:pt idx="154">
                  <c:v>9240</c:v>
                </c:pt>
                <c:pt idx="155">
                  <c:v>9300</c:v>
                </c:pt>
                <c:pt idx="156">
                  <c:v>9360</c:v>
                </c:pt>
                <c:pt idx="157">
                  <c:v>9420</c:v>
                </c:pt>
                <c:pt idx="158">
                  <c:v>9480</c:v>
                </c:pt>
                <c:pt idx="159">
                  <c:v>9540</c:v>
                </c:pt>
                <c:pt idx="160">
                  <c:v>9600</c:v>
                </c:pt>
                <c:pt idx="161">
                  <c:v>9660</c:v>
                </c:pt>
                <c:pt idx="162">
                  <c:v>9720</c:v>
                </c:pt>
                <c:pt idx="163">
                  <c:v>9780</c:v>
                </c:pt>
                <c:pt idx="164">
                  <c:v>9840</c:v>
                </c:pt>
                <c:pt idx="165">
                  <c:v>9900</c:v>
                </c:pt>
                <c:pt idx="166">
                  <c:v>9960</c:v>
                </c:pt>
                <c:pt idx="167">
                  <c:v>10020</c:v>
                </c:pt>
                <c:pt idx="168">
                  <c:v>10080</c:v>
                </c:pt>
                <c:pt idx="169">
                  <c:v>10140</c:v>
                </c:pt>
                <c:pt idx="170">
                  <c:v>10200</c:v>
                </c:pt>
                <c:pt idx="171">
                  <c:v>10260</c:v>
                </c:pt>
                <c:pt idx="172">
                  <c:v>10320</c:v>
                </c:pt>
                <c:pt idx="173">
                  <c:v>10380</c:v>
                </c:pt>
                <c:pt idx="174">
                  <c:v>10440</c:v>
                </c:pt>
                <c:pt idx="175">
                  <c:v>10500</c:v>
                </c:pt>
                <c:pt idx="176">
                  <c:v>10560</c:v>
                </c:pt>
                <c:pt idx="177">
                  <c:v>10620</c:v>
                </c:pt>
                <c:pt idx="178">
                  <c:v>10680</c:v>
                </c:pt>
                <c:pt idx="179">
                  <c:v>10740</c:v>
                </c:pt>
                <c:pt idx="180">
                  <c:v>10800</c:v>
                </c:pt>
                <c:pt idx="181">
                  <c:v>10860</c:v>
                </c:pt>
                <c:pt idx="182">
                  <c:v>10920</c:v>
                </c:pt>
                <c:pt idx="183">
                  <c:v>10980</c:v>
                </c:pt>
                <c:pt idx="184">
                  <c:v>11040</c:v>
                </c:pt>
                <c:pt idx="185">
                  <c:v>11100</c:v>
                </c:pt>
                <c:pt idx="186">
                  <c:v>11160</c:v>
                </c:pt>
                <c:pt idx="187">
                  <c:v>11220</c:v>
                </c:pt>
                <c:pt idx="188">
                  <c:v>11280</c:v>
                </c:pt>
                <c:pt idx="189">
                  <c:v>11340</c:v>
                </c:pt>
                <c:pt idx="190">
                  <c:v>11400</c:v>
                </c:pt>
                <c:pt idx="191">
                  <c:v>11460</c:v>
                </c:pt>
                <c:pt idx="192">
                  <c:v>11520</c:v>
                </c:pt>
                <c:pt idx="193">
                  <c:v>11580</c:v>
                </c:pt>
                <c:pt idx="194">
                  <c:v>11640</c:v>
                </c:pt>
                <c:pt idx="195">
                  <c:v>11700</c:v>
                </c:pt>
                <c:pt idx="196">
                  <c:v>11760</c:v>
                </c:pt>
                <c:pt idx="197">
                  <c:v>11820</c:v>
                </c:pt>
                <c:pt idx="198">
                  <c:v>11880</c:v>
                </c:pt>
                <c:pt idx="199">
                  <c:v>11940</c:v>
                </c:pt>
                <c:pt idx="200">
                  <c:v>12000</c:v>
                </c:pt>
                <c:pt idx="201">
                  <c:v>12060</c:v>
                </c:pt>
                <c:pt idx="202">
                  <c:v>12120</c:v>
                </c:pt>
                <c:pt idx="203">
                  <c:v>12180</c:v>
                </c:pt>
                <c:pt idx="204">
                  <c:v>12240</c:v>
                </c:pt>
                <c:pt idx="205">
                  <c:v>12300</c:v>
                </c:pt>
                <c:pt idx="206">
                  <c:v>12360</c:v>
                </c:pt>
                <c:pt idx="207">
                  <c:v>12420</c:v>
                </c:pt>
                <c:pt idx="208">
                  <c:v>12480</c:v>
                </c:pt>
                <c:pt idx="209">
                  <c:v>12540</c:v>
                </c:pt>
                <c:pt idx="210">
                  <c:v>12600</c:v>
                </c:pt>
                <c:pt idx="211">
                  <c:v>12660</c:v>
                </c:pt>
                <c:pt idx="212">
                  <c:v>12720</c:v>
                </c:pt>
                <c:pt idx="213">
                  <c:v>12780</c:v>
                </c:pt>
                <c:pt idx="214">
                  <c:v>12840</c:v>
                </c:pt>
                <c:pt idx="215">
                  <c:v>12900</c:v>
                </c:pt>
                <c:pt idx="216">
                  <c:v>12960</c:v>
                </c:pt>
                <c:pt idx="217">
                  <c:v>13020</c:v>
                </c:pt>
                <c:pt idx="218">
                  <c:v>13080</c:v>
                </c:pt>
                <c:pt idx="219">
                  <c:v>13140</c:v>
                </c:pt>
                <c:pt idx="220">
                  <c:v>13200</c:v>
                </c:pt>
                <c:pt idx="221">
                  <c:v>13260</c:v>
                </c:pt>
                <c:pt idx="222">
                  <c:v>13320</c:v>
                </c:pt>
                <c:pt idx="223">
                  <c:v>13380</c:v>
                </c:pt>
                <c:pt idx="224">
                  <c:v>13440</c:v>
                </c:pt>
                <c:pt idx="225">
                  <c:v>13500</c:v>
                </c:pt>
                <c:pt idx="226">
                  <c:v>13560</c:v>
                </c:pt>
                <c:pt idx="227">
                  <c:v>13620</c:v>
                </c:pt>
                <c:pt idx="228">
                  <c:v>13680</c:v>
                </c:pt>
                <c:pt idx="229">
                  <c:v>13740</c:v>
                </c:pt>
                <c:pt idx="230">
                  <c:v>13800</c:v>
                </c:pt>
                <c:pt idx="231">
                  <c:v>13860</c:v>
                </c:pt>
                <c:pt idx="232">
                  <c:v>13920</c:v>
                </c:pt>
                <c:pt idx="233">
                  <c:v>13980</c:v>
                </c:pt>
                <c:pt idx="234">
                  <c:v>14040</c:v>
                </c:pt>
                <c:pt idx="235">
                  <c:v>14100</c:v>
                </c:pt>
                <c:pt idx="236">
                  <c:v>14160</c:v>
                </c:pt>
                <c:pt idx="237">
                  <c:v>14220</c:v>
                </c:pt>
                <c:pt idx="238">
                  <c:v>14280</c:v>
                </c:pt>
                <c:pt idx="239">
                  <c:v>14340</c:v>
                </c:pt>
                <c:pt idx="240">
                  <c:v>14400</c:v>
                </c:pt>
                <c:pt idx="241">
                  <c:v>14460</c:v>
                </c:pt>
                <c:pt idx="242">
                  <c:v>14520</c:v>
                </c:pt>
                <c:pt idx="243">
                  <c:v>14580</c:v>
                </c:pt>
                <c:pt idx="244">
                  <c:v>14640</c:v>
                </c:pt>
                <c:pt idx="245">
                  <c:v>14700</c:v>
                </c:pt>
                <c:pt idx="246">
                  <c:v>14760</c:v>
                </c:pt>
                <c:pt idx="247">
                  <c:v>14820</c:v>
                </c:pt>
                <c:pt idx="248">
                  <c:v>14880</c:v>
                </c:pt>
                <c:pt idx="249">
                  <c:v>14940</c:v>
                </c:pt>
                <c:pt idx="250">
                  <c:v>15000</c:v>
                </c:pt>
                <c:pt idx="251">
                  <c:v>15060</c:v>
                </c:pt>
                <c:pt idx="252">
                  <c:v>15120</c:v>
                </c:pt>
                <c:pt idx="253">
                  <c:v>15180</c:v>
                </c:pt>
                <c:pt idx="254">
                  <c:v>15240</c:v>
                </c:pt>
                <c:pt idx="255">
                  <c:v>15300</c:v>
                </c:pt>
                <c:pt idx="256">
                  <c:v>15360</c:v>
                </c:pt>
                <c:pt idx="257">
                  <c:v>15420</c:v>
                </c:pt>
                <c:pt idx="258">
                  <c:v>15480</c:v>
                </c:pt>
                <c:pt idx="259">
                  <c:v>15540</c:v>
                </c:pt>
                <c:pt idx="260">
                  <c:v>15600</c:v>
                </c:pt>
                <c:pt idx="261">
                  <c:v>15660</c:v>
                </c:pt>
                <c:pt idx="262">
                  <c:v>15720</c:v>
                </c:pt>
                <c:pt idx="263">
                  <c:v>15780</c:v>
                </c:pt>
                <c:pt idx="264">
                  <c:v>15840</c:v>
                </c:pt>
                <c:pt idx="265">
                  <c:v>15900</c:v>
                </c:pt>
                <c:pt idx="266">
                  <c:v>15960</c:v>
                </c:pt>
                <c:pt idx="267">
                  <c:v>16020</c:v>
                </c:pt>
                <c:pt idx="268">
                  <c:v>16080</c:v>
                </c:pt>
                <c:pt idx="269">
                  <c:v>16140</c:v>
                </c:pt>
                <c:pt idx="270">
                  <c:v>16200</c:v>
                </c:pt>
                <c:pt idx="271">
                  <c:v>16260</c:v>
                </c:pt>
                <c:pt idx="272">
                  <c:v>16320</c:v>
                </c:pt>
                <c:pt idx="273">
                  <c:v>16380</c:v>
                </c:pt>
                <c:pt idx="274">
                  <c:v>16440</c:v>
                </c:pt>
                <c:pt idx="275">
                  <c:v>16500</c:v>
                </c:pt>
                <c:pt idx="276">
                  <c:v>16560</c:v>
                </c:pt>
                <c:pt idx="277">
                  <c:v>16620</c:v>
                </c:pt>
                <c:pt idx="278">
                  <c:v>16680</c:v>
                </c:pt>
                <c:pt idx="279">
                  <c:v>16740</c:v>
                </c:pt>
                <c:pt idx="280">
                  <c:v>16800</c:v>
                </c:pt>
                <c:pt idx="281">
                  <c:v>16860</c:v>
                </c:pt>
                <c:pt idx="282">
                  <c:v>16920</c:v>
                </c:pt>
                <c:pt idx="283">
                  <c:v>16980</c:v>
                </c:pt>
                <c:pt idx="284">
                  <c:v>17040</c:v>
                </c:pt>
                <c:pt idx="285">
                  <c:v>17100</c:v>
                </c:pt>
                <c:pt idx="286">
                  <c:v>17160</c:v>
                </c:pt>
                <c:pt idx="287">
                  <c:v>17220</c:v>
                </c:pt>
                <c:pt idx="288">
                  <c:v>17280</c:v>
                </c:pt>
                <c:pt idx="289">
                  <c:v>17340</c:v>
                </c:pt>
                <c:pt idx="290">
                  <c:v>17400</c:v>
                </c:pt>
                <c:pt idx="291">
                  <c:v>17460</c:v>
                </c:pt>
                <c:pt idx="292">
                  <c:v>17520</c:v>
                </c:pt>
                <c:pt idx="293">
                  <c:v>17580</c:v>
                </c:pt>
                <c:pt idx="294">
                  <c:v>17640</c:v>
                </c:pt>
                <c:pt idx="295">
                  <c:v>17700</c:v>
                </c:pt>
                <c:pt idx="296">
                  <c:v>17760</c:v>
                </c:pt>
                <c:pt idx="297">
                  <c:v>17820</c:v>
                </c:pt>
                <c:pt idx="298">
                  <c:v>17880</c:v>
                </c:pt>
                <c:pt idx="299">
                  <c:v>17940</c:v>
                </c:pt>
                <c:pt idx="300">
                  <c:v>18000</c:v>
                </c:pt>
              </c:numCache>
            </c:numRef>
          </c:xVal>
          <c:yVal>
            <c:numRef>
              <c:f>Sheet2!$J$16:$J$150</c:f>
              <c:numCache>
                <c:formatCode>General</c:formatCode>
                <c:ptCount val="135"/>
                <c:pt idx="0">
                  <c:v>-0.043</c:v>
                </c:pt>
                <c:pt idx="1">
                  <c:v>-0.043</c:v>
                </c:pt>
                <c:pt idx="2">
                  <c:v>-0.041</c:v>
                </c:pt>
                <c:pt idx="3">
                  <c:v>-0.041</c:v>
                </c:pt>
                <c:pt idx="4">
                  <c:v>-0.039</c:v>
                </c:pt>
                <c:pt idx="5">
                  <c:v>-0.038</c:v>
                </c:pt>
                <c:pt idx="6">
                  <c:v>-0.037</c:v>
                </c:pt>
                <c:pt idx="7">
                  <c:v>-0.035</c:v>
                </c:pt>
                <c:pt idx="8">
                  <c:v>-0.034</c:v>
                </c:pt>
                <c:pt idx="9">
                  <c:v>-0.033</c:v>
                </c:pt>
                <c:pt idx="10">
                  <c:v>-0.031</c:v>
                </c:pt>
                <c:pt idx="11">
                  <c:v>-0.03</c:v>
                </c:pt>
                <c:pt idx="12">
                  <c:v>-0.03</c:v>
                </c:pt>
                <c:pt idx="13">
                  <c:v>-0.028</c:v>
                </c:pt>
                <c:pt idx="14">
                  <c:v>-0.027</c:v>
                </c:pt>
                <c:pt idx="15">
                  <c:v>-0.026</c:v>
                </c:pt>
                <c:pt idx="16">
                  <c:v>-0.024</c:v>
                </c:pt>
                <c:pt idx="17">
                  <c:v>-0.024</c:v>
                </c:pt>
                <c:pt idx="18">
                  <c:v>-0.023</c:v>
                </c:pt>
                <c:pt idx="19">
                  <c:v>-0.021</c:v>
                </c:pt>
                <c:pt idx="20">
                  <c:v>-0.02</c:v>
                </c:pt>
                <c:pt idx="21">
                  <c:v>-0.019</c:v>
                </c:pt>
                <c:pt idx="22">
                  <c:v>-0.017</c:v>
                </c:pt>
                <c:pt idx="23">
                  <c:v>-0.016</c:v>
                </c:pt>
                <c:pt idx="24">
                  <c:v>-0.015</c:v>
                </c:pt>
                <c:pt idx="25">
                  <c:v>-0.014</c:v>
                </c:pt>
                <c:pt idx="26">
                  <c:v>-0.012</c:v>
                </c:pt>
                <c:pt idx="27">
                  <c:v>-0.011</c:v>
                </c:pt>
                <c:pt idx="28">
                  <c:v>-0.01</c:v>
                </c:pt>
                <c:pt idx="29">
                  <c:v>-0.008</c:v>
                </c:pt>
                <c:pt idx="30">
                  <c:v>-0.007</c:v>
                </c:pt>
                <c:pt idx="31">
                  <c:v>-0.006</c:v>
                </c:pt>
                <c:pt idx="32">
                  <c:v>-0.004</c:v>
                </c:pt>
                <c:pt idx="33">
                  <c:v>-0.003</c:v>
                </c:pt>
                <c:pt idx="34">
                  <c:v>-0.001</c:v>
                </c:pt>
                <c:pt idx="35">
                  <c:v>0</c:v>
                </c:pt>
                <c:pt idx="36">
                  <c:v>0.002</c:v>
                </c:pt>
                <c:pt idx="37">
                  <c:v>0.003</c:v>
                </c:pt>
                <c:pt idx="38">
                  <c:v>0.004</c:v>
                </c:pt>
                <c:pt idx="39">
                  <c:v>0.006</c:v>
                </c:pt>
                <c:pt idx="40">
                  <c:v>0.007</c:v>
                </c:pt>
                <c:pt idx="41">
                  <c:v>0.008</c:v>
                </c:pt>
                <c:pt idx="42">
                  <c:v>0.01</c:v>
                </c:pt>
                <c:pt idx="43">
                  <c:v>0.011</c:v>
                </c:pt>
                <c:pt idx="44">
                  <c:v>0.013</c:v>
                </c:pt>
                <c:pt idx="45">
                  <c:v>0.015</c:v>
                </c:pt>
                <c:pt idx="46">
                  <c:v>0.016</c:v>
                </c:pt>
                <c:pt idx="47">
                  <c:v>0.018</c:v>
                </c:pt>
                <c:pt idx="48">
                  <c:v>0.019</c:v>
                </c:pt>
                <c:pt idx="49">
                  <c:v>0.02</c:v>
                </c:pt>
                <c:pt idx="50">
                  <c:v>0.022</c:v>
                </c:pt>
                <c:pt idx="51">
                  <c:v>0.023</c:v>
                </c:pt>
                <c:pt idx="52">
                  <c:v>0.025</c:v>
                </c:pt>
                <c:pt idx="53">
                  <c:v>0.027</c:v>
                </c:pt>
                <c:pt idx="54">
                  <c:v>0.028</c:v>
                </c:pt>
                <c:pt idx="55">
                  <c:v>0.03</c:v>
                </c:pt>
                <c:pt idx="56">
                  <c:v>0.032</c:v>
                </c:pt>
                <c:pt idx="57">
                  <c:v>0.033</c:v>
                </c:pt>
                <c:pt idx="58">
                  <c:v>0.034</c:v>
                </c:pt>
                <c:pt idx="59">
                  <c:v>0.036</c:v>
                </c:pt>
                <c:pt idx="60">
                  <c:v>0.038</c:v>
                </c:pt>
                <c:pt idx="61">
                  <c:v>0.039</c:v>
                </c:pt>
                <c:pt idx="62">
                  <c:v>0.041</c:v>
                </c:pt>
                <c:pt idx="63">
                  <c:v>0.043</c:v>
                </c:pt>
                <c:pt idx="64">
                  <c:v>0.045</c:v>
                </c:pt>
                <c:pt idx="65">
                  <c:v>0.046</c:v>
                </c:pt>
                <c:pt idx="66">
                  <c:v>0.048</c:v>
                </c:pt>
                <c:pt idx="67">
                  <c:v>0.049</c:v>
                </c:pt>
                <c:pt idx="68">
                  <c:v>0.051</c:v>
                </c:pt>
                <c:pt idx="69">
                  <c:v>0.053</c:v>
                </c:pt>
                <c:pt idx="70">
                  <c:v>0.054</c:v>
                </c:pt>
                <c:pt idx="71">
                  <c:v>0.057</c:v>
                </c:pt>
                <c:pt idx="72">
                  <c:v>0.058</c:v>
                </c:pt>
                <c:pt idx="73">
                  <c:v>0.06</c:v>
                </c:pt>
                <c:pt idx="74">
                  <c:v>0.062</c:v>
                </c:pt>
                <c:pt idx="75">
                  <c:v>0.064</c:v>
                </c:pt>
                <c:pt idx="76">
                  <c:v>0.066</c:v>
                </c:pt>
                <c:pt idx="77">
                  <c:v>0.068</c:v>
                </c:pt>
                <c:pt idx="78">
                  <c:v>0.071</c:v>
                </c:pt>
                <c:pt idx="79">
                  <c:v>0.074</c:v>
                </c:pt>
                <c:pt idx="80">
                  <c:v>0.071</c:v>
                </c:pt>
                <c:pt idx="81">
                  <c:v>0.073</c:v>
                </c:pt>
                <c:pt idx="82">
                  <c:v>0.074</c:v>
                </c:pt>
                <c:pt idx="83">
                  <c:v>0.076</c:v>
                </c:pt>
                <c:pt idx="84">
                  <c:v>0.077</c:v>
                </c:pt>
                <c:pt idx="85">
                  <c:v>0.079</c:v>
                </c:pt>
                <c:pt idx="86">
                  <c:v>0.081</c:v>
                </c:pt>
                <c:pt idx="87">
                  <c:v>0.083</c:v>
                </c:pt>
                <c:pt idx="88">
                  <c:v>0.084</c:v>
                </c:pt>
                <c:pt idx="89">
                  <c:v>0.086</c:v>
                </c:pt>
                <c:pt idx="90">
                  <c:v>0.088</c:v>
                </c:pt>
                <c:pt idx="91">
                  <c:v>0.09</c:v>
                </c:pt>
                <c:pt idx="92">
                  <c:v>0.091</c:v>
                </c:pt>
                <c:pt idx="93">
                  <c:v>0.093</c:v>
                </c:pt>
                <c:pt idx="94">
                  <c:v>0.094</c:v>
                </c:pt>
                <c:pt idx="95">
                  <c:v>0.096</c:v>
                </c:pt>
                <c:pt idx="96">
                  <c:v>0.098</c:v>
                </c:pt>
                <c:pt idx="97">
                  <c:v>0.1</c:v>
                </c:pt>
                <c:pt idx="98">
                  <c:v>0.101</c:v>
                </c:pt>
                <c:pt idx="99">
                  <c:v>0.102</c:v>
                </c:pt>
                <c:pt idx="100">
                  <c:v>0.104</c:v>
                </c:pt>
                <c:pt idx="101">
                  <c:v>0.106</c:v>
                </c:pt>
                <c:pt idx="102">
                  <c:v>0.108</c:v>
                </c:pt>
                <c:pt idx="103">
                  <c:v>0.11</c:v>
                </c:pt>
                <c:pt idx="104">
                  <c:v>0.112</c:v>
                </c:pt>
                <c:pt idx="105">
                  <c:v>0.113</c:v>
                </c:pt>
                <c:pt idx="106">
                  <c:v>0.115</c:v>
                </c:pt>
                <c:pt idx="107">
                  <c:v>0.117</c:v>
                </c:pt>
                <c:pt idx="108">
                  <c:v>0.118</c:v>
                </c:pt>
                <c:pt idx="109">
                  <c:v>0.12</c:v>
                </c:pt>
                <c:pt idx="110">
                  <c:v>0.121</c:v>
                </c:pt>
                <c:pt idx="111">
                  <c:v>0.124</c:v>
                </c:pt>
                <c:pt idx="112">
                  <c:v>0.125</c:v>
                </c:pt>
                <c:pt idx="113">
                  <c:v>0.127</c:v>
                </c:pt>
                <c:pt idx="114">
                  <c:v>0.128</c:v>
                </c:pt>
                <c:pt idx="115">
                  <c:v>0.129</c:v>
                </c:pt>
                <c:pt idx="116">
                  <c:v>0.132</c:v>
                </c:pt>
                <c:pt idx="117">
                  <c:v>0.133</c:v>
                </c:pt>
                <c:pt idx="118">
                  <c:v>0.134</c:v>
                </c:pt>
                <c:pt idx="119">
                  <c:v>0.136</c:v>
                </c:pt>
                <c:pt idx="120">
                  <c:v>0.137</c:v>
                </c:pt>
                <c:pt idx="121">
                  <c:v>0.139</c:v>
                </c:pt>
                <c:pt idx="122">
                  <c:v>0.14</c:v>
                </c:pt>
                <c:pt idx="123">
                  <c:v>0.142</c:v>
                </c:pt>
                <c:pt idx="124">
                  <c:v>0.144</c:v>
                </c:pt>
                <c:pt idx="125">
                  <c:v>0.145</c:v>
                </c:pt>
                <c:pt idx="126">
                  <c:v>0.147</c:v>
                </c:pt>
                <c:pt idx="127">
                  <c:v>0.148</c:v>
                </c:pt>
                <c:pt idx="128">
                  <c:v>0.15</c:v>
                </c:pt>
                <c:pt idx="129">
                  <c:v>0.152</c:v>
                </c:pt>
                <c:pt idx="130">
                  <c:v>0.154</c:v>
                </c:pt>
                <c:pt idx="131">
                  <c:v>0.154</c:v>
                </c:pt>
                <c:pt idx="132">
                  <c:v>0.157</c:v>
                </c:pt>
                <c:pt idx="133">
                  <c:v>0.158</c:v>
                </c:pt>
                <c:pt idx="134">
                  <c:v>0.159</c:v>
                </c:pt>
              </c:numCache>
            </c:numRef>
          </c:yVal>
          <c:smooth val="1"/>
        </c:ser>
        <c:ser>
          <c:idx val="3"/>
          <c:order val="3"/>
          <c:spPr>
            <a:solidFill>
              <a:srgbClr val="666699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666699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>
                    <a:alpha val="70000"/>
                  </a:srgbClr>
                </a:solidFill>
                <a:round/>
              </a:ln>
            </c:spPr>
            <c:trendlineType val="exp"/>
            <c:forward val="0"/>
            <c:backward val="0"/>
            <c:dispRSqr val="0"/>
            <c:dispEq val="1"/>
          </c:trendline>
          <c:xVal>
            <c:numRef>
              <c:f>Sheet2!$K$16:$K$316</c:f>
              <c:numCache>
                <c:formatCode>General</c:formatCode>
                <c:ptCount val="30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  <c:pt idx="21">
                  <c:v>1260</c:v>
                </c:pt>
                <c:pt idx="22">
                  <c:v>1320</c:v>
                </c:pt>
                <c:pt idx="23">
                  <c:v>1380</c:v>
                </c:pt>
                <c:pt idx="24">
                  <c:v>1440</c:v>
                </c:pt>
                <c:pt idx="25">
                  <c:v>1500</c:v>
                </c:pt>
                <c:pt idx="26">
                  <c:v>1560</c:v>
                </c:pt>
                <c:pt idx="27">
                  <c:v>1620</c:v>
                </c:pt>
                <c:pt idx="28">
                  <c:v>1680</c:v>
                </c:pt>
                <c:pt idx="29">
                  <c:v>1740</c:v>
                </c:pt>
                <c:pt idx="30">
                  <c:v>1800</c:v>
                </c:pt>
                <c:pt idx="31">
                  <c:v>1860</c:v>
                </c:pt>
                <c:pt idx="32">
                  <c:v>1920</c:v>
                </c:pt>
                <c:pt idx="33">
                  <c:v>1980</c:v>
                </c:pt>
                <c:pt idx="34">
                  <c:v>2040</c:v>
                </c:pt>
                <c:pt idx="35">
                  <c:v>2100</c:v>
                </c:pt>
                <c:pt idx="36">
                  <c:v>2160</c:v>
                </c:pt>
                <c:pt idx="37">
                  <c:v>2220</c:v>
                </c:pt>
                <c:pt idx="38">
                  <c:v>2280</c:v>
                </c:pt>
                <c:pt idx="39">
                  <c:v>2340</c:v>
                </c:pt>
                <c:pt idx="40">
                  <c:v>2400</c:v>
                </c:pt>
                <c:pt idx="41">
                  <c:v>2460</c:v>
                </c:pt>
                <c:pt idx="42">
                  <c:v>2520</c:v>
                </c:pt>
                <c:pt idx="43">
                  <c:v>2580</c:v>
                </c:pt>
                <c:pt idx="44">
                  <c:v>2640</c:v>
                </c:pt>
                <c:pt idx="45">
                  <c:v>2700</c:v>
                </c:pt>
                <c:pt idx="46">
                  <c:v>2760</c:v>
                </c:pt>
                <c:pt idx="47">
                  <c:v>2820</c:v>
                </c:pt>
                <c:pt idx="48">
                  <c:v>2880</c:v>
                </c:pt>
                <c:pt idx="49">
                  <c:v>2940</c:v>
                </c:pt>
                <c:pt idx="50">
                  <c:v>3000</c:v>
                </c:pt>
                <c:pt idx="51">
                  <c:v>3060</c:v>
                </c:pt>
                <c:pt idx="52">
                  <c:v>3120</c:v>
                </c:pt>
                <c:pt idx="53">
                  <c:v>3180</c:v>
                </c:pt>
                <c:pt idx="54">
                  <c:v>3240</c:v>
                </c:pt>
                <c:pt idx="55">
                  <c:v>3300</c:v>
                </c:pt>
                <c:pt idx="56">
                  <c:v>3360</c:v>
                </c:pt>
                <c:pt idx="57">
                  <c:v>3420</c:v>
                </c:pt>
                <c:pt idx="58">
                  <c:v>3480</c:v>
                </c:pt>
                <c:pt idx="59">
                  <c:v>3540</c:v>
                </c:pt>
                <c:pt idx="60">
                  <c:v>3600</c:v>
                </c:pt>
                <c:pt idx="61">
                  <c:v>3660</c:v>
                </c:pt>
                <c:pt idx="62">
                  <c:v>3720</c:v>
                </c:pt>
                <c:pt idx="63">
                  <c:v>3780</c:v>
                </c:pt>
                <c:pt idx="64">
                  <c:v>3840</c:v>
                </c:pt>
                <c:pt idx="65">
                  <c:v>3900</c:v>
                </c:pt>
                <c:pt idx="66">
                  <c:v>3960</c:v>
                </c:pt>
                <c:pt idx="67">
                  <c:v>4020</c:v>
                </c:pt>
                <c:pt idx="68">
                  <c:v>4080</c:v>
                </c:pt>
                <c:pt idx="69">
                  <c:v>4140</c:v>
                </c:pt>
                <c:pt idx="70">
                  <c:v>4200</c:v>
                </c:pt>
                <c:pt idx="71">
                  <c:v>4260</c:v>
                </c:pt>
                <c:pt idx="72">
                  <c:v>4320</c:v>
                </c:pt>
                <c:pt idx="73">
                  <c:v>4380</c:v>
                </c:pt>
                <c:pt idx="74">
                  <c:v>4440</c:v>
                </c:pt>
                <c:pt idx="75">
                  <c:v>4500</c:v>
                </c:pt>
                <c:pt idx="76">
                  <c:v>4560</c:v>
                </c:pt>
                <c:pt idx="77">
                  <c:v>4620</c:v>
                </c:pt>
                <c:pt idx="78">
                  <c:v>4680</c:v>
                </c:pt>
                <c:pt idx="79">
                  <c:v>4740</c:v>
                </c:pt>
                <c:pt idx="80">
                  <c:v>4800</c:v>
                </c:pt>
                <c:pt idx="81">
                  <c:v>4860</c:v>
                </c:pt>
                <c:pt idx="82">
                  <c:v>4920</c:v>
                </c:pt>
                <c:pt idx="83">
                  <c:v>4980</c:v>
                </c:pt>
                <c:pt idx="84">
                  <c:v>5040</c:v>
                </c:pt>
                <c:pt idx="85">
                  <c:v>5100</c:v>
                </c:pt>
                <c:pt idx="86">
                  <c:v>5160</c:v>
                </c:pt>
                <c:pt idx="87">
                  <c:v>5220</c:v>
                </c:pt>
                <c:pt idx="88">
                  <c:v>5280</c:v>
                </c:pt>
                <c:pt idx="89">
                  <c:v>5340</c:v>
                </c:pt>
                <c:pt idx="90">
                  <c:v>5400</c:v>
                </c:pt>
                <c:pt idx="91">
                  <c:v>5460</c:v>
                </c:pt>
                <c:pt idx="92">
                  <c:v>5520</c:v>
                </c:pt>
                <c:pt idx="93">
                  <c:v>5580</c:v>
                </c:pt>
                <c:pt idx="94">
                  <c:v>5640</c:v>
                </c:pt>
                <c:pt idx="95">
                  <c:v>5700</c:v>
                </c:pt>
                <c:pt idx="96">
                  <c:v>5760</c:v>
                </c:pt>
                <c:pt idx="97">
                  <c:v>5820</c:v>
                </c:pt>
                <c:pt idx="98">
                  <c:v>5880</c:v>
                </c:pt>
                <c:pt idx="99">
                  <c:v>5940</c:v>
                </c:pt>
                <c:pt idx="100">
                  <c:v>6000</c:v>
                </c:pt>
                <c:pt idx="101">
                  <c:v>6060</c:v>
                </c:pt>
                <c:pt idx="102">
                  <c:v>6120</c:v>
                </c:pt>
                <c:pt idx="103">
                  <c:v>6180</c:v>
                </c:pt>
                <c:pt idx="104">
                  <c:v>6240</c:v>
                </c:pt>
                <c:pt idx="105">
                  <c:v>6300</c:v>
                </c:pt>
                <c:pt idx="106">
                  <c:v>6360</c:v>
                </c:pt>
                <c:pt idx="107">
                  <c:v>6420</c:v>
                </c:pt>
                <c:pt idx="108">
                  <c:v>6480</c:v>
                </c:pt>
                <c:pt idx="109">
                  <c:v>6540</c:v>
                </c:pt>
                <c:pt idx="110">
                  <c:v>6600</c:v>
                </c:pt>
                <c:pt idx="111">
                  <c:v>6660</c:v>
                </c:pt>
                <c:pt idx="112">
                  <c:v>6720</c:v>
                </c:pt>
                <c:pt idx="113">
                  <c:v>6780</c:v>
                </c:pt>
                <c:pt idx="114">
                  <c:v>6840</c:v>
                </c:pt>
                <c:pt idx="115">
                  <c:v>6900</c:v>
                </c:pt>
                <c:pt idx="116">
                  <c:v>6960</c:v>
                </c:pt>
                <c:pt idx="117">
                  <c:v>7020</c:v>
                </c:pt>
                <c:pt idx="118">
                  <c:v>7080</c:v>
                </c:pt>
                <c:pt idx="119">
                  <c:v>7140</c:v>
                </c:pt>
                <c:pt idx="120">
                  <c:v>7200</c:v>
                </c:pt>
                <c:pt idx="121">
                  <c:v>7260</c:v>
                </c:pt>
                <c:pt idx="122">
                  <c:v>7320</c:v>
                </c:pt>
                <c:pt idx="123">
                  <c:v>7380</c:v>
                </c:pt>
                <c:pt idx="124">
                  <c:v>7440</c:v>
                </c:pt>
                <c:pt idx="125">
                  <c:v>7500</c:v>
                </c:pt>
                <c:pt idx="126">
                  <c:v>7560</c:v>
                </c:pt>
                <c:pt idx="127">
                  <c:v>7620</c:v>
                </c:pt>
                <c:pt idx="128">
                  <c:v>7680</c:v>
                </c:pt>
                <c:pt idx="129">
                  <c:v>7740</c:v>
                </c:pt>
                <c:pt idx="130">
                  <c:v>7800</c:v>
                </c:pt>
                <c:pt idx="131">
                  <c:v>7860</c:v>
                </c:pt>
                <c:pt idx="132">
                  <c:v>7920</c:v>
                </c:pt>
                <c:pt idx="133">
                  <c:v>7980</c:v>
                </c:pt>
                <c:pt idx="134">
                  <c:v>8040</c:v>
                </c:pt>
                <c:pt idx="135">
                  <c:v>8100</c:v>
                </c:pt>
                <c:pt idx="136">
                  <c:v>8160</c:v>
                </c:pt>
                <c:pt idx="137">
                  <c:v>8220</c:v>
                </c:pt>
                <c:pt idx="138">
                  <c:v>8280</c:v>
                </c:pt>
                <c:pt idx="139">
                  <c:v>8340</c:v>
                </c:pt>
                <c:pt idx="140">
                  <c:v>8400</c:v>
                </c:pt>
                <c:pt idx="141">
                  <c:v>8460</c:v>
                </c:pt>
                <c:pt idx="142">
                  <c:v>8520</c:v>
                </c:pt>
                <c:pt idx="143">
                  <c:v>8580</c:v>
                </c:pt>
                <c:pt idx="144">
                  <c:v>8640</c:v>
                </c:pt>
                <c:pt idx="145">
                  <c:v>8700</c:v>
                </c:pt>
                <c:pt idx="146">
                  <c:v>8760</c:v>
                </c:pt>
                <c:pt idx="147">
                  <c:v>8820</c:v>
                </c:pt>
                <c:pt idx="148">
                  <c:v>8880</c:v>
                </c:pt>
                <c:pt idx="149">
                  <c:v>8940</c:v>
                </c:pt>
                <c:pt idx="150">
                  <c:v>9000</c:v>
                </c:pt>
                <c:pt idx="151">
                  <c:v>9060</c:v>
                </c:pt>
                <c:pt idx="152">
                  <c:v>9120</c:v>
                </c:pt>
                <c:pt idx="153">
                  <c:v>9180</c:v>
                </c:pt>
                <c:pt idx="154">
                  <c:v>9240</c:v>
                </c:pt>
                <c:pt idx="155">
                  <c:v>9300</c:v>
                </c:pt>
                <c:pt idx="156">
                  <c:v>9360</c:v>
                </c:pt>
                <c:pt idx="157">
                  <c:v>9420</c:v>
                </c:pt>
                <c:pt idx="158">
                  <c:v>9480</c:v>
                </c:pt>
                <c:pt idx="159">
                  <c:v>9540</c:v>
                </c:pt>
                <c:pt idx="160">
                  <c:v>9600</c:v>
                </c:pt>
                <c:pt idx="161">
                  <c:v>9660</c:v>
                </c:pt>
                <c:pt idx="162">
                  <c:v>9720</c:v>
                </c:pt>
                <c:pt idx="163">
                  <c:v>9780</c:v>
                </c:pt>
                <c:pt idx="164">
                  <c:v>9840</c:v>
                </c:pt>
                <c:pt idx="165">
                  <c:v>9900</c:v>
                </c:pt>
                <c:pt idx="166">
                  <c:v>9960</c:v>
                </c:pt>
                <c:pt idx="167">
                  <c:v>10020</c:v>
                </c:pt>
                <c:pt idx="168">
                  <c:v>10080</c:v>
                </c:pt>
                <c:pt idx="169">
                  <c:v>10140</c:v>
                </c:pt>
                <c:pt idx="170">
                  <c:v>10200</c:v>
                </c:pt>
                <c:pt idx="171">
                  <c:v>10260</c:v>
                </c:pt>
                <c:pt idx="172">
                  <c:v>10320</c:v>
                </c:pt>
                <c:pt idx="173">
                  <c:v>10380</c:v>
                </c:pt>
                <c:pt idx="174">
                  <c:v>10440</c:v>
                </c:pt>
                <c:pt idx="175">
                  <c:v>10500</c:v>
                </c:pt>
                <c:pt idx="176">
                  <c:v>10560</c:v>
                </c:pt>
                <c:pt idx="177">
                  <c:v>10620</c:v>
                </c:pt>
                <c:pt idx="178">
                  <c:v>10680</c:v>
                </c:pt>
                <c:pt idx="179">
                  <c:v>10740</c:v>
                </c:pt>
                <c:pt idx="180">
                  <c:v>10800</c:v>
                </c:pt>
                <c:pt idx="181">
                  <c:v>10860</c:v>
                </c:pt>
                <c:pt idx="182">
                  <c:v>10920</c:v>
                </c:pt>
                <c:pt idx="183">
                  <c:v>10980</c:v>
                </c:pt>
                <c:pt idx="184">
                  <c:v>11040</c:v>
                </c:pt>
                <c:pt idx="185">
                  <c:v>11100</c:v>
                </c:pt>
                <c:pt idx="186">
                  <c:v>11160</c:v>
                </c:pt>
                <c:pt idx="187">
                  <c:v>11220</c:v>
                </c:pt>
                <c:pt idx="188">
                  <c:v>11280</c:v>
                </c:pt>
                <c:pt idx="189">
                  <c:v>11340</c:v>
                </c:pt>
                <c:pt idx="190">
                  <c:v>11400</c:v>
                </c:pt>
                <c:pt idx="191">
                  <c:v>11460</c:v>
                </c:pt>
                <c:pt idx="192">
                  <c:v>11520</c:v>
                </c:pt>
                <c:pt idx="193">
                  <c:v>11580</c:v>
                </c:pt>
                <c:pt idx="194">
                  <c:v>11640</c:v>
                </c:pt>
                <c:pt idx="195">
                  <c:v>11700</c:v>
                </c:pt>
                <c:pt idx="196">
                  <c:v>11760</c:v>
                </c:pt>
                <c:pt idx="197">
                  <c:v>11820</c:v>
                </c:pt>
                <c:pt idx="198">
                  <c:v>11880</c:v>
                </c:pt>
                <c:pt idx="199">
                  <c:v>11940</c:v>
                </c:pt>
                <c:pt idx="200">
                  <c:v>12000</c:v>
                </c:pt>
                <c:pt idx="201">
                  <c:v>12060</c:v>
                </c:pt>
                <c:pt idx="202">
                  <c:v>12120</c:v>
                </c:pt>
                <c:pt idx="203">
                  <c:v>12180</c:v>
                </c:pt>
                <c:pt idx="204">
                  <c:v>12240</c:v>
                </c:pt>
                <c:pt idx="205">
                  <c:v>12300</c:v>
                </c:pt>
                <c:pt idx="206">
                  <c:v>12360</c:v>
                </c:pt>
                <c:pt idx="207">
                  <c:v>12420</c:v>
                </c:pt>
                <c:pt idx="208">
                  <c:v>12480</c:v>
                </c:pt>
                <c:pt idx="209">
                  <c:v>12540</c:v>
                </c:pt>
                <c:pt idx="210">
                  <c:v>12600</c:v>
                </c:pt>
                <c:pt idx="211">
                  <c:v>12660</c:v>
                </c:pt>
                <c:pt idx="212">
                  <c:v>12720</c:v>
                </c:pt>
                <c:pt idx="213">
                  <c:v>12780</c:v>
                </c:pt>
                <c:pt idx="214">
                  <c:v>12840</c:v>
                </c:pt>
                <c:pt idx="215">
                  <c:v>12900</c:v>
                </c:pt>
                <c:pt idx="216">
                  <c:v>12960</c:v>
                </c:pt>
                <c:pt idx="217">
                  <c:v>13020</c:v>
                </c:pt>
                <c:pt idx="218">
                  <c:v>13080</c:v>
                </c:pt>
                <c:pt idx="219">
                  <c:v>13140</c:v>
                </c:pt>
                <c:pt idx="220">
                  <c:v>13200</c:v>
                </c:pt>
                <c:pt idx="221">
                  <c:v>13260</c:v>
                </c:pt>
                <c:pt idx="222">
                  <c:v>13320</c:v>
                </c:pt>
                <c:pt idx="223">
                  <c:v>13380</c:v>
                </c:pt>
                <c:pt idx="224">
                  <c:v>13440</c:v>
                </c:pt>
                <c:pt idx="225">
                  <c:v>13500</c:v>
                </c:pt>
                <c:pt idx="226">
                  <c:v>13560</c:v>
                </c:pt>
                <c:pt idx="227">
                  <c:v>13620</c:v>
                </c:pt>
                <c:pt idx="228">
                  <c:v>13680</c:v>
                </c:pt>
                <c:pt idx="229">
                  <c:v>13740</c:v>
                </c:pt>
                <c:pt idx="230">
                  <c:v>13800</c:v>
                </c:pt>
                <c:pt idx="231">
                  <c:v>13860</c:v>
                </c:pt>
                <c:pt idx="232">
                  <c:v>13920</c:v>
                </c:pt>
                <c:pt idx="233">
                  <c:v>13980</c:v>
                </c:pt>
                <c:pt idx="234">
                  <c:v>14040</c:v>
                </c:pt>
                <c:pt idx="235">
                  <c:v>14100</c:v>
                </c:pt>
                <c:pt idx="236">
                  <c:v>14160</c:v>
                </c:pt>
                <c:pt idx="237">
                  <c:v>14220</c:v>
                </c:pt>
                <c:pt idx="238">
                  <c:v>14280</c:v>
                </c:pt>
                <c:pt idx="239">
                  <c:v>14340</c:v>
                </c:pt>
                <c:pt idx="240">
                  <c:v>14400</c:v>
                </c:pt>
                <c:pt idx="241">
                  <c:v>14460</c:v>
                </c:pt>
                <c:pt idx="242">
                  <c:v>14520</c:v>
                </c:pt>
                <c:pt idx="243">
                  <c:v>14580</c:v>
                </c:pt>
                <c:pt idx="244">
                  <c:v>14640</c:v>
                </c:pt>
                <c:pt idx="245">
                  <c:v>14700</c:v>
                </c:pt>
                <c:pt idx="246">
                  <c:v>14760</c:v>
                </c:pt>
                <c:pt idx="247">
                  <c:v>14820</c:v>
                </c:pt>
                <c:pt idx="248">
                  <c:v>14880</c:v>
                </c:pt>
                <c:pt idx="249">
                  <c:v>14940</c:v>
                </c:pt>
                <c:pt idx="250">
                  <c:v>15000</c:v>
                </c:pt>
                <c:pt idx="251">
                  <c:v>15060</c:v>
                </c:pt>
                <c:pt idx="252">
                  <c:v>15120</c:v>
                </c:pt>
                <c:pt idx="253">
                  <c:v>15180</c:v>
                </c:pt>
                <c:pt idx="254">
                  <c:v>15240</c:v>
                </c:pt>
                <c:pt idx="255">
                  <c:v>15300</c:v>
                </c:pt>
                <c:pt idx="256">
                  <c:v>15360</c:v>
                </c:pt>
                <c:pt idx="257">
                  <c:v>15420</c:v>
                </c:pt>
                <c:pt idx="258">
                  <c:v>15480</c:v>
                </c:pt>
                <c:pt idx="259">
                  <c:v>15540</c:v>
                </c:pt>
                <c:pt idx="260">
                  <c:v>15600</c:v>
                </c:pt>
                <c:pt idx="261">
                  <c:v>15660</c:v>
                </c:pt>
                <c:pt idx="262">
                  <c:v>15720</c:v>
                </c:pt>
                <c:pt idx="263">
                  <c:v>15780</c:v>
                </c:pt>
                <c:pt idx="264">
                  <c:v>15840</c:v>
                </c:pt>
                <c:pt idx="265">
                  <c:v>15900</c:v>
                </c:pt>
                <c:pt idx="266">
                  <c:v>15960</c:v>
                </c:pt>
                <c:pt idx="267">
                  <c:v>16020</c:v>
                </c:pt>
                <c:pt idx="268">
                  <c:v>16080</c:v>
                </c:pt>
                <c:pt idx="269">
                  <c:v>16140</c:v>
                </c:pt>
                <c:pt idx="270">
                  <c:v>16200</c:v>
                </c:pt>
                <c:pt idx="271">
                  <c:v>16260</c:v>
                </c:pt>
                <c:pt idx="272">
                  <c:v>16320</c:v>
                </c:pt>
                <c:pt idx="273">
                  <c:v>16380</c:v>
                </c:pt>
                <c:pt idx="274">
                  <c:v>16440</c:v>
                </c:pt>
                <c:pt idx="275">
                  <c:v>16500</c:v>
                </c:pt>
                <c:pt idx="276">
                  <c:v>16560</c:v>
                </c:pt>
                <c:pt idx="277">
                  <c:v>16620</c:v>
                </c:pt>
                <c:pt idx="278">
                  <c:v>16680</c:v>
                </c:pt>
                <c:pt idx="279">
                  <c:v>16740</c:v>
                </c:pt>
                <c:pt idx="280">
                  <c:v>16800</c:v>
                </c:pt>
                <c:pt idx="281">
                  <c:v>16860</c:v>
                </c:pt>
                <c:pt idx="282">
                  <c:v>16920</c:v>
                </c:pt>
                <c:pt idx="283">
                  <c:v>16980</c:v>
                </c:pt>
                <c:pt idx="284">
                  <c:v>17040</c:v>
                </c:pt>
                <c:pt idx="285">
                  <c:v>17100</c:v>
                </c:pt>
                <c:pt idx="286">
                  <c:v>17160</c:v>
                </c:pt>
                <c:pt idx="287">
                  <c:v>17220</c:v>
                </c:pt>
                <c:pt idx="288">
                  <c:v>17280</c:v>
                </c:pt>
                <c:pt idx="289">
                  <c:v>17340</c:v>
                </c:pt>
                <c:pt idx="290">
                  <c:v>17400</c:v>
                </c:pt>
                <c:pt idx="291">
                  <c:v>17460</c:v>
                </c:pt>
                <c:pt idx="292">
                  <c:v>17520</c:v>
                </c:pt>
                <c:pt idx="293">
                  <c:v>17580</c:v>
                </c:pt>
                <c:pt idx="294">
                  <c:v>17640</c:v>
                </c:pt>
                <c:pt idx="295">
                  <c:v>17700</c:v>
                </c:pt>
                <c:pt idx="296">
                  <c:v>17760</c:v>
                </c:pt>
                <c:pt idx="297">
                  <c:v>17820</c:v>
                </c:pt>
                <c:pt idx="298">
                  <c:v>17880</c:v>
                </c:pt>
                <c:pt idx="299">
                  <c:v>17940</c:v>
                </c:pt>
                <c:pt idx="300">
                  <c:v>18000</c:v>
                </c:pt>
              </c:numCache>
            </c:numRef>
          </c:xVal>
          <c:yVal>
            <c:numRef>
              <c:f>Sheet2!$L$16:$L$150</c:f>
              <c:numCache>
                <c:formatCode>General</c:formatCode>
                <c:ptCount val="135"/>
                <c:pt idx="0">
                  <c:v>0.041</c:v>
                </c:pt>
                <c:pt idx="1">
                  <c:v>0.043</c:v>
                </c:pt>
                <c:pt idx="2">
                  <c:v>0.045</c:v>
                </c:pt>
                <c:pt idx="3">
                  <c:v>0.048</c:v>
                </c:pt>
                <c:pt idx="4">
                  <c:v>0.05</c:v>
                </c:pt>
                <c:pt idx="5">
                  <c:v>0.05</c:v>
                </c:pt>
                <c:pt idx="6">
                  <c:v>0.051</c:v>
                </c:pt>
                <c:pt idx="7">
                  <c:v>0.052</c:v>
                </c:pt>
                <c:pt idx="8">
                  <c:v>0.054</c:v>
                </c:pt>
                <c:pt idx="9">
                  <c:v>0.056</c:v>
                </c:pt>
                <c:pt idx="10">
                  <c:v>0.057</c:v>
                </c:pt>
                <c:pt idx="11">
                  <c:v>0.059</c:v>
                </c:pt>
                <c:pt idx="12">
                  <c:v>0.06</c:v>
                </c:pt>
                <c:pt idx="13">
                  <c:v>0.063</c:v>
                </c:pt>
                <c:pt idx="14">
                  <c:v>0.063</c:v>
                </c:pt>
                <c:pt idx="15">
                  <c:v>0.066</c:v>
                </c:pt>
                <c:pt idx="16">
                  <c:v>0.066</c:v>
                </c:pt>
                <c:pt idx="17">
                  <c:v>0.068</c:v>
                </c:pt>
                <c:pt idx="18">
                  <c:v>0.07</c:v>
                </c:pt>
                <c:pt idx="19">
                  <c:v>0.071</c:v>
                </c:pt>
                <c:pt idx="20">
                  <c:v>0.073</c:v>
                </c:pt>
                <c:pt idx="21">
                  <c:v>0.075</c:v>
                </c:pt>
                <c:pt idx="22">
                  <c:v>0.075</c:v>
                </c:pt>
                <c:pt idx="23">
                  <c:v>0.078</c:v>
                </c:pt>
                <c:pt idx="24">
                  <c:v>0.08</c:v>
                </c:pt>
                <c:pt idx="25">
                  <c:v>0.082</c:v>
                </c:pt>
                <c:pt idx="26">
                  <c:v>0.083</c:v>
                </c:pt>
                <c:pt idx="27">
                  <c:v>0.085</c:v>
                </c:pt>
                <c:pt idx="28">
                  <c:v>0.086</c:v>
                </c:pt>
                <c:pt idx="29">
                  <c:v>0.088</c:v>
                </c:pt>
                <c:pt idx="30">
                  <c:v>0.091</c:v>
                </c:pt>
                <c:pt idx="31">
                  <c:v>0.09</c:v>
                </c:pt>
                <c:pt idx="32">
                  <c:v>0.094</c:v>
                </c:pt>
                <c:pt idx="33">
                  <c:v>0.096</c:v>
                </c:pt>
                <c:pt idx="34">
                  <c:v>0.098</c:v>
                </c:pt>
                <c:pt idx="35">
                  <c:v>0.099</c:v>
                </c:pt>
                <c:pt idx="36">
                  <c:v>0.103</c:v>
                </c:pt>
                <c:pt idx="37">
                  <c:v>0.102</c:v>
                </c:pt>
                <c:pt idx="38">
                  <c:v>0.105</c:v>
                </c:pt>
                <c:pt idx="39">
                  <c:v>0.106</c:v>
                </c:pt>
                <c:pt idx="40">
                  <c:v>0.11</c:v>
                </c:pt>
                <c:pt idx="41">
                  <c:v>0.11</c:v>
                </c:pt>
                <c:pt idx="42">
                  <c:v>0.113</c:v>
                </c:pt>
                <c:pt idx="43">
                  <c:v>0.113</c:v>
                </c:pt>
                <c:pt idx="44">
                  <c:v>0.117</c:v>
                </c:pt>
                <c:pt idx="45">
                  <c:v>0.117</c:v>
                </c:pt>
                <c:pt idx="46">
                  <c:v>0.12</c:v>
                </c:pt>
                <c:pt idx="47">
                  <c:v>0.121</c:v>
                </c:pt>
                <c:pt idx="48">
                  <c:v>0.122</c:v>
                </c:pt>
                <c:pt idx="49">
                  <c:v>0.125</c:v>
                </c:pt>
                <c:pt idx="50">
                  <c:v>0.127</c:v>
                </c:pt>
                <c:pt idx="51">
                  <c:v>0.129</c:v>
                </c:pt>
                <c:pt idx="52">
                  <c:v>0.13</c:v>
                </c:pt>
                <c:pt idx="53">
                  <c:v>0.132</c:v>
                </c:pt>
                <c:pt idx="54">
                  <c:v>0.134</c:v>
                </c:pt>
                <c:pt idx="55">
                  <c:v>0.136</c:v>
                </c:pt>
                <c:pt idx="56">
                  <c:v>0.138</c:v>
                </c:pt>
                <c:pt idx="57">
                  <c:v>0.139</c:v>
                </c:pt>
                <c:pt idx="58">
                  <c:v>0.142</c:v>
                </c:pt>
                <c:pt idx="59">
                  <c:v>0.145</c:v>
                </c:pt>
                <c:pt idx="60">
                  <c:v>0.148</c:v>
                </c:pt>
                <c:pt idx="61">
                  <c:v>0.149</c:v>
                </c:pt>
                <c:pt idx="62">
                  <c:v>0.151</c:v>
                </c:pt>
                <c:pt idx="63">
                  <c:v>0.152</c:v>
                </c:pt>
                <c:pt idx="64">
                  <c:v>0.156</c:v>
                </c:pt>
                <c:pt idx="65">
                  <c:v>0.159</c:v>
                </c:pt>
                <c:pt idx="66">
                  <c:v>0.159</c:v>
                </c:pt>
                <c:pt idx="67">
                  <c:v>0.16</c:v>
                </c:pt>
                <c:pt idx="68">
                  <c:v>0.162</c:v>
                </c:pt>
                <c:pt idx="69">
                  <c:v>0.165</c:v>
                </c:pt>
                <c:pt idx="70">
                  <c:v>0.167</c:v>
                </c:pt>
                <c:pt idx="71">
                  <c:v>0.168</c:v>
                </c:pt>
                <c:pt idx="72">
                  <c:v>0.171</c:v>
                </c:pt>
                <c:pt idx="73">
                  <c:v>0.173</c:v>
                </c:pt>
                <c:pt idx="74">
                  <c:v>0.174</c:v>
                </c:pt>
                <c:pt idx="75">
                  <c:v>0.177</c:v>
                </c:pt>
                <c:pt idx="76">
                  <c:v>0.178</c:v>
                </c:pt>
                <c:pt idx="77">
                  <c:v>0.18</c:v>
                </c:pt>
                <c:pt idx="78">
                  <c:v>0.182</c:v>
                </c:pt>
                <c:pt idx="79">
                  <c:v>0.185</c:v>
                </c:pt>
                <c:pt idx="80">
                  <c:v>0.186</c:v>
                </c:pt>
                <c:pt idx="81">
                  <c:v>0.188</c:v>
                </c:pt>
                <c:pt idx="82">
                  <c:v>0.19</c:v>
                </c:pt>
                <c:pt idx="83">
                  <c:v>0.194</c:v>
                </c:pt>
                <c:pt idx="84">
                  <c:v>0.195</c:v>
                </c:pt>
                <c:pt idx="85">
                  <c:v>0.197</c:v>
                </c:pt>
                <c:pt idx="86">
                  <c:v>0.199</c:v>
                </c:pt>
                <c:pt idx="87">
                  <c:v>0.202</c:v>
                </c:pt>
                <c:pt idx="88">
                  <c:v>0.203</c:v>
                </c:pt>
                <c:pt idx="89">
                  <c:v>0.205</c:v>
                </c:pt>
                <c:pt idx="90">
                  <c:v>0.207</c:v>
                </c:pt>
                <c:pt idx="91">
                  <c:v>0.208</c:v>
                </c:pt>
                <c:pt idx="92">
                  <c:v>0.211</c:v>
                </c:pt>
                <c:pt idx="93">
                  <c:v>0.214</c:v>
                </c:pt>
                <c:pt idx="94">
                  <c:v>0.215</c:v>
                </c:pt>
                <c:pt idx="95">
                  <c:v>0.217</c:v>
                </c:pt>
                <c:pt idx="96">
                  <c:v>0.219</c:v>
                </c:pt>
                <c:pt idx="97">
                  <c:v>0.222</c:v>
                </c:pt>
                <c:pt idx="98">
                  <c:v>0.223</c:v>
                </c:pt>
                <c:pt idx="99">
                  <c:v>0.226</c:v>
                </c:pt>
                <c:pt idx="100">
                  <c:v>0.227</c:v>
                </c:pt>
                <c:pt idx="101">
                  <c:v>0.23</c:v>
                </c:pt>
                <c:pt idx="102">
                  <c:v>0.231</c:v>
                </c:pt>
                <c:pt idx="103">
                  <c:v>0.234</c:v>
                </c:pt>
                <c:pt idx="104">
                  <c:v>0.234</c:v>
                </c:pt>
                <c:pt idx="105">
                  <c:v>0.238</c:v>
                </c:pt>
                <c:pt idx="106">
                  <c:v>0.239</c:v>
                </c:pt>
                <c:pt idx="107">
                  <c:v>0.241</c:v>
                </c:pt>
                <c:pt idx="108">
                  <c:v>0.242</c:v>
                </c:pt>
                <c:pt idx="109">
                  <c:v>0.245</c:v>
                </c:pt>
                <c:pt idx="110">
                  <c:v>0.247</c:v>
                </c:pt>
                <c:pt idx="111">
                  <c:v>0.248</c:v>
                </c:pt>
                <c:pt idx="112">
                  <c:v>0.251</c:v>
                </c:pt>
                <c:pt idx="113">
                  <c:v>0.252</c:v>
                </c:pt>
                <c:pt idx="114">
                  <c:v>0.255</c:v>
                </c:pt>
                <c:pt idx="115">
                  <c:v>0.256</c:v>
                </c:pt>
                <c:pt idx="116">
                  <c:v>0.259</c:v>
                </c:pt>
                <c:pt idx="117">
                  <c:v>0.26</c:v>
                </c:pt>
                <c:pt idx="118">
                  <c:v>0.262</c:v>
                </c:pt>
                <c:pt idx="119">
                  <c:v>0.264</c:v>
                </c:pt>
                <c:pt idx="120">
                  <c:v>0.266</c:v>
                </c:pt>
                <c:pt idx="121">
                  <c:v>0.267</c:v>
                </c:pt>
                <c:pt idx="122">
                  <c:v>0.27</c:v>
                </c:pt>
                <c:pt idx="123">
                  <c:v>0.271</c:v>
                </c:pt>
                <c:pt idx="124">
                  <c:v>0.273</c:v>
                </c:pt>
                <c:pt idx="125">
                  <c:v>0.275</c:v>
                </c:pt>
                <c:pt idx="126">
                  <c:v>0.277</c:v>
                </c:pt>
                <c:pt idx="127">
                  <c:v>0.279</c:v>
                </c:pt>
                <c:pt idx="128">
                  <c:v>0.281</c:v>
                </c:pt>
                <c:pt idx="129">
                  <c:v>0.283</c:v>
                </c:pt>
                <c:pt idx="130">
                  <c:v>0.284</c:v>
                </c:pt>
                <c:pt idx="131">
                  <c:v>0.286</c:v>
                </c:pt>
                <c:pt idx="132">
                  <c:v>0.288</c:v>
                </c:pt>
                <c:pt idx="133">
                  <c:v>0.29</c:v>
                </c:pt>
                <c:pt idx="134">
                  <c:v>0.292</c:v>
                </c:pt>
              </c:numCache>
            </c:numRef>
          </c:yVal>
          <c:smooth val="1"/>
        </c:ser>
        <c:axId val="39541668"/>
        <c:axId val="76215781"/>
      </c:scatterChart>
      <c:valAx>
        <c:axId val="395416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6215781"/>
        <c:crosses val="autoZero"/>
        <c:crossBetween val="midCat"/>
      </c:valAx>
      <c:valAx>
        <c:axId val="7621578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954166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666699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666699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Sheet2!$S$37:$S$40</c:f>
              <c:numCache>
                <c:formatCode>General</c:formatCode>
                <c:ptCount val="4"/>
                <c:pt idx="0">
                  <c:v>2.062</c:v>
                </c:pt>
                <c:pt idx="1">
                  <c:v>4.124</c:v>
                </c:pt>
                <c:pt idx="2">
                  <c:v>6.186</c:v>
                </c:pt>
                <c:pt idx="3">
                  <c:v>8.248</c:v>
                </c:pt>
              </c:numCache>
            </c:numRef>
          </c:xVal>
          <c:yVal>
            <c:numRef>
              <c:f>Sheet2!$T$37:$T$40</c:f>
              <c:numCache>
                <c:formatCode>General</c:formatCode>
                <c:ptCount val="4"/>
                <c:pt idx="0">
                  <c:v>5.19</c:v>
                </c:pt>
                <c:pt idx="1">
                  <c:v>8.17</c:v>
                </c:pt>
                <c:pt idx="2">
                  <c:v>13</c:v>
                </c:pt>
                <c:pt idx="3">
                  <c:v>17.2</c:v>
                </c:pt>
              </c:numCache>
            </c:numRef>
          </c:yVal>
          <c:smooth val="1"/>
        </c:ser>
        <c:axId val="67794004"/>
        <c:axId val="50946171"/>
      </c:scatterChart>
      <c:valAx>
        <c:axId val="677940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0946171"/>
        <c:crosses val="autoZero"/>
        <c:crossBetween val="midCat"/>
      </c:valAx>
      <c:valAx>
        <c:axId val="50946171"/>
        <c:scaling>
          <c:orientation val="minMax"/>
          <c:min val="0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779400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0</xdr:row>
      <xdr:rowOff>0</xdr:rowOff>
    </xdr:from>
    <xdr:to>
      <xdr:col>14</xdr:col>
      <xdr:colOff>377640</xdr:colOff>
      <xdr:row>9</xdr:row>
      <xdr:rowOff>171000</xdr:rowOff>
    </xdr:to>
    <xdr:graphicFrame>
      <xdr:nvGraphicFramePr>
        <xdr:cNvPr id="0" name="Chart 1"/>
        <xdr:cNvGraphicFramePr/>
      </xdr:nvGraphicFramePr>
      <xdr:xfrm>
        <a:off x="5080680" y="0"/>
        <a:ext cx="3200040" cy="1647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</xdr:row>
      <xdr:rowOff>0</xdr:rowOff>
    </xdr:from>
    <xdr:to>
      <xdr:col>15</xdr:col>
      <xdr:colOff>377640</xdr:colOff>
      <xdr:row>11</xdr:row>
      <xdr:rowOff>161640</xdr:rowOff>
    </xdr:to>
    <xdr:graphicFrame>
      <xdr:nvGraphicFramePr>
        <xdr:cNvPr id="1" name="Chart 2"/>
        <xdr:cNvGraphicFramePr/>
      </xdr:nvGraphicFramePr>
      <xdr:xfrm>
        <a:off x="5645160" y="333360"/>
        <a:ext cx="3200040" cy="1638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</xdr:row>
      <xdr:rowOff>0</xdr:rowOff>
    </xdr:from>
    <xdr:to>
      <xdr:col>16</xdr:col>
      <xdr:colOff>377280</xdr:colOff>
      <xdr:row>13</xdr:row>
      <xdr:rowOff>171000</xdr:rowOff>
    </xdr:to>
    <xdr:graphicFrame>
      <xdr:nvGraphicFramePr>
        <xdr:cNvPr id="2" name="Chart 3"/>
        <xdr:cNvGraphicFramePr/>
      </xdr:nvGraphicFramePr>
      <xdr:xfrm>
        <a:off x="6209640" y="657360"/>
        <a:ext cx="3200040" cy="1647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171360</xdr:colOff>
      <xdr:row>47</xdr:row>
      <xdr:rowOff>95400</xdr:rowOff>
    </xdr:from>
    <xdr:to>
      <xdr:col>12</xdr:col>
      <xdr:colOff>109800</xdr:colOff>
      <xdr:row>71</xdr:row>
      <xdr:rowOff>95040</xdr:rowOff>
    </xdr:to>
    <xdr:graphicFrame>
      <xdr:nvGraphicFramePr>
        <xdr:cNvPr id="3" name="Chart 4"/>
        <xdr:cNvGraphicFramePr/>
      </xdr:nvGraphicFramePr>
      <xdr:xfrm>
        <a:off x="3870720" y="7763040"/>
        <a:ext cx="4152600" cy="3885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200160</xdr:colOff>
      <xdr:row>2</xdr:row>
      <xdr:rowOff>0</xdr:rowOff>
    </xdr:from>
    <xdr:to>
      <xdr:col>24</xdr:col>
      <xdr:colOff>203040</xdr:colOff>
      <xdr:row>31</xdr:row>
      <xdr:rowOff>18720</xdr:rowOff>
    </xdr:to>
    <xdr:graphicFrame>
      <xdr:nvGraphicFramePr>
        <xdr:cNvPr id="4" name="Chart 5"/>
        <xdr:cNvGraphicFramePr/>
      </xdr:nvGraphicFramePr>
      <xdr:xfrm>
        <a:off x="10602720" y="324000"/>
        <a:ext cx="5648040" cy="4714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26</xdr:col>
      <xdr:colOff>380880</xdr:colOff>
      <xdr:row>15</xdr:row>
      <xdr:rowOff>47520</xdr:rowOff>
    </xdr:from>
    <xdr:to>
      <xdr:col>33</xdr:col>
      <xdr:colOff>391320</xdr:colOff>
      <xdr:row>32</xdr:row>
      <xdr:rowOff>47160</xdr:rowOff>
    </xdr:to>
    <xdr:graphicFrame>
      <xdr:nvGraphicFramePr>
        <xdr:cNvPr id="5" name="Chart 6"/>
        <xdr:cNvGraphicFramePr/>
      </xdr:nvGraphicFramePr>
      <xdr:xfrm>
        <a:off x="17557560" y="2476440"/>
        <a:ext cx="3962160" cy="2752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26" min="1" style="0" width="8"/>
  </cols>
  <sheetData>
    <row r="1" customFormat="false" ht="12.75" hidden="false" customHeight="true" outlineLevel="0" collapsed="false">
      <c r="A1" s="1" t="s">
        <v>0</v>
      </c>
    </row>
    <row r="2" customFormat="false" ht="13.5" hidden="false" customHeight="true" outlineLevel="0" collapsed="false"/>
    <row r="3" customFormat="false" ht="12.75" hidden="false" customHeight="true" outlineLevel="0" collapsed="false">
      <c r="A3" s="2" t="s">
        <v>1</v>
      </c>
      <c r="B3" s="2"/>
    </row>
    <row r="4" customFormat="false" ht="12.75" hidden="false" customHeight="true" outlineLevel="0" collapsed="false">
      <c r="A4" s="3" t="s">
        <v>2</v>
      </c>
      <c r="B4" s="3" t="n">
        <v>0.988370054622216</v>
      </c>
    </row>
    <row r="5" customFormat="false" ht="12.75" hidden="false" customHeight="true" outlineLevel="0" collapsed="false">
      <c r="A5" s="3" t="s">
        <v>3</v>
      </c>
      <c r="B5" s="3" t="n">
        <v>0.976875364873922</v>
      </c>
    </row>
    <row r="6" customFormat="false" ht="12.75" hidden="false" customHeight="true" outlineLevel="0" collapsed="false">
      <c r="A6" s="3" t="s">
        <v>4</v>
      </c>
      <c r="B6" s="3" t="n">
        <v>0.953750729747844</v>
      </c>
    </row>
    <row r="7" customFormat="false" ht="12.75" hidden="false" customHeight="true" outlineLevel="0" collapsed="false">
      <c r="A7" s="3" t="s">
        <v>5</v>
      </c>
      <c r="B7" s="3" t="n">
        <v>13082.1079278751</v>
      </c>
    </row>
    <row r="8" customFormat="false" ht="13.5" hidden="false" customHeight="true" outlineLevel="0" collapsed="false">
      <c r="A8" s="4" t="s">
        <v>6</v>
      </c>
      <c r="B8" s="4" t="n">
        <v>3</v>
      </c>
    </row>
    <row r="9" customFormat="false" ht="12.75" hidden="false" customHeight="true" outlineLevel="0" collapsed="false"/>
    <row r="10" customFormat="false" ht="13.5" hidden="false" customHeight="true" outlineLevel="0" collapsed="false">
      <c r="A10" s="1" t="s">
        <v>7</v>
      </c>
    </row>
    <row r="11" customFormat="false" ht="12.75" hidden="false" customHeight="true" outlineLevel="0" collapsed="false">
      <c r="A11" s="2"/>
      <c r="B11" s="2" t="s">
        <v>8</v>
      </c>
      <c r="C11" s="2" t="s">
        <v>9</v>
      </c>
      <c r="D11" s="2" t="s">
        <v>10</v>
      </c>
      <c r="E11" s="2" t="s">
        <v>11</v>
      </c>
      <c r="F11" s="2" t="s">
        <v>12</v>
      </c>
    </row>
    <row r="12" customFormat="false" ht="12.75" hidden="false" customHeight="true" outlineLevel="0" collapsed="false">
      <c r="A12" s="3" t="s">
        <v>13</v>
      </c>
      <c r="B12" s="3" t="n">
        <v>1</v>
      </c>
      <c r="C12" s="3" t="n">
        <v>7229690807.07369</v>
      </c>
      <c r="D12" s="3" t="n">
        <v>7229690807.07369</v>
      </c>
      <c r="E12" s="3" t="n">
        <v>42.2439255602477</v>
      </c>
      <c r="F12" s="3" t="n">
        <v>0.097186459325012</v>
      </c>
    </row>
    <row r="13" customFormat="false" ht="12.75" hidden="false" customHeight="true" outlineLevel="0" collapsed="false">
      <c r="A13" s="3" t="s">
        <v>14</v>
      </c>
      <c r="B13" s="3" t="n">
        <v>1</v>
      </c>
      <c r="C13" s="3" t="n">
        <v>171141547.836572</v>
      </c>
      <c r="D13" s="3" t="n">
        <v>171141547.836572</v>
      </c>
      <c r="E13" s="3"/>
      <c r="F13" s="3"/>
    </row>
    <row r="14" customFormat="false" ht="13.5" hidden="false" customHeight="true" outlineLevel="0" collapsed="false">
      <c r="A14" s="4" t="s">
        <v>15</v>
      </c>
      <c r="B14" s="4" t="n">
        <v>2</v>
      </c>
      <c r="C14" s="4" t="n">
        <v>7400832354.91027</v>
      </c>
      <c r="D14" s="4"/>
      <c r="E14" s="4"/>
      <c r="F14" s="4"/>
    </row>
    <row r="15" customFormat="false" ht="13.5" hidden="false" customHeight="true" outlineLevel="0" collapsed="false"/>
    <row r="16" customFormat="false" ht="12.75" hidden="false" customHeight="true" outlineLevel="0" collapsed="false">
      <c r="A16" s="2"/>
      <c r="B16" s="2" t="s">
        <v>16</v>
      </c>
      <c r="C16" s="2" t="s">
        <v>5</v>
      </c>
      <c r="D16" s="2" t="s">
        <v>17</v>
      </c>
      <c r="E16" s="2" t="s">
        <v>18</v>
      </c>
      <c r="F16" s="2" t="s">
        <v>19</v>
      </c>
      <c r="G16" s="2" t="s">
        <v>20</v>
      </c>
      <c r="H16" s="2" t="s">
        <v>21</v>
      </c>
      <c r="I16" s="2" t="s">
        <v>22</v>
      </c>
    </row>
    <row r="17" customFormat="false" ht="12.75" hidden="false" customHeight="true" outlineLevel="0" collapsed="false">
      <c r="A17" s="3" t="s">
        <v>23</v>
      </c>
      <c r="B17" s="3" t="n">
        <v>17635.3636364347</v>
      </c>
      <c r="C17" s="3" t="n">
        <v>15949.9090321997</v>
      </c>
      <c r="D17" s="3" t="n">
        <v>1.10567173774047</v>
      </c>
      <c r="E17" s="3" t="n">
        <v>0.468078439180696</v>
      </c>
      <c r="F17" s="3" t="n">
        <v>-185026.577810795</v>
      </c>
      <c r="G17" s="3" t="n">
        <v>220297.305083664</v>
      </c>
      <c r="H17" s="3" t="n">
        <v>-185026.577810795</v>
      </c>
      <c r="I17" s="3" t="n">
        <v>220297.305083664</v>
      </c>
    </row>
    <row r="18" customFormat="false" ht="13.5" hidden="false" customHeight="true" outlineLevel="0" collapsed="false">
      <c r="A18" s="4" t="s">
        <v>24</v>
      </c>
      <c r="B18" s="4" t="n">
        <v>8854.54663231771</v>
      </c>
      <c r="C18" s="4" t="n">
        <v>1362.33588100391</v>
      </c>
      <c r="D18" s="4" t="n">
        <v>6.49953271860737</v>
      </c>
      <c r="E18" s="4" t="n">
        <v>0.097186459325012</v>
      </c>
      <c r="F18" s="4" t="n">
        <v>-8455.49783189185</v>
      </c>
      <c r="G18" s="4" t="n">
        <v>26164.5910965273</v>
      </c>
      <c r="H18" s="4" t="n">
        <v>-8455.49783189185</v>
      </c>
      <c r="I18" s="4" t="n">
        <v>26164.5910965273</v>
      </c>
    </row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>
      <c r="A22" s="1" t="s">
        <v>25</v>
      </c>
      <c r="F22" s="1" t="s">
        <v>26</v>
      </c>
    </row>
    <row r="23" customFormat="false" ht="13.5" hidden="false" customHeight="true" outlineLevel="0" collapsed="false"/>
    <row r="24" customFormat="false" ht="12.75" hidden="false" customHeight="true" outlineLevel="0" collapsed="false">
      <c r="A24" s="2" t="s">
        <v>27</v>
      </c>
      <c r="B24" s="2" t="s">
        <v>28</v>
      </c>
      <c r="C24" s="2" t="s">
        <v>29</v>
      </c>
      <c r="D24" s="2" t="s">
        <v>30</v>
      </c>
      <c r="F24" s="2" t="s">
        <v>31</v>
      </c>
      <c r="G24" s="2" t="s">
        <v>32</v>
      </c>
    </row>
    <row r="25" customFormat="false" ht="12.75" hidden="false" customHeight="true" outlineLevel="0" collapsed="false">
      <c r="A25" s="3" t="n">
        <v>1</v>
      </c>
      <c r="B25" s="3" t="n">
        <v>51875.4321678932</v>
      </c>
      <c r="C25" s="3" t="n">
        <v>-6083.05662562903</v>
      </c>
      <c r="D25" s="3" t="n">
        <v>-0.657595949221422</v>
      </c>
      <c r="F25" s="3" t="n">
        <v>16.6666666666667</v>
      </c>
      <c r="G25" s="3" t="n">
        <v>45792.3755422642</v>
      </c>
    </row>
    <row r="26" customFormat="false" ht="12.75" hidden="false" customHeight="true" outlineLevel="0" collapsed="false">
      <c r="A26" s="3" t="n">
        <v>2</v>
      </c>
      <c r="B26" s="3" t="n">
        <v>103235.534965081</v>
      </c>
      <c r="C26" s="3" t="n">
        <v>10645.349094851</v>
      </c>
      <c r="D26" s="3" t="n">
        <v>1.1507929111375</v>
      </c>
      <c r="F26" s="3" t="n">
        <v>50</v>
      </c>
      <c r="G26" s="3" t="n">
        <v>113880.884059932</v>
      </c>
    </row>
    <row r="27" customFormat="false" ht="13.5" hidden="false" customHeight="true" outlineLevel="0" collapsed="false">
      <c r="A27" s="4" t="n">
        <v>3</v>
      </c>
      <c r="B27" s="4" t="n">
        <v>171715.672027998</v>
      </c>
      <c r="C27" s="4" t="n">
        <v>-4562.29246922184</v>
      </c>
      <c r="D27" s="4" t="n">
        <v>-0.493196961916073</v>
      </c>
      <c r="F27" s="4" t="n">
        <v>83.3333333333333</v>
      </c>
      <c r="G27" s="4" t="n">
        <v>167153.379558776</v>
      </c>
    </row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1"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30" activeCellId="0" sqref="J30"/>
    </sheetView>
  </sheetViews>
  <sheetFormatPr defaultColWidth="14.445312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12.43"/>
    <col collapsed="false" customWidth="true" hidden="false" outlineLevel="0" max="6" min="4" style="0" width="8"/>
    <col collapsed="false" customWidth="true" hidden="false" outlineLevel="0" max="7" min="7" style="0" width="12.43"/>
    <col collapsed="false" customWidth="true" hidden="false" outlineLevel="0" max="9" min="8" style="0" width="8"/>
    <col collapsed="false" customWidth="true" hidden="false" outlineLevel="0" max="10" min="10" style="0" width="12.43"/>
    <col collapsed="false" customWidth="true" hidden="false" outlineLevel="0" max="11" min="11" style="0" width="8"/>
    <col collapsed="false" customWidth="true" hidden="false" outlineLevel="0" max="12" min="12" style="0" width="10.86"/>
    <col collapsed="false" customWidth="true" hidden="false" outlineLevel="0" max="26" min="13" style="0" width="8"/>
  </cols>
  <sheetData>
    <row r="1" customFormat="false" ht="12.75" hidden="false" customHeight="true" outlineLevel="0" collapsed="false">
      <c r="A1" s="1" t="n">
        <v>55</v>
      </c>
    </row>
    <row r="2" customFormat="false" ht="13.5" hidden="false" customHeight="true" outlineLevel="0" collapsed="false">
      <c r="C2" s="1" t="n">
        <v>285</v>
      </c>
      <c r="D2" s="1" t="s">
        <v>33</v>
      </c>
      <c r="H2" s="1" t="s">
        <v>34</v>
      </c>
      <c r="I2" s="1" t="n">
        <v>1.23</v>
      </c>
    </row>
    <row r="3" customFormat="false" ht="13.5" hidden="false" customHeight="true" outlineLevel="0" collapsed="false">
      <c r="J3" s="5"/>
      <c r="K3" s="6"/>
      <c r="L3" s="7"/>
    </row>
    <row r="4" customFormat="false" ht="12.75" hidden="false" customHeight="true" outlineLevel="0" collapsed="false">
      <c r="B4" s="5"/>
      <c r="C4" s="6" t="s">
        <v>35</v>
      </c>
      <c r="D4" s="7"/>
      <c r="F4" s="5"/>
      <c r="G4" s="6" t="s">
        <v>36</v>
      </c>
      <c r="H4" s="7"/>
      <c r="J4" s="8"/>
      <c r="K4" s="3" t="s">
        <v>37</v>
      </c>
      <c r="L4" s="9" t="s">
        <v>38</v>
      </c>
    </row>
    <row r="5" customFormat="false" ht="12.75" hidden="false" customHeight="true" outlineLevel="0" collapsed="false">
      <c r="B5" s="8"/>
      <c r="C5" s="3"/>
      <c r="D5" s="9"/>
      <c r="F5" s="8"/>
      <c r="G5" s="3" t="s">
        <v>39</v>
      </c>
      <c r="H5" s="9"/>
      <c r="J5" s="8" t="s">
        <v>40</v>
      </c>
      <c r="K5" s="3" t="n">
        <v>1</v>
      </c>
      <c r="L5" s="9" t="n">
        <v>9</v>
      </c>
    </row>
    <row r="6" customFormat="false" ht="12.75" hidden="false" customHeight="true" outlineLevel="0" collapsed="false">
      <c r="B6" s="8"/>
      <c r="C6" s="3"/>
      <c r="D6" s="9"/>
      <c r="F6" s="8"/>
      <c r="G6" s="3"/>
      <c r="H6" s="9"/>
      <c r="J6" s="8"/>
      <c r="K6" s="3"/>
      <c r="L6" s="9"/>
    </row>
    <row r="7" customFormat="false" ht="12.75" hidden="false" customHeight="true" outlineLevel="0" collapsed="false">
      <c r="B7" s="8" t="s">
        <v>41</v>
      </c>
      <c r="C7" s="3" t="n">
        <v>108.14</v>
      </c>
      <c r="D7" s="9"/>
      <c r="F7" s="8" t="s">
        <v>41</v>
      </c>
      <c r="G7" s="3" t="n">
        <v>1054.29</v>
      </c>
      <c r="H7" s="9"/>
      <c r="J7" s="8"/>
      <c r="K7" s="3"/>
      <c r="L7" s="9"/>
    </row>
    <row r="8" customFormat="false" ht="12.75" hidden="false" customHeight="true" outlineLevel="0" collapsed="false">
      <c r="B8" s="8" t="s">
        <v>42</v>
      </c>
      <c r="C8" s="3" t="n">
        <v>0.1115</v>
      </c>
      <c r="D8" s="9"/>
      <c r="F8" s="8" t="s">
        <v>42</v>
      </c>
      <c r="G8" s="3" t="n">
        <v>0.0236</v>
      </c>
      <c r="H8" s="9"/>
      <c r="J8" s="8"/>
      <c r="K8" s="3" t="s">
        <v>43</v>
      </c>
      <c r="L8" s="9"/>
    </row>
    <row r="9" customFormat="false" ht="12.75" hidden="false" customHeight="true" outlineLevel="0" collapsed="false">
      <c r="B9" s="8" t="s">
        <v>44</v>
      </c>
      <c r="C9" s="3" t="n">
        <v>0.025</v>
      </c>
      <c r="D9" s="9"/>
      <c r="F9" s="8" t="s">
        <v>44</v>
      </c>
      <c r="G9" s="3" t="n">
        <v>0.004</v>
      </c>
      <c r="H9" s="9"/>
      <c r="J9" s="8" t="s">
        <v>45</v>
      </c>
      <c r="K9" s="3" t="n">
        <f aca="false">55*(0.3/10)</f>
        <v>1.65</v>
      </c>
      <c r="L9" s="9"/>
    </row>
    <row r="10" customFormat="false" ht="12.75" hidden="false" customHeight="true" outlineLevel="0" collapsed="false">
      <c r="B10" s="8" t="s">
        <v>46</v>
      </c>
      <c r="C10" s="3" t="n">
        <f aca="false">C8/C7</f>
        <v>0.001031070834</v>
      </c>
      <c r="D10" s="9"/>
      <c r="F10" s="8" t="s">
        <v>46</v>
      </c>
      <c r="G10" s="3" t="n">
        <f aca="false">G8/G7</f>
        <v>2.238473285E-005</v>
      </c>
      <c r="H10" s="9"/>
      <c r="J10" s="8"/>
      <c r="K10" s="3"/>
      <c r="L10" s="9"/>
    </row>
    <row r="11" customFormat="false" ht="12.75" hidden="false" customHeight="true" outlineLevel="0" collapsed="false">
      <c r="B11" s="8" t="s">
        <v>45</v>
      </c>
      <c r="C11" s="3" t="n">
        <f aca="false">C10/C9</f>
        <v>0.04124283336</v>
      </c>
      <c r="D11" s="9"/>
      <c r="F11" s="8" t="s">
        <v>45</v>
      </c>
      <c r="G11" s="3" t="n">
        <f aca="false">G10/G9</f>
        <v>0.005596183213</v>
      </c>
      <c r="H11" s="9"/>
      <c r="J11" s="8" t="s">
        <v>47</v>
      </c>
      <c r="K11" s="3" t="s">
        <v>48</v>
      </c>
      <c r="L11" s="9" t="n">
        <v>9.7</v>
      </c>
    </row>
    <row r="12" customFormat="false" ht="13.5" hidden="false" customHeight="true" outlineLevel="0" collapsed="false">
      <c r="B12" s="10" t="s">
        <v>49</v>
      </c>
      <c r="C12" s="4" t="n">
        <f aca="false">C11*1000</f>
        <v>41.24283336</v>
      </c>
      <c r="D12" s="11"/>
      <c r="F12" s="8" t="s">
        <v>49</v>
      </c>
      <c r="G12" s="3" t="n">
        <f aca="false">G11*1000</f>
        <v>5.596183213</v>
      </c>
      <c r="H12" s="9"/>
      <c r="J12" s="8"/>
      <c r="K12" s="3" t="s">
        <v>50</v>
      </c>
      <c r="L12" s="9" t="n">
        <v>25</v>
      </c>
    </row>
    <row r="13" customFormat="false" ht="13.5" hidden="false" customHeight="true" outlineLevel="0" collapsed="false">
      <c r="F13" s="10" t="s">
        <v>51</v>
      </c>
      <c r="G13" s="4" t="n">
        <f aca="false">E20*G12/H20</f>
        <v>0.2798091607</v>
      </c>
      <c r="H13" s="11" t="s">
        <v>49</v>
      </c>
      <c r="J13" s="10"/>
      <c r="K13" s="4"/>
      <c r="L13" s="11"/>
    </row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>
      <c r="I18" s="1" t="s">
        <v>52</v>
      </c>
      <c r="J18" s="1" t="s">
        <v>52</v>
      </c>
      <c r="K18" s="1" t="s">
        <v>43</v>
      </c>
      <c r="L18" s="1" t="s">
        <v>43</v>
      </c>
      <c r="M18" s="1" t="s">
        <v>53</v>
      </c>
    </row>
    <row r="19" customFormat="false" ht="13.5" hidden="false" customHeight="true" outlineLevel="0" collapsed="false">
      <c r="B19" s="12" t="s">
        <v>51</v>
      </c>
      <c r="C19" s="4" t="s">
        <v>54</v>
      </c>
      <c r="D19" s="4" t="s">
        <v>55</v>
      </c>
      <c r="E19" s="4" t="s">
        <v>56</v>
      </c>
      <c r="F19" s="4" t="s">
        <v>57</v>
      </c>
      <c r="G19" s="4" t="s">
        <v>58</v>
      </c>
      <c r="H19" s="4" t="s">
        <v>59</v>
      </c>
      <c r="I19" s="4" t="s">
        <v>45</v>
      </c>
      <c r="J19" s="4" t="s">
        <v>49</v>
      </c>
      <c r="K19" s="4" t="s">
        <v>45</v>
      </c>
      <c r="L19" s="4" t="s">
        <v>49</v>
      </c>
      <c r="M19" s="4" t="s">
        <v>49</v>
      </c>
    </row>
    <row r="20" customFormat="false" ht="12.75" hidden="false" customHeight="true" outlineLevel="0" collapsed="false">
      <c r="B20" s="13" t="n">
        <v>1</v>
      </c>
      <c r="C20" s="1" t="n">
        <v>1.7</v>
      </c>
      <c r="D20" s="1" t="n">
        <v>0</v>
      </c>
      <c r="E20" s="1" t="n">
        <v>0.1</v>
      </c>
      <c r="F20" s="1" t="n">
        <v>0.1</v>
      </c>
      <c r="G20" s="1" t="n">
        <v>0.1</v>
      </c>
      <c r="H20" s="1" t="n">
        <f aca="false">SUM(C20:G20)</f>
        <v>2</v>
      </c>
      <c r="I20" s="1" t="n">
        <f aca="false">F20*$C$11/H20</f>
        <v>0.002062141668</v>
      </c>
      <c r="J20" s="14" t="n">
        <f aca="false">I20*1000</f>
        <v>2.062141668</v>
      </c>
      <c r="K20" s="14" t="n">
        <f aca="false">(G20*$K$9)/H20</f>
        <v>0.0825</v>
      </c>
      <c r="L20" s="14" t="n">
        <f aca="false">K20*1000</f>
        <v>82.5</v>
      </c>
      <c r="M20" s="15" t="n">
        <f aca="false">E20*$G$12/H20</f>
        <v>0.27980916065</v>
      </c>
    </row>
    <row r="21" customFormat="false" ht="12.75" hidden="false" customHeight="true" outlineLevel="0" collapsed="false">
      <c r="B21" s="13" t="n">
        <v>2</v>
      </c>
      <c r="C21" s="1" t="n">
        <v>1.6</v>
      </c>
      <c r="D21" s="1" t="n">
        <v>0</v>
      </c>
      <c r="E21" s="1" t="n">
        <v>0.1</v>
      </c>
      <c r="F21" s="1" t="n">
        <v>0.2</v>
      </c>
      <c r="G21" s="1" t="n">
        <v>0.1</v>
      </c>
      <c r="H21" s="1" t="n">
        <f aca="false">SUM(C21:G21)</f>
        <v>2</v>
      </c>
      <c r="I21" s="1" t="n">
        <f aca="false">F21*$C$11/H21</f>
        <v>0.004124283336</v>
      </c>
      <c r="J21" s="14" t="n">
        <f aca="false">I21*1000</f>
        <v>4.124283336</v>
      </c>
      <c r="K21" s="14" t="n">
        <f aca="false">(G21*$K$9)/H21</f>
        <v>0.0825</v>
      </c>
      <c r="L21" s="14" t="n">
        <f aca="false">K21*1000</f>
        <v>82.5</v>
      </c>
      <c r="M21" s="15" t="n">
        <f aca="false">E21*$G$12/H21</f>
        <v>0.27980916065</v>
      </c>
      <c r="Q21" s="1" t="n">
        <f aca="false">0.1*(C20/2)</f>
        <v>0.085</v>
      </c>
    </row>
    <row r="22" customFormat="false" ht="12.75" hidden="false" customHeight="true" outlineLevel="0" collapsed="false">
      <c r="B22" s="13" t="n">
        <v>3</v>
      </c>
      <c r="C22" s="1" t="n">
        <v>1.5</v>
      </c>
      <c r="D22" s="1" t="n">
        <v>0</v>
      </c>
      <c r="E22" s="1" t="n">
        <v>0.1</v>
      </c>
      <c r="F22" s="1" t="n">
        <v>0.3</v>
      </c>
      <c r="G22" s="1" t="n">
        <v>0.1</v>
      </c>
      <c r="H22" s="1" t="n">
        <f aca="false">SUM(C22:G22)</f>
        <v>2</v>
      </c>
      <c r="I22" s="1" t="n">
        <f aca="false">F22*$C$11/H22</f>
        <v>0.006186425004</v>
      </c>
      <c r="J22" s="14" t="n">
        <f aca="false">I22*1000</f>
        <v>6.186425004</v>
      </c>
      <c r="K22" s="14" t="n">
        <f aca="false">(G22*$K$9)/H22</f>
        <v>0.0825</v>
      </c>
      <c r="L22" s="14" t="n">
        <f aca="false">K22*1000</f>
        <v>82.5</v>
      </c>
      <c r="M22" s="15" t="n">
        <f aca="false">E22*$G$12/H22</f>
        <v>0.27980916065</v>
      </c>
      <c r="Q22" s="1" t="n">
        <f aca="false">0.1*(C21/2)</f>
        <v>0.08</v>
      </c>
    </row>
    <row r="23" customFormat="false" ht="12.75" hidden="false" customHeight="true" outlineLevel="0" collapsed="false">
      <c r="B23" s="16" t="n">
        <v>4</v>
      </c>
      <c r="C23" s="16" t="n">
        <v>1.4</v>
      </c>
      <c r="D23" s="16" t="n">
        <v>0</v>
      </c>
      <c r="E23" s="16" t="n">
        <v>0.1</v>
      </c>
      <c r="F23" s="16" t="n">
        <v>0.4</v>
      </c>
      <c r="G23" s="16" t="n">
        <v>0.1</v>
      </c>
      <c r="H23" s="16" t="n">
        <f aca="false">SUM(C23:G23)</f>
        <v>2</v>
      </c>
      <c r="I23" s="16" t="n">
        <f aca="false">F23*$C$11/H23</f>
        <v>0.008248566672</v>
      </c>
      <c r="J23" s="17" t="n">
        <f aca="false">I23*1000</f>
        <v>8.248566672</v>
      </c>
      <c r="K23" s="17" t="n">
        <f aca="false">(G23*$K$9)/H23</f>
        <v>0.0825</v>
      </c>
      <c r="L23" s="17" t="n">
        <f aca="false">K23*1000</f>
        <v>82.5</v>
      </c>
      <c r="M23" s="15" t="n">
        <f aca="false">E23*$G$12/H23</f>
        <v>0.27980916065</v>
      </c>
      <c r="Q23" s="1" t="n">
        <f aca="false">0.1*(C22/2)</f>
        <v>0.075</v>
      </c>
    </row>
    <row r="24" customFormat="false" ht="12.75" hidden="false" customHeight="true" outlineLevel="0" collapsed="false">
      <c r="B24" s="13" t="n">
        <v>5</v>
      </c>
      <c r="C24" s="1" t="n">
        <v>1.7</v>
      </c>
      <c r="D24" s="3" t="n">
        <v>0.1</v>
      </c>
      <c r="E24" s="3" t="n">
        <v>0</v>
      </c>
      <c r="F24" s="1" t="n">
        <v>0.1</v>
      </c>
      <c r="G24" s="3" t="n">
        <v>0.1</v>
      </c>
      <c r="H24" s="1" t="n">
        <f aca="false">SUM(C24:G24)</f>
        <v>2</v>
      </c>
      <c r="I24" s="1" t="n">
        <f aca="false">F24*$C$11/H24</f>
        <v>0.002062141668</v>
      </c>
      <c r="J24" s="1" t="n">
        <f aca="false">I24*1000</f>
        <v>2.062141668</v>
      </c>
      <c r="K24" s="3" t="n">
        <f aca="false">(G24*$K$9)/H24</f>
        <v>0.0825</v>
      </c>
      <c r="L24" s="3" t="n">
        <f aca="false">K24*1000</f>
        <v>82.5</v>
      </c>
      <c r="M24" s="1" t="n">
        <f aca="false">E24*$G$12/H24</f>
        <v>0</v>
      </c>
      <c r="Q24" s="1" t="n">
        <f aca="false">0.1*(C23/2)</f>
        <v>0.07</v>
      </c>
    </row>
    <row r="25" customFormat="false" ht="12.75" hidden="false" customHeight="true" outlineLevel="0" collapsed="false">
      <c r="B25" s="13" t="n">
        <v>6</v>
      </c>
      <c r="C25" s="1" t="n">
        <v>1.6</v>
      </c>
      <c r="D25" s="3" t="n">
        <v>0.1</v>
      </c>
      <c r="E25" s="3" t="n">
        <v>0</v>
      </c>
      <c r="F25" s="1" t="n">
        <v>0.2</v>
      </c>
      <c r="G25" s="3" t="n">
        <v>0.1</v>
      </c>
      <c r="H25" s="1" t="n">
        <f aca="false">SUM(C25:G25)</f>
        <v>2</v>
      </c>
      <c r="I25" s="1" t="n">
        <f aca="false">F25*$C$11/H25</f>
        <v>0.004124283336</v>
      </c>
      <c r="J25" s="1" t="n">
        <f aca="false">I25*1000</f>
        <v>4.124283336</v>
      </c>
      <c r="K25" s="3" t="n">
        <f aca="false">(G25*$K$9)/H25</f>
        <v>0.0825</v>
      </c>
      <c r="L25" s="3" t="n">
        <f aca="false">K25*1000</f>
        <v>82.5</v>
      </c>
      <c r="M25" s="1" t="n">
        <f aca="false">E25*$G$12/H25</f>
        <v>0</v>
      </c>
    </row>
    <row r="26" customFormat="false" ht="12.75" hidden="false" customHeight="true" outlineLevel="0" collapsed="false">
      <c r="B26" s="13" t="n">
        <v>7</v>
      </c>
      <c r="C26" s="1" t="n">
        <v>1.5</v>
      </c>
      <c r="D26" s="3" t="n">
        <v>0.1</v>
      </c>
      <c r="E26" s="3" t="n">
        <v>0</v>
      </c>
      <c r="F26" s="1" t="n">
        <v>0.3</v>
      </c>
      <c r="G26" s="3" t="n">
        <v>0.1</v>
      </c>
      <c r="H26" s="1" t="n">
        <f aca="false">SUM(C26:G26)</f>
        <v>2</v>
      </c>
      <c r="I26" s="1" t="n">
        <f aca="false">F26*$C$11/H26</f>
        <v>0.006186425004</v>
      </c>
      <c r="J26" s="1" t="n">
        <f aca="false">I26*1000</f>
        <v>6.186425004</v>
      </c>
      <c r="K26" s="3" t="n">
        <f aca="false">(G26*$K$9)/H26</f>
        <v>0.0825</v>
      </c>
      <c r="L26" s="3" t="n">
        <f aca="false">K26*1000</f>
        <v>82.5</v>
      </c>
      <c r="M26" s="1" t="n">
        <f aca="false">E26*$G$12/H26</f>
        <v>0</v>
      </c>
    </row>
    <row r="27" customFormat="false" ht="13.5" hidden="false" customHeight="true" outlineLevel="0" collapsed="false">
      <c r="B27" s="12" t="n">
        <v>8</v>
      </c>
      <c r="C27" s="4" t="n">
        <v>1.4</v>
      </c>
      <c r="D27" s="4" t="n">
        <v>0.1</v>
      </c>
      <c r="E27" s="4" t="n">
        <v>0</v>
      </c>
      <c r="F27" s="4" t="n">
        <v>0.4</v>
      </c>
      <c r="G27" s="4" t="n">
        <v>0.1</v>
      </c>
      <c r="H27" s="4" t="n">
        <f aca="false">SUM(C27:G27)</f>
        <v>2</v>
      </c>
      <c r="I27" s="4" t="n">
        <f aca="false">F27*$C$11/H27</f>
        <v>0.008248566672</v>
      </c>
      <c r="J27" s="4" t="n">
        <f aca="false">I27*1000</f>
        <v>8.248566672</v>
      </c>
      <c r="K27" s="4" t="n">
        <f aca="false">(G27*$K$9)/H27</f>
        <v>0.0825</v>
      </c>
      <c r="L27" s="4" t="n">
        <f aca="false">K27*1000</f>
        <v>82.5</v>
      </c>
      <c r="M27" s="4" t="n">
        <f aca="false">E27*$G$12/H27</f>
        <v>0</v>
      </c>
    </row>
    <row r="28" customFormat="false" ht="12.75" hidden="false" customHeight="true" outlineLevel="0" collapsed="false">
      <c r="C28" s="1" t="n">
        <f aca="false">SUM(C20:C27)</f>
        <v>12.4</v>
      </c>
      <c r="D28" s="1" t="n">
        <f aca="false">SUM(D20:D27)</f>
        <v>0.4</v>
      </c>
      <c r="E28" s="1" t="n">
        <f aca="false">SUM(E20:E27)</f>
        <v>0.4</v>
      </c>
      <c r="F28" s="1" t="n">
        <f aca="false">SUM(F20:F27)</f>
        <v>2</v>
      </c>
      <c r="G28" s="1" t="n">
        <f aca="false">SUM(G20:G27)</f>
        <v>0.8</v>
      </c>
    </row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>
      <c r="G33" s="1" t="n">
        <v>0.021612598</v>
      </c>
    </row>
    <row r="34" customFormat="false" ht="12.75" hidden="false" customHeight="true" outlineLevel="0" collapsed="false">
      <c r="L34" s="18"/>
      <c r="M34" s="18"/>
    </row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>
      <c r="I38" s="1" t="s">
        <v>60</v>
      </c>
      <c r="J38" s="3" t="n">
        <v>0.00743830545682095</v>
      </c>
      <c r="K38" s="1" t="s">
        <v>61</v>
      </c>
    </row>
    <row r="39" customFormat="false" ht="12.75" hidden="false" customHeight="true" outlineLevel="0" collapsed="false">
      <c r="H39" s="18"/>
      <c r="I39" s="1" t="s">
        <v>60</v>
      </c>
      <c r="J39" s="1" t="n">
        <f aca="false">J38/I2</f>
        <v>0.00604740281</v>
      </c>
      <c r="K39" s="1" t="s">
        <v>62</v>
      </c>
    </row>
    <row r="40" customFormat="false" ht="12.75" hidden="false" customHeight="true" outlineLevel="0" collapsed="false">
      <c r="I40" s="1" t="s">
        <v>63</v>
      </c>
      <c r="J40" s="9" t="n">
        <v>22.6077065628739</v>
      </c>
      <c r="K40" s="1" t="s">
        <v>64</v>
      </c>
    </row>
    <row r="41" customFormat="false" ht="12.75" hidden="false" customHeight="true" outlineLevel="0" collapsed="false">
      <c r="I41" s="1" t="s">
        <v>65</v>
      </c>
      <c r="J41" s="1" t="n">
        <f aca="false">J39/G13</f>
        <v>0.02161259766</v>
      </c>
      <c r="K41" s="1" t="s">
        <v>66</v>
      </c>
    </row>
    <row r="42" customFormat="false" ht="12.75" hidden="false" customHeight="true" outlineLevel="0" collapsed="false">
      <c r="J42" s="1" t="n">
        <f aca="false">J41/60</f>
        <v>0.000360209961</v>
      </c>
      <c r="K42" s="1" t="s">
        <v>67</v>
      </c>
    </row>
    <row r="43" customFormat="false" ht="12.75" hidden="false" customHeight="true" outlineLevel="0" collapsed="false">
      <c r="I43" s="1" t="s">
        <v>68</v>
      </c>
      <c r="J43" s="18" t="n">
        <v>1.43E-009</v>
      </c>
      <c r="K43" s="1" t="s">
        <v>69</v>
      </c>
    </row>
    <row r="44" customFormat="false" ht="12.75" hidden="false" customHeight="true" outlineLevel="0" collapsed="false">
      <c r="J44" s="19" t="n">
        <f aca="false">60*J43</f>
        <v>8.58E-008</v>
      </c>
      <c r="K44" s="1" t="s">
        <v>66</v>
      </c>
    </row>
    <row r="45" customFormat="false" ht="12.75" hidden="false" customHeight="true" outlineLevel="0" collapsed="false">
      <c r="I45" s="1" t="s">
        <v>70</v>
      </c>
      <c r="J45" s="18" t="n">
        <f aca="false">J42/J43</f>
        <v>251895.0776</v>
      </c>
    </row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customFormat="false" ht="13.5" hidden="false" customHeight="true" outlineLevel="0" collapsed="false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customFormat="false" ht="12.75" hidden="false" customHeight="true" outlineLevel="0" collapsed="false">
      <c r="B86" s="3"/>
      <c r="C86" s="5" t="s">
        <v>71</v>
      </c>
      <c r="D86" s="6"/>
      <c r="E86" s="6"/>
      <c r="F86" s="6"/>
      <c r="G86" s="6"/>
      <c r="H86" s="6"/>
      <c r="I86" s="6"/>
      <c r="J86" s="6"/>
      <c r="K86" s="6"/>
      <c r="L86" s="7"/>
      <c r="M86" s="3"/>
    </row>
    <row r="87" customFormat="false" ht="12.75" hidden="false" customHeight="true" outlineLevel="0" collapsed="false">
      <c r="B87" s="3"/>
      <c r="C87" s="8" t="s">
        <v>72</v>
      </c>
      <c r="D87" s="3"/>
      <c r="E87" s="3"/>
      <c r="F87" s="3"/>
      <c r="G87" s="3"/>
      <c r="H87" s="3"/>
      <c r="I87" s="3"/>
      <c r="J87" s="3"/>
      <c r="K87" s="3"/>
      <c r="L87" s="9"/>
      <c r="M87" s="3"/>
    </row>
    <row r="88" customFormat="false" ht="12.75" hidden="false" customHeight="true" outlineLevel="0" collapsed="false">
      <c r="B88" s="3"/>
      <c r="C88" s="8" t="s">
        <v>73</v>
      </c>
      <c r="D88" s="3"/>
      <c r="E88" s="3"/>
      <c r="F88" s="3"/>
      <c r="G88" s="3"/>
      <c r="H88" s="3"/>
      <c r="I88" s="3"/>
      <c r="J88" s="3"/>
      <c r="K88" s="3"/>
      <c r="L88" s="9"/>
      <c r="M88" s="3"/>
    </row>
    <row r="89" customFormat="false" ht="13.5" hidden="false" customHeight="true" outlineLevel="0" collapsed="false">
      <c r="B89" s="3"/>
      <c r="C89" s="10" t="s">
        <v>74</v>
      </c>
      <c r="D89" s="4"/>
      <c r="E89" s="4"/>
      <c r="F89" s="4"/>
      <c r="G89" s="4"/>
      <c r="H89" s="4"/>
      <c r="I89" s="4"/>
      <c r="J89" s="4"/>
      <c r="K89" s="4"/>
      <c r="L89" s="11"/>
      <c r="M89" s="3"/>
    </row>
    <row r="90" customFormat="false" ht="12.75" hidden="false" customHeight="true" outlineLevel="0" collapsed="false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</row>
    <row r="91" customFormat="false" ht="12.75" hidden="false" customHeight="true" outlineLevel="0" collapsed="false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customFormat="false" ht="12.75" hidden="false" customHeight="true" outlineLevel="0" collapsed="false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</row>
    <row r="93" customFormat="false" ht="12.75" hidden="false" customHeight="true" outlineLevel="0" collapsed="false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</row>
    <row r="94" customFormat="false" ht="12.75" hidden="false" customHeight="true" outlineLevel="0" collapsed="false">
      <c r="B94" s="3"/>
      <c r="C94" s="3"/>
      <c r="D94" s="3"/>
      <c r="E94" s="3"/>
      <c r="F94" s="3"/>
      <c r="G94" s="3"/>
      <c r="H94" s="3"/>
      <c r="I94" s="3"/>
      <c r="J94" s="3"/>
      <c r="K94" s="20"/>
      <c r="L94" s="3"/>
      <c r="M94" s="3"/>
    </row>
    <row r="95" customFormat="false" ht="12.75" hidden="false" customHeight="true" outlineLevel="0" collapsed="false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customFormat="false" ht="13.5" hidden="false" customHeight="true" outlineLevel="0" collapsed="false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</row>
    <row r="97" customFormat="false" ht="12.75" hidden="false" customHeight="true" outlineLevel="0" collapsed="false">
      <c r="B97" s="3"/>
      <c r="C97" s="5" t="s">
        <v>75</v>
      </c>
      <c r="D97" s="6"/>
      <c r="E97" s="6"/>
      <c r="F97" s="6"/>
      <c r="G97" s="6"/>
      <c r="H97" s="6" t="s">
        <v>75</v>
      </c>
      <c r="I97" s="6"/>
      <c r="J97" s="7"/>
      <c r="K97" s="3"/>
      <c r="L97" s="3"/>
      <c r="M97" s="3"/>
    </row>
    <row r="98" customFormat="false" ht="12.75" hidden="false" customHeight="true" outlineLevel="0" collapsed="false">
      <c r="B98" s="3"/>
      <c r="C98" s="8" t="s">
        <v>76</v>
      </c>
      <c r="D98" s="3"/>
      <c r="E98" s="3"/>
      <c r="F98" s="3"/>
      <c r="G98" s="3"/>
      <c r="H98" s="3" t="s">
        <v>77</v>
      </c>
      <c r="I98" s="3"/>
      <c r="J98" s="9"/>
      <c r="K98" s="3"/>
      <c r="L98" s="3"/>
      <c r="M98" s="3"/>
    </row>
    <row r="99" customFormat="false" ht="12.75" hidden="false" customHeight="true" outlineLevel="0" collapsed="false">
      <c r="B99" s="3"/>
      <c r="C99" s="8" t="s">
        <v>78</v>
      </c>
      <c r="D99" s="3"/>
      <c r="E99" s="3"/>
      <c r="F99" s="3"/>
      <c r="G99" s="3"/>
      <c r="H99" s="3"/>
      <c r="I99" s="3" t="s">
        <v>79</v>
      </c>
      <c r="J99" s="9" t="s">
        <v>80</v>
      </c>
      <c r="K99" s="3"/>
      <c r="L99" s="3"/>
      <c r="M99" s="3"/>
    </row>
    <row r="100" customFormat="false" ht="12.75" hidden="false" customHeight="true" outlineLevel="0" collapsed="false">
      <c r="B100" s="3"/>
      <c r="C100" s="8" t="s">
        <v>81</v>
      </c>
      <c r="D100" s="3" t="s">
        <v>82</v>
      </c>
      <c r="E100" s="3" t="s">
        <v>83</v>
      </c>
      <c r="F100" s="3" t="s">
        <v>84</v>
      </c>
      <c r="G100" s="3" t="s">
        <v>85</v>
      </c>
      <c r="H100" s="3" t="s">
        <v>86</v>
      </c>
      <c r="I100" s="3"/>
      <c r="J100" s="9"/>
      <c r="K100" s="3"/>
      <c r="L100" s="3"/>
      <c r="M100" s="3"/>
    </row>
    <row r="101" customFormat="false" ht="12.75" hidden="false" customHeight="true" outlineLevel="0" collapsed="false">
      <c r="B101" s="3"/>
      <c r="C101" s="8" t="s">
        <v>87</v>
      </c>
      <c r="D101" s="3" t="n">
        <v>2.06209999999372</v>
      </c>
      <c r="E101" s="3" t="n">
        <v>0</v>
      </c>
      <c r="F101" s="3" t="n">
        <v>0.000449174293794</v>
      </c>
      <c r="G101" s="20" t="s">
        <v>88</v>
      </c>
      <c r="H101" s="3"/>
      <c r="I101" s="3" t="s">
        <v>89</v>
      </c>
      <c r="J101" s="9" t="n">
        <v>0.00743830545682095</v>
      </c>
      <c r="K101" s="3"/>
      <c r="L101" s="3"/>
      <c r="M101" s="3"/>
    </row>
    <row r="102" customFormat="false" ht="12.75" hidden="false" customHeight="true" outlineLevel="0" collapsed="false">
      <c r="B102" s="3"/>
      <c r="C102" s="8" t="s">
        <v>90</v>
      </c>
      <c r="D102" s="3" t="n">
        <v>4.12430000031571</v>
      </c>
      <c r="E102" s="3" t="n">
        <v>0</v>
      </c>
      <c r="F102" s="3" t="n">
        <v>0.001131746936228</v>
      </c>
      <c r="G102" s="3" t="s">
        <v>91</v>
      </c>
      <c r="H102" s="3"/>
      <c r="I102" s="3" t="s">
        <v>63</v>
      </c>
      <c r="J102" s="9" t="n">
        <v>22.6077065628739</v>
      </c>
      <c r="K102" s="3"/>
      <c r="L102" s="3"/>
      <c r="M102" s="3"/>
    </row>
    <row r="103" customFormat="false" ht="12.75" hidden="false" customHeight="true" outlineLevel="0" collapsed="false">
      <c r="B103" s="3"/>
      <c r="C103" s="8" t="s">
        <v>92</v>
      </c>
      <c r="D103" s="3" t="n">
        <v>6.18640000030944</v>
      </c>
      <c r="E103" s="3" t="n">
        <v>0</v>
      </c>
      <c r="F103" s="3" t="n">
        <v>0.001640805778117</v>
      </c>
      <c r="G103" s="3" t="s">
        <v>91</v>
      </c>
      <c r="H103" s="3" t="s">
        <v>93</v>
      </c>
      <c r="I103" s="3"/>
      <c r="J103" s="9"/>
      <c r="K103" s="3"/>
      <c r="L103" s="3"/>
      <c r="M103" s="3"/>
    </row>
    <row r="104" customFormat="false" ht="12.75" hidden="false" customHeight="true" outlineLevel="0" collapsed="false">
      <c r="B104" s="3"/>
      <c r="C104" s="8" t="s">
        <v>94</v>
      </c>
      <c r="D104" s="3" t="n">
        <v>8.24859999997804</v>
      </c>
      <c r="E104" s="3" t="n">
        <v>0</v>
      </c>
      <c r="F104" s="3" t="n">
        <v>0.001964582077792</v>
      </c>
      <c r="G104" s="3" t="s">
        <v>91</v>
      </c>
      <c r="H104" s="3"/>
      <c r="I104" s="3" t="s">
        <v>95</v>
      </c>
      <c r="J104" s="9" t="n">
        <v>15215.2690967158</v>
      </c>
      <c r="K104" s="3"/>
      <c r="L104" s="3"/>
      <c r="M104" s="3"/>
    </row>
    <row r="105" customFormat="false" ht="13.5" hidden="false" customHeight="true" outlineLevel="0" collapsed="false">
      <c r="B105" s="3"/>
      <c r="C105" s="10"/>
      <c r="D105" s="4"/>
      <c r="E105" s="4"/>
      <c r="F105" s="4"/>
      <c r="G105" s="4"/>
      <c r="H105" s="4"/>
      <c r="I105" s="4" t="s">
        <v>96</v>
      </c>
      <c r="J105" s="11" t="n">
        <v>0.953903996880183</v>
      </c>
      <c r="K105" s="3"/>
      <c r="L105" s="3"/>
      <c r="M105" s="3"/>
    </row>
    <row r="106" customFormat="false" ht="13.5" hidden="false" customHeight="true" outlineLevel="0" collapsed="false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customFormat="false" ht="12.75" hidden="false" customHeight="true" outlineLevel="0" collapsed="false">
      <c r="B107" s="3"/>
      <c r="C107" s="5"/>
      <c r="D107" s="6"/>
      <c r="E107" s="6"/>
      <c r="F107" s="6"/>
      <c r="G107" s="6"/>
      <c r="H107" s="6"/>
      <c r="I107" s="6"/>
      <c r="J107" s="6"/>
      <c r="K107" s="7"/>
      <c r="L107" s="3"/>
      <c r="M107" s="3"/>
    </row>
    <row r="108" customFormat="false" ht="12.75" hidden="false" customHeight="true" outlineLevel="0" collapsed="false">
      <c r="B108" s="3"/>
      <c r="C108" s="8"/>
      <c r="D108" s="3"/>
      <c r="E108" s="3"/>
      <c r="F108" s="3"/>
      <c r="G108" s="3"/>
      <c r="H108" s="3"/>
      <c r="I108" s="3"/>
      <c r="J108" s="3"/>
      <c r="K108" s="9"/>
      <c r="L108" s="3"/>
      <c r="M108" s="3"/>
    </row>
    <row r="109" customFormat="false" ht="12.75" hidden="false" customHeight="true" outlineLevel="0" collapsed="false">
      <c r="B109" s="3"/>
      <c r="C109" s="8"/>
      <c r="D109" s="3"/>
      <c r="E109" s="3"/>
      <c r="F109" s="3"/>
      <c r="G109" s="3"/>
      <c r="H109" s="3"/>
      <c r="I109" s="3"/>
      <c r="J109" s="3"/>
      <c r="K109" s="9"/>
      <c r="L109" s="3"/>
      <c r="M109" s="3"/>
    </row>
    <row r="110" customFormat="false" ht="12.75" hidden="false" customHeight="true" outlineLevel="0" collapsed="false">
      <c r="B110" s="3"/>
      <c r="C110" s="8"/>
      <c r="D110" s="3"/>
      <c r="E110" s="3"/>
      <c r="F110" s="3"/>
      <c r="G110" s="3"/>
      <c r="H110" s="3"/>
      <c r="I110" s="3"/>
      <c r="J110" s="3"/>
      <c r="K110" s="9"/>
      <c r="L110" s="3"/>
      <c r="M110" s="3"/>
    </row>
    <row r="111" customFormat="false" ht="12.75" hidden="false" customHeight="true" outlineLevel="0" collapsed="false">
      <c r="B111" s="3"/>
      <c r="C111" s="8"/>
      <c r="D111" s="3"/>
      <c r="E111" s="3"/>
      <c r="F111" s="3"/>
      <c r="G111" s="3"/>
      <c r="H111" s="3"/>
      <c r="I111" s="3"/>
      <c r="J111" s="3"/>
      <c r="K111" s="9"/>
    </row>
    <row r="112" customFormat="false" ht="12.75" hidden="false" customHeight="true" outlineLevel="0" collapsed="false">
      <c r="B112" s="3"/>
      <c r="C112" s="8"/>
      <c r="D112" s="3"/>
      <c r="E112" s="3"/>
      <c r="F112" s="3"/>
      <c r="G112" s="3"/>
      <c r="H112" s="3"/>
      <c r="I112" s="3"/>
      <c r="J112" s="3"/>
      <c r="K112" s="9"/>
    </row>
    <row r="113" customFormat="false" ht="12.75" hidden="false" customHeight="true" outlineLevel="0" collapsed="false">
      <c r="B113" s="3"/>
      <c r="C113" s="8"/>
      <c r="D113" s="3"/>
      <c r="E113" s="3"/>
      <c r="F113" s="3"/>
      <c r="G113" s="3"/>
      <c r="H113" s="3"/>
      <c r="I113" s="3"/>
      <c r="J113" s="3"/>
      <c r="K113" s="21"/>
    </row>
    <row r="114" customFormat="false" ht="12.75" hidden="false" customHeight="true" outlineLevel="0" collapsed="false">
      <c r="B114" s="3"/>
      <c r="C114" s="8"/>
      <c r="D114" s="3"/>
      <c r="E114" s="3"/>
      <c r="F114" s="3"/>
      <c r="G114" s="3"/>
      <c r="H114" s="3"/>
      <c r="I114" s="3"/>
      <c r="J114" s="3"/>
      <c r="K114" s="9"/>
    </row>
    <row r="115" customFormat="false" ht="13.5" hidden="false" customHeight="true" outlineLevel="0" collapsed="false">
      <c r="B115" s="3"/>
      <c r="C115" s="10"/>
      <c r="D115" s="4"/>
      <c r="E115" s="4"/>
      <c r="F115" s="4"/>
      <c r="G115" s="4"/>
      <c r="H115" s="4"/>
      <c r="I115" s="4"/>
      <c r="J115" s="4"/>
      <c r="K115" s="11"/>
    </row>
    <row r="116" customFormat="false" ht="12.75" hidden="false" customHeight="true" outlineLevel="0" collapsed="false">
      <c r="B116" s="3"/>
      <c r="F116" s="3"/>
    </row>
    <row r="117" customFormat="false" ht="12.75" hidden="false" customHeight="true" outlineLevel="0" collapsed="false">
      <c r="B117" s="3"/>
      <c r="C117" s="3"/>
      <c r="D117" s="3"/>
      <c r="E117" s="3"/>
      <c r="F117" s="3"/>
      <c r="G117" s="3"/>
      <c r="H117" s="3"/>
    </row>
    <row r="118" customFormat="false" ht="12.75" hidden="false" customHeight="true" outlineLevel="0" collapsed="false">
      <c r="B118" s="3"/>
      <c r="C118" s="3"/>
      <c r="D118" s="3"/>
      <c r="E118" s="3"/>
      <c r="F118" s="3"/>
      <c r="G118" s="3"/>
      <c r="H118" s="3"/>
    </row>
    <row r="119" customFormat="false" ht="12.75" hidden="false" customHeight="true" outlineLevel="0" collapsed="false">
      <c r="B119" s="3"/>
      <c r="C119" s="3"/>
      <c r="D119" s="3"/>
      <c r="E119" s="3"/>
      <c r="F119" s="3"/>
      <c r="G119" s="3"/>
      <c r="H119" s="3"/>
      <c r="I119" s="3"/>
      <c r="J119" s="3"/>
      <c r="K119" s="3"/>
    </row>
    <row r="120" customFormat="false" ht="12.75" hidden="false" customHeight="true" outlineLevel="0" collapsed="false">
      <c r="B120" s="3"/>
    </row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T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4" min="1" style="0" width="8"/>
    <col collapsed="false" customWidth="true" hidden="false" outlineLevel="0" max="5" min="5" style="0" width="14.57"/>
    <col collapsed="false" customWidth="true" hidden="false" outlineLevel="0" max="6" min="6" style="0" width="10.29"/>
    <col collapsed="false" customWidth="true" hidden="false" outlineLevel="0" max="7" min="7" style="0" width="14.57"/>
    <col collapsed="false" customWidth="true" hidden="false" outlineLevel="0" max="8" min="8" style="0" width="10.29"/>
    <col collapsed="false" customWidth="true" hidden="false" outlineLevel="0" max="9" min="9" style="0" width="14.57"/>
    <col collapsed="false" customWidth="true" hidden="false" outlineLevel="0" max="10" min="10" style="0" width="10.29"/>
    <col collapsed="false" customWidth="true" hidden="false" outlineLevel="0" max="11" min="11" style="0" width="14.57"/>
    <col collapsed="false" customWidth="true" hidden="false" outlineLevel="0" max="12" min="12" style="0" width="10.29"/>
    <col collapsed="false" customWidth="true" hidden="false" outlineLevel="0" max="35" min="13" style="0" width="8"/>
  </cols>
  <sheetData>
    <row r="1" customFormat="false" ht="12.75" hidden="false" customHeight="true" outlineLevel="0" collapsed="false"/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>
      <c r="B6" s="22"/>
      <c r="D6" s="22"/>
      <c r="E6" s="1" t="s">
        <v>97</v>
      </c>
      <c r="F6" s="22" t="s">
        <v>98</v>
      </c>
      <c r="H6" s="22"/>
    </row>
    <row r="7" customFormat="false" ht="12.75" hidden="false" customHeight="true" outlineLevel="0" collapsed="false">
      <c r="E7" s="1" t="s">
        <v>99</v>
      </c>
      <c r="F7" s="1" t="n">
        <v>161008</v>
      </c>
    </row>
    <row r="8" customFormat="false" ht="12.75" hidden="false" customHeight="true" outlineLevel="0" collapsed="false">
      <c r="E8" s="1" t="s">
        <v>81</v>
      </c>
      <c r="F8" s="1" t="s">
        <v>87</v>
      </c>
      <c r="G8" s="1" t="s">
        <v>81</v>
      </c>
      <c r="H8" s="1" t="s">
        <v>90</v>
      </c>
      <c r="I8" s="1" t="s">
        <v>81</v>
      </c>
      <c r="J8" s="1" t="s">
        <v>92</v>
      </c>
      <c r="K8" s="1" t="s">
        <v>81</v>
      </c>
      <c r="L8" s="1" t="s">
        <v>94</v>
      </c>
    </row>
    <row r="9" customFormat="false" ht="12.75" hidden="false" customHeight="true" outlineLevel="0" collapsed="false">
      <c r="E9" s="1" t="s">
        <v>100</v>
      </c>
      <c r="F9" s="1" t="s">
        <v>101</v>
      </c>
      <c r="G9" s="1" t="s">
        <v>100</v>
      </c>
      <c r="H9" s="1" t="s">
        <v>101</v>
      </c>
      <c r="I9" s="1" t="s">
        <v>100</v>
      </c>
      <c r="J9" s="1" t="s">
        <v>101</v>
      </c>
      <c r="K9" s="1" t="s">
        <v>100</v>
      </c>
      <c r="L9" s="1" t="s">
        <v>101</v>
      </c>
    </row>
    <row r="10" customFormat="false" ht="12.75" hidden="false" customHeight="true" outlineLevel="0" collapsed="false">
      <c r="E10" s="1" t="s">
        <v>102</v>
      </c>
      <c r="F10" s="1" t="s">
        <v>103</v>
      </c>
      <c r="G10" s="1" t="s">
        <v>102</v>
      </c>
      <c r="H10" s="1" t="s">
        <v>103</v>
      </c>
      <c r="I10" s="1" t="s">
        <v>102</v>
      </c>
      <c r="J10" s="1" t="s">
        <v>103</v>
      </c>
      <c r="K10" s="1" t="s">
        <v>102</v>
      </c>
      <c r="L10" s="1" t="s">
        <v>103</v>
      </c>
    </row>
    <row r="11" customFormat="false" ht="12.75" hidden="false" customHeight="true" outlineLevel="0" collapsed="false">
      <c r="E11" s="1" t="s">
        <v>104</v>
      </c>
      <c r="F11" s="22" t="n">
        <v>40327</v>
      </c>
      <c r="G11" s="1" t="s">
        <v>104</v>
      </c>
      <c r="H11" s="22" t="n">
        <v>40327</v>
      </c>
      <c r="I11" s="1" t="s">
        <v>104</v>
      </c>
      <c r="J11" s="22" t="n">
        <v>40327</v>
      </c>
      <c r="K11" s="1" t="s">
        <v>104</v>
      </c>
      <c r="L11" s="22" t="n">
        <v>40327</v>
      </c>
    </row>
    <row r="12" customFormat="false" ht="12.75" hidden="false" customHeight="true" outlineLevel="0" collapsed="false">
      <c r="E12" s="1" t="s">
        <v>105</v>
      </c>
      <c r="F12" s="1" t="s">
        <v>106</v>
      </c>
      <c r="G12" s="1" t="s">
        <v>105</v>
      </c>
      <c r="H12" s="1" t="s">
        <v>107</v>
      </c>
      <c r="I12" s="1" t="s">
        <v>105</v>
      </c>
      <c r="J12" s="1" t="s">
        <v>108</v>
      </c>
      <c r="K12" s="1" t="s">
        <v>105</v>
      </c>
      <c r="L12" s="1" t="s">
        <v>109</v>
      </c>
    </row>
    <row r="13" customFormat="false" ht="12.75" hidden="false" customHeight="true" outlineLevel="0" collapsed="false"/>
    <row r="14" customFormat="false" ht="12.75" hidden="false" customHeight="true" outlineLevel="0" collapsed="false">
      <c r="E14" s="1" t="s">
        <v>110</v>
      </c>
      <c r="F14" s="1" t="n">
        <v>2.0621</v>
      </c>
      <c r="G14" s="1" t="s">
        <v>110</v>
      </c>
      <c r="H14" s="1" t="n">
        <v>4.1243</v>
      </c>
      <c r="I14" s="1" t="s">
        <v>110</v>
      </c>
      <c r="J14" s="1" t="n">
        <v>6.1864</v>
      </c>
      <c r="K14" s="1" t="s">
        <v>110</v>
      </c>
      <c r="L14" s="1" t="n">
        <v>8.2486</v>
      </c>
    </row>
    <row r="15" customFormat="false" ht="12.75" hidden="false" customHeight="true" outlineLevel="0" collapsed="false">
      <c r="E15" s="1" t="s">
        <v>111</v>
      </c>
      <c r="F15" s="1" t="s">
        <v>112</v>
      </c>
      <c r="G15" s="1" t="s">
        <v>111</v>
      </c>
      <c r="H15" s="1" t="s">
        <v>112</v>
      </c>
      <c r="I15" s="1" t="s">
        <v>111</v>
      </c>
      <c r="J15" s="1" t="s">
        <v>112</v>
      </c>
      <c r="K15" s="1" t="s">
        <v>111</v>
      </c>
      <c r="L15" s="1" t="s">
        <v>112</v>
      </c>
    </row>
    <row r="16" customFormat="false" ht="12.75" hidden="false" customHeight="true" outlineLevel="0" collapsed="false">
      <c r="E16" s="1" t="n">
        <v>0</v>
      </c>
      <c r="F16" s="1" t="n">
        <v>-0.001</v>
      </c>
      <c r="G16" s="1" t="n">
        <v>0</v>
      </c>
      <c r="H16" s="1" t="n">
        <v>0.001</v>
      </c>
      <c r="I16" s="1" t="n">
        <v>0</v>
      </c>
      <c r="J16" s="1" t="n">
        <v>-0.043</v>
      </c>
      <c r="K16" s="1" t="n">
        <v>0</v>
      </c>
      <c r="L16" s="1" t="n">
        <v>0.041</v>
      </c>
    </row>
    <row r="17" customFormat="false" ht="12.75" hidden="false" customHeight="true" outlineLevel="0" collapsed="false">
      <c r="E17" s="1" t="n">
        <v>60</v>
      </c>
      <c r="F17" s="1" t="n">
        <v>-0.001</v>
      </c>
      <c r="G17" s="1" t="n">
        <v>60</v>
      </c>
      <c r="H17" s="1" t="n">
        <v>0.002</v>
      </c>
      <c r="I17" s="1" t="n">
        <v>60</v>
      </c>
      <c r="J17" s="1" t="n">
        <v>-0.043</v>
      </c>
      <c r="K17" s="1" t="n">
        <v>60</v>
      </c>
      <c r="L17" s="1" t="n">
        <v>0.043</v>
      </c>
    </row>
    <row r="18" customFormat="false" ht="12.75" hidden="false" customHeight="true" outlineLevel="0" collapsed="false">
      <c r="E18" s="1" t="n">
        <v>120</v>
      </c>
      <c r="F18" s="1" t="n">
        <v>-0.001</v>
      </c>
      <c r="G18" s="1" t="n">
        <v>120</v>
      </c>
      <c r="H18" s="1" t="n">
        <v>0.003</v>
      </c>
      <c r="I18" s="1" t="n">
        <v>120</v>
      </c>
      <c r="J18" s="1" t="n">
        <v>-0.041</v>
      </c>
      <c r="K18" s="1" t="n">
        <v>120</v>
      </c>
      <c r="L18" s="1" t="n">
        <v>0.045</v>
      </c>
    </row>
    <row r="19" customFormat="false" ht="12.75" hidden="false" customHeight="true" outlineLevel="0" collapsed="false">
      <c r="E19" s="1" t="n">
        <v>180</v>
      </c>
      <c r="F19" s="1" t="n">
        <v>0</v>
      </c>
      <c r="G19" s="1" t="n">
        <v>180</v>
      </c>
      <c r="H19" s="1" t="n">
        <v>0.004</v>
      </c>
      <c r="I19" s="1" t="n">
        <v>180</v>
      </c>
      <c r="J19" s="1" t="n">
        <v>-0.041</v>
      </c>
      <c r="K19" s="1" t="n">
        <v>180</v>
      </c>
      <c r="L19" s="1" t="n">
        <v>0.048</v>
      </c>
    </row>
    <row r="20" customFormat="false" ht="12.75" hidden="false" customHeight="true" outlineLevel="0" collapsed="false">
      <c r="E20" s="1" t="n">
        <v>240</v>
      </c>
      <c r="F20" s="1" t="n">
        <v>0</v>
      </c>
      <c r="G20" s="1" t="n">
        <v>240</v>
      </c>
      <c r="H20" s="1" t="n">
        <v>0.004</v>
      </c>
      <c r="I20" s="1" t="n">
        <v>240</v>
      </c>
      <c r="J20" s="1" t="n">
        <v>-0.039</v>
      </c>
      <c r="K20" s="1" t="n">
        <v>240</v>
      </c>
      <c r="L20" s="1" t="n">
        <v>0.05</v>
      </c>
    </row>
    <row r="21" customFormat="false" ht="12.75" hidden="false" customHeight="true" outlineLevel="0" collapsed="false">
      <c r="E21" s="1" t="n">
        <v>300</v>
      </c>
      <c r="F21" s="1" t="n">
        <v>0.001</v>
      </c>
      <c r="G21" s="1" t="n">
        <v>300</v>
      </c>
      <c r="H21" s="1" t="n">
        <v>0.005</v>
      </c>
      <c r="I21" s="1" t="n">
        <v>300</v>
      </c>
      <c r="J21" s="1" t="n">
        <v>-0.038</v>
      </c>
      <c r="K21" s="1" t="n">
        <v>300</v>
      </c>
      <c r="L21" s="1" t="n">
        <v>0.05</v>
      </c>
    </row>
    <row r="22" customFormat="false" ht="12.75" hidden="false" customHeight="true" outlineLevel="0" collapsed="false">
      <c r="E22" s="1" t="n">
        <v>360</v>
      </c>
      <c r="F22" s="1" t="n">
        <v>0.003</v>
      </c>
      <c r="G22" s="1" t="n">
        <v>360</v>
      </c>
      <c r="H22" s="1" t="n">
        <v>0.006</v>
      </c>
      <c r="I22" s="1" t="n">
        <v>360</v>
      </c>
      <c r="J22" s="1" t="n">
        <v>-0.037</v>
      </c>
      <c r="K22" s="1" t="n">
        <v>360</v>
      </c>
      <c r="L22" s="1" t="n">
        <v>0.051</v>
      </c>
    </row>
    <row r="23" customFormat="false" ht="12.75" hidden="false" customHeight="true" outlineLevel="0" collapsed="false">
      <c r="E23" s="1" t="n">
        <v>420</v>
      </c>
      <c r="F23" s="1" t="n">
        <v>0.005</v>
      </c>
      <c r="G23" s="1" t="n">
        <v>420</v>
      </c>
      <c r="H23" s="1" t="n">
        <v>0.007</v>
      </c>
      <c r="I23" s="1" t="n">
        <v>420</v>
      </c>
      <c r="J23" s="1" t="n">
        <v>-0.035</v>
      </c>
      <c r="K23" s="1" t="n">
        <v>420</v>
      </c>
      <c r="L23" s="1" t="n">
        <v>0.052</v>
      </c>
    </row>
    <row r="24" customFormat="false" ht="12.75" hidden="false" customHeight="true" outlineLevel="0" collapsed="false">
      <c r="E24" s="1" t="n">
        <v>480</v>
      </c>
      <c r="F24" s="1" t="n">
        <v>0.007</v>
      </c>
      <c r="G24" s="1" t="n">
        <v>480</v>
      </c>
      <c r="H24" s="1" t="n">
        <v>0.008</v>
      </c>
      <c r="I24" s="1" t="n">
        <v>480</v>
      </c>
      <c r="J24" s="1" t="n">
        <v>-0.034</v>
      </c>
      <c r="K24" s="1" t="n">
        <v>480</v>
      </c>
      <c r="L24" s="1" t="n">
        <v>0.054</v>
      </c>
    </row>
    <row r="25" customFormat="false" ht="12.75" hidden="false" customHeight="true" outlineLevel="0" collapsed="false">
      <c r="E25" s="1" t="n">
        <v>540</v>
      </c>
      <c r="F25" s="1" t="n">
        <v>0.01</v>
      </c>
      <c r="G25" s="1" t="n">
        <v>540</v>
      </c>
      <c r="H25" s="1" t="n">
        <v>0.01</v>
      </c>
      <c r="I25" s="1" t="n">
        <v>540</v>
      </c>
      <c r="J25" s="1" t="n">
        <v>-0.033</v>
      </c>
      <c r="K25" s="1" t="n">
        <v>540</v>
      </c>
      <c r="L25" s="1" t="n">
        <v>0.056</v>
      </c>
    </row>
    <row r="26" customFormat="false" ht="12.75" hidden="false" customHeight="true" outlineLevel="0" collapsed="false">
      <c r="E26" s="1" t="n">
        <v>600</v>
      </c>
      <c r="F26" s="1" t="n">
        <v>0.013</v>
      </c>
      <c r="G26" s="1" t="n">
        <v>600</v>
      </c>
      <c r="H26" s="1" t="n">
        <v>0.011</v>
      </c>
      <c r="I26" s="1" t="n">
        <v>600</v>
      </c>
      <c r="J26" s="1" t="n">
        <v>-0.031</v>
      </c>
      <c r="K26" s="1" t="n">
        <v>600</v>
      </c>
      <c r="L26" s="1" t="n">
        <v>0.057</v>
      </c>
    </row>
    <row r="27" customFormat="false" ht="12.75" hidden="false" customHeight="true" outlineLevel="0" collapsed="false">
      <c r="E27" s="1" t="n">
        <v>660</v>
      </c>
      <c r="F27" s="1" t="n">
        <v>0.016</v>
      </c>
      <c r="G27" s="1" t="n">
        <v>660</v>
      </c>
      <c r="H27" s="1" t="n">
        <v>0.011</v>
      </c>
      <c r="I27" s="1" t="n">
        <v>660</v>
      </c>
      <c r="J27" s="1" t="n">
        <v>-0.03</v>
      </c>
      <c r="K27" s="1" t="n">
        <v>660</v>
      </c>
      <c r="L27" s="1" t="n">
        <v>0.059</v>
      </c>
    </row>
    <row r="28" customFormat="false" ht="12.75" hidden="false" customHeight="true" outlineLevel="0" collapsed="false">
      <c r="E28" s="1" t="n">
        <v>720</v>
      </c>
      <c r="F28" s="1" t="n">
        <v>0.012</v>
      </c>
      <c r="G28" s="1" t="n">
        <v>720</v>
      </c>
      <c r="H28" s="1" t="n">
        <v>0.012</v>
      </c>
      <c r="I28" s="1" t="n">
        <v>720</v>
      </c>
      <c r="J28" s="1" t="n">
        <v>-0.03</v>
      </c>
      <c r="K28" s="1" t="n">
        <v>720</v>
      </c>
      <c r="L28" s="1" t="n">
        <v>0.06</v>
      </c>
    </row>
    <row r="29" customFormat="false" ht="12.75" hidden="false" customHeight="true" outlineLevel="0" collapsed="false">
      <c r="E29" s="1" t="n">
        <v>780</v>
      </c>
      <c r="F29" s="1" t="n">
        <v>0.015</v>
      </c>
      <c r="G29" s="1" t="n">
        <v>780</v>
      </c>
      <c r="H29" s="1" t="n">
        <v>0.013</v>
      </c>
      <c r="I29" s="1" t="n">
        <v>780</v>
      </c>
      <c r="J29" s="1" t="n">
        <v>-0.028</v>
      </c>
      <c r="K29" s="1" t="n">
        <v>780</v>
      </c>
      <c r="L29" s="1" t="n">
        <v>0.063</v>
      </c>
    </row>
    <row r="30" customFormat="false" ht="12.75" hidden="false" customHeight="true" outlineLevel="0" collapsed="false">
      <c r="E30" s="1" t="n">
        <v>840</v>
      </c>
      <c r="F30" s="1" t="n">
        <v>0.019</v>
      </c>
      <c r="G30" s="1" t="n">
        <v>840</v>
      </c>
      <c r="H30" s="1" t="n">
        <v>0.013</v>
      </c>
      <c r="I30" s="1" t="n">
        <v>840</v>
      </c>
      <c r="J30" s="1" t="n">
        <v>-0.027</v>
      </c>
      <c r="K30" s="1" t="n">
        <v>840</v>
      </c>
      <c r="L30" s="1" t="n">
        <v>0.063</v>
      </c>
    </row>
    <row r="31" customFormat="false" ht="12.75" hidden="false" customHeight="true" outlineLevel="0" collapsed="false">
      <c r="E31" s="1" t="n">
        <v>900</v>
      </c>
      <c r="F31" s="1" t="n">
        <v>0.023</v>
      </c>
      <c r="G31" s="1" t="n">
        <v>900</v>
      </c>
      <c r="H31" s="1" t="n">
        <v>0.015</v>
      </c>
      <c r="I31" s="1" t="n">
        <v>900</v>
      </c>
      <c r="J31" s="1" t="n">
        <v>-0.026</v>
      </c>
      <c r="K31" s="1" t="n">
        <v>900</v>
      </c>
      <c r="L31" s="1" t="n">
        <v>0.066</v>
      </c>
    </row>
    <row r="32" customFormat="false" ht="12.75" hidden="false" customHeight="true" outlineLevel="0" collapsed="false">
      <c r="E32" s="1" t="n">
        <v>960</v>
      </c>
      <c r="F32" s="1" t="n">
        <v>0.02</v>
      </c>
      <c r="G32" s="1" t="n">
        <v>960</v>
      </c>
      <c r="H32" s="1" t="n">
        <v>0.014</v>
      </c>
      <c r="I32" s="1" t="n">
        <v>960</v>
      </c>
      <c r="J32" s="1" t="n">
        <v>-0.024</v>
      </c>
      <c r="K32" s="1" t="n">
        <v>960</v>
      </c>
      <c r="L32" s="1" t="n">
        <v>0.066</v>
      </c>
    </row>
    <row r="33" customFormat="false" ht="12.75" hidden="false" customHeight="true" outlineLevel="0" collapsed="false">
      <c r="E33" s="1" t="n">
        <v>1020</v>
      </c>
      <c r="F33" s="1" t="n">
        <v>0.025</v>
      </c>
      <c r="G33" s="1" t="n">
        <v>1020</v>
      </c>
      <c r="H33" s="1" t="n">
        <v>0.016</v>
      </c>
      <c r="I33" s="1" t="n">
        <v>1020</v>
      </c>
      <c r="J33" s="1" t="n">
        <v>-0.024</v>
      </c>
      <c r="K33" s="1" t="n">
        <v>1020</v>
      </c>
      <c r="L33" s="1" t="n">
        <v>0.068</v>
      </c>
    </row>
    <row r="34" customFormat="false" ht="12.75" hidden="false" customHeight="true" outlineLevel="0" collapsed="false">
      <c r="E34" s="1" t="n">
        <v>1080</v>
      </c>
      <c r="F34" s="1" t="n">
        <v>0.03</v>
      </c>
      <c r="G34" s="1" t="n">
        <v>1080</v>
      </c>
      <c r="H34" s="1" t="n">
        <v>0.016</v>
      </c>
      <c r="I34" s="1" t="n">
        <v>1080</v>
      </c>
      <c r="J34" s="1" t="n">
        <v>-0.023</v>
      </c>
      <c r="K34" s="1" t="n">
        <v>1080</v>
      </c>
      <c r="L34" s="1" t="n">
        <v>0.07</v>
      </c>
    </row>
    <row r="35" customFormat="false" ht="12.75" hidden="false" customHeight="true" outlineLevel="0" collapsed="false">
      <c r="E35" s="1" t="n">
        <v>1140</v>
      </c>
      <c r="F35" s="1" t="n">
        <v>0.037</v>
      </c>
      <c r="G35" s="1" t="n">
        <v>1140</v>
      </c>
      <c r="H35" s="1" t="n">
        <v>0.018</v>
      </c>
      <c r="I35" s="1" t="n">
        <v>1140</v>
      </c>
      <c r="J35" s="1" t="n">
        <v>-0.021</v>
      </c>
      <c r="K35" s="1" t="n">
        <v>1140</v>
      </c>
      <c r="L35" s="1" t="n">
        <v>0.071</v>
      </c>
    </row>
    <row r="36" customFormat="false" ht="12.75" hidden="false" customHeight="true" outlineLevel="0" collapsed="false">
      <c r="E36" s="1" t="n">
        <v>1200</v>
      </c>
      <c r="F36" s="1" t="n">
        <v>0.037</v>
      </c>
      <c r="G36" s="1" t="n">
        <v>1200</v>
      </c>
      <c r="H36" s="1" t="n">
        <v>0.017</v>
      </c>
      <c r="I36" s="1" t="n">
        <v>1200</v>
      </c>
      <c r="J36" s="1" t="n">
        <v>-0.02</v>
      </c>
      <c r="K36" s="1" t="n">
        <v>1200</v>
      </c>
      <c r="L36" s="1" t="n">
        <v>0.073</v>
      </c>
    </row>
    <row r="37" customFormat="false" ht="12.75" hidden="false" customHeight="true" outlineLevel="0" collapsed="false">
      <c r="E37" s="1" t="n">
        <v>1260</v>
      </c>
      <c r="F37" s="1" t="n">
        <v>0.032</v>
      </c>
      <c r="G37" s="1" t="n">
        <v>1260</v>
      </c>
      <c r="H37" s="1" t="n">
        <v>0.02</v>
      </c>
      <c r="I37" s="1" t="n">
        <v>1260</v>
      </c>
      <c r="J37" s="1" t="n">
        <v>-0.019</v>
      </c>
      <c r="K37" s="1" t="n">
        <v>1260</v>
      </c>
      <c r="L37" s="1" t="n">
        <v>0.075</v>
      </c>
      <c r="S37" s="1" t="n">
        <v>2.062</v>
      </c>
      <c r="T37" s="18" t="n">
        <v>5.19</v>
      </c>
    </row>
    <row r="38" customFormat="false" ht="12.75" hidden="false" customHeight="true" outlineLevel="0" collapsed="false">
      <c r="E38" s="1" t="n">
        <v>1320</v>
      </c>
      <c r="F38" s="1" t="n">
        <v>0.038</v>
      </c>
      <c r="G38" s="1" t="n">
        <v>1320</v>
      </c>
      <c r="H38" s="1" t="n">
        <v>0.021</v>
      </c>
      <c r="I38" s="1" t="n">
        <v>1320</v>
      </c>
      <c r="J38" s="1" t="n">
        <v>-0.017</v>
      </c>
      <c r="K38" s="1" t="n">
        <v>1320</v>
      </c>
      <c r="L38" s="1" t="n">
        <v>0.075</v>
      </c>
      <c r="S38" s="1" t="n">
        <v>4.124</v>
      </c>
      <c r="T38" s="18" t="n">
        <v>8.17</v>
      </c>
    </row>
    <row r="39" customFormat="false" ht="12.75" hidden="false" customHeight="true" outlineLevel="0" collapsed="false">
      <c r="E39" s="1" t="n">
        <v>1380</v>
      </c>
      <c r="F39" s="1" t="n">
        <v>0.037</v>
      </c>
      <c r="G39" s="1" t="n">
        <v>1380</v>
      </c>
      <c r="H39" s="1" t="n">
        <v>0.023</v>
      </c>
      <c r="I39" s="1" t="n">
        <v>1380</v>
      </c>
      <c r="J39" s="1" t="n">
        <v>-0.016</v>
      </c>
      <c r="K39" s="1" t="n">
        <v>1380</v>
      </c>
      <c r="L39" s="1" t="n">
        <v>0.078</v>
      </c>
      <c r="S39" s="1" t="n">
        <v>6.186</v>
      </c>
      <c r="T39" s="18" t="n">
        <v>13</v>
      </c>
    </row>
    <row r="40" customFormat="false" ht="12.75" hidden="false" customHeight="true" outlineLevel="0" collapsed="false">
      <c r="E40" s="1" t="n">
        <v>1440</v>
      </c>
      <c r="F40" s="1" t="n">
        <v>0.044</v>
      </c>
      <c r="G40" s="1" t="n">
        <v>1440</v>
      </c>
      <c r="H40" s="1" t="n">
        <v>0.021</v>
      </c>
      <c r="I40" s="1" t="n">
        <v>1440</v>
      </c>
      <c r="J40" s="1" t="n">
        <v>-0.015</v>
      </c>
      <c r="K40" s="1" t="n">
        <v>1440</v>
      </c>
      <c r="L40" s="1" t="n">
        <v>0.08</v>
      </c>
      <c r="S40" s="1" t="n">
        <v>8.248</v>
      </c>
      <c r="T40" s="18" t="n">
        <v>17.2</v>
      </c>
    </row>
    <row r="41" customFormat="false" ht="12.75" hidden="false" customHeight="true" outlineLevel="0" collapsed="false">
      <c r="E41" s="1" t="n">
        <v>1500</v>
      </c>
      <c r="F41" s="1" t="n">
        <v>0.046</v>
      </c>
      <c r="G41" s="1" t="n">
        <v>1500</v>
      </c>
      <c r="H41" s="1" t="n">
        <v>0.022</v>
      </c>
      <c r="I41" s="1" t="n">
        <v>1500</v>
      </c>
      <c r="J41" s="1" t="n">
        <v>-0.014</v>
      </c>
      <c r="K41" s="1" t="n">
        <v>1500</v>
      </c>
      <c r="L41" s="1" t="n">
        <v>0.082</v>
      </c>
    </row>
    <row r="42" customFormat="false" ht="12.75" hidden="false" customHeight="true" outlineLevel="0" collapsed="false">
      <c r="E42" s="1" t="n">
        <v>1560</v>
      </c>
      <c r="F42" s="1" t="n">
        <v>0.056</v>
      </c>
      <c r="G42" s="1" t="n">
        <v>1560</v>
      </c>
      <c r="H42" s="1" t="n">
        <v>0.023</v>
      </c>
      <c r="I42" s="1" t="n">
        <v>1560</v>
      </c>
      <c r="J42" s="1" t="n">
        <v>-0.012</v>
      </c>
      <c r="K42" s="1" t="n">
        <v>1560</v>
      </c>
      <c r="L42" s="1" t="n">
        <v>0.083</v>
      </c>
    </row>
    <row r="43" customFormat="false" ht="12.75" hidden="false" customHeight="true" outlineLevel="0" collapsed="false">
      <c r="E43" s="1" t="n">
        <v>1620</v>
      </c>
      <c r="F43" s="1" t="n">
        <v>0.017</v>
      </c>
      <c r="G43" s="1" t="n">
        <v>1620</v>
      </c>
      <c r="H43" s="1" t="n">
        <v>0.024</v>
      </c>
      <c r="I43" s="1" t="n">
        <v>1620</v>
      </c>
      <c r="J43" s="1" t="n">
        <v>-0.011</v>
      </c>
      <c r="K43" s="1" t="n">
        <v>1620</v>
      </c>
      <c r="L43" s="1" t="n">
        <v>0.085</v>
      </c>
    </row>
    <row r="44" customFormat="false" ht="12.75" hidden="false" customHeight="true" outlineLevel="0" collapsed="false">
      <c r="E44" s="1" t="n">
        <v>1680</v>
      </c>
      <c r="F44" s="1" t="n">
        <v>0.023</v>
      </c>
      <c r="G44" s="1" t="n">
        <v>1680</v>
      </c>
      <c r="H44" s="1" t="n">
        <v>0.026</v>
      </c>
      <c r="I44" s="1" t="n">
        <v>1680</v>
      </c>
      <c r="J44" s="1" t="n">
        <v>-0.01</v>
      </c>
      <c r="K44" s="1" t="n">
        <v>1680</v>
      </c>
      <c r="L44" s="1" t="n">
        <v>0.086</v>
      </c>
    </row>
    <row r="45" customFormat="false" ht="12.75" hidden="false" customHeight="true" outlineLevel="0" collapsed="false">
      <c r="E45" s="1" t="n">
        <v>1740</v>
      </c>
      <c r="F45" s="1" t="n">
        <v>0.026</v>
      </c>
      <c r="G45" s="1" t="n">
        <v>1740</v>
      </c>
      <c r="H45" s="1" t="n">
        <v>0.026</v>
      </c>
      <c r="I45" s="1" t="n">
        <v>1740</v>
      </c>
      <c r="J45" s="1" t="n">
        <v>-0.008</v>
      </c>
      <c r="K45" s="1" t="n">
        <v>1740</v>
      </c>
      <c r="L45" s="1" t="n">
        <v>0.088</v>
      </c>
    </row>
    <row r="46" customFormat="false" ht="12.75" hidden="false" customHeight="true" outlineLevel="0" collapsed="false">
      <c r="E46" s="1" t="n">
        <v>1800</v>
      </c>
      <c r="F46" s="1" t="n">
        <v>0.029</v>
      </c>
      <c r="G46" s="1" t="n">
        <v>1800</v>
      </c>
      <c r="H46" s="1" t="n">
        <v>0.027</v>
      </c>
      <c r="I46" s="1" t="n">
        <v>1800</v>
      </c>
      <c r="J46" s="1" t="n">
        <v>-0.007</v>
      </c>
      <c r="K46" s="1" t="n">
        <v>1800</v>
      </c>
      <c r="L46" s="1" t="n">
        <v>0.091</v>
      </c>
    </row>
    <row r="47" customFormat="false" ht="12.75" hidden="false" customHeight="true" outlineLevel="0" collapsed="false">
      <c r="E47" s="1" t="n">
        <v>1860</v>
      </c>
      <c r="F47" s="1" t="n">
        <v>0.037</v>
      </c>
      <c r="G47" s="1" t="n">
        <v>1860</v>
      </c>
      <c r="H47" s="1" t="n">
        <v>0.028</v>
      </c>
      <c r="I47" s="1" t="n">
        <v>1860</v>
      </c>
      <c r="J47" s="1" t="n">
        <v>-0.006</v>
      </c>
      <c r="K47" s="1" t="n">
        <v>1860</v>
      </c>
      <c r="L47" s="1" t="n">
        <v>0.09</v>
      </c>
    </row>
    <row r="48" customFormat="false" ht="12.75" hidden="false" customHeight="true" outlineLevel="0" collapsed="false">
      <c r="E48" s="1" t="n">
        <v>1920</v>
      </c>
      <c r="F48" s="1" t="n">
        <v>0.045</v>
      </c>
      <c r="G48" s="1" t="n">
        <v>1920</v>
      </c>
      <c r="H48" s="1" t="n">
        <v>0.029</v>
      </c>
      <c r="I48" s="1" t="n">
        <v>1920</v>
      </c>
      <c r="J48" s="1" t="n">
        <v>-0.004</v>
      </c>
      <c r="K48" s="1" t="n">
        <v>1920</v>
      </c>
      <c r="L48" s="1" t="n">
        <v>0.094</v>
      </c>
    </row>
    <row r="49" customFormat="false" ht="12.75" hidden="false" customHeight="true" outlineLevel="0" collapsed="false">
      <c r="E49" s="1" t="n">
        <v>1980</v>
      </c>
      <c r="F49" s="1" t="n">
        <v>0.033</v>
      </c>
      <c r="G49" s="1" t="n">
        <v>1980</v>
      </c>
      <c r="H49" s="1" t="n">
        <v>0.031</v>
      </c>
      <c r="I49" s="1" t="n">
        <v>1980</v>
      </c>
      <c r="J49" s="1" t="n">
        <v>-0.003</v>
      </c>
      <c r="K49" s="1" t="n">
        <v>1980</v>
      </c>
      <c r="L49" s="1" t="n">
        <v>0.096</v>
      </c>
    </row>
    <row r="50" customFormat="false" ht="12.75" hidden="false" customHeight="true" outlineLevel="0" collapsed="false">
      <c r="E50" s="1" t="n">
        <v>2040</v>
      </c>
      <c r="F50" s="1" t="n">
        <v>0.035</v>
      </c>
      <c r="G50" s="1" t="n">
        <v>2040</v>
      </c>
      <c r="H50" s="1" t="n">
        <v>0.031</v>
      </c>
      <c r="I50" s="1" t="n">
        <v>2040</v>
      </c>
      <c r="J50" s="1" t="n">
        <v>-0.001</v>
      </c>
      <c r="K50" s="1" t="n">
        <v>2040</v>
      </c>
      <c r="L50" s="1" t="n">
        <v>0.098</v>
      </c>
    </row>
    <row r="51" customFormat="false" ht="12.75" hidden="false" customHeight="true" outlineLevel="0" collapsed="false">
      <c r="E51" s="1" t="n">
        <v>2100</v>
      </c>
      <c r="F51" s="1" t="n">
        <v>0.027</v>
      </c>
      <c r="G51" s="1" t="n">
        <v>2100</v>
      </c>
      <c r="H51" s="1" t="n">
        <v>0.031</v>
      </c>
      <c r="I51" s="1" t="n">
        <v>2100</v>
      </c>
      <c r="J51" s="1" t="n">
        <v>0</v>
      </c>
      <c r="K51" s="1" t="n">
        <v>2100</v>
      </c>
      <c r="L51" s="1" t="n">
        <v>0.099</v>
      </c>
    </row>
    <row r="52" customFormat="false" ht="12.75" hidden="false" customHeight="true" outlineLevel="0" collapsed="false">
      <c r="E52" s="1" t="n">
        <v>2160</v>
      </c>
      <c r="F52" s="1" t="n">
        <v>0.028</v>
      </c>
      <c r="G52" s="1" t="n">
        <v>2160</v>
      </c>
      <c r="H52" s="1" t="n">
        <v>0.032</v>
      </c>
      <c r="I52" s="1" t="n">
        <v>2160</v>
      </c>
      <c r="J52" s="1" t="n">
        <v>0.002</v>
      </c>
      <c r="K52" s="1" t="n">
        <v>2160</v>
      </c>
      <c r="L52" s="1" t="n">
        <v>0.103</v>
      </c>
    </row>
    <row r="53" customFormat="false" ht="12.75" hidden="false" customHeight="true" outlineLevel="0" collapsed="false">
      <c r="E53" s="1" t="n">
        <v>2220</v>
      </c>
      <c r="F53" s="1" t="n">
        <v>0.028</v>
      </c>
      <c r="G53" s="1" t="n">
        <v>2220</v>
      </c>
      <c r="H53" s="1" t="n">
        <v>0.034</v>
      </c>
      <c r="I53" s="1" t="n">
        <v>2220</v>
      </c>
      <c r="J53" s="1" t="n">
        <v>0.003</v>
      </c>
      <c r="K53" s="1" t="n">
        <v>2220</v>
      </c>
      <c r="L53" s="1" t="n">
        <v>0.102</v>
      </c>
    </row>
    <row r="54" customFormat="false" ht="12.75" hidden="false" customHeight="true" outlineLevel="0" collapsed="false">
      <c r="E54" s="1" t="n">
        <v>2280</v>
      </c>
      <c r="F54" s="1" t="n">
        <v>0.033</v>
      </c>
      <c r="G54" s="1" t="n">
        <v>2280</v>
      </c>
      <c r="H54" s="1" t="n">
        <v>0.033</v>
      </c>
      <c r="I54" s="1" t="n">
        <v>2280</v>
      </c>
      <c r="J54" s="1" t="n">
        <v>0.004</v>
      </c>
      <c r="K54" s="1" t="n">
        <v>2280</v>
      </c>
      <c r="L54" s="1" t="n">
        <v>0.105</v>
      </c>
    </row>
    <row r="55" customFormat="false" ht="12.75" hidden="false" customHeight="true" outlineLevel="0" collapsed="false">
      <c r="E55" s="1" t="n">
        <v>2340</v>
      </c>
      <c r="F55" s="1" t="n">
        <v>0.039</v>
      </c>
      <c r="G55" s="1" t="n">
        <v>2340</v>
      </c>
      <c r="H55" s="1" t="n">
        <v>0.035</v>
      </c>
      <c r="I55" s="1" t="n">
        <v>2340</v>
      </c>
      <c r="J55" s="1" t="n">
        <v>0.006</v>
      </c>
      <c r="K55" s="1" t="n">
        <v>2340</v>
      </c>
      <c r="L55" s="1" t="n">
        <v>0.106</v>
      </c>
    </row>
    <row r="56" customFormat="false" ht="12.75" hidden="false" customHeight="true" outlineLevel="0" collapsed="false">
      <c r="E56" s="1" t="n">
        <v>2400</v>
      </c>
      <c r="F56" s="1" t="n">
        <v>0.046</v>
      </c>
      <c r="G56" s="1" t="n">
        <v>2400</v>
      </c>
      <c r="H56" s="1" t="n">
        <v>0.036</v>
      </c>
      <c r="I56" s="1" t="n">
        <v>2400</v>
      </c>
      <c r="J56" s="1" t="n">
        <v>0.007</v>
      </c>
      <c r="K56" s="1" t="n">
        <v>2400</v>
      </c>
      <c r="L56" s="1" t="n">
        <v>0.11</v>
      </c>
    </row>
    <row r="57" customFormat="false" ht="12.75" hidden="false" customHeight="true" outlineLevel="0" collapsed="false">
      <c r="E57" s="1" t="n">
        <v>2460</v>
      </c>
      <c r="F57" s="1" t="n">
        <v>0.054</v>
      </c>
      <c r="G57" s="1" t="n">
        <v>2460</v>
      </c>
      <c r="H57" s="1" t="n">
        <v>0.037</v>
      </c>
      <c r="I57" s="1" t="n">
        <v>2460</v>
      </c>
      <c r="J57" s="1" t="n">
        <v>0.008</v>
      </c>
      <c r="K57" s="1" t="n">
        <v>2460</v>
      </c>
      <c r="L57" s="1" t="n">
        <v>0.11</v>
      </c>
    </row>
    <row r="58" customFormat="false" ht="12.75" hidden="false" customHeight="true" outlineLevel="0" collapsed="false">
      <c r="E58" s="1" t="n">
        <v>2520</v>
      </c>
      <c r="F58" s="1" t="n">
        <v>0.048</v>
      </c>
      <c r="G58" s="1" t="n">
        <v>2520</v>
      </c>
      <c r="H58" s="1" t="n">
        <v>0.037</v>
      </c>
      <c r="I58" s="1" t="n">
        <v>2520</v>
      </c>
      <c r="J58" s="1" t="n">
        <v>0.01</v>
      </c>
      <c r="K58" s="1" t="n">
        <v>2520</v>
      </c>
      <c r="L58" s="1" t="n">
        <v>0.113</v>
      </c>
    </row>
    <row r="59" customFormat="false" ht="12.75" hidden="false" customHeight="true" outlineLevel="0" collapsed="false">
      <c r="E59" s="1" t="n">
        <v>2580</v>
      </c>
      <c r="F59" s="1" t="n">
        <v>0.044</v>
      </c>
      <c r="G59" s="1" t="n">
        <v>2580</v>
      </c>
      <c r="H59" s="1" t="n">
        <v>0.039</v>
      </c>
      <c r="I59" s="1" t="n">
        <v>2580</v>
      </c>
      <c r="J59" s="1" t="n">
        <v>0.011</v>
      </c>
      <c r="K59" s="1" t="n">
        <v>2580</v>
      </c>
      <c r="L59" s="1" t="n">
        <v>0.113</v>
      </c>
    </row>
    <row r="60" customFormat="false" ht="12.75" hidden="false" customHeight="true" outlineLevel="0" collapsed="false">
      <c r="E60" s="1" t="n">
        <v>2640</v>
      </c>
      <c r="F60" s="1" t="n">
        <v>0.024</v>
      </c>
      <c r="G60" s="1" t="n">
        <v>2640</v>
      </c>
      <c r="H60" s="1" t="n">
        <v>0.039</v>
      </c>
      <c r="I60" s="1" t="n">
        <v>2640</v>
      </c>
      <c r="J60" s="1" t="n">
        <v>0.013</v>
      </c>
      <c r="K60" s="1" t="n">
        <v>2640</v>
      </c>
      <c r="L60" s="1" t="n">
        <v>0.117</v>
      </c>
    </row>
    <row r="61" customFormat="false" ht="12.75" hidden="false" customHeight="true" outlineLevel="0" collapsed="false">
      <c r="E61" s="1" t="n">
        <v>2700</v>
      </c>
      <c r="F61" s="1" t="n">
        <v>0.031</v>
      </c>
      <c r="G61" s="1" t="n">
        <v>2700</v>
      </c>
      <c r="H61" s="1" t="n">
        <v>0.04</v>
      </c>
      <c r="I61" s="1" t="n">
        <v>2700</v>
      </c>
      <c r="J61" s="1" t="n">
        <v>0.015</v>
      </c>
      <c r="K61" s="1" t="n">
        <v>2700</v>
      </c>
      <c r="L61" s="1" t="n">
        <v>0.117</v>
      </c>
    </row>
    <row r="62" customFormat="false" ht="12.75" hidden="false" customHeight="true" outlineLevel="0" collapsed="false">
      <c r="E62" s="1" t="n">
        <v>2760</v>
      </c>
      <c r="F62" s="1" t="n">
        <v>0.039</v>
      </c>
      <c r="G62" s="1" t="n">
        <v>2760</v>
      </c>
      <c r="H62" s="1" t="n">
        <v>0.043</v>
      </c>
      <c r="I62" s="1" t="n">
        <v>2760</v>
      </c>
      <c r="J62" s="1" t="n">
        <v>0.016</v>
      </c>
      <c r="K62" s="1" t="n">
        <v>2760</v>
      </c>
      <c r="L62" s="1" t="n">
        <v>0.12</v>
      </c>
    </row>
    <row r="63" customFormat="false" ht="12.75" hidden="false" customHeight="true" outlineLevel="0" collapsed="false">
      <c r="E63" s="1" t="n">
        <v>2820</v>
      </c>
      <c r="F63" s="1" t="n">
        <v>0.049</v>
      </c>
      <c r="G63" s="1" t="n">
        <v>2820</v>
      </c>
      <c r="H63" s="1" t="n">
        <v>0.042</v>
      </c>
      <c r="I63" s="1" t="n">
        <v>2820</v>
      </c>
      <c r="J63" s="1" t="n">
        <v>0.018</v>
      </c>
      <c r="K63" s="1" t="n">
        <v>2820</v>
      </c>
      <c r="L63" s="1" t="n">
        <v>0.121</v>
      </c>
    </row>
    <row r="64" customFormat="false" ht="12.75" hidden="false" customHeight="true" outlineLevel="0" collapsed="false">
      <c r="E64" s="1" t="n">
        <v>2880</v>
      </c>
      <c r="F64" s="1" t="n">
        <v>0.049</v>
      </c>
      <c r="G64" s="1" t="n">
        <v>2880</v>
      </c>
      <c r="H64" s="1" t="n">
        <v>0.043</v>
      </c>
      <c r="I64" s="1" t="n">
        <v>2880</v>
      </c>
      <c r="J64" s="1" t="n">
        <v>0.019</v>
      </c>
      <c r="K64" s="1" t="n">
        <v>2880</v>
      </c>
      <c r="L64" s="1" t="n">
        <v>0.122</v>
      </c>
    </row>
    <row r="65" customFormat="false" ht="12.75" hidden="false" customHeight="true" outlineLevel="0" collapsed="false">
      <c r="E65" s="1" t="n">
        <v>2940</v>
      </c>
      <c r="F65" s="1" t="n">
        <v>0.047</v>
      </c>
      <c r="G65" s="1" t="n">
        <v>2940</v>
      </c>
      <c r="H65" s="1" t="n">
        <v>0.044</v>
      </c>
      <c r="I65" s="1" t="n">
        <v>2940</v>
      </c>
      <c r="J65" s="1" t="n">
        <v>0.02</v>
      </c>
      <c r="K65" s="1" t="n">
        <v>2940</v>
      </c>
      <c r="L65" s="1" t="n">
        <v>0.125</v>
      </c>
    </row>
    <row r="66" customFormat="false" ht="12.75" hidden="false" customHeight="true" outlineLevel="0" collapsed="false">
      <c r="E66" s="1" t="n">
        <v>3000</v>
      </c>
      <c r="F66" s="1" t="n">
        <v>0.055</v>
      </c>
      <c r="G66" s="1" t="n">
        <v>3000</v>
      </c>
      <c r="H66" s="1" t="n">
        <v>0.046</v>
      </c>
      <c r="I66" s="1" t="n">
        <v>3000</v>
      </c>
      <c r="J66" s="1" t="n">
        <v>0.022</v>
      </c>
      <c r="K66" s="1" t="n">
        <v>3000</v>
      </c>
      <c r="L66" s="1" t="n">
        <v>0.127</v>
      </c>
    </row>
    <row r="67" customFormat="false" ht="12.75" hidden="false" customHeight="true" outlineLevel="0" collapsed="false">
      <c r="E67" s="1" t="n">
        <v>3060</v>
      </c>
      <c r="F67" s="1" t="n">
        <v>0.034</v>
      </c>
      <c r="G67" s="1" t="n">
        <v>3060</v>
      </c>
      <c r="H67" s="1" t="n">
        <v>0.047</v>
      </c>
      <c r="I67" s="1" t="n">
        <v>3060</v>
      </c>
      <c r="J67" s="1" t="n">
        <v>0.023</v>
      </c>
      <c r="K67" s="1" t="n">
        <v>3060</v>
      </c>
      <c r="L67" s="1" t="n">
        <v>0.129</v>
      </c>
    </row>
    <row r="68" customFormat="false" ht="12.75" hidden="false" customHeight="true" outlineLevel="0" collapsed="false">
      <c r="E68" s="1" t="n">
        <v>3120</v>
      </c>
      <c r="F68" s="1" t="n">
        <v>0.039</v>
      </c>
      <c r="G68" s="1" t="n">
        <v>3120</v>
      </c>
      <c r="H68" s="1" t="n">
        <v>0.05</v>
      </c>
      <c r="I68" s="1" t="n">
        <v>3120</v>
      </c>
      <c r="J68" s="1" t="n">
        <v>0.025</v>
      </c>
      <c r="K68" s="1" t="n">
        <v>3120</v>
      </c>
      <c r="L68" s="1" t="n">
        <v>0.13</v>
      </c>
    </row>
    <row r="69" customFormat="false" ht="12.75" hidden="false" customHeight="true" outlineLevel="0" collapsed="false">
      <c r="E69" s="1" t="n">
        <v>3180</v>
      </c>
      <c r="F69" s="1" t="n">
        <v>0.039</v>
      </c>
      <c r="G69" s="1" t="n">
        <v>3180</v>
      </c>
      <c r="H69" s="1" t="n">
        <v>0.049</v>
      </c>
      <c r="I69" s="1" t="n">
        <v>3180</v>
      </c>
      <c r="J69" s="1" t="n">
        <v>0.027</v>
      </c>
      <c r="K69" s="1" t="n">
        <v>3180</v>
      </c>
      <c r="L69" s="1" t="n">
        <v>0.132</v>
      </c>
    </row>
    <row r="70" customFormat="false" ht="12.75" hidden="false" customHeight="true" outlineLevel="0" collapsed="false">
      <c r="E70" s="1" t="n">
        <v>3240</v>
      </c>
      <c r="F70" s="1" t="n">
        <v>0.044</v>
      </c>
      <c r="G70" s="1" t="n">
        <v>3240</v>
      </c>
      <c r="H70" s="1" t="n">
        <v>0.051</v>
      </c>
      <c r="I70" s="1" t="n">
        <v>3240</v>
      </c>
      <c r="J70" s="1" t="n">
        <v>0.028</v>
      </c>
      <c r="K70" s="1" t="n">
        <v>3240</v>
      </c>
      <c r="L70" s="1" t="n">
        <v>0.134</v>
      </c>
    </row>
    <row r="71" customFormat="false" ht="12.75" hidden="false" customHeight="true" outlineLevel="0" collapsed="false">
      <c r="E71" s="1" t="n">
        <v>3300</v>
      </c>
      <c r="F71" s="1" t="n">
        <v>0.043</v>
      </c>
      <c r="G71" s="1" t="n">
        <v>3300</v>
      </c>
      <c r="H71" s="1" t="n">
        <v>0.05</v>
      </c>
      <c r="I71" s="1" t="n">
        <v>3300</v>
      </c>
      <c r="J71" s="1" t="n">
        <v>0.03</v>
      </c>
      <c r="K71" s="1" t="n">
        <v>3300</v>
      </c>
      <c r="L71" s="1" t="n">
        <v>0.136</v>
      </c>
    </row>
    <row r="72" customFormat="false" ht="12.75" hidden="false" customHeight="true" outlineLevel="0" collapsed="false">
      <c r="E72" s="1" t="n">
        <v>3360</v>
      </c>
      <c r="F72" s="1" t="n">
        <v>0.049</v>
      </c>
      <c r="G72" s="1" t="n">
        <v>3360</v>
      </c>
      <c r="H72" s="1" t="n">
        <v>0.054</v>
      </c>
      <c r="I72" s="1" t="n">
        <v>3360</v>
      </c>
      <c r="J72" s="1" t="n">
        <v>0.032</v>
      </c>
      <c r="K72" s="1" t="n">
        <v>3360</v>
      </c>
      <c r="L72" s="1" t="n">
        <v>0.138</v>
      </c>
    </row>
    <row r="73" customFormat="false" ht="12.75" hidden="false" customHeight="true" outlineLevel="0" collapsed="false">
      <c r="E73" s="1" t="n">
        <v>3420</v>
      </c>
      <c r="F73" s="1" t="n">
        <v>0.04</v>
      </c>
      <c r="G73" s="1" t="n">
        <v>3420</v>
      </c>
      <c r="H73" s="1" t="n">
        <v>0.053</v>
      </c>
      <c r="I73" s="1" t="n">
        <v>3420</v>
      </c>
      <c r="J73" s="1" t="n">
        <v>0.033</v>
      </c>
      <c r="K73" s="1" t="n">
        <v>3420</v>
      </c>
      <c r="L73" s="1" t="n">
        <v>0.139</v>
      </c>
    </row>
    <row r="74" customFormat="false" ht="12.75" hidden="false" customHeight="true" outlineLevel="0" collapsed="false">
      <c r="E74" s="1" t="n">
        <v>3480</v>
      </c>
      <c r="F74" s="1" t="n">
        <v>0.045</v>
      </c>
      <c r="G74" s="1" t="n">
        <v>3480</v>
      </c>
      <c r="H74" s="1" t="n">
        <v>0.056</v>
      </c>
      <c r="I74" s="1" t="n">
        <v>3480</v>
      </c>
      <c r="J74" s="1" t="n">
        <v>0.034</v>
      </c>
      <c r="K74" s="1" t="n">
        <v>3480</v>
      </c>
      <c r="L74" s="1" t="n">
        <v>0.142</v>
      </c>
    </row>
    <row r="75" customFormat="false" ht="12.75" hidden="false" customHeight="true" outlineLevel="0" collapsed="false">
      <c r="E75" s="1" t="n">
        <v>3540</v>
      </c>
      <c r="F75" s="1" t="n">
        <v>0.049</v>
      </c>
      <c r="G75" s="1" t="n">
        <v>3540</v>
      </c>
      <c r="H75" s="1" t="n">
        <v>0.055</v>
      </c>
      <c r="I75" s="1" t="n">
        <v>3540</v>
      </c>
      <c r="J75" s="1" t="n">
        <v>0.036</v>
      </c>
      <c r="K75" s="1" t="n">
        <v>3540</v>
      </c>
      <c r="L75" s="1" t="n">
        <v>0.145</v>
      </c>
    </row>
    <row r="76" customFormat="false" ht="12.75" hidden="false" customHeight="true" outlineLevel="0" collapsed="false">
      <c r="E76" s="1" t="n">
        <v>3600</v>
      </c>
      <c r="F76" s="1" t="n">
        <v>0.052</v>
      </c>
      <c r="G76" s="1" t="n">
        <v>3600</v>
      </c>
      <c r="H76" s="1" t="n">
        <v>0.058</v>
      </c>
      <c r="I76" s="1" t="n">
        <v>3600</v>
      </c>
      <c r="J76" s="1" t="n">
        <v>0.038</v>
      </c>
      <c r="K76" s="1" t="n">
        <v>3600</v>
      </c>
      <c r="L76" s="1" t="n">
        <v>0.148</v>
      </c>
    </row>
    <row r="77" customFormat="false" ht="12.75" hidden="false" customHeight="true" outlineLevel="0" collapsed="false">
      <c r="E77" s="1" t="n">
        <v>3660</v>
      </c>
      <c r="F77" s="1" t="n">
        <v>0.052</v>
      </c>
      <c r="G77" s="1" t="n">
        <v>3660</v>
      </c>
      <c r="H77" s="1" t="n">
        <v>0.056</v>
      </c>
      <c r="I77" s="1" t="n">
        <v>3660</v>
      </c>
      <c r="J77" s="1" t="n">
        <v>0.039</v>
      </c>
      <c r="K77" s="1" t="n">
        <v>3660</v>
      </c>
      <c r="L77" s="1" t="n">
        <v>0.149</v>
      </c>
    </row>
    <row r="78" customFormat="false" ht="12.75" hidden="false" customHeight="true" outlineLevel="0" collapsed="false">
      <c r="E78" s="1" t="n">
        <v>3720</v>
      </c>
      <c r="F78" s="1" t="n">
        <v>0.022</v>
      </c>
      <c r="G78" s="1" t="n">
        <v>3720</v>
      </c>
      <c r="H78" s="1" t="n">
        <v>0.06</v>
      </c>
      <c r="I78" s="1" t="n">
        <v>3720</v>
      </c>
      <c r="J78" s="1" t="n">
        <v>0.041</v>
      </c>
      <c r="K78" s="1" t="n">
        <v>3720</v>
      </c>
      <c r="L78" s="1" t="n">
        <v>0.151</v>
      </c>
    </row>
    <row r="79" customFormat="false" ht="12.75" hidden="false" customHeight="true" outlineLevel="0" collapsed="false">
      <c r="E79" s="1" t="n">
        <v>3780</v>
      </c>
      <c r="F79" s="1" t="n">
        <v>0.025</v>
      </c>
      <c r="G79" s="1" t="n">
        <v>3780</v>
      </c>
      <c r="H79" s="1" t="n">
        <v>0.059</v>
      </c>
      <c r="I79" s="1" t="n">
        <v>3780</v>
      </c>
      <c r="J79" s="1" t="n">
        <v>0.043</v>
      </c>
      <c r="K79" s="1" t="n">
        <v>3780</v>
      </c>
      <c r="L79" s="1" t="n">
        <v>0.152</v>
      </c>
    </row>
    <row r="80" customFormat="false" ht="12.75" hidden="false" customHeight="true" outlineLevel="0" collapsed="false">
      <c r="E80" s="1" t="n">
        <v>3840</v>
      </c>
      <c r="F80" s="1" t="n">
        <v>0.03</v>
      </c>
      <c r="G80" s="1" t="n">
        <v>3840</v>
      </c>
      <c r="H80" s="1" t="n">
        <v>0.061</v>
      </c>
      <c r="I80" s="1" t="n">
        <v>3840</v>
      </c>
      <c r="J80" s="1" t="n">
        <v>0.045</v>
      </c>
      <c r="K80" s="1" t="n">
        <v>3840</v>
      </c>
      <c r="L80" s="1" t="n">
        <v>0.156</v>
      </c>
    </row>
    <row r="81" customFormat="false" ht="12.75" hidden="false" customHeight="true" outlineLevel="0" collapsed="false">
      <c r="E81" s="1" t="n">
        <v>3900</v>
      </c>
      <c r="F81" s="1" t="n">
        <v>0.03</v>
      </c>
      <c r="G81" s="1" t="n">
        <v>3900</v>
      </c>
      <c r="H81" s="1" t="n">
        <v>0.06</v>
      </c>
      <c r="I81" s="1" t="n">
        <v>3900</v>
      </c>
      <c r="J81" s="1" t="n">
        <v>0.046</v>
      </c>
      <c r="K81" s="1" t="n">
        <v>3900</v>
      </c>
      <c r="L81" s="1" t="n">
        <v>0.159</v>
      </c>
    </row>
    <row r="82" customFormat="false" ht="12.75" hidden="false" customHeight="true" outlineLevel="0" collapsed="false">
      <c r="E82" s="1" t="n">
        <v>3960</v>
      </c>
      <c r="F82" s="1" t="n">
        <v>0.034</v>
      </c>
      <c r="G82" s="1" t="n">
        <v>3960</v>
      </c>
      <c r="H82" s="1" t="n">
        <v>0.062</v>
      </c>
      <c r="I82" s="1" t="n">
        <v>3960</v>
      </c>
      <c r="J82" s="1" t="n">
        <v>0.048</v>
      </c>
      <c r="K82" s="1" t="n">
        <v>3960</v>
      </c>
      <c r="L82" s="1" t="n">
        <v>0.159</v>
      </c>
    </row>
    <row r="83" customFormat="false" ht="12.75" hidden="false" customHeight="true" outlineLevel="0" collapsed="false">
      <c r="E83" s="1" t="n">
        <v>4020</v>
      </c>
      <c r="F83" s="1" t="n">
        <v>0.037</v>
      </c>
      <c r="G83" s="1" t="n">
        <v>4020</v>
      </c>
      <c r="H83" s="1" t="n">
        <v>0.063</v>
      </c>
      <c r="I83" s="1" t="n">
        <v>4020</v>
      </c>
      <c r="J83" s="1" t="n">
        <v>0.049</v>
      </c>
      <c r="K83" s="1" t="n">
        <v>4020</v>
      </c>
      <c r="L83" s="1" t="n">
        <v>0.16</v>
      </c>
    </row>
    <row r="84" customFormat="false" ht="12.75" hidden="false" customHeight="true" outlineLevel="0" collapsed="false">
      <c r="E84" s="1" t="n">
        <v>4080</v>
      </c>
      <c r="F84" s="1" t="n">
        <v>0.04</v>
      </c>
      <c r="G84" s="1" t="n">
        <v>4080</v>
      </c>
      <c r="H84" s="1" t="n">
        <v>0.064</v>
      </c>
      <c r="I84" s="1" t="n">
        <v>4080</v>
      </c>
      <c r="J84" s="1" t="n">
        <v>0.051</v>
      </c>
      <c r="K84" s="1" t="n">
        <v>4080</v>
      </c>
      <c r="L84" s="1" t="n">
        <v>0.162</v>
      </c>
    </row>
    <row r="85" customFormat="false" ht="12.75" hidden="false" customHeight="true" outlineLevel="0" collapsed="false">
      <c r="E85" s="1" t="n">
        <v>4140</v>
      </c>
      <c r="F85" s="1" t="n">
        <v>0.043</v>
      </c>
      <c r="G85" s="1" t="n">
        <v>4140</v>
      </c>
      <c r="H85" s="1" t="n">
        <v>0.066</v>
      </c>
      <c r="I85" s="1" t="n">
        <v>4140</v>
      </c>
      <c r="J85" s="1" t="n">
        <v>0.053</v>
      </c>
      <c r="K85" s="1" t="n">
        <v>4140</v>
      </c>
      <c r="L85" s="1" t="n">
        <v>0.165</v>
      </c>
    </row>
    <row r="86" customFormat="false" ht="12.75" hidden="false" customHeight="true" outlineLevel="0" collapsed="false">
      <c r="E86" s="1" t="n">
        <v>4200</v>
      </c>
      <c r="F86" s="1" t="n">
        <v>0.038</v>
      </c>
      <c r="G86" s="1" t="n">
        <v>4200</v>
      </c>
      <c r="H86" s="1" t="n">
        <v>0.068</v>
      </c>
      <c r="I86" s="1" t="n">
        <v>4200</v>
      </c>
      <c r="J86" s="1" t="n">
        <v>0.054</v>
      </c>
      <c r="K86" s="1" t="n">
        <v>4200</v>
      </c>
      <c r="L86" s="1" t="n">
        <v>0.167</v>
      </c>
    </row>
    <row r="87" customFormat="false" ht="12.75" hidden="false" customHeight="true" outlineLevel="0" collapsed="false">
      <c r="E87" s="1" t="n">
        <v>4260</v>
      </c>
      <c r="F87" s="1" t="n">
        <v>0.042</v>
      </c>
      <c r="G87" s="1" t="n">
        <v>4260</v>
      </c>
      <c r="H87" s="1" t="n">
        <v>0.07</v>
      </c>
      <c r="I87" s="1" t="n">
        <v>4260</v>
      </c>
      <c r="J87" s="1" t="n">
        <v>0.057</v>
      </c>
      <c r="K87" s="1" t="n">
        <v>4260</v>
      </c>
      <c r="L87" s="1" t="n">
        <v>0.168</v>
      </c>
    </row>
    <row r="88" customFormat="false" ht="12.75" hidden="false" customHeight="true" outlineLevel="0" collapsed="false">
      <c r="E88" s="1" t="n">
        <v>4320</v>
      </c>
      <c r="F88" s="1" t="n">
        <v>0.044</v>
      </c>
      <c r="G88" s="1" t="n">
        <v>4320</v>
      </c>
      <c r="H88" s="1" t="n">
        <v>0.068</v>
      </c>
      <c r="I88" s="1" t="n">
        <v>4320</v>
      </c>
      <c r="J88" s="1" t="n">
        <v>0.058</v>
      </c>
      <c r="K88" s="1" t="n">
        <v>4320</v>
      </c>
      <c r="L88" s="1" t="n">
        <v>0.171</v>
      </c>
    </row>
    <row r="89" customFormat="false" ht="12.75" hidden="false" customHeight="true" outlineLevel="0" collapsed="false">
      <c r="E89" s="1" t="n">
        <v>4380</v>
      </c>
      <c r="F89" s="1" t="n">
        <v>0.048</v>
      </c>
      <c r="G89" s="1" t="n">
        <v>4380</v>
      </c>
      <c r="H89" s="1" t="n">
        <v>0.07</v>
      </c>
      <c r="I89" s="1" t="n">
        <v>4380</v>
      </c>
      <c r="J89" s="1" t="n">
        <v>0.06</v>
      </c>
      <c r="K89" s="1" t="n">
        <v>4380</v>
      </c>
      <c r="L89" s="1" t="n">
        <v>0.173</v>
      </c>
    </row>
    <row r="90" customFormat="false" ht="12.75" hidden="false" customHeight="true" outlineLevel="0" collapsed="false">
      <c r="E90" s="1" t="n">
        <v>4440</v>
      </c>
      <c r="F90" s="1" t="n">
        <v>0.03</v>
      </c>
      <c r="G90" s="1" t="n">
        <v>4440</v>
      </c>
      <c r="H90" s="1" t="n">
        <v>0.07</v>
      </c>
      <c r="I90" s="1" t="n">
        <v>4440</v>
      </c>
      <c r="J90" s="1" t="n">
        <v>0.062</v>
      </c>
      <c r="K90" s="1" t="n">
        <v>4440</v>
      </c>
      <c r="L90" s="1" t="n">
        <v>0.174</v>
      </c>
    </row>
    <row r="91" customFormat="false" ht="12.75" hidden="false" customHeight="true" outlineLevel="0" collapsed="false">
      <c r="E91" s="1" t="n">
        <v>4500</v>
      </c>
      <c r="F91" s="1" t="n">
        <v>0.033</v>
      </c>
      <c r="G91" s="1" t="n">
        <v>4500</v>
      </c>
      <c r="H91" s="1" t="n">
        <v>0.073</v>
      </c>
      <c r="I91" s="1" t="n">
        <v>4500</v>
      </c>
      <c r="J91" s="1" t="n">
        <v>0.064</v>
      </c>
      <c r="K91" s="1" t="n">
        <v>4500</v>
      </c>
      <c r="L91" s="1" t="n">
        <v>0.177</v>
      </c>
    </row>
    <row r="92" customFormat="false" ht="12.75" hidden="false" customHeight="true" outlineLevel="0" collapsed="false">
      <c r="E92" s="1" t="n">
        <v>4560</v>
      </c>
      <c r="F92" s="1" t="n">
        <v>0.036</v>
      </c>
      <c r="G92" s="1" t="n">
        <v>4560</v>
      </c>
      <c r="H92" s="1" t="n">
        <v>0.073</v>
      </c>
      <c r="I92" s="1" t="n">
        <v>4560</v>
      </c>
      <c r="J92" s="1" t="n">
        <v>0.066</v>
      </c>
      <c r="K92" s="1" t="n">
        <v>4560</v>
      </c>
      <c r="L92" s="1" t="n">
        <v>0.178</v>
      </c>
    </row>
    <row r="93" customFormat="false" ht="12.75" hidden="false" customHeight="true" outlineLevel="0" collapsed="false">
      <c r="E93" s="1" t="n">
        <v>4620</v>
      </c>
      <c r="F93" s="1" t="n">
        <v>0.04</v>
      </c>
      <c r="G93" s="1" t="n">
        <v>4620</v>
      </c>
      <c r="H93" s="1" t="n">
        <v>0.074</v>
      </c>
      <c r="I93" s="1" t="n">
        <v>4620</v>
      </c>
      <c r="J93" s="1" t="n">
        <v>0.068</v>
      </c>
      <c r="K93" s="1" t="n">
        <v>4620</v>
      </c>
      <c r="L93" s="1" t="n">
        <v>0.18</v>
      </c>
    </row>
    <row r="94" customFormat="false" ht="12.75" hidden="false" customHeight="true" outlineLevel="0" collapsed="false">
      <c r="E94" s="1" t="n">
        <v>4680</v>
      </c>
      <c r="F94" s="1" t="n">
        <v>0.044</v>
      </c>
      <c r="G94" s="1" t="n">
        <v>4680</v>
      </c>
      <c r="H94" s="1" t="n">
        <v>0.075</v>
      </c>
      <c r="I94" s="1" t="n">
        <v>4680</v>
      </c>
      <c r="J94" s="1" t="n">
        <v>0.071</v>
      </c>
      <c r="K94" s="1" t="n">
        <v>4680</v>
      </c>
      <c r="L94" s="1" t="n">
        <v>0.182</v>
      </c>
    </row>
    <row r="95" customFormat="false" ht="12.75" hidden="false" customHeight="true" outlineLevel="0" collapsed="false">
      <c r="E95" s="1" t="n">
        <v>4740</v>
      </c>
      <c r="F95" s="1" t="n">
        <v>0.047</v>
      </c>
      <c r="G95" s="1" t="n">
        <v>4740</v>
      </c>
      <c r="H95" s="1" t="n">
        <v>0.077</v>
      </c>
      <c r="I95" s="1" t="n">
        <v>4740</v>
      </c>
      <c r="J95" s="1" t="n">
        <v>0.074</v>
      </c>
      <c r="K95" s="1" t="n">
        <v>4740</v>
      </c>
      <c r="L95" s="1" t="n">
        <v>0.185</v>
      </c>
    </row>
    <row r="96" customFormat="false" ht="12.75" hidden="false" customHeight="true" outlineLevel="0" collapsed="false">
      <c r="E96" s="1" t="n">
        <v>4800</v>
      </c>
      <c r="F96" s="1" t="n">
        <v>0.043</v>
      </c>
      <c r="G96" s="1" t="n">
        <v>4800</v>
      </c>
      <c r="H96" s="1" t="n">
        <v>0.077</v>
      </c>
      <c r="I96" s="1" t="n">
        <v>4800</v>
      </c>
      <c r="J96" s="1" t="n">
        <v>0.071</v>
      </c>
      <c r="K96" s="1" t="n">
        <v>4800</v>
      </c>
      <c r="L96" s="1" t="n">
        <v>0.186</v>
      </c>
    </row>
    <row r="97" customFormat="false" ht="12.75" hidden="false" customHeight="true" outlineLevel="0" collapsed="false">
      <c r="E97" s="1" t="n">
        <v>4860</v>
      </c>
      <c r="F97" s="1" t="n">
        <v>0.046</v>
      </c>
      <c r="G97" s="1" t="n">
        <v>4860</v>
      </c>
      <c r="H97" s="1" t="n">
        <v>0.079</v>
      </c>
      <c r="I97" s="1" t="n">
        <v>4860</v>
      </c>
      <c r="J97" s="1" t="n">
        <v>0.073</v>
      </c>
      <c r="K97" s="1" t="n">
        <v>4860</v>
      </c>
      <c r="L97" s="1" t="n">
        <v>0.188</v>
      </c>
    </row>
    <row r="98" customFormat="false" ht="12.75" hidden="false" customHeight="true" outlineLevel="0" collapsed="false">
      <c r="E98" s="1" t="n">
        <v>4920</v>
      </c>
      <c r="F98" s="1" t="n">
        <v>0.05</v>
      </c>
      <c r="G98" s="1" t="n">
        <v>4920</v>
      </c>
      <c r="H98" s="1" t="n">
        <v>0.08</v>
      </c>
      <c r="I98" s="1" t="n">
        <v>4920</v>
      </c>
      <c r="J98" s="1" t="n">
        <v>0.074</v>
      </c>
      <c r="K98" s="1" t="n">
        <v>4920</v>
      </c>
      <c r="L98" s="1" t="n">
        <v>0.19</v>
      </c>
    </row>
    <row r="99" customFormat="false" ht="12.75" hidden="false" customHeight="true" outlineLevel="0" collapsed="false">
      <c r="E99" s="1" t="n">
        <v>4980</v>
      </c>
      <c r="F99" s="1" t="n">
        <v>0.054</v>
      </c>
      <c r="G99" s="1" t="n">
        <v>4980</v>
      </c>
      <c r="H99" s="1" t="n">
        <v>0.082</v>
      </c>
      <c r="I99" s="1" t="n">
        <v>4980</v>
      </c>
      <c r="J99" s="1" t="n">
        <v>0.076</v>
      </c>
      <c r="K99" s="1" t="n">
        <v>4980</v>
      </c>
      <c r="L99" s="1" t="n">
        <v>0.194</v>
      </c>
    </row>
    <row r="100" customFormat="false" ht="12.75" hidden="false" customHeight="true" outlineLevel="0" collapsed="false">
      <c r="E100" s="1" t="n">
        <v>5040</v>
      </c>
      <c r="F100" s="1" t="n">
        <v>0.053</v>
      </c>
      <c r="G100" s="1" t="n">
        <v>5040</v>
      </c>
      <c r="H100" s="1" t="n">
        <v>0.082</v>
      </c>
      <c r="I100" s="1" t="n">
        <v>5040</v>
      </c>
      <c r="J100" s="1" t="n">
        <v>0.077</v>
      </c>
      <c r="K100" s="1" t="n">
        <v>5040</v>
      </c>
      <c r="L100" s="1" t="n">
        <v>0.195</v>
      </c>
    </row>
    <row r="101" customFormat="false" ht="12.75" hidden="false" customHeight="true" outlineLevel="0" collapsed="false">
      <c r="E101" s="1" t="n">
        <v>5100</v>
      </c>
      <c r="F101" s="1" t="n">
        <v>0.058</v>
      </c>
      <c r="G101" s="1" t="n">
        <v>5100</v>
      </c>
      <c r="H101" s="1" t="n">
        <v>0.084</v>
      </c>
      <c r="I101" s="1" t="n">
        <v>5100</v>
      </c>
      <c r="J101" s="1" t="n">
        <v>0.079</v>
      </c>
      <c r="K101" s="1" t="n">
        <v>5100</v>
      </c>
      <c r="L101" s="1" t="n">
        <v>0.197</v>
      </c>
    </row>
    <row r="102" customFormat="false" ht="12.75" hidden="false" customHeight="true" outlineLevel="0" collapsed="false">
      <c r="E102" s="1" t="n">
        <v>5160</v>
      </c>
      <c r="F102" s="1" t="n">
        <v>0.062</v>
      </c>
      <c r="G102" s="1" t="n">
        <v>5160</v>
      </c>
      <c r="H102" s="1" t="n">
        <v>0.085</v>
      </c>
      <c r="I102" s="1" t="n">
        <v>5160</v>
      </c>
      <c r="J102" s="1" t="n">
        <v>0.081</v>
      </c>
      <c r="K102" s="1" t="n">
        <v>5160</v>
      </c>
      <c r="L102" s="1" t="n">
        <v>0.199</v>
      </c>
    </row>
    <row r="103" customFormat="false" ht="12.75" hidden="false" customHeight="true" outlineLevel="0" collapsed="false">
      <c r="E103" s="1" t="n">
        <v>5220</v>
      </c>
      <c r="F103" s="1" t="n">
        <v>0.064</v>
      </c>
      <c r="G103" s="1" t="n">
        <v>5220</v>
      </c>
      <c r="H103" s="1" t="n">
        <v>0.086</v>
      </c>
      <c r="I103" s="1" t="n">
        <v>5220</v>
      </c>
      <c r="J103" s="1" t="n">
        <v>0.083</v>
      </c>
      <c r="K103" s="1" t="n">
        <v>5220</v>
      </c>
      <c r="L103" s="1" t="n">
        <v>0.202</v>
      </c>
    </row>
    <row r="104" customFormat="false" ht="12.75" hidden="false" customHeight="true" outlineLevel="0" collapsed="false">
      <c r="E104" s="1" t="n">
        <v>5280</v>
      </c>
      <c r="F104" s="1" t="n">
        <v>0.069</v>
      </c>
      <c r="G104" s="1" t="n">
        <v>5280</v>
      </c>
      <c r="H104" s="1" t="n">
        <v>0.087</v>
      </c>
      <c r="I104" s="1" t="n">
        <v>5280</v>
      </c>
      <c r="J104" s="1" t="n">
        <v>0.084</v>
      </c>
      <c r="K104" s="1" t="n">
        <v>5280</v>
      </c>
      <c r="L104" s="1" t="n">
        <v>0.203</v>
      </c>
    </row>
    <row r="105" customFormat="false" ht="12.75" hidden="false" customHeight="true" outlineLevel="0" collapsed="false">
      <c r="E105" s="1" t="n">
        <v>5340</v>
      </c>
      <c r="F105" s="1" t="n">
        <v>0.073</v>
      </c>
      <c r="G105" s="1" t="n">
        <v>5340</v>
      </c>
      <c r="H105" s="1" t="n">
        <v>0.088</v>
      </c>
      <c r="I105" s="1" t="n">
        <v>5340</v>
      </c>
      <c r="J105" s="1" t="n">
        <v>0.086</v>
      </c>
      <c r="K105" s="1" t="n">
        <v>5340</v>
      </c>
      <c r="L105" s="1" t="n">
        <v>0.205</v>
      </c>
    </row>
    <row r="106" customFormat="false" ht="12.75" hidden="false" customHeight="true" outlineLevel="0" collapsed="false">
      <c r="E106" s="1" t="n">
        <v>5400</v>
      </c>
      <c r="F106" s="1" t="n">
        <v>0.078</v>
      </c>
      <c r="G106" s="1" t="n">
        <v>5400</v>
      </c>
      <c r="H106" s="1" t="n">
        <v>0.089</v>
      </c>
      <c r="I106" s="1" t="n">
        <v>5400</v>
      </c>
      <c r="J106" s="1" t="n">
        <v>0.088</v>
      </c>
      <c r="K106" s="1" t="n">
        <v>5400</v>
      </c>
      <c r="L106" s="1" t="n">
        <v>0.207</v>
      </c>
    </row>
    <row r="107" customFormat="false" ht="12.75" hidden="false" customHeight="true" outlineLevel="0" collapsed="false">
      <c r="E107" s="1" t="n">
        <v>5460</v>
      </c>
      <c r="F107" s="1" t="n">
        <v>0.07</v>
      </c>
      <c r="G107" s="1" t="n">
        <v>5460</v>
      </c>
      <c r="H107" s="1" t="n">
        <v>0.091</v>
      </c>
      <c r="I107" s="1" t="n">
        <v>5460</v>
      </c>
      <c r="J107" s="1" t="n">
        <v>0.09</v>
      </c>
      <c r="K107" s="1" t="n">
        <v>5460</v>
      </c>
      <c r="L107" s="1" t="n">
        <v>0.208</v>
      </c>
    </row>
    <row r="108" customFormat="false" ht="12.75" hidden="false" customHeight="true" outlineLevel="0" collapsed="false">
      <c r="E108" s="1" t="n">
        <v>5520</v>
      </c>
      <c r="F108" s="1" t="n">
        <v>0.062</v>
      </c>
      <c r="G108" s="1" t="n">
        <v>5520</v>
      </c>
      <c r="H108" s="1" t="n">
        <v>0.091</v>
      </c>
      <c r="I108" s="1" t="n">
        <v>5520</v>
      </c>
      <c r="J108" s="1" t="n">
        <v>0.091</v>
      </c>
      <c r="K108" s="1" t="n">
        <v>5520</v>
      </c>
      <c r="L108" s="1" t="n">
        <v>0.211</v>
      </c>
    </row>
    <row r="109" customFormat="false" ht="12.75" hidden="false" customHeight="true" outlineLevel="0" collapsed="false">
      <c r="E109" s="1" t="n">
        <v>5580</v>
      </c>
      <c r="F109" s="1" t="n">
        <v>0.066</v>
      </c>
      <c r="G109" s="1" t="n">
        <v>5580</v>
      </c>
      <c r="H109" s="1" t="n">
        <v>0.094</v>
      </c>
      <c r="I109" s="1" t="n">
        <v>5580</v>
      </c>
      <c r="J109" s="1" t="n">
        <v>0.093</v>
      </c>
      <c r="K109" s="1" t="n">
        <v>5580</v>
      </c>
      <c r="L109" s="1" t="n">
        <v>0.214</v>
      </c>
    </row>
    <row r="110" customFormat="false" ht="12.75" hidden="false" customHeight="true" outlineLevel="0" collapsed="false">
      <c r="E110" s="1" t="n">
        <v>5640</v>
      </c>
      <c r="F110" s="1" t="n">
        <v>0.07</v>
      </c>
      <c r="G110" s="1" t="n">
        <v>5640</v>
      </c>
      <c r="H110" s="1" t="n">
        <v>0.094</v>
      </c>
      <c r="I110" s="1" t="n">
        <v>5640</v>
      </c>
      <c r="J110" s="1" t="n">
        <v>0.094</v>
      </c>
      <c r="K110" s="1" t="n">
        <v>5640</v>
      </c>
      <c r="L110" s="1" t="n">
        <v>0.215</v>
      </c>
    </row>
    <row r="111" customFormat="false" ht="12.75" hidden="false" customHeight="true" outlineLevel="0" collapsed="false">
      <c r="E111" s="1" t="n">
        <v>5700</v>
      </c>
      <c r="F111" s="1" t="n">
        <v>0.046</v>
      </c>
      <c r="G111" s="1" t="n">
        <v>5700</v>
      </c>
      <c r="H111" s="1" t="n">
        <v>0.095</v>
      </c>
      <c r="I111" s="1" t="n">
        <v>5700</v>
      </c>
      <c r="J111" s="1" t="n">
        <v>0.096</v>
      </c>
      <c r="K111" s="1" t="n">
        <v>5700</v>
      </c>
      <c r="L111" s="1" t="n">
        <v>0.217</v>
      </c>
    </row>
    <row r="112" customFormat="false" ht="12.75" hidden="false" customHeight="true" outlineLevel="0" collapsed="false">
      <c r="E112" s="1" t="n">
        <v>5760</v>
      </c>
      <c r="F112" s="1" t="n">
        <v>0.049</v>
      </c>
      <c r="G112" s="1" t="n">
        <v>5760</v>
      </c>
      <c r="H112" s="1" t="n">
        <v>0.096</v>
      </c>
      <c r="I112" s="1" t="n">
        <v>5760</v>
      </c>
      <c r="J112" s="1" t="n">
        <v>0.098</v>
      </c>
      <c r="K112" s="1" t="n">
        <v>5760</v>
      </c>
      <c r="L112" s="1" t="n">
        <v>0.219</v>
      </c>
    </row>
    <row r="113" customFormat="false" ht="12.75" hidden="false" customHeight="true" outlineLevel="0" collapsed="false">
      <c r="E113" s="1" t="n">
        <v>5820</v>
      </c>
      <c r="F113" s="1" t="n">
        <v>0.051</v>
      </c>
      <c r="G113" s="1" t="n">
        <v>5820</v>
      </c>
      <c r="H113" s="1" t="n">
        <v>0.098</v>
      </c>
      <c r="I113" s="1" t="n">
        <v>5820</v>
      </c>
      <c r="J113" s="1" t="n">
        <v>0.1</v>
      </c>
      <c r="K113" s="1" t="n">
        <v>5820</v>
      </c>
      <c r="L113" s="1" t="n">
        <v>0.222</v>
      </c>
    </row>
    <row r="114" customFormat="false" ht="12.75" hidden="false" customHeight="true" outlineLevel="0" collapsed="false">
      <c r="E114" s="1" t="n">
        <v>5880</v>
      </c>
      <c r="F114" s="1" t="n">
        <v>0.048</v>
      </c>
      <c r="G114" s="1" t="n">
        <v>5880</v>
      </c>
      <c r="H114" s="1" t="n">
        <v>0.098</v>
      </c>
      <c r="I114" s="1" t="n">
        <v>5880</v>
      </c>
      <c r="J114" s="1" t="n">
        <v>0.101</v>
      </c>
      <c r="K114" s="1" t="n">
        <v>5880</v>
      </c>
      <c r="L114" s="1" t="n">
        <v>0.223</v>
      </c>
    </row>
    <row r="115" customFormat="false" ht="12.75" hidden="false" customHeight="true" outlineLevel="0" collapsed="false">
      <c r="E115" s="1" t="n">
        <v>5940</v>
      </c>
      <c r="F115" s="1" t="n">
        <v>0.051</v>
      </c>
      <c r="G115" s="1" t="n">
        <v>5940</v>
      </c>
      <c r="H115" s="1" t="n">
        <v>0.1</v>
      </c>
      <c r="I115" s="1" t="n">
        <v>5940</v>
      </c>
      <c r="J115" s="1" t="n">
        <v>0.102</v>
      </c>
      <c r="K115" s="1" t="n">
        <v>5940</v>
      </c>
      <c r="L115" s="1" t="n">
        <v>0.226</v>
      </c>
    </row>
    <row r="116" customFormat="false" ht="12.75" hidden="false" customHeight="true" outlineLevel="0" collapsed="false">
      <c r="E116" s="1" t="n">
        <v>6000</v>
      </c>
      <c r="F116" s="1" t="n">
        <v>0.053</v>
      </c>
      <c r="G116" s="1" t="n">
        <v>6000</v>
      </c>
      <c r="H116" s="1" t="n">
        <v>0.1</v>
      </c>
      <c r="I116" s="1" t="n">
        <v>6000</v>
      </c>
      <c r="J116" s="1" t="n">
        <v>0.104</v>
      </c>
      <c r="K116" s="1" t="n">
        <v>6000</v>
      </c>
      <c r="L116" s="1" t="n">
        <v>0.227</v>
      </c>
    </row>
    <row r="117" customFormat="false" ht="12.75" hidden="false" customHeight="true" outlineLevel="0" collapsed="false">
      <c r="E117" s="1" t="n">
        <v>6060</v>
      </c>
      <c r="F117" s="1" t="n">
        <v>0.056</v>
      </c>
      <c r="G117" s="1" t="n">
        <v>6060</v>
      </c>
      <c r="H117" s="1" t="n">
        <v>0.102</v>
      </c>
      <c r="I117" s="1" t="n">
        <v>6060</v>
      </c>
      <c r="J117" s="1" t="n">
        <v>0.106</v>
      </c>
      <c r="K117" s="1" t="n">
        <v>6060</v>
      </c>
      <c r="L117" s="1" t="n">
        <v>0.23</v>
      </c>
    </row>
    <row r="118" customFormat="false" ht="12.75" hidden="false" customHeight="true" outlineLevel="0" collapsed="false">
      <c r="E118" s="1" t="n">
        <v>6120</v>
      </c>
      <c r="F118" s="1" t="n">
        <v>0.059</v>
      </c>
      <c r="G118" s="1" t="n">
        <v>6120</v>
      </c>
      <c r="H118" s="1" t="n">
        <v>0.103</v>
      </c>
      <c r="I118" s="1" t="n">
        <v>6120</v>
      </c>
      <c r="J118" s="1" t="n">
        <v>0.108</v>
      </c>
      <c r="K118" s="1" t="n">
        <v>6120</v>
      </c>
      <c r="L118" s="1" t="n">
        <v>0.231</v>
      </c>
    </row>
    <row r="119" customFormat="false" ht="12.75" hidden="false" customHeight="true" outlineLevel="0" collapsed="false">
      <c r="E119" s="1" t="n">
        <v>6180</v>
      </c>
      <c r="F119" s="1" t="n">
        <v>0.054</v>
      </c>
      <c r="G119" s="1" t="n">
        <v>6180</v>
      </c>
      <c r="H119" s="1" t="n">
        <v>0.105</v>
      </c>
      <c r="I119" s="1" t="n">
        <v>6180</v>
      </c>
      <c r="J119" s="1" t="n">
        <v>0.11</v>
      </c>
      <c r="K119" s="1" t="n">
        <v>6180</v>
      </c>
      <c r="L119" s="1" t="n">
        <v>0.234</v>
      </c>
    </row>
    <row r="120" customFormat="false" ht="12.75" hidden="false" customHeight="true" outlineLevel="0" collapsed="false">
      <c r="E120" s="1" t="n">
        <v>6240</v>
      </c>
      <c r="F120" s="1" t="n">
        <v>0.056</v>
      </c>
      <c r="G120" s="1" t="n">
        <v>6240</v>
      </c>
      <c r="H120" s="1" t="n">
        <v>0.105</v>
      </c>
      <c r="I120" s="1" t="n">
        <v>6240</v>
      </c>
      <c r="J120" s="1" t="n">
        <v>0.112</v>
      </c>
      <c r="K120" s="1" t="n">
        <v>6240</v>
      </c>
      <c r="L120" s="1" t="n">
        <v>0.234</v>
      </c>
    </row>
    <row r="121" customFormat="false" ht="12.75" hidden="false" customHeight="true" outlineLevel="0" collapsed="false">
      <c r="E121" s="1" t="n">
        <v>6300</v>
      </c>
      <c r="F121" s="1" t="n">
        <v>0.058</v>
      </c>
      <c r="G121" s="1" t="n">
        <v>6300</v>
      </c>
      <c r="H121" s="1" t="n">
        <v>0.107</v>
      </c>
      <c r="I121" s="1" t="n">
        <v>6300</v>
      </c>
      <c r="J121" s="1" t="n">
        <v>0.113</v>
      </c>
      <c r="K121" s="1" t="n">
        <v>6300</v>
      </c>
      <c r="L121" s="1" t="n">
        <v>0.238</v>
      </c>
    </row>
    <row r="122" customFormat="false" ht="12.75" hidden="false" customHeight="true" outlineLevel="0" collapsed="false">
      <c r="E122" s="1" t="n">
        <v>6360</v>
      </c>
      <c r="F122" s="1" t="n">
        <v>0.06</v>
      </c>
      <c r="G122" s="1" t="n">
        <v>6360</v>
      </c>
      <c r="H122" s="1" t="n">
        <v>0.108</v>
      </c>
      <c r="I122" s="1" t="n">
        <v>6360</v>
      </c>
      <c r="J122" s="1" t="n">
        <v>0.115</v>
      </c>
      <c r="K122" s="1" t="n">
        <v>6360</v>
      </c>
      <c r="L122" s="1" t="n">
        <v>0.239</v>
      </c>
    </row>
    <row r="123" customFormat="false" ht="12.75" hidden="false" customHeight="true" outlineLevel="0" collapsed="false">
      <c r="E123" s="1" t="n">
        <v>6420</v>
      </c>
      <c r="F123" s="1" t="n">
        <v>0.062</v>
      </c>
      <c r="G123" s="1" t="n">
        <v>6420</v>
      </c>
      <c r="H123" s="1" t="n">
        <v>0.109</v>
      </c>
      <c r="I123" s="1" t="n">
        <v>6420</v>
      </c>
      <c r="J123" s="1" t="n">
        <v>0.117</v>
      </c>
      <c r="K123" s="1" t="n">
        <v>6420</v>
      </c>
      <c r="L123" s="1" t="n">
        <v>0.241</v>
      </c>
    </row>
    <row r="124" customFormat="false" ht="12.75" hidden="false" customHeight="true" outlineLevel="0" collapsed="false">
      <c r="E124" s="1" t="n">
        <v>6480</v>
      </c>
      <c r="F124" s="1" t="n">
        <v>0.064</v>
      </c>
      <c r="G124" s="1" t="n">
        <v>6480</v>
      </c>
      <c r="H124" s="1" t="n">
        <v>0.11</v>
      </c>
      <c r="I124" s="1" t="n">
        <v>6480</v>
      </c>
      <c r="J124" s="1" t="n">
        <v>0.118</v>
      </c>
      <c r="K124" s="1" t="n">
        <v>6480</v>
      </c>
      <c r="L124" s="1" t="n">
        <v>0.242</v>
      </c>
    </row>
    <row r="125" customFormat="false" ht="12.75" hidden="false" customHeight="true" outlineLevel="0" collapsed="false">
      <c r="E125" s="1" t="n">
        <v>6540</v>
      </c>
      <c r="F125" s="1" t="n">
        <v>0.067</v>
      </c>
      <c r="G125" s="1" t="n">
        <v>6540</v>
      </c>
      <c r="H125" s="1" t="n">
        <v>0.111</v>
      </c>
      <c r="I125" s="1" t="n">
        <v>6540</v>
      </c>
      <c r="J125" s="1" t="n">
        <v>0.12</v>
      </c>
      <c r="K125" s="1" t="n">
        <v>6540</v>
      </c>
      <c r="L125" s="1" t="n">
        <v>0.245</v>
      </c>
    </row>
    <row r="126" customFormat="false" ht="12.75" hidden="false" customHeight="true" outlineLevel="0" collapsed="false">
      <c r="E126" s="1" t="n">
        <v>6600</v>
      </c>
      <c r="F126" s="1" t="n">
        <v>0.069</v>
      </c>
      <c r="G126" s="1" t="n">
        <v>6600</v>
      </c>
      <c r="H126" s="1" t="n">
        <v>0.113</v>
      </c>
      <c r="I126" s="1" t="n">
        <v>6600</v>
      </c>
      <c r="J126" s="1" t="n">
        <v>0.121</v>
      </c>
      <c r="K126" s="1" t="n">
        <v>6600</v>
      </c>
      <c r="L126" s="1" t="n">
        <v>0.247</v>
      </c>
    </row>
    <row r="127" customFormat="false" ht="12.75" hidden="false" customHeight="true" outlineLevel="0" collapsed="false">
      <c r="E127" s="1" t="n">
        <v>6660</v>
      </c>
      <c r="F127" s="1" t="n">
        <v>0.071</v>
      </c>
      <c r="G127" s="1" t="n">
        <v>6660</v>
      </c>
      <c r="H127" s="1" t="n">
        <v>0.114</v>
      </c>
      <c r="I127" s="1" t="n">
        <v>6660</v>
      </c>
      <c r="J127" s="1" t="n">
        <v>0.124</v>
      </c>
      <c r="K127" s="1" t="n">
        <v>6660</v>
      </c>
      <c r="L127" s="1" t="n">
        <v>0.248</v>
      </c>
    </row>
    <row r="128" customFormat="false" ht="12.75" hidden="false" customHeight="true" outlineLevel="0" collapsed="false">
      <c r="E128" s="1" t="n">
        <v>6720</v>
      </c>
      <c r="F128" s="1" t="n">
        <v>0.074</v>
      </c>
      <c r="G128" s="1" t="n">
        <v>6720</v>
      </c>
      <c r="H128" s="1" t="n">
        <v>0.115</v>
      </c>
      <c r="I128" s="1" t="n">
        <v>6720</v>
      </c>
      <c r="J128" s="1" t="n">
        <v>0.125</v>
      </c>
      <c r="K128" s="1" t="n">
        <v>6720</v>
      </c>
      <c r="L128" s="1" t="n">
        <v>0.251</v>
      </c>
    </row>
    <row r="129" customFormat="false" ht="12.75" hidden="false" customHeight="true" outlineLevel="0" collapsed="false">
      <c r="E129" s="1" t="n">
        <v>6780</v>
      </c>
      <c r="F129" s="1" t="n">
        <v>0.076</v>
      </c>
      <c r="G129" s="1" t="n">
        <v>6780</v>
      </c>
      <c r="H129" s="1" t="n">
        <v>0.117</v>
      </c>
      <c r="I129" s="1" t="n">
        <v>6780</v>
      </c>
      <c r="J129" s="1" t="n">
        <v>0.127</v>
      </c>
      <c r="K129" s="1" t="n">
        <v>6780</v>
      </c>
      <c r="L129" s="1" t="n">
        <v>0.252</v>
      </c>
    </row>
    <row r="130" customFormat="false" ht="12.75" hidden="false" customHeight="true" outlineLevel="0" collapsed="false">
      <c r="E130" s="1" t="n">
        <v>6840</v>
      </c>
      <c r="F130" s="1" t="n">
        <v>0.065</v>
      </c>
      <c r="G130" s="1" t="n">
        <v>6840</v>
      </c>
      <c r="H130" s="1" t="n">
        <v>0.117</v>
      </c>
      <c r="I130" s="1" t="n">
        <v>6840</v>
      </c>
      <c r="J130" s="1" t="n">
        <v>0.128</v>
      </c>
      <c r="K130" s="1" t="n">
        <v>6840</v>
      </c>
      <c r="L130" s="1" t="n">
        <v>0.255</v>
      </c>
    </row>
    <row r="131" customFormat="false" ht="12.75" hidden="false" customHeight="true" outlineLevel="0" collapsed="false">
      <c r="E131" s="1" t="n">
        <v>6900</v>
      </c>
      <c r="F131" s="1" t="n">
        <v>0.061</v>
      </c>
      <c r="G131" s="1" t="n">
        <v>6900</v>
      </c>
      <c r="H131" s="1" t="n">
        <v>0.118</v>
      </c>
      <c r="I131" s="1" t="n">
        <v>6900</v>
      </c>
      <c r="J131" s="1" t="n">
        <v>0.129</v>
      </c>
      <c r="K131" s="1" t="n">
        <v>6900</v>
      </c>
      <c r="L131" s="1" t="n">
        <v>0.256</v>
      </c>
    </row>
    <row r="132" customFormat="false" ht="12.75" hidden="false" customHeight="true" outlineLevel="0" collapsed="false">
      <c r="E132" s="1" t="n">
        <v>6960</v>
      </c>
      <c r="F132" s="1" t="n">
        <v>0.063</v>
      </c>
      <c r="G132" s="1" t="n">
        <v>6960</v>
      </c>
      <c r="H132" s="1" t="n">
        <v>0.12</v>
      </c>
      <c r="I132" s="1" t="n">
        <v>6960</v>
      </c>
      <c r="J132" s="1" t="n">
        <v>0.132</v>
      </c>
      <c r="K132" s="1" t="n">
        <v>6960</v>
      </c>
      <c r="L132" s="1" t="n">
        <v>0.259</v>
      </c>
    </row>
    <row r="133" customFormat="false" ht="12.75" hidden="false" customHeight="true" outlineLevel="0" collapsed="false">
      <c r="E133" s="1" t="n">
        <v>7020</v>
      </c>
      <c r="F133" s="1" t="n">
        <v>0.065</v>
      </c>
      <c r="G133" s="1" t="n">
        <v>7020</v>
      </c>
      <c r="H133" s="1" t="n">
        <v>0.12</v>
      </c>
      <c r="I133" s="1" t="n">
        <v>7020</v>
      </c>
      <c r="J133" s="1" t="n">
        <v>0.133</v>
      </c>
      <c r="K133" s="1" t="n">
        <v>7020</v>
      </c>
      <c r="L133" s="1" t="n">
        <v>0.26</v>
      </c>
    </row>
    <row r="134" customFormat="false" ht="12.75" hidden="false" customHeight="true" outlineLevel="0" collapsed="false">
      <c r="E134" s="1" t="n">
        <v>7080</v>
      </c>
      <c r="F134" s="1" t="n">
        <v>0.067</v>
      </c>
      <c r="G134" s="1" t="n">
        <v>7080</v>
      </c>
      <c r="H134" s="1" t="n">
        <v>0.122</v>
      </c>
      <c r="I134" s="1" t="n">
        <v>7080</v>
      </c>
      <c r="J134" s="1" t="n">
        <v>0.134</v>
      </c>
      <c r="K134" s="1" t="n">
        <v>7080</v>
      </c>
      <c r="L134" s="1" t="n">
        <v>0.262</v>
      </c>
    </row>
    <row r="135" customFormat="false" ht="12.75" hidden="false" customHeight="true" outlineLevel="0" collapsed="false">
      <c r="E135" s="1" t="n">
        <v>7140</v>
      </c>
      <c r="F135" s="1" t="n">
        <v>0.07</v>
      </c>
      <c r="G135" s="1" t="n">
        <v>7140</v>
      </c>
      <c r="H135" s="1" t="n">
        <v>0.124</v>
      </c>
      <c r="I135" s="1" t="n">
        <v>7140</v>
      </c>
      <c r="J135" s="1" t="n">
        <v>0.136</v>
      </c>
      <c r="K135" s="1" t="n">
        <v>7140</v>
      </c>
      <c r="L135" s="1" t="n">
        <v>0.264</v>
      </c>
    </row>
    <row r="136" customFormat="false" ht="12.75" hidden="false" customHeight="true" outlineLevel="0" collapsed="false">
      <c r="E136" s="1" t="n">
        <v>7200</v>
      </c>
      <c r="F136" s="1" t="n">
        <v>0.074</v>
      </c>
      <c r="G136" s="1" t="n">
        <v>7200</v>
      </c>
      <c r="H136" s="1" t="n">
        <v>0.124</v>
      </c>
      <c r="I136" s="1" t="n">
        <v>7200</v>
      </c>
      <c r="J136" s="1" t="n">
        <v>0.137</v>
      </c>
      <c r="K136" s="1" t="n">
        <v>7200</v>
      </c>
      <c r="L136" s="1" t="n">
        <v>0.266</v>
      </c>
    </row>
    <row r="137" customFormat="false" ht="12.75" hidden="false" customHeight="true" outlineLevel="0" collapsed="false">
      <c r="E137" s="1" t="n">
        <v>7260</v>
      </c>
      <c r="F137" s="1" t="n">
        <v>0.076</v>
      </c>
      <c r="G137" s="1" t="n">
        <v>7260</v>
      </c>
      <c r="H137" s="1" t="n">
        <v>0.126</v>
      </c>
      <c r="I137" s="1" t="n">
        <v>7260</v>
      </c>
      <c r="J137" s="1" t="n">
        <v>0.139</v>
      </c>
      <c r="K137" s="1" t="n">
        <v>7260</v>
      </c>
      <c r="L137" s="1" t="n">
        <v>0.267</v>
      </c>
    </row>
    <row r="138" customFormat="false" ht="12.75" hidden="false" customHeight="true" outlineLevel="0" collapsed="false">
      <c r="E138" s="1" t="n">
        <v>7320</v>
      </c>
      <c r="F138" s="1" t="n">
        <v>0.079</v>
      </c>
      <c r="G138" s="1" t="n">
        <v>7320</v>
      </c>
      <c r="H138" s="1" t="n">
        <v>0.128</v>
      </c>
      <c r="I138" s="1" t="n">
        <v>7320</v>
      </c>
      <c r="J138" s="1" t="n">
        <v>0.14</v>
      </c>
      <c r="K138" s="1" t="n">
        <v>7320</v>
      </c>
      <c r="L138" s="1" t="n">
        <v>0.27</v>
      </c>
    </row>
    <row r="139" customFormat="false" ht="12.75" hidden="false" customHeight="true" outlineLevel="0" collapsed="false">
      <c r="E139" s="1" t="n">
        <v>7380</v>
      </c>
      <c r="F139" s="1" t="n">
        <v>0.063</v>
      </c>
      <c r="G139" s="1" t="n">
        <v>7380</v>
      </c>
      <c r="H139" s="1" t="n">
        <v>0.128</v>
      </c>
      <c r="I139" s="1" t="n">
        <v>7380</v>
      </c>
      <c r="J139" s="1" t="n">
        <v>0.142</v>
      </c>
      <c r="K139" s="1" t="n">
        <v>7380</v>
      </c>
      <c r="L139" s="1" t="n">
        <v>0.271</v>
      </c>
    </row>
    <row r="140" customFormat="false" ht="12.75" hidden="false" customHeight="true" outlineLevel="0" collapsed="false">
      <c r="E140" s="1" t="n">
        <v>7440</v>
      </c>
      <c r="F140" s="1" t="n">
        <v>0.065</v>
      </c>
      <c r="G140" s="1" t="n">
        <v>7440</v>
      </c>
      <c r="H140" s="1" t="n">
        <v>0.129</v>
      </c>
      <c r="I140" s="1" t="n">
        <v>7440</v>
      </c>
      <c r="J140" s="1" t="n">
        <v>0.144</v>
      </c>
      <c r="K140" s="1" t="n">
        <v>7440</v>
      </c>
      <c r="L140" s="1" t="n">
        <v>0.273</v>
      </c>
    </row>
    <row r="141" customFormat="false" ht="12.75" hidden="false" customHeight="true" outlineLevel="0" collapsed="false">
      <c r="E141" s="1" t="n">
        <v>7500</v>
      </c>
      <c r="F141" s="1" t="n">
        <v>0.067</v>
      </c>
      <c r="G141" s="1" t="n">
        <v>7500</v>
      </c>
      <c r="H141" s="1" t="n">
        <v>0.131</v>
      </c>
      <c r="I141" s="1" t="n">
        <v>7500</v>
      </c>
      <c r="J141" s="1" t="n">
        <v>0.145</v>
      </c>
      <c r="K141" s="1" t="n">
        <v>7500</v>
      </c>
      <c r="L141" s="1" t="n">
        <v>0.275</v>
      </c>
    </row>
    <row r="142" customFormat="false" ht="12.75" hidden="false" customHeight="true" outlineLevel="0" collapsed="false">
      <c r="E142" s="1" t="n">
        <v>7560</v>
      </c>
      <c r="F142" s="1" t="n">
        <v>0.068</v>
      </c>
      <c r="G142" s="1" t="n">
        <v>7560</v>
      </c>
      <c r="H142" s="1" t="n">
        <v>0.132</v>
      </c>
      <c r="I142" s="1" t="n">
        <v>7560</v>
      </c>
      <c r="J142" s="1" t="n">
        <v>0.147</v>
      </c>
      <c r="K142" s="1" t="n">
        <v>7560</v>
      </c>
      <c r="L142" s="1" t="n">
        <v>0.277</v>
      </c>
    </row>
    <row r="143" customFormat="false" ht="12.75" hidden="false" customHeight="true" outlineLevel="0" collapsed="false">
      <c r="E143" s="1" t="n">
        <v>7620</v>
      </c>
      <c r="F143" s="1" t="n">
        <v>0.07</v>
      </c>
      <c r="G143" s="1" t="n">
        <v>7620</v>
      </c>
      <c r="H143" s="1" t="n">
        <v>0.133</v>
      </c>
      <c r="I143" s="1" t="n">
        <v>7620</v>
      </c>
      <c r="J143" s="1" t="n">
        <v>0.148</v>
      </c>
      <c r="K143" s="1" t="n">
        <v>7620</v>
      </c>
      <c r="L143" s="1" t="n">
        <v>0.279</v>
      </c>
    </row>
    <row r="144" customFormat="false" ht="12.75" hidden="false" customHeight="true" outlineLevel="0" collapsed="false">
      <c r="E144" s="1" t="n">
        <v>7680</v>
      </c>
      <c r="F144" s="1" t="n">
        <v>0.072</v>
      </c>
      <c r="G144" s="1" t="n">
        <v>7680</v>
      </c>
      <c r="H144" s="1" t="n">
        <v>0.134</v>
      </c>
      <c r="I144" s="1" t="n">
        <v>7680</v>
      </c>
      <c r="J144" s="1" t="n">
        <v>0.15</v>
      </c>
      <c r="K144" s="1" t="n">
        <v>7680</v>
      </c>
      <c r="L144" s="1" t="n">
        <v>0.281</v>
      </c>
    </row>
    <row r="145" customFormat="false" ht="12.75" hidden="false" customHeight="true" outlineLevel="0" collapsed="false">
      <c r="E145" s="1" t="n">
        <v>7740</v>
      </c>
      <c r="F145" s="1" t="n">
        <v>0.073</v>
      </c>
      <c r="G145" s="1" t="n">
        <v>7740</v>
      </c>
      <c r="H145" s="1" t="n">
        <v>0.136</v>
      </c>
      <c r="I145" s="1" t="n">
        <v>7740</v>
      </c>
      <c r="J145" s="1" t="n">
        <v>0.152</v>
      </c>
      <c r="K145" s="1" t="n">
        <v>7740</v>
      </c>
      <c r="L145" s="1" t="n">
        <v>0.283</v>
      </c>
    </row>
    <row r="146" customFormat="false" ht="12.75" hidden="false" customHeight="true" outlineLevel="0" collapsed="false">
      <c r="E146" s="1" t="n">
        <v>7800</v>
      </c>
      <c r="F146" s="1" t="n">
        <v>0.075</v>
      </c>
      <c r="G146" s="1" t="n">
        <v>7800</v>
      </c>
      <c r="H146" s="1" t="n">
        <v>0.135</v>
      </c>
      <c r="I146" s="1" t="n">
        <v>7800</v>
      </c>
      <c r="J146" s="1" t="n">
        <v>0.154</v>
      </c>
      <c r="K146" s="1" t="n">
        <v>7800</v>
      </c>
      <c r="L146" s="1" t="n">
        <v>0.284</v>
      </c>
    </row>
    <row r="147" customFormat="false" ht="12.75" hidden="false" customHeight="true" outlineLevel="0" collapsed="false">
      <c r="E147" s="1" t="n">
        <v>7860</v>
      </c>
      <c r="F147" s="1" t="n">
        <v>0.077</v>
      </c>
      <c r="G147" s="1" t="n">
        <v>7860</v>
      </c>
      <c r="H147" s="1" t="n">
        <v>0.137</v>
      </c>
      <c r="I147" s="1" t="n">
        <v>7860</v>
      </c>
      <c r="J147" s="1" t="n">
        <v>0.154</v>
      </c>
      <c r="K147" s="1" t="n">
        <v>7860</v>
      </c>
      <c r="L147" s="1" t="n">
        <v>0.286</v>
      </c>
    </row>
    <row r="148" customFormat="false" ht="12.75" hidden="false" customHeight="true" outlineLevel="0" collapsed="false">
      <c r="E148" s="1" t="n">
        <v>7920</v>
      </c>
      <c r="F148" s="1" t="n">
        <v>0.078</v>
      </c>
      <c r="G148" s="1" t="n">
        <v>7920</v>
      </c>
      <c r="H148" s="1" t="n">
        <v>0.138</v>
      </c>
      <c r="I148" s="1" t="n">
        <v>7920</v>
      </c>
      <c r="J148" s="1" t="n">
        <v>0.157</v>
      </c>
      <c r="K148" s="1" t="n">
        <v>7920</v>
      </c>
      <c r="L148" s="1" t="n">
        <v>0.288</v>
      </c>
    </row>
    <row r="149" customFormat="false" ht="12.75" hidden="false" customHeight="true" outlineLevel="0" collapsed="false">
      <c r="E149" s="1" t="n">
        <v>7980</v>
      </c>
      <c r="F149" s="1" t="n">
        <v>0.074</v>
      </c>
      <c r="G149" s="1" t="n">
        <v>7980</v>
      </c>
      <c r="H149" s="1" t="n">
        <v>0.14</v>
      </c>
      <c r="I149" s="1" t="n">
        <v>7980</v>
      </c>
      <c r="J149" s="1" t="n">
        <v>0.158</v>
      </c>
      <c r="K149" s="1" t="n">
        <v>7980</v>
      </c>
      <c r="L149" s="1" t="n">
        <v>0.29</v>
      </c>
    </row>
    <row r="150" customFormat="false" ht="12.75" hidden="false" customHeight="true" outlineLevel="0" collapsed="false">
      <c r="E150" s="1" t="n">
        <v>8040</v>
      </c>
      <c r="F150" s="1" t="n">
        <v>0.076</v>
      </c>
      <c r="G150" s="1" t="n">
        <v>8040</v>
      </c>
      <c r="H150" s="1" t="n">
        <v>0.141</v>
      </c>
      <c r="I150" s="1" t="n">
        <v>8040</v>
      </c>
      <c r="J150" s="1" t="n">
        <v>0.159</v>
      </c>
      <c r="K150" s="1" t="n">
        <v>8040</v>
      </c>
      <c r="L150" s="1" t="n">
        <v>0.292</v>
      </c>
    </row>
    <row r="151" customFormat="false" ht="12.75" hidden="false" customHeight="true" outlineLevel="0" collapsed="false">
      <c r="E151" s="1" t="n">
        <v>8100</v>
      </c>
      <c r="F151" s="1" t="n">
        <v>0.077</v>
      </c>
      <c r="G151" s="1" t="n">
        <v>8100</v>
      </c>
      <c r="H151" s="1" t="n">
        <v>0.141</v>
      </c>
      <c r="I151" s="1" t="n">
        <v>8100</v>
      </c>
      <c r="J151" s="1" t="n">
        <v>0.162</v>
      </c>
      <c r="K151" s="1" t="n">
        <v>8100</v>
      </c>
      <c r="L151" s="1" t="n">
        <v>0.294</v>
      </c>
    </row>
    <row r="152" customFormat="false" ht="12.75" hidden="false" customHeight="true" outlineLevel="0" collapsed="false">
      <c r="E152" s="1" t="n">
        <v>8160</v>
      </c>
      <c r="F152" s="1" t="n">
        <v>0.079</v>
      </c>
      <c r="G152" s="1" t="n">
        <v>8160</v>
      </c>
      <c r="H152" s="1" t="n">
        <v>0.142</v>
      </c>
      <c r="I152" s="1" t="n">
        <v>8160</v>
      </c>
      <c r="J152" s="1" t="n">
        <v>0.163</v>
      </c>
      <c r="K152" s="1" t="n">
        <v>8160</v>
      </c>
      <c r="L152" s="1" t="n">
        <v>0.296</v>
      </c>
    </row>
    <row r="153" customFormat="false" ht="12.75" hidden="false" customHeight="true" outlineLevel="0" collapsed="false">
      <c r="E153" s="1" t="n">
        <v>8220</v>
      </c>
      <c r="F153" s="1" t="n">
        <v>0.081</v>
      </c>
      <c r="G153" s="1" t="n">
        <v>8220</v>
      </c>
      <c r="H153" s="1" t="n">
        <v>0.143</v>
      </c>
      <c r="I153" s="1" t="n">
        <v>8220</v>
      </c>
      <c r="J153" s="1" t="n">
        <v>0.164</v>
      </c>
      <c r="K153" s="1" t="n">
        <v>8220</v>
      </c>
      <c r="L153" s="1" t="n">
        <v>0.298</v>
      </c>
    </row>
    <row r="154" customFormat="false" ht="12.75" hidden="false" customHeight="true" outlineLevel="0" collapsed="false">
      <c r="E154" s="1" t="n">
        <v>8280</v>
      </c>
      <c r="F154" s="1" t="n">
        <v>0.083</v>
      </c>
      <c r="G154" s="1" t="n">
        <v>8280</v>
      </c>
      <c r="H154" s="1" t="n">
        <v>0.144</v>
      </c>
      <c r="I154" s="1" t="n">
        <v>8280</v>
      </c>
      <c r="J154" s="1" t="n">
        <v>0.166</v>
      </c>
      <c r="K154" s="1" t="n">
        <v>8280</v>
      </c>
      <c r="L154" s="1" t="n">
        <v>0.299</v>
      </c>
    </row>
    <row r="155" customFormat="false" ht="12.75" hidden="false" customHeight="true" outlineLevel="0" collapsed="false">
      <c r="E155" s="1" t="n">
        <v>8340</v>
      </c>
      <c r="F155" s="1" t="n">
        <v>0.084</v>
      </c>
      <c r="G155" s="1" t="n">
        <v>8340</v>
      </c>
      <c r="H155" s="1" t="n">
        <v>0.146</v>
      </c>
      <c r="I155" s="1" t="n">
        <v>8340</v>
      </c>
      <c r="J155" s="1" t="n">
        <v>0.168</v>
      </c>
      <c r="K155" s="1" t="n">
        <v>8340</v>
      </c>
      <c r="L155" s="1" t="n">
        <v>0.301</v>
      </c>
    </row>
    <row r="156" customFormat="false" ht="12.75" hidden="false" customHeight="true" outlineLevel="0" collapsed="false">
      <c r="E156" s="1" t="n">
        <v>8400</v>
      </c>
      <c r="F156" s="1" t="n">
        <v>0.072</v>
      </c>
      <c r="G156" s="1" t="n">
        <v>8400</v>
      </c>
      <c r="H156" s="1" t="n">
        <v>0.146</v>
      </c>
      <c r="I156" s="1" t="n">
        <v>8400</v>
      </c>
      <c r="J156" s="1" t="n">
        <v>0.169</v>
      </c>
      <c r="K156" s="1" t="n">
        <v>8400</v>
      </c>
      <c r="L156" s="1" t="n">
        <v>0.303</v>
      </c>
    </row>
    <row r="157" customFormat="false" ht="12.75" hidden="false" customHeight="true" outlineLevel="0" collapsed="false">
      <c r="E157" s="1" t="n">
        <v>8460</v>
      </c>
      <c r="F157" s="1" t="n">
        <v>0.074</v>
      </c>
      <c r="G157" s="1" t="n">
        <v>8460</v>
      </c>
      <c r="H157" s="1" t="n">
        <v>0.148</v>
      </c>
      <c r="I157" s="1" t="n">
        <v>8460</v>
      </c>
      <c r="J157" s="1" t="n">
        <v>0.17</v>
      </c>
      <c r="K157" s="1" t="n">
        <v>8460</v>
      </c>
      <c r="L157" s="1" t="n">
        <v>0.305</v>
      </c>
    </row>
    <row r="158" customFormat="false" ht="12.75" hidden="false" customHeight="true" outlineLevel="0" collapsed="false">
      <c r="E158" s="1" t="n">
        <v>8520</v>
      </c>
      <c r="F158" s="1" t="n">
        <v>0.075</v>
      </c>
      <c r="G158" s="1" t="n">
        <v>8520</v>
      </c>
      <c r="H158" s="1" t="n">
        <v>0.149</v>
      </c>
      <c r="I158" s="1" t="n">
        <v>8520</v>
      </c>
      <c r="J158" s="1" t="n">
        <v>0.172</v>
      </c>
      <c r="K158" s="1" t="n">
        <v>8520</v>
      </c>
      <c r="L158" s="1" t="n">
        <v>0.306</v>
      </c>
    </row>
    <row r="159" customFormat="false" ht="12.75" hidden="false" customHeight="true" outlineLevel="0" collapsed="false">
      <c r="E159" s="1" t="n">
        <v>8580</v>
      </c>
      <c r="F159" s="1" t="n">
        <v>0.076</v>
      </c>
      <c r="G159" s="1" t="n">
        <v>8580</v>
      </c>
      <c r="H159" s="1" t="n">
        <v>0.15</v>
      </c>
      <c r="I159" s="1" t="n">
        <v>8580</v>
      </c>
      <c r="J159" s="1" t="n">
        <v>0.173</v>
      </c>
      <c r="K159" s="1" t="n">
        <v>8580</v>
      </c>
      <c r="L159" s="1" t="n">
        <v>0.308</v>
      </c>
    </row>
    <row r="160" customFormat="false" ht="12.75" hidden="false" customHeight="true" outlineLevel="0" collapsed="false">
      <c r="E160" s="1" t="n">
        <v>8640</v>
      </c>
      <c r="F160" s="1" t="n">
        <v>0.078</v>
      </c>
      <c r="G160" s="1" t="n">
        <v>8640</v>
      </c>
      <c r="H160" s="1" t="n">
        <v>0.151</v>
      </c>
      <c r="I160" s="1" t="n">
        <v>8640</v>
      </c>
      <c r="J160" s="1" t="n">
        <v>0.175</v>
      </c>
      <c r="K160" s="1" t="n">
        <v>8640</v>
      </c>
      <c r="L160" s="1" t="n">
        <v>0.31</v>
      </c>
    </row>
    <row r="161" customFormat="false" ht="12.75" hidden="false" customHeight="true" outlineLevel="0" collapsed="false">
      <c r="E161" s="1" t="n">
        <v>8700</v>
      </c>
      <c r="F161" s="1" t="n">
        <v>0.08</v>
      </c>
      <c r="G161" s="1" t="n">
        <v>8700</v>
      </c>
      <c r="H161" s="1" t="n">
        <v>0.152</v>
      </c>
      <c r="I161" s="1" t="n">
        <v>8700</v>
      </c>
      <c r="J161" s="1" t="n">
        <v>0.177</v>
      </c>
      <c r="K161" s="1" t="n">
        <v>8700</v>
      </c>
      <c r="L161" s="1" t="n">
        <v>0.312</v>
      </c>
    </row>
    <row r="162" customFormat="false" ht="12.75" hidden="false" customHeight="true" outlineLevel="0" collapsed="false">
      <c r="E162" s="1" t="n">
        <v>8760</v>
      </c>
      <c r="F162" s="1" t="n">
        <v>0.081</v>
      </c>
      <c r="G162" s="1" t="n">
        <v>8760</v>
      </c>
      <c r="H162" s="1" t="n">
        <v>0.153</v>
      </c>
      <c r="I162" s="1" t="n">
        <v>8760</v>
      </c>
      <c r="J162" s="1" t="n">
        <v>0.178</v>
      </c>
      <c r="K162" s="1" t="n">
        <v>8760</v>
      </c>
      <c r="L162" s="1" t="n">
        <v>0.314</v>
      </c>
    </row>
    <row r="163" customFormat="false" ht="12.75" hidden="false" customHeight="true" outlineLevel="0" collapsed="false">
      <c r="E163" s="1" t="n">
        <v>8820</v>
      </c>
      <c r="F163" s="1" t="n">
        <v>0.083</v>
      </c>
      <c r="G163" s="1" t="n">
        <v>8820</v>
      </c>
      <c r="H163" s="1" t="n">
        <v>0.154</v>
      </c>
      <c r="I163" s="1" t="n">
        <v>8820</v>
      </c>
      <c r="J163" s="1" t="n">
        <v>0.18</v>
      </c>
      <c r="K163" s="1" t="n">
        <v>8820</v>
      </c>
      <c r="L163" s="1" t="n">
        <v>0.315</v>
      </c>
    </row>
    <row r="164" customFormat="false" ht="12.75" hidden="false" customHeight="true" outlineLevel="0" collapsed="false">
      <c r="E164" s="1" t="n">
        <v>8880</v>
      </c>
      <c r="F164" s="1" t="n">
        <v>0.085</v>
      </c>
      <c r="G164" s="1" t="n">
        <v>8880</v>
      </c>
      <c r="H164" s="1" t="n">
        <v>0.155</v>
      </c>
      <c r="I164" s="1" t="n">
        <v>8880</v>
      </c>
      <c r="J164" s="1" t="n">
        <v>0.181</v>
      </c>
      <c r="K164" s="1" t="n">
        <v>8880</v>
      </c>
      <c r="L164" s="1" t="n">
        <v>0.317</v>
      </c>
    </row>
    <row r="165" customFormat="false" ht="12.75" hidden="false" customHeight="true" outlineLevel="0" collapsed="false">
      <c r="E165" s="1" t="n">
        <v>8940</v>
      </c>
      <c r="F165" s="1" t="n">
        <v>0.087</v>
      </c>
      <c r="G165" s="1" t="n">
        <v>8940</v>
      </c>
      <c r="H165" s="1" t="n">
        <v>0.156</v>
      </c>
      <c r="I165" s="1" t="n">
        <v>8940</v>
      </c>
      <c r="J165" s="1" t="n">
        <v>0.183</v>
      </c>
      <c r="K165" s="1" t="n">
        <v>8940</v>
      </c>
      <c r="L165" s="1" t="n">
        <v>0.319</v>
      </c>
    </row>
    <row r="166" customFormat="false" ht="12.75" hidden="false" customHeight="true" outlineLevel="0" collapsed="false">
      <c r="E166" s="1" t="n">
        <v>9000</v>
      </c>
      <c r="F166" s="1" t="n">
        <v>0.089</v>
      </c>
      <c r="G166" s="1" t="n">
        <v>9000</v>
      </c>
      <c r="H166" s="1" t="n">
        <v>0.157</v>
      </c>
      <c r="I166" s="1" t="n">
        <v>9000</v>
      </c>
      <c r="J166" s="1" t="n">
        <v>0.184</v>
      </c>
      <c r="K166" s="1" t="n">
        <v>9000</v>
      </c>
      <c r="L166" s="1" t="n">
        <v>0.32</v>
      </c>
    </row>
    <row r="167" customFormat="false" ht="12.75" hidden="false" customHeight="true" outlineLevel="0" collapsed="false">
      <c r="E167" s="1" t="n">
        <v>9060</v>
      </c>
      <c r="F167" s="1" t="n">
        <v>0.09</v>
      </c>
      <c r="G167" s="1" t="n">
        <v>9060</v>
      </c>
      <c r="H167" s="1" t="n">
        <v>0.159</v>
      </c>
      <c r="I167" s="1" t="n">
        <v>9060</v>
      </c>
      <c r="J167" s="1" t="n">
        <v>0.185</v>
      </c>
      <c r="K167" s="1" t="n">
        <v>9060</v>
      </c>
      <c r="L167" s="1" t="n">
        <v>0.322</v>
      </c>
    </row>
    <row r="168" customFormat="false" ht="12.75" hidden="false" customHeight="true" outlineLevel="0" collapsed="false">
      <c r="E168" s="1" t="n">
        <v>9120</v>
      </c>
      <c r="F168" s="1" t="n">
        <v>0.093</v>
      </c>
      <c r="G168" s="1" t="n">
        <v>9120</v>
      </c>
      <c r="H168" s="1" t="n">
        <v>0.16</v>
      </c>
      <c r="I168" s="1" t="n">
        <v>9120</v>
      </c>
      <c r="J168" s="1" t="n">
        <v>0.187</v>
      </c>
      <c r="K168" s="1" t="n">
        <v>9120</v>
      </c>
      <c r="L168" s="1" t="n">
        <v>0.324</v>
      </c>
    </row>
    <row r="169" customFormat="false" ht="12.75" hidden="false" customHeight="true" outlineLevel="0" collapsed="false">
      <c r="E169" s="1" t="n">
        <v>9180</v>
      </c>
      <c r="F169" s="1" t="n">
        <v>0.094</v>
      </c>
      <c r="G169" s="1" t="n">
        <v>9180</v>
      </c>
      <c r="H169" s="1" t="n">
        <v>0.161</v>
      </c>
      <c r="I169" s="1" t="n">
        <v>9180</v>
      </c>
      <c r="J169" s="1" t="n">
        <v>0.188</v>
      </c>
      <c r="K169" s="1" t="n">
        <v>9180</v>
      </c>
      <c r="L169" s="1" t="n">
        <v>0.326</v>
      </c>
    </row>
    <row r="170" customFormat="false" ht="12.75" hidden="false" customHeight="true" outlineLevel="0" collapsed="false">
      <c r="E170" s="1" t="n">
        <v>9240</v>
      </c>
      <c r="F170" s="1" t="n">
        <v>0.097</v>
      </c>
      <c r="G170" s="1" t="n">
        <v>9240</v>
      </c>
      <c r="H170" s="1" t="n">
        <v>0.162</v>
      </c>
      <c r="I170" s="1" t="n">
        <v>9240</v>
      </c>
      <c r="J170" s="1" t="n">
        <v>0.19</v>
      </c>
      <c r="K170" s="1" t="n">
        <v>9240</v>
      </c>
      <c r="L170" s="1" t="n">
        <v>0.328</v>
      </c>
    </row>
    <row r="171" customFormat="false" ht="12.75" hidden="false" customHeight="true" outlineLevel="0" collapsed="false">
      <c r="E171" s="1" t="n">
        <v>9300</v>
      </c>
      <c r="F171" s="1" t="n">
        <v>0.1</v>
      </c>
      <c r="G171" s="1" t="n">
        <v>9300</v>
      </c>
      <c r="H171" s="1" t="n">
        <v>0.163</v>
      </c>
      <c r="I171" s="1" t="n">
        <v>9300</v>
      </c>
      <c r="J171" s="1" t="n">
        <v>0.191</v>
      </c>
      <c r="K171" s="1" t="n">
        <v>9300</v>
      </c>
      <c r="L171" s="1" t="n">
        <v>0.329</v>
      </c>
    </row>
    <row r="172" customFormat="false" ht="12.75" hidden="false" customHeight="true" outlineLevel="0" collapsed="false">
      <c r="E172" s="1" t="n">
        <v>9360</v>
      </c>
      <c r="F172" s="1" t="n">
        <v>0.103</v>
      </c>
      <c r="G172" s="1" t="n">
        <v>9360</v>
      </c>
      <c r="H172" s="1" t="n">
        <v>0.164</v>
      </c>
      <c r="I172" s="1" t="n">
        <v>9360</v>
      </c>
      <c r="J172" s="1" t="n">
        <v>0.193</v>
      </c>
      <c r="K172" s="1" t="n">
        <v>9360</v>
      </c>
      <c r="L172" s="1" t="n">
        <v>0.331</v>
      </c>
    </row>
    <row r="173" customFormat="false" ht="12.75" hidden="false" customHeight="true" outlineLevel="0" collapsed="false">
      <c r="E173" s="1" t="n">
        <v>9420</v>
      </c>
      <c r="F173" s="1" t="n">
        <v>0.105</v>
      </c>
      <c r="G173" s="1" t="n">
        <v>9420</v>
      </c>
      <c r="H173" s="1" t="n">
        <v>0.165</v>
      </c>
      <c r="I173" s="1" t="n">
        <v>9420</v>
      </c>
      <c r="J173" s="1" t="n">
        <v>0.194</v>
      </c>
      <c r="K173" s="1" t="n">
        <v>9420</v>
      </c>
      <c r="L173" s="1" t="n">
        <v>0.333</v>
      </c>
    </row>
    <row r="174" customFormat="false" ht="12.75" hidden="false" customHeight="true" outlineLevel="0" collapsed="false">
      <c r="E174" s="1" t="n">
        <v>9480</v>
      </c>
      <c r="F174" s="1" t="n">
        <v>0.107</v>
      </c>
      <c r="G174" s="1" t="n">
        <v>9480</v>
      </c>
      <c r="H174" s="1" t="n">
        <v>0.166</v>
      </c>
      <c r="I174" s="1" t="n">
        <v>9480</v>
      </c>
      <c r="J174" s="1" t="n">
        <v>0.196</v>
      </c>
      <c r="K174" s="1" t="n">
        <v>9480</v>
      </c>
      <c r="L174" s="1" t="n">
        <v>0.335</v>
      </c>
    </row>
    <row r="175" customFormat="false" ht="12.75" hidden="false" customHeight="true" outlineLevel="0" collapsed="false">
      <c r="E175" s="1" t="n">
        <v>9540</v>
      </c>
      <c r="F175" s="1" t="n">
        <v>0.11</v>
      </c>
      <c r="G175" s="1" t="n">
        <v>9540</v>
      </c>
      <c r="H175" s="1" t="n">
        <v>0.167</v>
      </c>
      <c r="I175" s="1" t="n">
        <v>9540</v>
      </c>
      <c r="J175" s="1" t="n">
        <v>0.197</v>
      </c>
      <c r="K175" s="1" t="n">
        <v>9540</v>
      </c>
      <c r="L175" s="1" t="n">
        <v>0.337</v>
      </c>
    </row>
    <row r="176" customFormat="false" ht="12.75" hidden="false" customHeight="true" outlineLevel="0" collapsed="false">
      <c r="E176" s="1" t="n">
        <v>9600</v>
      </c>
      <c r="F176" s="1" t="n">
        <v>0.093</v>
      </c>
      <c r="G176" s="1" t="n">
        <v>9600</v>
      </c>
      <c r="H176" s="1" t="n">
        <v>0.168</v>
      </c>
      <c r="I176" s="1" t="n">
        <v>9600</v>
      </c>
      <c r="J176" s="1" t="n">
        <v>0.199</v>
      </c>
      <c r="K176" s="1" t="n">
        <v>9600</v>
      </c>
      <c r="L176" s="1" t="n">
        <v>0.338</v>
      </c>
    </row>
    <row r="177" customFormat="false" ht="12.75" hidden="false" customHeight="true" outlineLevel="0" collapsed="false">
      <c r="E177" s="1" t="n">
        <v>9660</v>
      </c>
      <c r="F177" s="1" t="n">
        <v>0.095</v>
      </c>
      <c r="G177" s="1" t="n">
        <v>9660</v>
      </c>
      <c r="H177" s="1" t="n">
        <v>0.169</v>
      </c>
      <c r="I177" s="1" t="n">
        <v>9660</v>
      </c>
      <c r="J177" s="1" t="n">
        <v>0.2</v>
      </c>
      <c r="K177" s="1" t="n">
        <v>9660</v>
      </c>
      <c r="L177" s="1" t="n">
        <v>0.34</v>
      </c>
    </row>
    <row r="178" customFormat="false" ht="12.75" hidden="false" customHeight="true" outlineLevel="0" collapsed="false">
      <c r="E178" s="1" t="n">
        <v>9720</v>
      </c>
      <c r="F178" s="1" t="n">
        <v>0.096</v>
      </c>
      <c r="G178" s="1" t="n">
        <v>9720</v>
      </c>
      <c r="H178" s="1" t="n">
        <v>0.17</v>
      </c>
      <c r="I178" s="1" t="n">
        <v>9720</v>
      </c>
      <c r="J178" s="1" t="n">
        <v>0.201</v>
      </c>
      <c r="K178" s="1" t="n">
        <v>9720</v>
      </c>
      <c r="L178" s="1" t="n">
        <v>0.341</v>
      </c>
    </row>
    <row r="179" customFormat="false" ht="12.75" hidden="false" customHeight="true" outlineLevel="0" collapsed="false">
      <c r="E179" s="1" t="n">
        <v>9780</v>
      </c>
      <c r="F179" s="1" t="n">
        <v>0.098</v>
      </c>
      <c r="G179" s="1" t="n">
        <v>9780</v>
      </c>
      <c r="H179" s="1" t="n">
        <v>0.171</v>
      </c>
      <c r="I179" s="1" t="n">
        <v>9780</v>
      </c>
      <c r="J179" s="1" t="n">
        <v>0.204</v>
      </c>
      <c r="K179" s="1" t="n">
        <v>9780</v>
      </c>
      <c r="L179" s="1" t="n">
        <v>0.343</v>
      </c>
    </row>
    <row r="180" customFormat="false" ht="12.75" hidden="false" customHeight="true" outlineLevel="0" collapsed="false">
      <c r="E180" s="1" t="n">
        <v>9840</v>
      </c>
      <c r="F180" s="1" t="n">
        <v>0.099</v>
      </c>
      <c r="G180" s="1" t="n">
        <v>9840</v>
      </c>
      <c r="H180" s="1" t="n">
        <v>0.172</v>
      </c>
      <c r="I180" s="1" t="n">
        <v>9840</v>
      </c>
      <c r="J180" s="1" t="n">
        <v>0.204</v>
      </c>
      <c r="K180" s="1" t="n">
        <v>9840</v>
      </c>
      <c r="L180" s="1" t="n">
        <v>0.345</v>
      </c>
    </row>
    <row r="181" customFormat="false" ht="12.75" hidden="false" customHeight="true" outlineLevel="0" collapsed="false">
      <c r="E181" s="1" t="n">
        <v>9900</v>
      </c>
      <c r="F181" s="1" t="n">
        <v>0.1</v>
      </c>
      <c r="G181" s="1" t="n">
        <v>9900</v>
      </c>
      <c r="H181" s="1" t="n">
        <v>0.173</v>
      </c>
      <c r="I181" s="1" t="n">
        <v>9900</v>
      </c>
      <c r="J181" s="1" t="n">
        <v>0.206</v>
      </c>
      <c r="K181" s="1" t="n">
        <v>9900</v>
      </c>
      <c r="L181" s="1" t="n">
        <v>0.347</v>
      </c>
    </row>
    <row r="182" customFormat="false" ht="12.75" hidden="false" customHeight="true" outlineLevel="0" collapsed="false">
      <c r="E182" s="1" t="n">
        <v>9960</v>
      </c>
      <c r="F182" s="1" t="n">
        <v>0.102</v>
      </c>
      <c r="G182" s="1" t="n">
        <v>9960</v>
      </c>
      <c r="H182" s="1" t="n">
        <v>0.175</v>
      </c>
      <c r="I182" s="1" t="n">
        <v>9960</v>
      </c>
      <c r="J182" s="1" t="n">
        <v>0.206</v>
      </c>
      <c r="K182" s="1" t="n">
        <v>9960</v>
      </c>
      <c r="L182" s="1" t="n">
        <v>0.348</v>
      </c>
    </row>
    <row r="183" customFormat="false" ht="12.75" hidden="false" customHeight="true" outlineLevel="0" collapsed="false">
      <c r="E183" s="1" t="n">
        <v>10020</v>
      </c>
      <c r="F183" s="1" t="n">
        <v>0.103</v>
      </c>
      <c r="G183" s="1" t="n">
        <v>10020</v>
      </c>
      <c r="H183" s="1" t="n">
        <v>0.175</v>
      </c>
      <c r="I183" s="1" t="n">
        <v>10020</v>
      </c>
      <c r="J183" s="1" t="n">
        <v>0.209</v>
      </c>
      <c r="K183" s="1" t="n">
        <v>10020</v>
      </c>
      <c r="L183" s="1" t="n">
        <v>0.35</v>
      </c>
    </row>
    <row r="184" customFormat="false" ht="12.75" hidden="false" customHeight="true" outlineLevel="0" collapsed="false">
      <c r="E184" s="1" t="n">
        <v>10080</v>
      </c>
      <c r="F184" s="1" t="n">
        <v>0.105</v>
      </c>
      <c r="G184" s="1" t="n">
        <v>10080</v>
      </c>
      <c r="H184" s="1" t="n">
        <v>0.177</v>
      </c>
      <c r="I184" s="1" t="n">
        <v>10080</v>
      </c>
      <c r="J184" s="1" t="n">
        <v>0.209</v>
      </c>
      <c r="K184" s="1" t="n">
        <v>10080</v>
      </c>
      <c r="L184" s="1" t="n">
        <v>0.351</v>
      </c>
    </row>
    <row r="185" customFormat="false" ht="12.75" hidden="false" customHeight="true" outlineLevel="0" collapsed="false">
      <c r="E185" s="1" t="n">
        <v>10140</v>
      </c>
      <c r="F185" s="1" t="n">
        <v>0.1</v>
      </c>
      <c r="G185" s="1" t="n">
        <v>10140</v>
      </c>
      <c r="H185" s="1" t="n">
        <v>0.178</v>
      </c>
      <c r="I185" s="1" t="n">
        <v>10140</v>
      </c>
      <c r="J185" s="1" t="n">
        <v>0.211</v>
      </c>
      <c r="K185" s="1" t="n">
        <v>10140</v>
      </c>
      <c r="L185" s="1" t="n">
        <v>0.353</v>
      </c>
    </row>
    <row r="186" customFormat="false" ht="12.75" hidden="false" customHeight="true" outlineLevel="0" collapsed="false">
      <c r="E186" s="1" t="n">
        <v>10200</v>
      </c>
      <c r="F186" s="1" t="n">
        <v>0.101</v>
      </c>
      <c r="G186" s="1" t="n">
        <v>10200</v>
      </c>
      <c r="H186" s="1" t="n">
        <v>0.179</v>
      </c>
      <c r="I186" s="1" t="n">
        <v>10200</v>
      </c>
      <c r="J186" s="1" t="n">
        <v>0.213</v>
      </c>
      <c r="K186" s="1" t="n">
        <v>10200</v>
      </c>
      <c r="L186" s="1" t="n">
        <v>0.354</v>
      </c>
    </row>
    <row r="187" customFormat="false" ht="12.75" hidden="false" customHeight="true" outlineLevel="0" collapsed="false">
      <c r="E187" s="1" t="n">
        <v>10260</v>
      </c>
      <c r="F187" s="1" t="n">
        <v>0.088</v>
      </c>
      <c r="G187" s="1" t="n">
        <v>10260</v>
      </c>
      <c r="H187" s="1" t="n">
        <v>0.18</v>
      </c>
      <c r="I187" s="1" t="n">
        <v>10260</v>
      </c>
      <c r="J187" s="1" t="n">
        <v>0.214</v>
      </c>
      <c r="K187" s="1" t="n">
        <v>10260</v>
      </c>
      <c r="L187" s="1" t="n">
        <v>0.357</v>
      </c>
    </row>
    <row r="188" customFormat="false" ht="12.75" hidden="false" customHeight="true" outlineLevel="0" collapsed="false">
      <c r="E188" s="1" t="n">
        <v>10320</v>
      </c>
      <c r="F188" s="1" t="n">
        <v>0.089</v>
      </c>
      <c r="G188" s="1" t="n">
        <v>10320</v>
      </c>
      <c r="H188" s="1" t="n">
        <v>0.181</v>
      </c>
      <c r="I188" s="1" t="n">
        <v>10320</v>
      </c>
      <c r="J188" s="1" t="n">
        <v>0.216</v>
      </c>
      <c r="K188" s="1" t="n">
        <v>10320</v>
      </c>
      <c r="L188" s="1" t="n">
        <v>0.358</v>
      </c>
    </row>
    <row r="189" customFormat="false" ht="12.75" hidden="false" customHeight="true" outlineLevel="0" collapsed="false">
      <c r="E189" s="1" t="n">
        <v>10380</v>
      </c>
      <c r="F189" s="1" t="n">
        <v>0.089</v>
      </c>
      <c r="G189" s="1" t="n">
        <v>10380</v>
      </c>
      <c r="H189" s="1" t="n">
        <v>0.182</v>
      </c>
      <c r="I189" s="1" t="n">
        <v>10380</v>
      </c>
      <c r="J189" s="1" t="n">
        <v>0.217</v>
      </c>
      <c r="K189" s="1" t="n">
        <v>10380</v>
      </c>
      <c r="L189" s="1" t="n">
        <v>0.36</v>
      </c>
    </row>
    <row r="190" customFormat="false" ht="12.75" hidden="false" customHeight="true" outlineLevel="0" collapsed="false">
      <c r="E190" s="1" t="n">
        <v>10440</v>
      </c>
      <c r="F190" s="1" t="n">
        <v>0.09</v>
      </c>
      <c r="G190" s="1" t="n">
        <v>10440</v>
      </c>
      <c r="H190" s="1" t="n">
        <v>0.183</v>
      </c>
      <c r="I190" s="1" t="n">
        <v>10440</v>
      </c>
      <c r="J190" s="1" t="n">
        <v>0.218</v>
      </c>
      <c r="K190" s="1" t="n">
        <v>10440</v>
      </c>
      <c r="L190" s="1" t="n">
        <v>0.361</v>
      </c>
    </row>
    <row r="191" customFormat="false" ht="12.75" hidden="false" customHeight="true" outlineLevel="0" collapsed="false">
      <c r="E191" s="1" t="n">
        <v>10500</v>
      </c>
      <c r="F191" s="1" t="n">
        <v>0.09</v>
      </c>
      <c r="G191" s="1" t="n">
        <v>10500</v>
      </c>
      <c r="H191" s="1" t="n">
        <v>0.184</v>
      </c>
      <c r="I191" s="1" t="n">
        <v>10500</v>
      </c>
      <c r="J191" s="1" t="n">
        <v>0.219</v>
      </c>
      <c r="K191" s="1" t="n">
        <v>10500</v>
      </c>
      <c r="L191" s="1" t="n">
        <v>0.363</v>
      </c>
    </row>
    <row r="192" customFormat="false" ht="12.75" hidden="false" customHeight="true" outlineLevel="0" collapsed="false">
      <c r="E192" s="1" t="n">
        <v>10560</v>
      </c>
      <c r="F192" s="1" t="n">
        <v>0.091</v>
      </c>
      <c r="G192" s="1" t="n">
        <v>10560</v>
      </c>
      <c r="H192" s="1" t="n">
        <v>0.185</v>
      </c>
      <c r="I192" s="1" t="n">
        <v>10560</v>
      </c>
      <c r="J192" s="1" t="n">
        <v>0.222</v>
      </c>
      <c r="K192" s="1" t="n">
        <v>10560</v>
      </c>
      <c r="L192" s="1" t="n">
        <v>0.364</v>
      </c>
    </row>
    <row r="193" customFormat="false" ht="12.75" hidden="false" customHeight="true" outlineLevel="0" collapsed="false">
      <c r="E193" s="1" t="n">
        <v>10620</v>
      </c>
      <c r="F193" s="1" t="n">
        <v>0.091</v>
      </c>
      <c r="G193" s="1" t="n">
        <v>10620</v>
      </c>
      <c r="H193" s="1" t="n">
        <v>0.186</v>
      </c>
      <c r="I193" s="1" t="n">
        <v>10620</v>
      </c>
      <c r="J193" s="1" t="n">
        <v>0.222</v>
      </c>
      <c r="K193" s="1" t="n">
        <v>10620</v>
      </c>
      <c r="L193" s="1" t="n">
        <v>0.366</v>
      </c>
    </row>
    <row r="194" customFormat="false" ht="12.75" hidden="false" customHeight="true" outlineLevel="0" collapsed="false">
      <c r="E194" s="1" t="n">
        <v>10680</v>
      </c>
      <c r="F194" s="1" t="n">
        <v>0.092</v>
      </c>
      <c r="G194" s="1" t="n">
        <v>10680</v>
      </c>
      <c r="H194" s="1" t="n">
        <v>0.187</v>
      </c>
      <c r="I194" s="1" t="n">
        <v>10680</v>
      </c>
      <c r="J194" s="1" t="n">
        <v>0.224</v>
      </c>
      <c r="K194" s="1" t="n">
        <v>10680</v>
      </c>
      <c r="L194" s="1" t="n">
        <v>0.367</v>
      </c>
    </row>
    <row r="195" customFormat="false" ht="12.75" hidden="false" customHeight="true" outlineLevel="0" collapsed="false">
      <c r="E195" s="1" t="n">
        <v>10740</v>
      </c>
      <c r="F195" s="1" t="n">
        <v>0.092</v>
      </c>
      <c r="G195" s="1" t="n">
        <v>10740</v>
      </c>
      <c r="H195" s="1" t="n">
        <v>0.188</v>
      </c>
      <c r="I195" s="1" t="n">
        <v>10740</v>
      </c>
      <c r="J195" s="1" t="n">
        <v>0.225</v>
      </c>
      <c r="K195" s="1" t="n">
        <v>10740</v>
      </c>
      <c r="L195" s="1" t="n">
        <v>0.369</v>
      </c>
    </row>
    <row r="196" customFormat="false" ht="12.75" hidden="false" customHeight="true" outlineLevel="0" collapsed="false">
      <c r="E196" s="1" t="n">
        <v>10800</v>
      </c>
      <c r="F196" s="1" t="n">
        <v>0.093</v>
      </c>
      <c r="G196" s="1" t="n">
        <v>10800</v>
      </c>
      <c r="H196" s="1" t="n">
        <v>0.189</v>
      </c>
      <c r="I196" s="1" t="n">
        <v>10800</v>
      </c>
      <c r="J196" s="1" t="n">
        <v>0.227</v>
      </c>
      <c r="K196" s="1" t="n">
        <v>10800</v>
      </c>
      <c r="L196" s="1" t="n">
        <v>0.37</v>
      </c>
    </row>
    <row r="197" customFormat="false" ht="12.75" hidden="false" customHeight="true" outlineLevel="0" collapsed="false">
      <c r="E197" s="1" t="n">
        <v>10860</v>
      </c>
      <c r="F197" s="1" t="n">
        <v>0.094</v>
      </c>
      <c r="G197" s="1" t="n">
        <v>10860</v>
      </c>
      <c r="H197" s="1" t="n">
        <v>0.19</v>
      </c>
      <c r="I197" s="1" t="n">
        <v>10860</v>
      </c>
      <c r="J197" s="1" t="n">
        <v>0.228</v>
      </c>
      <c r="K197" s="1" t="n">
        <v>10860</v>
      </c>
      <c r="L197" s="1" t="n">
        <v>0.372</v>
      </c>
    </row>
    <row r="198" customFormat="false" ht="12.75" hidden="false" customHeight="true" outlineLevel="0" collapsed="false">
      <c r="E198" s="1" t="n">
        <v>10920</v>
      </c>
      <c r="F198" s="1" t="n">
        <v>0.094</v>
      </c>
      <c r="G198" s="1" t="n">
        <v>10920</v>
      </c>
      <c r="H198" s="1" t="n">
        <v>0.191</v>
      </c>
      <c r="I198" s="1" t="n">
        <v>10920</v>
      </c>
      <c r="J198" s="1" t="n">
        <v>0.229</v>
      </c>
      <c r="K198" s="1" t="n">
        <v>10920</v>
      </c>
      <c r="L198" s="1" t="n">
        <v>0.374</v>
      </c>
    </row>
    <row r="199" customFormat="false" ht="12.75" hidden="false" customHeight="true" outlineLevel="0" collapsed="false">
      <c r="E199" s="1" t="n">
        <v>10980</v>
      </c>
      <c r="F199" s="1" t="n">
        <v>0.095</v>
      </c>
      <c r="G199" s="1" t="n">
        <v>10980</v>
      </c>
      <c r="H199" s="1" t="n">
        <v>0.192</v>
      </c>
      <c r="I199" s="1" t="n">
        <v>10980</v>
      </c>
      <c r="J199" s="1" t="n">
        <v>0.23</v>
      </c>
      <c r="K199" s="1" t="n">
        <v>10980</v>
      </c>
      <c r="L199" s="1" t="n">
        <v>0.375</v>
      </c>
    </row>
    <row r="200" customFormat="false" ht="12.75" hidden="false" customHeight="true" outlineLevel="0" collapsed="false">
      <c r="E200" s="1" t="n">
        <v>11040</v>
      </c>
      <c r="F200" s="1" t="n">
        <v>0.095</v>
      </c>
      <c r="G200" s="1" t="n">
        <v>11040</v>
      </c>
      <c r="H200" s="1" t="n">
        <v>0.193</v>
      </c>
      <c r="I200" s="1" t="n">
        <v>11040</v>
      </c>
      <c r="J200" s="1" t="n">
        <v>0.232</v>
      </c>
      <c r="K200" s="1" t="n">
        <v>11040</v>
      </c>
      <c r="L200" s="1" t="n">
        <v>0.377</v>
      </c>
    </row>
    <row r="201" customFormat="false" ht="12.75" hidden="false" customHeight="true" outlineLevel="0" collapsed="false">
      <c r="E201" s="1" t="n">
        <v>11100</v>
      </c>
      <c r="F201" s="1" t="n">
        <v>0.096</v>
      </c>
      <c r="G201" s="1" t="n">
        <v>11100</v>
      </c>
      <c r="H201" s="1" t="n">
        <v>0.194</v>
      </c>
      <c r="I201" s="1" t="n">
        <v>11100</v>
      </c>
      <c r="J201" s="1" t="n">
        <v>0.232</v>
      </c>
      <c r="K201" s="1" t="n">
        <v>11100</v>
      </c>
      <c r="L201" s="1" t="n">
        <v>0.378</v>
      </c>
    </row>
    <row r="202" customFormat="false" ht="12.75" hidden="false" customHeight="true" outlineLevel="0" collapsed="false">
      <c r="E202" s="1" t="n">
        <v>11160</v>
      </c>
      <c r="F202" s="1" t="n">
        <v>0.096</v>
      </c>
      <c r="G202" s="1" t="n">
        <v>11160</v>
      </c>
      <c r="H202" s="1" t="n">
        <v>0.195</v>
      </c>
      <c r="I202" s="1" t="n">
        <v>11160</v>
      </c>
      <c r="J202" s="1" t="n">
        <v>0.235</v>
      </c>
      <c r="K202" s="1" t="n">
        <v>11160</v>
      </c>
      <c r="L202" s="1" t="n">
        <v>0.38</v>
      </c>
    </row>
    <row r="203" customFormat="false" ht="12.75" hidden="false" customHeight="true" outlineLevel="0" collapsed="false">
      <c r="E203" s="1" t="n">
        <v>11220</v>
      </c>
      <c r="F203" s="1" t="n">
        <v>0.097</v>
      </c>
      <c r="G203" s="1" t="n">
        <v>11220</v>
      </c>
      <c r="H203" s="1" t="n">
        <v>0.196</v>
      </c>
      <c r="I203" s="1" t="n">
        <v>11220</v>
      </c>
      <c r="J203" s="1" t="n">
        <v>0.235</v>
      </c>
      <c r="K203" s="1" t="n">
        <v>11220</v>
      </c>
      <c r="L203" s="1" t="n">
        <v>0.382</v>
      </c>
    </row>
    <row r="204" customFormat="false" ht="12.75" hidden="false" customHeight="true" outlineLevel="0" collapsed="false">
      <c r="E204" s="1" t="n">
        <v>11280</v>
      </c>
      <c r="F204" s="1" t="n">
        <v>0.097</v>
      </c>
      <c r="G204" s="1" t="n">
        <v>11280</v>
      </c>
      <c r="H204" s="1" t="n">
        <v>0.196</v>
      </c>
      <c r="I204" s="1" t="n">
        <v>11280</v>
      </c>
      <c r="J204" s="1" t="n">
        <v>0.237</v>
      </c>
      <c r="K204" s="1" t="n">
        <v>11280</v>
      </c>
      <c r="L204" s="1" t="n">
        <v>0.383</v>
      </c>
    </row>
    <row r="205" customFormat="false" ht="12.75" hidden="false" customHeight="true" outlineLevel="0" collapsed="false">
      <c r="E205" s="1" t="n">
        <v>11340</v>
      </c>
      <c r="F205" s="1" t="n">
        <v>0.098</v>
      </c>
      <c r="G205" s="1" t="n">
        <v>11340</v>
      </c>
      <c r="H205" s="1" t="n">
        <v>0.197</v>
      </c>
      <c r="I205" s="1" t="n">
        <v>11340</v>
      </c>
      <c r="J205" s="1" t="n">
        <v>0.238</v>
      </c>
      <c r="K205" s="1" t="n">
        <v>11340</v>
      </c>
      <c r="L205" s="1" t="n">
        <v>0.385</v>
      </c>
    </row>
    <row r="206" customFormat="false" ht="12.75" hidden="false" customHeight="true" outlineLevel="0" collapsed="false">
      <c r="E206" s="1" t="n">
        <v>11400</v>
      </c>
      <c r="F206" s="1" t="n">
        <v>0.099</v>
      </c>
      <c r="G206" s="1" t="n">
        <v>11400</v>
      </c>
      <c r="H206" s="1" t="n">
        <v>0.198</v>
      </c>
      <c r="I206" s="1" t="n">
        <v>11400</v>
      </c>
      <c r="J206" s="1" t="n">
        <v>0.24</v>
      </c>
      <c r="K206" s="1" t="n">
        <v>11400</v>
      </c>
      <c r="L206" s="1" t="n">
        <v>0.387</v>
      </c>
    </row>
    <row r="207" customFormat="false" ht="12.75" hidden="false" customHeight="true" outlineLevel="0" collapsed="false">
      <c r="E207" s="1" t="n">
        <v>11460</v>
      </c>
      <c r="F207" s="1" t="n">
        <v>0.099</v>
      </c>
      <c r="G207" s="1" t="n">
        <v>11460</v>
      </c>
      <c r="H207" s="1" t="n">
        <v>0.199</v>
      </c>
      <c r="I207" s="1" t="n">
        <v>11460</v>
      </c>
      <c r="J207" s="1" t="n">
        <v>0.241</v>
      </c>
      <c r="K207" s="1" t="n">
        <v>11460</v>
      </c>
      <c r="L207" s="1" t="n">
        <v>0.388</v>
      </c>
    </row>
    <row r="208" customFormat="false" ht="12.75" hidden="false" customHeight="true" outlineLevel="0" collapsed="false">
      <c r="E208" s="1" t="n">
        <v>11520</v>
      </c>
      <c r="F208" s="1" t="n">
        <v>0.1</v>
      </c>
      <c r="G208" s="1" t="n">
        <v>11520</v>
      </c>
      <c r="H208" s="1" t="n">
        <v>0.201</v>
      </c>
      <c r="I208" s="1" t="n">
        <v>11520</v>
      </c>
      <c r="J208" s="1" t="n">
        <v>0.242</v>
      </c>
      <c r="K208" s="1" t="n">
        <v>11520</v>
      </c>
      <c r="L208" s="1" t="n">
        <v>0.389</v>
      </c>
    </row>
    <row r="209" customFormat="false" ht="12.75" hidden="false" customHeight="true" outlineLevel="0" collapsed="false">
      <c r="E209" s="1" t="n">
        <v>11580</v>
      </c>
      <c r="F209" s="1" t="n">
        <v>0.1</v>
      </c>
      <c r="G209" s="1" t="n">
        <v>11580</v>
      </c>
      <c r="H209" s="1" t="n">
        <v>0.201</v>
      </c>
      <c r="I209" s="1" t="n">
        <v>11580</v>
      </c>
      <c r="J209" s="1" t="n">
        <v>0.243</v>
      </c>
      <c r="K209" s="1" t="n">
        <v>11580</v>
      </c>
      <c r="L209" s="1" t="n">
        <v>0.391</v>
      </c>
    </row>
    <row r="210" customFormat="false" ht="12.75" hidden="false" customHeight="true" outlineLevel="0" collapsed="false">
      <c r="E210" s="1" t="n">
        <v>11640</v>
      </c>
      <c r="F210" s="1" t="n">
        <v>0.101</v>
      </c>
      <c r="G210" s="1" t="n">
        <v>11640</v>
      </c>
      <c r="H210" s="1" t="n">
        <v>0.202</v>
      </c>
      <c r="I210" s="1" t="n">
        <v>11640</v>
      </c>
      <c r="J210" s="1" t="n">
        <v>0.245</v>
      </c>
      <c r="K210" s="1" t="n">
        <v>11640</v>
      </c>
      <c r="L210" s="1" t="n">
        <v>0.392</v>
      </c>
    </row>
    <row r="211" customFormat="false" ht="12.75" hidden="false" customHeight="true" outlineLevel="0" collapsed="false">
      <c r="E211" s="1" t="n">
        <v>11700</v>
      </c>
      <c r="F211" s="1" t="n">
        <v>0.101</v>
      </c>
      <c r="G211" s="1" t="n">
        <v>11700</v>
      </c>
      <c r="H211" s="1" t="n">
        <v>0.203</v>
      </c>
      <c r="I211" s="1" t="n">
        <v>11700</v>
      </c>
      <c r="J211" s="1" t="n">
        <v>0.246</v>
      </c>
      <c r="K211" s="1" t="n">
        <v>11700</v>
      </c>
      <c r="L211" s="1" t="n">
        <v>0.394</v>
      </c>
    </row>
    <row r="212" customFormat="false" ht="12.75" hidden="false" customHeight="true" outlineLevel="0" collapsed="false">
      <c r="E212" s="1" t="n">
        <v>11760</v>
      </c>
      <c r="F212" s="1" t="n">
        <v>0.102</v>
      </c>
      <c r="G212" s="1" t="n">
        <v>11760</v>
      </c>
      <c r="H212" s="1" t="n">
        <v>0.204</v>
      </c>
      <c r="I212" s="1" t="n">
        <v>11760</v>
      </c>
      <c r="J212" s="1" t="n">
        <v>0.247</v>
      </c>
      <c r="K212" s="1" t="n">
        <v>11760</v>
      </c>
      <c r="L212" s="1" t="n">
        <v>0.395</v>
      </c>
    </row>
    <row r="213" customFormat="false" ht="12.75" hidden="false" customHeight="true" outlineLevel="0" collapsed="false">
      <c r="E213" s="1" t="n">
        <v>11820</v>
      </c>
      <c r="F213" s="1" t="n">
        <v>0.103</v>
      </c>
      <c r="G213" s="1" t="n">
        <v>11820</v>
      </c>
      <c r="H213" s="1" t="n">
        <v>0.205</v>
      </c>
      <c r="I213" s="1" t="n">
        <v>11820</v>
      </c>
      <c r="J213" s="1" t="n">
        <v>0.248</v>
      </c>
      <c r="K213" s="1" t="n">
        <v>11820</v>
      </c>
      <c r="L213" s="1" t="n">
        <v>0.397</v>
      </c>
    </row>
    <row r="214" customFormat="false" ht="12.75" hidden="false" customHeight="true" outlineLevel="0" collapsed="false">
      <c r="E214" s="1" t="n">
        <v>11880</v>
      </c>
      <c r="F214" s="1" t="n">
        <v>0.103</v>
      </c>
      <c r="G214" s="1" t="n">
        <v>11880</v>
      </c>
      <c r="H214" s="1" t="n">
        <v>0.206</v>
      </c>
      <c r="I214" s="1" t="n">
        <v>11880</v>
      </c>
      <c r="J214" s="1" t="n">
        <v>0.25</v>
      </c>
      <c r="K214" s="1" t="n">
        <v>11880</v>
      </c>
      <c r="L214" s="1" t="n">
        <v>0.398</v>
      </c>
    </row>
    <row r="215" customFormat="false" ht="12.75" hidden="false" customHeight="true" outlineLevel="0" collapsed="false">
      <c r="E215" s="1" t="n">
        <v>11940</v>
      </c>
      <c r="F215" s="1" t="n">
        <v>0.103</v>
      </c>
      <c r="G215" s="1" t="n">
        <v>11940</v>
      </c>
      <c r="H215" s="1" t="n">
        <v>0.207</v>
      </c>
      <c r="I215" s="1" t="n">
        <v>11940</v>
      </c>
      <c r="J215" s="1" t="n">
        <v>0.251</v>
      </c>
      <c r="K215" s="1" t="n">
        <v>11940</v>
      </c>
      <c r="L215" s="1" t="n">
        <v>0.4</v>
      </c>
    </row>
    <row r="216" customFormat="false" ht="12.75" hidden="false" customHeight="true" outlineLevel="0" collapsed="false">
      <c r="E216" s="1" t="n">
        <v>12000</v>
      </c>
      <c r="F216" s="1" t="n">
        <v>0.104</v>
      </c>
      <c r="G216" s="1" t="n">
        <v>12000</v>
      </c>
      <c r="H216" s="1" t="n">
        <v>0.208</v>
      </c>
      <c r="I216" s="1" t="n">
        <v>12000</v>
      </c>
      <c r="J216" s="1" t="n">
        <v>0.252</v>
      </c>
      <c r="K216" s="1" t="n">
        <v>12000</v>
      </c>
      <c r="L216" s="1" t="n">
        <v>0.401</v>
      </c>
    </row>
    <row r="217" customFormat="false" ht="12.75" hidden="false" customHeight="true" outlineLevel="0" collapsed="false">
      <c r="E217" s="1" t="n">
        <v>12060</v>
      </c>
      <c r="F217" s="1" t="n">
        <v>0.104</v>
      </c>
      <c r="G217" s="1" t="n">
        <v>12060</v>
      </c>
      <c r="H217" s="1" t="n">
        <v>0.209</v>
      </c>
      <c r="I217" s="1" t="n">
        <v>12060</v>
      </c>
      <c r="J217" s="1" t="n">
        <v>0.253</v>
      </c>
      <c r="K217" s="1" t="n">
        <v>12060</v>
      </c>
      <c r="L217" s="1" t="n">
        <v>0.403</v>
      </c>
    </row>
    <row r="218" customFormat="false" ht="12.75" hidden="false" customHeight="true" outlineLevel="0" collapsed="false">
      <c r="E218" s="1" t="n">
        <v>12120</v>
      </c>
      <c r="F218" s="1" t="n">
        <v>0.105</v>
      </c>
      <c r="G218" s="1" t="n">
        <v>12120</v>
      </c>
      <c r="H218" s="1" t="n">
        <v>0.21</v>
      </c>
      <c r="I218" s="1" t="n">
        <v>12120</v>
      </c>
      <c r="J218" s="1" t="n">
        <v>0.255</v>
      </c>
      <c r="K218" s="1" t="n">
        <v>12120</v>
      </c>
      <c r="L218" s="1" t="n">
        <v>0.404</v>
      </c>
    </row>
    <row r="219" customFormat="false" ht="12.75" hidden="false" customHeight="true" outlineLevel="0" collapsed="false">
      <c r="E219" s="1" t="n">
        <v>12180</v>
      </c>
      <c r="F219" s="1" t="n">
        <v>0.105</v>
      </c>
      <c r="G219" s="1" t="n">
        <v>12180</v>
      </c>
      <c r="H219" s="1" t="n">
        <v>0.211</v>
      </c>
      <c r="I219" s="1" t="n">
        <v>12180</v>
      </c>
      <c r="J219" s="1" t="n">
        <v>0.256</v>
      </c>
      <c r="K219" s="1" t="n">
        <v>12180</v>
      </c>
      <c r="L219" s="1" t="n">
        <v>0.407</v>
      </c>
    </row>
    <row r="220" customFormat="false" ht="12.75" hidden="false" customHeight="true" outlineLevel="0" collapsed="false">
      <c r="E220" s="1" t="n">
        <v>12240</v>
      </c>
      <c r="F220" s="1" t="n">
        <v>0.106</v>
      </c>
      <c r="G220" s="1" t="n">
        <v>12240</v>
      </c>
      <c r="H220" s="1" t="n">
        <v>0.211</v>
      </c>
      <c r="I220" s="1" t="n">
        <v>12240</v>
      </c>
      <c r="J220" s="1" t="n">
        <v>0.257</v>
      </c>
      <c r="K220" s="1" t="n">
        <v>12240</v>
      </c>
      <c r="L220" s="1" t="n">
        <v>0.408</v>
      </c>
    </row>
    <row r="221" customFormat="false" ht="12.75" hidden="false" customHeight="true" outlineLevel="0" collapsed="false">
      <c r="E221" s="1" t="n">
        <v>12300</v>
      </c>
      <c r="F221" s="1" t="n">
        <v>0.106</v>
      </c>
      <c r="G221" s="1" t="n">
        <v>12300</v>
      </c>
      <c r="H221" s="1" t="n">
        <v>0.212</v>
      </c>
      <c r="I221" s="1" t="n">
        <v>12300</v>
      </c>
      <c r="J221" s="1" t="n">
        <v>0.259</v>
      </c>
      <c r="K221" s="1" t="n">
        <v>12300</v>
      </c>
      <c r="L221" s="1" t="n">
        <v>0.409</v>
      </c>
    </row>
    <row r="222" customFormat="false" ht="12.75" hidden="false" customHeight="true" outlineLevel="0" collapsed="false">
      <c r="E222" s="1" t="n">
        <v>12360</v>
      </c>
      <c r="F222" s="1" t="n">
        <v>0.107</v>
      </c>
      <c r="G222" s="1" t="n">
        <v>12360</v>
      </c>
      <c r="H222" s="1" t="n">
        <v>0.213</v>
      </c>
      <c r="I222" s="1" t="n">
        <v>12360</v>
      </c>
      <c r="J222" s="1" t="n">
        <v>0.26</v>
      </c>
      <c r="K222" s="1" t="n">
        <v>12360</v>
      </c>
      <c r="L222" s="1" t="n">
        <v>0.411</v>
      </c>
    </row>
    <row r="223" customFormat="false" ht="12.75" hidden="false" customHeight="true" outlineLevel="0" collapsed="false">
      <c r="E223" s="1" t="n">
        <v>12420</v>
      </c>
      <c r="F223" s="1" t="n">
        <v>0.107</v>
      </c>
      <c r="G223" s="1" t="n">
        <v>12420</v>
      </c>
      <c r="H223" s="1" t="n">
        <v>0.214</v>
      </c>
      <c r="I223" s="1" t="n">
        <v>12420</v>
      </c>
      <c r="J223" s="1" t="n">
        <v>0.261</v>
      </c>
      <c r="K223" s="1" t="n">
        <v>12420</v>
      </c>
      <c r="L223" s="1" t="n">
        <v>0.412</v>
      </c>
    </row>
    <row r="224" customFormat="false" ht="12.75" hidden="false" customHeight="true" outlineLevel="0" collapsed="false">
      <c r="E224" s="1" t="n">
        <v>12480</v>
      </c>
      <c r="F224" s="1" t="n">
        <v>0.108</v>
      </c>
      <c r="G224" s="1" t="n">
        <v>12480</v>
      </c>
      <c r="H224" s="1" t="n">
        <v>0.215</v>
      </c>
      <c r="I224" s="1" t="n">
        <v>12480</v>
      </c>
      <c r="J224" s="1" t="n">
        <v>0.262</v>
      </c>
      <c r="K224" s="1" t="n">
        <v>12480</v>
      </c>
      <c r="L224" s="1" t="n">
        <v>0.414</v>
      </c>
    </row>
    <row r="225" customFormat="false" ht="12.75" hidden="false" customHeight="true" outlineLevel="0" collapsed="false">
      <c r="E225" s="1" t="n">
        <v>12540</v>
      </c>
      <c r="F225" s="1" t="n">
        <v>0.109</v>
      </c>
      <c r="G225" s="1" t="n">
        <v>12540</v>
      </c>
      <c r="H225" s="1" t="n">
        <v>0.216</v>
      </c>
      <c r="I225" s="1" t="n">
        <v>12540</v>
      </c>
      <c r="J225" s="1" t="n">
        <v>0.263</v>
      </c>
      <c r="K225" s="1" t="n">
        <v>12540</v>
      </c>
      <c r="L225" s="1" t="n">
        <v>0.415</v>
      </c>
    </row>
    <row r="226" customFormat="false" ht="12.75" hidden="false" customHeight="true" outlineLevel="0" collapsed="false">
      <c r="E226" s="1" t="n">
        <v>12600</v>
      </c>
      <c r="F226" s="1" t="n">
        <v>0.109</v>
      </c>
      <c r="G226" s="1" t="n">
        <v>12600</v>
      </c>
      <c r="H226" s="1" t="n">
        <v>0.217</v>
      </c>
      <c r="I226" s="1" t="n">
        <v>12600</v>
      </c>
      <c r="J226" s="1" t="n">
        <v>0.263</v>
      </c>
      <c r="K226" s="1" t="n">
        <v>12600</v>
      </c>
      <c r="L226" s="1" t="n">
        <v>0.417</v>
      </c>
    </row>
    <row r="227" customFormat="false" ht="12.75" hidden="false" customHeight="true" outlineLevel="0" collapsed="false">
      <c r="E227" s="1" t="n">
        <v>12660</v>
      </c>
      <c r="F227" s="1" t="n">
        <v>0.109</v>
      </c>
      <c r="G227" s="1" t="n">
        <v>12660</v>
      </c>
      <c r="H227" s="1" t="n">
        <v>0.218</v>
      </c>
      <c r="I227" s="1" t="n">
        <v>12660</v>
      </c>
      <c r="J227" s="1" t="n">
        <v>0.265</v>
      </c>
      <c r="K227" s="1" t="n">
        <v>12660</v>
      </c>
      <c r="L227" s="1" t="n">
        <v>0.418</v>
      </c>
    </row>
    <row r="228" customFormat="false" ht="12.75" hidden="false" customHeight="true" outlineLevel="0" collapsed="false">
      <c r="E228" s="1" t="n">
        <v>12720</v>
      </c>
      <c r="F228" s="1" t="n">
        <v>0.11</v>
      </c>
      <c r="G228" s="1" t="n">
        <v>12720</v>
      </c>
      <c r="H228" s="1" t="n">
        <v>0.219</v>
      </c>
      <c r="I228" s="1" t="n">
        <v>12720</v>
      </c>
      <c r="J228" s="1" t="n">
        <v>0.266</v>
      </c>
      <c r="K228" s="1" t="n">
        <v>12720</v>
      </c>
      <c r="L228" s="1" t="n">
        <v>0.419</v>
      </c>
    </row>
    <row r="229" customFormat="false" ht="12.75" hidden="false" customHeight="true" outlineLevel="0" collapsed="false">
      <c r="E229" s="1" t="n">
        <v>12780</v>
      </c>
      <c r="F229" s="1" t="n">
        <v>0.111</v>
      </c>
      <c r="G229" s="1" t="n">
        <v>12780</v>
      </c>
      <c r="H229" s="1" t="n">
        <v>0.219</v>
      </c>
      <c r="I229" s="1" t="n">
        <v>12780</v>
      </c>
      <c r="J229" s="1" t="n">
        <v>0.267</v>
      </c>
      <c r="K229" s="1" t="n">
        <v>12780</v>
      </c>
      <c r="L229" s="1" t="n">
        <v>0.42</v>
      </c>
    </row>
    <row r="230" customFormat="false" ht="12.75" hidden="false" customHeight="true" outlineLevel="0" collapsed="false">
      <c r="E230" s="1" t="n">
        <v>12840</v>
      </c>
      <c r="F230" s="1" t="n">
        <v>0.111</v>
      </c>
      <c r="G230" s="1" t="n">
        <v>12840</v>
      </c>
      <c r="H230" s="1" t="n">
        <v>0.221</v>
      </c>
      <c r="I230" s="1" t="n">
        <v>12840</v>
      </c>
      <c r="J230" s="1" t="n">
        <v>0.268</v>
      </c>
      <c r="K230" s="1" t="n">
        <v>12840</v>
      </c>
      <c r="L230" s="1" t="n">
        <v>0.422</v>
      </c>
    </row>
    <row r="231" customFormat="false" ht="12.75" hidden="false" customHeight="true" outlineLevel="0" collapsed="false">
      <c r="E231" s="1" t="n">
        <v>12900</v>
      </c>
      <c r="F231" s="1" t="n">
        <v>0.112</v>
      </c>
      <c r="G231" s="1" t="n">
        <v>12900</v>
      </c>
      <c r="H231" s="1" t="n">
        <v>0.221</v>
      </c>
      <c r="I231" s="1" t="n">
        <v>12900</v>
      </c>
      <c r="J231" s="1" t="n">
        <v>0.269</v>
      </c>
      <c r="K231" s="1" t="n">
        <v>12900</v>
      </c>
      <c r="L231" s="1" t="n">
        <v>0.424</v>
      </c>
    </row>
    <row r="232" customFormat="false" ht="12.75" hidden="false" customHeight="true" outlineLevel="0" collapsed="false">
      <c r="E232" s="1" t="n">
        <v>12960</v>
      </c>
      <c r="F232" s="1" t="n">
        <v>0.112</v>
      </c>
      <c r="G232" s="1" t="n">
        <v>12960</v>
      </c>
      <c r="H232" s="1" t="n">
        <v>0.222</v>
      </c>
      <c r="I232" s="1" t="n">
        <v>12960</v>
      </c>
      <c r="J232" s="1" t="n">
        <v>0.271</v>
      </c>
      <c r="K232" s="1" t="n">
        <v>12960</v>
      </c>
      <c r="L232" s="1" t="n">
        <v>0.425</v>
      </c>
    </row>
    <row r="233" customFormat="false" ht="12.75" hidden="false" customHeight="true" outlineLevel="0" collapsed="false">
      <c r="E233" s="1" t="n">
        <v>13020</v>
      </c>
      <c r="F233" s="1" t="n">
        <v>0.113</v>
      </c>
      <c r="G233" s="1" t="n">
        <v>13020</v>
      </c>
      <c r="H233" s="1" t="n">
        <v>0.223</v>
      </c>
      <c r="I233" s="1" t="n">
        <v>13020</v>
      </c>
      <c r="J233" s="1" t="n">
        <v>0.271</v>
      </c>
      <c r="K233" s="1" t="n">
        <v>13020</v>
      </c>
      <c r="L233" s="1" t="n">
        <v>0.427</v>
      </c>
    </row>
    <row r="234" customFormat="false" ht="12.75" hidden="false" customHeight="true" outlineLevel="0" collapsed="false">
      <c r="E234" s="1" t="n">
        <v>13080</v>
      </c>
      <c r="F234" s="1" t="n">
        <v>0.113</v>
      </c>
      <c r="G234" s="1" t="n">
        <v>13080</v>
      </c>
      <c r="H234" s="1" t="n">
        <v>0.224</v>
      </c>
      <c r="I234" s="1" t="n">
        <v>13080</v>
      </c>
      <c r="J234" s="1" t="n">
        <v>0.273</v>
      </c>
      <c r="K234" s="1" t="n">
        <v>13080</v>
      </c>
      <c r="L234" s="1" t="n">
        <v>0.428</v>
      </c>
    </row>
    <row r="235" customFormat="false" ht="12.75" hidden="false" customHeight="true" outlineLevel="0" collapsed="false">
      <c r="E235" s="1" t="n">
        <v>13140</v>
      </c>
      <c r="F235" s="1" t="n">
        <v>0.113</v>
      </c>
      <c r="G235" s="1" t="n">
        <v>13140</v>
      </c>
      <c r="H235" s="1" t="n">
        <v>0.225</v>
      </c>
      <c r="I235" s="1" t="n">
        <v>13140</v>
      </c>
      <c r="J235" s="1" t="n">
        <v>0.274</v>
      </c>
      <c r="K235" s="1" t="n">
        <v>13140</v>
      </c>
      <c r="L235" s="1" t="n">
        <v>0.429</v>
      </c>
    </row>
    <row r="236" customFormat="false" ht="12.75" hidden="false" customHeight="true" outlineLevel="0" collapsed="false">
      <c r="E236" s="1" t="n">
        <v>13200</v>
      </c>
      <c r="F236" s="1" t="n">
        <v>0.114</v>
      </c>
      <c r="G236" s="1" t="n">
        <v>13200</v>
      </c>
      <c r="H236" s="1" t="n">
        <v>0.226</v>
      </c>
      <c r="I236" s="1" t="n">
        <v>13200</v>
      </c>
      <c r="J236" s="1" t="n">
        <v>0.275</v>
      </c>
      <c r="K236" s="1" t="n">
        <v>13200</v>
      </c>
      <c r="L236" s="1" t="n">
        <v>0.43</v>
      </c>
    </row>
    <row r="237" customFormat="false" ht="12.75" hidden="false" customHeight="true" outlineLevel="0" collapsed="false">
      <c r="E237" s="1" t="n">
        <v>13260</v>
      </c>
      <c r="F237" s="1" t="n">
        <v>0.114</v>
      </c>
      <c r="G237" s="1" t="n">
        <v>13260</v>
      </c>
      <c r="H237" s="1" t="n">
        <v>0.227</v>
      </c>
      <c r="I237" s="1" t="n">
        <v>13260</v>
      </c>
      <c r="J237" s="1" t="n">
        <v>0.277</v>
      </c>
      <c r="K237" s="1" t="n">
        <v>13260</v>
      </c>
      <c r="L237" s="1" t="n">
        <v>0.431</v>
      </c>
    </row>
    <row r="238" customFormat="false" ht="12.75" hidden="false" customHeight="true" outlineLevel="0" collapsed="false">
      <c r="E238" s="1" t="n">
        <v>13320</v>
      </c>
      <c r="F238" s="1" t="n">
        <v>0.115</v>
      </c>
      <c r="G238" s="1" t="n">
        <v>13320</v>
      </c>
      <c r="H238" s="1" t="n">
        <v>0.227</v>
      </c>
      <c r="I238" s="1" t="n">
        <v>13320</v>
      </c>
      <c r="J238" s="1" t="n">
        <v>0.277</v>
      </c>
      <c r="K238" s="1" t="n">
        <v>13320</v>
      </c>
      <c r="L238" s="1" t="n">
        <v>0.432</v>
      </c>
    </row>
    <row r="239" customFormat="false" ht="12.75" hidden="false" customHeight="true" outlineLevel="0" collapsed="false">
      <c r="E239" s="1" t="n">
        <v>13380</v>
      </c>
      <c r="F239" s="1" t="n">
        <v>0.116</v>
      </c>
      <c r="G239" s="1" t="n">
        <v>13380</v>
      </c>
      <c r="H239" s="1" t="n">
        <v>0.229</v>
      </c>
      <c r="I239" s="1" t="n">
        <v>13380</v>
      </c>
      <c r="J239" s="1" t="n">
        <v>0.279</v>
      </c>
      <c r="K239" s="1" t="n">
        <v>13380</v>
      </c>
      <c r="L239" s="1" t="n">
        <v>0.434</v>
      </c>
    </row>
    <row r="240" customFormat="false" ht="12.75" hidden="false" customHeight="true" outlineLevel="0" collapsed="false">
      <c r="E240" s="1" t="n">
        <v>13440</v>
      </c>
      <c r="F240" s="1" t="n">
        <v>0.116</v>
      </c>
      <c r="G240" s="1" t="n">
        <v>13440</v>
      </c>
      <c r="H240" s="1" t="n">
        <v>0.229</v>
      </c>
      <c r="I240" s="1" t="n">
        <v>13440</v>
      </c>
      <c r="J240" s="1" t="n">
        <v>0.28</v>
      </c>
      <c r="K240" s="1" t="n">
        <v>13440</v>
      </c>
      <c r="L240" s="1" t="n">
        <v>0.435</v>
      </c>
    </row>
    <row r="241" customFormat="false" ht="12.75" hidden="false" customHeight="true" outlineLevel="0" collapsed="false">
      <c r="E241" s="1" t="n">
        <v>13500</v>
      </c>
      <c r="F241" s="1" t="n">
        <v>0.116</v>
      </c>
      <c r="G241" s="1" t="n">
        <v>13500</v>
      </c>
      <c r="H241" s="1" t="n">
        <v>0.23</v>
      </c>
      <c r="I241" s="1" t="n">
        <v>13500</v>
      </c>
      <c r="J241" s="1" t="n">
        <v>0.281</v>
      </c>
      <c r="K241" s="1" t="n">
        <v>13500</v>
      </c>
      <c r="L241" s="1" t="n">
        <v>0.437</v>
      </c>
    </row>
    <row r="242" customFormat="false" ht="12.75" hidden="false" customHeight="true" outlineLevel="0" collapsed="false">
      <c r="E242" s="1" t="n">
        <v>13560</v>
      </c>
      <c r="F242" s="1" t="n">
        <v>0.117</v>
      </c>
      <c r="G242" s="1" t="n">
        <v>13560</v>
      </c>
      <c r="H242" s="1" t="n">
        <v>0.231</v>
      </c>
      <c r="I242" s="1" t="n">
        <v>13560</v>
      </c>
      <c r="J242" s="1" t="n">
        <v>0.282</v>
      </c>
      <c r="K242" s="1" t="n">
        <v>13560</v>
      </c>
      <c r="L242" s="1" t="n">
        <v>0.438</v>
      </c>
    </row>
    <row r="243" customFormat="false" ht="12.75" hidden="false" customHeight="true" outlineLevel="0" collapsed="false">
      <c r="E243" s="1" t="n">
        <v>13620</v>
      </c>
      <c r="F243" s="1" t="n">
        <v>0.117</v>
      </c>
      <c r="G243" s="1" t="n">
        <v>13620</v>
      </c>
      <c r="H243" s="1" t="n">
        <v>0.231</v>
      </c>
      <c r="I243" s="1" t="n">
        <v>13620</v>
      </c>
      <c r="J243" s="1" t="n">
        <v>0.282</v>
      </c>
      <c r="K243" s="1" t="n">
        <v>13620</v>
      </c>
      <c r="L243" s="1" t="n">
        <v>0.439</v>
      </c>
    </row>
    <row r="244" customFormat="false" ht="12.75" hidden="false" customHeight="true" outlineLevel="0" collapsed="false">
      <c r="E244" s="1" t="n">
        <v>13680</v>
      </c>
      <c r="F244" s="1" t="n">
        <v>0.118</v>
      </c>
      <c r="G244" s="1" t="n">
        <v>13680</v>
      </c>
      <c r="H244" s="1" t="n">
        <v>0.233</v>
      </c>
      <c r="I244" s="1" t="n">
        <v>13680</v>
      </c>
      <c r="J244" s="1" t="n">
        <v>0.284</v>
      </c>
      <c r="K244" s="1" t="n">
        <v>13680</v>
      </c>
      <c r="L244" s="1" t="n">
        <v>0.44</v>
      </c>
    </row>
    <row r="245" customFormat="false" ht="12.75" hidden="false" customHeight="true" outlineLevel="0" collapsed="false">
      <c r="E245" s="1" t="n">
        <v>13740</v>
      </c>
      <c r="F245" s="1" t="n">
        <v>0.118</v>
      </c>
      <c r="G245" s="1" t="n">
        <v>13740</v>
      </c>
      <c r="H245" s="1" t="n">
        <v>0.233</v>
      </c>
      <c r="I245" s="1" t="n">
        <v>13740</v>
      </c>
      <c r="J245" s="1" t="n">
        <v>0.285</v>
      </c>
      <c r="K245" s="1" t="n">
        <v>13740</v>
      </c>
      <c r="L245" s="1" t="n">
        <v>0.442</v>
      </c>
    </row>
    <row r="246" customFormat="false" ht="12.75" hidden="false" customHeight="true" outlineLevel="0" collapsed="false">
      <c r="E246" s="1" t="n">
        <v>13800</v>
      </c>
      <c r="F246" s="1" t="n">
        <v>0.119</v>
      </c>
      <c r="G246" s="1" t="n">
        <v>13800</v>
      </c>
      <c r="H246" s="1" t="n">
        <v>0.234</v>
      </c>
      <c r="I246" s="1" t="n">
        <v>13800</v>
      </c>
      <c r="J246" s="1" t="n">
        <v>0.286</v>
      </c>
      <c r="K246" s="1" t="n">
        <v>13800</v>
      </c>
      <c r="L246" s="1" t="n">
        <v>0.443</v>
      </c>
    </row>
    <row r="247" customFormat="false" ht="12.75" hidden="false" customHeight="true" outlineLevel="0" collapsed="false">
      <c r="E247" s="1" t="n">
        <v>13860</v>
      </c>
      <c r="F247" s="1" t="n">
        <v>0.119</v>
      </c>
      <c r="G247" s="1" t="n">
        <v>13860</v>
      </c>
      <c r="H247" s="1" t="n">
        <v>0.235</v>
      </c>
      <c r="I247" s="1" t="n">
        <v>13860</v>
      </c>
      <c r="J247" s="1" t="n">
        <v>0.287</v>
      </c>
      <c r="K247" s="1" t="n">
        <v>13860</v>
      </c>
      <c r="L247" s="1" t="n">
        <v>0.444</v>
      </c>
    </row>
    <row r="248" customFormat="false" ht="12.75" hidden="false" customHeight="true" outlineLevel="0" collapsed="false">
      <c r="E248" s="1" t="n">
        <v>13920</v>
      </c>
      <c r="F248" s="1" t="n">
        <v>0.119</v>
      </c>
      <c r="G248" s="1" t="n">
        <v>13920</v>
      </c>
      <c r="H248" s="1" t="n">
        <v>0.236</v>
      </c>
      <c r="I248" s="1" t="n">
        <v>13920</v>
      </c>
      <c r="J248" s="1" t="n">
        <v>0.288</v>
      </c>
      <c r="K248" s="1" t="n">
        <v>13920</v>
      </c>
      <c r="L248" s="1" t="n">
        <v>0.446</v>
      </c>
    </row>
    <row r="249" customFormat="false" ht="12.75" hidden="false" customHeight="true" outlineLevel="0" collapsed="false">
      <c r="E249" s="1" t="n">
        <v>13980</v>
      </c>
      <c r="F249" s="1" t="n">
        <v>0.12</v>
      </c>
      <c r="G249" s="1" t="n">
        <v>13980</v>
      </c>
      <c r="H249" s="1" t="n">
        <v>0.236</v>
      </c>
      <c r="I249" s="1" t="n">
        <v>13980</v>
      </c>
      <c r="J249" s="1" t="n">
        <v>0.289</v>
      </c>
      <c r="K249" s="1" t="n">
        <v>13980</v>
      </c>
      <c r="L249" s="1" t="n">
        <v>0.447</v>
      </c>
    </row>
    <row r="250" customFormat="false" ht="12.75" hidden="false" customHeight="true" outlineLevel="0" collapsed="false">
      <c r="E250" s="1" t="n">
        <v>14040</v>
      </c>
      <c r="F250" s="1" t="n">
        <v>0.121</v>
      </c>
      <c r="G250" s="1" t="n">
        <v>14040</v>
      </c>
      <c r="H250" s="1" t="n">
        <v>0.237</v>
      </c>
      <c r="I250" s="1" t="n">
        <v>14040</v>
      </c>
      <c r="J250" s="1" t="n">
        <v>0.29</v>
      </c>
      <c r="K250" s="1" t="n">
        <v>14040</v>
      </c>
      <c r="L250" s="1" t="n">
        <v>0.448</v>
      </c>
    </row>
    <row r="251" customFormat="false" ht="12.75" hidden="false" customHeight="true" outlineLevel="0" collapsed="false">
      <c r="E251" s="1" t="n">
        <v>14100</v>
      </c>
      <c r="F251" s="1" t="n">
        <v>0.121</v>
      </c>
      <c r="G251" s="1" t="n">
        <v>14100</v>
      </c>
      <c r="H251" s="1" t="n">
        <v>0.238</v>
      </c>
      <c r="I251" s="1" t="n">
        <v>14100</v>
      </c>
      <c r="J251" s="1" t="n">
        <v>0.291</v>
      </c>
      <c r="K251" s="1" t="n">
        <v>14100</v>
      </c>
      <c r="L251" s="1" t="n">
        <v>0.449</v>
      </c>
    </row>
    <row r="252" customFormat="false" ht="12.75" hidden="false" customHeight="true" outlineLevel="0" collapsed="false">
      <c r="E252" s="1" t="n">
        <v>14160</v>
      </c>
      <c r="F252" s="1" t="n">
        <v>0.121</v>
      </c>
      <c r="G252" s="1" t="n">
        <v>14160</v>
      </c>
      <c r="H252" s="1" t="n">
        <v>0.239</v>
      </c>
      <c r="I252" s="1" t="n">
        <v>14160</v>
      </c>
      <c r="J252" s="1" t="n">
        <v>0.292</v>
      </c>
      <c r="K252" s="1" t="n">
        <v>14160</v>
      </c>
      <c r="L252" s="1" t="n">
        <v>0.45</v>
      </c>
    </row>
    <row r="253" customFormat="false" ht="12.75" hidden="false" customHeight="true" outlineLevel="0" collapsed="false">
      <c r="E253" s="1" t="n">
        <v>14220</v>
      </c>
      <c r="F253" s="1" t="n">
        <v>0.121</v>
      </c>
      <c r="G253" s="1" t="n">
        <v>14220</v>
      </c>
      <c r="H253" s="1" t="n">
        <v>0.239</v>
      </c>
      <c r="I253" s="1" t="n">
        <v>14220</v>
      </c>
      <c r="J253" s="1" t="n">
        <v>0.293</v>
      </c>
      <c r="K253" s="1" t="n">
        <v>14220</v>
      </c>
      <c r="L253" s="1" t="n">
        <v>0.452</v>
      </c>
    </row>
    <row r="254" customFormat="false" ht="12.75" hidden="false" customHeight="true" outlineLevel="0" collapsed="false">
      <c r="E254" s="1" t="n">
        <v>14280</v>
      </c>
      <c r="F254" s="1" t="n">
        <v>0.122</v>
      </c>
      <c r="G254" s="1" t="n">
        <v>14280</v>
      </c>
      <c r="H254" s="1" t="n">
        <v>0.24</v>
      </c>
      <c r="I254" s="1" t="n">
        <v>14280</v>
      </c>
      <c r="J254" s="1" t="n">
        <v>0.295</v>
      </c>
      <c r="K254" s="1" t="n">
        <v>14280</v>
      </c>
      <c r="L254" s="1" t="n">
        <v>0.453</v>
      </c>
    </row>
    <row r="255" customFormat="false" ht="12.75" hidden="false" customHeight="true" outlineLevel="0" collapsed="false">
      <c r="E255" s="1" t="n">
        <v>14340</v>
      </c>
      <c r="F255" s="1" t="n">
        <v>0.122</v>
      </c>
      <c r="G255" s="1" t="n">
        <v>14340</v>
      </c>
      <c r="H255" s="1" t="n">
        <v>0.241</v>
      </c>
      <c r="I255" s="1" t="n">
        <v>14340</v>
      </c>
      <c r="J255" s="1" t="n">
        <v>0.295</v>
      </c>
      <c r="K255" s="1" t="n">
        <v>14340</v>
      </c>
      <c r="L255" s="1" t="n">
        <v>0.454</v>
      </c>
    </row>
    <row r="256" customFormat="false" ht="12.75" hidden="false" customHeight="true" outlineLevel="0" collapsed="false">
      <c r="E256" s="1" t="n">
        <v>14400</v>
      </c>
      <c r="F256" s="1" t="n">
        <v>0.123</v>
      </c>
      <c r="G256" s="1" t="n">
        <v>14400</v>
      </c>
      <c r="H256" s="1" t="n">
        <v>0.242</v>
      </c>
      <c r="I256" s="1" t="n">
        <v>14400</v>
      </c>
      <c r="J256" s="1" t="n">
        <v>0.296</v>
      </c>
      <c r="K256" s="1" t="n">
        <v>14400</v>
      </c>
      <c r="L256" s="1" t="n">
        <v>0.455</v>
      </c>
    </row>
    <row r="257" customFormat="false" ht="12.75" hidden="false" customHeight="true" outlineLevel="0" collapsed="false">
      <c r="E257" s="1" t="n">
        <v>14460</v>
      </c>
      <c r="F257" s="1" t="n">
        <v>0.123</v>
      </c>
      <c r="G257" s="1" t="n">
        <v>14460</v>
      </c>
      <c r="H257" s="1" t="n">
        <v>0.243</v>
      </c>
      <c r="I257" s="1" t="n">
        <v>14460</v>
      </c>
      <c r="J257" s="1" t="n">
        <v>0.298</v>
      </c>
      <c r="K257" s="1" t="n">
        <v>14460</v>
      </c>
      <c r="L257" s="1" t="n">
        <v>0.457</v>
      </c>
    </row>
    <row r="258" customFormat="false" ht="12.75" hidden="false" customHeight="true" outlineLevel="0" collapsed="false">
      <c r="E258" s="1" t="n">
        <v>14520</v>
      </c>
      <c r="F258" s="1" t="n">
        <v>0.124</v>
      </c>
      <c r="G258" s="1" t="n">
        <v>14520</v>
      </c>
      <c r="H258" s="1" t="n">
        <v>0.243</v>
      </c>
      <c r="I258" s="1" t="n">
        <v>14520</v>
      </c>
      <c r="J258" s="1" t="n">
        <v>0.299</v>
      </c>
      <c r="K258" s="1" t="n">
        <v>14520</v>
      </c>
      <c r="L258" s="1" t="n">
        <v>0.458</v>
      </c>
    </row>
    <row r="259" customFormat="false" ht="12.75" hidden="false" customHeight="true" outlineLevel="0" collapsed="false">
      <c r="E259" s="1" t="n">
        <v>14580</v>
      </c>
      <c r="F259" s="1" t="n">
        <v>0.124</v>
      </c>
      <c r="G259" s="1" t="n">
        <v>14580</v>
      </c>
      <c r="H259" s="1" t="n">
        <v>0.244</v>
      </c>
      <c r="I259" s="1" t="n">
        <v>14580</v>
      </c>
      <c r="J259" s="1" t="n">
        <v>0.3</v>
      </c>
      <c r="K259" s="1" t="n">
        <v>14580</v>
      </c>
      <c r="L259" s="1" t="n">
        <v>0.459</v>
      </c>
    </row>
    <row r="260" customFormat="false" ht="12.75" hidden="false" customHeight="true" outlineLevel="0" collapsed="false">
      <c r="E260" s="1" t="n">
        <v>14640</v>
      </c>
      <c r="F260" s="1" t="n">
        <v>0.125</v>
      </c>
      <c r="G260" s="1" t="n">
        <v>14640</v>
      </c>
      <c r="H260" s="1" t="n">
        <v>0.245</v>
      </c>
      <c r="I260" s="1" t="n">
        <v>14640</v>
      </c>
      <c r="J260" s="1" t="n">
        <v>0.301</v>
      </c>
      <c r="K260" s="1" t="n">
        <v>14640</v>
      </c>
      <c r="L260" s="1" t="n">
        <v>0.46</v>
      </c>
    </row>
    <row r="261" customFormat="false" ht="12.75" hidden="false" customHeight="true" outlineLevel="0" collapsed="false">
      <c r="E261" s="1" t="n">
        <v>14700</v>
      </c>
      <c r="F261" s="1" t="n">
        <v>0.125</v>
      </c>
      <c r="G261" s="1" t="n">
        <v>14700</v>
      </c>
      <c r="H261" s="1" t="n">
        <v>0.246</v>
      </c>
      <c r="I261" s="1" t="n">
        <v>14700</v>
      </c>
      <c r="J261" s="1" t="n">
        <v>0.301</v>
      </c>
      <c r="K261" s="1" t="n">
        <v>14700</v>
      </c>
      <c r="L261" s="1" t="n">
        <v>0.461</v>
      </c>
    </row>
    <row r="262" customFormat="false" ht="12.75" hidden="false" customHeight="true" outlineLevel="0" collapsed="false">
      <c r="E262" s="1" t="n">
        <v>14760</v>
      </c>
      <c r="F262" s="1" t="n">
        <v>0.125</v>
      </c>
      <c r="G262" s="1" t="n">
        <v>14760</v>
      </c>
      <c r="H262" s="1" t="n">
        <v>0.246</v>
      </c>
      <c r="I262" s="1" t="n">
        <v>14760</v>
      </c>
      <c r="J262" s="1" t="n">
        <v>0.303</v>
      </c>
      <c r="K262" s="1" t="n">
        <v>14760</v>
      </c>
      <c r="L262" s="1" t="n">
        <v>0.462</v>
      </c>
    </row>
    <row r="263" customFormat="false" ht="12.75" hidden="false" customHeight="true" outlineLevel="0" collapsed="false">
      <c r="E263" s="1" t="n">
        <v>14820</v>
      </c>
      <c r="F263" s="1" t="n">
        <v>0.126</v>
      </c>
      <c r="G263" s="1" t="n">
        <v>14820</v>
      </c>
      <c r="H263" s="1" t="n">
        <v>0.247</v>
      </c>
      <c r="I263" s="1" t="n">
        <v>14820</v>
      </c>
      <c r="J263" s="1" t="n">
        <v>0.304</v>
      </c>
      <c r="K263" s="1" t="n">
        <v>14820</v>
      </c>
      <c r="L263" s="1" t="n">
        <v>0.463</v>
      </c>
    </row>
    <row r="264" customFormat="false" ht="12.75" hidden="false" customHeight="true" outlineLevel="0" collapsed="false">
      <c r="E264" s="1" t="n">
        <v>14880</v>
      </c>
      <c r="F264" s="1" t="n">
        <v>0.127</v>
      </c>
      <c r="G264" s="1" t="n">
        <v>14880</v>
      </c>
      <c r="H264" s="1" t="n">
        <v>0.248</v>
      </c>
      <c r="I264" s="1" t="n">
        <v>14880</v>
      </c>
      <c r="J264" s="1" t="n">
        <v>0.304</v>
      </c>
      <c r="K264" s="1" t="n">
        <v>14880</v>
      </c>
      <c r="L264" s="1" t="n">
        <v>0.465</v>
      </c>
    </row>
    <row r="265" customFormat="false" ht="12.75" hidden="false" customHeight="true" outlineLevel="0" collapsed="false">
      <c r="E265" s="1" t="n">
        <v>14940</v>
      </c>
      <c r="F265" s="1" t="n">
        <v>0.127</v>
      </c>
      <c r="G265" s="1" t="n">
        <v>14940</v>
      </c>
      <c r="H265" s="1" t="n">
        <v>0.249</v>
      </c>
      <c r="I265" s="1" t="n">
        <v>14940</v>
      </c>
      <c r="J265" s="1" t="n">
        <v>0.305</v>
      </c>
      <c r="K265" s="1" t="n">
        <v>14940</v>
      </c>
      <c r="L265" s="1" t="n">
        <v>0.465</v>
      </c>
    </row>
    <row r="266" customFormat="false" ht="12.75" hidden="false" customHeight="true" outlineLevel="0" collapsed="false">
      <c r="E266" s="1" t="n">
        <v>15000</v>
      </c>
      <c r="F266" s="1" t="n">
        <v>0.127</v>
      </c>
      <c r="G266" s="1" t="n">
        <v>15000</v>
      </c>
      <c r="H266" s="1" t="n">
        <v>0.25</v>
      </c>
      <c r="I266" s="1" t="n">
        <v>15000</v>
      </c>
      <c r="J266" s="1" t="n">
        <v>0.307</v>
      </c>
      <c r="K266" s="1" t="n">
        <v>15000</v>
      </c>
      <c r="L266" s="1" t="n">
        <v>0.467</v>
      </c>
    </row>
    <row r="267" customFormat="false" ht="12.75" hidden="false" customHeight="true" outlineLevel="0" collapsed="false">
      <c r="E267" s="1" t="n">
        <v>15060</v>
      </c>
      <c r="F267" s="1" t="n">
        <v>0.127</v>
      </c>
      <c r="G267" s="1" t="n">
        <v>15060</v>
      </c>
      <c r="H267" s="1" t="n">
        <v>0.25</v>
      </c>
      <c r="I267" s="1" t="n">
        <v>15060</v>
      </c>
      <c r="J267" s="1" t="n">
        <v>0.307</v>
      </c>
      <c r="K267" s="1" t="n">
        <v>15060</v>
      </c>
      <c r="L267" s="1" t="n">
        <v>0.468</v>
      </c>
    </row>
    <row r="268" customFormat="false" ht="12.75" hidden="false" customHeight="true" outlineLevel="0" collapsed="false">
      <c r="E268" s="1" t="n">
        <v>15120</v>
      </c>
      <c r="F268" s="1" t="n">
        <v>0.128</v>
      </c>
      <c r="G268" s="1" t="n">
        <v>15120</v>
      </c>
      <c r="H268" s="1" t="n">
        <v>0.251</v>
      </c>
      <c r="I268" s="1" t="n">
        <v>15120</v>
      </c>
      <c r="J268" s="1" t="n">
        <v>0.308</v>
      </c>
      <c r="K268" s="1" t="n">
        <v>15120</v>
      </c>
      <c r="L268" s="1" t="n">
        <v>0.469</v>
      </c>
    </row>
    <row r="269" customFormat="false" ht="12.75" hidden="false" customHeight="true" outlineLevel="0" collapsed="false">
      <c r="E269" s="1" t="n">
        <v>15180</v>
      </c>
      <c r="F269" s="1" t="n">
        <v>0.128</v>
      </c>
      <c r="G269" s="1" t="n">
        <v>15180</v>
      </c>
      <c r="H269" s="1" t="n">
        <v>0.252</v>
      </c>
      <c r="I269" s="1" t="n">
        <v>15180</v>
      </c>
      <c r="J269" s="1" t="n">
        <v>0.309</v>
      </c>
      <c r="K269" s="1" t="n">
        <v>15180</v>
      </c>
      <c r="L269" s="1" t="n">
        <v>0.47</v>
      </c>
    </row>
    <row r="270" customFormat="false" ht="12.75" hidden="false" customHeight="true" outlineLevel="0" collapsed="false">
      <c r="E270" s="1" t="n">
        <v>15240</v>
      </c>
      <c r="F270" s="1" t="n">
        <v>0.129</v>
      </c>
      <c r="G270" s="1" t="n">
        <v>15240</v>
      </c>
      <c r="H270" s="1" t="n">
        <v>0.252</v>
      </c>
      <c r="I270" s="1" t="n">
        <v>15240</v>
      </c>
      <c r="J270" s="1" t="n">
        <v>0.31</v>
      </c>
      <c r="K270" s="1" t="n">
        <v>15240</v>
      </c>
      <c r="L270" s="1" t="n">
        <v>0.471</v>
      </c>
    </row>
    <row r="271" customFormat="false" ht="12.75" hidden="false" customHeight="true" outlineLevel="0" collapsed="false">
      <c r="E271" s="1" t="n">
        <v>15300</v>
      </c>
      <c r="F271" s="1" t="n">
        <v>0.129</v>
      </c>
      <c r="G271" s="1" t="n">
        <v>15300</v>
      </c>
      <c r="H271" s="1" t="n">
        <v>0.253</v>
      </c>
      <c r="I271" s="1" t="n">
        <v>15300</v>
      </c>
      <c r="J271" s="1" t="n">
        <v>0.312</v>
      </c>
      <c r="K271" s="1" t="n">
        <v>15300</v>
      </c>
      <c r="L271" s="1" t="n">
        <v>0.473</v>
      </c>
    </row>
    <row r="272" customFormat="false" ht="12.75" hidden="false" customHeight="true" outlineLevel="0" collapsed="false">
      <c r="E272" s="1" t="n">
        <v>15360</v>
      </c>
      <c r="F272" s="1" t="n">
        <v>0.129</v>
      </c>
      <c r="G272" s="1" t="n">
        <v>15360</v>
      </c>
      <c r="H272" s="1" t="n">
        <v>0.254</v>
      </c>
      <c r="I272" s="1" t="n">
        <v>15360</v>
      </c>
      <c r="J272" s="1" t="n">
        <v>0.312</v>
      </c>
      <c r="K272" s="1" t="n">
        <v>15360</v>
      </c>
      <c r="L272" s="1" t="n">
        <v>0.474</v>
      </c>
    </row>
    <row r="273" customFormat="false" ht="12.75" hidden="false" customHeight="true" outlineLevel="0" collapsed="false">
      <c r="E273" s="1" t="n">
        <v>15420</v>
      </c>
      <c r="F273" s="1" t="n">
        <v>0.13</v>
      </c>
      <c r="G273" s="1" t="n">
        <v>15420</v>
      </c>
      <c r="H273" s="1" t="n">
        <v>0.255</v>
      </c>
      <c r="I273" s="1" t="n">
        <v>15420</v>
      </c>
      <c r="J273" s="1" t="n">
        <v>0.313</v>
      </c>
      <c r="K273" s="1" t="n">
        <v>15420</v>
      </c>
      <c r="L273" s="1" t="n">
        <v>0.474</v>
      </c>
    </row>
    <row r="274" customFormat="false" ht="12.75" hidden="false" customHeight="true" outlineLevel="0" collapsed="false">
      <c r="E274" s="1" t="n">
        <v>15480</v>
      </c>
      <c r="F274" s="1" t="n">
        <v>0.13</v>
      </c>
      <c r="G274" s="1" t="n">
        <v>15480</v>
      </c>
      <c r="H274" s="1" t="n">
        <v>0.256</v>
      </c>
      <c r="I274" s="1" t="n">
        <v>15480</v>
      </c>
      <c r="J274" s="1" t="n">
        <v>0.314</v>
      </c>
      <c r="K274" s="1" t="n">
        <v>15480</v>
      </c>
      <c r="L274" s="1" t="n">
        <v>0.476</v>
      </c>
    </row>
    <row r="275" customFormat="false" ht="12.75" hidden="false" customHeight="true" outlineLevel="0" collapsed="false">
      <c r="E275" s="1" t="n">
        <v>15540</v>
      </c>
      <c r="F275" s="1" t="n">
        <v>0.131</v>
      </c>
      <c r="G275" s="1" t="n">
        <v>15540</v>
      </c>
      <c r="H275" s="1" t="n">
        <v>0.256</v>
      </c>
      <c r="I275" s="1" t="n">
        <v>15540</v>
      </c>
      <c r="J275" s="1" t="n">
        <v>0.315</v>
      </c>
      <c r="K275" s="1" t="n">
        <v>15540</v>
      </c>
      <c r="L275" s="1" t="n">
        <v>0.477</v>
      </c>
    </row>
    <row r="276" customFormat="false" ht="12.75" hidden="false" customHeight="true" outlineLevel="0" collapsed="false">
      <c r="E276" s="1" t="n">
        <v>15600</v>
      </c>
      <c r="F276" s="1" t="n">
        <v>0.131</v>
      </c>
      <c r="G276" s="1" t="n">
        <v>15600</v>
      </c>
      <c r="H276" s="1" t="n">
        <v>0.257</v>
      </c>
      <c r="I276" s="1" t="n">
        <v>15600</v>
      </c>
      <c r="J276" s="1" t="n">
        <v>0.316</v>
      </c>
      <c r="K276" s="1" t="n">
        <v>15600</v>
      </c>
      <c r="L276" s="1" t="n">
        <v>0.478</v>
      </c>
    </row>
    <row r="277" customFormat="false" ht="12.75" hidden="false" customHeight="true" outlineLevel="0" collapsed="false">
      <c r="E277" s="1" t="n">
        <v>15660</v>
      </c>
      <c r="F277" s="1" t="n">
        <v>0.131</v>
      </c>
      <c r="G277" s="1" t="n">
        <v>15660</v>
      </c>
      <c r="H277" s="1" t="n">
        <v>0.258</v>
      </c>
      <c r="I277" s="1" t="n">
        <v>15660</v>
      </c>
      <c r="J277" s="1" t="n">
        <v>0.316</v>
      </c>
      <c r="K277" s="1" t="n">
        <v>15660</v>
      </c>
      <c r="L277" s="1" t="n">
        <v>0.479</v>
      </c>
    </row>
    <row r="278" customFormat="false" ht="12.75" hidden="false" customHeight="true" outlineLevel="0" collapsed="false">
      <c r="E278" s="1" t="n">
        <v>15720</v>
      </c>
      <c r="F278" s="1" t="n">
        <v>0.132</v>
      </c>
      <c r="G278" s="1" t="n">
        <v>15720</v>
      </c>
      <c r="H278" s="1" t="n">
        <v>0.258</v>
      </c>
      <c r="I278" s="1" t="n">
        <v>15720</v>
      </c>
      <c r="J278" s="1" t="n">
        <v>0.318</v>
      </c>
      <c r="K278" s="1" t="n">
        <v>15720</v>
      </c>
      <c r="L278" s="1" t="n">
        <v>0.48</v>
      </c>
    </row>
    <row r="279" customFormat="false" ht="12.75" hidden="false" customHeight="true" outlineLevel="0" collapsed="false">
      <c r="E279" s="1" t="n">
        <v>15780</v>
      </c>
      <c r="F279" s="1" t="n">
        <v>0.132</v>
      </c>
      <c r="G279" s="1" t="n">
        <v>15780</v>
      </c>
      <c r="H279" s="1" t="n">
        <v>0.259</v>
      </c>
      <c r="I279" s="1" t="n">
        <v>15780</v>
      </c>
      <c r="J279" s="1" t="n">
        <v>0.318</v>
      </c>
      <c r="K279" s="1" t="n">
        <v>15780</v>
      </c>
      <c r="L279" s="1" t="n">
        <v>0.481</v>
      </c>
    </row>
    <row r="280" customFormat="false" ht="12.75" hidden="false" customHeight="true" outlineLevel="0" collapsed="false">
      <c r="E280" s="1" t="n">
        <v>15840</v>
      </c>
      <c r="F280" s="1" t="n">
        <v>0.133</v>
      </c>
      <c r="G280" s="1" t="n">
        <v>15840</v>
      </c>
      <c r="H280" s="1" t="n">
        <v>0.259</v>
      </c>
      <c r="I280" s="1" t="n">
        <v>15840</v>
      </c>
      <c r="J280" s="1" t="n">
        <v>0.32</v>
      </c>
      <c r="K280" s="1" t="n">
        <v>15840</v>
      </c>
      <c r="L280" s="1" t="n">
        <v>0.483</v>
      </c>
    </row>
    <row r="281" customFormat="false" ht="12.75" hidden="false" customHeight="true" outlineLevel="0" collapsed="false">
      <c r="E281" s="1" t="n">
        <v>15900</v>
      </c>
      <c r="F281" s="1" t="n">
        <v>0.133</v>
      </c>
      <c r="G281" s="1" t="n">
        <v>15900</v>
      </c>
      <c r="H281" s="1" t="n">
        <v>0.26</v>
      </c>
      <c r="I281" s="1" t="n">
        <v>15900</v>
      </c>
      <c r="J281" s="1" t="n">
        <v>0.32</v>
      </c>
      <c r="K281" s="1" t="n">
        <v>15900</v>
      </c>
      <c r="L281" s="1" t="n">
        <v>0.483</v>
      </c>
    </row>
    <row r="282" customFormat="false" ht="12.75" hidden="false" customHeight="true" outlineLevel="0" collapsed="false">
      <c r="E282" s="1" t="n">
        <v>15960</v>
      </c>
      <c r="F282" s="1" t="n">
        <v>0.134</v>
      </c>
      <c r="G282" s="1" t="n">
        <v>15960</v>
      </c>
      <c r="H282" s="1" t="n">
        <v>0.261</v>
      </c>
      <c r="I282" s="1" t="n">
        <v>15960</v>
      </c>
      <c r="J282" s="1" t="n">
        <v>0.322</v>
      </c>
      <c r="K282" s="1" t="n">
        <v>15960</v>
      </c>
      <c r="L282" s="1" t="n">
        <v>0.485</v>
      </c>
    </row>
    <row r="283" customFormat="false" ht="12.75" hidden="false" customHeight="true" outlineLevel="0" collapsed="false">
      <c r="E283" s="1" t="n">
        <v>16020</v>
      </c>
      <c r="F283" s="1" t="n">
        <v>0.133</v>
      </c>
      <c r="G283" s="1" t="n">
        <v>16020</v>
      </c>
      <c r="H283" s="1" t="n">
        <v>0.262</v>
      </c>
      <c r="I283" s="1" t="n">
        <v>16020</v>
      </c>
      <c r="J283" s="1" t="n">
        <v>0.322</v>
      </c>
      <c r="K283" s="1" t="n">
        <v>16020</v>
      </c>
      <c r="L283" s="1" t="n">
        <v>0.486</v>
      </c>
    </row>
    <row r="284" customFormat="false" ht="12.75" hidden="false" customHeight="true" outlineLevel="0" collapsed="false">
      <c r="E284" s="1" t="n">
        <v>16080</v>
      </c>
      <c r="F284" s="1" t="n">
        <v>0.134</v>
      </c>
      <c r="G284" s="1" t="n">
        <v>16080</v>
      </c>
      <c r="H284" s="1" t="n">
        <v>0.262</v>
      </c>
      <c r="I284" s="1" t="n">
        <v>16080</v>
      </c>
      <c r="J284" s="1" t="n">
        <v>0.323</v>
      </c>
      <c r="K284" s="1" t="n">
        <v>16080</v>
      </c>
      <c r="L284" s="1" t="n">
        <v>0.486</v>
      </c>
    </row>
    <row r="285" customFormat="false" ht="12.75" hidden="false" customHeight="true" outlineLevel="0" collapsed="false">
      <c r="E285" s="1" t="n">
        <v>16140</v>
      </c>
      <c r="F285" s="1" t="n">
        <v>0.134</v>
      </c>
      <c r="G285" s="1" t="n">
        <v>16140</v>
      </c>
      <c r="H285" s="1" t="n">
        <v>0.263</v>
      </c>
      <c r="I285" s="1" t="n">
        <v>16140</v>
      </c>
      <c r="J285" s="1" t="n">
        <v>0.324</v>
      </c>
      <c r="K285" s="1" t="n">
        <v>16140</v>
      </c>
      <c r="L285" s="1" t="n">
        <v>0.488</v>
      </c>
    </row>
    <row r="286" customFormat="false" ht="12.75" hidden="false" customHeight="true" outlineLevel="0" collapsed="false">
      <c r="E286" s="1" t="n">
        <v>16200</v>
      </c>
      <c r="F286" s="1" t="n">
        <v>0.135</v>
      </c>
      <c r="G286" s="1" t="n">
        <v>16200</v>
      </c>
      <c r="H286" s="1" t="n">
        <v>0.264</v>
      </c>
      <c r="I286" s="1" t="n">
        <v>16200</v>
      </c>
      <c r="J286" s="1" t="n">
        <v>0.325</v>
      </c>
      <c r="K286" s="1" t="n">
        <v>16200</v>
      </c>
      <c r="L286" s="1" t="n">
        <v>0.489</v>
      </c>
    </row>
    <row r="287" customFormat="false" ht="12.75" hidden="false" customHeight="true" outlineLevel="0" collapsed="false">
      <c r="E287" s="1" t="n">
        <v>16260</v>
      </c>
      <c r="F287" s="1" t="n">
        <v>0.135</v>
      </c>
      <c r="G287" s="1" t="n">
        <v>16260</v>
      </c>
      <c r="H287" s="1" t="n">
        <v>0.264</v>
      </c>
      <c r="I287" s="1" t="n">
        <v>16260</v>
      </c>
      <c r="J287" s="1" t="n">
        <v>0.326</v>
      </c>
      <c r="K287" s="1" t="n">
        <v>16260</v>
      </c>
      <c r="L287" s="1" t="n">
        <v>0.489</v>
      </c>
    </row>
    <row r="288" customFormat="false" ht="12.75" hidden="false" customHeight="true" outlineLevel="0" collapsed="false">
      <c r="E288" s="1" t="n">
        <v>16320</v>
      </c>
      <c r="F288" s="1" t="n">
        <v>0.135</v>
      </c>
      <c r="G288" s="1" t="n">
        <v>16320</v>
      </c>
      <c r="H288" s="1" t="n">
        <v>0.265</v>
      </c>
      <c r="I288" s="1" t="n">
        <v>16320</v>
      </c>
      <c r="J288" s="1" t="n">
        <v>0.327</v>
      </c>
      <c r="K288" s="1" t="n">
        <v>16320</v>
      </c>
      <c r="L288" s="1" t="n">
        <v>0.491</v>
      </c>
    </row>
    <row r="289" customFormat="false" ht="12.75" hidden="false" customHeight="true" outlineLevel="0" collapsed="false">
      <c r="E289" s="1" t="n">
        <v>16380</v>
      </c>
      <c r="F289" s="1" t="n">
        <v>0.136</v>
      </c>
      <c r="G289" s="1" t="n">
        <v>16380</v>
      </c>
      <c r="H289" s="1" t="n">
        <v>0.266</v>
      </c>
      <c r="I289" s="1" t="n">
        <v>16380</v>
      </c>
      <c r="J289" s="1" t="n">
        <v>0.327</v>
      </c>
      <c r="K289" s="1" t="n">
        <v>16380</v>
      </c>
      <c r="L289" s="1" t="n">
        <v>0.492</v>
      </c>
    </row>
    <row r="290" customFormat="false" ht="12.75" hidden="false" customHeight="true" outlineLevel="0" collapsed="false">
      <c r="E290" s="1" t="n">
        <v>16440</v>
      </c>
      <c r="F290" s="1" t="n">
        <v>0.136</v>
      </c>
      <c r="G290" s="1" t="n">
        <v>16440</v>
      </c>
      <c r="H290" s="1" t="n">
        <v>0.266</v>
      </c>
      <c r="I290" s="1" t="n">
        <v>16440</v>
      </c>
      <c r="J290" s="1" t="n">
        <v>0.328</v>
      </c>
      <c r="K290" s="1" t="n">
        <v>16440</v>
      </c>
      <c r="L290" s="1" t="n">
        <v>0.493</v>
      </c>
    </row>
    <row r="291" customFormat="false" ht="12.75" hidden="false" customHeight="true" outlineLevel="0" collapsed="false">
      <c r="E291" s="1" t="n">
        <v>16500</v>
      </c>
      <c r="F291" s="1" t="n">
        <v>0.137</v>
      </c>
      <c r="G291" s="1" t="n">
        <v>16500</v>
      </c>
      <c r="H291" s="1" t="n">
        <v>0.267</v>
      </c>
      <c r="I291" s="1" t="n">
        <v>16500</v>
      </c>
      <c r="J291" s="1" t="n">
        <v>0.329</v>
      </c>
      <c r="K291" s="1" t="n">
        <v>16500</v>
      </c>
      <c r="L291" s="1" t="n">
        <v>0.494</v>
      </c>
    </row>
    <row r="292" customFormat="false" ht="12.75" hidden="false" customHeight="true" outlineLevel="0" collapsed="false">
      <c r="E292" s="1" t="n">
        <v>16560</v>
      </c>
      <c r="F292" s="1" t="n">
        <v>0.137</v>
      </c>
      <c r="G292" s="1" t="n">
        <v>16560</v>
      </c>
      <c r="H292" s="1" t="n">
        <v>0.267</v>
      </c>
      <c r="I292" s="1" t="n">
        <v>16560</v>
      </c>
      <c r="J292" s="1" t="n">
        <v>0.33</v>
      </c>
      <c r="K292" s="1" t="n">
        <v>16560</v>
      </c>
      <c r="L292" s="1" t="n">
        <v>0.495</v>
      </c>
    </row>
    <row r="293" customFormat="false" ht="12.75" hidden="false" customHeight="true" outlineLevel="0" collapsed="false">
      <c r="E293" s="1" t="n">
        <v>16620</v>
      </c>
      <c r="F293" s="1" t="n">
        <v>0.137</v>
      </c>
      <c r="G293" s="1" t="n">
        <v>16620</v>
      </c>
      <c r="H293" s="1" t="n">
        <v>0.268</v>
      </c>
      <c r="I293" s="1" t="n">
        <v>16620</v>
      </c>
      <c r="J293" s="1" t="n">
        <v>0.331</v>
      </c>
      <c r="K293" s="1" t="n">
        <v>16620</v>
      </c>
      <c r="L293" s="1" t="n">
        <v>0.495</v>
      </c>
    </row>
    <row r="294" customFormat="false" ht="12.75" hidden="false" customHeight="true" outlineLevel="0" collapsed="false">
      <c r="E294" s="1" t="n">
        <v>16680</v>
      </c>
      <c r="F294" s="1" t="n">
        <v>0.137</v>
      </c>
      <c r="G294" s="1" t="n">
        <v>16680</v>
      </c>
      <c r="H294" s="1" t="n">
        <v>0.269</v>
      </c>
      <c r="I294" s="1" t="n">
        <v>16680</v>
      </c>
      <c r="J294" s="1" t="n">
        <v>0.332</v>
      </c>
      <c r="K294" s="1" t="n">
        <v>16680</v>
      </c>
      <c r="L294" s="1" t="n">
        <v>0.497</v>
      </c>
    </row>
    <row r="295" customFormat="false" ht="12.75" hidden="false" customHeight="true" outlineLevel="0" collapsed="false">
      <c r="E295" s="1" t="n">
        <v>16740</v>
      </c>
      <c r="F295" s="1" t="n">
        <v>0.138</v>
      </c>
      <c r="G295" s="1" t="n">
        <v>16740</v>
      </c>
      <c r="H295" s="1" t="n">
        <v>0.269</v>
      </c>
      <c r="I295" s="1" t="n">
        <v>16740</v>
      </c>
      <c r="J295" s="1" t="n">
        <v>0.333</v>
      </c>
      <c r="K295" s="1" t="n">
        <v>16740</v>
      </c>
      <c r="L295" s="1" t="n">
        <v>0.498</v>
      </c>
    </row>
    <row r="296" customFormat="false" ht="12.75" hidden="false" customHeight="true" outlineLevel="0" collapsed="false">
      <c r="E296" s="1" t="n">
        <v>16800</v>
      </c>
      <c r="F296" s="1" t="n">
        <v>0.138</v>
      </c>
      <c r="G296" s="1" t="n">
        <v>16800</v>
      </c>
      <c r="H296" s="1" t="n">
        <v>0.27</v>
      </c>
      <c r="I296" s="1" t="n">
        <v>16800</v>
      </c>
      <c r="J296" s="1" t="n">
        <v>0.334</v>
      </c>
      <c r="K296" s="1" t="n">
        <v>16800</v>
      </c>
      <c r="L296" s="1" t="n">
        <v>0.498</v>
      </c>
    </row>
    <row r="297" customFormat="false" ht="12.75" hidden="false" customHeight="true" outlineLevel="0" collapsed="false">
      <c r="E297" s="1" t="n">
        <v>16860</v>
      </c>
      <c r="F297" s="1" t="n">
        <v>0.138</v>
      </c>
      <c r="G297" s="1" t="n">
        <v>16860</v>
      </c>
      <c r="H297" s="1" t="n">
        <v>0.27</v>
      </c>
      <c r="I297" s="1" t="n">
        <v>16860</v>
      </c>
      <c r="J297" s="1" t="n">
        <v>0.335</v>
      </c>
      <c r="K297" s="1" t="n">
        <v>16860</v>
      </c>
      <c r="L297" s="1" t="n">
        <v>0.499</v>
      </c>
    </row>
    <row r="298" customFormat="false" ht="12.75" hidden="false" customHeight="true" outlineLevel="0" collapsed="false">
      <c r="E298" s="1" t="n">
        <v>16920</v>
      </c>
      <c r="F298" s="1" t="n">
        <v>0.139</v>
      </c>
      <c r="G298" s="1" t="n">
        <v>16920</v>
      </c>
      <c r="H298" s="1" t="n">
        <v>0.272</v>
      </c>
      <c r="I298" s="1" t="n">
        <v>16920</v>
      </c>
      <c r="J298" s="1" t="n">
        <v>0.335</v>
      </c>
      <c r="K298" s="1" t="n">
        <v>16920</v>
      </c>
      <c r="L298" s="1" t="n">
        <v>0.5</v>
      </c>
    </row>
    <row r="299" customFormat="false" ht="12.75" hidden="false" customHeight="true" outlineLevel="0" collapsed="false">
      <c r="E299" s="1" t="n">
        <v>16980</v>
      </c>
      <c r="F299" s="1" t="n">
        <v>0.139</v>
      </c>
      <c r="G299" s="1" t="n">
        <v>16980</v>
      </c>
      <c r="H299" s="1" t="n">
        <v>0.271</v>
      </c>
      <c r="I299" s="1" t="n">
        <v>16980</v>
      </c>
      <c r="J299" s="1" t="n">
        <v>0.336</v>
      </c>
      <c r="K299" s="1" t="n">
        <v>16980</v>
      </c>
      <c r="L299" s="1" t="n">
        <v>0.502</v>
      </c>
    </row>
    <row r="300" customFormat="false" ht="12.75" hidden="false" customHeight="true" outlineLevel="0" collapsed="false">
      <c r="E300" s="1" t="n">
        <v>17040</v>
      </c>
      <c r="F300" s="1" t="n">
        <v>0.139</v>
      </c>
      <c r="G300" s="1" t="n">
        <v>17040</v>
      </c>
      <c r="H300" s="1" t="n">
        <v>0.272</v>
      </c>
      <c r="I300" s="1" t="n">
        <v>17040</v>
      </c>
      <c r="J300" s="1" t="n">
        <v>0.337</v>
      </c>
      <c r="K300" s="1" t="n">
        <v>17040</v>
      </c>
      <c r="L300" s="1" t="n">
        <v>0.502</v>
      </c>
    </row>
    <row r="301" customFormat="false" ht="12.75" hidden="false" customHeight="true" outlineLevel="0" collapsed="false">
      <c r="E301" s="1" t="n">
        <v>17100</v>
      </c>
      <c r="F301" s="1" t="n">
        <v>0.14</v>
      </c>
      <c r="G301" s="1" t="n">
        <v>17100</v>
      </c>
      <c r="H301" s="1" t="n">
        <v>0.273</v>
      </c>
      <c r="I301" s="1" t="n">
        <v>17100</v>
      </c>
      <c r="J301" s="1" t="n">
        <v>0.338</v>
      </c>
      <c r="K301" s="1" t="n">
        <v>17100</v>
      </c>
      <c r="L301" s="1" t="n">
        <v>0.503</v>
      </c>
    </row>
    <row r="302" customFormat="false" ht="12.75" hidden="false" customHeight="true" outlineLevel="0" collapsed="false">
      <c r="E302" s="1" t="n">
        <v>17160</v>
      </c>
      <c r="F302" s="1" t="n">
        <v>0.14</v>
      </c>
      <c r="G302" s="1" t="n">
        <v>17160</v>
      </c>
      <c r="H302" s="1" t="n">
        <v>0.273</v>
      </c>
      <c r="I302" s="1" t="n">
        <v>17160</v>
      </c>
      <c r="J302" s="1" t="n">
        <v>0.338</v>
      </c>
      <c r="K302" s="1" t="n">
        <v>17160</v>
      </c>
      <c r="L302" s="1" t="n">
        <v>0.504</v>
      </c>
    </row>
    <row r="303" customFormat="false" ht="12.75" hidden="false" customHeight="true" outlineLevel="0" collapsed="false">
      <c r="E303" s="1" t="n">
        <v>17220</v>
      </c>
      <c r="F303" s="1" t="n">
        <v>0.14</v>
      </c>
      <c r="G303" s="1" t="n">
        <v>17220</v>
      </c>
      <c r="H303" s="1" t="n">
        <v>0.275</v>
      </c>
      <c r="I303" s="1" t="n">
        <v>17220</v>
      </c>
      <c r="J303" s="1" t="n">
        <v>0.339</v>
      </c>
      <c r="K303" s="1" t="n">
        <v>17220</v>
      </c>
      <c r="L303" s="1" t="n">
        <v>0.505</v>
      </c>
    </row>
    <row r="304" customFormat="false" ht="12.75" hidden="false" customHeight="true" outlineLevel="0" collapsed="false">
      <c r="E304" s="1" t="n">
        <v>17280</v>
      </c>
      <c r="F304" s="1" t="n">
        <v>0.141</v>
      </c>
      <c r="G304" s="1" t="n">
        <v>17280</v>
      </c>
      <c r="H304" s="1" t="n">
        <v>0.275</v>
      </c>
      <c r="I304" s="1" t="n">
        <v>17280</v>
      </c>
      <c r="J304" s="1" t="n">
        <v>0.34</v>
      </c>
      <c r="K304" s="1" t="n">
        <v>17280</v>
      </c>
      <c r="L304" s="1" t="n">
        <v>0.506</v>
      </c>
    </row>
    <row r="305" customFormat="false" ht="12.75" hidden="false" customHeight="true" outlineLevel="0" collapsed="false">
      <c r="E305" s="1" t="n">
        <v>17340</v>
      </c>
      <c r="F305" s="1" t="n">
        <v>0.141</v>
      </c>
      <c r="G305" s="1" t="n">
        <v>17340</v>
      </c>
      <c r="H305" s="1" t="n">
        <v>0.275</v>
      </c>
      <c r="I305" s="1" t="n">
        <v>17340</v>
      </c>
      <c r="J305" s="1" t="n">
        <v>0.34</v>
      </c>
      <c r="K305" s="1" t="n">
        <v>17340</v>
      </c>
      <c r="L305" s="1" t="n">
        <v>0.507</v>
      </c>
    </row>
    <row r="306" customFormat="false" ht="12.75" hidden="false" customHeight="true" outlineLevel="0" collapsed="false">
      <c r="E306" s="1" t="n">
        <v>17400</v>
      </c>
      <c r="F306" s="1" t="n">
        <v>0.141</v>
      </c>
      <c r="G306" s="1" t="n">
        <v>17400</v>
      </c>
      <c r="H306" s="1" t="n">
        <v>0.276</v>
      </c>
      <c r="I306" s="1" t="n">
        <v>17400</v>
      </c>
      <c r="J306" s="1" t="n">
        <v>0.342</v>
      </c>
      <c r="K306" s="1" t="n">
        <v>17400</v>
      </c>
      <c r="L306" s="1" t="n">
        <v>0.508</v>
      </c>
    </row>
    <row r="307" customFormat="false" ht="12.75" hidden="false" customHeight="true" outlineLevel="0" collapsed="false">
      <c r="E307" s="1" t="n">
        <v>17460</v>
      </c>
      <c r="F307" s="1" t="n">
        <v>0.142</v>
      </c>
      <c r="G307" s="1" t="n">
        <v>17460</v>
      </c>
      <c r="H307" s="1" t="n">
        <v>0.277</v>
      </c>
      <c r="I307" s="1" t="n">
        <v>17460</v>
      </c>
      <c r="J307" s="1" t="n">
        <v>0.342</v>
      </c>
      <c r="K307" s="1" t="n">
        <v>17460</v>
      </c>
      <c r="L307" s="1" t="n">
        <v>0.508</v>
      </c>
    </row>
    <row r="308" customFormat="false" ht="12.75" hidden="false" customHeight="true" outlineLevel="0" collapsed="false">
      <c r="E308" s="1" t="n">
        <v>17520</v>
      </c>
      <c r="F308" s="1" t="n">
        <v>0.142</v>
      </c>
      <c r="G308" s="1" t="n">
        <v>17520</v>
      </c>
      <c r="H308" s="1" t="n">
        <v>0.278</v>
      </c>
      <c r="I308" s="1" t="n">
        <v>17520</v>
      </c>
      <c r="J308" s="1" t="n">
        <v>0.343</v>
      </c>
      <c r="K308" s="1" t="n">
        <v>17520</v>
      </c>
      <c r="L308" s="1" t="n">
        <v>0.51</v>
      </c>
    </row>
    <row r="309" customFormat="false" ht="12.75" hidden="false" customHeight="true" outlineLevel="0" collapsed="false">
      <c r="E309" s="1" t="n">
        <v>17580</v>
      </c>
      <c r="F309" s="1" t="n">
        <v>0.142</v>
      </c>
      <c r="G309" s="1" t="n">
        <v>17580</v>
      </c>
      <c r="H309" s="1" t="n">
        <v>0.278</v>
      </c>
      <c r="I309" s="1" t="n">
        <v>17580</v>
      </c>
      <c r="J309" s="1" t="n">
        <v>0.344</v>
      </c>
      <c r="K309" s="1" t="n">
        <v>17580</v>
      </c>
      <c r="L309" s="1" t="n">
        <v>0.511</v>
      </c>
    </row>
    <row r="310" customFormat="false" ht="12.75" hidden="false" customHeight="true" outlineLevel="0" collapsed="false">
      <c r="E310" s="1" t="n">
        <v>17640</v>
      </c>
      <c r="F310" s="1" t="n">
        <v>0.143</v>
      </c>
      <c r="G310" s="1" t="n">
        <v>17640</v>
      </c>
      <c r="H310" s="1" t="n">
        <v>0.278</v>
      </c>
      <c r="I310" s="1" t="n">
        <v>17640</v>
      </c>
      <c r="J310" s="1" t="n">
        <v>0.344</v>
      </c>
      <c r="K310" s="1" t="n">
        <v>17640</v>
      </c>
      <c r="L310" s="1" t="n">
        <v>0.512</v>
      </c>
    </row>
    <row r="311" customFormat="false" ht="12.75" hidden="false" customHeight="true" outlineLevel="0" collapsed="false">
      <c r="E311" s="1" t="n">
        <v>17700</v>
      </c>
      <c r="F311" s="1" t="n">
        <v>0.143</v>
      </c>
      <c r="G311" s="1" t="n">
        <v>17700</v>
      </c>
      <c r="H311" s="1" t="n">
        <v>0.279</v>
      </c>
      <c r="I311" s="1" t="n">
        <v>17700</v>
      </c>
      <c r="J311" s="1" t="n">
        <v>0.345</v>
      </c>
      <c r="K311" s="1" t="n">
        <v>17700</v>
      </c>
      <c r="L311" s="1" t="n">
        <v>0.513</v>
      </c>
    </row>
    <row r="312" customFormat="false" ht="12.75" hidden="false" customHeight="true" outlineLevel="0" collapsed="false">
      <c r="E312" s="1" t="n">
        <v>17760</v>
      </c>
      <c r="F312" s="1" t="n">
        <v>0.143</v>
      </c>
      <c r="G312" s="1" t="n">
        <v>17760</v>
      </c>
      <c r="H312" s="1" t="n">
        <v>0.279</v>
      </c>
      <c r="I312" s="1" t="n">
        <v>17760</v>
      </c>
      <c r="J312" s="1" t="n">
        <v>0.346</v>
      </c>
      <c r="K312" s="1" t="n">
        <v>17760</v>
      </c>
      <c r="L312" s="1" t="n">
        <v>0.514</v>
      </c>
    </row>
    <row r="313" customFormat="false" ht="12.75" hidden="false" customHeight="true" outlineLevel="0" collapsed="false">
      <c r="E313" s="1" t="n">
        <v>17820</v>
      </c>
      <c r="F313" s="1" t="n">
        <v>0.144</v>
      </c>
      <c r="G313" s="1" t="n">
        <v>17820</v>
      </c>
      <c r="H313" s="1" t="n">
        <v>0.28</v>
      </c>
      <c r="I313" s="1" t="n">
        <v>17820</v>
      </c>
      <c r="J313" s="1" t="n">
        <v>0.347</v>
      </c>
      <c r="K313" s="1" t="n">
        <v>17820</v>
      </c>
      <c r="L313" s="1" t="n">
        <v>0.514</v>
      </c>
    </row>
    <row r="314" customFormat="false" ht="12.75" hidden="false" customHeight="true" outlineLevel="0" collapsed="false">
      <c r="E314" s="1" t="n">
        <v>17880</v>
      </c>
      <c r="F314" s="1" t="n">
        <v>0.144</v>
      </c>
      <c r="G314" s="1" t="n">
        <v>17880</v>
      </c>
      <c r="H314" s="1" t="n">
        <v>0.28</v>
      </c>
      <c r="I314" s="1" t="n">
        <v>17880</v>
      </c>
      <c r="J314" s="1" t="n">
        <v>0.348</v>
      </c>
      <c r="K314" s="1" t="n">
        <v>17880</v>
      </c>
      <c r="L314" s="1" t="n">
        <v>0.515</v>
      </c>
    </row>
    <row r="315" customFormat="false" ht="12.75" hidden="false" customHeight="true" outlineLevel="0" collapsed="false">
      <c r="E315" s="1" t="n">
        <v>17940</v>
      </c>
      <c r="F315" s="1" t="n">
        <v>0.144</v>
      </c>
      <c r="G315" s="1" t="n">
        <v>17940</v>
      </c>
      <c r="H315" s="1" t="n">
        <v>0.281</v>
      </c>
      <c r="I315" s="1" t="n">
        <v>17940</v>
      </c>
      <c r="J315" s="1" t="n">
        <v>0.348</v>
      </c>
      <c r="K315" s="1" t="n">
        <v>17940</v>
      </c>
      <c r="L315" s="1" t="n">
        <v>0.517</v>
      </c>
    </row>
    <row r="316" customFormat="false" ht="12.75" hidden="false" customHeight="true" outlineLevel="0" collapsed="false">
      <c r="E316" s="1" t="n">
        <v>18000</v>
      </c>
      <c r="F316" s="1" t="n">
        <v>0.144</v>
      </c>
      <c r="G316" s="1" t="n">
        <v>18000</v>
      </c>
      <c r="H316" s="1" t="n">
        <v>0.282</v>
      </c>
      <c r="I316" s="1" t="n">
        <v>18000</v>
      </c>
      <c r="J316" s="1" t="n">
        <v>0.349</v>
      </c>
      <c r="K316" s="1" t="n">
        <v>18000</v>
      </c>
      <c r="L316" s="1" t="n">
        <v>0.517</v>
      </c>
    </row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26" min="1" style="0" width="8"/>
  </cols>
  <sheetData>
    <row r="1" customFormat="false" ht="12.75" hidden="false" customHeight="true" outlineLevel="0" collapsed="false"/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2010-04-07T07:35:01Z</dcterms:created>
  <dc:creator>kemmb6</dc:creator>
  <dc:description/>
  <dc:language>en-BS</dc:language>
  <cp:lastModifiedBy/>
  <dcterms:modified xsi:type="dcterms:W3CDTF">2024-12-12T22:43:02Z</dcterms:modified>
  <cp:revision>1</cp:revision>
  <dc:subject/>
  <dc:title/>
</cp:coreProperties>
</file>