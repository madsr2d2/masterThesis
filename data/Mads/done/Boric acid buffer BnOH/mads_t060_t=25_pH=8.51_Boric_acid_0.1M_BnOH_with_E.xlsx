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2" name="data60">Sheet2!$A$1:$H$62</definedName>
  </definedNames>
  <calcPr/>
  <extLst>
    <ext uri="GoogleSheetsCustomDataVersion1">
      <go:sheetsCustomData xmlns:go="http://customooxmlschemas.google.com/" r:id="rId8" roundtripDataSignature="AMtx7mikYg98UcTZ4wRLv1obepP/N4uYow=="/>
    </ext>
  </extLst>
</workbook>
</file>

<file path=xl/sharedStrings.xml><?xml version="1.0" encoding="utf-8"?>
<sst xmlns="http://schemas.openxmlformats.org/spreadsheetml/2006/main" count="176" uniqueCount="116">
  <si>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</si>
  <si>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</si>
  <si>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</si>
  <si>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</si>
  <si>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</si>
  <si>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</si>
  <si>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</si>
  <si>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</si>
  <si>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</si>
  <si>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</si>
  <si>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</si>
  <si>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</si>
  <si>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</si>
  <si>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</si>
  <si>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</si>
  <si>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</si>
  <si>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</si>
  <si>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</si>
  <si>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</si>
  <si>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</si>
  <si>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</si>
  <si>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</si>
  <si>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</si>
  <si>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</si>
  <si>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</si>
  <si>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</si>
  <si>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</si>
  <si>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</si>
  <si>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</si>
  <si>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</si>
  <si>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</si>
  <si>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</si>
  <si>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</si>
  <si>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</si>
  <si>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1h_kcat(BnOH)</t>
  </si>
  <si>
    <t>nm</t>
  </si>
  <si>
    <t>e</t>
  </si>
  <si>
    <t>H202 30%</t>
  </si>
  <si>
    <t>H2O</t>
  </si>
  <si>
    <t>BnOH</t>
  </si>
  <si>
    <t>Enz</t>
  </si>
  <si>
    <t>Massefylde g/L</t>
  </si>
  <si>
    <t>a-diesterketon</t>
  </si>
  <si>
    <t>mol/l</t>
  </si>
  <si>
    <t>L</t>
  </si>
  <si>
    <t>g/mol</t>
  </si>
  <si>
    <t>g</t>
  </si>
  <si>
    <t>[H2O2]</t>
  </si>
  <si>
    <t>l</t>
  </si>
  <si>
    <t>mol</t>
  </si>
  <si>
    <t>Boric acid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</si>
  <si>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</si>
  <si>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</si>
  <si>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</si>
  <si>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</si>
  <si>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</si>
  <si>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</si>
  <si>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</si>
  <si>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</si>
  <si>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</si>
  <si>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</si>
  <si>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</si>
  <si>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</si>
  <si>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</si>
  <si>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U/28s</t>
  </si>
  <si>
    <t>mM/s</t>
  </si>
  <si>
    <t>Km</t>
  </si>
  <si>
    <t>mmol/L</t>
  </si>
  <si>
    <t>kcat</t>
  </si>
  <si>
    <t>1/s</t>
  </si>
  <si>
    <t>Kinetics Experiment - 59 best fit 2</t>
  </si>
  <si>
    <t>Conc. Units</t>
  </si>
  <si>
    <t>Hanes-Woolf</t>
  </si>
  <si>
    <t>Raw Data</t>
  </si>
  <si>
    <t>Parameters</t>
  </si>
  <si>
    <t>[I]=0.469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</si>
  <si>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</si>
  <si>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</si>
  <si>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</si>
  <si>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</si>
  <si>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</si>
  <si>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</si>
  <si>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</si>
  <si>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</si>
  <si>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</si>
  <si>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</si>
  <si>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</si>
  <si>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</si>
  <si>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</si>
  <si>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</si>
  <si>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</si>
  <si>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</si>
  <si>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</si>
  <si>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</si>
  <si>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</si>
  <si>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</si>
  <si>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</si>
  <si>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rate060.rre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</si>
  <si>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</si>
  <si>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</si>
  <si>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</si>
  <si>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</si>
  <si>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</si>
  <si>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</si>
  <si>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</si>
  <si>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3:25:57PM</t>
  </si>
  <si>
    <t>3:26:02PM</t>
  </si>
  <si>
    <t>3:49:22PM</t>
  </si>
  <si>
    <t>3:26:16PM</t>
  </si>
  <si>
    <t>Substrate Conc.</t>
  </si>
  <si>
    <t>0.5962 mmol/L</t>
  </si>
  <si>
    <t>2.9811 mmol/L</t>
  </si>
  <si>
    <t>5.3660 mmol/L</t>
  </si>
  <si>
    <t>7.7508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</si>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</sst>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1" numFmtId="2" xfId="0" applyFont="1" applyNumberFormat="1"/>
    <xf borderId="12" fillId="0" fontId="4" numFmtId="0" xfId="0" applyAlignment="1" applyBorder="1" applyFont="1">
      <alignment shrinkToFit="0" vertical="bottom" wrapText="0"/>
    </xf>
    <xf borderId="12" fillId="0" fontId="4" numFmtId="2" xfId="0" applyAlignment="1" applyBorder="1" applyFont="1" applyNumberForma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352272"/>
        <c:axId val="1787205923"/>
      </c:scatterChart>
      <c:valAx>
        <c:axId val="115835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205923"/>
      </c:valAx>
      <c:valAx>
        <c:axId val="17872059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352272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31179343"/>
        <c:axId val="1129579617"/>
      </c:scatterChart>
      <c:valAx>
        <c:axId val="123117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579617"/>
      </c:valAx>
      <c:valAx>
        <c:axId val="11295796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31179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133387"/>
        <c:axId val="216800843"/>
      </c:scatterChart>
      <c:valAx>
        <c:axId val="1308133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800843"/>
      </c:valAx>
      <c:valAx>
        <c:axId val="2168008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133387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Sheet2!$G$11:$G$58</c:f>
            </c:numRef>
          </c:xVal>
          <c:yVal>
            <c:numRef>
              <c:f>Sheet2!$B$11:$B$59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4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Sheet2!$G$11:$G$58</c:f>
            </c:numRef>
          </c:xVal>
          <c:yVal>
            <c:numRef>
              <c:f>Sheet2!$D$11:$D$59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4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Sheet2!$G$11:$G$58</c:f>
            </c:numRef>
          </c:xVal>
          <c:yVal>
            <c:numRef>
              <c:f>Sheet2!$F$11:$F$58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4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Sheet2!$G$11:$G$58</c:f>
            </c:numRef>
          </c:xVal>
          <c:yVal>
            <c:numRef>
              <c:f>Sheet2!$H$11:$H$58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440746"/>
        <c:axId val="1935721782"/>
      </c:scatterChart>
      <c:valAx>
        <c:axId val="62244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721782"/>
      </c:valAx>
      <c:valAx>
        <c:axId val="1935721782"/>
        <c:scaling>
          <c:orientation val="minMax"/>
          <c:min val="-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440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Sheet2!$L$32:$L$35</c:f>
            </c:numRef>
          </c:xVal>
          <c:yVal>
            <c:numRef>
              <c:f>Sheet2!$M$32:$M$35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66109"/>
        <c:axId val="1206510883"/>
      </c:scatterChart>
      <c:valAx>
        <c:axId val="596266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510883"/>
      </c:valAx>
      <c:valAx>
        <c:axId val="1206510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266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2447449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32365351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98630558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9</xdr:row>
      <xdr:rowOff>66675</xdr:rowOff>
    </xdr:from>
    <xdr:ext cx="5295900" cy="3228975"/>
    <xdr:graphicFrame>
      <xdr:nvGraphicFramePr>
        <xdr:cNvPr descr="Chart 0" id="544614792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400050</xdr:colOff>
      <xdr:row>40</xdr:row>
      <xdr:rowOff>0</xdr:rowOff>
    </xdr:from>
    <xdr:ext cx="4000500" cy="2743200"/>
    <xdr:graphicFrame>
      <xdr:nvGraphicFramePr>
        <xdr:cNvPr descr="Chart 1" id="192569169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8" width="8.0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60.0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J3" s="6" t="s">
        <v>37</v>
      </c>
      <c r="K3" s="7"/>
      <c r="L3" s="8" t="s">
        <v>38</v>
      </c>
    </row>
    <row r="4" ht="12.75" customHeight="1">
      <c r="B4" s="6"/>
      <c r="C4" s="7" t="s">
        <v>39</v>
      </c>
      <c r="D4" s="8"/>
      <c r="F4" s="6"/>
      <c r="G4" s="7" t="s">
        <v>40</v>
      </c>
      <c r="H4" s="8"/>
      <c r="J4" s="9" t="s">
        <v>41</v>
      </c>
      <c r="K4" s="4">
        <v>1110.0</v>
      </c>
      <c r="L4" s="10"/>
    </row>
    <row r="5" ht="12.75" customHeight="1">
      <c r="B5" s="9"/>
      <c r="C5" s="4"/>
      <c r="D5" s="10"/>
      <c r="F5" s="9"/>
      <c r="G5" s="4" t="s">
        <v>42</v>
      </c>
      <c r="H5" s="10"/>
      <c r="J5" s="9" t="s">
        <v>43</v>
      </c>
      <c r="K5" s="4">
        <f>(K4*0.3)/34</f>
        <v>9.794117647</v>
      </c>
      <c r="L5" s="10"/>
    </row>
    <row r="6" ht="12.75" customHeight="1">
      <c r="B6" s="9"/>
      <c r="C6" s="4"/>
      <c r="D6" s="10"/>
      <c r="F6" s="9"/>
      <c r="G6" s="4"/>
      <c r="H6" s="10"/>
      <c r="J6" s="9" t="s">
        <v>44</v>
      </c>
      <c r="K6" s="4">
        <v>0.002</v>
      </c>
      <c r="L6" s="10">
        <v>0.008</v>
      </c>
    </row>
    <row r="7" ht="12.75" customHeight="1">
      <c r="B7" s="9" t="s">
        <v>45</v>
      </c>
      <c r="C7" s="4">
        <v>108.14</v>
      </c>
      <c r="D7" s="10"/>
      <c r="F7" s="9" t="s">
        <v>45</v>
      </c>
      <c r="G7" s="4">
        <v>1054.29</v>
      </c>
      <c r="H7" s="10"/>
      <c r="J7" s="9"/>
      <c r="K7" s="4"/>
      <c r="L7" s="10"/>
      <c r="O7" s="1">
        <f>5*9</f>
        <v>45</v>
      </c>
    </row>
    <row r="8" ht="12.75" customHeight="1">
      <c r="B8" s="9" t="s">
        <v>46</v>
      </c>
      <c r="C8" s="4">
        <v>0.2579</v>
      </c>
      <c r="D8" s="10"/>
      <c r="F8" s="9" t="s">
        <v>46</v>
      </c>
      <c r="G8" s="4">
        <v>0.0236</v>
      </c>
      <c r="H8" s="10"/>
      <c r="J8" s="9"/>
      <c r="K8" s="4" t="s">
        <v>47</v>
      </c>
      <c r="L8" s="10"/>
    </row>
    <row r="9" ht="12.75" customHeight="1">
      <c r="B9" s="9" t="s">
        <v>48</v>
      </c>
      <c r="C9" s="4">
        <v>0.1</v>
      </c>
      <c r="D9" s="10"/>
      <c r="F9" s="9" t="s">
        <v>48</v>
      </c>
      <c r="G9" s="4">
        <v>0.04</v>
      </c>
      <c r="H9" s="10"/>
      <c r="J9" s="9" t="s">
        <v>43</v>
      </c>
      <c r="K9" s="4">
        <f>(K5*K6)/L6</f>
        <v>2.448529412</v>
      </c>
      <c r="L9" s="10"/>
    </row>
    <row r="10" ht="12.75" customHeight="1">
      <c r="B10" s="9" t="s">
        <v>49</v>
      </c>
      <c r="C10" s="4">
        <f>C8/C7</f>
        <v>0.002384871463</v>
      </c>
      <c r="D10" s="10"/>
      <c r="F10" s="9" t="s">
        <v>49</v>
      </c>
      <c r="G10" s="4">
        <f>G8/G7</f>
        <v>0.00002238473285</v>
      </c>
      <c r="H10" s="10"/>
      <c r="J10" s="9"/>
      <c r="K10" s="4"/>
      <c r="L10" s="10"/>
    </row>
    <row r="11" ht="12.75" customHeight="1">
      <c r="B11" s="9" t="s">
        <v>43</v>
      </c>
      <c r="C11" s="4">
        <f>C10/C9</f>
        <v>0.02384871463</v>
      </c>
      <c r="D11" s="10"/>
      <c r="F11" s="9" t="s">
        <v>43</v>
      </c>
      <c r="G11" s="4">
        <f>G10/G9</f>
        <v>0.0005596183213</v>
      </c>
      <c r="H11" s="10"/>
      <c r="J11" s="9" t="s">
        <v>50</v>
      </c>
      <c r="K11" s="4" t="s">
        <v>51</v>
      </c>
      <c r="L11" s="10">
        <v>8.51</v>
      </c>
    </row>
    <row r="12" ht="13.5" customHeight="1">
      <c r="B12" s="11" t="s">
        <v>52</v>
      </c>
      <c r="C12" s="5">
        <f>C11*1000</f>
        <v>23.84871463</v>
      </c>
      <c r="D12" s="12"/>
      <c r="F12" s="9" t="s">
        <v>52</v>
      </c>
      <c r="G12" s="4">
        <f>G11*1000</f>
        <v>0.5596183213</v>
      </c>
      <c r="H12" s="10"/>
      <c r="J12" s="9"/>
      <c r="K12" s="4" t="s">
        <v>53</v>
      </c>
      <c r="L12" s="10">
        <v>25.0</v>
      </c>
    </row>
    <row r="13" ht="13.5" customHeight="1">
      <c r="F13" s="11" t="s">
        <v>54</v>
      </c>
      <c r="G13" s="5">
        <f>E20*G12/H20</f>
        <v>0.01399045803</v>
      </c>
      <c r="H13" s="12" t="s">
        <v>52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55</v>
      </c>
      <c r="J18" s="1" t="s">
        <v>55</v>
      </c>
      <c r="K18" s="1" t="s">
        <v>47</v>
      </c>
      <c r="L18" s="1" t="s">
        <v>47</v>
      </c>
      <c r="M18" s="1" t="s">
        <v>56</v>
      </c>
    </row>
    <row r="19" ht="13.5" customHeight="1">
      <c r="B19" s="13" t="s">
        <v>54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61</v>
      </c>
      <c r="H19" s="5" t="s">
        <v>62</v>
      </c>
      <c r="I19" s="5" t="s">
        <v>43</v>
      </c>
      <c r="J19" s="5" t="s">
        <v>52</v>
      </c>
      <c r="K19" s="5" t="s">
        <v>43</v>
      </c>
      <c r="L19" s="5" t="s">
        <v>52</v>
      </c>
      <c r="M19" s="5" t="s">
        <v>52</v>
      </c>
    </row>
    <row r="20" ht="12.75" customHeight="1">
      <c r="B20" s="14">
        <v>1.0</v>
      </c>
      <c r="C20" s="15">
        <v>1.8</v>
      </c>
      <c r="D20" s="1">
        <v>0.0</v>
      </c>
      <c r="E20" s="1">
        <v>0.05</v>
      </c>
      <c r="F20" s="1">
        <v>0.05</v>
      </c>
      <c r="G20" s="1">
        <v>0.1</v>
      </c>
      <c r="H20" s="16">
        <f t="shared" ref="H20:H27" si="1">SUM(C20:G20)</f>
        <v>2</v>
      </c>
      <c r="I20" s="1">
        <f t="shared" ref="I20:I27" si="2">F20*$C$11/H20</f>
        <v>0.0005962178657</v>
      </c>
      <c r="J20" s="1">
        <f t="shared" ref="J20:J27" si="3">I20*1000</f>
        <v>0.5962178657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0.01399045803</v>
      </c>
    </row>
    <row r="21" ht="12.75" customHeight="1">
      <c r="B21" s="14">
        <v>2.0</v>
      </c>
      <c r="C21" s="15">
        <v>1.6</v>
      </c>
      <c r="D21" s="1">
        <v>0.0</v>
      </c>
      <c r="E21" s="1">
        <v>0.05</v>
      </c>
      <c r="F21" s="1">
        <v>0.25</v>
      </c>
      <c r="G21" s="1">
        <v>0.1</v>
      </c>
      <c r="H21" s="16">
        <f t="shared" si="1"/>
        <v>2</v>
      </c>
      <c r="I21" s="1">
        <f t="shared" si="2"/>
        <v>0.002981089329</v>
      </c>
      <c r="J21" s="1">
        <f t="shared" si="3"/>
        <v>2.981089329</v>
      </c>
      <c r="K21" s="4">
        <f t="shared" si="4"/>
        <v>0.1224264706</v>
      </c>
      <c r="L21" s="4">
        <f t="shared" si="5"/>
        <v>122.4264706</v>
      </c>
      <c r="M21" s="1">
        <f t="shared" si="6"/>
        <v>0.01399045803</v>
      </c>
      <c r="R21" s="1">
        <f t="shared" ref="R21:R24" si="7">0.1*(C20/2)</f>
        <v>0.09</v>
      </c>
    </row>
    <row r="22" ht="12.75" customHeight="1">
      <c r="B22" s="14">
        <v>3.0</v>
      </c>
      <c r="C22" s="15">
        <v>1.4</v>
      </c>
      <c r="D22" s="1">
        <v>0.0</v>
      </c>
      <c r="E22" s="1">
        <v>0.05</v>
      </c>
      <c r="F22" s="1">
        <v>0.45</v>
      </c>
      <c r="G22" s="1">
        <v>0.1</v>
      </c>
      <c r="H22" s="16">
        <f t="shared" si="1"/>
        <v>2</v>
      </c>
      <c r="I22" s="1">
        <f t="shared" si="2"/>
        <v>0.005365960792</v>
      </c>
      <c r="J22" s="1">
        <f t="shared" si="3"/>
        <v>5.365960792</v>
      </c>
      <c r="K22" s="4">
        <f t="shared" si="4"/>
        <v>0.1224264706</v>
      </c>
      <c r="L22" s="4">
        <f t="shared" si="5"/>
        <v>122.4264706</v>
      </c>
      <c r="M22" s="1">
        <f t="shared" si="6"/>
        <v>0.01399045803</v>
      </c>
      <c r="R22" s="1">
        <f t="shared" si="7"/>
        <v>0.08</v>
      </c>
    </row>
    <row r="23" ht="12.75" customHeight="1">
      <c r="B23" s="17">
        <v>4.0</v>
      </c>
      <c r="C23" s="18">
        <v>1.2</v>
      </c>
      <c r="D23" s="17">
        <v>0.0</v>
      </c>
      <c r="E23" s="17">
        <v>0.05</v>
      </c>
      <c r="F23" s="17">
        <v>0.65</v>
      </c>
      <c r="G23" s="17">
        <v>0.1</v>
      </c>
      <c r="H23" s="18">
        <f t="shared" si="1"/>
        <v>2</v>
      </c>
      <c r="I23" s="17">
        <f t="shared" si="2"/>
        <v>0.007750832254</v>
      </c>
      <c r="J23" s="17">
        <f t="shared" si="3"/>
        <v>7.750832254</v>
      </c>
      <c r="K23" s="17">
        <f t="shared" si="4"/>
        <v>0.1224264706</v>
      </c>
      <c r="L23" s="17">
        <f t="shared" si="5"/>
        <v>122.4264706</v>
      </c>
      <c r="M23" s="1">
        <f t="shared" si="6"/>
        <v>0.01399045803</v>
      </c>
      <c r="R23" s="1">
        <f t="shared" si="7"/>
        <v>0.07</v>
      </c>
    </row>
    <row r="24" ht="12.75" customHeight="1">
      <c r="B24" s="14">
        <v>5.0</v>
      </c>
      <c r="C24" s="1">
        <v>1.8</v>
      </c>
      <c r="D24" s="4">
        <v>0.05</v>
      </c>
      <c r="E24" s="4">
        <v>0.0</v>
      </c>
      <c r="F24" s="1">
        <v>0.05</v>
      </c>
      <c r="G24" s="4">
        <v>0.1</v>
      </c>
      <c r="H24" s="1">
        <f t="shared" si="1"/>
        <v>2</v>
      </c>
      <c r="I24" s="1">
        <f t="shared" si="2"/>
        <v>0.0005962178657</v>
      </c>
      <c r="J24" s="1">
        <f t="shared" si="3"/>
        <v>0.5962178657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R24" s="1">
        <f t="shared" si="7"/>
        <v>0.06</v>
      </c>
    </row>
    <row r="25" ht="12.75" customHeight="1">
      <c r="B25" s="14">
        <v>6.0</v>
      </c>
      <c r="C25" s="1">
        <v>1.6</v>
      </c>
      <c r="D25" s="4">
        <v>0.05</v>
      </c>
      <c r="E25" s="4">
        <v>0.0</v>
      </c>
      <c r="F25" s="1">
        <v>0.25</v>
      </c>
      <c r="G25" s="4">
        <v>0.1</v>
      </c>
      <c r="H25" s="1">
        <f t="shared" si="1"/>
        <v>2</v>
      </c>
      <c r="I25" s="1">
        <f t="shared" si="2"/>
        <v>0.002981089329</v>
      </c>
      <c r="J25" s="1">
        <f t="shared" si="3"/>
        <v>2.981089329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</row>
    <row r="26" ht="12.75" customHeight="1">
      <c r="B26" s="14">
        <v>7.0</v>
      </c>
      <c r="C26" s="1">
        <v>1.4</v>
      </c>
      <c r="D26" s="4">
        <v>0.05</v>
      </c>
      <c r="E26" s="4">
        <v>0.0</v>
      </c>
      <c r="F26" s="1">
        <v>0.45</v>
      </c>
      <c r="G26" s="4">
        <v>0.1</v>
      </c>
      <c r="H26" s="1">
        <f t="shared" si="1"/>
        <v>2</v>
      </c>
      <c r="I26" s="1">
        <f t="shared" si="2"/>
        <v>0.005365960792</v>
      </c>
      <c r="J26" s="1">
        <f t="shared" si="3"/>
        <v>5.365960792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</row>
    <row r="27" ht="13.5" customHeight="1">
      <c r="B27" s="13">
        <v>8.0</v>
      </c>
      <c r="C27" s="5">
        <v>1.2</v>
      </c>
      <c r="D27" s="5">
        <v>0.05</v>
      </c>
      <c r="E27" s="5">
        <v>0.0</v>
      </c>
      <c r="F27" s="5">
        <v>0.65</v>
      </c>
      <c r="G27" s="5">
        <v>0.1</v>
      </c>
      <c r="H27" s="5">
        <f t="shared" si="1"/>
        <v>2</v>
      </c>
      <c r="I27" s="5">
        <f t="shared" si="2"/>
        <v>0.007750832254</v>
      </c>
      <c r="J27" s="5">
        <f t="shared" si="3"/>
        <v>7.750832254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</row>
    <row r="28" ht="12.75" customHeight="1">
      <c r="C28" s="16">
        <f t="shared" ref="C28:G28" si="8">SUM(C20:C27)</f>
        <v>12</v>
      </c>
      <c r="D28" s="1">
        <f t="shared" si="8"/>
        <v>0.2</v>
      </c>
      <c r="E28" s="1">
        <f t="shared" si="8"/>
        <v>0.2</v>
      </c>
      <c r="F28" s="1">
        <f t="shared" si="8"/>
        <v>2.8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9"/>
      <c r="M34" s="19"/>
    </row>
    <row r="35" ht="12.75" customHeight="1"/>
    <row r="36" ht="12.75" customHeight="1"/>
    <row r="37" ht="13.5" customHeight="1"/>
    <row r="38" ht="12.75" customHeight="1">
      <c r="I38" s="6" t="s">
        <v>63</v>
      </c>
      <c r="J38" s="1">
        <v>0.00412659876210218</v>
      </c>
      <c r="K38" s="8" t="s">
        <v>64</v>
      </c>
    </row>
    <row r="39" ht="12.75" customHeight="1">
      <c r="H39" s="19"/>
      <c r="I39" s="9" t="s">
        <v>63</v>
      </c>
      <c r="J39" s="4">
        <f>(J38/I2)/28</f>
        <v>0.0001198199408</v>
      </c>
      <c r="K39" s="10" t="s">
        <v>65</v>
      </c>
    </row>
    <row r="40" ht="12.75" customHeight="1">
      <c r="I40" s="9" t="s">
        <v>66</v>
      </c>
      <c r="J40" s="1">
        <v>2.55840208479378</v>
      </c>
      <c r="K40" s="10" t="s">
        <v>67</v>
      </c>
    </row>
    <row r="41" ht="13.5" customHeight="1">
      <c r="I41" s="11" t="s">
        <v>68</v>
      </c>
      <c r="J41" s="5">
        <f>J39/G13</f>
        <v>0.008564404435</v>
      </c>
      <c r="K41" s="12" t="s">
        <v>69</v>
      </c>
    </row>
    <row r="42" ht="12.75" customHeight="1"/>
    <row r="43" ht="12.75" customHeight="1">
      <c r="J43" s="19"/>
    </row>
    <row r="44" ht="12.75" customHeight="1"/>
    <row r="45" ht="12.75" customHeight="1">
      <c r="B45" s="4" t="s">
        <v>70</v>
      </c>
      <c r="C45" s="4"/>
      <c r="D45" s="4"/>
      <c r="E45" s="4"/>
      <c r="F45" s="4"/>
      <c r="G45" s="4" t="s">
        <v>70</v>
      </c>
      <c r="H45" s="4"/>
      <c r="I45" s="4"/>
      <c r="J45" s="4"/>
    </row>
    <row r="46" ht="12.75" customHeight="1">
      <c r="B46" s="4" t="s">
        <v>71</v>
      </c>
      <c r="C46" s="4"/>
      <c r="D46" s="4"/>
      <c r="E46" s="4"/>
      <c r="F46" s="4"/>
      <c r="G46" s="4" t="s">
        <v>72</v>
      </c>
    </row>
    <row r="47" ht="12.75" customHeight="1">
      <c r="B47" s="1" t="s">
        <v>73</v>
      </c>
      <c r="H47" s="1" t="s">
        <v>74</v>
      </c>
      <c r="I47" s="1" t="s">
        <v>75</v>
      </c>
      <c r="J47" s="1" t="s">
        <v>76</v>
      </c>
    </row>
    <row r="48" ht="12.75" customHeight="1">
      <c r="B48" s="1" t="s">
        <v>77</v>
      </c>
      <c r="C48" s="1" t="s">
        <v>78</v>
      </c>
      <c r="D48" s="1" t="s">
        <v>79</v>
      </c>
      <c r="E48" s="1" t="s">
        <v>80</v>
      </c>
      <c r="F48" s="1" t="s">
        <v>81</v>
      </c>
      <c r="G48" s="1" t="s">
        <v>82</v>
      </c>
    </row>
    <row r="49" ht="12.75" customHeight="1">
      <c r="B49" s="1" t="s">
        <v>83</v>
      </c>
      <c r="C49" s="1">
        <v>0.596200000201765</v>
      </c>
      <c r="D49" s="1">
        <v>0.469299999845279</v>
      </c>
      <c r="E49" s="1">
        <v>8.63462488099E-4</v>
      </c>
      <c r="F49" s="1" t="s">
        <v>84</v>
      </c>
      <c r="H49" s="1" t="s">
        <v>85</v>
      </c>
      <c r="J49" s="1">
        <v>0.00412659876210218</v>
      </c>
    </row>
    <row r="50" ht="12.75" customHeight="1">
      <c r="B50" s="1" t="s">
        <v>86</v>
      </c>
      <c r="C50" s="1">
        <v>2.98110000003031</v>
      </c>
      <c r="D50" s="1">
        <v>0.0</v>
      </c>
      <c r="E50" s="1">
        <v>0.002215686462992</v>
      </c>
      <c r="F50" s="1" t="s">
        <v>84</v>
      </c>
      <c r="H50" s="1" t="s">
        <v>66</v>
      </c>
      <c r="J50" s="1">
        <v>2.55840208479378</v>
      </c>
    </row>
    <row r="51" ht="12.75" customHeight="1">
      <c r="B51" s="1" t="s">
        <v>87</v>
      </c>
      <c r="C51" s="1">
        <v>5.36599999985886</v>
      </c>
      <c r="D51" s="1">
        <v>0.0</v>
      </c>
      <c r="E51" s="1">
        <v>0.002803263693954</v>
      </c>
      <c r="F51" s="1" t="s">
        <v>84</v>
      </c>
      <c r="G51" s="1" t="s">
        <v>88</v>
      </c>
    </row>
    <row r="52" ht="12.75" customHeight="1">
      <c r="B52" s="1" t="s">
        <v>89</v>
      </c>
      <c r="C52" s="1">
        <v>7.75080000001254</v>
      </c>
      <c r="D52" s="1">
        <v>0.0</v>
      </c>
      <c r="E52" s="1">
        <v>0.003098714516786</v>
      </c>
      <c r="F52" s="1" t="s">
        <v>84</v>
      </c>
      <c r="H52" s="1" t="s">
        <v>90</v>
      </c>
      <c r="J52" s="1">
        <v>56.2837608359225</v>
      </c>
    </row>
    <row r="53" ht="12.75" customHeight="1">
      <c r="H53" s="1" t="s">
        <v>91</v>
      </c>
      <c r="J53" s="1">
        <v>0.999957873243337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92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93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94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95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20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20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20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77</v>
      </c>
      <c r="B3" s="1" t="s">
        <v>83</v>
      </c>
      <c r="C3" s="1" t="s">
        <v>77</v>
      </c>
      <c r="D3" s="1" t="s">
        <v>86</v>
      </c>
      <c r="E3" s="1" t="s">
        <v>77</v>
      </c>
      <c r="F3" s="1" t="s">
        <v>87</v>
      </c>
      <c r="G3" s="1" t="s">
        <v>77</v>
      </c>
      <c r="H3" s="1" t="s">
        <v>89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21">
        <v>40334.0</v>
      </c>
      <c r="C6" s="1" t="s">
        <v>103</v>
      </c>
      <c r="D6" s="21">
        <v>40334.0</v>
      </c>
      <c r="E6" s="1" t="s">
        <v>103</v>
      </c>
      <c r="F6" s="21">
        <v>40334.0</v>
      </c>
      <c r="G6" s="1" t="s">
        <v>103</v>
      </c>
      <c r="H6" s="21">
        <v>40334.0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/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ht="12.75" customHeight="1">
      <c r="A11" s="1">
        <v>0.0</v>
      </c>
      <c r="B11" s="1">
        <v>0.0</v>
      </c>
      <c r="C11" s="1">
        <v>0.0</v>
      </c>
      <c r="D11" s="1">
        <v>0.065</v>
      </c>
      <c r="E11" s="1">
        <v>0.0</v>
      </c>
      <c r="F11" s="1">
        <v>0.134</v>
      </c>
      <c r="G11" s="1">
        <v>0.0</v>
      </c>
      <c r="H11" s="1">
        <v>0.206</v>
      </c>
    </row>
    <row r="12" ht="12.75" customHeight="1">
      <c r="A12" s="1">
        <v>28.0</v>
      </c>
      <c r="B12" s="1">
        <v>0.0</v>
      </c>
      <c r="C12" s="1">
        <v>28.0</v>
      </c>
      <c r="D12" s="1">
        <v>0.066</v>
      </c>
      <c r="E12" s="1">
        <v>28.0</v>
      </c>
      <c r="F12" s="1">
        <v>0.136</v>
      </c>
      <c r="G12" s="1">
        <v>28.0</v>
      </c>
      <c r="H12" s="1">
        <v>0.208</v>
      </c>
    </row>
    <row r="13" ht="12.75" customHeight="1">
      <c r="A13" s="1">
        <v>56.0</v>
      </c>
      <c r="B13" s="1">
        <v>0.0</v>
      </c>
      <c r="C13" s="1">
        <v>56.0</v>
      </c>
      <c r="D13" s="1">
        <v>0.067</v>
      </c>
      <c r="E13" s="1">
        <v>56.0</v>
      </c>
      <c r="F13" s="1">
        <v>0.137</v>
      </c>
      <c r="G13" s="1">
        <v>56.0</v>
      </c>
      <c r="H13" s="1">
        <v>0.209</v>
      </c>
    </row>
    <row r="14" ht="12.75" customHeight="1">
      <c r="A14" s="1">
        <v>84.0</v>
      </c>
      <c r="B14" s="1">
        <v>0.0</v>
      </c>
      <c r="C14" s="1">
        <v>84.0</v>
      </c>
      <c r="D14" s="1">
        <v>0.068</v>
      </c>
      <c r="E14" s="1">
        <v>84.0</v>
      </c>
      <c r="F14" s="1">
        <v>0.138</v>
      </c>
      <c r="G14" s="1">
        <v>84.0</v>
      </c>
      <c r="H14" s="1">
        <v>0.211</v>
      </c>
    </row>
    <row r="15" ht="12.75" customHeight="1">
      <c r="A15" s="1">
        <v>112.0</v>
      </c>
      <c r="B15" s="1">
        <v>0.001</v>
      </c>
      <c r="C15" s="1">
        <v>112.0</v>
      </c>
      <c r="D15" s="1">
        <v>0.069</v>
      </c>
      <c r="E15" s="1">
        <v>112.0</v>
      </c>
      <c r="F15" s="1">
        <v>0.139</v>
      </c>
      <c r="G15" s="1">
        <v>112.0</v>
      </c>
      <c r="H15" s="1">
        <v>0.212</v>
      </c>
    </row>
    <row r="16" ht="12.75" customHeight="1">
      <c r="A16" s="1">
        <v>140.0</v>
      </c>
      <c r="B16" s="1">
        <v>0.001</v>
      </c>
      <c r="C16" s="1">
        <v>140.0</v>
      </c>
      <c r="D16" s="1">
        <v>0.07</v>
      </c>
      <c r="E16" s="1">
        <v>140.0</v>
      </c>
      <c r="F16" s="1">
        <v>0.14</v>
      </c>
      <c r="G16" s="1">
        <v>140.0</v>
      </c>
      <c r="H16" s="1">
        <v>0.213</v>
      </c>
    </row>
    <row r="17" ht="12.75" customHeight="1">
      <c r="A17" s="1">
        <v>168.0</v>
      </c>
      <c r="B17" s="1">
        <v>0.001</v>
      </c>
      <c r="C17" s="1">
        <v>168.0</v>
      </c>
      <c r="D17" s="1">
        <v>0.071</v>
      </c>
      <c r="E17" s="1">
        <v>168.0</v>
      </c>
      <c r="F17" s="1">
        <v>0.142</v>
      </c>
      <c r="G17" s="1">
        <v>168.0</v>
      </c>
      <c r="H17" s="1">
        <v>0.214</v>
      </c>
    </row>
    <row r="18" ht="12.75" customHeight="1">
      <c r="A18" s="1">
        <v>196.0</v>
      </c>
      <c r="B18" s="1">
        <v>0.001</v>
      </c>
      <c r="C18" s="1">
        <v>196.0</v>
      </c>
      <c r="D18" s="1">
        <v>0.072</v>
      </c>
      <c r="E18" s="1">
        <v>196.0</v>
      </c>
      <c r="F18" s="1">
        <v>0.143</v>
      </c>
      <c r="G18" s="1">
        <v>196.0</v>
      </c>
      <c r="H18" s="1">
        <v>0.215</v>
      </c>
    </row>
    <row r="19" ht="12.75" customHeight="1">
      <c r="A19" s="1">
        <v>224.0</v>
      </c>
      <c r="B19" s="1">
        <v>0.002</v>
      </c>
      <c r="C19" s="1">
        <v>224.0</v>
      </c>
      <c r="D19" s="1">
        <v>0.072</v>
      </c>
      <c r="E19" s="1">
        <v>224.0</v>
      </c>
      <c r="F19" s="1">
        <v>0.144</v>
      </c>
      <c r="G19" s="1">
        <v>224.0</v>
      </c>
      <c r="H19" s="1">
        <v>0.217</v>
      </c>
    </row>
    <row r="20" ht="12.75" customHeight="1">
      <c r="A20" s="1">
        <v>252.0</v>
      </c>
      <c r="B20" s="1">
        <v>0.002</v>
      </c>
      <c r="C20" s="1">
        <v>252.0</v>
      </c>
      <c r="D20" s="1">
        <v>0.073</v>
      </c>
      <c r="E20" s="1">
        <v>252.0</v>
      </c>
      <c r="F20" s="1">
        <v>0.145</v>
      </c>
      <c r="G20" s="1">
        <v>252.0</v>
      </c>
      <c r="H20" s="1">
        <v>0.219</v>
      </c>
    </row>
    <row r="21" ht="12.75" customHeight="1">
      <c r="A21" s="1">
        <v>280.0</v>
      </c>
      <c r="B21" s="1">
        <v>0.002</v>
      </c>
      <c r="C21" s="1">
        <v>280.0</v>
      </c>
      <c r="D21" s="1">
        <v>0.074</v>
      </c>
      <c r="E21" s="1">
        <v>280.0</v>
      </c>
      <c r="F21" s="1">
        <v>0.146</v>
      </c>
      <c r="G21" s="1">
        <v>280.0</v>
      </c>
      <c r="H21" s="1">
        <v>0.22</v>
      </c>
    </row>
    <row r="22" ht="12.75" customHeight="1">
      <c r="A22" s="1">
        <v>308.0</v>
      </c>
      <c r="B22" s="1">
        <v>0.002</v>
      </c>
      <c r="C22" s="1">
        <v>308.0</v>
      </c>
      <c r="D22" s="1">
        <v>0.075</v>
      </c>
      <c r="E22" s="1">
        <v>308.0</v>
      </c>
      <c r="F22" s="1">
        <v>0.147</v>
      </c>
      <c r="G22" s="1">
        <v>308.0</v>
      </c>
      <c r="H22" s="1">
        <v>0.22</v>
      </c>
    </row>
    <row r="23" ht="12.75" customHeight="1">
      <c r="A23" s="1">
        <v>336.0</v>
      </c>
      <c r="B23" s="1">
        <v>0.002</v>
      </c>
      <c r="C23" s="1">
        <v>336.0</v>
      </c>
      <c r="D23" s="1">
        <v>0.076</v>
      </c>
      <c r="E23" s="1">
        <v>336.0</v>
      </c>
      <c r="F23" s="1">
        <v>0.148</v>
      </c>
      <c r="G23" s="1">
        <v>336.0</v>
      </c>
      <c r="H23" s="1">
        <v>0.222</v>
      </c>
    </row>
    <row r="24" ht="12.75" customHeight="1">
      <c r="A24" s="1">
        <v>364.0</v>
      </c>
      <c r="B24" s="1">
        <v>0.002</v>
      </c>
      <c r="C24" s="1">
        <v>364.0</v>
      </c>
      <c r="D24" s="1">
        <v>0.076</v>
      </c>
      <c r="E24" s="1">
        <v>364.0</v>
      </c>
      <c r="F24" s="1">
        <v>0.149</v>
      </c>
      <c r="G24" s="1">
        <v>364.0</v>
      </c>
      <c r="H24" s="1">
        <v>0.223</v>
      </c>
    </row>
    <row r="25" ht="12.75" customHeight="1">
      <c r="A25" s="1">
        <v>392.0</v>
      </c>
      <c r="B25" s="1">
        <v>0.002</v>
      </c>
      <c r="C25" s="1">
        <v>392.0</v>
      </c>
      <c r="D25" s="1">
        <v>0.078</v>
      </c>
      <c r="E25" s="1">
        <v>392.0</v>
      </c>
      <c r="F25" s="1">
        <v>0.15</v>
      </c>
      <c r="G25" s="1">
        <v>392.0</v>
      </c>
      <c r="H25" s="1">
        <v>0.225</v>
      </c>
    </row>
    <row r="26" ht="12.75" customHeight="1">
      <c r="A26" s="1">
        <v>420.0</v>
      </c>
      <c r="B26" s="1">
        <v>0.003</v>
      </c>
      <c r="C26" s="1">
        <v>420.0</v>
      </c>
      <c r="D26" s="1">
        <v>0.078</v>
      </c>
      <c r="E26" s="1">
        <v>420.0</v>
      </c>
      <c r="F26" s="1">
        <v>0.151</v>
      </c>
      <c r="G26" s="1">
        <v>420.0</v>
      </c>
      <c r="H26" s="1">
        <v>0.226</v>
      </c>
    </row>
    <row r="27" ht="12.75" customHeight="1">
      <c r="A27" s="1">
        <v>448.0</v>
      </c>
      <c r="B27" s="1">
        <v>0.003</v>
      </c>
      <c r="C27" s="1">
        <v>448.0</v>
      </c>
      <c r="D27" s="1">
        <v>0.079</v>
      </c>
      <c r="E27" s="1">
        <v>448.0</v>
      </c>
      <c r="F27" s="1">
        <v>0.152</v>
      </c>
      <c r="G27" s="1">
        <v>448.0</v>
      </c>
      <c r="H27" s="1">
        <v>0.227</v>
      </c>
    </row>
    <row r="28" ht="12.75" customHeight="1">
      <c r="A28" s="1">
        <v>476.0</v>
      </c>
      <c r="B28" s="1">
        <v>0.003</v>
      </c>
      <c r="C28" s="1">
        <v>476.0</v>
      </c>
      <c r="D28" s="1">
        <v>0.08</v>
      </c>
      <c r="E28" s="1">
        <v>476.0</v>
      </c>
      <c r="F28" s="1">
        <v>0.153</v>
      </c>
      <c r="G28" s="1">
        <v>476.0</v>
      </c>
      <c r="H28" s="1">
        <v>0.228</v>
      </c>
    </row>
    <row r="29" ht="12.75" customHeight="1">
      <c r="A29" s="1">
        <v>504.0</v>
      </c>
      <c r="B29" s="1">
        <v>0.004</v>
      </c>
      <c r="C29" s="1">
        <v>504.0</v>
      </c>
      <c r="D29" s="1">
        <v>0.08</v>
      </c>
      <c r="E29" s="1">
        <v>504.0</v>
      </c>
      <c r="F29" s="1">
        <v>0.154</v>
      </c>
      <c r="G29" s="1">
        <v>504.0</v>
      </c>
      <c r="H29" s="1">
        <v>0.229</v>
      </c>
    </row>
    <row r="30" ht="12.75" customHeight="1">
      <c r="A30" s="1">
        <v>532.0</v>
      </c>
      <c r="B30" s="1">
        <v>0.004</v>
      </c>
      <c r="C30" s="1">
        <v>532.0</v>
      </c>
      <c r="D30" s="1">
        <v>0.081</v>
      </c>
      <c r="E30" s="1">
        <v>532.0</v>
      </c>
      <c r="F30" s="1">
        <v>0.155</v>
      </c>
      <c r="G30" s="1">
        <v>532.0</v>
      </c>
      <c r="H30" s="1">
        <v>0.23</v>
      </c>
    </row>
    <row r="31" ht="12.75" customHeight="1">
      <c r="A31" s="1">
        <v>560.0</v>
      </c>
      <c r="B31" s="1">
        <v>0.004</v>
      </c>
      <c r="C31" s="1">
        <v>560.0</v>
      </c>
      <c r="D31" s="1">
        <v>0.082</v>
      </c>
      <c r="E31" s="1">
        <v>560.0</v>
      </c>
      <c r="F31" s="1">
        <v>0.156</v>
      </c>
      <c r="G31" s="1">
        <v>560.0</v>
      </c>
      <c r="H31" s="1">
        <v>0.232</v>
      </c>
    </row>
    <row r="32" ht="12.75" customHeight="1">
      <c r="A32" s="1">
        <v>588.0</v>
      </c>
      <c r="B32" s="1">
        <v>0.004</v>
      </c>
      <c r="C32" s="1">
        <v>588.0</v>
      </c>
      <c r="D32" s="1">
        <v>0.083</v>
      </c>
      <c r="E32" s="1">
        <v>588.0</v>
      </c>
      <c r="F32" s="1">
        <v>0.158</v>
      </c>
      <c r="G32" s="1">
        <v>588.0</v>
      </c>
      <c r="H32" s="1">
        <v>0.233</v>
      </c>
      <c r="L32" s="1">
        <v>0.596</v>
      </c>
      <c r="M32" s="1">
        <v>0.8</v>
      </c>
    </row>
    <row r="33" ht="12.75" customHeight="1">
      <c r="A33" s="1">
        <v>616.0</v>
      </c>
      <c r="B33" s="1">
        <v>0.005</v>
      </c>
      <c r="C33" s="1">
        <v>616.0</v>
      </c>
      <c r="D33" s="1">
        <v>0.084</v>
      </c>
      <c r="E33" s="1">
        <v>616.0</v>
      </c>
      <c r="F33" s="1">
        <v>0.158</v>
      </c>
      <c r="G33" s="1">
        <v>616.0</v>
      </c>
      <c r="H33" s="1">
        <v>0.234</v>
      </c>
      <c r="L33" s="1">
        <v>2.9811</v>
      </c>
      <c r="M33" s="1">
        <v>3.0</v>
      </c>
    </row>
    <row r="34" ht="12.75" customHeight="1">
      <c r="A34" s="1">
        <v>644.0</v>
      </c>
      <c r="B34" s="1">
        <v>0.005</v>
      </c>
      <c r="C34" s="1">
        <v>644.0</v>
      </c>
      <c r="D34" s="1">
        <v>0.084</v>
      </c>
      <c r="E34" s="1">
        <v>644.0</v>
      </c>
      <c r="F34" s="1">
        <v>0.159</v>
      </c>
      <c r="G34" s="1">
        <v>644.0</v>
      </c>
      <c r="H34" s="1">
        <v>0.235</v>
      </c>
      <c r="L34" s="1">
        <v>5.366</v>
      </c>
      <c r="M34" s="1">
        <v>3.0</v>
      </c>
    </row>
    <row r="35" ht="12.75" customHeight="1">
      <c r="A35" s="1">
        <v>672.0</v>
      </c>
      <c r="B35" s="1">
        <v>0.005</v>
      </c>
      <c r="C35" s="1">
        <v>672.0</v>
      </c>
      <c r="D35" s="1">
        <v>0.085</v>
      </c>
      <c r="E35" s="1">
        <v>672.0</v>
      </c>
      <c r="F35" s="1">
        <v>0.16</v>
      </c>
      <c r="G35" s="1">
        <v>672.0</v>
      </c>
      <c r="H35" s="1">
        <v>0.235</v>
      </c>
      <c r="L35" s="1">
        <v>7.7508</v>
      </c>
      <c r="M35" s="1">
        <v>4.0</v>
      </c>
    </row>
    <row r="36" ht="12.75" customHeight="1">
      <c r="A36" s="1">
        <v>700.0</v>
      </c>
      <c r="B36" s="1">
        <v>0.005</v>
      </c>
      <c r="C36" s="1">
        <v>700.0</v>
      </c>
      <c r="D36" s="1">
        <v>0.086</v>
      </c>
      <c r="E36" s="1">
        <v>700.0</v>
      </c>
      <c r="F36" s="1">
        <v>0.161</v>
      </c>
      <c r="G36" s="1">
        <v>700.0</v>
      </c>
      <c r="H36" s="1">
        <v>0.237</v>
      </c>
    </row>
    <row r="37" ht="12.75" customHeight="1">
      <c r="A37" s="1">
        <v>728.0</v>
      </c>
      <c r="B37" s="1">
        <v>0.005</v>
      </c>
      <c r="C37" s="1">
        <v>728.0</v>
      </c>
      <c r="D37" s="1">
        <v>0.087</v>
      </c>
      <c r="E37" s="1">
        <v>728.0</v>
      </c>
      <c r="F37" s="1">
        <v>0.162</v>
      </c>
      <c r="G37" s="1">
        <v>728.0</v>
      </c>
      <c r="H37" s="1">
        <v>0.238</v>
      </c>
    </row>
    <row r="38" ht="12.75" customHeight="1">
      <c r="A38" s="1">
        <v>756.0</v>
      </c>
      <c r="B38" s="1">
        <v>0.006</v>
      </c>
      <c r="C38" s="1">
        <v>756.0</v>
      </c>
      <c r="D38" s="1">
        <v>0.087</v>
      </c>
      <c r="E38" s="1">
        <v>756.0</v>
      </c>
      <c r="F38" s="1">
        <v>0.163</v>
      </c>
      <c r="G38" s="1">
        <v>756.0</v>
      </c>
      <c r="H38" s="1">
        <v>0.239</v>
      </c>
    </row>
    <row r="39" ht="12.75" customHeight="1">
      <c r="A39" s="1">
        <v>784.0</v>
      </c>
      <c r="B39" s="1">
        <v>0.006</v>
      </c>
      <c r="C39" s="1">
        <v>784.0</v>
      </c>
      <c r="D39" s="1">
        <v>0.088</v>
      </c>
      <c r="E39" s="1">
        <v>784.0</v>
      </c>
      <c r="F39" s="1">
        <v>0.164</v>
      </c>
      <c r="G39" s="1">
        <v>784.0</v>
      </c>
      <c r="H39" s="1">
        <v>0.24</v>
      </c>
    </row>
    <row r="40" ht="12.75" customHeight="1">
      <c r="A40" s="1">
        <v>812.0</v>
      </c>
      <c r="B40" s="1">
        <v>0.006</v>
      </c>
      <c r="C40" s="1">
        <v>812.0</v>
      </c>
      <c r="D40" s="1">
        <v>0.089</v>
      </c>
      <c r="E40" s="1">
        <v>812.0</v>
      </c>
      <c r="F40" s="1">
        <v>0.165</v>
      </c>
      <c r="G40" s="1">
        <v>812.0</v>
      </c>
      <c r="H40" s="1">
        <v>0.241</v>
      </c>
    </row>
    <row r="41" ht="12.75" customHeight="1">
      <c r="A41" s="1">
        <v>840.0</v>
      </c>
      <c r="B41" s="1">
        <v>0.007</v>
      </c>
      <c r="C41" s="1">
        <v>840.0</v>
      </c>
      <c r="D41" s="1">
        <v>0.09</v>
      </c>
      <c r="E41" s="1">
        <v>840.0</v>
      </c>
      <c r="F41" s="1">
        <v>0.166</v>
      </c>
      <c r="G41" s="1">
        <v>840.0</v>
      </c>
      <c r="H41" s="1">
        <v>0.242</v>
      </c>
    </row>
    <row r="42" ht="12.75" customHeight="1">
      <c r="A42" s="1">
        <v>868.0</v>
      </c>
      <c r="B42" s="1">
        <v>0.007</v>
      </c>
      <c r="C42" s="1">
        <v>868.0</v>
      </c>
      <c r="D42" s="1">
        <v>0.09</v>
      </c>
      <c r="E42" s="1">
        <v>868.0</v>
      </c>
      <c r="F42" s="1">
        <v>0.167</v>
      </c>
      <c r="G42" s="1">
        <v>868.0</v>
      </c>
      <c r="H42" s="1">
        <v>0.242</v>
      </c>
    </row>
    <row r="43" ht="12.75" customHeight="1">
      <c r="A43" s="1">
        <v>896.0</v>
      </c>
      <c r="B43" s="1">
        <v>0.007</v>
      </c>
      <c r="C43" s="1">
        <v>896.0</v>
      </c>
      <c r="D43" s="1">
        <v>0.09</v>
      </c>
      <c r="E43" s="1">
        <v>896.0</v>
      </c>
      <c r="F43" s="1">
        <v>0.168</v>
      </c>
      <c r="G43" s="1">
        <v>896.0</v>
      </c>
      <c r="H43" s="1">
        <v>0.244</v>
      </c>
    </row>
    <row r="44" ht="12.75" customHeight="1">
      <c r="A44" s="1">
        <v>924.0</v>
      </c>
      <c r="B44" s="1">
        <v>0.007</v>
      </c>
      <c r="C44" s="1">
        <v>924.0</v>
      </c>
      <c r="D44" s="1">
        <v>0.092</v>
      </c>
      <c r="E44" s="1">
        <v>924.0</v>
      </c>
      <c r="F44" s="1">
        <v>0.168</v>
      </c>
      <c r="G44" s="1">
        <v>924.0</v>
      </c>
      <c r="H44" s="1">
        <v>0.245</v>
      </c>
    </row>
    <row r="45" ht="12.75" customHeight="1">
      <c r="A45" s="1">
        <v>952.0</v>
      </c>
      <c r="B45" s="1">
        <v>0.008</v>
      </c>
      <c r="C45" s="1">
        <v>952.0</v>
      </c>
      <c r="D45" s="1">
        <v>0.092</v>
      </c>
      <c r="E45" s="1">
        <v>952.0</v>
      </c>
      <c r="F45" s="1">
        <v>0.169</v>
      </c>
      <c r="G45" s="1">
        <v>952.0</v>
      </c>
      <c r="H45" s="1">
        <v>0.246</v>
      </c>
    </row>
    <row r="46" ht="12.75" customHeight="1">
      <c r="A46" s="1">
        <v>980.0</v>
      </c>
      <c r="B46" s="1">
        <v>0.007</v>
      </c>
      <c r="C46" s="1">
        <v>980.0</v>
      </c>
      <c r="D46" s="1">
        <v>0.093</v>
      </c>
      <c r="E46" s="1">
        <v>980.0</v>
      </c>
      <c r="F46" s="1">
        <v>0.17</v>
      </c>
      <c r="G46" s="1">
        <v>980.0</v>
      </c>
      <c r="H46" s="1">
        <v>0.247</v>
      </c>
    </row>
    <row r="47" ht="12.75" customHeight="1">
      <c r="A47" s="1">
        <v>1008.0</v>
      </c>
      <c r="B47" s="1">
        <v>0.007</v>
      </c>
      <c r="C47" s="1">
        <v>1008.0</v>
      </c>
      <c r="D47" s="1">
        <v>0.094</v>
      </c>
      <c r="E47" s="1">
        <v>1008.0</v>
      </c>
      <c r="F47" s="1">
        <v>0.171</v>
      </c>
      <c r="G47" s="1">
        <v>1008.0</v>
      </c>
      <c r="H47" s="1">
        <v>0.247</v>
      </c>
    </row>
    <row r="48" ht="12.75" customHeight="1">
      <c r="A48" s="1">
        <v>1036.0</v>
      </c>
      <c r="B48" s="1">
        <v>0.008</v>
      </c>
      <c r="C48" s="1">
        <v>1036.0</v>
      </c>
      <c r="D48" s="1">
        <v>0.095</v>
      </c>
      <c r="E48" s="1">
        <v>1036.0</v>
      </c>
      <c r="F48" s="1">
        <v>0.172</v>
      </c>
      <c r="G48" s="1">
        <v>1036.0</v>
      </c>
      <c r="H48" s="1">
        <v>0.248</v>
      </c>
    </row>
    <row r="49" ht="12.75" customHeight="1">
      <c r="A49" s="1">
        <v>1064.0</v>
      </c>
      <c r="B49" s="1">
        <v>0.008</v>
      </c>
      <c r="C49" s="1">
        <v>1064.0</v>
      </c>
      <c r="D49" s="1">
        <v>0.096</v>
      </c>
      <c r="E49" s="1">
        <v>1064.0</v>
      </c>
      <c r="F49" s="1">
        <v>0.173</v>
      </c>
      <c r="G49" s="1">
        <v>1064.0</v>
      </c>
      <c r="H49" s="1">
        <v>0.25</v>
      </c>
    </row>
    <row r="50" ht="12.75" customHeight="1">
      <c r="A50" s="1">
        <v>1092.0</v>
      </c>
      <c r="B50" s="1">
        <v>0.008</v>
      </c>
      <c r="C50" s="1">
        <v>1092.0</v>
      </c>
      <c r="D50" s="1">
        <v>0.096</v>
      </c>
      <c r="E50" s="1">
        <v>1092.0</v>
      </c>
      <c r="F50" s="1">
        <v>0.174</v>
      </c>
      <c r="G50" s="1">
        <v>1092.0</v>
      </c>
      <c r="H50" s="1">
        <v>0.251</v>
      </c>
    </row>
    <row r="51" ht="12.75" customHeight="1">
      <c r="A51" s="1">
        <v>1120.0</v>
      </c>
      <c r="B51" s="1">
        <v>0.008</v>
      </c>
      <c r="C51" s="1">
        <v>1120.0</v>
      </c>
      <c r="D51" s="1">
        <v>0.096</v>
      </c>
      <c r="E51" s="1">
        <v>1120.0</v>
      </c>
      <c r="F51" s="1">
        <v>0.175</v>
      </c>
      <c r="G51" s="1">
        <v>1120.0</v>
      </c>
      <c r="H51" s="1">
        <v>0.251</v>
      </c>
    </row>
    <row r="52" ht="12.75" customHeight="1">
      <c r="A52" s="1">
        <v>1148.0</v>
      </c>
      <c r="B52" s="1">
        <v>0.009</v>
      </c>
      <c r="C52" s="1">
        <v>1148.0</v>
      </c>
      <c r="D52" s="1">
        <v>0.097</v>
      </c>
      <c r="E52" s="1">
        <v>1148.0</v>
      </c>
      <c r="F52" s="1">
        <v>0.176</v>
      </c>
      <c r="G52" s="1">
        <v>1148.0</v>
      </c>
      <c r="H52" s="1">
        <v>0.252</v>
      </c>
    </row>
    <row r="53" ht="12.75" customHeight="1">
      <c r="A53" s="1">
        <v>1176.0</v>
      </c>
      <c r="B53" s="1">
        <v>0.009</v>
      </c>
      <c r="C53" s="1">
        <v>1176.0</v>
      </c>
      <c r="D53" s="1">
        <v>0.098</v>
      </c>
      <c r="E53" s="1">
        <v>1176.0</v>
      </c>
      <c r="F53" s="1">
        <v>0.176</v>
      </c>
      <c r="G53" s="1">
        <v>1176.0</v>
      </c>
      <c r="H53" s="1">
        <v>0.254</v>
      </c>
    </row>
    <row r="54" ht="12.75" customHeight="1">
      <c r="A54" s="1">
        <v>1204.0</v>
      </c>
      <c r="B54" s="1">
        <v>0.009</v>
      </c>
      <c r="C54" s="1">
        <v>1204.0</v>
      </c>
      <c r="D54" s="1">
        <v>0.098</v>
      </c>
      <c r="E54" s="1">
        <v>1204.0</v>
      </c>
      <c r="F54" s="1">
        <v>0.177</v>
      </c>
      <c r="G54" s="1">
        <v>1204.0</v>
      </c>
      <c r="H54" s="1">
        <v>0.254</v>
      </c>
    </row>
    <row r="55" ht="12.75" customHeight="1">
      <c r="A55" s="1">
        <v>1232.0</v>
      </c>
      <c r="B55" s="1">
        <v>0.009</v>
      </c>
      <c r="C55" s="1">
        <v>1232.0</v>
      </c>
      <c r="D55" s="1">
        <v>0.1</v>
      </c>
      <c r="E55" s="1">
        <v>1232.0</v>
      </c>
      <c r="F55" s="1">
        <v>0.178</v>
      </c>
      <c r="G55" s="1">
        <v>1232.0</v>
      </c>
      <c r="H55" s="1">
        <v>0.255</v>
      </c>
    </row>
    <row r="56" ht="12.75" customHeight="1">
      <c r="A56" s="1">
        <v>1260.0</v>
      </c>
      <c r="B56" s="1">
        <v>0.01</v>
      </c>
      <c r="C56" s="1">
        <v>1260.0</v>
      </c>
      <c r="D56" s="1">
        <v>0.1</v>
      </c>
      <c r="E56" s="1">
        <v>1260.0</v>
      </c>
      <c r="F56" s="1">
        <v>0.179</v>
      </c>
      <c r="G56" s="1">
        <v>1260.0</v>
      </c>
      <c r="H56" s="1">
        <v>0.257</v>
      </c>
    </row>
    <row r="57" ht="12.75" customHeight="1">
      <c r="A57" s="1">
        <v>1288.0</v>
      </c>
      <c r="B57" s="1">
        <v>0.01</v>
      </c>
      <c r="C57" s="1">
        <v>1288.0</v>
      </c>
      <c r="D57" s="1">
        <v>0.101</v>
      </c>
      <c r="E57" s="1">
        <v>1288.0</v>
      </c>
      <c r="F57" s="1">
        <v>0.18</v>
      </c>
      <c r="G57" s="1">
        <v>1288.0</v>
      </c>
      <c r="H57" s="1">
        <v>0.257</v>
      </c>
    </row>
    <row r="58" ht="12.75" customHeight="1">
      <c r="A58" s="1">
        <v>1316.0</v>
      </c>
      <c r="B58" s="1">
        <v>0.01</v>
      </c>
      <c r="C58" s="1">
        <v>1316.0</v>
      </c>
      <c r="D58" s="1">
        <v>0.102</v>
      </c>
      <c r="E58" s="1">
        <v>1316.0</v>
      </c>
      <c r="F58" s="1">
        <v>0.181</v>
      </c>
      <c r="G58" s="1">
        <v>1316.0</v>
      </c>
      <c r="H58" s="1">
        <v>0.258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